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6-KATALIMA ROAD\MCC DATA\"/>
    </mc:Choice>
  </mc:AlternateContent>
  <bookViews>
    <workbookView xWindow="-120" yWindow="-120" windowWidth="20730" windowHeight="11160" tabRatio="940" firstSheet="13" activeTab="16"/>
  </bookViews>
  <sheets>
    <sheet name="29.07 Naguru-Nakawa" sheetId="93" r:id="rId1"/>
    <sheet name="29.07 Nakawa-Naguru" sheetId="94" r:id="rId2"/>
    <sheet name="30.07 Naguru-Nakawa" sheetId="95" r:id="rId3"/>
    <sheet name="30.07 Nakawa-Naguru" sheetId="96" r:id="rId4"/>
    <sheet name="31.07 Naguru-Nakawa" sheetId="97" r:id="rId5"/>
    <sheet name="31.07 Nakawa-Naguru" sheetId="98" r:id="rId6"/>
    <sheet name="01.08 Naguru-Nakawa-24h" sheetId="101" r:id="rId7"/>
    <sheet name="01.08 Nakawa-Naguru-24h" sheetId="109" r:id="rId8"/>
    <sheet name="02.08 Naguru-Nakawa" sheetId="99" r:id="rId9"/>
    <sheet name="02.08 Nakawa-Naguru" sheetId="100" r:id="rId10"/>
    <sheet name="03.08 Naguru-Nakawa-24h" sheetId="105" r:id="rId11"/>
    <sheet name="03.08 Nakawa-Naguru-24h" sheetId="110" r:id="rId12"/>
    <sheet name="04.08 Naguru-Nakawa" sheetId="103" r:id="rId13"/>
    <sheet name="04.08 Nakawa-Naguru" sheetId="104" r:id="rId14"/>
    <sheet name="Avg Week Naguru-Nakawa" sheetId="107" r:id="rId15"/>
    <sheet name="Avg Week Nakawa-Naguru" sheetId="108" r:id="rId16"/>
    <sheet name="Avg Week Naguru-Nakawa-2Dir" sheetId="111" r:id="rId17"/>
  </sheets>
  <definedNames>
    <definedName name="_xlnm.Print_Area" localSheetId="6">'01.08 Naguru-Nakawa-24h'!$A$1:$AF$108</definedName>
    <definedName name="_xlnm.Print_Area" localSheetId="7">'01.08 Nakawa-Naguru-24h'!$A$1:$AF$108</definedName>
    <definedName name="_xlnm.Print_Area" localSheetId="8">'02.08 Naguru-Nakawa'!$A$1:$AF$60</definedName>
    <definedName name="_xlnm.Print_Area" localSheetId="9">'02.08 Nakawa-Naguru'!$A$1:$AF$60</definedName>
    <definedName name="_xlnm.Print_Area" localSheetId="10">'03.08 Naguru-Nakawa-24h'!$A$1:$AF$108</definedName>
    <definedName name="_xlnm.Print_Area" localSheetId="11">'03.08 Nakawa-Naguru-24h'!$A$1:$AF$108</definedName>
    <definedName name="_xlnm.Print_Area" localSheetId="12">'04.08 Naguru-Nakawa'!$A$1:$AF$60</definedName>
    <definedName name="_xlnm.Print_Area" localSheetId="13">'04.08 Nakawa-Naguru'!$A$1:$AF$60</definedName>
    <definedName name="_xlnm.Print_Area" localSheetId="0">'29.07 Naguru-Nakawa'!$A$1:$AF$60</definedName>
    <definedName name="_xlnm.Print_Area" localSheetId="1">'29.07 Nakawa-Naguru'!$A$1:$AF$60</definedName>
    <definedName name="_xlnm.Print_Area" localSheetId="2">'30.07 Naguru-Nakawa'!$A$1:$AF$60</definedName>
    <definedName name="_xlnm.Print_Area" localSheetId="3">'30.07 Nakawa-Naguru'!$A$1:$AF$60</definedName>
    <definedName name="_xlnm.Print_Area" localSheetId="4">'31.07 Naguru-Nakawa'!$A$1:$AF$60</definedName>
    <definedName name="_xlnm.Print_Area" localSheetId="5">'31.07 Nakawa-Naguru'!$A$1:$AF$60</definedName>
    <definedName name="_xlnm.Print_Area" localSheetId="14">'Avg Week Naguru-Nakawa'!$A$1:$AF$108</definedName>
    <definedName name="_xlnm.Print_Area" localSheetId="16">'Avg Week Naguru-Nakawa-2Dir'!$A$1:$AF$108</definedName>
    <definedName name="_xlnm.Print_Area" localSheetId="15">'Avg Week Nakawa-Naguru'!$A$1:$AF$108</definedName>
    <definedName name="_xlnm.Print_Titles" localSheetId="6">'01.08 Naguru-Nakawa-24h'!$1:$8</definedName>
    <definedName name="_xlnm.Print_Titles" localSheetId="7">'01.08 Nakawa-Naguru-24h'!$1:$8</definedName>
    <definedName name="_xlnm.Print_Titles" localSheetId="8">'02.08 Naguru-Nakawa'!$1:$8</definedName>
    <definedName name="_xlnm.Print_Titles" localSheetId="9">'02.08 Nakawa-Naguru'!$1:$8</definedName>
    <definedName name="_xlnm.Print_Titles" localSheetId="10">'03.08 Naguru-Nakawa-24h'!$1:$8</definedName>
    <definedName name="_xlnm.Print_Titles" localSheetId="11">'03.08 Nakawa-Naguru-24h'!$1:$8</definedName>
    <definedName name="_xlnm.Print_Titles" localSheetId="12">'04.08 Naguru-Nakawa'!$1:$8</definedName>
    <definedName name="_xlnm.Print_Titles" localSheetId="13">'04.08 Nakawa-Naguru'!$1:$8</definedName>
    <definedName name="_xlnm.Print_Titles" localSheetId="0">'29.07 Naguru-Nakawa'!$1:$8</definedName>
    <definedName name="_xlnm.Print_Titles" localSheetId="1">'29.07 Nakawa-Naguru'!$1:$8</definedName>
    <definedName name="_xlnm.Print_Titles" localSheetId="2">'30.07 Naguru-Nakawa'!$1:$8</definedName>
    <definedName name="_xlnm.Print_Titles" localSheetId="3">'30.07 Nakawa-Naguru'!$1:$8</definedName>
    <definedName name="_xlnm.Print_Titles" localSheetId="4">'31.07 Naguru-Nakawa'!$1:$8</definedName>
    <definedName name="_xlnm.Print_Titles" localSheetId="5">'31.07 Nakawa-Naguru'!$1:$8</definedName>
    <definedName name="_xlnm.Print_Titles" localSheetId="14">'Avg Week Naguru-Nakawa'!$1:$8</definedName>
    <definedName name="_xlnm.Print_Titles" localSheetId="16">'Avg Week Naguru-Nakawa-2Dir'!$1:$8</definedName>
    <definedName name="_xlnm.Print_Titles" localSheetId="15">'Avg Week Nakawa-Naguru'!$1:$8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3" i="108" l="1"/>
  <c r="AF41" i="107" l="1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T41" i="111" s="1"/>
  <c r="T42" i="111" s="1"/>
  <c r="U23" i="111"/>
  <c r="V23" i="111"/>
  <c r="V41" i="111" s="1"/>
  <c r="V42" i="111" s="1"/>
  <c r="W23" i="111"/>
  <c r="X23" i="111"/>
  <c r="X41" i="111" s="1"/>
  <c r="X42" i="111" s="1"/>
  <c r="Y23" i="111"/>
  <c r="Z23" i="111"/>
  <c r="Z41" i="111" s="1"/>
  <c r="Z42" i="111" s="1"/>
  <c r="AA23" i="111"/>
  <c r="AB23" i="111"/>
  <c r="AB41" i="111" s="1"/>
  <c r="AB42" i="111" s="1"/>
  <c r="AC23" i="111"/>
  <c r="AD23" i="111"/>
  <c r="AD41" i="111" s="1"/>
  <c r="AD42" i="111" s="1"/>
  <c r="AE23" i="111"/>
  <c r="AF23" i="111"/>
  <c r="AF41" i="111" s="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AE41" i="111"/>
  <c r="AC41" i="111"/>
  <c r="AC42" i="111" s="1"/>
  <c r="AA41" i="111"/>
  <c r="AA42" i="111" s="1"/>
  <c r="Y41" i="111"/>
  <c r="Y42" i="111" s="1"/>
  <c r="W41" i="111"/>
  <c r="W42" i="111" s="1"/>
  <c r="U41" i="111"/>
  <c r="U42" i="111" s="1"/>
  <c r="S41" i="111"/>
  <c r="S42" i="111" s="1"/>
  <c r="P105" i="111"/>
  <c r="O105" i="111"/>
  <c r="P104" i="111"/>
  <c r="O104" i="111"/>
  <c r="P103" i="111"/>
  <c r="O103" i="111"/>
  <c r="P102" i="111"/>
  <c r="O102" i="111"/>
  <c r="P101" i="111"/>
  <c r="O101" i="111"/>
  <c r="P100" i="111"/>
  <c r="O100" i="111"/>
  <c r="P99" i="111"/>
  <c r="O99" i="111"/>
  <c r="P98" i="111"/>
  <c r="O98" i="111"/>
  <c r="P97" i="111"/>
  <c r="O97" i="111"/>
  <c r="P96" i="111"/>
  <c r="O96" i="111"/>
  <c r="P95" i="111"/>
  <c r="O95" i="111"/>
  <c r="P94" i="111"/>
  <c r="O94" i="111"/>
  <c r="P93" i="111"/>
  <c r="O93" i="111"/>
  <c r="P92" i="111"/>
  <c r="O92" i="111"/>
  <c r="P91" i="111"/>
  <c r="O91" i="111"/>
  <c r="P90" i="111"/>
  <c r="O90" i="111"/>
  <c r="P89" i="111"/>
  <c r="O89" i="111"/>
  <c r="P88" i="111"/>
  <c r="O88" i="111"/>
  <c r="P87" i="111"/>
  <c r="O87" i="111"/>
  <c r="P86" i="111"/>
  <c r="O86" i="111"/>
  <c r="P85" i="111"/>
  <c r="O85" i="111"/>
  <c r="P84" i="111"/>
  <c r="O84" i="111"/>
  <c r="P83" i="111"/>
  <c r="O83" i="111"/>
  <c r="P82" i="111"/>
  <c r="O82" i="111"/>
  <c r="P81" i="111"/>
  <c r="O81" i="111"/>
  <c r="P80" i="111"/>
  <c r="O80" i="111"/>
  <c r="P79" i="111"/>
  <c r="O79" i="111"/>
  <c r="P78" i="111"/>
  <c r="O78" i="111"/>
  <c r="P77" i="111"/>
  <c r="O77" i="111"/>
  <c r="P76" i="111"/>
  <c r="O76" i="111"/>
  <c r="P75" i="111"/>
  <c r="O75" i="111"/>
  <c r="P74" i="111"/>
  <c r="O74" i="111"/>
  <c r="P73" i="111"/>
  <c r="O73" i="111"/>
  <c r="P72" i="111"/>
  <c r="O72" i="111"/>
  <c r="P71" i="111"/>
  <c r="O71" i="111"/>
  <c r="P70" i="111"/>
  <c r="O70" i="111"/>
  <c r="P69" i="111"/>
  <c r="O69" i="111"/>
  <c r="P68" i="111"/>
  <c r="O68" i="111"/>
  <c r="P67" i="111"/>
  <c r="O67" i="111"/>
  <c r="P66" i="111"/>
  <c r="O66" i="111"/>
  <c r="P65" i="111"/>
  <c r="O65" i="111"/>
  <c r="P64" i="111"/>
  <c r="O64" i="111"/>
  <c r="P63" i="111"/>
  <c r="O63" i="111"/>
  <c r="P62" i="111"/>
  <c r="O62" i="111"/>
  <c r="P61" i="111"/>
  <c r="O61" i="111"/>
  <c r="P60" i="111"/>
  <c r="O60" i="111"/>
  <c r="P59" i="111"/>
  <c r="O59" i="111"/>
  <c r="P58" i="111"/>
  <c r="O58" i="111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S22" i="111" s="1"/>
  <c r="C61" i="111"/>
  <c r="C62" i="111"/>
  <c r="C63" i="111"/>
  <c r="C64" i="111"/>
  <c r="C65" i="111"/>
  <c r="C66" i="111"/>
  <c r="S24" i="111" s="1"/>
  <c r="C67" i="111"/>
  <c r="C68" i="111"/>
  <c r="C69" i="111"/>
  <c r="C70" i="111"/>
  <c r="C71" i="111"/>
  <c r="C72" i="111"/>
  <c r="C73" i="111"/>
  <c r="C74" i="111"/>
  <c r="S26" i="111" s="1"/>
  <c r="C75" i="111"/>
  <c r="C76" i="111"/>
  <c r="C77" i="111"/>
  <c r="C78" i="111"/>
  <c r="C79" i="111"/>
  <c r="C80" i="111"/>
  <c r="C81" i="111"/>
  <c r="C82" i="111"/>
  <c r="S28" i="111" s="1"/>
  <c r="C83" i="111"/>
  <c r="C84" i="111"/>
  <c r="C85" i="111"/>
  <c r="C86" i="111"/>
  <c r="C87" i="111"/>
  <c r="C88" i="111"/>
  <c r="C89" i="111"/>
  <c r="C90" i="111"/>
  <c r="S30" i="111" s="1"/>
  <c r="C91" i="111"/>
  <c r="C92" i="111"/>
  <c r="C93" i="111"/>
  <c r="C94" i="111"/>
  <c r="C95" i="111"/>
  <c r="C96" i="111"/>
  <c r="C97" i="111"/>
  <c r="C98" i="111"/>
  <c r="S32" i="111" s="1"/>
  <c r="C99" i="111"/>
  <c r="C100" i="111"/>
  <c r="C101" i="111"/>
  <c r="C102" i="111"/>
  <c r="C103" i="111"/>
  <c r="C104" i="111"/>
  <c r="C105" i="111"/>
  <c r="C58" i="11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AF41" i="108" s="1"/>
  <c r="AF42" i="108" s="1"/>
  <c r="P105" i="108"/>
  <c r="O105" i="108"/>
  <c r="P104" i="108"/>
  <c r="O104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O106" i="108" s="1"/>
  <c r="P106" i="108"/>
  <c r="D106" i="108"/>
  <c r="E106" i="108"/>
  <c r="F106" i="108"/>
  <c r="G106" i="108"/>
  <c r="H106" i="108"/>
  <c r="I106" i="108"/>
  <c r="J106" i="108"/>
  <c r="K106" i="108"/>
  <c r="L106" i="108"/>
  <c r="M106" i="108"/>
  <c r="N106" i="108"/>
  <c r="C106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S23" i="108" s="1"/>
  <c r="C63" i="108"/>
  <c r="C64" i="108"/>
  <c r="C65" i="108"/>
  <c r="C66" i="108"/>
  <c r="C67" i="108"/>
  <c r="C68" i="108"/>
  <c r="C69" i="108"/>
  <c r="C70" i="108"/>
  <c r="S25" i="108" s="1"/>
  <c r="C71" i="108"/>
  <c r="C72" i="108"/>
  <c r="C73" i="108"/>
  <c r="C74" i="108"/>
  <c r="C75" i="108"/>
  <c r="C76" i="108"/>
  <c r="C77" i="108"/>
  <c r="C78" i="108"/>
  <c r="S27" i="108" s="1"/>
  <c r="C79" i="108"/>
  <c r="C80" i="108"/>
  <c r="C81" i="108"/>
  <c r="C82" i="108"/>
  <c r="C83" i="108"/>
  <c r="C84" i="108"/>
  <c r="C85" i="108"/>
  <c r="C86" i="108"/>
  <c r="S29" i="108" s="1"/>
  <c r="C87" i="108"/>
  <c r="C88" i="108"/>
  <c r="C89" i="108"/>
  <c r="C90" i="108"/>
  <c r="C91" i="108"/>
  <c r="C92" i="108"/>
  <c r="C93" i="108"/>
  <c r="C94" i="108"/>
  <c r="S31" i="108" s="1"/>
  <c r="C95" i="108"/>
  <c r="C96" i="108"/>
  <c r="C97" i="108"/>
  <c r="C98" i="108"/>
  <c r="C99" i="108"/>
  <c r="C100" i="108"/>
  <c r="C101" i="108"/>
  <c r="C102" i="108"/>
  <c r="S33" i="108" s="1"/>
  <c r="C103" i="108"/>
  <c r="C104" i="108"/>
  <c r="C105" i="108"/>
  <c r="C58" i="108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S23" i="107" s="1"/>
  <c r="C63" i="107"/>
  <c r="C64" i="107"/>
  <c r="C65" i="107"/>
  <c r="C66" i="107"/>
  <c r="C67" i="107"/>
  <c r="C68" i="107"/>
  <c r="C69" i="107"/>
  <c r="C70" i="107"/>
  <c r="S25" i="107" s="1"/>
  <c r="C71" i="107"/>
  <c r="C72" i="107"/>
  <c r="C73" i="107"/>
  <c r="C74" i="107"/>
  <c r="C75" i="107"/>
  <c r="C76" i="107"/>
  <c r="C77" i="107"/>
  <c r="C78" i="107"/>
  <c r="S27" i="107" s="1"/>
  <c r="C79" i="107"/>
  <c r="C80" i="107"/>
  <c r="C81" i="107"/>
  <c r="C82" i="107"/>
  <c r="C83" i="107"/>
  <c r="C84" i="107"/>
  <c r="C85" i="107"/>
  <c r="C86" i="107"/>
  <c r="S29" i="107" s="1"/>
  <c r="C87" i="107"/>
  <c r="C88" i="107"/>
  <c r="C89" i="107"/>
  <c r="C90" i="107"/>
  <c r="C91" i="107"/>
  <c r="C92" i="107"/>
  <c r="C93" i="107"/>
  <c r="C94" i="107"/>
  <c r="S31" i="107" s="1"/>
  <c r="C95" i="107"/>
  <c r="C96" i="107"/>
  <c r="C97" i="107"/>
  <c r="C98" i="107"/>
  <c r="C99" i="107"/>
  <c r="C100" i="107"/>
  <c r="C101" i="107"/>
  <c r="C102" i="107"/>
  <c r="S33" i="107" s="1"/>
  <c r="C103" i="107"/>
  <c r="C104" i="107"/>
  <c r="C105" i="107"/>
  <c r="C58" i="107"/>
  <c r="S32" i="108"/>
  <c r="S30" i="108"/>
  <c r="S28" i="108"/>
  <c r="S26" i="108"/>
  <c r="S24" i="108"/>
  <c r="S22" i="108"/>
  <c r="S32" i="107"/>
  <c r="S30" i="107"/>
  <c r="S28" i="107"/>
  <c r="S26" i="107"/>
  <c r="S24" i="107"/>
  <c r="S22" i="107"/>
  <c r="S33" i="111"/>
  <c r="S31" i="111"/>
  <c r="S29" i="111"/>
  <c r="S27" i="111"/>
  <c r="S25" i="111"/>
  <c r="S23" i="111"/>
  <c r="O53" i="97" l="1"/>
  <c r="P53" i="97"/>
  <c r="O33" i="97"/>
  <c r="P33" i="97"/>
  <c r="P19" i="110" l="1"/>
  <c r="P15" i="100"/>
  <c r="O66" i="109" l="1"/>
  <c r="P66" i="109"/>
  <c r="O21" i="109"/>
  <c r="P21" i="109"/>
  <c r="S21" i="109"/>
  <c r="T21" i="109"/>
  <c r="U21" i="109"/>
  <c r="V21" i="109"/>
  <c r="W21" i="109"/>
  <c r="O81" i="101"/>
  <c r="P81" i="101"/>
  <c r="O43" i="101"/>
  <c r="P43" i="101"/>
  <c r="O38" i="101"/>
  <c r="P38" i="101"/>
  <c r="O33" i="101"/>
  <c r="P33" i="101"/>
  <c r="S33" i="101"/>
  <c r="T33" i="101"/>
  <c r="U33" i="101"/>
  <c r="V33" i="101"/>
  <c r="W33" i="101"/>
  <c r="C3" i="94"/>
  <c r="K6" i="100" l="1"/>
  <c r="K6" i="109" s="1"/>
  <c r="K6" i="110" s="1"/>
  <c r="K6" i="103" s="1"/>
  <c r="K5" i="100"/>
  <c r="G5" i="98"/>
  <c r="G5" i="100" s="1"/>
  <c r="G5" i="109" s="1"/>
  <c r="G5" i="105" s="1"/>
  <c r="G5" i="110" s="1"/>
  <c r="G5" i="103" s="1"/>
  <c r="G5" i="97"/>
  <c r="G5" i="96"/>
  <c r="G5" i="95"/>
  <c r="G6" i="108"/>
  <c r="G6" i="107"/>
  <c r="D6" i="108"/>
  <c r="D6" i="107"/>
  <c r="D5" i="110"/>
  <c r="D5" i="109"/>
  <c r="D5" i="100"/>
  <c r="D5" i="98"/>
  <c r="D5" i="96"/>
  <c r="D5" i="94"/>
  <c r="K5" i="107" l="1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Y19" i="105"/>
  <c r="X19" i="105"/>
  <c r="X39" i="105" s="1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X26" i="98" s="1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38" i="101" l="1"/>
  <c r="Y39" i="109"/>
  <c r="T38" i="101"/>
  <c r="V39" i="105"/>
  <c r="Z39" i="105"/>
  <c r="U38" i="101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S38" i="110" s="1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74" i="109"/>
  <c r="P82" i="109"/>
  <c r="P90" i="109"/>
  <c r="P98" i="109"/>
  <c r="P57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4" i="101"/>
  <c r="P35" i="101"/>
  <c r="P36" i="101"/>
  <c r="P37" i="101"/>
  <c r="P39" i="101"/>
  <c r="P40" i="101"/>
  <c r="P41" i="101"/>
  <c r="P42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4" i="101"/>
  <c r="O35" i="101"/>
  <c r="O36" i="101"/>
  <c r="O37" i="101"/>
  <c r="O39" i="101"/>
  <c r="O40" i="101"/>
  <c r="O41" i="101"/>
  <c r="O42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W35" i="101" l="1"/>
  <c r="W38" i="101"/>
  <c r="U38" i="109"/>
  <c r="S38" i="101"/>
  <c r="X26" i="96"/>
  <c r="AD26" i="97"/>
  <c r="AF28" i="101"/>
  <c r="V19" i="108"/>
  <c r="T19" i="108"/>
  <c r="T36" i="105"/>
  <c r="V39" i="109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D39" i="107" l="1"/>
  <c r="T12" i="111"/>
  <c r="T13" i="111"/>
  <c r="V36" i="108"/>
  <c r="V22" i="93"/>
  <c r="AE24" i="98"/>
  <c r="U39" i="107"/>
  <c r="X42" i="109"/>
  <c r="AF10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D37" i="111" l="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4" i="111" l="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E42" i="111" s="1"/>
  <c r="AF40" i="111"/>
  <c r="AF42" i="111" s="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<sst xmlns="http://schemas.openxmlformats.org/spreadsheetml/2006/main" count="2373" uniqueCount="195">
  <si>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</si>
  <si>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</si>
  <si>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</si>
  <si>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</si>
  <si>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</si>
  <si>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</si>
  <si>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</si>
  <si>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</si>
  <si>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</si>
  <si>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</si>
  <si>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</si>
  <si>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</si>
  <si>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</si>
  <si>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</si>
  <si>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</si>
  <si>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</si>
  <si>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</si>
  <si>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</si>
  <si>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</si>
  <si>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</si>
  <si>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</si>
  <si>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</si>
  <si>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</si>
  <si>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</si>
  <si>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</si>
  <si>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</si>
  <si>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</si>
  <si>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</si>
  <si>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</si>
  <si>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</si>
  <si>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</si>
  <si>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</si>
  <si>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</si>
  <si>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</si>
  <si>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</si>
  <si>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</si>
  <si>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</si>
  <si>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</si>
  <si>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</si>
  <si>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</si>
  <si>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</si>
  <si>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</si>
  <si>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</si>
  <si>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</si>
  <si>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</si>
  <si>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</si>
  <si>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</si>
  <si>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</si>
  <si>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</si>
  <si>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</si>
  <si>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</si>
  <si>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</si>
  <si>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</si>
  <si>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</si>
  <si>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</si>
  <si>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</si>
  <si>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</si>
  <si>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</si>
  <si>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</si>
  <si>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</si>
  <si>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</si>
  <si>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</si>
  <si>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</si>
  <si>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</si>
  <si>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</si>
  <si>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</si>
  <si>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</si>
  <si>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</si>
  <si>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</si>
  <si>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</si>
  <si>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</si>
  <si>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</si>
  <si>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</si>
  <si>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</si>
  <si>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</si>
  <si>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</si>
  <si>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</si>
  <si>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</si>
  <si>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</si>
  <si>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</si>
  <si>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</si>
  <si>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</si>
  <si>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</si>
  <si>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</si>
  <si>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</si>
  <si>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</si>
  <si>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</si>
  <si>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</si>
  <si>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</si>
  <si>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</si>
  <si>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</si>
  <si>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</si>
  <si>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</si>
  <si>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</si>
  <si>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</si>
  <si>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</si>
  <si>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</si>
  <si>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</si>
  <si>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</si>
  <si>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</si>
  <si>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</si>
  <si>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</si>
  <si>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</si>
  <si>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</si>
  <si>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</si>
  <si>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</si>
  <si>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</si>
  <si>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</si>
  <si>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</si>
  <si>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</si>
  <si>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</si>
  <si>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</si>
  <si>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</si>
  <si>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</si>
  <si>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</si>
  <si>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</si>
  <si>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</si>
  <si>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</si>
  <si>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</si>
  <si>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</si>
  <si>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</si>
  <si>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</si>
  <si>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</si>
  <si>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</si>
  <si>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</si>
  <si>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</si>
  <si>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</si>
  <si>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</si>
  <si>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</si>
  <si>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</si>
  <si>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</si>
  <si>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</si>
  <si>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</si>
  <si>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</si>
  <si>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</si>
  <si>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</si>
  <si>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</si>
  <si>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</si>
  <si>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</si>
  <si>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</si>
  <si>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</si>
  <si>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</si>
  <si>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</si>
  <si>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</si>
  <si>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</si>
  <si>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</si>
  <si>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</si>
  <si>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</si>
  <si>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</si>
  <si>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</si>
  <si>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</si>
  <si>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</si>
  <si>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</si>
  <si>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</si>
  <si>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</si>
  <si>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</si>
  <si>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</si>
  <si>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</si>
  <si>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</si>
  <si>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</si>
  <si>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</si>
  <si>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</si>
  <si>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</si>
  <si>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C1 - STN46 - KATALIMA ROAD</t>
  </si>
  <si>
    <t>01.08.19</t>
  </si>
  <si>
    <t>NAGURU</t>
  </si>
  <si>
    <t>NAKAWA</t>
  </si>
  <si>
    <t>POLICE HEADQUATER</t>
  </si>
  <si>
    <t>MAISO MUHAMAD GADAFFI</t>
  </si>
  <si>
    <t>FELIX</t>
  </si>
  <si>
    <t xml:space="preserve">MBERE IVAN , HARRIET </t>
  </si>
  <si>
    <t>03.08.19</t>
  </si>
  <si>
    <t>LAWRENCE</t>
  </si>
  <si>
    <t>MBERE IVAN, NANSAMBA HARRIET</t>
  </si>
  <si>
    <t xml:space="preserve">NAKAWA </t>
  </si>
  <si>
    <t>NAKIWALA JUSTINE, MAISO MUHAMAD GADAFI</t>
  </si>
  <si>
    <t>2.08.19</t>
  </si>
  <si>
    <t>POLICE HEAD QUARTER 46</t>
  </si>
  <si>
    <t>MAISO M</t>
  </si>
  <si>
    <t>13: 15- 13:30</t>
  </si>
  <si>
    <t>01.00-01.15</t>
  </si>
  <si>
    <t>4.08.19</t>
  </si>
  <si>
    <t>MBERE I</t>
  </si>
  <si>
    <t>S</t>
  </si>
  <si>
    <t>HARRIET</t>
  </si>
  <si>
    <t>FLEX</t>
  </si>
  <si>
    <t>NAGURU POLICE HEAD QUARTER</t>
  </si>
  <si>
    <t>29.07.19</t>
  </si>
  <si>
    <t xml:space="preserve">NAGURU </t>
  </si>
  <si>
    <t>MAISO MUHAMAD, NAKIWALA JUSTINE</t>
  </si>
  <si>
    <t>30.07.19</t>
  </si>
  <si>
    <t xml:space="preserve">NAGURU  </t>
  </si>
  <si>
    <t>31.07.19</t>
  </si>
  <si>
    <t>HARRIET, MBERE IVAN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</si>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</sst>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Naguru-Nakawa'!$AE$10:$AE$21</c:f>
              <c:numCache>
                <c:formatCode>0</c:formatCode>
                <c:ptCount val="12"/>
                <c:pt idx="0">
                  <c:v>243</c:v>
                </c:pt>
                <c:pt idx="1">
                  <c:v>655</c:v>
                </c:pt>
                <c:pt idx="2">
                  <c:v>545</c:v>
                </c:pt>
                <c:pt idx="3">
                  <c:v>549</c:v>
                </c:pt>
                <c:pt idx="4">
                  <c:v>502</c:v>
                </c:pt>
                <c:pt idx="5">
                  <c:v>444</c:v>
                </c:pt>
                <c:pt idx="6">
                  <c:v>456</c:v>
                </c:pt>
                <c:pt idx="7">
                  <c:v>442</c:v>
                </c:pt>
                <c:pt idx="8">
                  <c:v>381</c:v>
                </c:pt>
                <c:pt idx="9">
                  <c:v>482</c:v>
                </c:pt>
                <c:pt idx="10">
                  <c:v>416</c:v>
                </c:pt>
                <c:pt idx="11">
                  <c:v>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Naguru-Nakawa'!$AF$10:$AF$21</c:f>
              <c:numCache>
                <c:formatCode>0</c:formatCode>
                <c:ptCount val="12"/>
                <c:pt idx="0">
                  <c:v>370</c:v>
                </c:pt>
                <c:pt idx="1">
                  <c:v>934</c:v>
                </c:pt>
                <c:pt idx="2">
                  <c:v>805</c:v>
                </c:pt>
                <c:pt idx="3">
                  <c:v>796</c:v>
                </c:pt>
                <c:pt idx="4">
                  <c:v>797</c:v>
                </c:pt>
                <c:pt idx="5">
                  <c:v>806</c:v>
                </c:pt>
                <c:pt idx="6">
                  <c:v>936</c:v>
                </c:pt>
                <c:pt idx="7">
                  <c:v>908</c:v>
                </c:pt>
                <c:pt idx="8">
                  <c:v>686</c:v>
                </c:pt>
                <c:pt idx="9">
                  <c:v>791</c:v>
                </c:pt>
                <c:pt idx="10">
                  <c:v>806</c:v>
                </c:pt>
                <c:pt idx="11">
                  <c:v>743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80520"/>
        <c:axId val="204911560"/>
      </c:lineChart>
      <c:catAx>
        <c:axId val="204880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911560"/>
        <c:crosses val="autoZero"/>
        <c:auto val="1"/>
        <c:lblAlgn val="ctr"/>
        <c:lblOffset val="100"/>
        <c:noMultiLvlLbl val="0"/>
      </c:catAx>
      <c:valAx>
        <c:axId val="204911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880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Naguru-Nakawa'!$C$59:$N$59</c:f>
              <c:numCache>
                <c:formatCode>0.0%</c:formatCode>
                <c:ptCount val="12"/>
                <c:pt idx="0">
                  <c:v>0.37310727233951801</c:v>
                </c:pt>
                <c:pt idx="1">
                  <c:v>8.8398379185327364E-2</c:v>
                </c:pt>
                <c:pt idx="2">
                  <c:v>4.9797398165920236E-2</c:v>
                </c:pt>
                <c:pt idx="3">
                  <c:v>4.8091277457880145E-2</c:v>
                </c:pt>
                <c:pt idx="4">
                  <c:v>1.0663254425250586E-4</c:v>
                </c:pt>
                <c:pt idx="5">
                  <c:v>0</c:v>
                </c:pt>
                <c:pt idx="6">
                  <c:v>1.8660695244188525E-2</c:v>
                </c:pt>
                <c:pt idx="7">
                  <c:v>5.4382597568777991E-3</c:v>
                </c:pt>
                <c:pt idx="8">
                  <c:v>1.3862230752825762E-3</c:v>
                </c:pt>
                <c:pt idx="9">
                  <c:v>0</c:v>
                </c:pt>
                <c:pt idx="10">
                  <c:v>0.41501386223075282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Naguru-Nakawa'!$C$60:$N$60</c:f>
              <c:numCache>
                <c:formatCode>0.00%</c:formatCode>
                <c:ptCount val="12"/>
                <c:pt idx="0">
                  <c:v>0.63780532263944589</c:v>
                </c:pt>
                <c:pt idx="1">
                  <c:v>0.15111192125410136</c:v>
                </c:pt>
                <c:pt idx="2">
                  <c:v>8.5125774699234422E-2</c:v>
                </c:pt>
                <c:pt idx="3">
                  <c:v>8.2209259934378415E-2</c:v>
                </c:pt>
                <c:pt idx="4">
                  <c:v>1.8228217280349981E-4</c:v>
                </c:pt>
                <c:pt idx="5">
                  <c:v>0</c:v>
                </c:pt>
                <c:pt idx="6">
                  <c:v>3.1899380240612465E-2</c:v>
                </c:pt>
                <c:pt idx="7">
                  <c:v>9.2963908129784899E-3</c:v>
                </c:pt>
                <c:pt idx="8">
                  <c:v>2.3696682464454978E-3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Nakawa-Naguru'!$AE$10:$AE$21</c:f>
              <c:numCache>
                <c:formatCode>0</c:formatCode>
                <c:ptCount val="12"/>
                <c:pt idx="0">
                  <c:v>112</c:v>
                </c:pt>
                <c:pt idx="1">
                  <c:v>186</c:v>
                </c:pt>
                <c:pt idx="2">
                  <c:v>198</c:v>
                </c:pt>
                <c:pt idx="3">
                  <c:v>230</c:v>
                </c:pt>
                <c:pt idx="4">
                  <c:v>375</c:v>
                </c:pt>
                <c:pt idx="5">
                  <c:v>520</c:v>
                </c:pt>
                <c:pt idx="6">
                  <c:v>546</c:v>
                </c:pt>
                <c:pt idx="7">
                  <c:v>701</c:v>
                </c:pt>
                <c:pt idx="8">
                  <c:v>707</c:v>
                </c:pt>
                <c:pt idx="9">
                  <c:v>951</c:v>
                </c:pt>
                <c:pt idx="10">
                  <c:v>1742</c:v>
                </c:pt>
                <c:pt idx="11">
                  <c:v>2398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Nakawa-Naguru'!$AF$10:$AF$21</c:f>
              <c:numCache>
                <c:formatCode>0</c:formatCode>
                <c:ptCount val="12"/>
                <c:pt idx="0">
                  <c:v>179</c:v>
                </c:pt>
                <c:pt idx="1">
                  <c:v>360</c:v>
                </c:pt>
                <c:pt idx="2">
                  <c:v>306</c:v>
                </c:pt>
                <c:pt idx="3">
                  <c:v>399</c:v>
                </c:pt>
                <c:pt idx="4">
                  <c:v>627</c:v>
                </c:pt>
                <c:pt idx="5">
                  <c:v>802</c:v>
                </c:pt>
                <c:pt idx="6">
                  <c:v>838</c:v>
                </c:pt>
                <c:pt idx="7">
                  <c:v>902</c:v>
                </c:pt>
                <c:pt idx="8">
                  <c:v>881</c:v>
                </c:pt>
                <c:pt idx="9">
                  <c:v>1133</c:v>
                </c:pt>
                <c:pt idx="10">
                  <c:v>1942</c:v>
                </c:pt>
                <c:pt idx="11">
                  <c:v>2781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910776"/>
        <c:axId val="204913128"/>
      </c:lineChart>
      <c:catAx>
        <c:axId val="204910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913128"/>
        <c:crosses val="autoZero"/>
        <c:auto val="1"/>
        <c:lblAlgn val="ctr"/>
        <c:lblOffset val="100"/>
        <c:noMultiLvlLbl val="0"/>
      </c:catAx>
      <c:valAx>
        <c:axId val="204913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910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Nakawa-Naguru'!$C$59:$N$59</c:f>
              <c:numCache>
                <c:formatCode>0.0%</c:formatCode>
                <c:ptCount val="12"/>
                <c:pt idx="0">
                  <c:v>0.4232286995515695</c:v>
                </c:pt>
                <c:pt idx="1">
                  <c:v>0.25067264573991033</c:v>
                </c:pt>
                <c:pt idx="2">
                  <c:v>5.6322869955156951E-2</c:v>
                </c:pt>
                <c:pt idx="3">
                  <c:v>3.5246636771300445E-2</c:v>
                </c:pt>
                <c:pt idx="4">
                  <c:v>1.7937219730941703E-4</c:v>
                </c:pt>
                <c:pt idx="5">
                  <c:v>3.5874439461883406E-4</c:v>
                </c:pt>
                <c:pt idx="6">
                  <c:v>8.2511210762331831E-3</c:v>
                </c:pt>
                <c:pt idx="7">
                  <c:v>2.0627802690582958E-3</c:v>
                </c:pt>
                <c:pt idx="8">
                  <c:v>2.6905829596412557E-4</c:v>
                </c:pt>
                <c:pt idx="9">
                  <c:v>5.3811659192825115E-4</c:v>
                </c:pt>
                <c:pt idx="10">
                  <c:v>0.22278026905829595</c:v>
                </c:pt>
                <c:pt idx="11">
                  <c:v>8.9686098654708516E-5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Nakawa-Naguru'!$S$9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Nakawa-Naguru'!$S$10:$S$21</c:f>
              <c:numCache>
                <c:formatCode>0</c:formatCode>
                <c:ptCount val="12"/>
                <c:pt idx="0">
                  <c:v>51</c:v>
                </c:pt>
                <c:pt idx="1">
                  <c:v>67</c:v>
                </c:pt>
                <c:pt idx="2">
                  <c:v>74</c:v>
                </c:pt>
                <c:pt idx="3">
                  <c:v>82</c:v>
                </c:pt>
                <c:pt idx="4">
                  <c:v>168</c:v>
                </c:pt>
                <c:pt idx="5">
                  <c:v>222</c:v>
                </c:pt>
                <c:pt idx="6">
                  <c:v>202</c:v>
                </c:pt>
                <c:pt idx="7">
                  <c:v>224</c:v>
                </c:pt>
                <c:pt idx="8">
                  <c:v>288</c:v>
                </c:pt>
                <c:pt idx="9">
                  <c:v>448</c:v>
                </c:pt>
                <c:pt idx="10">
                  <c:v>1044</c:v>
                </c:pt>
                <c:pt idx="11">
                  <c:v>1849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Nakawa-Naguru'!$T$9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Nakawa-Naguru'!$T$10:$T$21</c:f>
              <c:numCache>
                <c:formatCode>0</c:formatCode>
                <c:ptCount val="12"/>
                <c:pt idx="0">
                  <c:v>24</c:v>
                </c:pt>
                <c:pt idx="1">
                  <c:v>45</c:v>
                </c:pt>
                <c:pt idx="2">
                  <c:v>53</c:v>
                </c:pt>
                <c:pt idx="3">
                  <c:v>69</c:v>
                </c:pt>
                <c:pt idx="4">
                  <c:v>129</c:v>
                </c:pt>
                <c:pt idx="5">
                  <c:v>190</c:v>
                </c:pt>
                <c:pt idx="6">
                  <c:v>240</c:v>
                </c:pt>
                <c:pt idx="7">
                  <c:v>326</c:v>
                </c:pt>
                <c:pt idx="8">
                  <c:v>314</c:v>
                </c:pt>
                <c:pt idx="9">
                  <c:v>373</c:v>
                </c:pt>
                <c:pt idx="10">
                  <c:v>587</c:v>
                </c:pt>
                <c:pt idx="11">
                  <c:v>445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Nakawa-Naguru'!$U$9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Nakawa-Naguru'!$U$10:$U$21</c:f>
              <c:numCache>
                <c:formatCode>0</c:formatCode>
                <c:ptCount val="12"/>
                <c:pt idx="0">
                  <c:v>20</c:v>
                </c:pt>
                <c:pt idx="1">
                  <c:v>14</c:v>
                </c:pt>
                <c:pt idx="2">
                  <c:v>16</c:v>
                </c:pt>
                <c:pt idx="3">
                  <c:v>24</c:v>
                </c:pt>
                <c:pt idx="4">
                  <c:v>33</c:v>
                </c:pt>
                <c:pt idx="5">
                  <c:v>65</c:v>
                </c:pt>
                <c:pt idx="6">
                  <c:v>71</c:v>
                </c:pt>
                <c:pt idx="7">
                  <c:v>89</c:v>
                </c:pt>
                <c:pt idx="8">
                  <c:v>76</c:v>
                </c:pt>
                <c:pt idx="9">
                  <c:v>98</c:v>
                </c:pt>
                <c:pt idx="10">
                  <c:v>76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Nakawa-Naguru'!$V$9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Nakawa-Naguru'!$V$10:$V$21</c:f>
              <c:numCache>
                <c:formatCode>0</c:formatCode>
                <c:ptCount val="12"/>
                <c:pt idx="0">
                  <c:v>15</c:v>
                </c:pt>
                <c:pt idx="1">
                  <c:v>54</c:v>
                </c:pt>
                <c:pt idx="2">
                  <c:v>46</c:v>
                </c:pt>
                <c:pt idx="3">
                  <c:v>30</c:v>
                </c:pt>
                <c:pt idx="4">
                  <c:v>28</c:v>
                </c:pt>
                <c:pt idx="5">
                  <c:v>25</c:v>
                </c:pt>
                <c:pt idx="6">
                  <c:v>18</c:v>
                </c:pt>
                <c:pt idx="7">
                  <c:v>59</c:v>
                </c:pt>
                <c:pt idx="8">
                  <c:v>15</c:v>
                </c:pt>
                <c:pt idx="9">
                  <c:v>26</c:v>
                </c:pt>
                <c:pt idx="10">
                  <c:v>28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Nakawa-Naguru'!$W$9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Nakawa-Naguru'!$X$9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Nakawa-Naguru'!$Y$9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Nakawa-Naguru'!$Y$10:$Y$21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18</c:v>
                </c:pt>
                <c:pt idx="4">
                  <c:v>14</c:v>
                </c:pt>
                <c:pt idx="5">
                  <c:v>14</c:v>
                </c:pt>
                <c:pt idx="6">
                  <c:v>6</c:v>
                </c:pt>
                <c:pt idx="7">
                  <c:v>1</c:v>
                </c:pt>
                <c:pt idx="8">
                  <c:v>12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Nakawa-Naguru'!$Z$9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Nakawa-Naguru'!$AA$9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Nakawa-Naguru'!$AB$9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Nakawa-Naguru'!$AC$9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Nakawa-Naguru'!$AC$10:$AC$21</c:f>
              <c:numCache>
                <c:formatCode>0</c:formatCode>
                <c:ptCount val="12"/>
                <c:pt idx="0">
                  <c:v>67</c:v>
                </c:pt>
                <c:pt idx="1">
                  <c:v>174</c:v>
                </c:pt>
                <c:pt idx="2">
                  <c:v>108</c:v>
                </c:pt>
                <c:pt idx="3">
                  <c:v>169</c:v>
                </c:pt>
                <c:pt idx="4">
                  <c:v>252</c:v>
                </c:pt>
                <c:pt idx="5">
                  <c:v>282</c:v>
                </c:pt>
                <c:pt idx="6">
                  <c:v>292</c:v>
                </c:pt>
                <c:pt idx="7">
                  <c:v>201</c:v>
                </c:pt>
                <c:pt idx="8">
                  <c:v>174</c:v>
                </c:pt>
                <c:pt idx="9">
                  <c:v>182</c:v>
                </c:pt>
                <c:pt idx="10">
                  <c:v>200</c:v>
                </c:pt>
                <c:pt idx="11">
                  <c:v>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Nakawa-Naguru'!$AD$9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Nakawa-Naguru'!$AD$10:$AD$21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412208"/>
        <c:axId val="205414168"/>
      </c:lineChart>
      <c:catAx>
        <c:axId val="20541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4168"/>
        <c:crosses val="autoZero"/>
        <c:auto val="1"/>
        <c:lblAlgn val="ctr"/>
        <c:lblOffset val="100"/>
        <c:noMultiLvlLbl val="0"/>
      </c:catAx>
      <c:valAx>
        <c:axId val="205414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Nakawa-Naguru'!$C$60:$N$60</c:f>
              <c:numCache>
                <c:formatCode>0.00%</c:formatCode>
                <c:ptCount val="12"/>
                <c:pt idx="0">
                  <c:v>0.544541887837526</c:v>
                </c:pt>
                <c:pt idx="1">
                  <c:v>0.32252480960073854</c:v>
                </c:pt>
                <c:pt idx="2">
                  <c:v>7.2467112854834981E-2</c:v>
                </c:pt>
                <c:pt idx="3">
                  <c:v>4.5349642280175399E-2</c:v>
                </c:pt>
                <c:pt idx="4">
                  <c:v>2.3078698361412417E-4</c:v>
                </c:pt>
                <c:pt idx="5">
                  <c:v>4.6157396722824835E-4</c:v>
                </c:pt>
                <c:pt idx="6">
                  <c:v>1.0616201246249712E-2</c:v>
                </c:pt>
                <c:pt idx="7">
                  <c:v>2.654050311562428E-3</c:v>
                </c:pt>
                <c:pt idx="8">
                  <c:v>3.4618047542118622E-4</c:v>
                </c:pt>
                <c:pt idx="9">
                  <c:v>6.9236095084237244E-4</c:v>
                </c:pt>
                <c:pt idx="11">
                  <c:v>1.1539349180706209E-4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Naguru-Nakawa'!$AE$10:$AE$21</c:f>
              <c:numCache>
                <c:formatCode>0</c:formatCode>
                <c:ptCount val="12"/>
                <c:pt idx="0">
                  <c:v>692</c:v>
                </c:pt>
                <c:pt idx="1">
                  <c:v>954</c:v>
                </c:pt>
                <c:pt idx="2">
                  <c:v>745</c:v>
                </c:pt>
                <c:pt idx="3">
                  <c:v>754</c:v>
                </c:pt>
                <c:pt idx="4">
                  <c:v>543</c:v>
                </c:pt>
                <c:pt idx="5">
                  <c:v>669</c:v>
                </c:pt>
                <c:pt idx="6">
                  <c:v>445</c:v>
                </c:pt>
                <c:pt idx="7">
                  <c:v>451</c:v>
                </c:pt>
                <c:pt idx="8">
                  <c:v>632</c:v>
                </c:pt>
                <c:pt idx="9">
                  <c:v>344</c:v>
                </c:pt>
                <c:pt idx="10">
                  <c:v>243</c:v>
                </c:pt>
                <c:pt idx="11">
                  <c:v>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Naguru-Nakawa'!$AF$10:$AF$21</c:f>
              <c:numCache>
                <c:formatCode>0</c:formatCode>
                <c:ptCount val="12"/>
                <c:pt idx="0">
                  <c:v>849</c:v>
                </c:pt>
                <c:pt idx="1">
                  <c:v>1407</c:v>
                </c:pt>
                <c:pt idx="2">
                  <c:v>1247</c:v>
                </c:pt>
                <c:pt idx="3">
                  <c:v>1087</c:v>
                </c:pt>
                <c:pt idx="4">
                  <c:v>900</c:v>
                </c:pt>
                <c:pt idx="5">
                  <c:v>959</c:v>
                </c:pt>
                <c:pt idx="6">
                  <c:v>673</c:v>
                </c:pt>
                <c:pt idx="7">
                  <c:v>767</c:v>
                </c:pt>
                <c:pt idx="8">
                  <c:v>951</c:v>
                </c:pt>
                <c:pt idx="9">
                  <c:v>628</c:v>
                </c:pt>
                <c:pt idx="10">
                  <c:v>606</c:v>
                </c:pt>
                <c:pt idx="11">
                  <c:v>585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412600"/>
        <c:axId val="205414952"/>
      </c:lineChart>
      <c:catAx>
        <c:axId val="205412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4952"/>
        <c:crosses val="autoZero"/>
        <c:auto val="1"/>
        <c:lblAlgn val="ctr"/>
        <c:lblOffset val="100"/>
        <c:noMultiLvlLbl val="0"/>
      </c:catAx>
      <c:valAx>
        <c:axId val="205414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2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Naguru-Nakawa'!$C$59:$N$59</c:f>
              <c:numCache>
                <c:formatCode>0.0%</c:formatCode>
                <c:ptCount val="12"/>
                <c:pt idx="0">
                  <c:v>0.42105263157894735</c:v>
                </c:pt>
                <c:pt idx="1">
                  <c:v>9.7663945961159584E-2</c:v>
                </c:pt>
                <c:pt idx="2">
                  <c:v>4.6158176189135938E-2</c:v>
                </c:pt>
                <c:pt idx="3">
                  <c:v>4.2030209212871754E-2</c:v>
                </c:pt>
                <c:pt idx="4">
                  <c:v>9.3817431278731586E-5</c:v>
                </c:pt>
                <c:pt idx="5">
                  <c:v>4.6908715639365793E-4</c:v>
                </c:pt>
                <c:pt idx="6">
                  <c:v>1.6324233042499296E-2</c:v>
                </c:pt>
                <c:pt idx="7">
                  <c:v>3.8465146824279953E-3</c:v>
                </c:pt>
                <c:pt idx="8">
                  <c:v>4.6908715639365793E-4</c:v>
                </c:pt>
                <c:pt idx="9">
                  <c:v>0</c:v>
                </c:pt>
                <c:pt idx="10">
                  <c:v>0.36485599024298715</c:v>
                </c:pt>
                <c:pt idx="11">
                  <c:v>7.0363073459048693E-3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Naguru-Nakawa'!$S$9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Naguru-Nakawa'!$S$10:$S$21</c:f>
              <c:numCache>
                <c:formatCode>0</c:formatCode>
                <c:ptCount val="12"/>
                <c:pt idx="0">
                  <c:v>380</c:v>
                </c:pt>
                <c:pt idx="1">
                  <c:v>695</c:v>
                </c:pt>
                <c:pt idx="2">
                  <c:v>499</c:v>
                </c:pt>
                <c:pt idx="3">
                  <c:v>560</c:v>
                </c:pt>
                <c:pt idx="4">
                  <c:v>325</c:v>
                </c:pt>
                <c:pt idx="5">
                  <c:v>459</c:v>
                </c:pt>
                <c:pt idx="6">
                  <c:v>309</c:v>
                </c:pt>
                <c:pt idx="7">
                  <c:v>325</c:v>
                </c:pt>
                <c:pt idx="8">
                  <c:v>454</c:v>
                </c:pt>
                <c:pt idx="9">
                  <c:v>179</c:v>
                </c:pt>
                <c:pt idx="10">
                  <c:v>148</c:v>
                </c:pt>
                <c:pt idx="11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Naguru-Nakawa'!$T$9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Naguru-Nakawa'!$T$10:$T$21</c:f>
              <c:numCache>
                <c:formatCode>0</c:formatCode>
                <c:ptCount val="12"/>
                <c:pt idx="0">
                  <c:v>142</c:v>
                </c:pt>
                <c:pt idx="1">
                  <c:v>121</c:v>
                </c:pt>
                <c:pt idx="2">
                  <c:v>132</c:v>
                </c:pt>
                <c:pt idx="3">
                  <c:v>91</c:v>
                </c:pt>
                <c:pt idx="4">
                  <c:v>99</c:v>
                </c:pt>
                <c:pt idx="5">
                  <c:v>90</c:v>
                </c:pt>
                <c:pt idx="6">
                  <c:v>52</c:v>
                </c:pt>
                <c:pt idx="7">
                  <c:v>46</c:v>
                </c:pt>
                <c:pt idx="8">
                  <c:v>78</c:v>
                </c:pt>
                <c:pt idx="9">
                  <c:v>64</c:v>
                </c:pt>
                <c:pt idx="10">
                  <c:v>27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Naguru-Nakawa'!$U$9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Naguru-Nakawa'!$U$10:$U$21</c:f>
              <c:numCache>
                <c:formatCode>0</c:formatCode>
                <c:ptCount val="12"/>
                <c:pt idx="0">
                  <c:v>41</c:v>
                </c:pt>
                <c:pt idx="1">
                  <c:v>68</c:v>
                </c:pt>
                <c:pt idx="2">
                  <c:v>52</c:v>
                </c:pt>
                <c:pt idx="3">
                  <c:v>47</c:v>
                </c:pt>
                <c:pt idx="4">
                  <c:v>53</c:v>
                </c:pt>
                <c:pt idx="5">
                  <c:v>46</c:v>
                </c:pt>
                <c:pt idx="6">
                  <c:v>37</c:v>
                </c:pt>
                <c:pt idx="7">
                  <c:v>34</c:v>
                </c:pt>
                <c:pt idx="8">
                  <c:v>36</c:v>
                </c:pt>
                <c:pt idx="9">
                  <c:v>38</c:v>
                </c:pt>
                <c:pt idx="10">
                  <c:v>15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Naguru-Nakawa'!$V$9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Naguru-Nakawa'!$V$10:$V$21</c:f>
              <c:numCache>
                <c:formatCode>0</c:formatCode>
                <c:ptCount val="12"/>
                <c:pt idx="0">
                  <c:v>53</c:v>
                </c:pt>
                <c:pt idx="1">
                  <c:v>49</c:v>
                </c:pt>
                <c:pt idx="2">
                  <c:v>45</c:v>
                </c:pt>
                <c:pt idx="3">
                  <c:v>36</c:v>
                </c:pt>
                <c:pt idx="4">
                  <c:v>36</c:v>
                </c:pt>
                <c:pt idx="5">
                  <c:v>47</c:v>
                </c:pt>
                <c:pt idx="6">
                  <c:v>27</c:v>
                </c:pt>
                <c:pt idx="7">
                  <c:v>26</c:v>
                </c:pt>
                <c:pt idx="8">
                  <c:v>45</c:v>
                </c:pt>
                <c:pt idx="9">
                  <c:v>42</c:v>
                </c:pt>
                <c:pt idx="10">
                  <c:v>29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Naguru-Nakawa'!$W$9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Naguru-Nakawa'!$X$9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Naguru-Nakawa'!$Y$9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Naguru-Nakawa'!$Y$10:$Y$21</c:f>
              <c:numCache>
                <c:formatCode>0</c:formatCode>
                <c:ptCount val="12"/>
                <c:pt idx="0">
                  <c:v>3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26</c:v>
                </c:pt>
                <c:pt idx="5">
                  <c:v>19</c:v>
                </c:pt>
                <c:pt idx="6">
                  <c:v>18</c:v>
                </c:pt>
                <c:pt idx="7">
                  <c:v>14</c:v>
                </c:pt>
                <c:pt idx="8">
                  <c:v>16</c:v>
                </c:pt>
                <c:pt idx="9">
                  <c:v>15</c:v>
                </c:pt>
                <c:pt idx="10">
                  <c:v>17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Naguru-Nakawa'!$Z$9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Naguru-Nakawa'!$Z$10:$Z$21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7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Naguru-Nakawa'!$AA$9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Naguru-Nakawa'!$AB$9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Naguru-Nakawa'!$AC$9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Naguru-Nakawa'!$AC$10:$AC$21</c:f>
              <c:numCache>
                <c:formatCode>0</c:formatCode>
                <c:ptCount val="12"/>
                <c:pt idx="0">
                  <c:v>157</c:v>
                </c:pt>
                <c:pt idx="1">
                  <c:v>453</c:v>
                </c:pt>
                <c:pt idx="2">
                  <c:v>502</c:v>
                </c:pt>
                <c:pt idx="3">
                  <c:v>333</c:v>
                </c:pt>
                <c:pt idx="4">
                  <c:v>357</c:v>
                </c:pt>
                <c:pt idx="5">
                  <c:v>290</c:v>
                </c:pt>
                <c:pt idx="6">
                  <c:v>228</c:v>
                </c:pt>
                <c:pt idx="7">
                  <c:v>316</c:v>
                </c:pt>
                <c:pt idx="8">
                  <c:v>319</c:v>
                </c:pt>
                <c:pt idx="9">
                  <c:v>284</c:v>
                </c:pt>
                <c:pt idx="10">
                  <c:v>363</c:v>
                </c:pt>
                <c:pt idx="11">
                  <c:v>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Naguru-Nakawa'!$AD$9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Naguru-Nakawa'!$AD$10:$AD$21</c:f>
              <c:numCache>
                <c:formatCode>0</c:formatCode>
                <c:ptCount val="12"/>
                <c:pt idx="0">
                  <c:v>72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413384"/>
        <c:axId val="205411424"/>
      </c:lineChart>
      <c:catAx>
        <c:axId val="205413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1424"/>
        <c:crosses val="autoZero"/>
        <c:auto val="1"/>
        <c:lblAlgn val="ctr"/>
        <c:lblOffset val="100"/>
        <c:noMultiLvlLbl val="0"/>
      </c:catAx>
      <c:valAx>
        <c:axId val="20541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3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Naguru-Nakawa'!$C$60:$N$60</c:f>
              <c:numCache>
                <c:formatCode>0.00%</c:formatCode>
                <c:ptCount val="12"/>
                <c:pt idx="0">
                  <c:v>0.66292466765140323</c:v>
                </c:pt>
                <c:pt idx="1">
                  <c:v>0.15376661742983752</c:v>
                </c:pt>
                <c:pt idx="2">
                  <c:v>7.2673559822747411E-2</c:v>
                </c:pt>
                <c:pt idx="3">
                  <c:v>6.617429837518464E-2</c:v>
                </c:pt>
                <c:pt idx="4">
                  <c:v>1.4771048744460856E-4</c:v>
                </c:pt>
                <c:pt idx="5">
                  <c:v>7.3855243722304289E-4</c:v>
                </c:pt>
                <c:pt idx="6">
                  <c:v>2.5701624815361892E-2</c:v>
                </c:pt>
                <c:pt idx="7">
                  <c:v>6.0561299852289509E-3</c:v>
                </c:pt>
                <c:pt idx="8">
                  <c:v>7.3855243722304289E-4</c:v>
                </c:pt>
                <c:pt idx="9">
                  <c:v>0</c:v>
                </c:pt>
                <c:pt idx="11">
                  <c:v>1.1078286558345642E-2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Nakawa-Naguru'!$AE$10:$AE$21</c:f>
              <c:numCache>
                <c:formatCode>0</c:formatCode>
                <c:ptCount val="12"/>
                <c:pt idx="0">
                  <c:v>288</c:v>
                </c:pt>
                <c:pt idx="1">
                  <c:v>415</c:v>
                </c:pt>
                <c:pt idx="2">
                  <c:v>348</c:v>
                </c:pt>
                <c:pt idx="3">
                  <c:v>404</c:v>
                </c:pt>
                <c:pt idx="4">
                  <c:v>373</c:v>
                </c:pt>
                <c:pt idx="5">
                  <c:v>499</c:v>
                </c:pt>
                <c:pt idx="6">
                  <c:v>458</c:v>
                </c:pt>
                <c:pt idx="7">
                  <c:v>496</c:v>
                </c:pt>
                <c:pt idx="8">
                  <c:v>730</c:v>
                </c:pt>
                <c:pt idx="9">
                  <c:v>1046</c:v>
                </c:pt>
                <c:pt idx="10">
                  <c:v>1200</c:v>
                </c:pt>
                <c:pt idx="11">
                  <c:v>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Nakawa-Naguru'!$AF$10:$AF$21</c:f>
              <c:numCache>
                <c:formatCode>0</c:formatCode>
                <c:ptCount val="12"/>
                <c:pt idx="0">
                  <c:v>512</c:v>
                </c:pt>
                <c:pt idx="1">
                  <c:v>762</c:v>
                </c:pt>
                <c:pt idx="2">
                  <c:v>604</c:v>
                </c:pt>
                <c:pt idx="3">
                  <c:v>696</c:v>
                </c:pt>
                <c:pt idx="4">
                  <c:v>531</c:v>
                </c:pt>
                <c:pt idx="5">
                  <c:v>778</c:v>
                </c:pt>
                <c:pt idx="6">
                  <c:v>733</c:v>
                </c:pt>
                <c:pt idx="7">
                  <c:v>710</c:v>
                </c:pt>
                <c:pt idx="8">
                  <c:v>940</c:v>
                </c:pt>
                <c:pt idx="9">
                  <c:v>1276</c:v>
                </c:pt>
                <c:pt idx="10">
                  <c:v>1442</c:v>
                </c:pt>
                <c:pt idx="11">
                  <c:v>1164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413776"/>
        <c:axId val="205415736"/>
      </c:lineChart>
      <c:catAx>
        <c:axId val="205413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5736"/>
        <c:crosses val="autoZero"/>
        <c:auto val="1"/>
        <c:lblAlgn val="ctr"/>
        <c:lblOffset val="100"/>
        <c:noMultiLvlLbl val="0"/>
      </c:catAx>
      <c:valAx>
        <c:axId val="205415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Nakawa-Naguru'!$C$59:$N$59</c:f>
              <c:numCache>
                <c:formatCode>0.0%</c:formatCode>
                <c:ptCount val="12"/>
                <c:pt idx="0">
                  <c:v>0.30390224674812771</c:v>
                </c:pt>
                <c:pt idx="1">
                  <c:v>0.27808435159637368</c:v>
                </c:pt>
                <c:pt idx="2">
                  <c:v>6.4150571541190388E-2</c:v>
                </c:pt>
                <c:pt idx="3">
                  <c:v>4.1781631848640123E-2</c:v>
                </c:pt>
                <c:pt idx="4">
                  <c:v>6.8979109184075682E-4</c:v>
                </c:pt>
                <c:pt idx="5">
                  <c:v>3.9416633819471815E-4</c:v>
                </c:pt>
                <c:pt idx="6">
                  <c:v>9.8541584548679541E-3</c:v>
                </c:pt>
                <c:pt idx="7">
                  <c:v>3.448955459203784E-3</c:v>
                </c:pt>
                <c:pt idx="8">
                  <c:v>8.868742609381159E-4</c:v>
                </c:pt>
                <c:pt idx="9">
                  <c:v>9.8541584548679539E-5</c:v>
                </c:pt>
                <c:pt idx="10">
                  <c:v>0.29631454473787938</c:v>
                </c:pt>
                <c:pt idx="11">
                  <c:v>3.9416633819471815E-4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Nakawa-Naguru'!$S$9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Nakawa-Naguru'!$S$10:$S$21</c:f>
              <c:numCache>
                <c:formatCode>0</c:formatCode>
                <c:ptCount val="12"/>
                <c:pt idx="0">
                  <c:v>160</c:v>
                </c:pt>
                <c:pt idx="1">
                  <c:v>165</c:v>
                </c:pt>
                <c:pt idx="2">
                  <c:v>91</c:v>
                </c:pt>
                <c:pt idx="3">
                  <c:v>175</c:v>
                </c:pt>
                <c:pt idx="4">
                  <c:v>142</c:v>
                </c:pt>
                <c:pt idx="5">
                  <c:v>223</c:v>
                </c:pt>
                <c:pt idx="6">
                  <c:v>197</c:v>
                </c:pt>
                <c:pt idx="7">
                  <c:v>213</c:v>
                </c:pt>
                <c:pt idx="8">
                  <c:v>341</c:v>
                </c:pt>
                <c:pt idx="9">
                  <c:v>483</c:v>
                </c:pt>
                <c:pt idx="10">
                  <c:v>521</c:v>
                </c:pt>
                <c:pt idx="11">
                  <c:v>373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Nakawa-Naguru'!$T$9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Nakawa-Naguru'!$T$10:$T$21</c:f>
              <c:numCache>
                <c:formatCode>0</c:formatCode>
                <c:ptCount val="12"/>
                <c:pt idx="0">
                  <c:v>67</c:v>
                </c:pt>
                <c:pt idx="1">
                  <c:v>154</c:v>
                </c:pt>
                <c:pt idx="2">
                  <c:v>142</c:v>
                </c:pt>
                <c:pt idx="3">
                  <c:v>129</c:v>
                </c:pt>
                <c:pt idx="4">
                  <c:v>143</c:v>
                </c:pt>
                <c:pt idx="5">
                  <c:v>182</c:v>
                </c:pt>
                <c:pt idx="6">
                  <c:v>194</c:v>
                </c:pt>
                <c:pt idx="7">
                  <c:v>185</c:v>
                </c:pt>
                <c:pt idx="8">
                  <c:v>282</c:v>
                </c:pt>
                <c:pt idx="9">
                  <c:v>443</c:v>
                </c:pt>
                <c:pt idx="10">
                  <c:v>519</c:v>
                </c:pt>
                <c:pt idx="11">
                  <c:v>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Nakawa-Naguru'!$U$9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Nakawa-Naguru'!$U$10:$U$21</c:f>
              <c:numCache>
                <c:formatCode>0</c:formatCode>
                <c:ptCount val="12"/>
                <c:pt idx="0">
                  <c:v>22</c:v>
                </c:pt>
                <c:pt idx="1">
                  <c:v>28</c:v>
                </c:pt>
                <c:pt idx="2">
                  <c:v>63</c:v>
                </c:pt>
                <c:pt idx="3">
                  <c:v>58</c:v>
                </c:pt>
                <c:pt idx="4">
                  <c:v>43</c:v>
                </c:pt>
                <c:pt idx="5">
                  <c:v>58</c:v>
                </c:pt>
                <c:pt idx="6">
                  <c:v>28</c:v>
                </c:pt>
                <c:pt idx="7">
                  <c:v>54</c:v>
                </c:pt>
                <c:pt idx="8">
                  <c:v>66</c:v>
                </c:pt>
                <c:pt idx="9">
                  <c:v>73</c:v>
                </c:pt>
                <c:pt idx="10">
                  <c:v>87</c:v>
                </c:pt>
                <c:pt idx="1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Nakawa-Naguru'!$V$9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Nakawa-Naguru'!$V$10:$V$21</c:f>
              <c:numCache>
                <c:formatCode>0</c:formatCode>
                <c:ptCount val="12"/>
                <c:pt idx="0">
                  <c:v>32</c:v>
                </c:pt>
                <c:pt idx="1">
                  <c:v>54</c:v>
                </c:pt>
                <c:pt idx="2">
                  <c:v>34</c:v>
                </c:pt>
                <c:pt idx="3">
                  <c:v>21</c:v>
                </c:pt>
                <c:pt idx="4">
                  <c:v>26</c:v>
                </c:pt>
                <c:pt idx="5">
                  <c:v>26</c:v>
                </c:pt>
                <c:pt idx="6">
                  <c:v>24</c:v>
                </c:pt>
                <c:pt idx="7">
                  <c:v>32</c:v>
                </c:pt>
                <c:pt idx="8">
                  <c:v>27</c:v>
                </c:pt>
                <c:pt idx="9">
                  <c:v>38</c:v>
                </c:pt>
                <c:pt idx="10">
                  <c:v>59</c:v>
                </c:pt>
                <c:pt idx="11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Nakawa-Naguru'!$W$9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Nakawa-Naguru'!$X$9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Nakawa-Naguru'!$Y$9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Nakawa-Naguru'!$Y$10:$Y$21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14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12</c:v>
                </c:pt>
                <c:pt idx="8">
                  <c:v>11</c:v>
                </c:pt>
                <c:pt idx="9">
                  <c:v>4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Nakawa-Naguru'!$Z$9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9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Nakawa-Naguru'!$AA$9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Nakawa-Naguru'!$AB$9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Nakawa-Naguru'!$AC$9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Nakawa-Naguru'!$AC$10:$AC$21</c:f>
              <c:numCache>
                <c:formatCode>0</c:formatCode>
                <c:ptCount val="12"/>
                <c:pt idx="0">
                  <c:v>224</c:v>
                </c:pt>
                <c:pt idx="1">
                  <c:v>347</c:v>
                </c:pt>
                <c:pt idx="2">
                  <c:v>256</c:v>
                </c:pt>
                <c:pt idx="3">
                  <c:v>292</c:v>
                </c:pt>
                <c:pt idx="4">
                  <c:v>158</c:v>
                </c:pt>
                <c:pt idx="5">
                  <c:v>279</c:v>
                </c:pt>
                <c:pt idx="6">
                  <c:v>275</c:v>
                </c:pt>
                <c:pt idx="7">
                  <c:v>214</c:v>
                </c:pt>
                <c:pt idx="8">
                  <c:v>210</c:v>
                </c:pt>
                <c:pt idx="9">
                  <c:v>230</c:v>
                </c:pt>
                <c:pt idx="10">
                  <c:v>242</c:v>
                </c:pt>
                <c:pt idx="11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Nakawa-Naguru'!$AD$9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Nakawa-Naguru'!$AD$10:$AD$21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417696"/>
        <c:axId val="205418088"/>
      </c:lineChart>
      <c:catAx>
        <c:axId val="20541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8088"/>
        <c:crosses val="autoZero"/>
        <c:auto val="1"/>
        <c:lblAlgn val="ctr"/>
        <c:lblOffset val="100"/>
        <c:noMultiLvlLbl val="0"/>
      </c:catAx>
      <c:valAx>
        <c:axId val="20541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1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Nakawa-Naguru'!$C$60:$N$60</c:f>
              <c:numCache>
                <c:formatCode>0.00%</c:formatCode>
                <c:ptCount val="12"/>
                <c:pt idx="0">
                  <c:v>0.43187228679456657</c:v>
                </c:pt>
                <c:pt idx="1">
                  <c:v>0.39518274751435373</c:v>
                </c:pt>
                <c:pt idx="2">
                  <c:v>9.1163702562666288E-2</c:v>
                </c:pt>
                <c:pt idx="3">
                  <c:v>5.9375437613779586E-2</c:v>
                </c:pt>
                <c:pt idx="4">
                  <c:v>9.8025486626522888E-4</c:v>
                </c:pt>
                <c:pt idx="5">
                  <c:v>5.6014563786584517E-4</c:v>
                </c:pt>
                <c:pt idx="6">
                  <c:v>1.4003640946646127E-2</c:v>
                </c:pt>
                <c:pt idx="7">
                  <c:v>4.9012743313261451E-3</c:v>
                </c:pt>
                <c:pt idx="8">
                  <c:v>1.2603276851981516E-3</c:v>
                </c:pt>
                <c:pt idx="9">
                  <c:v>1.4003640946646129E-4</c:v>
                </c:pt>
                <c:pt idx="11">
                  <c:v>5.6014563786584517E-4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Naguru-Nakawa'!$AE$10:$AE$21</c:f>
              <c:numCache>
                <c:formatCode>0</c:formatCode>
                <c:ptCount val="12"/>
                <c:pt idx="0">
                  <c:v>805</c:v>
                </c:pt>
                <c:pt idx="1">
                  <c:v>969</c:v>
                </c:pt>
                <c:pt idx="2">
                  <c:v>651</c:v>
                </c:pt>
                <c:pt idx="3">
                  <c:v>700</c:v>
                </c:pt>
                <c:pt idx="4">
                  <c:v>590</c:v>
                </c:pt>
                <c:pt idx="5">
                  <c:v>650</c:v>
                </c:pt>
                <c:pt idx="6">
                  <c:v>555</c:v>
                </c:pt>
                <c:pt idx="7">
                  <c:v>418</c:v>
                </c:pt>
                <c:pt idx="8">
                  <c:v>495</c:v>
                </c:pt>
                <c:pt idx="9">
                  <c:v>495</c:v>
                </c:pt>
                <c:pt idx="10">
                  <c:v>565</c:v>
                </c:pt>
                <c:pt idx="11">
                  <c:v>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Naguru-Nakawa'!$AF$10:$AF$21</c:f>
              <c:numCache>
                <c:formatCode>0</c:formatCode>
                <c:ptCount val="12"/>
                <c:pt idx="0">
                  <c:v>1085</c:v>
                </c:pt>
                <c:pt idx="1">
                  <c:v>1419</c:v>
                </c:pt>
                <c:pt idx="2">
                  <c:v>1011</c:v>
                </c:pt>
                <c:pt idx="3">
                  <c:v>1014</c:v>
                </c:pt>
                <c:pt idx="4">
                  <c:v>831</c:v>
                </c:pt>
                <c:pt idx="5">
                  <c:v>948</c:v>
                </c:pt>
                <c:pt idx="6">
                  <c:v>785</c:v>
                </c:pt>
                <c:pt idx="7">
                  <c:v>641</c:v>
                </c:pt>
                <c:pt idx="8">
                  <c:v>751</c:v>
                </c:pt>
                <c:pt idx="9">
                  <c:v>782</c:v>
                </c:pt>
                <c:pt idx="10">
                  <c:v>970</c:v>
                </c:pt>
                <c:pt idx="11">
                  <c:v>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61728"/>
        <c:axId val="206562120"/>
      </c:lineChart>
      <c:catAx>
        <c:axId val="206561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62120"/>
        <c:crosses val="autoZero"/>
        <c:auto val="1"/>
        <c:lblAlgn val="ctr"/>
        <c:lblOffset val="100"/>
        <c:noMultiLvlLbl val="0"/>
      </c:catAx>
      <c:valAx>
        <c:axId val="206562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6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Naguru-Nakawa'!$C$59:$N$59</c:f>
              <c:numCache>
                <c:formatCode>0.0%</c:formatCode>
                <c:ptCount val="12"/>
                <c:pt idx="0">
                  <c:v>0.4513586956521739</c:v>
                </c:pt>
                <c:pt idx="1">
                  <c:v>0.10561594202898551</c:v>
                </c:pt>
                <c:pt idx="2">
                  <c:v>4.8731884057971013E-2</c:v>
                </c:pt>
                <c:pt idx="3">
                  <c:v>4.3840579710144927E-2</c:v>
                </c:pt>
                <c:pt idx="4">
                  <c:v>9.0579710144927537E-5</c:v>
                </c:pt>
                <c:pt idx="5">
                  <c:v>9.0579710144927537E-5</c:v>
                </c:pt>
                <c:pt idx="6">
                  <c:v>1.3858695652173913E-2</c:v>
                </c:pt>
                <c:pt idx="7">
                  <c:v>4.076086956521739E-3</c:v>
                </c:pt>
                <c:pt idx="8">
                  <c:v>9.9637681159420286E-4</c:v>
                </c:pt>
                <c:pt idx="9">
                  <c:v>9.0579710144927537E-5</c:v>
                </c:pt>
                <c:pt idx="10">
                  <c:v>0.33115942028985507</c:v>
                </c:pt>
                <c:pt idx="11">
                  <c:v>9.0579710144927537E-5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Naguru-Nakawa'!$S$9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Naguru-Nakawa'!$S$10:$S$21</c:f>
              <c:numCache>
                <c:formatCode>0</c:formatCode>
                <c:ptCount val="12"/>
                <c:pt idx="0">
                  <c:v>620</c:v>
                </c:pt>
                <c:pt idx="1">
                  <c:v>660</c:v>
                </c:pt>
                <c:pt idx="2">
                  <c:v>385</c:v>
                </c:pt>
                <c:pt idx="3">
                  <c:v>491</c:v>
                </c:pt>
                <c:pt idx="4">
                  <c:v>395</c:v>
                </c:pt>
                <c:pt idx="5">
                  <c:v>455</c:v>
                </c:pt>
                <c:pt idx="6">
                  <c:v>350</c:v>
                </c:pt>
                <c:pt idx="7">
                  <c:v>261</c:v>
                </c:pt>
                <c:pt idx="8">
                  <c:v>320</c:v>
                </c:pt>
                <c:pt idx="9">
                  <c:v>336</c:v>
                </c:pt>
                <c:pt idx="10">
                  <c:v>400</c:v>
                </c:pt>
                <c:pt idx="11">
                  <c:v>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Naguru-Nakawa'!$T$9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Naguru-Nakawa'!$T$10:$T$21</c:f>
              <c:numCache>
                <c:formatCode>0</c:formatCode>
                <c:ptCount val="12"/>
                <c:pt idx="0">
                  <c:v>90</c:v>
                </c:pt>
                <c:pt idx="1">
                  <c:v>155</c:v>
                </c:pt>
                <c:pt idx="2">
                  <c:v>138</c:v>
                </c:pt>
                <c:pt idx="3">
                  <c:v>90</c:v>
                </c:pt>
                <c:pt idx="4">
                  <c:v>90</c:v>
                </c:pt>
                <c:pt idx="5">
                  <c:v>88</c:v>
                </c:pt>
                <c:pt idx="6">
                  <c:v>114</c:v>
                </c:pt>
                <c:pt idx="7">
                  <c:v>84</c:v>
                </c:pt>
                <c:pt idx="8">
                  <c:v>77</c:v>
                </c:pt>
                <c:pt idx="9">
                  <c:v>75</c:v>
                </c:pt>
                <c:pt idx="10">
                  <c:v>76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Naguru-Nakawa'!$U$9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Naguru-Nakawa'!$U$10:$U$21</c:f>
              <c:numCache>
                <c:formatCode>0</c:formatCode>
                <c:ptCount val="12"/>
                <c:pt idx="0">
                  <c:v>41</c:v>
                </c:pt>
                <c:pt idx="1">
                  <c:v>64</c:v>
                </c:pt>
                <c:pt idx="2">
                  <c:v>51</c:v>
                </c:pt>
                <c:pt idx="3">
                  <c:v>49</c:v>
                </c:pt>
                <c:pt idx="4">
                  <c:v>51</c:v>
                </c:pt>
                <c:pt idx="5">
                  <c:v>47</c:v>
                </c:pt>
                <c:pt idx="6">
                  <c:v>35</c:v>
                </c:pt>
                <c:pt idx="7">
                  <c:v>25</c:v>
                </c:pt>
                <c:pt idx="8">
                  <c:v>40</c:v>
                </c:pt>
                <c:pt idx="9">
                  <c:v>43</c:v>
                </c:pt>
                <c:pt idx="10">
                  <c:v>39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Naguru-Nakawa'!$V$9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Naguru-Nakawa'!$V$10:$V$21</c:f>
              <c:numCache>
                <c:formatCode>0</c:formatCode>
                <c:ptCount val="12"/>
                <c:pt idx="0">
                  <c:v>48</c:v>
                </c:pt>
                <c:pt idx="1">
                  <c:v>73</c:v>
                </c:pt>
                <c:pt idx="2">
                  <c:v>50</c:v>
                </c:pt>
                <c:pt idx="3">
                  <c:v>42</c:v>
                </c:pt>
                <c:pt idx="4">
                  <c:v>37</c:v>
                </c:pt>
                <c:pt idx="5">
                  <c:v>41</c:v>
                </c:pt>
                <c:pt idx="6">
                  <c:v>35</c:v>
                </c:pt>
                <c:pt idx="7">
                  <c:v>30</c:v>
                </c:pt>
                <c:pt idx="8">
                  <c:v>35</c:v>
                </c:pt>
                <c:pt idx="9">
                  <c:v>32</c:v>
                </c:pt>
                <c:pt idx="10">
                  <c:v>34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Naguru-Nakawa'!$W$9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Naguru-Nakawa'!$X$9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Naguru-Nakawa'!$Y$9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Naguru-Nakawa'!$Y$10:$Y$21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21</c:v>
                </c:pt>
                <c:pt idx="3">
                  <c:v>18</c:v>
                </c:pt>
                <c:pt idx="4">
                  <c:v>11</c:v>
                </c:pt>
                <c:pt idx="5">
                  <c:v>17</c:v>
                </c:pt>
                <c:pt idx="6">
                  <c:v>16</c:v>
                </c:pt>
                <c:pt idx="7">
                  <c:v>13</c:v>
                </c:pt>
                <c:pt idx="8">
                  <c:v>16</c:v>
                </c:pt>
                <c:pt idx="9">
                  <c:v>7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Naguru-Nakawa'!$Z$9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Naguru-Nakawa'!$Z$10:$Z$21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10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Naguru-Nakawa'!$AA$9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Naguru-Nakawa'!$AB$9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Naguru-Nakawa'!$AC$9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Naguru-Nakawa'!$AC$10:$AC$21</c:f>
              <c:numCache>
                <c:formatCode>0</c:formatCode>
                <c:ptCount val="12"/>
                <c:pt idx="0">
                  <c:v>280</c:v>
                </c:pt>
                <c:pt idx="1">
                  <c:v>450</c:v>
                </c:pt>
                <c:pt idx="2">
                  <c:v>360</c:v>
                </c:pt>
                <c:pt idx="3">
                  <c:v>314</c:v>
                </c:pt>
                <c:pt idx="4">
                  <c:v>241</c:v>
                </c:pt>
                <c:pt idx="5">
                  <c:v>298</c:v>
                </c:pt>
                <c:pt idx="6">
                  <c:v>230</c:v>
                </c:pt>
                <c:pt idx="7">
                  <c:v>223</c:v>
                </c:pt>
                <c:pt idx="8">
                  <c:v>256</c:v>
                </c:pt>
                <c:pt idx="9">
                  <c:v>287</c:v>
                </c:pt>
                <c:pt idx="10">
                  <c:v>405</c:v>
                </c:pt>
                <c:pt idx="11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Naguru-Nakawa'!$AD$9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Naguru-Nakawa'!$AD$10:$AD$21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62512"/>
        <c:axId val="206557808"/>
      </c:lineChart>
      <c:catAx>
        <c:axId val="20656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57808"/>
        <c:crosses val="autoZero"/>
        <c:auto val="1"/>
        <c:lblAlgn val="ctr"/>
        <c:lblOffset val="100"/>
        <c:noMultiLvlLbl val="0"/>
      </c:catAx>
      <c:valAx>
        <c:axId val="20655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6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Naguru-Nakawa'!$C$60:$N$60</c:f>
              <c:numCache>
                <c:formatCode>0.00%</c:formatCode>
                <c:ptCount val="12"/>
                <c:pt idx="0">
                  <c:v>0.67483748645720476</c:v>
                </c:pt>
                <c:pt idx="1">
                  <c:v>0.15790899241603468</c:v>
                </c:pt>
                <c:pt idx="2">
                  <c:v>7.2860238353196105E-2</c:v>
                </c:pt>
                <c:pt idx="3">
                  <c:v>6.5547128927410617E-2</c:v>
                </c:pt>
                <c:pt idx="4">
                  <c:v>1.3542795232936077E-4</c:v>
                </c:pt>
                <c:pt idx="5">
                  <c:v>1.3542795232936077E-4</c:v>
                </c:pt>
                <c:pt idx="6">
                  <c:v>2.07204767063922E-2</c:v>
                </c:pt>
                <c:pt idx="7">
                  <c:v>6.0942578548212351E-3</c:v>
                </c:pt>
                <c:pt idx="8">
                  <c:v>1.4897074756229686E-3</c:v>
                </c:pt>
                <c:pt idx="9">
                  <c:v>1.3542795232936077E-4</c:v>
                </c:pt>
                <c:pt idx="11">
                  <c:v>1.3542795232936077E-4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Nakawa-Naguru'!$AE$10:$AE$21</c:f>
              <c:numCache>
                <c:formatCode>0</c:formatCode>
                <c:ptCount val="12"/>
                <c:pt idx="0">
                  <c:v>348</c:v>
                </c:pt>
                <c:pt idx="1">
                  <c:v>416</c:v>
                </c:pt>
                <c:pt idx="2">
                  <c:v>481</c:v>
                </c:pt>
                <c:pt idx="3">
                  <c:v>550</c:v>
                </c:pt>
                <c:pt idx="4">
                  <c:v>391</c:v>
                </c:pt>
                <c:pt idx="5">
                  <c:v>517</c:v>
                </c:pt>
                <c:pt idx="6">
                  <c:v>575</c:v>
                </c:pt>
                <c:pt idx="7">
                  <c:v>496</c:v>
                </c:pt>
                <c:pt idx="8">
                  <c:v>717</c:v>
                </c:pt>
                <c:pt idx="9">
                  <c:v>901</c:v>
                </c:pt>
                <c:pt idx="10">
                  <c:v>1565</c:v>
                </c:pt>
                <c:pt idx="11">
                  <c:v>1089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Nakawa-Naguru'!$AF$10:$AF$21</c:f>
              <c:numCache>
                <c:formatCode>0</c:formatCode>
                <c:ptCount val="12"/>
                <c:pt idx="0">
                  <c:v>566</c:v>
                </c:pt>
                <c:pt idx="1">
                  <c:v>831</c:v>
                </c:pt>
                <c:pt idx="2">
                  <c:v>713</c:v>
                </c:pt>
                <c:pt idx="3">
                  <c:v>740</c:v>
                </c:pt>
                <c:pt idx="4">
                  <c:v>575</c:v>
                </c:pt>
                <c:pt idx="5">
                  <c:v>693</c:v>
                </c:pt>
                <c:pt idx="6">
                  <c:v>699</c:v>
                </c:pt>
                <c:pt idx="7">
                  <c:v>618</c:v>
                </c:pt>
                <c:pt idx="8">
                  <c:v>948</c:v>
                </c:pt>
                <c:pt idx="9">
                  <c:v>1106</c:v>
                </c:pt>
                <c:pt idx="10">
                  <c:v>1743</c:v>
                </c:pt>
                <c:pt idx="11">
                  <c:v>1282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62904"/>
        <c:axId val="206560944"/>
      </c:lineChart>
      <c:catAx>
        <c:axId val="206562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60944"/>
        <c:crosses val="autoZero"/>
        <c:auto val="1"/>
        <c:lblAlgn val="ctr"/>
        <c:lblOffset val="100"/>
        <c:noMultiLvlLbl val="0"/>
      </c:catAx>
      <c:valAx>
        <c:axId val="206560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62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Nakawa-Naguru'!$C$59:$N$59</c:f>
              <c:numCache>
                <c:formatCode>0.0%</c:formatCode>
                <c:ptCount val="12"/>
                <c:pt idx="0">
                  <c:v>0.3519117367319764</c:v>
                </c:pt>
                <c:pt idx="1">
                  <c:v>0.28799695643903367</c:v>
                </c:pt>
                <c:pt idx="2">
                  <c:v>6.9716568385010461E-2</c:v>
                </c:pt>
                <c:pt idx="3">
                  <c:v>4.1658740726650184E-2</c:v>
                </c:pt>
                <c:pt idx="4">
                  <c:v>3.8044512079132587E-4</c:v>
                </c:pt>
                <c:pt idx="5">
                  <c:v>1.9022256039566293E-4</c:v>
                </c:pt>
                <c:pt idx="6">
                  <c:v>8.8453490583983267E-3</c:v>
                </c:pt>
                <c:pt idx="7">
                  <c:v>3.2337835267262699E-3</c:v>
                </c:pt>
                <c:pt idx="8">
                  <c:v>8.5600152178048319E-4</c:v>
                </c:pt>
                <c:pt idx="9">
                  <c:v>4.7555640098915732E-4</c:v>
                </c:pt>
                <c:pt idx="10">
                  <c:v>0.23473463952824805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Nakawa-Naguru'!$C$60:$N$60</c:f>
              <c:numCache>
                <c:formatCode>0.00%</c:formatCode>
                <c:ptCount val="12"/>
                <c:pt idx="0">
                  <c:v>0.45985582898334576</c:v>
                </c:pt>
                <c:pt idx="1">
                  <c:v>0.37633606761123539</c:v>
                </c:pt>
                <c:pt idx="2">
                  <c:v>9.1101168282376341E-2</c:v>
                </c:pt>
                <c:pt idx="3">
                  <c:v>5.4436987322893364E-2</c:v>
                </c:pt>
                <c:pt idx="4">
                  <c:v>4.9714143673875214E-4</c:v>
                </c:pt>
                <c:pt idx="5">
                  <c:v>2.4857071836937607E-4</c:v>
                </c:pt>
                <c:pt idx="6">
                  <c:v>1.1558538404175988E-2</c:v>
                </c:pt>
                <c:pt idx="7">
                  <c:v>4.2257022122793933E-3</c:v>
                </c:pt>
                <c:pt idx="8">
                  <c:v>1.1185682326621924E-3</c:v>
                </c:pt>
                <c:pt idx="9">
                  <c:v>6.2142679592344023E-4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Naguru-Nakawa-24h'!$AE$9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Naguru-Nakawa-24h'!$R$10:$R$33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Naguru-Nakawa-24h'!$AE$10:$AE$33</c:f>
              <c:numCache>
                <c:formatCode>0</c:formatCode>
                <c:ptCount val="24"/>
                <c:pt idx="0">
                  <c:v>707</c:v>
                </c:pt>
                <c:pt idx="1">
                  <c:v>900</c:v>
                </c:pt>
                <c:pt idx="2">
                  <c:v>814</c:v>
                </c:pt>
                <c:pt idx="3">
                  <c:v>707</c:v>
                </c:pt>
                <c:pt idx="4">
                  <c:v>689</c:v>
                </c:pt>
                <c:pt idx="5">
                  <c:v>684</c:v>
                </c:pt>
                <c:pt idx="6">
                  <c:v>588</c:v>
                </c:pt>
                <c:pt idx="7">
                  <c:v>406</c:v>
                </c:pt>
                <c:pt idx="8">
                  <c:v>568</c:v>
                </c:pt>
                <c:pt idx="9">
                  <c:v>473</c:v>
                </c:pt>
                <c:pt idx="10">
                  <c:v>543</c:v>
                </c:pt>
                <c:pt idx="11">
                  <c:v>449</c:v>
                </c:pt>
                <c:pt idx="12">
                  <c:v>416</c:v>
                </c:pt>
                <c:pt idx="13">
                  <c:v>216</c:v>
                </c:pt>
                <c:pt idx="14">
                  <c:v>134</c:v>
                </c:pt>
                <c:pt idx="15">
                  <c:v>54</c:v>
                </c:pt>
                <c:pt idx="16">
                  <c:v>41</c:v>
                </c:pt>
                <c:pt idx="17">
                  <c:v>6</c:v>
                </c:pt>
                <c:pt idx="18">
                  <c:v>12</c:v>
                </c:pt>
                <c:pt idx="19">
                  <c:v>4</c:v>
                </c:pt>
                <c:pt idx="20">
                  <c:v>1</c:v>
                </c:pt>
                <c:pt idx="21">
                  <c:v>4</c:v>
                </c:pt>
                <c:pt idx="22">
                  <c:v>25</c:v>
                </c:pt>
                <c:pt idx="23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Naguru-Nakawa-24h'!$AF$9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Naguru-Nakawa-24h'!$R$10:$R$33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Naguru-Nakawa-24h'!$AF$10:$AF$33</c:f>
              <c:numCache>
                <c:formatCode>0</c:formatCode>
                <c:ptCount val="24"/>
                <c:pt idx="0">
                  <c:v>912</c:v>
                </c:pt>
                <c:pt idx="1">
                  <c:v>1275</c:v>
                </c:pt>
                <c:pt idx="2">
                  <c:v>1132</c:v>
                </c:pt>
                <c:pt idx="3">
                  <c:v>1048</c:v>
                </c:pt>
                <c:pt idx="4">
                  <c:v>1003</c:v>
                </c:pt>
                <c:pt idx="5">
                  <c:v>982</c:v>
                </c:pt>
                <c:pt idx="6">
                  <c:v>912</c:v>
                </c:pt>
                <c:pt idx="7">
                  <c:v>702</c:v>
                </c:pt>
                <c:pt idx="8">
                  <c:v>906</c:v>
                </c:pt>
                <c:pt idx="9">
                  <c:v>782</c:v>
                </c:pt>
                <c:pt idx="10">
                  <c:v>993</c:v>
                </c:pt>
                <c:pt idx="11">
                  <c:v>821</c:v>
                </c:pt>
                <c:pt idx="12">
                  <c:v>520</c:v>
                </c:pt>
                <c:pt idx="13">
                  <c:v>328</c:v>
                </c:pt>
                <c:pt idx="14">
                  <c:v>299</c:v>
                </c:pt>
                <c:pt idx="15">
                  <c:v>199</c:v>
                </c:pt>
                <c:pt idx="16">
                  <c:v>124</c:v>
                </c:pt>
                <c:pt idx="17">
                  <c:v>14</c:v>
                </c:pt>
                <c:pt idx="18">
                  <c:v>19</c:v>
                </c:pt>
                <c:pt idx="19">
                  <c:v>10</c:v>
                </c:pt>
                <c:pt idx="20">
                  <c:v>8</c:v>
                </c:pt>
                <c:pt idx="21">
                  <c:v>16</c:v>
                </c:pt>
                <c:pt idx="22">
                  <c:v>60</c:v>
                </c:pt>
                <c:pt idx="23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57416"/>
        <c:axId val="205317000"/>
      </c:lineChart>
      <c:catAx>
        <c:axId val="206557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17000"/>
        <c:crosses val="autoZero"/>
        <c:auto val="1"/>
        <c:lblAlgn val="ctr"/>
        <c:lblOffset val="100"/>
        <c:noMultiLvlLbl val="0"/>
      </c:catAx>
      <c:valAx>
        <c:axId val="205317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57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Naguru-Nakawa-24h'!$C$9:$N$9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Naguru-Nakawa-24h'!$C$107:$N$107</c:f>
              <c:numCache>
                <c:formatCode>0.0%</c:formatCode>
                <c:ptCount val="12"/>
                <c:pt idx="0">
                  <c:v>0.41671029994764008</c:v>
                </c:pt>
                <c:pt idx="1">
                  <c:v>0.10786147056623532</c:v>
                </c:pt>
                <c:pt idx="2">
                  <c:v>5.3631535642157231E-2</c:v>
                </c:pt>
                <c:pt idx="3">
                  <c:v>4.6899543720547533E-2</c:v>
                </c:pt>
                <c:pt idx="4">
                  <c:v>6.731991921609694E-4</c:v>
                </c:pt>
                <c:pt idx="5">
                  <c:v>3.7399955120053858E-4</c:v>
                </c:pt>
                <c:pt idx="6">
                  <c:v>1.3837983394419927E-2</c:v>
                </c:pt>
                <c:pt idx="7">
                  <c:v>3.9643952427257084E-3</c:v>
                </c:pt>
                <c:pt idx="8">
                  <c:v>2.0943974867230161E-3</c:v>
                </c:pt>
                <c:pt idx="9">
                  <c:v>2.2439973072032313E-4</c:v>
                </c:pt>
                <c:pt idx="10">
                  <c:v>0.35357917570498915</c:v>
                </c:pt>
                <c:pt idx="11">
                  <c:v>1.4959982048021541E-4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Naguru-Nakawa-24h'!$C$9:$N$9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Naguru-Nakawa-24h'!$C$108:$N$108</c:f>
              <c:numCache>
                <c:formatCode>0.00%</c:formatCode>
                <c:ptCount val="12"/>
                <c:pt idx="0">
                  <c:v>0.64464244387873182</c:v>
                </c:pt>
                <c:pt idx="1">
                  <c:v>0.16685952325850498</c:v>
                </c:pt>
                <c:pt idx="2">
                  <c:v>8.2966905808840544E-2</c:v>
                </c:pt>
                <c:pt idx="3">
                  <c:v>7.2552649849571854E-2</c:v>
                </c:pt>
                <c:pt idx="4">
                  <c:v>1.0414255959268687E-3</c:v>
                </c:pt>
                <c:pt idx="5">
                  <c:v>5.7856977551492715E-4</c:v>
                </c:pt>
                <c:pt idx="6">
                  <c:v>2.1407081694052303E-2</c:v>
                </c:pt>
                <c:pt idx="7">
                  <c:v>6.1328396204582275E-3</c:v>
                </c:pt>
                <c:pt idx="8">
                  <c:v>3.2399907428835918E-3</c:v>
                </c:pt>
                <c:pt idx="9">
                  <c:v>3.4714186530895625E-4</c:v>
                </c:pt>
                <c:pt idx="11">
                  <c:v>2.3142791020597085E-4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Nakawa-Naguru-24h'!$AE$9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Nakawa-Naguru-24h'!$R$10:$R$33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Nakawa-Naguru-24h'!$AE$10:$AE$33</c:f>
              <c:numCache>
                <c:formatCode>0</c:formatCode>
                <c:ptCount val="24"/>
                <c:pt idx="0">
                  <c:v>406</c:v>
                </c:pt>
                <c:pt idx="1">
                  <c:v>656</c:v>
                </c:pt>
                <c:pt idx="2">
                  <c:v>429</c:v>
                </c:pt>
                <c:pt idx="3">
                  <c:v>378</c:v>
                </c:pt>
                <c:pt idx="4">
                  <c:v>788</c:v>
                </c:pt>
                <c:pt idx="5">
                  <c:v>667</c:v>
                </c:pt>
                <c:pt idx="6">
                  <c:v>608</c:v>
                </c:pt>
                <c:pt idx="7">
                  <c:v>606</c:v>
                </c:pt>
                <c:pt idx="8">
                  <c:v>862</c:v>
                </c:pt>
                <c:pt idx="9">
                  <c:v>838</c:v>
                </c:pt>
                <c:pt idx="10">
                  <c:v>1524</c:v>
                </c:pt>
                <c:pt idx="11">
                  <c:v>1093</c:v>
                </c:pt>
                <c:pt idx="12">
                  <c:v>787</c:v>
                </c:pt>
                <c:pt idx="13">
                  <c:v>658</c:v>
                </c:pt>
                <c:pt idx="14">
                  <c:v>611</c:v>
                </c:pt>
                <c:pt idx="15">
                  <c:v>417</c:v>
                </c:pt>
                <c:pt idx="16">
                  <c:v>480</c:v>
                </c:pt>
                <c:pt idx="17">
                  <c:v>340</c:v>
                </c:pt>
                <c:pt idx="18">
                  <c:v>127</c:v>
                </c:pt>
                <c:pt idx="19">
                  <c:v>12</c:v>
                </c:pt>
                <c:pt idx="20">
                  <c:v>13</c:v>
                </c:pt>
                <c:pt idx="21">
                  <c:v>49</c:v>
                </c:pt>
                <c:pt idx="22">
                  <c:v>59</c:v>
                </c:pt>
                <c:pt idx="23">
                  <c:v>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Nakawa-Naguru-24h'!$AF$9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Nakawa-Naguru-24h'!$R$10:$R$33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Nakawa-Naguru-24h'!$AF$10:$AF$33</c:f>
              <c:numCache>
                <c:formatCode>0</c:formatCode>
                <c:ptCount val="24"/>
                <c:pt idx="0">
                  <c:v>587</c:v>
                </c:pt>
                <c:pt idx="1">
                  <c:v>888</c:v>
                </c:pt>
                <c:pt idx="2">
                  <c:v>642</c:v>
                </c:pt>
                <c:pt idx="3">
                  <c:v>565</c:v>
                </c:pt>
                <c:pt idx="4">
                  <c:v>982</c:v>
                </c:pt>
                <c:pt idx="5">
                  <c:v>876</c:v>
                </c:pt>
                <c:pt idx="6">
                  <c:v>772</c:v>
                </c:pt>
                <c:pt idx="7">
                  <c:v>771</c:v>
                </c:pt>
                <c:pt idx="8">
                  <c:v>1019</c:v>
                </c:pt>
                <c:pt idx="9">
                  <c:v>1012</c:v>
                </c:pt>
                <c:pt idx="10">
                  <c:v>1775</c:v>
                </c:pt>
                <c:pt idx="11">
                  <c:v>1416</c:v>
                </c:pt>
                <c:pt idx="12">
                  <c:v>999</c:v>
                </c:pt>
                <c:pt idx="13">
                  <c:v>710</c:v>
                </c:pt>
                <c:pt idx="14">
                  <c:v>633</c:v>
                </c:pt>
                <c:pt idx="15">
                  <c:v>440</c:v>
                </c:pt>
                <c:pt idx="16">
                  <c:v>499</c:v>
                </c:pt>
                <c:pt idx="17">
                  <c:v>351</c:v>
                </c:pt>
                <c:pt idx="18">
                  <c:v>135</c:v>
                </c:pt>
                <c:pt idx="19">
                  <c:v>22</c:v>
                </c:pt>
                <c:pt idx="20">
                  <c:v>16</c:v>
                </c:pt>
                <c:pt idx="21">
                  <c:v>56</c:v>
                </c:pt>
                <c:pt idx="22">
                  <c:v>68</c:v>
                </c:pt>
                <c:pt idx="23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23272"/>
        <c:axId val="205316608"/>
      </c:lineChart>
      <c:catAx>
        <c:axId val="205323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16608"/>
        <c:crosses val="autoZero"/>
        <c:auto val="1"/>
        <c:lblAlgn val="ctr"/>
        <c:lblOffset val="100"/>
        <c:noMultiLvlLbl val="0"/>
      </c:catAx>
      <c:valAx>
        <c:axId val="205316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23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Nakawa-Naguru-24h'!$C$9:$N$9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Nakawa-Naguru-24h'!$C$107:$N$107</c:f>
              <c:numCache>
                <c:formatCode>0.0%</c:formatCode>
                <c:ptCount val="12"/>
                <c:pt idx="0">
                  <c:v>0.41981679783253772</c:v>
                </c:pt>
                <c:pt idx="1">
                  <c:v>0.26706231454005935</c:v>
                </c:pt>
                <c:pt idx="2">
                  <c:v>6.5926977164236872E-2</c:v>
                </c:pt>
                <c:pt idx="3">
                  <c:v>3.8833698877564188E-2</c:v>
                </c:pt>
                <c:pt idx="4">
                  <c:v>2.5803122177783513E-3</c:v>
                </c:pt>
                <c:pt idx="5">
                  <c:v>1.9997419687782223E-3</c:v>
                </c:pt>
                <c:pt idx="6">
                  <c:v>1.0643787898335699E-2</c:v>
                </c:pt>
                <c:pt idx="7">
                  <c:v>3.3544058831118566E-3</c:v>
                </c:pt>
                <c:pt idx="8">
                  <c:v>3.0318668558895626E-3</c:v>
                </c:pt>
                <c:pt idx="9">
                  <c:v>5.1606244355567024E-4</c:v>
                </c:pt>
                <c:pt idx="10">
                  <c:v>0.18616952651270804</c:v>
                </c:pt>
                <c:pt idx="11">
                  <c:v>6.450780544445878E-5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Nakawa-Naguru-24h'!$C$9:$N$9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Nakawa-Naguru-24h'!$C$108:$N$108</c:f>
              <c:numCache>
                <c:formatCode>0.00%</c:formatCode>
                <c:ptCount val="12"/>
                <c:pt idx="0">
                  <c:v>0.51585288522511097</c:v>
                </c:pt>
                <c:pt idx="1">
                  <c:v>0.32815472415979707</c:v>
                </c:pt>
                <c:pt idx="2">
                  <c:v>8.1008243500317059E-2</c:v>
                </c:pt>
                <c:pt idx="3">
                  <c:v>4.7717184527584021E-2</c:v>
                </c:pt>
                <c:pt idx="4">
                  <c:v>3.1705770450221942E-3</c:v>
                </c:pt>
                <c:pt idx="5">
                  <c:v>2.4571972098922003E-3</c:v>
                </c:pt>
                <c:pt idx="6">
                  <c:v>1.3078630310716551E-2</c:v>
                </c:pt>
                <c:pt idx="7">
                  <c:v>4.1217501585288519E-3</c:v>
                </c:pt>
                <c:pt idx="8">
                  <c:v>3.725428027901078E-3</c:v>
                </c:pt>
                <c:pt idx="9">
                  <c:v>6.3411540900443881E-4</c:v>
                </c:pt>
                <c:pt idx="11">
                  <c:v>7.9264426125554851E-5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Naguru-Nakawa'!$AE$10:$AE$21</c:f>
              <c:numCache>
                <c:formatCode>0</c:formatCode>
                <c:ptCount val="12"/>
                <c:pt idx="0">
                  <c:v>812</c:v>
                </c:pt>
                <c:pt idx="1">
                  <c:v>914</c:v>
                </c:pt>
                <c:pt idx="2">
                  <c:v>757</c:v>
                </c:pt>
                <c:pt idx="3">
                  <c:v>715</c:v>
                </c:pt>
                <c:pt idx="4">
                  <c:v>596</c:v>
                </c:pt>
                <c:pt idx="5">
                  <c:v>648</c:v>
                </c:pt>
                <c:pt idx="6">
                  <c:v>620</c:v>
                </c:pt>
                <c:pt idx="7">
                  <c:v>588</c:v>
                </c:pt>
                <c:pt idx="8">
                  <c:v>533</c:v>
                </c:pt>
                <c:pt idx="9">
                  <c:v>491</c:v>
                </c:pt>
                <c:pt idx="10">
                  <c:v>414</c:v>
                </c:pt>
                <c:pt idx="11">
                  <c:v>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Naguru-Nakawa'!$AF$10:$AF$21</c:f>
              <c:numCache>
                <c:formatCode>0</c:formatCode>
                <c:ptCount val="12"/>
                <c:pt idx="0">
                  <c:v>1047</c:v>
                </c:pt>
                <c:pt idx="1">
                  <c:v>1400</c:v>
                </c:pt>
                <c:pt idx="2">
                  <c:v>1283</c:v>
                </c:pt>
                <c:pt idx="3">
                  <c:v>1058</c:v>
                </c:pt>
                <c:pt idx="4">
                  <c:v>988</c:v>
                </c:pt>
                <c:pt idx="5">
                  <c:v>927</c:v>
                </c:pt>
                <c:pt idx="6">
                  <c:v>914</c:v>
                </c:pt>
                <c:pt idx="7">
                  <c:v>898</c:v>
                </c:pt>
                <c:pt idx="8">
                  <c:v>774</c:v>
                </c:pt>
                <c:pt idx="9">
                  <c:v>750</c:v>
                </c:pt>
                <c:pt idx="10">
                  <c:v>833</c:v>
                </c:pt>
                <c:pt idx="11">
                  <c:v>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19744"/>
        <c:axId val="205320136"/>
      </c:lineChart>
      <c:catAx>
        <c:axId val="205319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20136"/>
        <c:crosses val="autoZero"/>
        <c:auto val="1"/>
        <c:lblAlgn val="ctr"/>
        <c:lblOffset val="100"/>
        <c:noMultiLvlLbl val="0"/>
      </c:catAx>
      <c:valAx>
        <c:axId val="205320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1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Naguru-Nakawa'!$C$59:$N$59</c:f>
              <c:numCache>
                <c:formatCode>0.0%</c:formatCode>
                <c:ptCount val="12"/>
                <c:pt idx="0">
                  <c:v>0.44739296311996607</c:v>
                </c:pt>
                <c:pt idx="1">
                  <c:v>9.8940228910555317E-2</c:v>
                </c:pt>
                <c:pt idx="2">
                  <c:v>4.2136498516320474E-2</c:v>
                </c:pt>
                <c:pt idx="3">
                  <c:v>3.7897414158541753E-2</c:v>
                </c:pt>
                <c:pt idx="4">
                  <c:v>7.6303518440016952E-4</c:v>
                </c:pt>
                <c:pt idx="5">
                  <c:v>1.695633743111488E-4</c:v>
                </c:pt>
                <c:pt idx="6">
                  <c:v>1.8143281051292922E-2</c:v>
                </c:pt>
                <c:pt idx="7">
                  <c:v>3.5608308605341245E-3</c:v>
                </c:pt>
                <c:pt idx="8">
                  <c:v>1.695633743111488E-4</c:v>
                </c:pt>
                <c:pt idx="9">
                  <c:v>8.4781687155574399E-5</c:v>
                </c:pt>
                <c:pt idx="10">
                  <c:v>0.35048749470114454</c:v>
                </c:pt>
                <c:pt idx="11">
                  <c:v>2.5434506146672321E-4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Naguru-Nakawa'!$S$9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Naguru-Nakawa'!$S$10:$S$21</c:f>
              <c:numCache>
                <c:formatCode>0</c:formatCode>
                <c:ptCount val="12"/>
                <c:pt idx="0">
                  <c:v>580</c:v>
                </c:pt>
                <c:pt idx="1">
                  <c:v>710</c:v>
                </c:pt>
                <c:pt idx="2">
                  <c:v>505</c:v>
                </c:pt>
                <c:pt idx="3">
                  <c:v>480</c:v>
                </c:pt>
                <c:pt idx="4">
                  <c:v>375</c:v>
                </c:pt>
                <c:pt idx="5">
                  <c:v>430</c:v>
                </c:pt>
                <c:pt idx="6">
                  <c:v>430</c:v>
                </c:pt>
                <c:pt idx="7">
                  <c:v>405</c:v>
                </c:pt>
                <c:pt idx="8">
                  <c:v>351</c:v>
                </c:pt>
                <c:pt idx="9">
                  <c:v>335</c:v>
                </c:pt>
                <c:pt idx="10">
                  <c:v>261</c:v>
                </c:pt>
                <c:pt idx="11">
                  <c:v>415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Naguru-Nakawa'!$T$9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Naguru-Nakawa'!$T$10:$T$21</c:f>
              <c:numCache>
                <c:formatCode>0</c:formatCode>
                <c:ptCount val="12"/>
                <c:pt idx="0">
                  <c:v>128</c:v>
                </c:pt>
                <c:pt idx="1">
                  <c:v>108</c:v>
                </c:pt>
                <c:pt idx="2">
                  <c:v>123</c:v>
                </c:pt>
                <c:pt idx="3">
                  <c:v>118</c:v>
                </c:pt>
                <c:pt idx="4">
                  <c:v>112</c:v>
                </c:pt>
                <c:pt idx="5">
                  <c:v>115</c:v>
                </c:pt>
                <c:pt idx="6">
                  <c:v>82</c:v>
                </c:pt>
                <c:pt idx="7">
                  <c:v>94</c:v>
                </c:pt>
                <c:pt idx="8">
                  <c:v>70</c:v>
                </c:pt>
                <c:pt idx="9">
                  <c:v>71</c:v>
                </c:pt>
                <c:pt idx="10">
                  <c:v>83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Naguru-Nakawa'!$U$9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Naguru-Nakawa'!$U$10:$U$21</c:f>
              <c:numCache>
                <c:formatCode>0</c:formatCode>
                <c:ptCount val="12"/>
                <c:pt idx="0">
                  <c:v>59</c:v>
                </c:pt>
                <c:pt idx="1">
                  <c:v>38</c:v>
                </c:pt>
                <c:pt idx="2">
                  <c:v>47</c:v>
                </c:pt>
                <c:pt idx="3">
                  <c:v>52</c:v>
                </c:pt>
                <c:pt idx="4">
                  <c:v>46</c:v>
                </c:pt>
                <c:pt idx="5">
                  <c:v>42</c:v>
                </c:pt>
                <c:pt idx="6">
                  <c:v>45</c:v>
                </c:pt>
                <c:pt idx="7">
                  <c:v>41</c:v>
                </c:pt>
                <c:pt idx="8">
                  <c:v>39</c:v>
                </c:pt>
                <c:pt idx="9">
                  <c:v>33</c:v>
                </c:pt>
                <c:pt idx="10">
                  <c:v>25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Naguru-Nakawa'!$V$9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Naguru-Nakawa'!$V$10:$V$21</c:f>
              <c:numCache>
                <c:formatCode>0</c:formatCode>
                <c:ptCount val="12"/>
                <c:pt idx="0">
                  <c:v>40</c:v>
                </c:pt>
                <c:pt idx="1">
                  <c:v>36</c:v>
                </c:pt>
                <c:pt idx="2">
                  <c:v>43</c:v>
                </c:pt>
                <c:pt idx="3">
                  <c:v>45</c:v>
                </c:pt>
                <c:pt idx="4">
                  <c:v>42</c:v>
                </c:pt>
                <c:pt idx="5">
                  <c:v>35</c:v>
                </c:pt>
                <c:pt idx="6">
                  <c:v>46</c:v>
                </c:pt>
                <c:pt idx="7">
                  <c:v>33</c:v>
                </c:pt>
                <c:pt idx="8">
                  <c:v>39</c:v>
                </c:pt>
                <c:pt idx="9">
                  <c:v>28</c:v>
                </c:pt>
                <c:pt idx="10">
                  <c:v>26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Naguru-Nakawa'!$W$9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Naguru-Nakawa'!$X$9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Naguru-Nakawa'!$Y$9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Naguru-Nakawa'!$Y$10:$Y$21</c:f>
              <c:numCache>
                <c:formatCode>0</c:formatCode>
                <c:ptCount val="12"/>
                <c:pt idx="0">
                  <c:v>3</c:v>
                </c:pt>
                <c:pt idx="1">
                  <c:v>16</c:v>
                </c:pt>
                <c:pt idx="2">
                  <c:v>28</c:v>
                </c:pt>
                <c:pt idx="3">
                  <c:v>17</c:v>
                </c:pt>
                <c:pt idx="4">
                  <c:v>16</c:v>
                </c:pt>
                <c:pt idx="5">
                  <c:v>21</c:v>
                </c:pt>
                <c:pt idx="6">
                  <c:v>12</c:v>
                </c:pt>
                <c:pt idx="7">
                  <c:v>11</c:v>
                </c:pt>
                <c:pt idx="8">
                  <c:v>31</c:v>
                </c:pt>
                <c:pt idx="9">
                  <c:v>20</c:v>
                </c:pt>
                <c:pt idx="10">
                  <c:v>15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Naguru-Nakawa'!$Z$9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Naguru-Nakawa'!$Z$10:$Z$21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9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Naguru-Nakawa'!$AA$9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Naguru-Nakawa'!$AB$9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Naguru-Nakawa'!$AC$9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Naguru-Nakawa'!$AC$10:$AC$21</c:f>
              <c:numCache>
                <c:formatCode>0</c:formatCode>
                <c:ptCount val="12"/>
                <c:pt idx="0">
                  <c:v>235</c:v>
                </c:pt>
                <c:pt idx="1">
                  <c:v>486</c:v>
                </c:pt>
                <c:pt idx="2">
                  <c:v>526</c:v>
                </c:pt>
                <c:pt idx="3">
                  <c:v>343</c:v>
                </c:pt>
                <c:pt idx="4">
                  <c:v>392</c:v>
                </c:pt>
                <c:pt idx="5">
                  <c:v>279</c:v>
                </c:pt>
                <c:pt idx="6">
                  <c:v>294</c:v>
                </c:pt>
                <c:pt idx="7">
                  <c:v>310</c:v>
                </c:pt>
                <c:pt idx="8">
                  <c:v>241</c:v>
                </c:pt>
                <c:pt idx="9">
                  <c:v>259</c:v>
                </c:pt>
                <c:pt idx="10">
                  <c:v>419</c:v>
                </c:pt>
                <c:pt idx="11">
                  <c:v>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Naguru-Nakawa'!$AD$9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Naguru-Nakawa'!$AD$10:$AD$21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21312"/>
        <c:axId val="205321704"/>
      </c:lineChart>
      <c:catAx>
        <c:axId val="205321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21704"/>
        <c:crosses val="autoZero"/>
        <c:auto val="1"/>
        <c:lblAlgn val="ctr"/>
        <c:lblOffset val="100"/>
        <c:noMultiLvlLbl val="0"/>
      </c:catAx>
      <c:valAx>
        <c:axId val="20532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32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Naguru-Nakawa'!$C$60:$N$60</c:f>
              <c:numCache>
                <c:formatCode>0.00%</c:formatCode>
                <c:ptCount val="12"/>
                <c:pt idx="0">
                  <c:v>0.68881347082626287</c:v>
                </c:pt>
                <c:pt idx="1">
                  <c:v>0.15232998303093592</c:v>
                </c:pt>
                <c:pt idx="2">
                  <c:v>6.4874037331940998E-2</c:v>
                </c:pt>
                <c:pt idx="3">
                  <c:v>5.8347474220075711E-2</c:v>
                </c:pt>
                <c:pt idx="4">
                  <c:v>1.1747813601357526E-3</c:v>
                </c:pt>
                <c:pt idx="5">
                  <c:v>2.6106252447461169E-4</c:v>
                </c:pt>
                <c:pt idx="6">
                  <c:v>2.7933690118783449E-2</c:v>
                </c:pt>
                <c:pt idx="7">
                  <c:v>5.482313013966845E-3</c:v>
                </c:pt>
                <c:pt idx="8">
                  <c:v>2.6106252447461169E-4</c:v>
                </c:pt>
                <c:pt idx="9">
                  <c:v>1.3053126223730585E-4</c:v>
                </c:pt>
                <c:pt idx="11">
                  <c:v>3.9159378671191748E-4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Nakawa-Naguru'!$AE$10:$AE$21</c:f>
              <c:numCache>
                <c:formatCode>0</c:formatCode>
                <c:ptCount val="12"/>
                <c:pt idx="0">
                  <c:v>310</c:v>
                </c:pt>
                <c:pt idx="1">
                  <c:v>504</c:v>
                </c:pt>
                <c:pt idx="2">
                  <c:v>400</c:v>
                </c:pt>
                <c:pt idx="3">
                  <c:v>376</c:v>
                </c:pt>
                <c:pt idx="4">
                  <c:v>548</c:v>
                </c:pt>
                <c:pt idx="5">
                  <c:v>481</c:v>
                </c:pt>
                <c:pt idx="6">
                  <c:v>493</c:v>
                </c:pt>
                <c:pt idx="7">
                  <c:v>481</c:v>
                </c:pt>
                <c:pt idx="8">
                  <c:v>652</c:v>
                </c:pt>
                <c:pt idx="9">
                  <c:v>740</c:v>
                </c:pt>
                <c:pt idx="10">
                  <c:v>1089</c:v>
                </c:pt>
                <c:pt idx="11">
                  <c:v>1449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Nakawa-Naguru'!$AF$10:$AF$21</c:f>
              <c:numCache>
                <c:formatCode>0</c:formatCode>
                <c:ptCount val="12"/>
                <c:pt idx="0">
                  <c:v>532</c:v>
                </c:pt>
                <c:pt idx="1">
                  <c:v>859</c:v>
                </c:pt>
                <c:pt idx="2">
                  <c:v>508</c:v>
                </c:pt>
                <c:pt idx="3">
                  <c:v>531</c:v>
                </c:pt>
                <c:pt idx="4">
                  <c:v>808</c:v>
                </c:pt>
                <c:pt idx="5">
                  <c:v>668</c:v>
                </c:pt>
                <c:pt idx="6">
                  <c:v>669</c:v>
                </c:pt>
                <c:pt idx="7">
                  <c:v>624</c:v>
                </c:pt>
                <c:pt idx="8">
                  <c:v>822</c:v>
                </c:pt>
                <c:pt idx="9">
                  <c:v>945</c:v>
                </c:pt>
                <c:pt idx="10">
                  <c:v>1351</c:v>
                </c:pt>
                <c:pt idx="11">
                  <c:v>1769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46072"/>
        <c:axId val="209539800"/>
      </c:lineChart>
      <c:catAx>
        <c:axId val="209546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39800"/>
        <c:crosses val="autoZero"/>
        <c:auto val="1"/>
        <c:lblAlgn val="ctr"/>
        <c:lblOffset val="100"/>
        <c:noMultiLvlLbl val="0"/>
      </c:catAx>
      <c:valAx>
        <c:axId val="209539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6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Nakawa-Naguru'!$C$59:$N$59</c:f>
              <c:numCache>
                <c:formatCode>0.0%</c:formatCode>
                <c:ptCount val="12"/>
                <c:pt idx="0">
                  <c:v>0.32113821138211385</c:v>
                </c:pt>
                <c:pt idx="1">
                  <c:v>0.31023200475907198</c:v>
                </c:pt>
                <c:pt idx="2">
                  <c:v>5.869522109855245E-2</c:v>
                </c:pt>
                <c:pt idx="3">
                  <c:v>3.856831251239342E-2</c:v>
                </c:pt>
                <c:pt idx="4">
                  <c:v>1.8837993257981361E-3</c:v>
                </c:pt>
                <c:pt idx="5">
                  <c:v>4.9573666468372005E-4</c:v>
                </c:pt>
                <c:pt idx="6">
                  <c:v>5.6513979773944083E-3</c:v>
                </c:pt>
                <c:pt idx="7">
                  <c:v>2.3795359904818562E-3</c:v>
                </c:pt>
                <c:pt idx="8">
                  <c:v>8.92325996430696E-4</c:v>
                </c:pt>
                <c:pt idx="9">
                  <c:v>3.9658933174697601E-4</c:v>
                </c:pt>
                <c:pt idx="10">
                  <c:v>0.2395399563751735</c:v>
                </c:pt>
                <c:pt idx="11">
                  <c:v>9.9147332936744002E-5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Nakawa-Naguru'!$S$9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Nakawa-Naguru'!$S$10:$S$21</c:f>
              <c:numCache>
                <c:formatCode>0</c:formatCode>
                <c:ptCount val="12"/>
                <c:pt idx="0">
                  <c:v>117</c:v>
                </c:pt>
                <c:pt idx="1">
                  <c:v>192</c:v>
                </c:pt>
                <c:pt idx="2">
                  <c:v>162</c:v>
                </c:pt>
                <c:pt idx="3">
                  <c:v>152</c:v>
                </c:pt>
                <c:pt idx="4">
                  <c:v>223</c:v>
                </c:pt>
                <c:pt idx="5">
                  <c:v>199</c:v>
                </c:pt>
                <c:pt idx="6">
                  <c:v>220</c:v>
                </c:pt>
                <c:pt idx="7">
                  <c:v>191</c:v>
                </c:pt>
                <c:pt idx="8">
                  <c:v>285</c:v>
                </c:pt>
                <c:pt idx="9">
                  <c:v>286</c:v>
                </c:pt>
                <c:pt idx="10">
                  <c:v>460</c:v>
                </c:pt>
                <c:pt idx="11">
                  <c:v>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Nakawa-Naguru'!$T$9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Nakawa-Naguru'!$T$10:$T$21</c:f>
              <c:numCache>
                <c:formatCode>0</c:formatCode>
                <c:ptCount val="12"/>
                <c:pt idx="0">
                  <c:v>117</c:v>
                </c:pt>
                <c:pt idx="1">
                  <c:v>164</c:v>
                </c:pt>
                <c:pt idx="2">
                  <c:v>163</c:v>
                </c:pt>
                <c:pt idx="3">
                  <c:v>144</c:v>
                </c:pt>
                <c:pt idx="4">
                  <c:v>201</c:v>
                </c:pt>
                <c:pt idx="5">
                  <c:v>181</c:v>
                </c:pt>
                <c:pt idx="6">
                  <c:v>204</c:v>
                </c:pt>
                <c:pt idx="7">
                  <c:v>223</c:v>
                </c:pt>
                <c:pt idx="8">
                  <c:v>303</c:v>
                </c:pt>
                <c:pt idx="9">
                  <c:v>337</c:v>
                </c:pt>
                <c:pt idx="10">
                  <c:v>528</c:v>
                </c:pt>
                <c:pt idx="11">
                  <c:v>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Nakawa-Naguru'!$U$9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Nakawa-Naguru'!$U$10:$U$21</c:f>
              <c:numCache>
                <c:formatCode>0</c:formatCode>
                <c:ptCount val="12"/>
                <c:pt idx="0">
                  <c:v>25</c:v>
                </c:pt>
                <c:pt idx="1">
                  <c:v>31</c:v>
                </c:pt>
                <c:pt idx="2">
                  <c:v>40</c:v>
                </c:pt>
                <c:pt idx="3">
                  <c:v>49</c:v>
                </c:pt>
                <c:pt idx="4">
                  <c:v>72</c:v>
                </c:pt>
                <c:pt idx="5">
                  <c:v>59</c:v>
                </c:pt>
                <c:pt idx="6">
                  <c:v>39</c:v>
                </c:pt>
                <c:pt idx="7">
                  <c:v>43</c:v>
                </c:pt>
                <c:pt idx="8">
                  <c:v>46</c:v>
                </c:pt>
                <c:pt idx="9">
                  <c:v>73</c:v>
                </c:pt>
                <c:pt idx="10">
                  <c:v>54</c:v>
                </c:pt>
                <c:pt idx="11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Nakawa-Naguru'!$V$9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Nakawa-Naguru'!$V$10:$V$21</c:f>
              <c:numCache>
                <c:formatCode>0</c:formatCode>
                <c:ptCount val="12"/>
                <c:pt idx="0">
                  <c:v>39</c:v>
                </c:pt>
                <c:pt idx="1">
                  <c:v>56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34</c:v>
                </c:pt>
                <c:pt idx="6">
                  <c:v>22</c:v>
                </c:pt>
                <c:pt idx="7">
                  <c:v>18</c:v>
                </c:pt>
                <c:pt idx="8">
                  <c:v>9</c:v>
                </c:pt>
                <c:pt idx="9">
                  <c:v>33</c:v>
                </c:pt>
                <c:pt idx="10">
                  <c:v>33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Nakawa-Naguru'!$W$9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Nakawa-Naguru'!$X$9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Nakawa-Naguru'!$Y$9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Nakawa-Naguru'!$Y$10:$Y$21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3</c:v>
                </c:pt>
                <c:pt idx="4">
                  <c:v>14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8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Nakawa-Naguru'!$Z$9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Nakawa-Naguru'!$Z$10:$Z$21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Nakawa-Naguru'!$AA$9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Nakawa-Naguru'!$AB$9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Nakawa-Naguru'!$AC$9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Nakawa-Naguru'!$AC$10:$AC$21</c:f>
              <c:numCache>
                <c:formatCode>0</c:formatCode>
                <c:ptCount val="12"/>
                <c:pt idx="0">
                  <c:v>222</c:v>
                </c:pt>
                <c:pt idx="1">
                  <c:v>208</c:v>
                </c:pt>
                <c:pt idx="2">
                  <c:v>108</c:v>
                </c:pt>
                <c:pt idx="3">
                  <c:v>155</c:v>
                </c:pt>
                <c:pt idx="4">
                  <c:v>260</c:v>
                </c:pt>
                <c:pt idx="5">
                  <c:v>187</c:v>
                </c:pt>
                <c:pt idx="6">
                  <c:v>176</c:v>
                </c:pt>
                <c:pt idx="7">
                  <c:v>143</c:v>
                </c:pt>
                <c:pt idx="8">
                  <c:v>170</c:v>
                </c:pt>
                <c:pt idx="9">
                  <c:v>205</c:v>
                </c:pt>
                <c:pt idx="10">
                  <c:v>262</c:v>
                </c:pt>
                <c:pt idx="11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Nakawa-Naguru'!$AD$9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Nakawa-Naguru'!$AD$10:$AD$21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543328"/>
        <c:axId val="209540584"/>
      </c:lineChart>
      <c:catAx>
        <c:axId val="20954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0584"/>
        <c:crosses val="autoZero"/>
        <c:auto val="1"/>
        <c:lblAlgn val="ctr"/>
        <c:lblOffset val="100"/>
        <c:noMultiLvlLbl val="0"/>
      </c:catAx>
      <c:valAx>
        <c:axId val="209540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Nakawa-Naguru'!$C$60:$N$60</c:f>
              <c:numCache>
                <c:formatCode>0.00%</c:formatCode>
                <c:ptCount val="12"/>
                <c:pt idx="0">
                  <c:v>0.43054632460454606</c:v>
                </c:pt>
                <c:pt idx="1">
                  <c:v>0.41592449820550315</c:v>
                </c:pt>
                <c:pt idx="2">
                  <c:v>7.8692011165758344E-2</c:v>
                </c:pt>
                <c:pt idx="3">
                  <c:v>5.170809517479729E-2</c:v>
                </c:pt>
                <c:pt idx="4">
                  <c:v>2.525588196198325E-3</c:v>
                </c:pt>
                <c:pt idx="5">
                  <c:v>6.6462847268376974E-4</c:v>
                </c:pt>
                <c:pt idx="6">
                  <c:v>7.5767645885949754E-3</c:v>
                </c:pt>
                <c:pt idx="7">
                  <c:v>3.1902166688820947E-3</c:v>
                </c:pt>
                <c:pt idx="8">
                  <c:v>1.1963312508307855E-3</c:v>
                </c:pt>
                <c:pt idx="9">
                  <c:v>5.3170277814701579E-4</c:v>
                </c:pt>
                <c:pt idx="11">
                  <c:v>1.3292569453675395E-4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Naguru-Nakawa-24h'!$AE$9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Naguru-Nakawa-24h'!$R$10:$R$33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Naguru-Nakawa-24h'!$AE$10:$AE$33</c:f>
              <c:numCache>
                <c:formatCode>0</c:formatCode>
                <c:ptCount val="24"/>
                <c:pt idx="0">
                  <c:v>175</c:v>
                </c:pt>
                <c:pt idx="1">
                  <c:v>391</c:v>
                </c:pt>
                <c:pt idx="2">
                  <c:v>784</c:v>
                </c:pt>
                <c:pt idx="3">
                  <c:v>660</c:v>
                </c:pt>
                <c:pt idx="4">
                  <c:v>776</c:v>
                </c:pt>
                <c:pt idx="5">
                  <c:v>819</c:v>
                </c:pt>
                <c:pt idx="6">
                  <c:v>603</c:v>
                </c:pt>
                <c:pt idx="7">
                  <c:v>627</c:v>
                </c:pt>
                <c:pt idx="8">
                  <c:v>676</c:v>
                </c:pt>
                <c:pt idx="9">
                  <c:v>684</c:v>
                </c:pt>
                <c:pt idx="10">
                  <c:v>590</c:v>
                </c:pt>
                <c:pt idx="11">
                  <c:v>513</c:v>
                </c:pt>
                <c:pt idx="12">
                  <c:v>577</c:v>
                </c:pt>
                <c:pt idx="13">
                  <c:v>241</c:v>
                </c:pt>
                <c:pt idx="14">
                  <c:v>175</c:v>
                </c:pt>
                <c:pt idx="15">
                  <c:v>122</c:v>
                </c:pt>
                <c:pt idx="16">
                  <c:v>82</c:v>
                </c:pt>
                <c:pt idx="17">
                  <c:v>30</c:v>
                </c:pt>
                <c:pt idx="18">
                  <c:v>15</c:v>
                </c:pt>
                <c:pt idx="19">
                  <c:v>23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Naguru-Nakawa-24h'!$AF$9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Naguru-Nakawa-24h'!$R$10:$R$33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Naguru-Nakawa-24h'!$AF$10:$AF$33</c:f>
              <c:numCache>
                <c:formatCode>0</c:formatCode>
                <c:ptCount val="24"/>
                <c:pt idx="0">
                  <c:v>256</c:v>
                </c:pt>
                <c:pt idx="1">
                  <c:v>600</c:v>
                </c:pt>
                <c:pt idx="2">
                  <c:v>1104</c:v>
                </c:pt>
                <c:pt idx="3">
                  <c:v>955</c:v>
                </c:pt>
                <c:pt idx="4">
                  <c:v>984</c:v>
                </c:pt>
                <c:pt idx="5">
                  <c:v>1073</c:v>
                </c:pt>
                <c:pt idx="6">
                  <c:v>897</c:v>
                </c:pt>
                <c:pt idx="7">
                  <c:v>911</c:v>
                </c:pt>
                <c:pt idx="8">
                  <c:v>991</c:v>
                </c:pt>
                <c:pt idx="9">
                  <c:v>992</c:v>
                </c:pt>
                <c:pt idx="10">
                  <c:v>850</c:v>
                </c:pt>
                <c:pt idx="11">
                  <c:v>780</c:v>
                </c:pt>
                <c:pt idx="12">
                  <c:v>909</c:v>
                </c:pt>
                <c:pt idx="13">
                  <c:v>469</c:v>
                </c:pt>
                <c:pt idx="14">
                  <c:v>270</c:v>
                </c:pt>
                <c:pt idx="15">
                  <c:v>173</c:v>
                </c:pt>
                <c:pt idx="16">
                  <c:v>110</c:v>
                </c:pt>
                <c:pt idx="17">
                  <c:v>53</c:v>
                </c:pt>
                <c:pt idx="18">
                  <c:v>26</c:v>
                </c:pt>
                <c:pt idx="19">
                  <c:v>27</c:v>
                </c:pt>
                <c:pt idx="20">
                  <c:v>13</c:v>
                </c:pt>
                <c:pt idx="21">
                  <c:v>31</c:v>
                </c:pt>
                <c:pt idx="22">
                  <c:v>16</c:v>
                </c:pt>
                <c:pt idx="23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42936"/>
        <c:axId val="209543720"/>
      </c:lineChart>
      <c:catAx>
        <c:axId val="209542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3720"/>
        <c:crosses val="autoZero"/>
        <c:auto val="1"/>
        <c:lblAlgn val="ctr"/>
        <c:lblOffset val="100"/>
        <c:noMultiLvlLbl val="0"/>
      </c:catAx>
      <c:valAx>
        <c:axId val="209543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Naguru-Nakawa-24h'!$C$9:$N$9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Naguru-Nakawa-24h'!$C$107:$N$107</c:f>
              <c:numCache>
                <c:formatCode>0.0%</c:formatCode>
                <c:ptCount val="12"/>
                <c:pt idx="0">
                  <c:v>0.47844449756952745</c:v>
                </c:pt>
                <c:pt idx="1">
                  <c:v>0.11355486492947645</c:v>
                </c:pt>
                <c:pt idx="2">
                  <c:v>3.8010996892182645E-2</c:v>
                </c:pt>
                <c:pt idx="3">
                  <c:v>3.3628177544027416E-2</c:v>
                </c:pt>
                <c:pt idx="4">
                  <c:v>3.9843812255956648E-4</c:v>
                </c:pt>
                <c:pt idx="5">
                  <c:v>7.9687624511913304E-5</c:v>
                </c:pt>
                <c:pt idx="6">
                  <c:v>1.6256275400430314E-2</c:v>
                </c:pt>
                <c:pt idx="7">
                  <c:v>3.8250059765718384E-3</c:v>
                </c:pt>
                <c:pt idx="8">
                  <c:v>3.0281297314527053E-3</c:v>
                </c:pt>
                <c:pt idx="9">
                  <c:v>4.781257470714798E-4</c:v>
                </c:pt>
                <c:pt idx="10">
                  <c:v>0.31221611283767631</c:v>
                </c:pt>
                <c:pt idx="11">
                  <c:v>7.9687624511913304E-5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Naguru-Nakawa-24h'!$C$9:$N$9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Naguru-Nakawa-24h'!$C$108:$N$108</c:f>
              <c:numCache>
                <c:formatCode>0.00%</c:formatCode>
                <c:ptCount val="12"/>
                <c:pt idx="0">
                  <c:v>0.69563202409917735</c:v>
                </c:pt>
                <c:pt idx="1">
                  <c:v>0.16510253736531108</c:v>
                </c:pt>
                <c:pt idx="2">
                  <c:v>5.526590198123045E-2</c:v>
                </c:pt>
                <c:pt idx="3">
                  <c:v>4.8893523346078091E-2</c:v>
                </c:pt>
                <c:pt idx="4">
                  <c:v>5.7930714865021436E-4</c:v>
                </c:pt>
                <c:pt idx="5">
                  <c:v>1.1586142973004287E-4</c:v>
                </c:pt>
                <c:pt idx="6">
                  <c:v>2.3635731664928744E-2</c:v>
                </c:pt>
                <c:pt idx="7">
                  <c:v>5.5613486270420578E-3</c:v>
                </c:pt>
                <c:pt idx="8">
                  <c:v>4.4027343297416291E-3</c:v>
                </c:pt>
                <c:pt idx="9">
                  <c:v>6.9516857838025723E-4</c:v>
                </c:pt>
                <c:pt idx="11">
                  <c:v>1.1586142973004287E-4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Nakawa-Naguru-24h'!$AE$9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Nakawa-Naguru-24h'!$R$10:$R$33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Nakawa-Naguru-24h'!$AE$10:$AE$33</c:f>
              <c:numCache>
                <c:formatCode>0</c:formatCode>
                <c:ptCount val="24"/>
                <c:pt idx="0">
                  <c:v>116</c:v>
                </c:pt>
                <c:pt idx="1">
                  <c:v>176</c:v>
                </c:pt>
                <c:pt idx="2">
                  <c:v>340</c:v>
                </c:pt>
                <c:pt idx="3">
                  <c:v>331</c:v>
                </c:pt>
                <c:pt idx="4">
                  <c:v>492</c:v>
                </c:pt>
                <c:pt idx="5">
                  <c:v>479</c:v>
                </c:pt>
                <c:pt idx="6">
                  <c:v>747</c:v>
                </c:pt>
                <c:pt idx="7">
                  <c:v>804</c:v>
                </c:pt>
                <c:pt idx="8">
                  <c:v>1055</c:v>
                </c:pt>
                <c:pt idx="9">
                  <c:v>948</c:v>
                </c:pt>
                <c:pt idx="10">
                  <c:v>717</c:v>
                </c:pt>
                <c:pt idx="11">
                  <c:v>790</c:v>
                </c:pt>
                <c:pt idx="12">
                  <c:v>453</c:v>
                </c:pt>
                <c:pt idx="13">
                  <c:v>540</c:v>
                </c:pt>
                <c:pt idx="14">
                  <c:v>354</c:v>
                </c:pt>
                <c:pt idx="15">
                  <c:v>263</c:v>
                </c:pt>
                <c:pt idx="16">
                  <c:v>179</c:v>
                </c:pt>
                <c:pt idx="17">
                  <c:v>87</c:v>
                </c:pt>
                <c:pt idx="18">
                  <c:v>46</c:v>
                </c:pt>
                <c:pt idx="19">
                  <c:v>112</c:v>
                </c:pt>
                <c:pt idx="20">
                  <c:v>93</c:v>
                </c:pt>
                <c:pt idx="21">
                  <c:v>40</c:v>
                </c:pt>
                <c:pt idx="22">
                  <c:v>28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Nakawa-Naguru-24h'!$AF$9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Nakawa-Naguru-24h'!$R$10:$R$33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Nakawa-Naguru-24h'!$AF$10:$AF$33</c:f>
              <c:numCache>
                <c:formatCode>0</c:formatCode>
                <c:ptCount val="24"/>
                <c:pt idx="0">
                  <c:v>226</c:v>
                </c:pt>
                <c:pt idx="1">
                  <c:v>285</c:v>
                </c:pt>
                <c:pt idx="2">
                  <c:v>589</c:v>
                </c:pt>
                <c:pt idx="3">
                  <c:v>471</c:v>
                </c:pt>
                <c:pt idx="4">
                  <c:v>723</c:v>
                </c:pt>
                <c:pt idx="5">
                  <c:v>649</c:v>
                </c:pt>
                <c:pt idx="6">
                  <c:v>926</c:v>
                </c:pt>
                <c:pt idx="7">
                  <c:v>973</c:v>
                </c:pt>
                <c:pt idx="8">
                  <c:v>1245</c:v>
                </c:pt>
                <c:pt idx="9">
                  <c:v>1131</c:v>
                </c:pt>
                <c:pt idx="10">
                  <c:v>877</c:v>
                </c:pt>
                <c:pt idx="11">
                  <c:v>1010</c:v>
                </c:pt>
                <c:pt idx="12">
                  <c:v>684</c:v>
                </c:pt>
                <c:pt idx="13">
                  <c:v>682</c:v>
                </c:pt>
                <c:pt idx="14">
                  <c:v>424</c:v>
                </c:pt>
                <c:pt idx="15">
                  <c:v>298</c:v>
                </c:pt>
                <c:pt idx="16">
                  <c:v>210</c:v>
                </c:pt>
                <c:pt idx="17">
                  <c:v>111</c:v>
                </c:pt>
                <c:pt idx="18">
                  <c:v>54</c:v>
                </c:pt>
                <c:pt idx="19">
                  <c:v>117</c:v>
                </c:pt>
                <c:pt idx="20">
                  <c:v>100</c:v>
                </c:pt>
                <c:pt idx="21">
                  <c:v>45</c:v>
                </c:pt>
                <c:pt idx="22">
                  <c:v>31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176688"/>
        <c:axId val="210174728"/>
      </c:lineChart>
      <c:catAx>
        <c:axId val="210176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4728"/>
        <c:crosses val="autoZero"/>
        <c:auto val="1"/>
        <c:lblAlgn val="ctr"/>
        <c:lblOffset val="100"/>
        <c:noMultiLvlLbl val="0"/>
      </c:catAx>
      <c:valAx>
        <c:axId val="210174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Nakawa-Naguru-24h'!$C$9:$N$9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Nakawa-Naguru-24h'!$C$107:$N$107</c:f>
              <c:numCache>
                <c:formatCode>0.0%</c:formatCode>
                <c:ptCount val="12"/>
                <c:pt idx="0">
                  <c:v>0.36671983880446646</c:v>
                </c:pt>
                <c:pt idx="1">
                  <c:v>0.30694316178322562</c:v>
                </c:pt>
                <c:pt idx="2">
                  <c:v>4.9030308118545883E-2</c:v>
                </c:pt>
                <c:pt idx="3">
                  <c:v>2.8796910418940475E-2</c:v>
                </c:pt>
                <c:pt idx="4">
                  <c:v>7.5560406347074136E-4</c:v>
                </c:pt>
                <c:pt idx="5">
                  <c:v>1.6791201410460918E-4</c:v>
                </c:pt>
                <c:pt idx="6">
                  <c:v>8.8993367475442876E-3</c:v>
                </c:pt>
                <c:pt idx="7">
                  <c:v>5.7090084795567127E-3</c:v>
                </c:pt>
                <c:pt idx="8">
                  <c:v>1.9309881622030056E-3</c:v>
                </c:pt>
                <c:pt idx="9">
                  <c:v>7.5560406347074136E-4</c:v>
                </c:pt>
                <c:pt idx="10">
                  <c:v>0.21870539837125347</c:v>
                </c:pt>
                <c:pt idx="11">
                  <c:v>8.3956007052304589E-5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Nakawa-Naguru-24h'!$C$9:$N$9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Nakawa-Naguru-24h'!$C$108:$N$108</c:f>
              <c:numCache>
                <c:formatCode>0.00%</c:formatCode>
                <c:ptCount val="12"/>
                <c:pt idx="0">
                  <c:v>0.47395833333333331</c:v>
                </c:pt>
                <c:pt idx="1">
                  <c:v>0.3967013888888889</c:v>
                </c:pt>
                <c:pt idx="2">
                  <c:v>6.3368055555555552E-2</c:v>
                </c:pt>
                <c:pt idx="3">
                  <c:v>3.7217881944444448E-2</c:v>
                </c:pt>
                <c:pt idx="4">
                  <c:v>9.765625E-4</c:v>
                </c:pt>
                <c:pt idx="5">
                  <c:v>2.1701388888888888E-4</c:v>
                </c:pt>
                <c:pt idx="6">
                  <c:v>1.1501736111111112E-2</c:v>
                </c:pt>
                <c:pt idx="7">
                  <c:v>7.378472222222222E-3</c:v>
                </c:pt>
                <c:pt idx="8">
                  <c:v>2.495659722222222E-3</c:v>
                </c:pt>
                <c:pt idx="9">
                  <c:v>9.765625E-4</c:v>
                </c:pt>
                <c:pt idx="11">
                  <c:v>1.0850694444444444E-4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Naguru-Nakawa'!$AE$10:$AE$21</c:f>
              <c:numCache>
                <c:formatCode>0</c:formatCode>
                <c:ptCount val="12"/>
                <c:pt idx="0">
                  <c:v>133</c:v>
                </c:pt>
                <c:pt idx="1">
                  <c:v>88</c:v>
                </c:pt>
                <c:pt idx="2">
                  <c:v>147</c:v>
                </c:pt>
                <c:pt idx="3">
                  <c:v>277</c:v>
                </c:pt>
                <c:pt idx="4">
                  <c:v>153</c:v>
                </c:pt>
                <c:pt idx="5">
                  <c:v>148</c:v>
                </c:pt>
                <c:pt idx="6">
                  <c:v>170</c:v>
                </c:pt>
                <c:pt idx="7">
                  <c:v>176</c:v>
                </c:pt>
                <c:pt idx="8">
                  <c:v>92</c:v>
                </c:pt>
                <c:pt idx="9">
                  <c:v>181</c:v>
                </c:pt>
                <c:pt idx="10">
                  <c:v>94</c:v>
                </c:pt>
                <c:pt idx="11">
                  <c:v>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Naguru-Nakawa'!$AF$10:$AF$21</c:f>
              <c:numCache>
                <c:formatCode>0</c:formatCode>
                <c:ptCount val="12"/>
                <c:pt idx="0">
                  <c:v>199</c:v>
                </c:pt>
                <c:pt idx="1">
                  <c:v>219</c:v>
                </c:pt>
                <c:pt idx="2">
                  <c:v>331</c:v>
                </c:pt>
                <c:pt idx="3">
                  <c:v>479</c:v>
                </c:pt>
                <c:pt idx="4">
                  <c:v>330</c:v>
                </c:pt>
                <c:pt idx="5">
                  <c:v>296</c:v>
                </c:pt>
                <c:pt idx="6">
                  <c:v>330</c:v>
                </c:pt>
                <c:pt idx="7">
                  <c:v>324</c:v>
                </c:pt>
                <c:pt idx="8">
                  <c:v>235</c:v>
                </c:pt>
                <c:pt idx="9">
                  <c:v>348</c:v>
                </c:pt>
                <c:pt idx="10">
                  <c:v>244</c:v>
                </c:pt>
                <c:pt idx="11">
                  <c:v>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173552"/>
        <c:axId val="210172376"/>
      </c:lineChart>
      <c:catAx>
        <c:axId val="210173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2376"/>
        <c:crosses val="autoZero"/>
        <c:auto val="1"/>
        <c:lblAlgn val="ctr"/>
        <c:lblOffset val="100"/>
        <c:noMultiLvlLbl val="0"/>
      </c:catAx>
      <c:valAx>
        <c:axId val="210172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Naguru-Nakawa'!$C$59:$N$59</c:f>
              <c:numCache>
                <c:formatCode>0.0%</c:formatCode>
                <c:ptCount val="12"/>
                <c:pt idx="0">
                  <c:v>0.30833102684749514</c:v>
                </c:pt>
                <c:pt idx="1">
                  <c:v>0.12288956545806809</c:v>
                </c:pt>
                <c:pt idx="2">
                  <c:v>3.3490174370329369E-2</c:v>
                </c:pt>
                <c:pt idx="3">
                  <c:v>1.190146692499308E-2</c:v>
                </c:pt>
                <c:pt idx="4">
                  <c:v>5.5355660116246884E-4</c:v>
                </c:pt>
                <c:pt idx="5">
                  <c:v>0</c:v>
                </c:pt>
                <c:pt idx="6">
                  <c:v>1.3562136728480487E-2</c:v>
                </c:pt>
                <c:pt idx="7">
                  <c:v>3.5981179075560477E-3</c:v>
                </c:pt>
                <c:pt idx="8">
                  <c:v>2.7677830058123442E-4</c:v>
                </c:pt>
                <c:pt idx="9">
                  <c:v>0</c:v>
                </c:pt>
                <c:pt idx="10">
                  <c:v>0.50539717686133412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Naguru-Nakawa'!$S$9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Naguru-Nakawa'!$S$10:$S$21</c:f>
              <c:numCache>
                <c:formatCode>0</c:formatCode>
                <c:ptCount val="12"/>
                <c:pt idx="0">
                  <c:v>109</c:v>
                </c:pt>
                <c:pt idx="1">
                  <c:v>51</c:v>
                </c:pt>
                <c:pt idx="2">
                  <c:v>88</c:v>
                </c:pt>
                <c:pt idx="3">
                  <c:v>187</c:v>
                </c:pt>
                <c:pt idx="4">
                  <c:v>89</c:v>
                </c:pt>
                <c:pt idx="5">
                  <c:v>93</c:v>
                </c:pt>
                <c:pt idx="6">
                  <c:v>120</c:v>
                </c:pt>
                <c:pt idx="7">
                  <c:v>86</c:v>
                </c:pt>
                <c:pt idx="8">
                  <c:v>63</c:v>
                </c:pt>
                <c:pt idx="9">
                  <c:v>99</c:v>
                </c:pt>
                <c:pt idx="10">
                  <c:v>52</c:v>
                </c:pt>
                <c:pt idx="11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Naguru-Nakawa'!$T$9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Naguru-Nakawa'!$R$10:$R$21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Naguru-Nakawa'!$T$10:$T$21</c:f>
              <c:numCache>
                <c:formatCode>0</c:formatCode>
                <c:ptCount val="12"/>
                <c:pt idx="0">
                  <c:v>14</c:v>
                </c:pt>
                <c:pt idx="1">
                  <c:v>21</c:v>
                </c:pt>
                <c:pt idx="2">
                  <c:v>33</c:v>
                </c:pt>
                <c:pt idx="3">
                  <c:v>67</c:v>
                </c:pt>
                <c:pt idx="4">
                  <c:v>47</c:v>
                </c:pt>
                <c:pt idx="5">
                  <c:v>31</c:v>
                </c:pt>
                <c:pt idx="6">
                  <c:v>37</c:v>
                </c:pt>
                <c:pt idx="7">
                  <c:v>63</c:v>
                </c:pt>
                <c:pt idx="8">
                  <c:v>17</c:v>
                </c:pt>
                <c:pt idx="9">
                  <c:v>60</c:v>
                </c:pt>
                <c:pt idx="10">
                  <c:v>21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Naguru-Nakawa'!$U$9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Naguru-Nakawa'!$U$10:$U$21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11</c:v>
                </c:pt>
                <c:pt idx="3">
                  <c:v>15</c:v>
                </c:pt>
                <c:pt idx="4">
                  <c:v>10</c:v>
                </c:pt>
                <c:pt idx="5">
                  <c:v>18</c:v>
                </c:pt>
                <c:pt idx="6">
                  <c:v>4</c:v>
                </c:pt>
                <c:pt idx="7">
                  <c:v>16</c:v>
                </c:pt>
                <c:pt idx="8">
                  <c:v>5</c:v>
                </c:pt>
                <c:pt idx="9">
                  <c:v>11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Naguru-Nakawa'!$V$9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Naguru-Nakawa'!$V$10:$V$21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Naguru-Nakawa'!$W$9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Naguru-Nakawa'!$X$9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Naguru-Nakawa'!$Y$9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2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Naguru-Nakawa'!$Z$9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Naguru-Nakawa'!$AA$9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Naguru-Nakawa'!$AB$9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Naguru-Nakawa'!$AC$9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Naguru-Nakawa'!$AC$10:$AC$21</c:f>
              <c:numCache>
                <c:formatCode>0</c:formatCode>
                <c:ptCount val="12"/>
                <c:pt idx="0">
                  <c:v>66</c:v>
                </c:pt>
                <c:pt idx="1">
                  <c:v>131</c:v>
                </c:pt>
                <c:pt idx="2">
                  <c:v>184</c:v>
                </c:pt>
                <c:pt idx="3">
                  <c:v>202</c:v>
                </c:pt>
                <c:pt idx="4">
                  <c:v>177</c:v>
                </c:pt>
                <c:pt idx="5">
                  <c:v>148</c:v>
                </c:pt>
                <c:pt idx="6">
                  <c:v>160</c:v>
                </c:pt>
                <c:pt idx="7">
                  <c:v>148</c:v>
                </c:pt>
                <c:pt idx="8">
                  <c:v>143</c:v>
                </c:pt>
                <c:pt idx="9">
                  <c:v>167</c:v>
                </c:pt>
                <c:pt idx="10">
                  <c:v>150</c:v>
                </c:pt>
                <c:pt idx="11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Naguru-Nakawa'!$AD$9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Naguru-Nakawa'!$AD$10:$AD$21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75512"/>
        <c:axId val="210177472"/>
      </c:lineChart>
      <c:catAx>
        <c:axId val="210175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7472"/>
        <c:crosses val="autoZero"/>
        <c:auto val="1"/>
        <c:lblAlgn val="ctr"/>
        <c:lblOffset val="100"/>
        <c:noMultiLvlLbl val="0"/>
      </c:catAx>
      <c:valAx>
        <c:axId val="21017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5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Naguru-Nakawa'!$C$60:$N$60</c:f>
              <c:numCache>
                <c:formatCode>0.00%</c:formatCode>
                <c:ptCount val="12"/>
                <c:pt idx="0">
                  <c:v>0.62339115836597647</c:v>
                </c:pt>
                <c:pt idx="1">
                  <c:v>0.24846110800223839</c:v>
                </c:pt>
                <c:pt idx="2">
                  <c:v>6.771124790151091E-2</c:v>
                </c:pt>
                <c:pt idx="3">
                  <c:v>2.4062674874090653E-2</c:v>
                </c:pt>
                <c:pt idx="4">
                  <c:v>1.1191941801902631E-3</c:v>
                </c:pt>
                <c:pt idx="5">
                  <c:v>0</c:v>
                </c:pt>
                <c:pt idx="6">
                  <c:v>2.7420257414661444E-2</c:v>
                </c:pt>
                <c:pt idx="7">
                  <c:v>7.2747621712367094E-3</c:v>
                </c:pt>
                <c:pt idx="8">
                  <c:v>5.5959709009513155E-4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Nakawa-Naguru'!$AE$10:$AE$21</c:f>
              <c:numCache>
                <c:formatCode>0</c:formatCode>
                <c:ptCount val="12"/>
                <c:pt idx="0">
                  <c:v>36</c:v>
                </c:pt>
                <c:pt idx="1">
                  <c:v>63</c:v>
                </c:pt>
                <c:pt idx="2">
                  <c:v>130</c:v>
                </c:pt>
                <c:pt idx="3">
                  <c:v>176</c:v>
                </c:pt>
                <c:pt idx="4">
                  <c:v>236</c:v>
                </c:pt>
                <c:pt idx="5">
                  <c:v>400</c:v>
                </c:pt>
                <c:pt idx="6">
                  <c:v>430</c:v>
                </c:pt>
                <c:pt idx="7">
                  <c:v>589</c:v>
                </c:pt>
                <c:pt idx="8">
                  <c:v>298</c:v>
                </c:pt>
                <c:pt idx="9">
                  <c:v>382</c:v>
                </c:pt>
                <c:pt idx="10">
                  <c:v>472</c:v>
                </c:pt>
                <c:pt idx="11">
                  <c:v>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Nakawa-Naguru'!$AF$10:$AF$21</c:f>
              <c:numCache>
                <c:formatCode>0</c:formatCode>
                <c:ptCount val="12"/>
                <c:pt idx="0">
                  <c:v>118</c:v>
                </c:pt>
                <c:pt idx="1">
                  <c:v>201</c:v>
                </c:pt>
                <c:pt idx="2">
                  <c:v>386</c:v>
                </c:pt>
                <c:pt idx="3">
                  <c:v>445</c:v>
                </c:pt>
                <c:pt idx="4">
                  <c:v>432</c:v>
                </c:pt>
                <c:pt idx="5">
                  <c:v>588</c:v>
                </c:pt>
                <c:pt idx="6">
                  <c:v>630</c:v>
                </c:pt>
                <c:pt idx="7">
                  <c:v>700</c:v>
                </c:pt>
                <c:pt idx="8">
                  <c:v>435</c:v>
                </c:pt>
                <c:pt idx="9">
                  <c:v>543</c:v>
                </c:pt>
                <c:pt idx="10">
                  <c:v>634</c:v>
                </c:pt>
                <c:pt idx="11">
                  <c:v>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178256"/>
        <c:axId val="210175120"/>
      </c:lineChart>
      <c:catAx>
        <c:axId val="210178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5120"/>
        <c:crosses val="autoZero"/>
        <c:auto val="1"/>
        <c:lblAlgn val="ctr"/>
        <c:lblOffset val="100"/>
        <c:noMultiLvlLbl val="0"/>
      </c:catAx>
      <c:valAx>
        <c:axId val="210175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17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Nakawa-Naguru'!$C$59:$N$59</c:f>
              <c:numCache>
                <c:formatCode>0.0%</c:formatCode>
                <c:ptCount val="12"/>
                <c:pt idx="0">
                  <c:v>0.29741529863779254</c:v>
                </c:pt>
                <c:pt idx="1">
                  <c:v>0.28955640936081034</c:v>
                </c:pt>
                <c:pt idx="2">
                  <c:v>3.4928396786587497E-2</c:v>
                </c:pt>
                <c:pt idx="3">
                  <c:v>1.8162766329025498E-2</c:v>
                </c:pt>
                <c:pt idx="4">
                  <c:v>3.4928396786587494E-4</c:v>
                </c:pt>
                <c:pt idx="5">
                  <c:v>1.7464198393293747E-4</c:v>
                </c:pt>
                <c:pt idx="6">
                  <c:v>8.0335312609151246E-3</c:v>
                </c:pt>
                <c:pt idx="7">
                  <c:v>2.7942717429269995E-3</c:v>
                </c:pt>
                <c:pt idx="8">
                  <c:v>5.2392595179881246E-4</c:v>
                </c:pt>
                <c:pt idx="9">
                  <c:v>0</c:v>
                </c:pt>
                <c:pt idx="10">
                  <c:v>0.34806147397834442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Nakawa-Naguru'!$S$9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Nakawa-Naguru'!$S$10:$S$21</c:f>
              <c:numCache>
                <c:formatCode>0</c:formatCode>
                <c:ptCount val="12"/>
                <c:pt idx="0">
                  <c:v>15</c:v>
                </c:pt>
                <c:pt idx="1">
                  <c:v>26</c:v>
                </c:pt>
                <c:pt idx="2">
                  <c:v>49</c:v>
                </c:pt>
                <c:pt idx="3">
                  <c:v>110</c:v>
                </c:pt>
                <c:pt idx="4">
                  <c:v>91</c:v>
                </c:pt>
                <c:pt idx="5">
                  <c:v>183</c:v>
                </c:pt>
                <c:pt idx="6">
                  <c:v>223</c:v>
                </c:pt>
                <c:pt idx="7">
                  <c:v>273</c:v>
                </c:pt>
                <c:pt idx="8">
                  <c:v>140</c:v>
                </c:pt>
                <c:pt idx="9">
                  <c:v>175</c:v>
                </c:pt>
                <c:pt idx="10">
                  <c:v>199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Nakawa-Naguru'!$T$9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Nakawa-Naguru'!$R$10:$R$21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Nakawa-Naguru'!$T$10:$T$21</c:f>
              <c:numCache>
                <c:formatCode>0</c:formatCode>
                <c:ptCount val="12"/>
                <c:pt idx="0">
                  <c:v>4</c:v>
                </c:pt>
                <c:pt idx="1">
                  <c:v>23</c:v>
                </c:pt>
                <c:pt idx="2">
                  <c:v>48</c:v>
                </c:pt>
                <c:pt idx="3">
                  <c:v>97</c:v>
                </c:pt>
                <c:pt idx="4">
                  <c:v>111</c:v>
                </c:pt>
                <c:pt idx="5">
                  <c:v>186</c:v>
                </c:pt>
                <c:pt idx="6">
                  <c:v>183</c:v>
                </c:pt>
                <c:pt idx="7">
                  <c:v>273</c:v>
                </c:pt>
                <c:pt idx="8">
                  <c:v>126</c:v>
                </c:pt>
                <c:pt idx="9">
                  <c:v>182</c:v>
                </c:pt>
                <c:pt idx="10">
                  <c:v>231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Nakawa-Naguru'!$U$9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Nakawa-Naguru'!$U$10:$U$21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22</c:v>
                </c:pt>
                <c:pt idx="3">
                  <c:v>18</c:v>
                </c:pt>
                <c:pt idx="4">
                  <c:v>14</c:v>
                </c:pt>
                <c:pt idx="5">
                  <c:v>15</c:v>
                </c:pt>
                <c:pt idx="6">
                  <c:v>11</c:v>
                </c:pt>
                <c:pt idx="7">
                  <c:v>29</c:v>
                </c:pt>
                <c:pt idx="8">
                  <c:v>21</c:v>
                </c:pt>
                <c:pt idx="9">
                  <c:v>13</c:v>
                </c:pt>
                <c:pt idx="10">
                  <c:v>25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Nakawa-Naguru'!$V$9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8</c:v>
                </c:pt>
                <c:pt idx="3">
                  <c:v>18</c:v>
                </c:pt>
                <c:pt idx="4">
                  <c:v>11</c:v>
                </c:pt>
                <c:pt idx="5">
                  <c:v>9</c:v>
                </c:pt>
                <c:pt idx="6">
                  <c:v>7</c:v>
                </c:pt>
                <c:pt idx="7">
                  <c:v>9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Nakawa-Naguru'!$W$9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Nakawa-Naguru'!$X$9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Nakawa-Naguru'!$Y$9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0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Nakawa-Naguru'!$Z$9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Nakawa-Naguru'!$Z$10:$Z$21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Nakawa-Naguru'!$AA$9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Nakawa-Naguru'!$AB$9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Nakawa-Naguru'!$AC$9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Nakawa-Naguru'!$AC$10:$AC$21</c:f>
              <c:numCache>
                <c:formatCode>0</c:formatCode>
                <c:ptCount val="12"/>
                <c:pt idx="0">
                  <c:v>82</c:v>
                </c:pt>
                <c:pt idx="1">
                  <c:v>138</c:v>
                </c:pt>
                <c:pt idx="2">
                  <c:v>256</c:v>
                </c:pt>
                <c:pt idx="3">
                  <c:v>197</c:v>
                </c:pt>
                <c:pt idx="4">
                  <c:v>196</c:v>
                </c:pt>
                <c:pt idx="5">
                  <c:v>188</c:v>
                </c:pt>
                <c:pt idx="6">
                  <c:v>200</c:v>
                </c:pt>
                <c:pt idx="7">
                  <c:v>111</c:v>
                </c:pt>
                <c:pt idx="8">
                  <c:v>137</c:v>
                </c:pt>
                <c:pt idx="9">
                  <c:v>161</c:v>
                </c:pt>
                <c:pt idx="10">
                  <c:v>162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Nakawa-Naguru'!$AD$9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Nakawa-Naguru'!$AD$10:$AD$21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544896"/>
        <c:axId val="211834440"/>
      </c:lineChart>
      <c:catAx>
        <c:axId val="2095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834440"/>
        <c:crosses val="autoZero"/>
        <c:auto val="1"/>
        <c:lblAlgn val="ctr"/>
        <c:lblOffset val="100"/>
        <c:noMultiLvlLbl val="0"/>
      </c:catAx>
      <c:valAx>
        <c:axId val="211834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54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Nakawa-Naguru'!$C$60:$N$60</c:f>
              <c:numCache>
                <c:formatCode>0.00%</c:formatCode>
                <c:ptCount val="12"/>
                <c:pt idx="0">
                  <c:v>0.46517344987708276</c:v>
                </c:pt>
                <c:pt idx="1">
                  <c:v>0.45288172630428847</c:v>
                </c:pt>
                <c:pt idx="2">
                  <c:v>5.4629882545752524E-2</c:v>
                </c:pt>
                <c:pt idx="3">
                  <c:v>2.8407538923791314E-2</c:v>
                </c:pt>
                <c:pt idx="4">
                  <c:v>5.4629882545752522E-4</c:v>
                </c:pt>
                <c:pt idx="5">
                  <c:v>2.7314941272876261E-4</c:v>
                </c:pt>
                <c:pt idx="6">
                  <c:v>1.2564872985523081E-2</c:v>
                </c:pt>
                <c:pt idx="7">
                  <c:v>4.3703906036602017E-3</c:v>
                </c:pt>
                <c:pt idx="8">
                  <c:v>8.1944823818628793E-4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Naguru-Nakawa'!$AE$9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Naguru-Nakawa'!$R$10:$R$33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Naguru-Nakawa'!$AE$10:$AE$33</c:f>
              <c:numCache>
                <c:formatCode>0</c:formatCode>
                <c:ptCount val="24"/>
                <c:pt idx="0">
                  <c:v>509.57142857142856</c:v>
                </c:pt>
                <c:pt idx="1">
                  <c:v>695.85714285714278</c:v>
                </c:pt>
                <c:pt idx="2">
                  <c:v>634.71428571428567</c:v>
                </c:pt>
                <c:pt idx="3">
                  <c:v>623.14285714285711</c:v>
                </c:pt>
                <c:pt idx="4">
                  <c:v>549.85714285714278</c:v>
                </c:pt>
                <c:pt idx="5">
                  <c:v>580.28571428571422</c:v>
                </c:pt>
                <c:pt idx="6">
                  <c:v>491.00000000000006</c:v>
                </c:pt>
                <c:pt idx="7">
                  <c:v>444</c:v>
                </c:pt>
                <c:pt idx="8">
                  <c:v>482.42857142857144</c:v>
                </c:pt>
                <c:pt idx="9">
                  <c:v>450.00000000000006</c:v>
                </c:pt>
                <c:pt idx="10">
                  <c:v>409.28571428571428</c:v>
                </c:pt>
                <c:pt idx="11">
                  <c:v>403.28571428571433</c:v>
                </c:pt>
                <c:pt idx="12">
                  <c:v>496.5</c:v>
                </c:pt>
                <c:pt idx="13">
                  <c:v>228.5</c:v>
                </c:pt>
                <c:pt idx="14">
                  <c:v>154.5</c:v>
                </c:pt>
                <c:pt idx="15">
                  <c:v>88</c:v>
                </c:pt>
                <c:pt idx="16">
                  <c:v>61.5</c:v>
                </c:pt>
                <c:pt idx="17">
                  <c:v>18</c:v>
                </c:pt>
                <c:pt idx="18">
                  <c:v>13.5</c:v>
                </c:pt>
                <c:pt idx="19">
                  <c:v>13.5</c:v>
                </c:pt>
                <c:pt idx="20">
                  <c:v>3.5</c:v>
                </c:pt>
                <c:pt idx="21">
                  <c:v>9</c:v>
                </c:pt>
                <c:pt idx="22">
                  <c:v>16.5</c:v>
                </c:pt>
                <c:pt idx="23">
                  <c:v>120.5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Naguru-Nakawa'!$AF$9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Naguru-Nakawa'!$R$10:$R$33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Naguru-Nakawa'!$AF$10:$AF$33</c:f>
              <c:numCache>
                <c:formatCode>0</c:formatCode>
                <c:ptCount val="24"/>
                <c:pt idx="0">
                  <c:v>674</c:v>
                </c:pt>
                <c:pt idx="1">
                  <c:v>1036.2857142857142</c:v>
                </c:pt>
                <c:pt idx="2">
                  <c:v>987.57142857142867</c:v>
                </c:pt>
                <c:pt idx="3">
                  <c:v>919.57142857142844</c:v>
                </c:pt>
                <c:pt idx="4">
                  <c:v>833.28571428571422</c:v>
                </c:pt>
                <c:pt idx="5">
                  <c:v>855.85714285714278</c:v>
                </c:pt>
                <c:pt idx="6">
                  <c:v>778.14285714285722</c:v>
                </c:pt>
                <c:pt idx="7">
                  <c:v>735.85714285714289</c:v>
                </c:pt>
                <c:pt idx="8">
                  <c:v>756.28571428571422</c:v>
                </c:pt>
                <c:pt idx="9">
                  <c:v>724.71428571428578</c:v>
                </c:pt>
                <c:pt idx="10">
                  <c:v>757.42857142857144</c:v>
                </c:pt>
                <c:pt idx="11">
                  <c:v>704.71428571428578</c:v>
                </c:pt>
                <c:pt idx="12">
                  <c:v>714.5</c:v>
                </c:pt>
                <c:pt idx="13">
                  <c:v>398.5</c:v>
                </c:pt>
                <c:pt idx="14">
                  <c:v>284.5</c:v>
                </c:pt>
                <c:pt idx="15">
                  <c:v>186</c:v>
                </c:pt>
                <c:pt idx="16">
                  <c:v>117</c:v>
                </c:pt>
                <c:pt idx="17">
                  <c:v>33.5</c:v>
                </c:pt>
                <c:pt idx="18">
                  <c:v>22.5</c:v>
                </c:pt>
                <c:pt idx="19">
                  <c:v>18.5</c:v>
                </c:pt>
                <c:pt idx="20">
                  <c:v>10.5</c:v>
                </c:pt>
                <c:pt idx="21">
                  <c:v>23.5</c:v>
                </c:pt>
                <c:pt idx="22">
                  <c:v>38</c:v>
                </c:pt>
                <c:pt idx="23">
                  <c:v>181.5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830912"/>
        <c:axId val="211832872"/>
      </c:lineChart>
      <c:catAx>
        <c:axId val="211830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832872"/>
        <c:crosses val="autoZero"/>
        <c:auto val="1"/>
        <c:lblAlgn val="ctr"/>
        <c:lblOffset val="100"/>
        <c:noMultiLvlLbl val="0"/>
      </c:catAx>
      <c:valAx>
        <c:axId val="211832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83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047546890980511"/>
          <c:y val="8.29707208928981E-2"/>
          <c:w val="0.82101228366016787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Naguru-Nakawa'!$C$107:$N$107</c:f>
              <c:numCache>
                <c:formatCode>0.0%</c:formatCode>
                <c:ptCount val="12"/>
                <c:pt idx="0">
                  <c:v>0.41417763536473834</c:v>
                </c:pt>
                <c:pt idx="1">
                  <c:v>0.11129013695477043</c:v>
                </c:pt>
                <c:pt idx="2">
                  <c:v>4.6810546910491795E-2</c:v>
                </c:pt>
                <c:pt idx="3">
                  <c:v>4.0214184904083211E-2</c:v>
                </c:pt>
                <c:pt idx="4">
                  <c:v>4.6035216940959836E-4</c:v>
                </c:pt>
                <c:pt idx="5">
                  <c:v>2.3017608470479923E-4</c:v>
                </c:pt>
                <c:pt idx="6">
                  <c:v>1.5676202821474219E-2</c:v>
                </c:pt>
                <c:pt idx="7">
                  <c:v>3.7615618053073755E-3</c:v>
                </c:pt>
                <c:pt idx="8">
                  <c:v>1.9140958622820149E-3</c:v>
                </c:pt>
                <c:pt idx="9">
                  <c:v>2.241188193178308E-4</c:v>
                </c:pt>
                <c:pt idx="10">
                  <c:v>0.36424759677995777</c:v>
                </c:pt>
                <c:pt idx="11">
                  <c:v>9.9339152346281752E-4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431801479360536"/>
          <c:y val="0.23577695445690167"/>
          <c:w val="0.82166700071581966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Naguru-Nakawa'!$C$9:$N$9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Naguru-Nakawa'!$C$108:$N$108</c:f>
              <c:numCache>
                <c:formatCode>0.00%</c:formatCode>
                <c:ptCount val="12"/>
                <c:pt idx="0">
                  <c:v>0.65147631887344337</c:v>
                </c:pt>
                <c:pt idx="1">
                  <c:v>0.17505264060520023</c:v>
                </c:pt>
                <c:pt idx="2">
                  <c:v>7.3630153300875578E-2</c:v>
                </c:pt>
                <c:pt idx="3">
                  <c:v>6.3254475642405938E-2</c:v>
                </c:pt>
                <c:pt idx="4">
                  <c:v>7.2410606248273076E-4</c:v>
                </c:pt>
                <c:pt idx="5">
                  <c:v>3.6205303124136554E-4</c:v>
                </c:pt>
                <c:pt idx="6">
                  <c:v>2.4657716969806679E-2</c:v>
                </c:pt>
                <c:pt idx="7">
                  <c:v>5.916708747391787E-3</c:v>
                </c:pt>
                <c:pt idx="8">
                  <c:v>3.0107567861124081E-3</c:v>
                </c:pt>
                <c:pt idx="9">
                  <c:v>3.5252531989290846E-4</c:v>
                </c:pt>
                <c:pt idx="11">
                  <c:v>1.5625446611469455E-3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Nakawa-Naguru'!$AE$9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Nakawa-Naguru'!$R$10:$R$33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Nakawa-Naguru'!$AE$10:$AE$33</c:f>
              <c:numCache>
                <c:formatCode>0</c:formatCode>
                <c:ptCount val="24"/>
                <c:pt idx="0">
                  <c:v>230.97619047619051</c:v>
                </c:pt>
                <c:pt idx="1">
                  <c:v>337.28571428571433</c:v>
                </c:pt>
                <c:pt idx="2">
                  <c:v>325.57142857142856</c:v>
                </c:pt>
                <c:pt idx="3">
                  <c:v>359.57142857142856</c:v>
                </c:pt>
                <c:pt idx="4">
                  <c:v>457.57142857142856</c:v>
                </c:pt>
                <c:pt idx="5">
                  <c:v>508.99999999999994</c:v>
                </c:pt>
                <c:pt idx="6">
                  <c:v>551</c:v>
                </c:pt>
                <c:pt idx="7">
                  <c:v>596.14285714285711</c:v>
                </c:pt>
                <c:pt idx="8">
                  <c:v>717.28571428571422</c:v>
                </c:pt>
                <c:pt idx="9">
                  <c:v>829.42857142857133</c:v>
                </c:pt>
                <c:pt idx="10">
                  <c:v>1187</c:v>
                </c:pt>
                <c:pt idx="11">
                  <c:v>1164.5714285714287</c:v>
                </c:pt>
                <c:pt idx="12">
                  <c:v>620</c:v>
                </c:pt>
                <c:pt idx="13">
                  <c:v>599</c:v>
                </c:pt>
                <c:pt idx="14">
                  <c:v>482.5</c:v>
                </c:pt>
                <c:pt idx="15">
                  <c:v>340</c:v>
                </c:pt>
                <c:pt idx="16">
                  <c:v>329.5</c:v>
                </c:pt>
                <c:pt idx="17">
                  <c:v>213.5</c:v>
                </c:pt>
                <c:pt idx="18">
                  <c:v>86.5</c:v>
                </c:pt>
                <c:pt idx="19">
                  <c:v>62</c:v>
                </c:pt>
                <c:pt idx="20">
                  <c:v>53</c:v>
                </c:pt>
                <c:pt idx="21">
                  <c:v>44.5</c:v>
                </c:pt>
                <c:pt idx="22">
                  <c:v>43.5</c:v>
                </c:pt>
                <c:pt idx="23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Nakawa-Naguru'!$AF$9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Nakawa-Naguru'!$R$10:$R$33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Nakawa-Naguru'!$AF$10:$AF$33</c:f>
              <c:numCache>
                <c:formatCode>0</c:formatCode>
                <c:ptCount val="24"/>
                <c:pt idx="0">
                  <c:v>388.6904761904762</c:v>
                </c:pt>
                <c:pt idx="1">
                  <c:v>569.14285714285722</c:v>
                </c:pt>
                <c:pt idx="2">
                  <c:v>515.85714285714278</c:v>
                </c:pt>
                <c:pt idx="3">
                  <c:v>549.57142857142856</c:v>
                </c:pt>
                <c:pt idx="4">
                  <c:v>668.28571428571433</c:v>
                </c:pt>
                <c:pt idx="5">
                  <c:v>721.99999999999989</c:v>
                </c:pt>
                <c:pt idx="6">
                  <c:v>752.42857142857133</c:v>
                </c:pt>
                <c:pt idx="7">
                  <c:v>756.85714285714289</c:v>
                </c:pt>
                <c:pt idx="8">
                  <c:v>898.57142857142844</c:v>
                </c:pt>
                <c:pt idx="9">
                  <c:v>1020.8571428571428</c:v>
                </c:pt>
                <c:pt idx="10">
                  <c:v>1394.8571428571431</c:v>
                </c:pt>
                <c:pt idx="11">
                  <c:v>1433.7142857142858</c:v>
                </c:pt>
                <c:pt idx="12">
                  <c:v>841.5</c:v>
                </c:pt>
                <c:pt idx="13">
                  <c:v>696</c:v>
                </c:pt>
                <c:pt idx="14">
                  <c:v>528.5</c:v>
                </c:pt>
                <c:pt idx="15">
                  <c:v>369</c:v>
                </c:pt>
                <c:pt idx="16">
                  <c:v>354.5</c:v>
                </c:pt>
                <c:pt idx="17">
                  <c:v>231</c:v>
                </c:pt>
                <c:pt idx="18">
                  <c:v>94.5</c:v>
                </c:pt>
                <c:pt idx="19">
                  <c:v>69.5</c:v>
                </c:pt>
                <c:pt idx="20">
                  <c:v>58</c:v>
                </c:pt>
                <c:pt idx="21">
                  <c:v>50.5</c:v>
                </c:pt>
                <c:pt idx="22">
                  <c:v>49.5</c:v>
                </c:pt>
                <c:pt idx="23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827384"/>
        <c:axId val="211828168"/>
      </c:lineChart>
      <c:catAx>
        <c:axId val="211827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828168"/>
        <c:crosses val="autoZero"/>
        <c:auto val="1"/>
        <c:lblAlgn val="ctr"/>
        <c:lblOffset val="100"/>
        <c:noMultiLvlLbl val="0"/>
      </c:catAx>
      <c:valAx>
        <c:axId val="211828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827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8170516764874589"/>
          <c:y val="0.21057127567791886"/>
          <c:w val="0.81672211503363401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Nakawa-Naguru'!$C$107:$N$107</c:f>
              <c:numCache>
                <c:formatCode>0.0%</c:formatCode>
                <c:ptCount val="12"/>
                <c:pt idx="0">
                  <c:v>0.39081914112913435</c:v>
                </c:pt>
                <c:pt idx="1">
                  <c:v>0.27569147455525472</c:v>
                </c:pt>
                <c:pt idx="2">
                  <c:v>5.7967818551870984E-2</c:v>
                </c:pt>
                <c:pt idx="3">
                  <c:v>3.5089780528452498E-2</c:v>
                </c:pt>
                <c:pt idx="4">
                  <c:v>1.7135482378289274E-3</c:v>
                </c:pt>
                <c:pt idx="5">
                  <c:v>1.2905837993774831E-3</c:v>
                </c:pt>
                <c:pt idx="6">
                  <c:v>9.5691185348801052E-3</c:v>
                </c:pt>
                <c:pt idx="7">
                  <c:v>3.7090727679588167E-3</c:v>
                </c:pt>
                <c:pt idx="8">
                  <c:v>2.1744710233208859E-3</c:v>
                </c:pt>
                <c:pt idx="9">
                  <c:v>5.2057161655562334E-4</c:v>
                </c:pt>
                <c:pt idx="10">
                  <c:v>0.22136765731927308</c:v>
                </c:pt>
                <c:pt idx="11">
                  <c:v>8.6761936092603895E-5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2315940740242626E-2"/>
          <c:y val="0.2306791908246196"/>
          <c:w val="0.82101228366016787"/>
          <c:h val="0.7670790186596450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Nakawa-Naguru'!$C$9:$N$9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Nakawa-Naguru'!$C$108:$N$108</c:f>
              <c:numCache>
                <c:formatCode>0.00%</c:formatCode>
                <c:ptCount val="12"/>
                <c:pt idx="0">
                  <c:v>0.50193026889121539</c:v>
                </c:pt>
                <c:pt idx="1">
                  <c:v>0.35407143968112836</c:v>
                </c:pt>
                <c:pt idx="2">
                  <c:v>7.4448254168707567E-2</c:v>
                </c:pt>
                <c:pt idx="3">
                  <c:v>4.5065916999598395E-2</c:v>
                </c:pt>
                <c:pt idx="4">
                  <c:v>2.2007154646689988E-3</c:v>
                </c:pt>
                <c:pt idx="5">
                  <c:v>1.6575008879469041E-3</c:v>
                </c:pt>
                <c:pt idx="6">
                  <c:v>1.2289649440883626E-2</c:v>
                </c:pt>
                <c:pt idx="7">
                  <c:v>4.7635739804860596E-3</c:v>
                </c:pt>
                <c:pt idx="8">
                  <c:v>2.7926800675071787E-3</c:v>
                </c:pt>
                <c:pt idx="9">
                  <c:v>6.6857178673488554E-4</c:v>
                </c:pt>
                <c:pt idx="11">
                  <c:v>1.1142863112248091E-4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Naguru-Nakawa-2Dir'!$C$9:$N$9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Naguru-Nakawa-2Dir'!$C$107:$N$107</c:f>
              <c:numCache>
                <c:formatCode>0.0%</c:formatCode>
                <c:ptCount val="12"/>
                <c:pt idx="0">
                  <c:v>0.40185272257515658</c:v>
                </c:pt>
                <c:pt idx="1">
                  <c:v>0.19803511837262561</c:v>
                </c:pt>
                <c:pt idx="2">
                  <c:v>5.2697587340523863E-2</c:v>
                </c:pt>
                <c:pt idx="3">
                  <c:v>3.7510336086125959E-2</c:v>
                </c:pt>
                <c:pt idx="4">
                  <c:v>1.1215905221785946E-3</c:v>
                </c:pt>
                <c:pt idx="5">
                  <c:v>7.8969128602370431E-4</c:v>
                </c:pt>
                <c:pt idx="6">
                  <c:v>1.2453851223306197E-2</c:v>
                </c:pt>
                <c:pt idx="7">
                  <c:v>3.7338664067425149E-3</c:v>
                </c:pt>
                <c:pt idx="8">
                  <c:v>2.0514806234746227E-3</c:v>
                </c:pt>
                <c:pt idx="9">
                  <c:v>3.8053964145345166E-4</c:v>
                </c:pt>
                <c:pt idx="10">
                  <c:v>0.28885819986628658</c:v>
                </c:pt>
                <c:pt idx="11">
                  <c:v>5.1501605610241566E-4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Naguru-Nakawa-2Dir'!$C$9:$N$9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Naguru-Nakawa-2Dir'!$C$108:$N$108</c:f>
              <c:numCache>
                <c:formatCode>0.00%</c:formatCode>
                <c:ptCount val="12"/>
                <c:pt idx="0">
                  <c:v>0.56508100423796992</c:v>
                </c:pt>
                <c:pt idx="1">
                  <c:v>0.27847486722815296</c:v>
                </c:pt>
                <c:pt idx="2">
                  <c:v>7.4102784185397771E-2</c:v>
                </c:pt>
                <c:pt idx="3">
                  <c:v>5.2746633764283041E-2</c:v>
                </c:pt>
                <c:pt idx="4">
                  <c:v>1.5771686068343973E-3</c:v>
                </c:pt>
                <c:pt idx="5">
                  <c:v>1.1104554476691164E-3</c:v>
                </c:pt>
                <c:pt idx="6">
                  <c:v>1.7512472506839762E-2</c:v>
                </c:pt>
                <c:pt idx="7">
                  <c:v>5.2505230406094091E-3</c:v>
                </c:pt>
                <c:pt idx="8">
                  <c:v>2.8847701303578127E-3</c:v>
                </c:pt>
                <c:pt idx="9">
                  <c:v>5.3511077731881326E-4</c:v>
                </c:pt>
                <c:pt idx="11">
                  <c:v>7.2421007456681473E-4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Naguru-Nakawa-2Dir'!$AE$9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Naguru-Nakawa-2Dir'!$R$10:$R$33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Naguru-Nakawa-2Dir'!$AE$10:$AE$33</c:f>
              <c:numCache>
                <c:formatCode>0</c:formatCode>
                <c:ptCount val="24"/>
                <c:pt idx="0">
                  <c:v>740.54761904761904</c:v>
                </c:pt>
                <c:pt idx="1">
                  <c:v>1033.1428571428571</c:v>
                </c:pt>
                <c:pt idx="2">
                  <c:v>960.28571428571433</c:v>
                </c:pt>
                <c:pt idx="3">
                  <c:v>982.71428571428578</c:v>
                </c:pt>
                <c:pt idx="4">
                  <c:v>1007.4285714285714</c:v>
                </c:pt>
                <c:pt idx="5">
                  <c:v>1089.2857142857147</c:v>
                </c:pt>
                <c:pt idx="6">
                  <c:v>1042.0000000000002</c:v>
                </c:pt>
                <c:pt idx="7">
                  <c:v>1040.1428571428571</c:v>
                </c:pt>
                <c:pt idx="8">
                  <c:v>1199.7142857142858</c:v>
                </c:pt>
                <c:pt idx="9">
                  <c:v>1279.4285714285713</c:v>
                </c:pt>
                <c:pt idx="10">
                  <c:v>1596.2857142857144</c:v>
                </c:pt>
                <c:pt idx="11">
                  <c:v>1567.8571428571429</c:v>
                </c:pt>
                <c:pt idx="12">
                  <c:v>1116.5</c:v>
                </c:pt>
                <c:pt idx="13">
                  <c:v>827.5</c:v>
                </c:pt>
                <c:pt idx="14">
                  <c:v>637</c:v>
                </c:pt>
                <c:pt idx="15">
                  <c:v>428</c:v>
                </c:pt>
                <c:pt idx="16">
                  <c:v>391</c:v>
                </c:pt>
                <c:pt idx="17">
                  <c:v>231.5</c:v>
                </c:pt>
                <c:pt idx="18">
                  <c:v>100</c:v>
                </c:pt>
                <c:pt idx="19">
                  <c:v>75.5</c:v>
                </c:pt>
                <c:pt idx="20">
                  <c:v>56.5</c:v>
                </c:pt>
                <c:pt idx="21">
                  <c:v>53.5</c:v>
                </c:pt>
                <c:pt idx="22">
                  <c:v>60</c:v>
                </c:pt>
                <c:pt idx="23">
                  <c:v>237.5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33-4DAA-81FF-9480D81CE05A}"/>
            </c:ext>
          </c:extLst>
        </c:ser>
        <c:ser>
          <c:idx val="1"/>
          <c:order val="1"/>
          <c:tx>
            <c:strRef>
              <c:f>'Avg Week Naguru-Nakawa-2Dir'!$AF$9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Naguru-Nakawa-2Dir'!$R$10:$R$33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Naguru-Nakawa-2Dir'!$AF$10:$AF$33</c:f>
              <c:numCache>
                <c:formatCode>0</c:formatCode>
                <c:ptCount val="24"/>
                <c:pt idx="0">
                  <c:v>1062.6904761904761</c:v>
                </c:pt>
                <c:pt idx="1">
                  <c:v>1605.4285714285713</c:v>
                </c:pt>
                <c:pt idx="2">
                  <c:v>1503.4285714285716</c:v>
                </c:pt>
                <c:pt idx="3">
                  <c:v>1469.1428571428571</c:v>
                </c:pt>
                <c:pt idx="4">
                  <c:v>1501.5714285714287</c:v>
                </c:pt>
                <c:pt idx="5">
                  <c:v>1577.8571428571431</c:v>
                </c:pt>
                <c:pt idx="6">
                  <c:v>1530.5714285714289</c:v>
                </c:pt>
                <c:pt idx="7">
                  <c:v>1492.7142857142858</c:v>
                </c:pt>
                <c:pt idx="8">
                  <c:v>1654.8571428571427</c:v>
                </c:pt>
                <c:pt idx="9">
                  <c:v>1745.5714285714287</c:v>
                </c:pt>
                <c:pt idx="10">
                  <c:v>2152.2857142857142</c:v>
                </c:pt>
                <c:pt idx="11">
                  <c:v>2138.4285714285716</c:v>
                </c:pt>
                <c:pt idx="12">
                  <c:v>1556</c:v>
                </c:pt>
                <c:pt idx="13">
                  <c:v>1094.5</c:v>
                </c:pt>
                <c:pt idx="14">
                  <c:v>813</c:v>
                </c:pt>
                <c:pt idx="15">
                  <c:v>555</c:v>
                </c:pt>
                <c:pt idx="16">
                  <c:v>471.5</c:v>
                </c:pt>
                <c:pt idx="17">
                  <c:v>264.5</c:v>
                </c:pt>
                <c:pt idx="18">
                  <c:v>117</c:v>
                </c:pt>
                <c:pt idx="19">
                  <c:v>88</c:v>
                </c:pt>
                <c:pt idx="20">
                  <c:v>68.5</c:v>
                </c:pt>
                <c:pt idx="21">
                  <c:v>74</c:v>
                </c:pt>
                <c:pt idx="22">
                  <c:v>87.5</c:v>
                </c:pt>
                <c:pt idx="23">
                  <c:v>340.5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33-4DAA-81FF-9480D81CE05A}"/>
            </c:ext>
          </c:extLst>
        </c:ser>
        <c:ser>
          <c:idx val="5"/>
          <c:order val="2"/>
          <c:tx>
            <c:strRef>
              <c:f>'Avg Week Naguru-Nakawa-2Dir'!$AC$9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Naguru-Nakawa-2Dir'!$R$10:$R$33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Naguru-Nakawa-2Dir'!$AC$10:$AC$33</c:f>
              <c:numCache>
                <c:formatCode>0</c:formatCode>
                <c:ptCount val="24"/>
                <c:pt idx="0">
                  <c:v>322.14285714285711</c:v>
                </c:pt>
                <c:pt idx="1">
                  <c:v>572.28571428571422</c:v>
                </c:pt>
                <c:pt idx="2">
                  <c:v>543.14285714285711</c:v>
                </c:pt>
                <c:pt idx="3">
                  <c:v>486.42857142857144</c:v>
                </c:pt>
                <c:pt idx="4">
                  <c:v>494.14285714285711</c:v>
                </c:pt>
                <c:pt idx="5">
                  <c:v>488.57142857142856</c:v>
                </c:pt>
                <c:pt idx="6">
                  <c:v>488.57142857142856</c:v>
                </c:pt>
                <c:pt idx="7">
                  <c:v>452.57142857142856</c:v>
                </c:pt>
                <c:pt idx="8">
                  <c:v>455.14285714285717</c:v>
                </c:pt>
                <c:pt idx="9">
                  <c:v>466.14285714285711</c:v>
                </c:pt>
                <c:pt idx="10">
                  <c:v>556</c:v>
                </c:pt>
                <c:pt idx="11">
                  <c:v>570.57142857142856</c:v>
                </c:pt>
                <c:pt idx="12">
                  <c:v>439.5</c:v>
                </c:pt>
                <c:pt idx="13">
                  <c:v>267</c:v>
                </c:pt>
                <c:pt idx="14">
                  <c:v>176</c:v>
                </c:pt>
                <c:pt idx="15">
                  <c:v>127</c:v>
                </c:pt>
                <c:pt idx="16">
                  <c:v>80.5</c:v>
                </c:pt>
                <c:pt idx="17">
                  <c:v>33</c:v>
                </c:pt>
                <c:pt idx="18">
                  <c:v>17</c:v>
                </c:pt>
                <c:pt idx="19">
                  <c:v>12.5</c:v>
                </c:pt>
                <c:pt idx="20">
                  <c:v>12</c:v>
                </c:pt>
                <c:pt idx="21">
                  <c:v>20.5</c:v>
                </c:pt>
                <c:pt idx="22">
                  <c:v>27.5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33-4DAA-81FF-9480D81CE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Naguru-Nakawa-2Dir'!$S$9:$AF$9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Naguru-Nakawa-2Dir'!$S$41:$AF$41</c:f>
              <c:numCache>
                <c:formatCode>_(* #,##0_);_(* \(#,##0\);_(* "-"_);_(@_)</c:formatCode>
                <c:ptCount val="14"/>
                <c:pt idx="0">
                  <c:v>10032.071428571428</c:v>
                </c:pt>
                <c:pt idx="1">
                  <c:v>4943.8571428571431</c:v>
                </c:pt>
                <c:pt idx="2">
                  <c:v>1315.5714285714284</c:v>
                </c:pt>
                <c:pt idx="3">
                  <c:v>936.42857142857156</c:v>
                </c:pt>
                <c:pt idx="4">
                  <c:v>28</c:v>
                </c:pt>
                <c:pt idx="5">
                  <c:v>19.714285714285715</c:v>
                </c:pt>
                <c:pt idx="6">
                  <c:v>310.90476190476193</c:v>
                </c:pt>
                <c:pt idx="7">
                  <c:v>93.214285714285722</c:v>
                </c:pt>
                <c:pt idx="8">
                  <c:v>51.214285714285715</c:v>
                </c:pt>
                <c:pt idx="9">
                  <c:v>9.5</c:v>
                </c:pt>
                <c:pt idx="10">
                  <c:v>7211.2142857142844</c:v>
                </c:pt>
                <c:pt idx="11">
                  <c:v>12.857142857142861</c:v>
                </c:pt>
                <c:pt idx="12">
                  <c:v>17753.333333333332</c:v>
                </c:pt>
                <c:pt idx="13">
                  <c:v>24964.547619047622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3-4C13-9D0D-82B21D9132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Naguru-Nakawa-2Dir'!$S$9:$AF$9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Naguru-Nakawa-2Dir'!$S$42:$AF$42</c:f>
              <c:numCache>
                <c:formatCode>0.000</c:formatCode>
                <c:ptCount val="14"/>
                <c:pt idx="0">
                  <c:v>1.3133439311763604</c:v>
                </c:pt>
                <c:pt idx="1">
                  <c:v>1.3110698590695562</c:v>
                </c:pt>
                <c:pt idx="2">
                  <c:v>1.2928541344938929</c:v>
                </c:pt>
                <c:pt idx="3">
                  <c:v>1.2511929757587326</c:v>
                </c:pt>
                <c:pt idx="4">
                  <c:v>2.5454545454545459</c:v>
                </c:pt>
                <c:pt idx="5">
                  <c:v>4.1818181818181817</c:v>
                </c:pt>
                <c:pt idx="6">
                  <c:v>1.3041046639368821</c:v>
                </c:pt>
                <c:pt idx="7">
                  <c:v>1.299800796812749</c:v>
                </c:pt>
                <c:pt idx="8">
                  <c:v>2.5978260869565215</c:v>
                </c:pt>
                <c:pt idx="9">
                  <c:v>1.9000000000000004</c:v>
                </c:pt>
                <c:pt idx="10">
                  <c:v>1.2231281802762297</c:v>
                </c:pt>
                <c:pt idx="11">
                  <c:v>1</c:v>
                </c:pt>
                <c:pt idx="12">
                  <c:v>1.3112897467777873</c:v>
                </c:pt>
                <c:pt idx="13">
                  <c:v>1.2845448275101654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6E-49B1-A6F6-5F0796B59ED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28</xdr:col>
      <xdr:colOff>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587375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23</xdr:col>
      <xdr:colOff>698500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146960</xdr:colOff>
      <xdr:row>43</xdr:row>
      <xdr:rowOff>22224</xdr:rowOff>
    </xdr:from>
    <xdr:to>
      <xdr:col>27</xdr:col>
      <xdr:colOff>698499</xdr:colOff>
      <xdr:row>57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508001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23</xdr:col>
      <xdr:colOff>698500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279401</xdr:rowOff>
    </xdr:from>
    <xdr:to>
      <xdr:col>25</xdr:col>
      <xdr:colOff>0</xdr:colOff>
      <xdr:row>91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58</xdr:row>
      <xdr:rowOff>285749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698500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698500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D11" sqref="D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163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187</v>
      </c>
      <c r="E5" s="3"/>
      <c r="F5" s="41" t="s">
        <v>1</v>
      </c>
      <c r="G5" s="54" t="s">
        <v>186</v>
      </c>
      <c r="H5" s="55"/>
      <c r="I5" s="14"/>
      <c r="J5" s="2" t="s">
        <v>5</v>
      </c>
      <c r="K5" s="54" t="s">
        <v>193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166</v>
      </c>
      <c r="H6" s="55"/>
      <c r="J6" s="2" t="s">
        <v>21</v>
      </c>
      <c r="K6" s="54" t="s">
        <v>169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159</v>
      </c>
      <c r="T10" s="17">
        <f t="shared" si="2"/>
        <v>36</v>
      </c>
      <c r="U10" s="17">
        <f t="shared" si="2"/>
        <v>11</v>
      </c>
      <c r="V10" s="17">
        <f t="shared" si="2"/>
        <v>37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127</v>
      </c>
      <c r="AD10" s="17">
        <f t="shared" si="2"/>
        <v>0</v>
      </c>
      <c r="AE10" s="31">
        <f t="shared" si="2"/>
        <v>243</v>
      </c>
      <c r="AF10" s="31">
        <f t="shared" si="2"/>
        <v>370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1</v>
      </c>
      <c r="P11" s="15">
        <f t="shared" si="1"/>
        <v>2</v>
      </c>
      <c r="R11" s="1" t="s">
        <v>7</v>
      </c>
      <c r="S11" s="17">
        <f t="shared" ref="S11:AF11" si="3">SUM(C14:C17)</f>
        <v>425</v>
      </c>
      <c r="T11" s="17">
        <f t="shared" si="3"/>
        <v>102</v>
      </c>
      <c r="U11" s="17">
        <f t="shared" si="3"/>
        <v>59</v>
      </c>
      <c r="V11" s="17">
        <f t="shared" si="3"/>
        <v>59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279</v>
      </c>
      <c r="AD11" s="17">
        <f t="shared" si="3"/>
        <v>0</v>
      </c>
      <c r="AE11" s="31">
        <f t="shared" si="3"/>
        <v>655</v>
      </c>
      <c r="AF11" s="31">
        <f t="shared" si="3"/>
        <v>934</v>
      </c>
    </row>
    <row r="12" spans="2:32" ht="23.1" customHeight="1" x14ac:dyDescent="0.25">
      <c r="B12" s="23" t="s">
        <v>39</v>
      </c>
      <c r="C12" s="50">
        <v>60</v>
      </c>
      <c r="D12" s="50">
        <v>14</v>
      </c>
      <c r="E12" s="50">
        <v>5</v>
      </c>
      <c r="F12" s="50">
        <v>19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61</v>
      </c>
      <c r="N12" s="50">
        <v>0</v>
      </c>
      <c r="O12" s="15">
        <f t="shared" si="0"/>
        <v>98</v>
      </c>
      <c r="P12" s="15">
        <f t="shared" si="1"/>
        <v>159</v>
      </c>
      <c r="R12" s="1" t="s">
        <v>8</v>
      </c>
      <c r="S12" s="17">
        <f t="shared" ref="S12:AF12" si="4">SUM(C18:C21)</f>
        <v>325</v>
      </c>
      <c r="T12" s="17">
        <f t="shared" si="4"/>
        <v>88</v>
      </c>
      <c r="U12" s="17">
        <f t="shared" si="4"/>
        <v>52</v>
      </c>
      <c r="V12" s="17">
        <f t="shared" si="4"/>
        <v>60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260</v>
      </c>
      <c r="AD12" s="17">
        <f t="shared" si="4"/>
        <v>0</v>
      </c>
      <c r="AE12" s="31">
        <f t="shared" si="4"/>
        <v>545</v>
      </c>
      <c r="AF12" s="31">
        <f t="shared" si="4"/>
        <v>805</v>
      </c>
    </row>
    <row r="13" spans="2:32" ht="23.1" customHeight="1" x14ac:dyDescent="0.25">
      <c r="B13" s="23" t="s">
        <v>40</v>
      </c>
      <c r="C13" s="50">
        <v>98</v>
      </c>
      <c r="D13" s="50">
        <v>22</v>
      </c>
      <c r="E13" s="50">
        <v>6</v>
      </c>
      <c r="F13" s="50">
        <v>18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65</v>
      </c>
      <c r="N13" s="50">
        <v>0</v>
      </c>
      <c r="O13" s="15">
        <f t="shared" si="0"/>
        <v>144</v>
      </c>
      <c r="P13" s="15">
        <f t="shared" si="1"/>
        <v>209</v>
      </c>
      <c r="R13" s="1" t="s">
        <v>9</v>
      </c>
      <c r="S13" s="17">
        <f t="shared" ref="S13:AF13" si="5">SUM(C22:C25)</f>
        <v>361</v>
      </c>
      <c r="T13" s="17">
        <f t="shared" si="5"/>
        <v>82</v>
      </c>
      <c r="U13" s="17">
        <f t="shared" si="5"/>
        <v>43</v>
      </c>
      <c r="V13" s="17">
        <f t="shared" si="5"/>
        <v>43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247</v>
      </c>
      <c r="AD13" s="17">
        <f t="shared" si="5"/>
        <v>0</v>
      </c>
      <c r="AE13" s="31">
        <f t="shared" si="5"/>
        <v>549</v>
      </c>
      <c r="AF13" s="31">
        <f t="shared" si="5"/>
        <v>796</v>
      </c>
    </row>
    <row r="14" spans="2:32" ht="23.1" customHeight="1" x14ac:dyDescent="0.25">
      <c r="B14" s="23" t="s">
        <v>41</v>
      </c>
      <c r="C14" s="50">
        <v>105</v>
      </c>
      <c r="D14" s="50">
        <v>26</v>
      </c>
      <c r="E14" s="50">
        <v>16</v>
      </c>
      <c r="F14" s="50">
        <v>13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72</v>
      </c>
      <c r="N14" s="50">
        <v>0</v>
      </c>
      <c r="O14" s="15">
        <f t="shared" si="0"/>
        <v>161</v>
      </c>
      <c r="P14" s="15">
        <f t="shared" si="1"/>
        <v>233</v>
      </c>
      <c r="R14" s="1" t="s">
        <v>10</v>
      </c>
      <c r="S14" s="17">
        <f t="shared" ref="S14:AF14" si="6">SUM(C26:C29)</f>
        <v>308</v>
      </c>
      <c r="T14" s="17">
        <f t="shared" si="6"/>
        <v>85</v>
      </c>
      <c r="U14" s="17">
        <f t="shared" si="6"/>
        <v>47</v>
      </c>
      <c r="V14" s="17">
        <f t="shared" si="6"/>
        <v>41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5</v>
      </c>
      <c r="AA14" s="17">
        <f t="shared" si="6"/>
        <v>2</v>
      </c>
      <c r="AB14" s="17">
        <f t="shared" si="6"/>
        <v>0</v>
      </c>
      <c r="AC14" s="17">
        <f t="shared" si="6"/>
        <v>295</v>
      </c>
      <c r="AD14" s="17">
        <f t="shared" si="6"/>
        <v>0</v>
      </c>
      <c r="AE14" s="31">
        <f t="shared" si="6"/>
        <v>502</v>
      </c>
      <c r="AF14" s="31">
        <f t="shared" si="6"/>
        <v>797</v>
      </c>
    </row>
    <row r="15" spans="2:32" ht="23.1" customHeight="1" x14ac:dyDescent="0.25">
      <c r="B15" s="23" t="s">
        <v>42</v>
      </c>
      <c r="C15" s="50">
        <v>75</v>
      </c>
      <c r="D15" s="50">
        <v>23</v>
      </c>
      <c r="E15" s="50">
        <v>14</v>
      </c>
      <c r="F15" s="50">
        <v>18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72</v>
      </c>
      <c r="N15" s="50">
        <v>0</v>
      </c>
      <c r="O15" s="15">
        <f t="shared" si="0"/>
        <v>131</v>
      </c>
      <c r="P15" s="15">
        <f t="shared" si="1"/>
        <v>203</v>
      </c>
      <c r="R15" s="1" t="s">
        <v>11</v>
      </c>
      <c r="S15" s="17">
        <f t="shared" ref="S15:AF15" si="7">SUM(C30:C33)</f>
        <v>300</v>
      </c>
      <c r="T15" s="17">
        <f t="shared" si="7"/>
        <v>63</v>
      </c>
      <c r="U15" s="17">
        <f t="shared" si="7"/>
        <v>27</v>
      </c>
      <c r="V15" s="17">
        <f t="shared" si="7"/>
        <v>26</v>
      </c>
      <c r="W15" s="17">
        <f t="shared" si="7"/>
        <v>0</v>
      </c>
      <c r="X15" s="17">
        <f t="shared" si="7"/>
        <v>0</v>
      </c>
      <c r="Y15" s="17">
        <f t="shared" si="7"/>
        <v>22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362</v>
      </c>
      <c r="AD15" s="17">
        <f t="shared" si="7"/>
        <v>0</v>
      </c>
      <c r="AE15" s="31">
        <f t="shared" si="7"/>
        <v>444</v>
      </c>
      <c r="AF15" s="31">
        <f t="shared" si="7"/>
        <v>806</v>
      </c>
    </row>
    <row r="16" spans="2:32" ht="23.1" customHeight="1" x14ac:dyDescent="0.25">
      <c r="B16" s="23" t="s">
        <v>43</v>
      </c>
      <c r="C16" s="50">
        <v>120</v>
      </c>
      <c r="D16" s="50">
        <v>21</v>
      </c>
      <c r="E16" s="50">
        <v>16</v>
      </c>
      <c r="F16" s="50">
        <v>13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80</v>
      </c>
      <c r="N16" s="50">
        <v>0</v>
      </c>
      <c r="O16" s="15">
        <f t="shared" si="0"/>
        <v>173</v>
      </c>
      <c r="P16" s="15">
        <f t="shared" si="1"/>
        <v>253</v>
      </c>
      <c r="R16" s="1" t="s">
        <v>12</v>
      </c>
      <c r="S16" s="17">
        <f t="shared" ref="S16:AF16" si="8">SUM(C34:C37)</f>
        <v>300</v>
      </c>
      <c r="T16" s="17">
        <f t="shared" si="8"/>
        <v>62</v>
      </c>
      <c r="U16" s="17">
        <f t="shared" si="8"/>
        <v>53</v>
      </c>
      <c r="V16" s="17">
        <f t="shared" si="8"/>
        <v>28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480</v>
      </c>
      <c r="AD16" s="17">
        <f t="shared" si="8"/>
        <v>0</v>
      </c>
      <c r="AE16" s="31">
        <f t="shared" si="8"/>
        <v>456</v>
      </c>
      <c r="AF16" s="31">
        <f t="shared" si="8"/>
        <v>936</v>
      </c>
    </row>
    <row r="17" spans="2:32" ht="23.1" customHeight="1" x14ac:dyDescent="0.25">
      <c r="B17" s="23" t="s">
        <v>44</v>
      </c>
      <c r="C17" s="50">
        <v>125</v>
      </c>
      <c r="D17" s="50">
        <v>32</v>
      </c>
      <c r="E17" s="50">
        <v>13</v>
      </c>
      <c r="F17" s="50">
        <v>15</v>
      </c>
      <c r="G17" s="50">
        <v>0</v>
      </c>
      <c r="H17" s="50">
        <v>0</v>
      </c>
      <c r="I17" s="50">
        <v>3</v>
      </c>
      <c r="J17" s="50">
        <v>2</v>
      </c>
      <c r="K17" s="50">
        <v>0</v>
      </c>
      <c r="L17" s="50">
        <v>0</v>
      </c>
      <c r="M17" s="50">
        <v>55</v>
      </c>
      <c r="N17" s="50">
        <v>0</v>
      </c>
      <c r="O17" s="15">
        <f t="shared" si="0"/>
        <v>190</v>
      </c>
      <c r="P17" s="15">
        <f t="shared" si="1"/>
        <v>245</v>
      </c>
      <c r="R17" s="1" t="s">
        <v>13</v>
      </c>
      <c r="S17" s="17">
        <f t="shared" ref="S17:AF17" si="9">SUM(C38:C41)</f>
        <v>293</v>
      </c>
      <c r="T17" s="17">
        <f t="shared" si="9"/>
        <v>69</v>
      </c>
      <c r="U17" s="17">
        <f t="shared" si="9"/>
        <v>38</v>
      </c>
      <c r="V17" s="17">
        <f t="shared" si="9"/>
        <v>24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466</v>
      </c>
      <c r="AD17" s="17">
        <f t="shared" si="9"/>
        <v>0</v>
      </c>
      <c r="AE17" s="31">
        <f t="shared" si="9"/>
        <v>442</v>
      </c>
      <c r="AF17" s="31">
        <f t="shared" si="9"/>
        <v>908</v>
      </c>
    </row>
    <row r="18" spans="2:32" ht="23.1" customHeight="1" x14ac:dyDescent="0.25">
      <c r="B18" s="23" t="s">
        <v>45</v>
      </c>
      <c r="C18" s="50">
        <v>70</v>
      </c>
      <c r="D18" s="50">
        <v>15</v>
      </c>
      <c r="E18" s="50">
        <v>17</v>
      </c>
      <c r="F18" s="50">
        <v>24</v>
      </c>
      <c r="G18" s="50">
        <v>0</v>
      </c>
      <c r="H18" s="50">
        <v>0</v>
      </c>
      <c r="I18" s="50">
        <v>3</v>
      </c>
      <c r="J18" s="50">
        <v>3</v>
      </c>
      <c r="K18" s="50">
        <v>0</v>
      </c>
      <c r="L18" s="50">
        <v>0</v>
      </c>
      <c r="M18" s="50">
        <v>32</v>
      </c>
      <c r="N18" s="50">
        <v>0</v>
      </c>
      <c r="O18" s="15">
        <f t="shared" si="0"/>
        <v>132</v>
      </c>
      <c r="P18" s="15">
        <f t="shared" si="1"/>
        <v>164</v>
      </c>
      <c r="R18" s="1" t="s">
        <v>14</v>
      </c>
      <c r="S18" s="17">
        <f t="shared" ref="S18:AF18" si="10">SUM(C42:C45)</f>
        <v>238</v>
      </c>
      <c r="T18" s="17">
        <f t="shared" si="10"/>
        <v>52</v>
      </c>
      <c r="U18" s="17">
        <f t="shared" si="10"/>
        <v>37</v>
      </c>
      <c r="V18" s="17">
        <f t="shared" si="10"/>
        <v>34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305</v>
      </c>
      <c r="AD18" s="17">
        <f t="shared" si="10"/>
        <v>0</v>
      </c>
      <c r="AE18" s="31">
        <f t="shared" si="10"/>
        <v>381</v>
      </c>
      <c r="AF18" s="31">
        <f t="shared" si="10"/>
        <v>686</v>
      </c>
    </row>
    <row r="19" spans="2:32" ht="23.1" customHeight="1" x14ac:dyDescent="0.25">
      <c r="B19" s="23" t="s">
        <v>46</v>
      </c>
      <c r="C19" s="50">
        <v>60</v>
      </c>
      <c r="D19" s="50">
        <v>30</v>
      </c>
      <c r="E19" s="50">
        <v>16</v>
      </c>
      <c r="F19" s="50">
        <v>11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75</v>
      </c>
      <c r="N19" s="50">
        <v>0</v>
      </c>
      <c r="O19" s="15">
        <f t="shared" si="0"/>
        <v>122</v>
      </c>
      <c r="P19" s="15">
        <f t="shared" si="1"/>
        <v>197</v>
      </c>
      <c r="R19" s="1" t="s">
        <v>15</v>
      </c>
      <c r="S19" s="17">
        <f t="shared" ref="S19:AF19" si="11">SUM(C46:C49)</f>
        <v>290</v>
      </c>
      <c r="T19" s="17">
        <f t="shared" si="11"/>
        <v>77</v>
      </c>
      <c r="U19" s="17">
        <f t="shared" si="11"/>
        <v>46</v>
      </c>
      <c r="V19" s="17">
        <f t="shared" si="11"/>
        <v>38</v>
      </c>
      <c r="W19" s="17">
        <f t="shared" si="11"/>
        <v>0</v>
      </c>
      <c r="X19" s="17">
        <f t="shared" si="11"/>
        <v>0</v>
      </c>
      <c r="Y19" s="17">
        <f t="shared" si="11"/>
        <v>21</v>
      </c>
      <c r="Z19" s="17">
        <f t="shared" si="11"/>
        <v>7</v>
      </c>
      <c r="AA19" s="17">
        <f t="shared" si="11"/>
        <v>3</v>
      </c>
      <c r="AB19" s="17">
        <f t="shared" si="11"/>
        <v>0</v>
      </c>
      <c r="AC19" s="17">
        <f t="shared" si="11"/>
        <v>309</v>
      </c>
      <c r="AD19" s="17">
        <f t="shared" si="11"/>
        <v>0</v>
      </c>
      <c r="AE19" s="31">
        <f t="shared" si="11"/>
        <v>482</v>
      </c>
      <c r="AF19" s="31">
        <f t="shared" si="11"/>
        <v>791</v>
      </c>
    </row>
    <row r="20" spans="2:32" ht="23.1" customHeight="1" x14ac:dyDescent="0.25">
      <c r="B20" s="23" t="s">
        <v>47</v>
      </c>
      <c r="C20" s="50">
        <v>90</v>
      </c>
      <c r="D20" s="50">
        <v>21</v>
      </c>
      <c r="E20" s="50">
        <v>9</v>
      </c>
      <c r="F20" s="50">
        <v>13</v>
      </c>
      <c r="G20" s="50">
        <v>0</v>
      </c>
      <c r="H20" s="50">
        <v>0</v>
      </c>
      <c r="I20" s="50">
        <v>7</v>
      </c>
      <c r="J20" s="50">
        <v>0</v>
      </c>
      <c r="K20" s="50">
        <v>0</v>
      </c>
      <c r="L20" s="50">
        <v>0</v>
      </c>
      <c r="M20" s="50">
        <v>90</v>
      </c>
      <c r="N20" s="50">
        <v>0</v>
      </c>
      <c r="O20" s="15">
        <f t="shared" si="0"/>
        <v>140</v>
      </c>
      <c r="P20" s="15">
        <f t="shared" si="1"/>
        <v>230</v>
      </c>
      <c r="R20" s="1" t="s">
        <v>16</v>
      </c>
      <c r="S20" s="17">
        <f t="shared" ref="S20:AF20" si="12">SUM(C50:C53)</f>
        <v>256</v>
      </c>
      <c r="T20" s="17">
        <f t="shared" si="12"/>
        <v>72</v>
      </c>
      <c r="U20" s="17">
        <f t="shared" si="12"/>
        <v>27</v>
      </c>
      <c r="V20" s="17">
        <f t="shared" si="12"/>
        <v>33</v>
      </c>
      <c r="W20" s="17">
        <f t="shared" si="12"/>
        <v>0</v>
      </c>
      <c r="X20" s="17">
        <f t="shared" si="12"/>
        <v>0</v>
      </c>
      <c r="Y20" s="17">
        <f t="shared" si="12"/>
        <v>21</v>
      </c>
      <c r="Z20" s="17">
        <f t="shared" si="12"/>
        <v>7</v>
      </c>
      <c r="AA20" s="17">
        <f t="shared" si="12"/>
        <v>0</v>
      </c>
      <c r="AB20" s="17">
        <f t="shared" si="12"/>
        <v>0</v>
      </c>
      <c r="AC20" s="17">
        <f t="shared" si="12"/>
        <v>390</v>
      </c>
      <c r="AD20" s="17">
        <f t="shared" si="12"/>
        <v>0</v>
      </c>
      <c r="AE20" s="31">
        <f t="shared" si="12"/>
        <v>416</v>
      </c>
      <c r="AF20" s="31">
        <f t="shared" si="12"/>
        <v>806</v>
      </c>
    </row>
    <row r="21" spans="2:32" ht="23.1" customHeight="1" x14ac:dyDescent="0.25">
      <c r="B21" s="23" t="s">
        <v>48</v>
      </c>
      <c r="C21" s="50">
        <v>105</v>
      </c>
      <c r="D21" s="50">
        <v>22</v>
      </c>
      <c r="E21" s="50">
        <v>10</v>
      </c>
      <c r="F21" s="50">
        <v>12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63</v>
      </c>
      <c r="N21" s="50">
        <v>0</v>
      </c>
      <c r="O21" s="15">
        <f t="shared" si="0"/>
        <v>151</v>
      </c>
      <c r="P21" s="15">
        <f t="shared" si="1"/>
        <v>214</v>
      </c>
      <c r="R21" s="36" t="s">
        <v>20</v>
      </c>
      <c r="S21" s="34">
        <f t="shared" ref="S21:AF21" si="13">SUM(C54:C57)</f>
        <v>244</v>
      </c>
      <c r="T21" s="17">
        <f t="shared" si="13"/>
        <v>41</v>
      </c>
      <c r="U21" s="17">
        <f t="shared" si="13"/>
        <v>27</v>
      </c>
      <c r="V21" s="17">
        <f t="shared" si="13"/>
        <v>28</v>
      </c>
      <c r="W21" s="17">
        <f t="shared" si="13"/>
        <v>1</v>
      </c>
      <c r="X21" s="17">
        <f t="shared" si="13"/>
        <v>0</v>
      </c>
      <c r="Y21" s="17">
        <f t="shared" si="13"/>
        <v>22</v>
      </c>
      <c r="Z21" s="17">
        <f t="shared" si="13"/>
        <v>6</v>
      </c>
      <c r="AA21" s="17">
        <f t="shared" si="13"/>
        <v>2</v>
      </c>
      <c r="AB21" s="17">
        <f t="shared" si="13"/>
        <v>0</v>
      </c>
      <c r="AC21" s="17">
        <f t="shared" si="13"/>
        <v>372</v>
      </c>
      <c r="AD21" s="17">
        <f t="shared" si="13"/>
        <v>0</v>
      </c>
      <c r="AE21" s="31">
        <f t="shared" si="13"/>
        <v>371</v>
      </c>
      <c r="AF21" s="31">
        <f t="shared" si="13"/>
        <v>743</v>
      </c>
    </row>
    <row r="22" spans="2:32" ht="23.1" customHeight="1" x14ac:dyDescent="0.25">
      <c r="B22" s="23" t="s">
        <v>49</v>
      </c>
      <c r="C22" s="50">
        <v>130</v>
      </c>
      <c r="D22" s="50">
        <v>19</v>
      </c>
      <c r="E22" s="50">
        <v>10</v>
      </c>
      <c r="F22" s="50">
        <v>14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67</v>
      </c>
      <c r="N22" s="50">
        <v>0</v>
      </c>
      <c r="O22" s="15">
        <f t="shared" si="0"/>
        <v>178</v>
      </c>
      <c r="P22" s="15">
        <f t="shared" si="1"/>
        <v>245</v>
      </c>
      <c r="R22" s="38" t="s">
        <v>90</v>
      </c>
      <c r="S22" s="39">
        <f>MAX(S10:S12)</f>
        <v>425</v>
      </c>
      <c r="T22" s="39">
        <f t="shared" ref="T22:AF22" si="14">MAX(T10:T12)</f>
        <v>102</v>
      </c>
      <c r="U22" s="39">
        <f t="shared" si="14"/>
        <v>59</v>
      </c>
      <c r="V22" s="39">
        <f t="shared" si="14"/>
        <v>60</v>
      </c>
      <c r="W22" s="39">
        <f t="shared" si="14"/>
        <v>0</v>
      </c>
      <c r="X22" s="39">
        <f t="shared" si="14"/>
        <v>0</v>
      </c>
      <c r="Y22" s="39">
        <f t="shared" si="14"/>
        <v>15</v>
      </c>
      <c r="Z22" s="39">
        <f t="shared" si="14"/>
        <v>5</v>
      </c>
      <c r="AA22" s="39">
        <f t="shared" si="14"/>
        <v>0</v>
      </c>
      <c r="AB22" s="39">
        <f t="shared" si="14"/>
        <v>0</v>
      </c>
      <c r="AC22" s="39">
        <f t="shared" si="14"/>
        <v>279</v>
      </c>
      <c r="AD22" s="39">
        <f t="shared" si="14"/>
        <v>0</v>
      </c>
      <c r="AE22" s="40">
        <f t="shared" si="14"/>
        <v>655</v>
      </c>
      <c r="AF22" s="40">
        <f t="shared" si="14"/>
        <v>934</v>
      </c>
    </row>
    <row r="23" spans="2:32" ht="23.1" customHeight="1" x14ac:dyDescent="0.25">
      <c r="B23" s="23" t="s">
        <v>50</v>
      </c>
      <c r="C23" s="50">
        <v>80</v>
      </c>
      <c r="D23" s="50">
        <v>22</v>
      </c>
      <c r="E23" s="50">
        <v>15</v>
      </c>
      <c r="F23" s="50">
        <v>8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70</v>
      </c>
      <c r="N23" s="50">
        <v>0</v>
      </c>
      <c r="O23" s="15">
        <f t="shared" si="0"/>
        <v>130</v>
      </c>
      <c r="P23" s="15">
        <f t="shared" si="1"/>
        <v>200</v>
      </c>
      <c r="R23" s="38" t="s">
        <v>91</v>
      </c>
      <c r="S23" s="39">
        <f>MAX(S13:S18)</f>
        <v>361</v>
      </c>
      <c r="T23" s="39">
        <f t="shared" ref="T23:AF23" si="15">MAX(T13:T18)</f>
        <v>85</v>
      </c>
      <c r="U23" s="39">
        <f t="shared" si="15"/>
        <v>53</v>
      </c>
      <c r="V23" s="39">
        <f t="shared" si="15"/>
        <v>43</v>
      </c>
      <c r="W23" s="39">
        <f t="shared" si="15"/>
        <v>0</v>
      </c>
      <c r="X23" s="39">
        <f t="shared" si="15"/>
        <v>0</v>
      </c>
      <c r="Y23" s="39">
        <f t="shared" si="15"/>
        <v>22</v>
      </c>
      <c r="Z23" s="39">
        <f t="shared" si="15"/>
        <v>5</v>
      </c>
      <c r="AA23" s="39">
        <f t="shared" si="15"/>
        <v>2</v>
      </c>
      <c r="AB23" s="39">
        <f t="shared" si="15"/>
        <v>0</v>
      </c>
      <c r="AC23" s="39">
        <f t="shared" si="15"/>
        <v>480</v>
      </c>
      <c r="AD23" s="39">
        <f t="shared" si="15"/>
        <v>0</v>
      </c>
      <c r="AE23" s="40">
        <f t="shared" si="15"/>
        <v>549</v>
      </c>
      <c r="AF23" s="40">
        <f t="shared" si="15"/>
        <v>936</v>
      </c>
    </row>
    <row r="24" spans="2:32" ht="23.1" customHeight="1" x14ac:dyDescent="0.25">
      <c r="B24" s="23" t="s">
        <v>51</v>
      </c>
      <c r="C24" s="50">
        <v>56</v>
      </c>
      <c r="D24" s="50">
        <v>13</v>
      </c>
      <c r="E24" s="50">
        <v>7</v>
      </c>
      <c r="F24" s="50">
        <v>11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60</v>
      </c>
      <c r="N24" s="50">
        <v>0</v>
      </c>
      <c r="O24" s="15">
        <f t="shared" si="0"/>
        <v>91</v>
      </c>
      <c r="P24" s="15">
        <f t="shared" si="1"/>
        <v>151</v>
      </c>
      <c r="R24" s="38" t="s">
        <v>92</v>
      </c>
      <c r="S24" s="39">
        <f>MAX(S19:S21)</f>
        <v>290</v>
      </c>
      <c r="T24" s="39">
        <f t="shared" ref="T24:AF24" si="16">MAX(T19:T21)</f>
        <v>77</v>
      </c>
      <c r="U24" s="39">
        <f t="shared" si="16"/>
        <v>46</v>
      </c>
      <c r="V24" s="39">
        <f t="shared" si="16"/>
        <v>38</v>
      </c>
      <c r="W24" s="39">
        <f t="shared" si="16"/>
        <v>1</v>
      </c>
      <c r="X24" s="39">
        <f t="shared" si="16"/>
        <v>0</v>
      </c>
      <c r="Y24" s="39">
        <f t="shared" si="16"/>
        <v>22</v>
      </c>
      <c r="Z24" s="39">
        <f t="shared" si="16"/>
        <v>7</v>
      </c>
      <c r="AA24" s="39">
        <f t="shared" si="16"/>
        <v>3</v>
      </c>
      <c r="AB24" s="39">
        <f t="shared" si="16"/>
        <v>0</v>
      </c>
      <c r="AC24" s="39">
        <f t="shared" si="16"/>
        <v>390</v>
      </c>
      <c r="AD24" s="39">
        <f t="shared" si="16"/>
        <v>0</v>
      </c>
      <c r="AE24" s="40">
        <f t="shared" si="16"/>
        <v>482</v>
      </c>
      <c r="AF24" s="40">
        <f t="shared" si="16"/>
        <v>806</v>
      </c>
    </row>
    <row r="25" spans="2:32" ht="23.1" customHeight="1" x14ac:dyDescent="0.25">
      <c r="B25" s="23" t="s">
        <v>52</v>
      </c>
      <c r="C25" s="50">
        <v>95</v>
      </c>
      <c r="D25" s="50">
        <v>28</v>
      </c>
      <c r="E25" s="50">
        <v>11</v>
      </c>
      <c r="F25" s="50">
        <v>10</v>
      </c>
      <c r="G25" s="50">
        <v>0</v>
      </c>
      <c r="H25" s="50">
        <v>0</v>
      </c>
      <c r="I25" s="50">
        <v>4</v>
      </c>
      <c r="J25" s="50">
        <v>1</v>
      </c>
      <c r="K25" s="50">
        <v>1</v>
      </c>
      <c r="L25" s="50">
        <v>0</v>
      </c>
      <c r="M25" s="50">
        <v>50</v>
      </c>
      <c r="N25" s="50">
        <v>0</v>
      </c>
      <c r="O25" s="15">
        <f t="shared" si="0"/>
        <v>150</v>
      </c>
      <c r="P25" s="15">
        <f t="shared" si="1"/>
        <v>200</v>
      </c>
      <c r="R25" s="37" t="s">
        <v>85</v>
      </c>
      <c r="S25" s="35">
        <f t="shared" ref="S25:AF25" si="17">SUM(S10:S12)</f>
        <v>909</v>
      </c>
      <c r="T25" s="16">
        <f t="shared" si="17"/>
        <v>226</v>
      </c>
      <c r="U25" s="16">
        <f t="shared" si="17"/>
        <v>122</v>
      </c>
      <c r="V25" s="16">
        <f t="shared" si="17"/>
        <v>156</v>
      </c>
      <c r="W25" s="16">
        <f t="shared" si="17"/>
        <v>0</v>
      </c>
      <c r="X25" s="16">
        <f t="shared" si="17"/>
        <v>0</v>
      </c>
      <c r="Y25" s="16">
        <f t="shared" si="17"/>
        <v>22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666</v>
      </c>
      <c r="AD25" s="16">
        <f t="shared" si="17"/>
        <v>0</v>
      </c>
      <c r="AE25" s="32">
        <f t="shared" si="17"/>
        <v>1443</v>
      </c>
      <c r="AF25" s="32">
        <f t="shared" si="17"/>
        <v>2109</v>
      </c>
    </row>
    <row r="26" spans="2:32" ht="23.1" customHeight="1" x14ac:dyDescent="0.25">
      <c r="B26" s="23" t="s">
        <v>53</v>
      </c>
      <c r="C26" s="50">
        <v>83</v>
      </c>
      <c r="D26" s="50">
        <v>30</v>
      </c>
      <c r="E26" s="50">
        <v>16</v>
      </c>
      <c r="F26" s="50">
        <v>12</v>
      </c>
      <c r="G26" s="50">
        <v>0</v>
      </c>
      <c r="H26" s="50">
        <v>0</v>
      </c>
      <c r="I26" s="50">
        <v>6</v>
      </c>
      <c r="J26" s="50">
        <v>2</v>
      </c>
      <c r="K26" s="50">
        <v>2</v>
      </c>
      <c r="L26" s="50">
        <v>0</v>
      </c>
      <c r="M26" s="50">
        <v>66</v>
      </c>
      <c r="N26" s="50">
        <v>0</v>
      </c>
      <c r="O26" s="15">
        <f t="shared" si="0"/>
        <v>151</v>
      </c>
      <c r="P26" s="15">
        <f t="shared" si="1"/>
        <v>217</v>
      </c>
      <c r="R26" s="28" t="s">
        <v>86</v>
      </c>
      <c r="S26" s="16">
        <f t="shared" ref="S26:AF26" si="18">SUM(S13:S18)</f>
        <v>1800</v>
      </c>
      <c r="T26" s="16">
        <f t="shared" si="18"/>
        <v>413</v>
      </c>
      <c r="U26" s="16">
        <f t="shared" si="18"/>
        <v>245</v>
      </c>
      <c r="V26" s="16">
        <f t="shared" si="18"/>
        <v>196</v>
      </c>
      <c r="W26" s="16">
        <f t="shared" si="18"/>
        <v>0</v>
      </c>
      <c r="X26" s="16">
        <f t="shared" si="18"/>
        <v>0</v>
      </c>
      <c r="Y26" s="16">
        <f t="shared" si="18"/>
        <v>89</v>
      </c>
      <c r="Z26" s="16">
        <f t="shared" si="18"/>
        <v>23</v>
      </c>
      <c r="AA26" s="16">
        <f t="shared" si="18"/>
        <v>8</v>
      </c>
      <c r="AB26" s="16">
        <f t="shared" si="18"/>
        <v>0</v>
      </c>
      <c r="AC26" s="16">
        <f t="shared" si="18"/>
        <v>2155</v>
      </c>
      <c r="AD26" s="16">
        <f t="shared" si="18"/>
        <v>0</v>
      </c>
      <c r="AE26" s="32">
        <f t="shared" si="18"/>
        <v>2774</v>
      </c>
      <c r="AF26" s="32">
        <f t="shared" si="18"/>
        <v>4929</v>
      </c>
    </row>
    <row r="27" spans="2:32" ht="23.1" customHeight="1" x14ac:dyDescent="0.25">
      <c r="B27" s="23" t="s">
        <v>54</v>
      </c>
      <c r="C27" s="50">
        <v>81</v>
      </c>
      <c r="D27" s="50">
        <v>23</v>
      </c>
      <c r="E27" s="50">
        <v>9</v>
      </c>
      <c r="F27" s="50">
        <v>12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40</v>
      </c>
      <c r="N27" s="50">
        <v>0</v>
      </c>
      <c r="O27" s="15">
        <f t="shared" si="0"/>
        <v>125</v>
      </c>
      <c r="P27" s="15">
        <f t="shared" si="1"/>
        <v>165</v>
      </c>
      <c r="R27" s="29" t="s">
        <v>87</v>
      </c>
      <c r="S27" s="16">
        <f t="shared" ref="S27:AF27" si="19">SUM(S19:S21)</f>
        <v>790</v>
      </c>
      <c r="T27" s="16">
        <f t="shared" si="19"/>
        <v>190</v>
      </c>
      <c r="U27" s="16">
        <f t="shared" si="19"/>
        <v>100</v>
      </c>
      <c r="V27" s="16">
        <f t="shared" si="19"/>
        <v>99</v>
      </c>
      <c r="W27" s="16">
        <f t="shared" si="19"/>
        <v>1</v>
      </c>
      <c r="X27" s="16">
        <f t="shared" si="19"/>
        <v>0</v>
      </c>
      <c r="Y27" s="16">
        <f t="shared" si="19"/>
        <v>64</v>
      </c>
      <c r="Z27" s="16">
        <f t="shared" si="19"/>
        <v>20</v>
      </c>
      <c r="AA27" s="16">
        <f t="shared" si="19"/>
        <v>5</v>
      </c>
      <c r="AB27" s="16">
        <f t="shared" si="19"/>
        <v>0</v>
      </c>
      <c r="AC27" s="16">
        <f t="shared" si="19"/>
        <v>1071</v>
      </c>
      <c r="AD27" s="16">
        <f t="shared" si="19"/>
        <v>0</v>
      </c>
      <c r="AE27" s="32">
        <f t="shared" si="19"/>
        <v>1269</v>
      </c>
      <c r="AF27" s="32">
        <f t="shared" si="19"/>
        <v>2340</v>
      </c>
    </row>
    <row r="28" spans="2:32" ht="23.1" customHeight="1" x14ac:dyDescent="0.25">
      <c r="B28" s="23" t="s">
        <v>55</v>
      </c>
      <c r="C28" s="50">
        <v>53</v>
      </c>
      <c r="D28" s="50">
        <v>13</v>
      </c>
      <c r="E28" s="50">
        <v>14</v>
      </c>
      <c r="F28" s="50">
        <v>7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85</v>
      </c>
      <c r="N28" s="50">
        <v>0</v>
      </c>
      <c r="O28" s="15">
        <f t="shared" si="0"/>
        <v>89</v>
      </c>
      <c r="P28" s="15">
        <f t="shared" si="1"/>
        <v>174</v>
      </c>
      <c r="R28" s="5" t="s">
        <v>17</v>
      </c>
      <c r="S28" s="16">
        <f t="shared" ref="S28:AF28" si="20">SUM(S10:S21)</f>
        <v>3499</v>
      </c>
      <c r="T28" s="16">
        <f t="shared" si="20"/>
        <v>829</v>
      </c>
      <c r="U28" s="16">
        <f t="shared" si="20"/>
        <v>467</v>
      </c>
      <c r="V28" s="16">
        <f t="shared" si="20"/>
        <v>451</v>
      </c>
      <c r="W28" s="16">
        <f t="shared" si="20"/>
        <v>1</v>
      </c>
      <c r="X28" s="16">
        <f t="shared" si="20"/>
        <v>0</v>
      </c>
      <c r="Y28" s="16">
        <f t="shared" si="20"/>
        <v>175</v>
      </c>
      <c r="Z28" s="16">
        <f t="shared" si="20"/>
        <v>51</v>
      </c>
      <c r="AA28" s="16">
        <f t="shared" si="20"/>
        <v>13</v>
      </c>
      <c r="AB28" s="16">
        <f t="shared" si="20"/>
        <v>0</v>
      </c>
      <c r="AC28" s="16">
        <f t="shared" si="20"/>
        <v>3892</v>
      </c>
      <c r="AD28" s="16">
        <f t="shared" si="20"/>
        <v>0</v>
      </c>
      <c r="AE28" s="32">
        <f t="shared" si="20"/>
        <v>5486</v>
      </c>
      <c r="AF28" s="32">
        <f t="shared" si="20"/>
        <v>9378</v>
      </c>
    </row>
    <row r="29" spans="2:32" ht="23.1" customHeight="1" x14ac:dyDescent="0.25">
      <c r="B29" s="23" t="s">
        <v>56</v>
      </c>
      <c r="C29" s="50">
        <v>91</v>
      </c>
      <c r="D29" s="50">
        <v>19</v>
      </c>
      <c r="E29" s="50">
        <v>8</v>
      </c>
      <c r="F29" s="50">
        <v>10</v>
      </c>
      <c r="G29" s="50">
        <v>0</v>
      </c>
      <c r="H29" s="50">
        <v>0</v>
      </c>
      <c r="I29" s="50">
        <v>7</v>
      </c>
      <c r="J29" s="50">
        <v>2</v>
      </c>
      <c r="K29" s="50">
        <v>0</v>
      </c>
      <c r="L29" s="50">
        <v>0</v>
      </c>
      <c r="M29" s="50">
        <v>104</v>
      </c>
      <c r="N29" s="50">
        <v>0</v>
      </c>
      <c r="O29" s="15">
        <f t="shared" si="0"/>
        <v>137</v>
      </c>
      <c r="P29" s="15">
        <f t="shared" si="1"/>
        <v>241</v>
      </c>
      <c r="R29"/>
      <c r="S29" s="20"/>
      <c r="T29" s="19"/>
    </row>
    <row r="30" spans="2:32" ht="23.1" customHeight="1" x14ac:dyDescent="0.25">
      <c r="B30" s="23" t="s">
        <v>57</v>
      </c>
      <c r="C30" s="50">
        <v>75</v>
      </c>
      <c r="D30" s="50">
        <v>16</v>
      </c>
      <c r="E30" s="50">
        <v>7</v>
      </c>
      <c r="F30" s="50">
        <v>11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73</v>
      </c>
      <c r="N30" s="50">
        <v>0</v>
      </c>
      <c r="O30" s="15">
        <f t="shared" si="0"/>
        <v>112</v>
      </c>
      <c r="P30" s="15">
        <f t="shared" si="1"/>
        <v>185</v>
      </c>
    </row>
    <row r="31" spans="2:32" ht="23.1" customHeight="1" x14ac:dyDescent="0.25">
      <c r="B31" s="24" t="s">
        <v>58</v>
      </c>
      <c r="C31" s="50">
        <v>70</v>
      </c>
      <c r="D31" s="50">
        <v>16</v>
      </c>
      <c r="E31" s="50">
        <v>6</v>
      </c>
      <c r="F31" s="50">
        <v>7</v>
      </c>
      <c r="G31" s="50">
        <v>0</v>
      </c>
      <c r="H31" s="50">
        <v>0</v>
      </c>
      <c r="I31" s="50">
        <v>7</v>
      </c>
      <c r="J31" s="50">
        <v>2</v>
      </c>
      <c r="K31" s="50">
        <v>1</v>
      </c>
      <c r="L31" s="50">
        <v>0</v>
      </c>
      <c r="M31" s="50">
        <v>79</v>
      </c>
      <c r="N31" s="50">
        <v>0</v>
      </c>
      <c r="O31" s="15">
        <f t="shared" si="0"/>
        <v>109</v>
      </c>
      <c r="P31" s="15">
        <f t="shared" si="1"/>
        <v>188</v>
      </c>
    </row>
    <row r="32" spans="2:32" ht="23.1" customHeight="1" x14ac:dyDescent="0.25">
      <c r="B32" s="24" t="s">
        <v>59</v>
      </c>
      <c r="C32" s="50">
        <v>80</v>
      </c>
      <c r="D32" s="50">
        <v>18</v>
      </c>
      <c r="E32" s="50">
        <v>11</v>
      </c>
      <c r="F32" s="50">
        <v>6</v>
      </c>
      <c r="G32" s="50">
        <v>0</v>
      </c>
      <c r="H32" s="50">
        <v>0</v>
      </c>
      <c r="I32" s="50">
        <v>6</v>
      </c>
      <c r="J32" s="50">
        <v>1</v>
      </c>
      <c r="K32" s="50">
        <v>0</v>
      </c>
      <c r="L32" s="50">
        <v>0</v>
      </c>
      <c r="M32" s="50">
        <v>85</v>
      </c>
      <c r="N32" s="50">
        <v>0</v>
      </c>
      <c r="O32" s="15">
        <f t="shared" si="0"/>
        <v>122</v>
      </c>
      <c r="P32" s="15">
        <f t="shared" si="1"/>
        <v>207</v>
      </c>
    </row>
    <row r="33" spans="2:20" ht="23.1" customHeight="1" x14ac:dyDescent="0.25">
      <c r="B33" s="23" t="s">
        <v>60</v>
      </c>
      <c r="C33" s="50">
        <v>75</v>
      </c>
      <c r="D33" s="50">
        <v>13</v>
      </c>
      <c r="E33" s="50">
        <v>3</v>
      </c>
      <c r="F33" s="50">
        <v>2</v>
      </c>
      <c r="G33" s="50">
        <v>0</v>
      </c>
      <c r="H33" s="50">
        <v>0</v>
      </c>
      <c r="I33" s="50">
        <v>7</v>
      </c>
      <c r="J33" s="50">
        <v>1</v>
      </c>
      <c r="K33" s="50">
        <v>0</v>
      </c>
      <c r="L33" s="50">
        <v>0</v>
      </c>
      <c r="M33" s="50">
        <v>125</v>
      </c>
      <c r="N33" s="50">
        <v>0</v>
      </c>
      <c r="O33" s="15">
        <f t="shared" si="0"/>
        <v>101</v>
      </c>
      <c r="P33" s="15">
        <f t="shared" si="1"/>
        <v>226</v>
      </c>
    </row>
    <row r="34" spans="2:20" ht="23.1" customHeight="1" x14ac:dyDescent="0.25">
      <c r="B34" s="24" t="s">
        <v>61</v>
      </c>
      <c r="C34" s="50">
        <v>56</v>
      </c>
      <c r="D34" s="50">
        <v>7</v>
      </c>
      <c r="E34" s="50">
        <v>6</v>
      </c>
      <c r="F34" s="50">
        <v>8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110</v>
      </c>
      <c r="N34" s="50">
        <v>0</v>
      </c>
      <c r="O34" s="15">
        <f t="shared" si="0"/>
        <v>80</v>
      </c>
      <c r="P34" s="15">
        <f t="shared" si="1"/>
        <v>190</v>
      </c>
    </row>
    <row r="35" spans="2:20" ht="23.1" customHeight="1" x14ac:dyDescent="0.25">
      <c r="B35" s="24" t="s">
        <v>62</v>
      </c>
      <c r="C35" s="50">
        <v>90</v>
      </c>
      <c r="D35" s="50">
        <v>23</v>
      </c>
      <c r="E35" s="50">
        <v>12</v>
      </c>
      <c r="F35" s="50">
        <v>7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115</v>
      </c>
      <c r="N35" s="50">
        <v>0</v>
      </c>
      <c r="O35" s="15">
        <f t="shared" si="0"/>
        <v>135</v>
      </c>
      <c r="P35" s="15">
        <f t="shared" si="1"/>
        <v>250</v>
      </c>
    </row>
    <row r="36" spans="2:20" ht="23.1" customHeight="1" x14ac:dyDescent="0.25">
      <c r="B36" s="24" t="s">
        <v>63</v>
      </c>
      <c r="C36" s="50">
        <v>78</v>
      </c>
      <c r="D36" s="50">
        <v>21</v>
      </c>
      <c r="E36" s="50">
        <v>19</v>
      </c>
      <c r="F36" s="50">
        <v>11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125</v>
      </c>
      <c r="N36" s="50">
        <v>0</v>
      </c>
      <c r="O36" s="15">
        <f t="shared" si="0"/>
        <v>132</v>
      </c>
      <c r="P36" s="15">
        <f t="shared" si="1"/>
        <v>257</v>
      </c>
    </row>
    <row r="37" spans="2:20" ht="23.1" customHeight="1" x14ac:dyDescent="0.25">
      <c r="B37" s="23" t="s">
        <v>64</v>
      </c>
      <c r="C37" s="50">
        <v>76</v>
      </c>
      <c r="D37" s="50">
        <v>11</v>
      </c>
      <c r="E37" s="50">
        <v>16</v>
      </c>
      <c r="F37" s="50">
        <v>2</v>
      </c>
      <c r="G37" s="50">
        <v>0</v>
      </c>
      <c r="H37" s="50">
        <v>0</v>
      </c>
      <c r="I37" s="50">
        <v>2</v>
      </c>
      <c r="J37" s="50">
        <v>1</v>
      </c>
      <c r="K37" s="50">
        <v>1</v>
      </c>
      <c r="L37" s="50">
        <v>0</v>
      </c>
      <c r="M37" s="50">
        <v>130</v>
      </c>
      <c r="N37" s="50">
        <v>0</v>
      </c>
      <c r="O37" s="15">
        <f t="shared" si="0"/>
        <v>109</v>
      </c>
      <c r="P37" s="15">
        <f t="shared" si="1"/>
        <v>239</v>
      </c>
    </row>
    <row r="38" spans="2:20" ht="23.1" customHeight="1" x14ac:dyDescent="0.25">
      <c r="B38" s="24" t="s">
        <v>65</v>
      </c>
      <c r="C38" s="50">
        <v>46</v>
      </c>
      <c r="D38" s="50">
        <v>16</v>
      </c>
      <c r="E38" s="50">
        <v>12</v>
      </c>
      <c r="F38" s="50">
        <v>5</v>
      </c>
      <c r="G38" s="50">
        <v>0</v>
      </c>
      <c r="H38" s="50">
        <v>0</v>
      </c>
      <c r="I38" s="50">
        <v>7</v>
      </c>
      <c r="J38" s="50">
        <v>0</v>
      </c>
      <c r="K38" s="50">
        <v>0</v>
      </c>
      <c r="L38" s="50">
        <v>0</v>
      </c>
      <c r="M38" s="50">
        <v>114</v>
      </c>
      <c r="N38" s="50">
        <v>0</v>
      </c>
      <c r="O38" s="15">
        <f t="shared" si="0"/>
        <v>86</v>
      </c>
      <c r="P38" s="15">
        <f t="shared" si="1"/>
        <v>200</v>
      </c>
    </row>
    <row r="39" spans="2:20" ht="23.1" customHeight="1" x14ac:dyDescent="0.25">
      <c r="B39" s="24" t="s">
        <v>66</v>
      </c>
      <c r="C39" s="50">
        <v>60</v>
      </c>
      <c r="D39" s="50">
        <v>15</v>
      </c>
      <c r="E39" s="50">
        <v>10</v>
      </c>
      <c r="F39" s="50">
        <v>3</v>
      </c>
      <c r="G39" s="50">
        <v>0</v>
      </c>
      <c r="H39" s="50">
        <v>0</v>
      </c>
      <c r="I39" s="50">
        <v>1</v>
      </c>
      <c r="J39" s="50">
        <v>3</v>
      </c>
      <c r="K39" s="50">
        <v>0</v>
      </c>
      <c r="L39" s="50">
        <v>0</v>
      </c>
      <c r="M39" s="50">
        <v>110</v>
      </c>
      <c r="N39" s="50">
        <v>0</v>
      </c>
      <c r="O39" s="15">
        <f t="shared" si="0"/>
        <v>92</v>
      </c>
      <c r="P39" s="15">
        <f t="shared" si="1"/>
        <v>202</v>
      </c>
    </row>
    <row r="40" spans="2:20" ht="23.1" customHeight="1" x14ac:dyDescent="0.25">
      <c r="B40" s="24" t="s">
        <v>67</v>
      </c>
      <c r="C40" s="50">
        <v>112</v>
      </c>
      <c r="D40" s="50">
        <v>18</v>
      </c>
      <c r="E40" s="50">
        <v>9</v>
      </c>
      <c r="F40" s="50">
        <v>5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111</v>
      </c>
      <c r="N40" s="50">
        <v>0</v>
      </c>
      <c r="O40" s="15">
        <f t="shared" si="0"/>
        <v>148</v>
      </c>
      <c r="P40" s="15">
        <f t="shared" si="1"/>
        <v>259</v>
      </c>
    </row>
    <row r="41" spans="2:20" ht="23.1" customHeight="1" x14ac:dyDescent="0.25">
      <c r="B41" s="23" t="s">
        <v>68</v>
      </c>
      <c r="C41" s="50">
        <v>75</v>
      </c>
      <c r="D41" s="50">
        <v>20</v>
      </c>
      <c r="E41" s="50">
        <v>7</v>
      </c>
      <c r="F41" s="50">
        <v>11</v>
      </c>
      <c r="G41" s="50">
        <v>0</v>
      </c>
      <c r="H41" s="50">
        <v>0</v>
      </c>
      <c r="I41" s="50">
        <v>2</v>
      </c>
      <c r="J41" s="50">
        <v>0</v>
      </c>
      <c r="K41" s="50">
        <v>1</v>
      </c>
      <c r="L41" s="50">
        <v>0</v>
      </c>
      <c r="M41" s="50">
        <v>131</v>
      </c>
      <c r="N41" s="50">
        <v>0</v>
      </c>
      <c r="O41" s="15">
        <f t="shared" si="0"/>
        <v>116</v>
      </c>
      <c r="P41" s="15">
        <f t="shared" si="1"/>
        <v>247</v>
      </c>
    </row>
    <row r="42" spans="2:20" ht="23.1" customHeight="1" x14ac:dyDescent="0.25">
      <c r="B42" s="24" t="s">
        <v>69</v>
      </c>
      <c r="C42" s="50">
        <v>49</v>
      </c>
      <c r="D42" s="50">
        <v>13</v>
      </c>
      <c r="E42" s="50">
        <v>10</v>
      </c>
      <c r="F42" s="50">
        <v>6</v>
      </c>
      <c r="G42" s="50">
        <v>0</v>
      </c>
      <c r="H42" s="50">
        <v>0</v>
      </c>
      <c r="I42" s="50">
        <v>4</v>
      </c>
      <c r="J42" s="50">
        <v>3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85</v>
      </c>
      <c r="P42" s="15">
        <f t="shared" si="1"/>
        <v>155</v>
      </c>
    </row>
    <row r="43" spans="2:20" ht="23.1" customHeight="1" x14ac:dyDescent="0.25">
      <c r="B43" s="23" t="s">
        <v>70</v>
      </c>
      <c r="C43" s="50">
        <v>71</v>
      </c>
      <c r="D43" s="50">
        <v>18</v>
      </c>
      <c r="E43" s="50">
        <v>6</v>
      </c>
      <c r="F43" s="50">
        <v>12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108</v>
      </c>
      <c r="P43" s="15">
        <f t="shared" si="1"/>
        <v>173</v>
      </c>
    </row>
    <row r="44" spans="2:20" ht="23.1" customHeight="1" x14ac:dyDescent="0.25">
      <c r="B44" s="25" t="s">
        <v>71</v>
      </c>
      <c r="C44" s="50">
        <v>60</v>
      </c>
      <c r="D44" s="50">
        <v>6</v>
      </c>
      <c r="E44" s="50">
        <v>12</v>
      </c>
      <c r="F44" s="50">
        <v>11</v>
      </c>
      <c r="G44" s="50">
        <v>0</v>
      </c>
      <c r="H44" s="50">
        <v>0</v>
      </c>
      <c r="I44" s="50">
        <v>5</v>
      </c>
      <c r="J44" s="50">
        <v>1</v>
      </c>
      <c r="K44" s="50">
        <v>1</v>
      </c>
      <c r="L44" s="50">
        <v>0</v>
      </c>
      <c r="M44" s="50">
        <v>75</v>
      </c>
      <c r="N44" s="50">
        <v>0</v>
      </c>
      <c r="O44" s="15">
        <f t="shared" si="0"/>
        <v>96</v>
      </c>
      <c r="P44" s="15">
        <f t="shared" si="1"/>
        <v>171</v>
      </c>
    </row>
    <row r="45" spans="2:20" ht="23.1" customHeight="1" x14ac:dyDescent="0.25">
      <c r="B45" s="23" t="s">
        <v>72</v>
      </c>
      <c r="C45" s="50">
        <v>58</v>
      </c>
      <c r="D45" s="50">
        <v>15</v>
      </c>
      <c r="E45" s="50">
        <v>9</v>
      </c>
      <c r="F45" s="50">
        <v>5</v>
      </c>
      <c r="G45" s="50">
        <v>0</v>
      </c>
      <c r="H45" s="50">
        <v>0</v>
      </c>
      <c r="I45" s="50">
        <v>5</v>
      </c>
      <c r="J45" s="50">
        <v>0</v>
      </c>
      <c r="K45" s="50">
        <v>0</v>
      </c>
      <c r="L45" s="50">
        <v>0</v>
      </c>
      <c r="M45" s="50">
        <v>95</v>
      </c>
      <c r="N45" s="50">
        <v>0</v>
      </c>
      <c r="O45" s="15">
        <f t="shared" si="0"/>
        <v>92</v>
      </c>
      <c r="P45" s="15">
        <f t="shared" si="1"/>
        <v>187</v>
      </c>
    </row>
    <row r="46" spans="2:20" ht="23.1" customHeight="1" x14ac:dyDescent="0.25">
      <c r="B46" s="24" t="s">
        <v>73</v>
      </c>
      <c r="C46" s="50">
        <v>70</v>
      </c>
      <c r="D46" s="50">
        <v>32</v>
      </c>
      <c r="E46" s="50">
        <v>9</v>
      </c>
      <c r="F46" s="50">
        <v>12</v>
      </c>
      <c r="G46" s="50">
        <v>0</v>
      </c>
      <c r="H46" s="50">
        <v>0</v>
      </c>
      <c r="I46" s="50">
        <v>5</v>
      </c>
      <c r="J46" s="50">
        <v>2</v>
      </c>
      <c r="K46" s="50">
        <v>0</v>
      </c>
      <c r="L46" s="50">
        <v>0</v>
      </c>
      <c r="M46" s="50">
        <v>69</v>
      </c>
      <c r="N46" s="50">
        <v>0</v>
      </c>
      <c r="O46" s="15">
        <f t="shared" si="0"/>
        <v>130</v>
      </c>
      <c r="P46" s="15">
        <f t="shared" si="1"/>
        <v>199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13</v>
      </c>
      <c r="E47" s="50">
        <v>8</v>
      </c>
      <c r="F47" s="50">
        <v>13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77</v>
      </c>
      <c r="N47" s="50">
        <v>0</v>
      </c>
      <c r="O47" s="15">
        <f t="shared" si="0"/>
        <v>100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63</v>
      </c>
      <c r="D48" s="50">
        <v>18</v>
      </c>
      <c r="E48" s="50">
        <v>19</v>
      </c>
      <c r="F48" s="50">
        <v>6</v>
      </c>
      <c r="G48" s="50">
        <v>0</v>
      </c>
      <c r="H48" s="50">
        <v>0</v>
      </c>
      <c r="I48" s="50">
        <v>6</v>
      </c>
      <c r="J48" s="50">
        <v>1</v>
      </c>
      <c r="K48" s="50">
        <v>2</v>
      </c>
      <c r="L48" s="50">
        <v>0</v>
      </c>
      <c r="M48" s="50">
        <v>74</v>
      </c>
      <c r="N48" s="50">
        <v>0</v>
      </c>
      <c r="O48" s="15">
        <f t="shared" si="0"/>
        <v>115</v>
      </c>
      <c r="P48" s="15">
        <f t="shared" si="1"/>
        <v>189</v>
      </c>
      <c r="R48" s="8"/>
      <c r="T48"/>
    </row>
    <row r="49" spans="2:20" ht="23.1" customHeight="1" x14ac:dyDescent="0.25">
      <c r="B49" s="23" t="s">
        <v>76</v>
      </c>
      <c r="C49" s="50">
        <v>97</v>
      </c>
      <c r="D49" s="50">
        <v>14</v>
      </c>
      <c r="E49" s="50">
        <v>10</v>
      </c>
      <c r="F49" s="50">
        <v>7</v>
      </c>
      <c r="G49" s="50">
        <v>0</v>
      </c>
      <c r="H49" s="50">
        <v>0</v>
      </c>
      <c r="I49" s="50">
        <v>5</v>
      </c>
      <c r="J49" s="50">
        <v>3</v>
      </c>
      <c r="K49" s="50">
        <v>1</v>
      </c>
      <c r="L49" s="50">
        <v>0</v>
      </c>
      <c r="M49" s="50">
        <v>89</v>
      </c>
      <c r="N49" s="50">
        <v>0</v>
      </c>
      <c r="O49" s="15">
        <f t="shared" si="0"/>
        <v>137</v>
      </c>
      <c r="P49" s="15">
        <f t="shared" si="1"/>
        <v>226</v>
      </c>
      <c r="R49" s="8"/>
      <c r="T49"/>
    </row>
    <row r="50" spans="2:20" ht="23.1" customHeight="1" x14ac:dyDescent="0.25">
      <c r="B50" s="24" t="s">
        <v>77</v>
      </c>
      <c r="C50" s="50">
        <v>71</v>
      </c>
      <c r="D50" s="50">
        <v>21</v>
      </c>
      <c r="E50" s="50">
        <v>8</v>
      </c>
      <c r="F50" s="50">
        <v>9</v>
      </c>
      <c r="G50" s="50">
        <v>0</v>
      </c>
      <c r="H50" s="50">
        <v>0</v>
      </c>
      <c r="I50" s="50">
        <v>6</v>
      </c>
      <c r="J50" s="50">
        <v>3</v>
      </c>
      <c r="K50" s="50">
        <v>0</v>
      </c>
      <c r="L50" s="50">
        <v>0</v>
      </c>
      <c r="M50" s="50">
        <v>93</v>
      </c>
      <c r="N50" s="50">
        <v>0</v>
      </c>
      <c r="O50" s="15">
        <f t="shared" si="0"/>
        <v>118</v>
      </c>
      <c r="P50" s="15">
        <f t="shared" si="1"/>
        <v>211</v>
      </c>
      <c r="R50" s="8"/>
      <c r="T50"/>
    </row>
    <row r="51" spans="2:20" ht="23.1" customHeight="1" x14ac:dyDescent="0.25">
      <c r="B51" s="24" t="s">
        <v>78</v>
      </c>
      <c r="C51" s="50">
        <v>50</v>
      </c>
      <c r="D51" s="50">
        <v>19</v>
      </c>
      <c r="E51" s="50">
        <v>6</v>
      </c>
      <c r="F51" s="50">
        <v>7</v>
      </c>
      <c r="G51" s="50">
        <v>0</v>
      </c>
      <c r="H51" s="50">
        <v>0</v>
      </c>
      <c r="I51" s="50">
        <v>7</v>
      </c>
      <c r="J51" s="50">
        <v>3</v>
      </c>
      <c r="K51" s="50">
        <v>0</v>
      </c>
      <c r="L51" s="50">
        <v>0</v>
      </c>
      <c r="M51" s="50">
        <v>121</v>
      </c>
      <c r="N51" s="50">
        <v>0</v>
      </c>
      <c r="O51" s="15">
        <f t="shared" si="0"/>
        <v>92</v>
      </c>
      <c r="P51" s="15">
        <f t="shared" si="1"/>
        <v>213</v>
      </c>
      <c r="R51" s="8"/>
      <c r="T51"/>
    </row>
    <row r="52" spans="2:20" ht="23.1" customHeight="1" x14ac:dyDescent="0.25">
      <c r="B52" s="24" t="s">
        <v>79</v>
      </c>
      <c r="C52" s="50">
        <v>80</v>
      </c>
      <c r="D52" s="50">
        <v>20</v>
      </c>
      <c r="E52" s="50">
        <v>5</v>
      </c>
      <c r="F52" s="50">
        <v>7</v>
      </c>
      <c r="G52" s="50">
        <v>0</v>
      </c>
      <c r="H52" s="50">
        <v>0</v>
      </c>
      <c r="I52" s="50">
        <v>5</v>
      </c>
      <c r="J52" s="50">
        <v>1</v>
      </c>
      <c r="K52" s="50">
        <v>0</v>
      </c>
      <c r="L52" s="50">
        <v>0</v>
      </c>
      <c r="M52" s="50">
        <v>95</v>
      </c>
      <c r="N52" s="50">
        <v>0</v>
      </c>
      <c r="O52" s="15">
        <f t="shared" si="0"/>
        <v>118</v>
      </c>
      <c r="P52" s="15">
        <f t="shared" si="1"/>
        <v>213</v>
      </c>
      <c r="R52" s="8"/>
      <c r="T52"/>
    </row>
    <row r="53" spans="2:20" ht="23.1" customHeight="1" x14ac:dyDescent="0.25">
      <c r="B53" s="23" t="s">
        <v>80</v>
      </c>
      <c r="C53" s="50">
        <v>55</v>
      </c>
      <c r="D53" s="50">
        <v>12</v>
      </c>
      <c r="E53" s="50">
        <v>8</v>
      </c>
      <c r="F53" s="50">
        <v>10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81</v>
      </c>
      <c r="N53" s="50">
        <v>0</v>
      </c>
      <c r="O53" s="15">
        <f t="shared" si="0"/>
        <v>88</v>
      </c>
      <c r="P53" s="15">
        <f t="shared" si="1"/>
        <v>169</v>
      </c>
      <c r="R53" s="8"/>
      <c r="T53"/>
    </row>
    <row r="54" spans="2:20" ht="23.1" customHeight="1" x14ac:dyDescent="0.25">
      <c r="B54" s="23" t="s">
        <v>81</v>
      </c>
      <c r="C54" s="50">
        <v>63</v>
      </c>
      <c r="D54" s="50">
        <v>16</v>
      </c>
      <c r="E54" s="50">
        <v>9</v>
      </c>
      <c r="F54" s="50">
        <v>6</v>
      </c>
      <c r="G54" s="50">
        <v>0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102</v>
      </c>
      <c r="N54" s="50">
        <v>0</v>
      </c>
      <c r="O54" s="15">
        <f t="shared" si="0"/>
        <v>103</v>
      </c>
      <c r="P54" s="15">
        <f t="shared" si="1"/>
        <v>205</v>
      </c>
      <c r="R54" s="8"/>
      <c r="T54"/>
    </row>
    <row r="55" spans="2:20" ht="23.1" customHeight="1" x14ac:dyDescent="0.25">
      <c r="B55" s="23" t="s">
        <v>82</v>
      </c>
      <c r="C55" s="50">
        <v>75</v>
      </c>
      <c r="D55" s="50">
        <v>8</v>
      </c>
      <c r="E55" s="50">
        <v>7</v>
      </c>
      <c r="F55" s="50">
        <v>8</v>
      </c>
      <c r="G55" s="50">
        <v>0</v>
      </c>
      <c r="H55" s="50">
        <v>0</v>
      </c>
      <c r="I55" s="50">
        <v>6</v>
      </c>
      <c r="J55" s="50">
        <v>0</v>
      </c>
      <c r="K55" s="50">
        <v>1</v>
      </c>
      <c r="L55" s="50">
        <v>0</v>
      </c>
      <c r="M55" s="50">
        <v>110</v>
      </c>
      <c r="N55" s="50">
        <v>0</v>
      </c>
      <c r="O55" s="15">
        <f t="shared" si="0"/>
        <v>105</v>
      </c>
      <c r="P55" s="15">
        <f t="shared" si="1"/>
        <v>215</v>
      </c>
      <c r="R55" s="8"/>
      <c r="T55"/>
    </row>
    <row r="56" spans="2:20" ht="23.1" customHeight="1" x14ac:dyDescent="0.25">
      <c r="B56" s="23" t="s">
        <v>83</v>
      </c>
      <c r="C56" s="50">
        <v>56</v>
      </c>
      <c r="D56" s="50">
        <v>7</v>
      </c>
      <c r="E56" s="50">
        <v>6</v>
      </c>
      <c r="F56" s="50">
        <v>7</v>
      </c>
      <c r="G56" s="50">
        <v>0</v>
      </c>
      <c r="H56" s="50">
        <v>0</v>
      </c>
      <c r="I56" s="50">
        <v>7</v>
      </c>
      <c r="J56" s="50">
        <v>1</v>
      </c>
      <c r="K56" s="50">
        <v>0</v>
      </c>
      <c r="L56" s="50">
        <v>0</v>
      </c>
      <c r="M56" s="50">
        <v>74</v>
      </c>
      <c r="N56" s="50">
        <v>0</v>
      </c>
      <c r="O56" s="15">
        <f t="shared" si="0"/>
        <v>84</v>
      </c>
      <c r="P56" s="15">
        <f t="shared" si="1"/>
        <v>158</v>
      </c>
      <c r="R56" s="8"/>
      <c r="T56"/>
    </row>
    <row r="57" spans="2:20" ht="23.1" customHeight="1" x14ac:dyDescent="0.25">
      <c r="B57" s="23" t="s">
        <v>84</v>
      </c>
      <c r="C57" s="50">
        <v>50</v>
      </c>
      <c r="D57" s="50">
        <v>10</v>
      </c>
      <c r="E57" s="50">
        <v>5</v>
      </c>
      <c r="F57" s="50">
        <v>7</v>
      </c>
      <c r="G57" s="50">
        <v>1</v>
      </c>
      <c r="H57" s="50">
        <v>0</v>
      </c>
      <c r="I57" s="50">
        <v>1</v>
      </c>
      <c r="J57" s="50">
        <v>4</v>
      </c>
      <c r="K57" s="50">
        <v>1</v>
      </c>
      <c r="L57" s="50">
        <v>0</v>
      </c>
      <c r="M57" s="50">
        <v>86</v>
      </c>
      <c r="N57" s="50">
        <v>0</v>
      </c>
      <c r="O57" s="15">
        <f t="shared" si="0"/>
        <v>79</v>
      </c>
      <c r="P57" s="15">
        <f t="shared" si="1"/>
        <v>165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3499</v>
      </c>
      <c r="D58" s="16">
        <f t="shared" si="21"/>
        <v>829</v>
      </c>
      <c r="E58" s="16">
        <f t="shared" si="21"/>
        <v>467</v>
      </c>
      <c r="F58" s="16">
        <f t="shared" si="21"/>
        <v>451</v>
      </c>
      <c r="G58" s="16">
        <f t="shared" si="21"/>
        <v>1</v>
      </c>
      <c r="H58" s="16">
        <f t="shared" si="21"/>
        <v>0</v>
      </c>
      <c r="I58" s="16">
        <f t="shared" si="21"/>
        <v>175</v>
      </c>
      <c r="J58" s="16">
        <f t="shared" si="21"/>
        <v>51</v>
      </c>
      <c r="K58" s="16">
        <f t="shared" si="21"/>
        <v>13</v>
      </c>
      <c r="L58" s="16">
        <f t="shared" si="21"/>
        <v>0</v>
      </c>
      <c r="M58" s="16">
        <f t="shared" si="21"/>
        <v>3892</v>
      </c>
      <c r="N58" s="16">
        <f t="shared" si="21"/>
        <v>0</v>
      </c>
      <c r="O58" s="16">
        <f t="shared" si="21"/>
        <v>5486</v>
      </c>
      <c r="P58" s="16">
        <f t="shared" si="21"/>
        <v>9378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0.37310727233951801</v>
      </c>
      <c r="D59" s="43">
        <f t="shared" si="22"/>
        <v>8.8398379185327364E-2</v>
      </c>
      <c r="E59" s="43">
        <f t="shared" si="22"/>
        <v>4.9797398165920236E-2</v>
      </c>
      <c r="F59" s="43">
        <f t="shared" si="22"/>
        <v>4.8091277457880145E-2</v>
      </c>
      <c r="G59" s="43">
        <f t="shared" si="22"/>
        <v>1.0663254425250586E-4</v>
      </c>
      <c r="H59" s="43">
        <f t="shared" si="22"/>
        <v>0</v>
      </c>
      <c r="I59" s="43">
        <f t="shared" si="22"/>
        <v>1.8660695244188525E-2</v>
      </c>
      <c r="J59" s="43">
        <f t="shared" si="22"/>
        <v>5.4382597568777991E-3</v>
      </c>
      <c r="K59" s="43">
        <f t="shared" si="22"/>
        <v>1.3862230752825762E-3</v>
      </c>
      <c r="L59" s="43">
        <f t="shared" si="22"/>
        <v>0</v>
      </c>
      <c r="M59" s="43">
        <f t="shared" si="22"/>
        <v>0.41501386223075282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0.63780532263944589</v>
      </c>
      <c r="D60" s="44">
        <f t="shared" ref="D60:N60" si="23">D58/$O$58</f>
        <v>0.15111192125410136</v>
      </c>
      <c r="E60" s="44">
        <f t="shared" si="23"/>
        <v>8.5125774699234422E-2</v>
      </c>
      <c r="F60" s="44">
        <f t="shared" si="23"/>
        <v>8.2209259934378415E-2</v>
      </c>
      <c r="G60" s="44">
        <f t="shared" si="23"/>
        <v>1.8228217280349981E-4</v>
      </c>
      <c r="H60" s="44">
        <f t="shared" si="23"/>
        <v>0</v>
      </c>
      <c r="I60" s="44">
        <f t="shared" si="23"/>
        <v>3.1899380240612465E-2</v>
      </c>
      <c r="J60" s="44">
        <f t="shared" si="23"/>
        <v>9.2963908129784899E-3</v>
      </c>
      <c r="K60" s="44">
        <f t="shared" si="23"/>
        <v>2.3696682464454978E-3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14" sqref="G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Naguru-Nakawa'!D5</f>
        <v>29.07.19</v>
      </c>
      <c r="E5" s="3"/>
      <c r="F5" s="41" t="s">
        <v>1</v>
      </c>
      <c r="G5" s="60" t="s">
        <v>186</v>
      </c>
      <c r="H5" s="61"/>
      <c r="I5" s="14"/>
      <c r="J5" s="2" t="s">
        <v>5</v>
      </c>
      <c r="K5" s="60" t="s">
        <v>175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166</v>
      </c>
      <c r="H6" s="55"/>
      <c r="J6" s="2" t="s">
        <v>21</v>
      </c>
      <c r="K6" s="60" t="s">
        <v>185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51</v>
      </c>
      <c r="T10" s="17">
        <f t="shared" si="2"/>
        <v>24</v>
      </c>
      <c r="U10" s="17">
        <f t="shared" si="2"/>
        <v>20</v>
      </c>
      <c r="V10" s="17">
        <f t="shared" si="2"/>
        <v>15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67</v>
      </c>
      <c r="AD10" s="17">
        <f t="shared" si="2"/>
        <v>0</v>
      </c>
      <c r="AE10" s="31">
        <f t="shared" si="2"/>
        <v>112</v>
      </c>
      <c r="AF10" s="31">
        <f t="shared" si="2"/>
        <v>179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67</v>
      </c>
      <c r="T11" s="17">
        <f t="shared" si="3"/>
        <v>45</v>
      </c>
      <c r="U11" s="17">
        <f t="shared" si="3"/>
        <v>14</v>
      </c>
      <c r="V11" s="17">
        <f t="shared" si="3"/>
        <v>54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174</v>
      </c>
      <c r="AD11" s="17">
        <f t="shared" si="3"/>
        <v>0</v>
      </c>
      <c r="AE11" s="31">
        <f t="shared" si="3"/>
        <v>186</v>
      </c>
      <c r="AF11" s="31">
        <f t="shared" si="3"/>
        <v>360</v>
      </c>
    </row>
    <row r="12" spans="2:32" ht="23.1" customHeight="1" x14ac:dyDescent="0.25">
      <c r="B12" s="23" t="s">
        <v>39</v>
      </c>
      <c r="C12" s="50">
        <v>31</v>
      </c>
      <c r="D12" s="50">
        <v>15</v>
      </c>
      <c r="E12" s="50">
        <v>17</v>
      </c>
      <c r="F12" s="50">
        <v>9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36</v>
      </c>
      <c r="N12" s="50">
        <v>0</v>
      </c>
      <c r="O12" s="15">
        <f t="shared" si="0"/>
        <v>72</v>
      </c>
      <c r="P12" s="15">
        <f t="shared" si="1"/>
        <v>108</v>
      </c>
      <c r="R12" s="1" t="s">
        <v>8</v>
      </c>
      <c r="S12" s="17">
        <f t="shared" ref="S12:AF12" si="4">SUM(C18:C21)</f>
        <v>74</v>
      </c>
      <c r="T12" s="17">
        <f t="shared" si="4"/>
        <v>53</v>
      </c>
      <c r="U12" s="17">
        <f t="shared" si="4"/>
        <v>16</v>
      </c>
      <c r="V12" s="17">
        <f t="shared" si="4"/>
        <v>46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108</v>
      </c>
      <c r="AD12" s="17">
        <f t="shared" si="4"/>
        <v>0</v>
      </c>
      <c r="AE12" s="31">
        <f t="shared" si="4"/>
        <v>198</v>
      </c>
      <c r="AF12" s="31">
        <f t="shared" si="4"/>
        <v>306</v>
      </c>
    </row>
    <row r="13" spans="2:32" ht="23.1" customHeight="1" x14ac:dyDescent="0.25">
      <c r="B13" s="23" t="s">
        <v>40</v>
      </c>
      <c r="C13" s="50">
        <v>17</v>
      </c>
      <c r="D13" s="50">
        <v>9</v>
      </c>
      <c r="E13" s="50">
        <v>3</v>
      </c>
      <c r="F13" s="50">
        <v>5</v>
      </c>
      <c r="G13" s="50">
        <v>1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30</v>
      </c>
      <c r="N13" s="50">
        <v>0</v>
      </c>
      <c r="O13" s="15">
        <f t="shared" si="0"/>
        <v>36</v>
      </c>
      <c r="P13" s="15">
        <f t="shared" si="1"/>
        <v>66</v>
      </c>
      <c r="R13" s="1" t="s">
        <v>9</v>
      </c>
      <c r="S13" s="17">
        <f t="shared" ref="S13:AF13" si="5">SUM(C22:C25)</f>
        <v>82</v>
      </c>
      <c r="T13" s="17">
        <f t="shared" si="5"/>
        <v>69</v>
      </c>
      <c r="U13" s="17">
        <f t="shared" si="5"/>
        <v>24</v>
      </c>
      <c r="V13" s="17">
        <f t="shared" si="5"/>
        <v>30</v>
      </c>
      <c r="W13" s="17">
        <f t="shared" si="5"/>
        <v>0</v>
      </c>
      <c r="X13" s="17">
        <f t="shared" si="5"/>
        <v>0</v>
      </c>
      <c r="Y13" s="17">
        <f t="shared" si="5"/>
        <v>18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169</v>
      </c>
      <c r="AD13" s="17">
        <f t="shared" si="5"/>
        <v>1</v>
      </c>
      <c r="AE13" s="31">
        <f t="shared" si="5"/>
        <v>230</v>
      </c>
      <c r="AF13" s="31">
        <f t="shared" si="5"/>
        <v>399</v>
      </c>
    </row>
    <row r="14" spans="2:32" ht="23.1" customHeight="1" x14ac:dyDescent="0.25">
      <c r="B14" s="23" t="s">
        <v>41</v>
      </c>
      <c r="C14" s="50">
        <v>13</v>
      </c>
      <c r="D14" s="50">
        <v>12</v>
      </c>
      <c r="E14" s="50">
        <v>5</v>
      </c>
      <c r="F14" s="50">
        <v>18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34</v>
      </c>
      <c r="N14" s="50">
        <v>0</v>
      </c>
      <c r="O14" s="15">
        <f t="shared" si="0"/>
        <v>49</v>
      </c>
      <c r="P14" s="15">
        <f t="shared" si="1"/>
        <v>83</v>
      </c>
      <c r="R14" s="1" t="s">
        <v>10</v>
      </c>
      <c r="S14" s="17">
        <f t="shared" ref="S14:AF14" si="6">SUM(C26:C29)</f>
        <v>168</v>
      </c>
      <c r="T14" s="17">
        <f t="shared" si="6"/>
        <v>129</v>
      </c>
      <c r="U14" s="17">
        <f t="shared" si="6"/>
        <v>33</v>
      </c>
      <c r="V14" s="17">
        <f t="shared" si="6"/>
        <v>28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252</v>
      </c>
      <c r="AD14" s="17">
        <f t="shared" si="6"/>
        <v>0</v>
      </c>
      <c r="AE14" s="31">
        <f t="shared" si="6"/>
        <v>375</v>
      </c>
      <c r="AF14" s="31">
        <f t="shared" si="6"/>
        <v>627</v>
      </c>
    </row>
    <row r="15" spans="2:32" ht="23.1" customHeight="1" x14ac:dyDescent="0.25">
      <c r="B15" s="23" t="s">
        <v>42</v>
      </c>
      <c r="C15" s="50">
        <v>23</v>
      </c>
      <c r="D15" s="50">
        <v>8</v>
      </c>
      <c r="E15" s="50">
        <v>2</v>
      </c>
      <c r="F15" s="50">
        <v>11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43</v>
      </c>
      <c r="N15" s="50">
        <v>0</v>
      </c>
      <c r="O15" s="15">
        <f t="shared" si="0"/>
        <v>47</v>
      </c>
      <c r="P15" s="15">
        <f t="shared" si="1"/>
        <v>90</v>
      </c>
      <c r="R15" s="1" t="s">
        <v>11</v>
      </c>
      <c r="S15" s="17">
        <f t="shared" ref="S15:AF15" si="7">SUM(C30:C33)</f>
        <v>222</v>
      </c>
      <c r="T15" s="17">
        <f t="shared" si="7"/>
        <v>190</v>
      </c>
      <c r="U15" s="17">
        <f t="shared" si="7"/>
        <v>65</v>
      </c>
      <c r="V15" s="17">
        <f t="shared" si="7"/>
        <v>25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1</v>
      </c>
      <c r="AA15" s="17">
        <f t="shared" si="7"/>
        <v>1</v>
      </c>
      <c r="AB15" s="17">
        <f t="shared" si="7"/>
        <v>2</v>
      </c>
      <c r="AC15" s="17">
        <f t="shared" si="7"/>
        <v>282</v>
      </c>
      <c r="AD15" s="17">
        <f t="shared" si="7"/>
        <v>0</v>
      </c>
      <c r="AE15" s="31">
        <f t="shared" si="7"/>
        <v>520</v>
      </c>
      <c r="AF15" s="31">
        <f t="shared" si="7"/>
        <v>802</v>
      </c>
    </row>
    <row r="16" spans="2:32" ht="23.1" customHeight="1" x14ac:dyDescent="0.25">
      <c r="B16" s="23" t="s">
        <v>43</v>
      </c>
      <c r="C16" s="50">
        <v>8</v>
      </c>
      <c r="D16" s="50">
        <v>8</v>
      </c>
      <c r="E16" s="50">
        <v>3</v>
      </c>
      <c r="F16" s="50">
        <v>11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49</v>
      </c>
      <c r="N16" s="50">
        <v>0</v>
      </c>
      <c r="O16" s="15">
        <f t="shared" si="0"/>
        <v>32</v>
      </c>
      <c r="P16" s="15">
        <f t="shared" si="1"/>
        <v>81</v>
      </c>
      <c r="R16" s="1" t="s">
        <v>12</v>
      </c>
      <c r="S16" s="17">
        <f t="shared" ref="S16:AF16" si="8">SUM(C34:C37)</f>
        <v>202</v>
      </c>
      <c r="T16" s="17">
        <f t="shared" si="8"/>
        <v>240</v>
      </c>
      <c r="U16" s="17">
        <f t="shared" si="8"/>
        <v>71</v>
      </c>
      <c r="V16" s="17">
        <f t="shared" si="8"/>
        <v>18</v>
      </c>
      <c r="W16" s="17">
        <f t="shared" si="8"/>
        <v>1</v>
      </c>
      <c r="X16" s="17">
        <f t="shared" si="8"/>
        <v>1</v>
      </c>
      <c r="Y16" s="17">
        <f t="shared" si="8"/>
        <v>6</v>
      </c>
      <c r="Z16" s="17">
        <f t="shared" si="8"/>
        <v>5</v>
      </c>
      <c r="AA16" s="17">
        <f t="shared" si="8"/>
        <v>0</v>
      </c>
      <c r="AB16" s="17">
        <f t="shared" si="8"/>
        <v>2</v>
      </c>
      <c r="AC16" s="17">
        <f t="shared" si="8"/>
        <v>292</v>
      </c>
      <c r="AD16" s="17">
        <f t="shared" si="8"/>
        <v>0</v>
      </c>
      <c r="AE16" s="31">
        <f t="shared" si="8"/>
        <v>546</v>
      </c>
      <c r="AF16" s="31">
        <f t="shared" si="8"/>
        <v>838</v>
      </c>
    </row>
    <row r="17" spans="2:32" ht="23.1" customHeight="1" x14ac:dyDescent="0.25">
      <c r="B17" s="23" t="s">
        <v>44</v>
      </c>
      <c r="C17" s="50">
        <v>23</v>
      </c>
      <c r="D17" s="50">
        <v>17</v>
      </c>
      <c r="E17" s="50">
        <v>4</v>
      </c>
      <c r="F17" s="50">
        <v>14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48</v>
      </c>
      <c r="N17" s="50">
        <v>0</v>
      </c>
      <c r="O17" s="15">
        <f t="shared" si="0"/>
        <v>58</v>
      </c>
      <c r="P17" s="15">
        <f t="shared" si="1"/>
        <v>106</v>
      </c>
      <c r="R17" s="1" t="s">
        <v>13</v>
      </c>
      <c r="S17" s="17">
        <f t="shared" ref="S17:AF17" si="9">SUM(C38:C41)</f>
        <v>224</v>
      </c>
      <c r="T17" s="17">
        <f t="shared" si="9"/>
        <v>326</v>
      </c>
      <c r="U17" s="17">
        <f t="shared" si="9"/>
        <v>89</v>
      </c>
      <c r="V17" s="17">
        <f t="shared" si="9"/>
        <v>59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201</v>
      </c>
      <c r="AD17" s="17">
        <f t="shared" si="9"/>
        <v>0</v>
      </c>
      <c r="AE17" s="31">
        <f t="shared" si="9"/>
        <v>701</v>
      </c>
      <c r="AF17" s="31">
        <f t="shared" si="9"/>
        <v>902</v>
      </c>
    </row>
    <row r="18" spans="2:32" ht="23.1" customHeight="1" x14ac:dyDescent="0.25">
      <c r="B18" s="23" t="s">
        <v>45</v>
      </c>
      <c r="C18" s="50">
        <v>22</v>
      </c>
      <c r="D18" s="50">
        <v>9</v>
      </c>
      <c r="E18" s="50">
        <v>3</v>
      </c>
      <c r="F18" s="50">
        <v>13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29</v>
      </c>
      <c r="N18" s="50">
        <v>0</v>
      </c>
      <c r="O18" s="15">
        <f t="shared" si="0"/>
        <v>49</v>
      </c>
      <c r="P18" s="15">
        <f t="shared" si="1"/>
        <v>78</v>
      </c>
      <c r="R18" s="1" t="s">
        <v>14</v>
      </c>
      <c r="S18" s="17">
        <f t="shared" ref="S18:AF18" si="10">SUM(C42:C45)</f>
        <v>288</v>
      </c>
      <c r="T18" s="17">
        <f t="shared" si="10"/>
        <v>314</v>
      </c>
      <c r="U18" s="17">
        <f t="shared" si="10"/>
        <v>76</v>
      </c>
      <c r="V18" s="17">
        <f t="shared" si="10"/>
        <v>15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174</v>
      </c>
      <c r="AD18" s="17">
        <f t="shared" si="10"/>
        <v>0</v>
      </c>
      <c r="AE18" s="31">
        <f t="shared" si="10"/>
        <v>707</v>
      </c>
      <c r="AF18" s="31">
        <f t="shared" si="10"/>
        <v>881</v>
      </c>
    </row>
    <row r="19" spans="2:32" ht="23.1" customHeight="1" x14ac:dyDescent="0.25">
      <c r="B19" s="23" t="s">
        <v>46</v>
      </c>
      <c r="C19" s="50">
        <v>22</v>
      </c>
      <c r="D19" s="50">
        <v>8</v>
      </c>
      <c r="E19" s="50">
        <v>5</v>
      </c>
      <c r="F19" s="50">
        <v>21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28</v>
      </c>
      <c r="N19" s="50">
        <v>0</v>
      </c>
      <c r="O19" s="15">
        <f t="shared" si="0"/>
        <v>60</v>
      </c>
      <c r="P19" s="15">
        <f t="shared" si="1"/>
        <v>88</v>
      </c>
      <c r="R19" s="1" t="s">
        <v>15</v>
      </c>
      <c r="S19" s="17">
        <f t="shared" ref="S19:AF19" si="11">SUM(C46:C49)</f>
        <v>448</v>
      </c>
      <c r="T19" s="17">
        <f t="shared" si="11"/>
        <v>373</v>
      </c>
      <c r="U19" s="17">
        <f t="shared" si="11"/>
        <v>98</v>
      </c>
      <c r="V19" s="17">
        <f t="shared" si="11"/>
        <v>26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182</v>
      </c>
      <c r="AD19" s="17">
        <f t="shared" si="11"/>
        <v>0</v>
      </c>
      <c r="AE19" s="31">
        <f t="shared" si="11"/>
        <v>951</v>
      </c>
      <c r="AF19" s="31">
        <f t="shared" si="11"/>
        <v>1133</v>
      </c>
    </row>
    <row r="20" spans="2:32" ht="23.1" customHeight="1" x14ac:dyDescent="0.25">
      <c r="B20" s="23" t="s">
        <v>47</v>
      </c>
      <c r="C20" s="50">
        <v>14</v>
      </c>
      <c r="D20" s="50">
        <v>21</v>
      </c>
      <c r="E20" s="50">
        <v>4</v>
      </c>
      <c r="F20" s="50">
        <v>7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47</v>
      </c>
      <c r="P20" s="15">
        <f t="shared" si="1"/>
        <v>72</v>
      </c>
      <c r="R20" s="1" t="s">
        <v>16</v>
      </c>
      <c r="S20" s="17">
        <f t="shared" ref="S20:AF20" si="12">SUM(C50:C53)</f>
        <v>1044</v>
      </c>
      <c r="T20" s="17">
        <f t="shared" si="12"/>
        <v>587</v>
      </c>
      <c r="U20" s="17">
        <f t="shared" si="12"/>
        <v>76</v>
      </c>
      <c r="V20" s="17">
        <f t="shared" si="12"/>
        <v>28</v>
      </c>
      <c r="W20" s="17">
        <f t="shared" si="12"/>
        <v>0</v>
      </c>
      <c r="X20" s="17">
        <f t="shared" si="12"/>
        <v>1</v>
      </c>
      <c r="Y20" s="17">
        <f t="shared" si="12"/>
        <v>5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200</v>
      </c>
      <c r="AD20" s="17">
        <f t="shared" si="12"/>
        <v>0</v>
      </c>
      <c r="AE20" s="31">
        <f t="shared" si="12"/>
        <v>1742</v>
      </c>
      <c r="AF20" s="31">
        <f t="shared" si="12"/>
        <v>1942</v>
      </c>
    </row>
    <row r="21" spans="2:32" ht="23.1" customHeight="1" x14ac:dyDescent="0.25">
      <c r="B21" s="23" t="s">
        <v>48</v>
      </c>
      <c r="C21" s="50">
        <v>16</v>
      </c>
      <c r="D21" s="50">
        <v>15</v>
      </c>
      <c r="E21" s="50">
        <v>4</v>
      </c>
      <c r="F21" s="50">
        <v>5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26</v>
      </c>
      <c r="N21" s="50">
        <v>0</v>
      </c>
      <c r="O21" s="15">
        <f t="shared" si="0"/>
        <v>42</v>
      </c>
      <c r="P21" s="15">
        <f t="shared" si="1"/>
        <v>68</v>
      </c>
      <c r="R21" s="36" t="s">
        <v>20</v>
      </c>
      <c r="S21" s="34">
        <f t="shared" ref="S21:AF21" si="13">SUM(C54:C57)</f>
        <v>1849</v>
      </c>
      <c r="T21" s="17">
        <f t="shared" si="13"/>
        <v>445</v>
      </c>
      <c r="U21" s="17">
        <f t="shared" si="13"/>
        <v>46</v>
      </c>
      <c r="V21" s="17">
        <f t="shared" si="13"/>
        <v>49</v>
      </c>
      <c r="W21" s="17">
        <f t="shared" si="13"/>
        <v>0</v>
      </c>
      <c r="X21" s="17">
        <f t="shared" si="13"/>
        <v>1</v>
      </c>
      <c r="Y21" s="17">
        <f t="shared" si="13"/>
        <v>5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383</v>
      </c>
      <c r="AD21" s="17">
        <f t="shared" si="13"/>
        <v>0</v>
      </c>
      <c r="AE21" s="31">
        <f t="shared" si="13"/>
        <v>2398</v>
      </c>
      <c r="AF21" s="31">
        <f t="shared" si="13"/>
        <v>2781</v>
      </c>
    </row>
    <row r="22" spans="2:32" ht="23.1" customHeight="1" x14ac:dyDescent="0.25">
      <c r="B22" s="23" t="s">
        <v>49</v>
      </c>
      <c r="C22" s="50">
        <v>11</v>
      </c>
      <c r="D22" s="50">
        <v>7</v>
      </c>
      <c r="E22" s="50">
        <v>4</v>
      </c>
      <c r="F22" s="50">
        <v>4</v>
      </c>
      <c r="G22" s="50">
        <v>0</v>
      </c>
      <c r="H22" s="50">
        <v>0</v>
      </c>
      <c r="I22" s="50">
        <v>7</v>
      </c>
      <c r="J22" s="50">
        <v>1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34</v>
      </c>
      <c r="P22" s="15">
        <f t="shared" si="1"/>
        <v>67</v>
      </c>
      <c r="R22" s="38" t="s">
        <v>90</v>
      </c>
      <c r="S22" s="39">
        <f>MAX(S10:S12)</f>
        <v>74</v>
      </c>
      <c r="T22" s="39">
        <f t="shared" ref="T22:AF22" si="14">MAX(T10:T12)</f>
        <v>53</v>
      </c>
      <c r="U22" s="39">
        <f t="shared" si="14"/>
        <v>20</v>
      </c>
      <c r="V22" s="39">
        <f t="shared" si="14"/>
        <v>54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174</v>
      </c>
      <c r="AD22" s="39">
        <f t="shared" si="14"/>
        <v>0</v>
      </c>
      <c r="AE22" s="40">
        <f t="shared" si="14"/>
        <v>198</v>
      </c>
      <c r="AF22" s="40">
        <f t="shared" si="14"/>
        <v>360</v>
      </c>
    </row>
    <row r="23" spans="2:32" ht="23.1" customHeight="1" x14ac:dyDescent="0.25">
      <c r="B23" s="23" t="s">
        <v>50</v>
      </c>
      <c r="C23" s="50">
        <v>13</v>
      </c>
      <c r="D23" s="50">
        <v>19</v>
      </c>
      <c r="E23" s="50">
        <v>6</v>
      </c>
      <c r="F23" s="50">
        <v>5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57</v>
      </c>
      <c r="N23" s="50">
        <v>0</v>
      </c>
      <c r="O23" s="15">
        <f t="shared" si="0"/>
        <v>46</v>
      </c>
      <c r="P23" s="15">
        <f t="shared" si="1"/>
        <v>103</v>
      </c>
      <c r="R23" s="38" t="s">
        <v>91</v>
      </c>
      <c r="S23" s="39">
        <f>MAX(S13:S18)</f>
        <v>288</v>
      </c>
      <c r="T23" s="39">
        <f t="shared" ref="T23:AF23" si="15">MAX(T13:T18)</f>
        <v>326</v>
      </c>
      <c r="U23" s="39">
        <f t="shared" si="15"/>
        <v>89</v>
      </c>
      <c r="V23" s="39">
        <f t="shared" si="15"/>
        <v>59</v>
      </c>
      <c r="W23" s="39">
        <f t="shared" si="15"/>
        <v>1</v>
      </c>
      <c r="X23" s="39">
        <f t="shared" si="15"/>
        <v>1</v>
      </c>
      <c r="Y23" s="39">
        <f t="shared" si="15"/>
        <v>18</v>
      </c>
      <c r="Z23" s="39">
        <f t="shared" si="15"/>
        <v>5</v>
      </c>
      <c r="AA23" s="39">
        <f t="shared" si="15"/>
        <v>1</v>
      </c>
      <c r="AB23" s="39">
        <f t="shared" si="15"/>
        <v>2</v>
      </c>
      <c r="AC23" s="39">
        <f t="shared" si="15"/>
        <v>292</v>
      </c>
      <c r="AD23" s="39">
        <f t="shared" si="15"/>
        <v>1</v>
      </c>
      <c r="AE23" s="40">
        <f t="shared" si="15"/>
        <v>707</v>
      </c>
      <c r="AF23" s="40">
        <f t="shared" si="15"/>
        <v>902</v>
      </c>
    </row>
    <row r="24" spans="2:32" ht="23.1" customHeight="1" x14ac:dyDescent="0.25">
      <c r="B24" s="23" t="s">
        <v>51</v>
      </c>
      <c r="C24" s="50">
        <v>11</v>
      </c>
      <c r="D24" s="50">
        <v>11</v>
      </c>
      <c r="E24" s="50">
        <v>3</v>
      </c>
      <c r="F24" s="50">
        <v>6</v>
      </c>
      <c r="G24" s="50">
        <v>0</v>
      </c>
      <c r="H24" s="50">
        <v>0</v>
      </c>
      <c r="I24" s="50">
        <v>4</v>
      </c>
      <c r="J24" s="50">
        <v>3</v>
      </c>
      <c r="K24" s="50">
        <v>0</v>
      </c>
      <c r="L24" s="50">
        <v>0</v>
      </c>
      <c r="M24" s="50">
        <v>37</v>
      </c>
      <c r="N24" s="50">
        <v>0</v>
      </c>
      <c r="O24" s="15">
        <f t="shared" si="0"/>
        <v>38</v>
      </c>
      <c r="P24" s="15">
        <f t="shared" si="1"/>
        <v>75</v>
      </c>
      <c r="R24" s="38" t="s">
        <v>92</v>
      </c>
      <c r="S24" s="39">
        <f>MAX(S19:S21)</f>
        <v>1849</v>
      </c>
      <c r="T24" s="39">
        <f t="shared" ref="T24:AF24" si="16">MAX(T19:T21)</f>
        <v>587</v>
      </c>
      <c r="U24" s="39">
        <f t="shared" si="16"/>
        <v>98</v>
      </c>
      <c r="V24" s="39">
        <f t="shared" si="16"/>
        <v>49</v>
      </c>
      <c r="W24" s="39">
        <f t="shared" si="16"/>
        <v>0</v>
      </c>
      <c r="X24" s="39">
        <f t="shared" si="16"/>
        <v>1</v>
      </c>
      <c r="Y24" s="39">
        <f t="shared" si="16"/>
        <v>5</v>
      </c>
      <c r="Z24" s="39">
        <f t="shared" si="16"/>
        <v>3</v>
      </c>
      <c r="AA24" s="39">
        <f t="shared" si="16"/>
        <v>0</v>
      </c>
      <c r="AB24" s="39">
        <f t="shared" si="16"/>
        <v>0</v>
      </c>
      <c r="AC24" s="39">
        <f t="shared" si="16"/>
        <v>383</v>
      </c>
      <c r="AD24" s="39">
        <f t="shared" si="16"/>
        <v>0</v>
      </c>
      <c r="AE24" s="40">
        <f t="shared" si="16"/>
        <v>2398</v>
      </c>
      <c r="AF24" s="40">
        <f t="shared" si="16"/>
        <v>2781</v>
      </c>
    </row>
    <row r="25" spans="2:32" ht="23.1" customHeight="1" x14ac:dyDescent="0.25">
      <c r="B25" s="23" t="s">
        <v>52</v>
      </c>
      <c r="C25" s="50">
        <v>47</v>
      </c>
      <c r="D25" s="50">
        <v>32</v>
      </c>
      <c r="E25" s="50">
        <v>11</v>
      </c>
      <c r="F25" s="50">
        <v>15</v>
      </c>
      <c r="G25" s="50">
        <v>0</v>
      </c>
      <c r="H25" s="50">
        <v>0</v>
      </c>
      <c r="I25" s="50">
        <v>4</v>
      </c>
      <c r="J25" s="50">
        <v>1</v>
      </c>
      <c r="K25" s="50">
        <v>1</v>
      </c>
      <c r="L25" s="50">
        <v>0</v>
      </c>
      <c r="M25" s="50">
        <v>42</v>
      </c>
      <c r="N25" s="50">
        <v>1</v>
      </c>
      <c r="O25" s="15">
        <f t="shared" si="0"/>
        <v>112</v>
      </c>
      <c r="P25" s="15">
        <f t="shared" si="1"/>
        <v>154</v>
      </c>
      <c r="R25" s="37" t="s">
        <v>85</v>
      </c>
      <c r="S25" s="35">
        <f t="shared" ref="S25:AF25" si="17">SUM(S10:S12)</f>
        <v>192</v>
      </c>
      <c r="T25" s="16">
        <f t="shared" si="17"/>
        <v>122</v>
      </c>
      <c r="U25" s="16">
        <f t="shared" si="17"/>
        <v>50</v>
      </c>
      <c r="V25" s="16">
        <f t="shared" si="17"/>
        <v>115</v>
      </c>
      <c r="W25" s="16">
        <f t="shared" si="17"/>
        <v>1</v>
      </c>
      <c r="X25" s="16">
        <f t="shared" si="17"/>
        <v>0</v>
      </c>
      <c r="Y25" s="16">
        <f t="shared" si="17"/>
        <v>12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349</v>
      </c>
      <c r="AD25" s="16">
        <f t="shared" si="17"/>
        <v>0</v>
      </c>
      <c r="AE25" s="32">
        <f t="shared" si="17"/>
        <v>496</v>
      </c>
      <c r="AF25" s="32">
        <f t="shared" si="17"/>
        <v>845</v>
      </c>
    </row>
    <row r="26" spans="2:32" ht="23.1" customHeight="1" x14ac:dyDescent="0.25">
      <c r="B26" s="23" t="s">
        <v>53</v>
      </c>
      <c r="C26" s="50">
        <v>56</v>
      </c>
      <c r="D26" s="50">
        <v>38</v>
      </c>
      <c r="E26" s="50">
        <v>9</v>
      </c>
      <c r="F26" s="50">
        <v>12</v>
      </c>
      <c r="G26" s="50">
        <v>0</v>
      </c>
      <c r="H26" s="50">
        <v>0</v>
      </c>
      <c r="I26" s="50">
        <v>7</v>
      </c>
      <c r="J26" s="50">
        <v>1</v>
      </c>
      <c r="K26" s="50">
        <v>0</v>
      </c>
      <c r="L26" s="50">
        <v>0</v>
      </c>
      <c r="M26" s="50">
        <v>71</v>
      </c>
      <c r="N26" s="50">
        <v>0</v>
      </c>
      <c r="O26" s="15">
        <f t="shared" si="0"/>
        <v>123</v>
      </c>
      <c r="P26" s="15">
        <f t="shared" si="1"/>
        <v>194</v>
      </c>
      <c r="R26" s="28" t="s">
        <v>86</v>
      </c>
      <c r="S26" s="16">
        <f t="shared" ref="S26:AF26" si="18">SUM(S13:S18)</f>
        <v>1186</v>
      </c>
      <c r="T26" s="16">
        <f t="shared" si="18"/>
        <v>1268</v>
      </c>
      <c r="U26" s="16">
        <f t="shared" si="18"/>
        <v>358</v>
      </c>
      <c r="V26" s="16">
        <f t="shared" si="18"/>
        <v>175</v>
      </c>
      <c r="W26" s="16">
        <f t="shared" si="18"/>
        <v>1</v>
      </c>
      <c r="X26" s="16">
        <f t="shared" si="18"/>
        <v>1</v>
      </c>
      <c r="Y26" s="16">
        <f t="shared" si="18"/>
        <v>65</v>
      </c>
      <c r="Z26" s="16">
        <f t="shared" si="18"/>
        <v>15</v>
      </c>
      <c r="AA26" s="16">
        <f t="shared" si="18"/>
        <v>3</v>
      </c>
      <c r="AB26" s="16">
        <f t="shared" si="18"/>
        <v>6</v>
      </c>
      <c r="AC26" s="16">
        <f t="shared" si="18"/>
        <v>1370</v>
      </c>
      <c r="AD26" s="16">
        <f t="shared" si="18"/>
        <v>1</v>
      </c>
      <c r="AE26" s="32">
        <f t="shared" si="18"/>
        <v>3079</v>
      </c>
      <c r="AF26" s="32">
        <f t="shared" si="18"/>
        <v>4449</v>
      </c>
    </row>
    <row r="27" spans="2:32" ht="23.1" customHeight="1" x14ac:dyDescent="0.25">
      <c r="B27" s="23" t="s">
        <v>54</v>
      </c>
      <c r="C27" s="50">
        <v>32</v>
      </c>
      <c r="D27" s="50">
        <v>47</v>
      </c>
      <c r="E27" s="50">
        <v>11</v>
      </c>
      <c r="F27" s="50">
        <v>5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46</v>
      </c>
      <c r="N27" s="50">
        <v>0</v>
      </c>
      <c r="O27" s="15">
        <f t="shared" si="0"/>
        <v>98</v>
      </c>
      <c r="P27" s="15">
        <f t="shared" si="1"/>
        <v>144</v>
      </c>
      <c r="R27" s="29" t="s">
        <v>87</v>
      </c>
      <c r="S27" s="16">
        <f t="shared" ref="S27:AF27" si="19">SUM(S19:S21)</f>
        <v>3341</v>
      </c>
      <c r="T27" s="16">
        <f t="shared" si="19"/>
        <v>1405</v>
      </c>
      <c r="U27" s="16">
        <f t="shared" si="19"/>
        <v>220</v>
      </c>
      <c r="V27" s="16">
        <f t="shared" si="19"/>
        <v>103</v>
      </c>
      <c r="W27" s="16">
        <f t="shared" si="19"/>
        <v>0</v>
      </c>
      <c r="X27" s="16">
        <f t="shared" si="19"/>
        <v>3</v>
      </c>
      <c r="Y27" s="16">
        <f t="shared" si="19"/>
        <v>15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765</v>
      </c>
      <c r="AD27" s="16">
        <f t="shared" si="19"/>
        <v>0</v>
      </c>
      <c r="AE27" s="32">
        <f t="shared" si="19"/>
        <v>5091</v>
      </c>
      <c r="AF27" s="32">
        <f t="shared" si="19"/>
        <v>5856</v>
      </c>
    </row>
    <row r="28" spans="2:32" ht="23.1" customHeight="1" x14ac:dyDescent="0.25">
      <c r="B28" s="23" t="s">
        <v>55</v>
      </c>
      <c r="C28" s="50">
        <v>41</v>
      </c>
      <c r="D28" s="50">
        <v>14</v>
      </c>
      <c r="E28" s="50">
        <v>4</v>
      </c>
      <c r="F28" s="50">
        <v>5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66</v>
      </c>
      <c r="N28" s="50">
        <v>0</v>
      </c>
      <c r="O28" s="15">
        <f t="shared" si="0"/>
        <v>66</v>
      </c>
      <c r="P28" s="15">
        <f t="shared" si="1"/>
        <v>132</v>
      </c>
      <c r="R28" s="5" t="s">
        <v>17</v>
      </c>
      <c r="S28" s="16">
        <f t="shared" ref="S28:AF28" si="20">SUM(S10:S21)</f>
        <v>4719</v>
      </c>
      <c r="T28" s="16">
        <f t="shared" si="20"/>
        <v>2795</v>
      </c>
      <c r="U28" s="16">
        <f t="shared" si="20"/>
        <v>628</v>
      </c>
      <c r="V28" s="16">
        <f t="shared" si="20"/>
        <v>393</v>
      </c>
      <c r="W28" s="16">
        <f t="shared" si="20"/>
        <v>2</v>
      </c>
      <c r="X28" s="16">
        <f t="shared" si="20"/>
        <v>4</v>
      </c>
      <c r="Y28" s="16">
        <f t="shared" si="20"/>
        <v>92</v>
      </c>
      <c r="Z28" s="16">
        <f t="shared" si="20"/>
        <v>23</v>
      </c>
      <c r="AA28" s="16">
        <f t="shared" si="20"/>
        <v>3</v>
      </c>
      <c r="AB28" s="16">
        <f t="shared" si="20"/>
        <v>6</v>
      </c>
      <c r="AC28" s="16">
        <f t="shared" si="20"/>
        <v>2484</v>
      </c>
      <c r="AD28" s="16">
        <f t="shared" si="20"/>
        <v>1</v>
      </c>
      <c r="AE28" s="32">
        <f t="shared" si="20"/>
        <v>8666</v>
      </c>
      <c r="AF28" s="32">
        <f t="shared" si="20"/>
        <v>11150</v>
      </c>
    </row>
    <row r="29" spans="2:32" ht="23.1" customHeight="1" x14ac:dyDescent="0.25">
      <c r="B29" s="23" t="s">
        <v>56</v>
      </c>
      <c r="C29" s="50">
        <v>39</v>
      </c>
      <c r="D29" s="50">
        <v>30</v>
      </c>
      <c r="E29" s="50">
        <v>9</v>
      </c>
      <c r="F29" s="50">
        <v>6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1</v>
      </c>
      <c r="M29" s="50">
        <v>69</v>
      </c>
      <c r="N29" s="50">
        <v>0</v>
      </c>
      <c r="O29" s="15">
        <f t="shared" si="0"/>
        <v>88</v>
      </c>
      <c r="P29" s="15">
        <f t="shared" si="1"/>
        <v>157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47</v>
      </c>
      <c r="E30" s="50">
        <v>9</v>
      </c>
      <c r="F30" s="50">
        <v>5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1</v>
      </c>
      <c r="M30" s="50">
        <v>59</v>
      </c>
      <c r="N30" s="50">
        <v>0</v>
      </c>
      <c r="O30" s="15">
        <f t="shared" si="0"/>
        <v>120</v>
      </c>
      <c r="P30" s="15">
        <f t="shared" si="1"/>
        <v>179</v>
      </c>
    </row>
    <row r="31" spans="2:32" ht="23.1" customHeight="1" x14ac:dyDescent="0.25">
      <c r="B31" s="24" t="s">
        <v>58</v>
      </c>
      <c r="C31" s="50">
        <v>73</v>
      </c>
      <c r="D31" s="50">
        <v>54</v>
      </c>
      <c r="E31" s="50">
        <v>15</v>
      </c>
      <c r="F31" s="50">
        <v>8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68</v>
      </c>
      <c r="N31" s="50">
        <v>0</v>
      </c>
      <c r="O31" s="15">
        <f t="shared" si="0"/>
        <v>155</v>
      </c>
      <c r="P31" s="15">
        <f t="shared" si="1"/>
        <v>223</v>
      </c>
    </row>
    <row r="32" spans="2:32" ht="23.1" customHeight="1" x14ac:dyDescent="0.25">
      <c r="B32" s="24" t="s">
        <v>59</v>
      </c>
      <c r="C32" s="50">
        <v>41</v>
      </c>
      <c r="D32" s="50">
        <v>49</v>
      </c>
      <c r="E32" s="50">
        <v>21</v>
      </c>
      <c r="F32" s="50">
        <v>8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70</v>
      </c>
      <c r="N32" s="50">
        <v>0</v>
      </c>
      <c r="O32" s="15">
        <f t="shared" si="0"/>
        <v>122</v>
      </c>
      <c r="P32" s="15">
        <f t="shared" si="1"/>
        <v>192</v>
      </c>
    </row>
    <row r="33" spans="2:20" ht="23.1" customHeight="1" x14ac:dyDescent="0.25">
      <c r="B33" s="23" t="s">
        <v>60</v>
      </c>
      <c r="C33" s="50">
        <v>53</v>
      </c>
      <c r="D33" s="50">
        <v>40</v>
      </c>
      <c r="E33" s="50">
        <v>20</v>
      </c>
      <c r="F33" s="50">
        <v>4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1</v>
      </c>
      <c r="M33" s="50">
        <v>85</v>
      </c>
      <c r="N33" s="50">
        <v>0</v>
      </c>
      <c r="O33" s="15">
        <f t="shared" si="0"/>
        <v>123</v>
      </c>
      <c r="P33" s="15">
        <f t="shared" si="1"/>
        <v>208</v>
      </c>
    </row>
    <row r="34" spans="2:20" ht="23.1" customHeight="1" x14ac:dyDescent="0.25">
      <c r="B34" s="24" t="s">
        <v>61</v>
      </c>
      <c r="C34" s="50">
        <v>62</v>
      </c>
      <c r="D34" s="50">
        <v>53</v>
      </c>
      <c r="E34" s="50">
        <v>15</v>
      </c>
      <c r="F34" s="50">
        <v>3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66</v>
      </c>
      <c r="N34" s="50">
        <v>0</v>
      </c>
      <c r="O34" s="15">
        <f t="shared" si="0"/>
        <v>137</v>
      </c>
      <c r="P34" s="15">
        <f t="shared" si="1"/>
        <v>203</v>
      </c>
    </row>
    <row r="35" spans="2:20" ht="23.1" customHeight="1" x14ac:dyDescent="0.25">
      <c r="B35" s="24" t="s">
        <v>62</v>
      </c>
      <c r="C35" s="50">
        <v>53</v>
      </c>
      <c r="D35" s="50">
        <v>55</v>
      </c>
      <c r="E35" s="50">
        <v>23</v>
      </c>
      <c r="F35" s="50">
        <v>3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66</v>
      </c>
      <c r="N35" s="50">
        <v>0</v>
      </c>
      <c r="O35" s="15">
        <f t="shared" si="0"/>
        <v>137</v>
      </c>
      <c r="P35" s="15">
        <f t="shared" si="1"/>
        <v>203</v>
      </c>
    </row>
    <row r="36" spans="2:20" ht="23.1" customHeight="1" x14ac:dyDescent="0.25">
      <c r="B36" s="24" t="s">
        <v>63</v>
      </c>
      <c r="C36" s="50">
        <v>44</v>
      </c>
      <c r="D36" s="50">
        <v>62</v>
      </c>
      <c r="E36" s="50">
        <v>19</v>
      </c>
      <c r="F36" s="50">
        <v>6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1</v>
      </c>
      <c r="M36" s="50">
        <v>95</v>
      </c>
      <c r="N36" s="50">
        <v>0</v>
      </c>
      <c r="O36" s="15">
        <f t="shared" si="0"/>
        <v>134</v>
      </c>
      <c r="P36" s="15">
        <f t="shared" si="1"/>
        <v>229</v>
      </c>
    </row>
    <row r="37" spans="2:20" ht="23.1" customHeight="1" x14ac:dyDescent="0.25">
      <c r="B37" s="23" t="s">
        <v>64</v>
      </c>
      <c r="C37" s="50">
        <v>43</v>
      </c>
      <c r="D37" s="50">
        <v>70</v>
      </c>
      <c r="E37" s="50">
        <v>14</v>
      </c>
      <c r="F37" s="50">
        <v>6</v>
      </c>
      <c r="G37" s="50">
        <v>1</v>
      </c>
      <c r="H37" s="50">
        <v>1</v>
      </c>
      <c r="I37" s="50">
        <v>1</v>
      </c>
      <c r="J37" s="50">
        <v>1</v>
      </c>
      <c r="K37" s="50">
        <v>0</v>
      </c>
      <c r="L37" s="50">
        <v>1</v>
      </c>
      <c r="M37" s="50">
        <v>65</v>
      </c>
      <c r="N37" s="50">
        <v>0</v>
      </c>
      <c r="O37" s="15">
        <f t="shared" si="0"/>
        <v>138</v>
      </c>
      <c r="P37" s="15">
        <f t="shared" si="1"/>
        <v>203</v>
      </c>
    </row>
    <row r="38" spans="2:20" ht="23.1" customHeight="1" x14ac:dyDescent="0.25">
      <c r="B38" s="24" t="s">
        <v>65</v>
      </c>
      <c r="C38" s="50">
        <v>74</v>
      </c>
      <c r="D38" s="50">
        <v>85</v>
      </c>
      <c r="E38" s="50">
        <v>44</v>
      </c>
      <c r="F38" s="50">
        <v>33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42</v>
      </c>
      <c r="N38" s="50">
        <v>0</v>
      </c>
      <c r="O38" s="15">
        <f t="shared" si="0"/>
        <v>237</v>
      </c>
      <c r="P38" s="15">
        <f t="shared" si="1"/>
        <v>279</v>
      </c>
    </row>
    <row r="39" spans="2:20" ht="23.1" customHeight="1" x14ac:dyDescent="0.25">
      <c r="B39" s="24" t="s">
        <v>66</v>
      </c>
      <c r="C39" s="50">
        <v>24</v>
      </c>
      <c r="D39" s="50">
        <v>90</v>
      </c>
      <c r="E39" s="50">
        <v>24</v>
      </c>
      <c r="F39" s="50">
        <v>19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50</v>
      </c>
      <c r="N39" s="50">
        <v>0</v>
      </c>
      <c r="O39" s="15">
        <f t="shared" si="0"/>
        <v>157</v>
      </c>
      <c r="P39" s="15">
        <f t="shared" si="1"/>
        <v>207</v>
      </c>
    </row>
    <row r="40" spans="2:20" ht="23.1" customHeight="1" x14ac:dyDescent="0.25">
      <c r="B40" s="24" t="s">
        <v>67</v>
      </c>
      <c r="C40" s="50">
        <v>62</v>
      </c>
      <c r="D40" s="50">
        <v>78</v>
      </c>
      <c r="E40" s="50">
        <v>12</v>
      </c>
      <c r="F40" s="50">
        <v>4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54</v>
      </c>
      <c r="N40" s="50">
        <v>0</v>
      </c>
      <c r="O40" s="15">
        <f t="shared" si="0"/>
        <v>156</v>
      </c>
      <c r="P40" s="15">
        <f t="shared" si="1"/>
        <v>210</v>
      </c>
    </row>
    <row r="41" spans="2:20" ht="23.1" customHeight="1" x14ac:dyDescent="0.25">
      <c r="B41" s="23" t="s">
        <v>68</v>
      </c>
      <c r="C41" s="50">
        <v>64</v>
      </c>
      <c r="D41" s="50">
        <v>73</v>
      </c>
      <c r="E41" s="50">
        <v>9</v>
      </c>
      <c r="F41" s="50">
        <v>3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55</v>
      </c>
      <c r="N41" s="50">
        <v>0</v>
      </c>
      <c r="O41" s="15">
        <f t="shared" si="0"/>
        <v>151</v>
      </c>
      <c r="P41" s="15">
        <f t="shared" si="1"/>
        <v>206</v>
      </c>
    </row>
    <row r="42" spans="2:20" ht="23.1" customHeight="1" x14ac:dyDescent="0.25">
      <c r="B42" s="24" t="s">
        <v>69</v>
      </c>
      <c r="C42" s="50">
        <v>62</v>
      </c>
      <c r="D42" s="50">
        <v>64</v>
      </c>
      <c r="E42" s="50">
        <v>18</v>
      </c>
      <c r="F42" s="50">
        <v>3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46</v>
      </c>
      <c r="N42" s="50">
        <v>0</v>
      </c>
      <c r="O42" s="15">
        <f t="shared" si="0"/>
        <v>152</v>
      </c>
      <c r="P42" s="15">
        <f t="shared" si="1"/>
        <v>198</v>
      </c>
    </row>
    <row r="43" spans="2:20" ht="23.1" customHeight="1" x14ac:dyDescent="0.25">
      <c r="B43" s="23" t="s">
        <v>70</v>
      </c>
      <c r="C43" s="50">
        <v>63</v>
      </c>
      <c r="D43" s="50">
        <v>57</v>
      </c>
      <c r="E43" s="50">
        <v>8</v>
      </c>
      <c r="F43" s="50">
        <v>2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0</v>
      </c>
      <c r="M43" s="50">
        <v>58</v>
      </c>
      <c r="N43" s="50">
        <v>0</v>
      </c>
      <c r="O43" s="15">
        <f t="shared" si="0"/>
        <v>134</v>
      </c>
      <c r="P43" s="15">
        <f t="shared" si="1"/>
        <v>192</v>
      </c>
    </row>
    <row r="44" spans="2:20" ht="23.1" customHeight="1" x14ac:dyDescent="0.25">
      <c r="B44" s="25" t="s">
        <v>71</v>
      </c>
      <c r="C44" s="50">
        <v>60</v>
      </c>
      <c r="D44" s="50">
        <v>61</v>
      </c>
      <c r="E44" s="50">
        <v>21</v>
      </c>
      <c r="F44" s="50">
        <v>6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150</v>
      </c>
      <c r="P44" s="15">
        <f t="shared" si="1"/>
        <v>190</v>
      </c>
    </row>
    <row r="45" spans="2:20" ht="23.1" customHeight="1" x14ac:dyDescent="0.25">
      <c r="B45" s="23" t="s">
        <v>72</v>
      </c>
      <c r="C45" s="50">
        <v>103</v>
      </c>
      <c r="D45" s="50">
        <v>132</v>
      </c>
      <c r="E45" s="50">
        <v>29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271</v>
      </c>
      <c r="P45" s="15">
        <f t="shared" si="1"/>
        <v>301</v>
      </c>
    </row>
    <row r="46" spans="2:20" ht="23.1" customHeight="1" x14ac:dyDescent="0.25">
      <c r="B46" s="24" t="s">
        <v>73</v>
      </c>
      <c r="C46" s="50">
        <v>80</v>
      </c>
      <c r="D46" s="50">
        <v>79</v>
      </c>
      <c r="E46" s="50">
        <v>28</v>
      </c>
      <c r="F46" s="50">
        <v>7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45</v>
      </c>
      <c r="N46" s="50">
        <v>0</v>
      </c>
      <c r="O46" s="15">
        <f t="shared" si="0"/>
        <v>195</v>
      </c>
      <c r="P46" s="15">
        <f t="shared" si="1"/>
        <v>240</v>
      </c>
      <c r="R46" s="8"/>
      <c r="T46"/>
    </row>
    <row r="47" spans="2:20" ht="23.1" customHeight="1" x14ac:dyDescent="0.25">
      <c r="B47" s="24" t="s">
        <v>74</v>
      </c>
      <c r="C47" s="50">
        <v>100</v>
      </c>
      <c r="D47" s="50">
        <v>77</v>
      </c>
      <c r="E47" s="50">
        <v>29</v>
      </c>
      <c r="F47" s="50">
        <v>8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57</v>
      </c>
      <c r="N47" s="50">
        <v>0</v>
      </c>
      <c r="O47" s="15">
        <f t="shared" si="0"/>
        <v>217</v>
      </c>
      <c r="P47" s="15">
        <f t="shared" si="1"/>
        <v>274</v>
      </c>
      <c r="R47" s="8"/>
      <c r="T47"/>
    </row>
    <row r="48" spans="2:20" ht="23.1" customHeight="1" x14ac:dyDescent="0.25">
      <c r="B48" s="24" t="s">
        <v>75</v>
      </c>
      <c r="C48" s="50">
        <v>120</v>
      </c>
      <c r="D48" s="50">
        <v>100</v>
      </c>
      <c r="E48" s="50">
        <v>18</v>
      </c>
      <c r="F48" s="50">
        <v>8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247</v>
      </c>
      <c r="P48" s="15">
        <f t="shared" si="1"/>
        <v>277</v>
      </c>
      <c r="R48" s="8"/>
      <c r="T48"/>
    </row>
    <row r="49" spans="2:20" ht="23.1" customHeight="1" x14ac:dyDescent="0.25">
      <c r="B49" s="23" t="s">
        <v>76</v>
      </c>
      <c r="C49" s="50">
        <v>148</v>
      </c>
      <c r="D49" s="50">
        <v>117</v>
      </c>
      <c r="E49" s="50">
        <v>23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292</v>
      </c>
      <c r="P49" s="15">
        <f t="shared" si="1"/>
        <v>342</v>
      </c>
      <c r="R49" s="8"/>
      <c r="T49"/>
    </row>
    <row r="50" spans="2:20" ht="23.1" customHeight="1" x14ac:dyDescent="0.25">
      <c r="B50" s="24" t="s">
        <v>77</v>
      </c>
      <c r="C50" s="50">
        <v>218</v>
      </c>
      <c r="D50" s="50">
        <v>110</v>
      </c>
      <c r="E50" s="50">
        <v>21</v>
      </c>
      <c r="F50" s="50">
        <v>10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54</v>
      </c>
      <c r="N50" s="50">
        <v>0</v>
      </c>
      <c r="O50" s="15">
        <f t="shared" si="0"/>
        <v>363</v>
      </c>
      <c r="P50" s="15">
        <f t="shared" si="1"/>
        <v>417</v>
      </c>
      <c r="R50" s="8"/>
      <c r="T50"/>
    </row>
    <row r="51" spans="2:20" ht="23.1" customHeight="1" x14ac:dyDescent="0.25">
      <c r="B51" s="24" t="s">
        <v>78</v>
      </c>
      <c r="C51" s="50">
        <v>241</v>
      </c>
      <c r="D51" s="50">
        <v>162</v>
      </c>
      <c r="E51" s="50">
        <v>16</v>
      </c>
      <c r="F51" s="50">
        <v>3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424</v>
      </c>
      <c r="P51" s="15">
        <f t="shared" si="1"/>
        <v>469</v>
      </c>
      <c r="R51" s="8"/>
      <c r="T51"/>
    </row>
    <row r="52" spans="2:20" ht="23.1" customHeight="1" x14ac:dyDescent="0.25">
      <c r="B52" s="24" t="s">
        <v>79</v>
      </c>
      <c r="C52" s="50">
        <v>300</v>
      </c>
      <c r="D52" s="50">
        <v>180</v>
      </c>
      <c r="E52" s="50">
        <v>26</v>
      </c>
      <c r="F52" s="50">
        <v>8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60</v>
      </c>
      <c r="N52" s="50">
        <v>0</v>
      </c>
      <c r="O52" s="15">
        <f t="shared" si="0"/>
        <v>514</v>
      </c>
      <c r="P52" s="15">
        <f t="shared" si="1"/>
        <v>574</v>
      </c>
      <c r="R52" s="8"/>
      <c r="T52"/>
    </row>
    <row r="53" spans="2:20" ht="23.1" customHeight="1" x14ac:dyDescent="0.25">
      <c r="B53" s="23" t="s">
        <v>80</v>
      </c>
      <c r="C53" s="50">
        <v>285</v>
      </c>
      <c r="D53" s="50">
        <v>135</v>
      </c>
      <c r="E53" s="50">
        <v>13</v>
      </c>
      <c r="F53" s="50">
        <v>7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41</v>
      </c>
      <c r="N53" s="50">
        <v>0</v>
      </c>
      <c r="O53" s="15">
        <f t="shared" si="0"/>
        <v>441</v>
      </c>
      <c r="P53" s="15">
        <f t="shared" si="1"/>
        <v>482</v>
      </c>
      <c r="R53" s="8"/>
      <c r="T53"/>
    </row>
    <row r="54" spans="2:20" ht="23.1" customHeight="1" x14ac:dyDescent="0.25">
      <c r="B54" s="23" t="s">
        <v>81</v>
      </c>
      <c r="C54" s="50">
        <v>101</v>
      </c>
      <c r="D54" s="50">
        <v>76</v>
      </c>
      <c r="E54" s="50">
        <v>15</v>
      </c>
      <c r="F54" s="50">
        <v>15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115</v>
      </c>
      <c r="N54" s="50">
        <v>0</v>
      </c>
      <c r="O54" s="15">
        <f t="shared" si="0"/>
        <v>210</v>
      </c>
      <c r="P54" s="15">
        <f t="shared" si="1"/>
        <v>325</v>
      </c>
      <c r="R54" s="8"/>
      <c r="T54"/>
    </row>
    <row r="55" spans="2:20" ht="23.1" customHeight="1" x14ac:dyDescent="0.25">
      <c r="B55" s="23" t="s">
        <v>82</v>
      </c>
      <c r="C55" s="50">
        <v>113</v>
      </c>
      <c r="D55" s="50">
        <v>114</v>
      </c>
      <c r="E55" s="50">
        <v>12</v>
      </c>
      <c r="F55" s="50">
        <v>14</v>
      </c>
      <c r="G55" s="50">
        <v>0</v>
      </c>
      <c r="H55" s="50">
        <v>1</v>
      </c>
      <c r="I55" s="50">
        <v>1</v>
      </c>
      <c r="J55" s="50">
        <v>1</v>
      </c>
      <c r="K55" s="50">
        <v>0</v>
      </c>
      <c r="L55" s="50">
        <v>0</v>
      </c>
      <c r="M55" s="50">
        <v>115</v>
      </c>
      <c r="N55" s="50">
        <v>0</v>
      </c>
      <c r="O55" s="15">
        <f t="shared" si="0"/>
        <v>256</v>
      </c>
      <c r="P55" s="15">
        <f t="shared" si="1"/>
        <v>371</v>
      </c>
      <c r="R55" s="8"/>
      <c r="T55"/>
    </row>
    <row r="56" spans="2:20" ht="23.1" customHeight="1" x14ac:dyDescent="0.25">
      <c r="B56" s="23" t="s">
        <v>83</v>
      </c>
      <c r="C56" s="50">
        <v>125</v>
      </c>
      <c r="D56" s="50">
        <v>95</v>
      </c>
      <c r="E56" s="50">
        <v>13</v>
      </c>
      <c r="F56" s="50">
        <v>10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110</v>
      </c>
      <c r="N56" s="50">
        <v>0</v>
      </c>
      <c r="O56" s="15">
        <f t="shared" si="0"/>
        <v>246</v>
      </c>
      <c r="P56" s="15">
        <f t="shared" si="1"/>
        <v>356</v>
      </c>
      <c r="R56" s="8"/>
      <c r="T56"/>
    </row>
    <row r="57" spans="2:20" ht="23.1" customHeight="1" x14ac:dyDescent="0.25">
      <c r="B57" s="23" t="s">
        <v>84</v>
      </c>
      <c r="C57" s="50">
        <v>1510</v>
      </c>
      <c r="D57" s="50">
        <v>160</v>
      </c>
      <c r="E57" s="50">
        <v>6</v>
      </c>
      <c r="F57" s="50">
        <v>10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43</v>
      </c>
      <c r="N57" s="50">
        <v>0</v>
      </c>
      <c r="O57" s="15">
        <f t="shared" si="0"/>
        <v>1686</v>
      </c>
      <c r="P57" s="15">
        <f t="shared" si="1"/>
        <v>1729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4719</v>
      </c>
      <c r="D58" s="16">
        <f t="shared" si="21"/>
        <v>2795</v>
      </c>
      <c r="E58" s="16">
        <f t="shared" si="21"/>
        <v>628</v>
      </c>
      <c r="F58" s="16">
        <f t="shared" si="21"/>
        <v>393</v>
      </c>
      <c r="G58" s="16">
        <f t="shared" si="21"/>
        <v>2</v>
      </c>
      <c r="H58" s="16">
        <f t="shared" si="21"/>
        <v>4</v>
      </c>
      <c r="I58" s="16">
        <f t="shared" si="21"/>
        <v>92</v>
      </c>
      <c r="J58" s="16">
        <f t="shared" si="21"/>
        <v>23</v>
      </c>
      <c r="K58" s="16">
        <f t="shared" si="21"/>
        <v>3</v>
      </c>
      <c r="L58" s="16">
        <f t="shared" si="21"/>
        <v>6</v>
      </c>
      <c r="M58" s="16">
        <f t="shared" si="21"/>
        <v>2484</v>
      </c>
      <c r="N58" s="16">
        <f t="shared" si="21"/>
        <v>1</v>
      </c>
      <c r="O58" s="16">
        <f t="shared" si="21"/>
        <v>8666</v>
      </c>
      <c r="P58" s="16">
        <f t="shared" si="21"/>
        <v>11150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0.4232286995515695</v>
      </c>
      <c r="D59" s="43">
        <f t="shared" si="22"/>
        <v>0.25067264573991033</v>
      </c>
      <c r="E59" s="43">
        <f t="shared" si="22"/>
        <v>5.6322869955156951E-2</v>
      </c>
      <c r="F59" s="43">
        <f t="shared" si="22"/>
        <v>3.5246636771300445E-2</v>
      </c>
      <c r="G59" s="43">
        <f t="shared" si="22"/>
        <v>1.7937219730941703E-4</v>
      </c>
      <c r="H59" s="43">
        <f t="shared" si="22"/>
        <v>3.5874439461883406E-4</v>
      </c>
      <c r="I59" s="43">
        <f t="shared" si="22"/>
        <v>8.2511210762331831E-3</v>
      </c>
      <c r="J59" s="43">
        <f t="shared" si="22"/>
        <v>2.0627802690582958E-3</v>
      </c>
      <c r="K59" s="43">
        <f t="shared" si="22"/>
        <v>2.6905829596412557E-4</v>
      </c>
      <c r="L59" s="43">
        <f t="shared" si="22"/>
        <v>5.3811659192825115E-4</v>
      </c>
      <c r="M59" s="43">
        <f t="shared" si="22"/>
        <v>0.22278026905829595</v>
      </c>
      <c r="N59" s="43">
        <f t="shared" si="22"/>
        <v>8.9686098654708516E-5</v>
      </c>
      <c r="R59" s="8"/>
      <c r="T59"/>
    </row>
    <row r="60" spans="2:20" ht="23.1" customHeight="1" x14ac:dyDescent="0.25">
      <c r="B60" s="42" t="s">
        <v>94</v>
      </c>
      <c r="C60" s="44">
        <f>C58/$O$58</f>
        <v>0.544541887837526</v>
      </c>
      <c r="D60" s="44">
        <f t="shared" ref="D60:N60" si="23">D58/$O$58</f>
        <v>0.32252480960073854</v>
      </c>
      <c r="E60" s="44">
        <f t="shared" si="23"/>
        <v>7.2467112854834981E-2</v>
      </c>
      <c r="F60" s="44">
        <f t="shared" si="23"/>
        <v>4.5349642280175399E-2</v>
      </c>
      <c r="G60" s="44">
        <f t="shared" si="23"/>
        <v>2.3078698361412417E-4</v>
      </c>
      <c r="H60" s="44">
        <f t="shared" si="23"/>
        <v>4.6157396722824835E-4</v>
      </c>
      <c r="I60" s="44">
        <f t="shared" si="23"/>
        <v>1.0616201246249712E-2</v>
      </c>
      <c r="J60" s="44">
        <f t="shared" si="23"/>
        <v>2.654050311562428E-3</v>
      </c>
      <c r="K60" s="44">
        <f t="shared" si="23"/>
        <v>3.4618047542118622E-4</v>
      </c>
      <c r="L60" s="44">
        <f t="shared" si="23"/>
        <v>6.9236095084237244E-4</v>
      </c>
      <c r="M60" s="44"/>
      <c r="N60" s="44">
        <f t="shared" si="23"/>
        <v>1.1539349180706209E-4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190</v>
      </c>
      <c r="E5" s="3"/>
      <c r="F5" s="41" t="s">
        <v>1</v>
      </c>
      <c r="G5" s="63" t="str">
        <f>'29.07 Naguru-Nakawa'!G5:H5</f>
        <v>NAGURU POLICE HEAD QUARTER</v>
      </c>
      <c r="H5" s="64"/>
      <c r="I5" s="14"/>
      <c r="J5" s="2" t="s">
        <v>5</v>
      </c>
      <c r="K5" s="63" t="s">
        <v>189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188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380</v>
      </c>
      <c r="T10" s="17">
        <f t="shared" si="2"/>
        <v>142</v>
      </c>
      <c r="U10" s="17">
        <f t="shared" si="2"/>
        <v>41</v>
      </c>
      <c r="V10" s="17">
        <f t="shared" si="2"/>
        <v>53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157</v>
      </c>
      <c r="AD10" s="17">
        <f t="shared" si="2"/>
        <v>72</v>
      </c>
      <c r="AE10" s="31">
        <f t="shared" si="2"/>
        <v>692</v>
      </c>
      <c r="AF10" s="31">
        <f t="shared" si="2"/>
        <v>849</v>
      </c>
    </row>
    <row r="11" spans="2:32" s="6" customFormat="1" ht="23.1" customHeight="1" x14ac:dyDescent="0.25">
      <c r="B11" s="23" t="s">
        <v>38</v>
      </c>
      <c r="C11" s="50">
        <v>115</v>
      </c>
      <c r="D11" s="50">
        <v>30</v>
      </c>
      <c r="E11" s="50">
        <v>8</v>
      </c>
      <c r="F11" s="50">
        <v>16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67</v>
      </c>
      <c r="N11" s="50">
        <v>0</v>
      </c>
      <c r="O11" s="15">
        <f t="shared" si="0"/>
        <v>170</v>
      </c>
      <c r="P11" s="15">
        <f t="shared" si="1"/>
        <v>237</v>
      </c>
      <c r="R11" s="1" t="s">
        <v>7</v>
      </c>
      <c r="S11" s="17">
        <f t="shared" ref="S11:AF11" si="3">SUM(C14:C17)</f>
        <v>695</v>
      </c>
      <c r="T11" s="17">
        <f t="shared" si="3"/>
        <v>121</v>
      </c>
      <c r="U11" s="17">
        <f t="shared" si="3"/>
        <v>68</v>
      </c>
      <c r="V11" s="17">
        <f t="shared" si="3"/>
        <v>49</v>
      </c>
      <c r="W11" s="17">
        <f t="shared" si="3"/>
        <v>0</v>
      </c>
      <c r="X11" s="17">
        <f t="shared" si="3"/>
        <v>0</v>
      </c>
      <c r="Y11" s="17">
        <f t="shared" si="3"/>
        <v>12</v>
      </c>
      <c r="Z11" s="17">
        <f t="shared" si="3"/>
        <v>8</v>
      </c>
      <c r="AA11" s="17">
        <f t="shared" si="3"/>
        <v>0</v>
      </c>
      <c r="AB11" s="17">
        <f t="shared" si="3"/>
        <v>0</v>
      </c>
      <c r="AC11" s="17">
        <f t="shared" si="3"/>
        <v>453</v>
      </c>
      <c r="AD11" s="17">
        <f t="shared" si="3"/>
        <v>1</v>
      </c>
      <c r="AE11" s="31">
        <f t="shared" si="3"/>
        <v>954</v>
      </c>
      <c r="AF11" s="31">
        <f t="shared" si="3"/>
        <v>1407</v>
      </c>
    </row>
    <row r="12" spans="2:32" ht="23.1" customHeight="1" x14ac:dyDescent="0.25">
      <c r="B12" s="23" t="s">
        <v>39</v>
      </c>
      <c r="C12" s="50">
        <v>130</v>
      </c>
      <c r="D12" s="50">
        <v>60</v>
      </c>
      <c r="E12" s="50">
        <v>20</v>
      </c>
      <c r="F12" s="50">
        <v>25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0</v>
      </c>
      <c r="N12" s="50">
        <v>72</v>
      </c>
      <c r="O12" s="15">
        <f t="shared" si="0"/>
        <v>308</v>
      </c>
      <c r="P12" s="15">
        <f t="shared" si="1"/>
        <v>308</v>
      </c>
      <c r="R12" s="1" t="s">
        <v>8</v>
      </c>
      <c r="S12" s="17">
        <f t="shared" ref="S12:AF12" si="4">SUM(C18:C21)</f>
        <v>499</v>
      </c>
      <c r="T12" s="17">
        <f t="shared" si="4"/>
        <v>132</v>
      </c>
      <c r="U12" s="17">
        <f t="shared" si="4"/>
        <v>52</v>
      </c>
      <c r="V12" s="17">
        <f t="shared" si="4"/>
        <v>45</v>
      </c>
      <c r="W12" s="17">
        <f t="shared" si="4"/>
        <v>1</v>
      </c>
      <c r="X12" s="17">
        <f t="shared" si="4"/>
        <v>0</v>
      </c>
      <c r="Y12" s="17">
        <f t="shared" si="4"/>
        <v>14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502</v>
      </c>
      <c r="AD12" s="17">
        <f t="shared" si="4"/>
        <v>0</v>
      </c>
      <c r="AE12" s="31">
        <f t="shared" si="4"/>
        <v>745</v>
      </c>
      <c r="AF12" s="31">
        <f t="shared" si="4"/>
        <v>1247</v>
      </c>
    </row>
    <row r="13" spans="2:32" ht="23.1" customHeight="1" x14ac:dyDescent="0.25">
      <c r="B13" s="23" t="s">
        <v>40</v>
      </c>
      <c r="C13" s="50">
        <v>135</v>
      </c>
      <c r="D13" s="50">
        <v>52</v>
      </c>
      <c r="E13" s="50">
        <v>13</v>
      </c>
      <c r="F13" s="50">
        <v>12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90</v>
      </c>
      <c r="N13" s="50">
        <v>0</v>
      </c>
      <c r="O13" s="15">
        <f t="shared" si="0"/>
        <v>214</v>
      </c>
      <c r="P13" s="15">
        <f t="shared" si="1"/>
        <v>304</v>
      </c>
      <c r="R13" s="1" t="s">
        <v>9</v>
      </c>
      <c r="S13" s="17">
        <f t="shared" ref="S13:AF13" si="5">SUM(C22:C25)</f>
        <v>560</v>
      </c>
      <c r="T13" s="17">
        <f t="shared" si="5"/>
        <v>91</v>
      </c>
      <c r="U13" s="17">
        <f t="shared" si="5"/>
        <v>47</v>
      </c>
      <c r="V13" s="17">
        <f t="shared" si="5"/>
        <v>36</v>
      </c>
      <c r="W13" s="17">
        <f t="shared" si="5"/>
        <v>0</v>
      </c>
      <c r="X13" s="17">
        <f t="shared" si="5"/>
        <v>0</v>
      </c>
      <c r="Y13" s="17">
        <f t="shared" si="5"/>
        <v>16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333</v>
      </c>
      <c r="AD13" s="17">
        <f t="shared" si="5"/>
        <v>0</v>
      </c>
      <c r="AE13" s="31">
        <f t="shared" si="5"/>
        <v>754</v>
      </c>
      <c r="AF13" s="31">
        <f t="shared" si="5"/>
        <v>1087</v>
      </c>
    </row>
    <row r="14" spans="2:32" ht="23.1" customHeight="1" x14ac:dyDescent="0.25">
      <c r="B14" s="23" t="s">
        <v>41</v>
      </c>
      <c r="C14" s="50">
        <v>135</v>
      </c>
      <c r="D14" s="50">
        <v>39</v>
      </c>
      <c r="E14" s="50">
        <v>14</v>
      </c>
      <c r="F14" s="50">
        <v>15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124</v>
      </c>
      <c r="N14" s="50">
        <v>0</v>
      </c>
      <c r="O14" s="15">
        <f t="shared" si="0"/>
        <v>205</v>
      </c>
      <c r="P14" s="15">
        <f t="shared" si="1"/>
        <v>329</v>
      </c>
      <c r="R14" s="1" t="s">
        <v>10</v>
      </c>
      <c r="S14" s="17">
        <f t="shared" ref="S14:AF14" si="6">SUM(C26:C29)</f>
        <v>325</v>
      </c>
      <c r="T14" s="17">
        <f t="shared" si="6"/>
        <v>99</v>
      </c>
      <c r="U14" s="17">
        <f t="shared" si="6"/>
        <v>53</v>
      </c>
      <c r="V14" s="17">
        <f t="shared" si="6"/>
        <v>36</v>
      </c>
      <c r="W14" s="17">
        <f t="shared" si="6"/>
        <v>0</v>
      </c>
      <c r="X14" s="17">
        <f t="shared" si="6"/>
        <v>0</v>
      </c>
      <c r="Y14" s="17">
        <f t="shared" si="6"/>
        <v>26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357</v>
      </c>
      <c r="AD14" s="17">
        <f t="shared" si="6"/>
        <v>0</v>
      </c>
      <c r="AE14" s="31">
        <f t="shared" si="6"/>
        <v>543</v>
      </c>
      <c r="AF14" s="31">
        <f t="shared" si="6"/>
        <v>900</v>
      </c>
    </row>
    <row r="15" spans="2:32" ht="23.1" customHeight="1" x14ac:dyDescent="0.25">
      <c r="B15" s="23" t="s">
        <v>42</v>
      </c>
      <c r="C15" s="50">
        <v>170</v>
      </c>
      <c r="D15" s="50">
        <v>30</v>
      </c>
      <c r="E15" s="50">
        <v>19</v>
      </c>
      <c r="F15" s="50">
        <v>14</v>
      </c>
      <c r="G15" s="50">
        <v>0</v>
      </c>
      <c r="H15" s="50">
        <v>0</v>
      </c>
      <c r="I15" s="50">
        <v>3</v>
      </c>
      <c r="J15" s="50">
        <v>4</v>
      </c>
      <c r="K15" s="50">
        <v>0</v>
      </c>
      <c r="L15" s="50">
        <v>0</v>
      </c>
      <c r="M15" s="50">
        <v>114</v>
      </c>
      <c r="N15" s="50">
        <v>0</v>
      </c>
      <c r="O15" s="15">
        <f t="shared" si="0"/>
        <v>240</v>
      </c>
      <c r="P15" s="15">
        <f t="shared" si="1"/>
        <v>354</v>
      </c>
      <c r="R15" s="1" t="s">
        <v>11</v>
      </c>
      <c r="S15" s="17">
        <f t="shared" ref="S15:AF15" si="7">SUM(C30:C33)</f>
        <v>459</v>
      </c>
      <c r="T15" s="17">
        <f t="shared" si="7"/>
        <v>90</v>
      </c>
      <c r="U15" s="17">
        <f t="shared" si="7"/>
        <v>46</v>
      </c>
      <c r="V15" s="17">
        <f t="shared" si="7"/>
        <v>47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7</v>
      </c>
      <c r="AA15" s="17">
        <f t="shared" si="7"/>
        <v>1</v>
      </c>
      <c r="AB15" s="17">
        <f t="shared" si="7"/>
        <v>0</v>
      </c>
      <c r="AC15" s="17">
        <f t="shared" si="7"/>
        <v>290</v>
      </c>
      <c r="AD15" s="17">
        <f t="shared" si="7"/>
        <v>0</v>
      </c>
      <c r="AE15" s="31">
        <f t="shared" si="7"/>
        <v>669</v>
      </c>
      <c r="AF15" s="31">
        <f t="shared" si="7"/>
        <v>959</v>
      </c>
    </row>
    <row r="16" spans="2:32" ht="23.1" customHeight="1" x14ac:dyDescent="0.25">
      <c r="B16" s="23" t="s">
        <v>43</v>
      </c>
      <c r="C16" s="50">
        <v>230</v>
      </c>
      <c r="D16" s="50">
        <v>20</v>
      </c>
      <c r="E16" s="50">
        <v>21</v>
      </c>
      <c r="F16" s="50">
        <v>8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107</v>
      </c>
      <c r="N16" s="50">
        <v>0</v>
      </c>
      <c r="O16" s="15">
        <f t="shared" si="0"/>
        <v>282</v>
      </c>
      <c r="P16" s="15">
        <f t="shared" si="1"/>
        <v>389</v>
      </c>
      <c r="R16" s="1" t="s">
        <v>12</v>
      </c>
      <c r="S16" s="17">
        <f t="shared" ref="S16:AF16" si="8">SUM(C34:C37)</f>
        <v>309</v>
      </c>
      <c r="T16" s="17">
        <f t="shared" si="8"/>
        <v>52</v>
      </c>
      <c r="U16" s="17">
        <f t="shared" si="8"/>
        <v>37</v>
      </c>
      <c r="V16" s="17">
        <f t="shared" si="8"/>
        <v>27</v>
      </c>
      <c r="W16" s="17">
        <f t="shared" si="8"/>
        <v>0</v>
      </c>
      <c r="X16" s="17">
        <f t="shared" si="8"/>
        <v>0</v>
      </c>
      <c r="Y16" s="17">
        <f t="shared" si="8"/>
        <v>18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228</v>
      </c>
      <c r="AD16" s="17">
        <f t="shared" si="8"/>
        <v>0</v>
      </c>
      <c r="AE16" s="31">
        <f t="shared" si="8"/>
        <v>445</v>
      </c>
      <c r="AF16" s="31">
        <f t="shared" si="8"/>
        <v>673</v>
      </c>
    </row>
    <row r="17" spans="2:32" ht="23.1" customHeight="1" x14ac:dyDescent="0.25">
      <c r="B17" s="23" t="s">
        <v>44</v>
      </c>
      <c r="C17" s="50">
        <v>160</v>
      </c>
      <c r="D17" s="50">
        <v>32</v>
      </c>
      <c r="E17" s="50">
        <v>14</v>
      </c>
      <c r="F17" s="50">
        <v>12</v>
      </c>
      <c r="G17" s="50">
        <v>0</v>
      </c>
      <c r="H17" s="50">
        <v>0</v>
      </c>
      <c r="I17" s="50">
        <v>6</v>
      </c>
      <c r="J17" s="50">
        <v>2</v>
      </c>
      <c r="K17" s="50">
        <v>0</v>
      </c>
      <c r="L17" s="50">
        <v>0</v>
      </c>
      <c r="M17" s="50">
        <v>108</v>
      </c>
      <c r="N17" s="50">
        <v>1</v>
      </c>
      <c r="O17" s="15">
        <f t="shared" si="0"/>
        <v>227</v>
      </c>
      <c r="P17" s="15">
        <f t="shared" si="1"/>
        <v>335</v>
      </c>
      <c r="R17" s="1" t="s">
        <v>13</v>
      </c>
      <c r="S17" s="17">
        <f t="shared" ref="S17:AF17" si="9">SUM(C38:C41)</f>
        <v>325</v>
      </c>
      <c r="T17" s="17">
        <f t="shared" si="9"/>
        <v>46</v>
      </c>
      <c r="U17" s="17">
        <f t="shared" si="9"/>
        <v>34</v>
      </c>
      <c r="V17" s="17">
        <f t="shared" si="9"/>
        <v>26</v>
      </c>
      <c r="W17" s="17">
        <f t="shared" si="9"/>
        <v>0</v>
      </c>
      <c r="X17" s="17">
        <f t="shared" si="9"/>
        <v>5</v>
      </c>
      <c r="Y17" s="17">
        <f t="shared" si="9"/>
        <v>14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316</v>
      </c>
      <c r="AD17" s="17">
        <f t="shared" si="9"/>
        <v>0</v>
      </c>
      <c r="AE17" s="31">
        <f t="shared" si="9"/>
        <v>451</v>
      </c>
      <c r="AF17" s="31">
        <f t="shared" si="9"/>
        <v>767</v>
      </c>
    </row>
    <row r="18" spans="2:32" ht="23.1" customHeight="1" x14ac:dyDescent="0.25">
      <c r="B18" s="23" t="s">
        <v>45</v>
      </c>
      <c r="C18" s="50">
        <v>130</v>
      </c>
      <c r="D18" s="50">
        <v>37</v>
      </c>
      <c r="E18" s="50">
        <v>18</v>
      </c>
      <c r="F18" s="50">
        <v>13</v>
      </c>
      <c r="G18" s="50">
        <v>1</v>
      </c>
      <c r="H18" s="50">
        <v>0</v>
      </c>
      <c r="I18" s="50">
        <v>2</v>
      </c>
      <c r="J18" s="50">
        <v>1</v>
      </c>
      <c r="K18" s="50">
        <v>1</v>
      </c>
      <c r="L18" s="50">
        <v>0</v>
      </c>
      <c r="M18" s="50">
        <v>102</v>
      </c>
      <c r="N18" s="50">
        <v>0</v>
      </c>
      <c r="O18" s="15">
        <f t="shared" si="0"/>
        <v>203</v>
      </c>
      <c r="P18" s="15">
        <f t="shared" si="1"/>
        <v>305</v>
      </c>
      <c r="R18" s="1" t="s">
        <v>14</v>
      </c>
      <c r="S18" s="17">
        <f t="shared" ref="S18:AF18" si="10">SUM(C42:C45)</f>
        <v>454</v>
      </c>
      <c r="T18" s="17">
        <f t="shared" si="10"/>
        <v>78</v>
      </c>
      <c r="U18" s="17">
        <f t="shared" si="10"/>
        <v>36</v>
      </c>
      <c r="V18" s="17">
        <f t="shared" si="10"/>
        <v>45</v>
      </c>
      <c r="W18" s="17">
        <f t="shared" si="10"/>
        <v>0</v>
      </c>
      <c r="X18" s="17">
        <f t="shared" si="10"/>
        <v>0</v>
      </c>
      <c r="Y18" s="17">
        <f t="shared" si="10"/>
        <v>16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319</v>
      </c>
      <c r="AD18" s="17">
        <f t="shared" si="10"/>
        <v>0</v>
      </c>
      <c r="AE18" s="31">
        <f t="shared" si="10"/>
        <v>632</v>
      </c>
      <c r="AF18" s="31">
        <f t="shared" si="10"/>
        <v>951</v>
      </c>
    </row>
    <row r="19" spans="2:32" ht="23.1" customHeight="1" x14ac:dyDescent="0.25">
      <c r="B19" s="23" t="s">
        <v>46</v>
      </c>
      <c r="C19" s="50">
        <v>167</v>
      </c>
      <c r="D19" s="50">
        <v>33</v>
      </c>
      <c r="E19" s="50">
        <v>12</v>
      </c>
      <c r="F19" s="50">
        <v>13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170</v>
      </c>
      <c r="N19" s="50">
        <v>0</v>
      </c>
      <c r="O19" s="15">
        <f t="shared" si="0"/>
        <v>228</v>
      </c>
      <c r="P19" s="15">
        <f t="shared" si="1"/>
        <v>398</v>
      </c>
      <c r="R19" s="1" t="s">
        <v>15</v>
      </c>
      <c r="S19" s="17">
        <f t="shared" ref="S19:AF19" si="11">SUM(C46:C49)</f>
        <v>179</v>
      </c>
      <c r="T19" s="17">
        <f t="shared" si="11"/>
        <v>64</v>
      </c>
      <c r="U19" s="17">
        <f t="shared" si="11"/>
        <v>38</v>
      </c>
      <c r="V19" s="17">
        <f t="shared" si="11"/>
        <v>42</v>
      </c>
      <c r="W19" s="17">
        <f t="shared" si="11"/>
        <v>0</v>
      </c>
      <c r="X19" s="17">
        <f t="shared" si="11"/>
        <v>0</v>
      </c>
      <c r="Y19" s="17">
        <f t="shared" si="11"/>
        <v>15</v>
      </c>
      <c r="Z19" s="17">
        <f t="shared" si="11"/>
        <v>5</v>
      </c>
      <c r="AA19" s="17">
        <f t="shared" si="11"/>
        <v>1</v>
      </c>
      <c r="AB19" s="17">
        <f t="shared" si="11"/>
        <v>0</v>
      </c>
      <c r="AC19" s="17">
        <f t="shared" si="11"/>
        <v>284</v>
      </c>
      <c r="AD19" s="17">
        <f t="shared" si="11"/>
        <v>0</v>
      </c>
      <c r="AE19" s="31">
        <f t="shared" si="11"/>
        <v>344</v>
      </c>
      <c r="AF19" s="31">
        <f t="shared" si="11"/>
        <v>628</v>
      </c>
    </row>
    <row r="20" spans="2:32" ht="23.1" customHeight="1" x14ac:dyDescent="0.25">
      <c r="B20" s="23" t="s">
        <v>47</v>
      </c>
      <c r="C20" s="50">
        <v>114</v>
      </c>
      <c r="D20" s="50">
        <v>41</v>
      </c>
      <c r="E20" s="50">
        <v>15</v>
      </c>
      <c r="F20" s="50">
        <v>14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125</v>
      </c>
      <c r="N20" s="50">
        <v>0</v>
      </c>
      <c r="O20" s="15">
        <f t="shared" si="0"/>
        <v>186</v>
      </c>
      <c r="P20" s="15">
        <f t="shared" si="1"/>
        <v>311</v>
      </c>
      <c r="R20" s="1" t="s">
        <v>16</v>
      </c>
      <c r="S20" s="17">
        <f t="shared" ref="S20:AF20" si="12">SUM(C50:C53)</f>
        <v>148</v>
      </c>
      <c r="T20" s="17">
        <f t="shared" si="12"/>
        <v>27</v>
      </c>
      <c r="U20" s="17">
        <f t="shared" si="12"/>
        <v>15</v>
      </c>
      <c r="V20" s="17">
        <f t="shared" si="12"/>
        <v>29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363</v>
      </c>
      <c r="AD20" s="17">
        <f t="shared" si="12"/>
        <v>2</v>
      </c>
      <c r="AE20" s="31">
        <f t="shared" si="12"/>
        <v>243</v>
      </c>
      <c r="AF20" s="31">
        <f t="shared" si="12"/>
        <v>606</v>
      </c>
    </row>
    <row r="21" spans="2:32" ht="23.1" customHeight="1" x14ac:dyDescent="0.25">
      <c r="B21" s="23" t="s">
        <v>48</v>
      </c>
      <c r="C21" s="50">
        <v>88</v>
      </c>
      <c r="D21" s="50">
        <v>21</v>
      </c>
      <c r="E21" s="50">
        <v>7</v>
      </c>
      <c r="F21" s="50">
        <v>5</v>
      </c>
      <c r="G21" s="50">
        <v>0</v>
      </c>
      <c r="H21" s="50">
        <v>0</v>
      </c>
      <c r="I21" s="50">
        <v>7</v>
      </c>
      <c r="J21" s="50">
        <v>0</v>
      </c>
      <c r="K21" s="50">
        <v>0</v>
      </c>
      <c r="L21" s="50">
        <v>0</v>
      </c>
      <c r="M21" s="50">
        <v>105</v>
      </c>
      <c r="N21" s="50">
        <v>0</v>
      </c>
      <c r="O21" s="15">
        <f t="shared" si="0"/>
        <v>128</v>
      </c>
      <c r="P21" s="15">
        <f t="shared" si="1"/>
        <v>233</v>
      </c>
      <c r="R21" s="36" t="s">
        <v>20</v>
      </c>
      <c r="S21" s="34">
        <f t="shared" ref="S21:AF21" si="13">SUM(C54:C57)</f>
        <v>155</v>
      </c>
      <c r="T21" s="17">
        <f t="shared" si="13"/>
        <v>99</v>
      </c>
      <c r="U21" s="17">
        <f t="shared" si="13"/>
        <v>25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287</v>
      </c>
      <c r="AD21" s="17">
        <f t="shared" si="13"/>
        <v>0</v>
      </c>
      <c r="AE21" s="31">
        <f t="shared" si="13"/>
        <v>298</v>
      </c>
      <c r="AF21" s="31">
        <f t="shared" si="13"/>
        <v>585</v>
      </c>
    </row>
    <row r="22" spans="2:32" ht="23.1" customHeight="1" x14ac:dyDescent="0.25">
      <c r="B22" s="23" t="s">
        <v>49</v>
      </c>
      <c r="C22" s="50">
        <v>180</v>
      </c>
      <c r="D22" s="50">
        <v>27</v>
      </c>
      <c r="E22" s="50">
        <v>20</v>
      </c>
      <c r="F22" s="50">
        <v>9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87</v>
      </c>
      <c r="N22" s="50">
        <v>0</v>
      </c>
      <c r="O22" s="15">
        <f t="shared" si="0"/>
        <v>238</v>
      </c>
      <c r="P22" s="15">
        <f t="shared" si="1"/>
        <v>325</v>
      </c>
      <c r="R22" s="38" t="s">
        <v>90</v>
      </c>
      <c r="S22" s="39">
        <f>MAX(S10:S12)</f>
        <v>695</v>
      </c>
      <c r="T22" s="39">
        <f t="shared" ref="T22:AF22" si="14">MAX(T10:T12)</f>
        <v>142</v>
      </c>
      <c r="U22" s="39">
        <f t="shared" si="14"/>
        <v>68</v>
      </c>
      <c r="V22" s="39">
        <f t="shared" si="14"/>
        <v>53</v>
      </c>
      <c r="W22" s="39">
        <f t="shared" si="14"/>
        <v>1</v>
      </c>
      <c r="X22" s="39">
        <f t="shared" si="14"/>
        <v>0</v>
      </c>
      <c r="Y22" s="39">
        <f t="shared" si="14"/>
        <v>14</v>
      </c>
      <c r="Z22" s="39">
        <f t="shared" si="14"/>
        <v>8</v>
      </c>
      <c r="AA22" s="39">
        <f t="shared" si="14"/>
        <v>1</v>
      </c>
      <c r="AB22" s="39">
        <f t="shared" si="14"/>
        <v>0</v>
      </c>
      <c r="AC22" s="39">
        <f t="shared" si="14"/>
        <v>502</v>
      </c>
      <c r="AD22" s="39">
        <f t="shared" si="14"/>
        <v>72</v>
      </c>
      <c r="AE22" s="40">
        <f t="shared" si="14"/>
        <v>954</v>
      </c>
      <c r="AF22" s="40">
        <f t="shared" si="14"/>
        <v>1407</v>
      </c>
    </row>
    <row r="23" spans="2:32" ht="23.1" customHeight="1" x14ac:dyDescent="0.25">
      <c r="B23" s="23" t="s">
        <v>50</v>
      </c>
      <c r="C23" s="50">
        <v>135</v>
      </c>
      <c r="D23" s="50">
        <v>29</v>
      </c>
      <c r="E23" s="50">
        <v>7</v>
      </c>
      <c r="F23" s="50">
        <v>13</v>
      </c>
      <c r="G23" s="50">
        <v>0</v>
      </c>
      <c r="H23" s="50">
        <v>0</v>
      </c>
      <c r="I23" s="50">
        <v>6</v>
      </c>
      <c r="J23" s="50">
        <v>0</v>
      </c>
      <c r="K23" s="50">
        <v>0</v>
      </c>
      <c r="L23" s="50">
        <v>0</v>
      </c>
      <c r="M23" s="50">
        <v>63</v>
      </c>
      <c r="N23" s="50">
        <v>0</v>
      </c>
      <c r="O23" s="15">
        <f t="shared" si="0"/>
        <v>190</v>
      </c>
      <c r="P23" s="15">
        <f t="shared" si="1"/>
        <v>253</v>
      </c>
      <c r="R23" s="38" t="s">
        <v>91</v>
      </c>
      <c r="S23" s="39">
        <f>MAX(S13:S18)</f>
        <v>560</v>
      </c>
      <c r="T23" s="39">
        <f t="shared" ref="T23:AF23" si="15">MAX(T13:T18)</f>
        <v>99</v>
      </c>
      <c r="U23" s="39">
        <f t="shared" si="15"/>
        <v>53</v>
      </c>
      <c r="V23" s="39">
        <f t="shared" si="15"/>
        <v>47</v>
      </c>
      <c r="W23" s="39">
        <f t="shared" si="15"/>
        <v>0</v>
      </c>
      <c r="X23" s="39">
        <f t="shared" si="15"/>
        <v>5</v>
      </c>
      <c r="Y23" s="39">
        <f t="shared" si="15"/>
        <v>26</v>
      </c>
      <c r="Z23" s="39">
        <f t="shared" si="15"/>
        <v>7</v>
      </c>
      <c r="AA23" s="39">
        <f t="shared" si="15"/>
        <v>1</v>
      </c>
      <c r="AB23" s="39">
        <f t="shared" si="15"/>
        <v>0</v>
      </c>
      <c r="AC23" s="39">
        <f t="shared" si="15"/>
        <v>357</v>
      </c>
      <c r="AD23" s="39">
        <f t="shared" si="15"/>
        <v>0</v>
      </c>
      <c r="AE23" s="40">
        <f t="shared" si="15"/>
        <v>754</v>
      </c>
      <c r="AF23" s="40">
        <f t="shared" si="15"/>
        <v>1087</v>
      </c>
    </row>
    <row r="24" spans="2:32" ht="23.1" customHeight="1" x14ac:dyDescent="0.25">
      <c r="B24" s="23" t="s">
        <v>51</v>
      </c>
      <c r="C24" s="50">
        <v>95</v>
      </c>
      <c r="D24" s="50">
        <v>18</v>
      </c>
      <c r="E24" s="50">
        <v>8</v>
      </c>
      <c r="F24" s="50">
        <v>5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107</v>
      </c>
      <c r="N24" s="50">
        <v>0</v>
      </c>
      <c r="O24" s="15">
        <f t="shared" si="0"/>
        <v>131</v>
      </c>
      <c r="P24" s="15">
        <f t="shared" si="1"/>
        <v>238</v>
      </c>
      <c r="R24" s="38" t="s">
        <v>92</v>
      </c>
      <c r="S24" s="39">
        <f>MAX(S19:S21)</f>
        <v>179</v>
      </c>
      <c r="T24" s="39">
        <f t="shared" ref="T24:AF24" si="16">MAX(T19:T21)</f>
        <v>99</v>
      </c>
      <c r="U24" s="39">
        <f t="shared" si="16"/>
        <v>38</v>
      </c>
      <c r="V24" s="39">
        <f t="shared" si="16"/>
        <v>42</v>
      </c>
      <c r="W24" s="39">
        <f t="shared" si="16"/>
        <v>0</v>
      </c>
      <c r="X24" s="39">
        <f t="shared" si="16"/>
        <v>0</v>
      </c>
      <c r="Y24" s="39">
        <f t="shared" si="16"/>
        <v>17</v>
      </c>
      <c r="Z24" s="39">
        <f t="shared" si="16"/>
        <v>5</v>
      </c>
      <c r="AA24" s="39">
        <f t="shared" si="16"/>
        <v>1</v>
      </c>
      <c r="AB24" s="39">
        <f t="shared" si="16"/>
        <v>0</v>
      </c>
      <c r="AC24" s="39">
        <f t="shared" si="16"/>
        <v>363</v>
      </c>
      <c r="AD24" s="39">
        <f t="shared" si="16"/>
        <v>2</v>
      </c>
      <c r="AE24" s="40">
        <f t="shared" si="16"/>
        <v>344</v>
      </c>
      <c r="AF24" s="40">
        <f t="shared" si="16"/>
        <v>628</v>
      </c>
    </row>
    <row r="25" spans="2:32" ht="23.1" customHeight="1" x14ac:dyDescent="0.25">
      <c r="B25" s="23" t="s">
        <v>52</v>
      </c>
      <c r="C25" s="50">
        <v>150</v>
      </c>
      <c r="D25" s="50">
        <v>17</v>
      </c>
      <c r="E25" s="50">
        <v>12</v>
      </c>
      <c r="F25" s="50">
        <v>9</v>
      </c>
      <c r="G25" s="50">
        <v>0</v>
      </c>
      <c r="H25" s="50">
        <v>0</v>
      </c>
      <c r="I25" s="50">
        <v>4</v>
      </c>
      <c r="J25" s="50">
        <v>2</v>
      </c>
      <c r="K25" s="50">
        <v>1</v>
      </c>
      <c r="L25" s="50">
        <v>0</v>
      </c>
      <c r="M25" s="50">
        <v>76</v>
      </c>
      <c r="N25" s="50">
        <v>0</v>
      </c>
      <c r="O25" s="15">
        <f t="shared" si="0"/>
        <v>195</v>
      </c>
      <c r="P25" s="15">
        <f t="shared" si="1"/>
        <v>271</v>
      </c>
      <c r="R25" s="37" t="s">
        <v>85</v>
      </c>
      <c r="S25" s="35">
        <f t="shared" ref="S25:AF25" si="17">SUM(S10:S12)</f>
        <v>1574</v>
      </c>
      <c r="T25" s="16">
        <f t="shared" si="17"/>
        <v>395</v>
      </c>
      <c r="U25" s="16">
        <f t="shared" si="17"/>
        <v>161</v>
      </c>
      <c r="V25" s="16">
        <f t="shared" si="17"/>
        <v>147</v>
      </c>
      <c r="W25" s="16">
        <f t="shared" si="17"/>
        <v>1</v>
      </c>
      <c r="X25" s="16">
        <f t="shared" si="17"/>
        <v>0</v>
      </c>
      <c r="Y25" s="16">
        <f t="shared" si="17"/>
        <v>29</v>
      </c>
      <c r="Z25" s="16">
        <f t="shared" si="17"/>
        <v>10</v>
      </c>
      <c r="AA25" s="16">
        <f t="shared" si="17"/>
        <v>1</v>
      </c>
      <c r="AB25" s="16">
        <f t="shared" si="17"/>
        <v>0</v>
      </c>
      <c r="AC25" s="16">
        <f t="shared" si="17"/>
        <v>1112</v>
      </c>
      <c r="AD25" s="16">
        <f t="shared" si="17"/>
        <v>73</v>
      </c>
      <c r="AE25" s="32">
        <f t="shared" si="17"/>
        <v>2391</v>
      </c>
      <c r="AF25" s="32">
        <f t="shared" si="17"/>
        <v>3503</v>
      </c>
    </row>
    <row r="26" spans="2:32" ht="23.1" customHeight="1" x14ac:dyDescent="0.25">
      <c r="B26" s="23" t="s">
        <v>53</v>
      </c>
      <c r="C26" s="50">
        <v>55</v>
      </c>
      <c r="D26" s="50">
        <v>14</v>
      </c>
      <c r="E26" s="50">
        <v>5</v>
      </c>
      <c r="F26" s="50">
        <v>6</v>
      </c>
      <c r="G26" s="50">
        <v>0</v>
      </c>
      <c r="H26" s="50">
        <v>0</v>
      </c>
      <c r="I26" s="50">
        <v>11</v>
      </c>
      <c r="J26" s="50">
        <v>1</v>
      </c>
      <c r="K26" s="50">
        <v>0</v>
      </c>
      <c r="L26" s="50">
        <v>0</v>
      </c>
      <c r="M26" s="50">
        <v>74</v>
      </c>
      <c r="N26" s="50">
        <v>0</v>
      </c>
      <c r="O26" s="15">
        <f t="shared" si="0"/>
        <v>92</v>
      </c>
      <c r="P26" s="15">
        <f t="shared" si="1"/>
        <v>166</v>
      </c>
      <c r="R26" s="28" t="s">
        <v>86</v>
      </c>
      <c r="S26" s="16">
        <f t="shared" ref="S26:AF26" si="18">SUM(S13:S18)</f>
        <v>2432</v>
      </c>
      <c r="T26" s="16">
        <f t="shared" si="18"/>
        <v>456</v>
      </c>
      <c r="U26" s="16">
        <f t="shared" si="18"/>
        <v>253</v>
      </c>
      <c r="V26" s="16">
        <f t="shared" si="18"/>
        <v>217</v>
      </c>
      <c r="W26" s="16">
        <f t="shared" si="18"/>
        <v>0</v>
      </c>
      <c r="X26" s="16">
        <f t="shared" si="18"/>
        <v>5</v>
      </c>
      <c r="Y26" s="16">
        <f t="shared" si="18"/>
        <v>109</v>
      </c>
      <c r="Z26" s="16">
        <f t="shared" si="18"/>
        <v>19</v>
      </c>
      <c r="AA26" s="16">
        <f t="shared" si="18"/>
        <v>3</v>
      </c>
      <c r="AB26" s="16">
        <f t="shared" si="18"/>
        <v>0</v>
      </c>
      <c r="AC26" s="16">
        <f t="shared" si="18"/>
        <v>1843</v>
      </c>
      <c r="AD26" s="16">
        <f t="shared" si="18"/>
        <v>0</v>
      </c>
      <c r="AE26" s="32">
        <f t="shared" si="18"/>
        <v>3494</v>
      </c>
      <c r="AF26" s="32">
        <f t="shared" si="18"/>
        <v>5337</v>
      </c>
    </row>
    <row r="27" spans="2:32" ht="23.1" customHeight="1" x14ac:dyDescent="0.25">
      <c r="B27" s="23" t="s">
        <v>54</v>
      </c>
      <c r="C27" s="50">
        <v>95</v>
      </c>
      <c r="D27" s="50">
        <v>22</v>
      </c>
      <c r="E27" s="50">
        <v>14</v>
      </c>
      <c r="F27" s="50">
        <v>11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0</v>
      </c>
      <c r="M27" s="50">
        <v>90</v>
      </c>
      <c r="N27" s="50">
        <v>0</v>
      </c>
      <c r="O27" s="15">
        <f t="shared" si="0"/>
        <v>147</v>
      </c>
      <c r="P27" s="15">
        <f t="shared" si="1"/>
        <v>237</v>
      </c>
      <c r="R27" s="29" t="s">
        <v>87</v>
      </c>
      <c r="S27" s="16">
        <f t="shared" ref="S27:AF27" si="19">SUM(S19:S21)</f>
        <v>482</v>
      </c>
      <c r="T27" s="16">
        <f t="shared" si="19"/>
        <v>190</v>
      </c>
      <c r="U27" s="16">
        <f t="shared" si="19"/>
        <v>78</v>
      </c>
      <c r="V27" s="16">
        <f t="shared" si="19"/>
        <v>84</v>
      </c>
      <c r="W27" s="16">
        <f t="shared" si="19"/>
        <v>0</v>
      </c>
      <c r="X27" s="16">
        <f t="shared" si="19"/>
        <v>0</v>
      </c>
      <c r="Y27" s="16">
        <f t="shared" si="19"/>
        <v>36</v>
      </c>
      <c r="Z27" s="16">
        <f t="shared" si="19"/>
        <v>12</v>
      </c>
      <c r="AA27" s="16">
        <f t="shared" si="19"/>
        <v>1</v>
      </c>
      <c r="AB27" s="16">
        <f t="shared" si="19"/>
        <v>0</v>
      </c>
      <c r="AC27" s="16">
        <f t="shared" si="19"/>
        <v>934</v>
      </c>
      <c r="AD27" s="16">
        <f t="shared" si="19"/>
        <v>2</v>
      </c>
      <c r="AE27" s="32">
        <f t="shared" si="19"/>
        <v>885</v>
      </c>
      <c r="AF27" s="32">
        <f t="shared" si="19"/>
        <v>1819</v>
      </c>
    </row>
    <row r="28" spans="2:32" ht="23.1" customHeight="1" x14ac:dyDescent="0.25">
      <c r="B28" s="23" t="s">
        <v>55</v>
      </c>
      <c r="C28" s="50">
        <v>90</v>
      </c>
      <c r="D28" s="50">
        <v>20</v>
      </c>
      <c r="E28" s="50">
        <v>15</v>
      </c>
      <c r="F28" s="50">
        <v>9</v>
      </c>
      <c r="G28" s="50">
        <v>0</v>
      </c>
      <c r="H28" s="50">
        <v>0</v>
      </c>
      <c r="I28" s="50">
        <v>5</v>
      </c>
      <c r="J28" s="50">
        <v>1</v>
      </c>
      <c r="K28" s="50">
        <v>0</v>
      </c>
      <c r="L28" s="50">
        <v>0</v>
      </c>
      <c r="M28" s="50">
        <v>93</v>
      </c>
      <c r="N28" s="50">
        <v>0</v>
      </c>
      <c r="O28" s="15">
        <f t="shared" si="0"/>
        <v>140</v>
      </c>
      <c r="P28" s="15">
        <f t="shared" si="1"/>
        <v>233</v>
      </c>
      <c r="R28" s="5" t="s">
        <v>17</v>
      </c>
      <c r="S28" s="16">
        <f t="shared" ref="S28:AF28" si="20">SUM(S10:S21)</f>
        <v>4488</v>
      </c>
      <c r="T28" s="16">
        <f t="shared" si="20"/>
        <v>1041</v>
      </c>
      <c r="U28" s="16">
        <f t="shared" si="20"/>
        <v>492</v>
      </c>
      <c r="V28" s="16">
        <f t="shared" si="20"/>
        <v>448</v>
      </c>
      <c r="W28" s="16">
        <f t="shared" si="20"/>
        <v>1</v>
      </c>
      <c r="X28" s="16">
        <f t="shared" si="20"/>
        <v>5</v>
      </c>
      <c r="Y28" s="16">
        <f t="shared" si="20"/>
        <v>174</v>
      </c>
      <c r="Z28" s="16">
        <f t="shared" si="20"/>
        <v>41</v>
      </c>
      <c r="AA28" s="16">
        <f t="shared" si="20"/>
        <v>5</v>
      </c>
      <c r="AB28" s="16">
        <f t="shared" si="20"/>
        <v>0</v>
      </c>
      <c r="AC28" s="16">
        <f t="shared" si="20"/>
        <v>3889</v>
      </c>
      <c r="AD28" s="16">
        <f t="shared" si="20"/>
        <v>75</v>
      </c>
      <c r="AE28" s="32">
        <f t="shared" si="20"/>
        <v>6770</v>
      </c>
      <c r="AF28" s="32">
        <f t="shared" si="20"/>
        <v>10659</v>
      </c>
    </row>
    <row r="29" spans="2:32" ht="23.1" customHeight="1" x14ac:dyDescent="0.25">
      <c r="B29" s="23" t="s">
        <v>56</v>
      </c>
      <c r="C29" s="50">
        <v>85</v>
      </c>
      <c r="D29" s="50">
        <v>43</v>
      </c>
      <c r="E29" s="50">
        <v>19</v>
      </c>
      <c r="F29" s="50">
        <v>10</v>
      </c>
      <c r="G29" s="50">
        <v>0</v>
      </c>
      <c r="H29" s="50">
        <v>0</v>
      </c>
      <c r="I29" s="50">
        <v>5</v>
      </c>
      <c r="J29" s="50">
        <v>1</v>
      </c>
      <c r="K29" s="50">
        <v>1</v>
      </c>
      <c r="L29" s="50">
        <v>0</v>
      </c>
      <c r="M29" s="50">
        <v>100</v>
      </c>
      <c r="N29" s="50">
        <v>0</v>
      </c>
      <c r="O29" s="15">
        <f t="shared" si="0"/>
        <v>164</v>
      </c>
      <c r="P29" s="15">
        <f t="shared" si="1"/>
        <v>264</v>
      </c>
      <c r="R29"/>
      <c r="S29" s="20"/>
      <c r="T29" s="19"/>
    </row>
    <row r="30" spans="2:32" ht="23.1" customHeight="1" x14ac:dyDescent="0.25">
      <c r="B30" s="23" t="s">
        <v>57</v>
      </c>
      <c r="C30" s="50">
        <v>114</v>
      </c>
      <c r="D30" s="50">
        <v>23</v>
      </c>
      <c r="E30" s="50">
        <v>11</v>
      </c>
      <c r="F30" s="50">
        <v>16</v>
      </c>
      <c r="G30" s="50">
        <v>0</v>
      </c>
      <c r="H30" s="50">
        <v>0</v>
      </c>
      <c r="I30" s="50">
        <v>3</v>
      </c>
      <c r="J30" s="50">
        <v>1</v>
      </c>
      <c r="K30" s="50">
        <v>1</v>
      </c>
      <c r="L30" s="50">
        <v>0</v>
      </c>
      <c r="M30" s="50">
        <v>46</v>
      </c>
      <c r="N30" s="50">
        <v>0</v>
      </c>
      <c r="O30" s="15">
        <f t="shared" si="0"/>
        <v>169</v>
      </c>
      <c r="P30" s="15">
        <f t="shared" si="1"/>
        <v>215</v>
      </c>
    </row>
    <row r="31" spans="2:32" ht="23.1" customHeight="1" x14ac:dyDescent="0.25">
      <c r="B31" s="24" t="s">
        <v>58</v>
      </c>
      <c r="C31" s="50">
        <v>105</v>
      </c>
      <c r="D31" s="50">
        <v>18</v>
      </c>
      <c r="E31" s="50">
        <v>9</v>
      </c>
      <c r="F31" s="50">
        <v>11</v>
      </c>
      <c r="G31" s="50">
        <v>0</v>
      </c>
      <c r="H31" s="50">
        <v>0</v>
      </c>
      <c r="I31" s="50">
        <v>9</v>
      </c>
      <c r="J31" s="50">
        <v>3</v>
      </c>
      <c r="K31" s="50">
        <v>0</v>
      </c>
      <c r="L31" s="50">
        <v>0</v>
      </c>
      <c r="M31" s="50">
        <v>96</v>
      </c>
      <c r="N31" s="50">
        <v>0</v>
      </c>
      <c r="O31" s="15">
        <f t="shared" si="0"/>
        <v>155</v>
      </c>
      <c r="P31" s="15">
        <f t="shared" si="1"/>
        <v>251</v>
      </c>
    </row>
    <row r="32" spans="2:32" ht="23.1" customHeight="1" x14ac:dyDescent="0.25">
      <c r="B32" s="24" t="s">
        <v>59</v>
      </c>
      <c r="C32" s="50">
        <v>115</v>
      </c>
      <c r="D32" s="50">
        <v>30</v>
      </c>
      <c r="E32" s="50">
        <v>11</v>
      </c>
      <c r="F32" s="50">
        <v>8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82</v>
      </c>
      <c r="N32" s="50">
        <v>0</v>
      </c>
      <c r="O32" s="15">
        <f t="shared" si="0"/>
        <v>168</v>
      </c>
      <c r="P32" s="15">
        <f t="shared" si="1"/>
        <v>250</v>
      </c>
    </row>
    <row r="33" spans="2:20" ht="23.1" customHeight="1" x14ac:dyDescent="0.25">
      <c r="B33" s="23" t="s">
        <v>60</v>
      </c>
      <c r="C33" s="50">
        <v>125</v>
      </c>
      <c r="D33" s="50">
        <v>19</v>
      </c>
      <c r="E33" s="50">
        <v>15</v>
      </c>
      <c r="F33" s="50">
        <v>12</v>
      </c>
      <c r="G33" s="50">
        <v>0</v>
      </c>
      <c r="H33" s="50">
        <v>0</v>
      </c>
      <c r="I33" s="50">
        <v>4</v>
      </c>
      <c r="J33" s="50">
        <v>2</v>
      </c>
      <c r="K33" s="50">
        <v>0</v>
      </c>
      <c r="L33" s="50">
        <v>0</v>
      </c>
      <c r="M33" s="50">
        <v>66</v>
      </c>
      <c r="N33" s="50">
        <v>0</v>
      </c>
      <c r="O33" s="15">
        <f t="shared" si="0"/>
        <v>177</v>
      </c>
      <c r="P33" s="15">
        <f t="shared" si="1"/>
        <v>243</v>
      </c>
    </row>
    <row r="34" spans="2:20" ht="23.1" customHeight="1" x14ac:dyDescent="0.25">
      <c r="B34" s="24" t="s">
        <v>61</v>
      </c>
      <c r="C34" s="50">
        <v>130</v>
      </c>
      <c r="D34" s="50">
        <v>13</v>
      </c>
      <c r="E34" s="50">
        <v>6</v>
      </c>
      <c r="F34" s="50">
        <v>9</v>
      </c>
      <c r="G34" s="50">
        <v>0</v>
      </c>
      <c r="H34" s="50">
        <v>0</v>
      </c>
      <c r="I34" s="50">
        <v>7</v>
      </c>
      <c r="J34" s="50">
        <v>0</v>
      </c>
      <c r="K34" s="50">
        <v>0</v>
      </c>
      <c r="L34" s="50">
        <v>0</v>
      </c>
      <c r="M34" s="50">
        <v>63</v>
      </c>
      <c r="N34" s="50">
        <v>0</v>
      </c>
      <c r="O34" s="15">
        <f t="shared" si="0"/>
        <v>165</v>
      </c>
      <c r="P34" s="15">
        <f t="shared" si="1"/>
        <v>228</v>
      </c>
    </row>
    <row r="35" spans="2:20" ht="23.1" customHeight="1" x14ac:dyDescent="0.25">
      <c r="B35" s="24" t="s">
        <v>62</v>
      </c>
      <c r="C35" s="50">
        <v>63</v>
      </c>
      <c r="D35" s="50">
        <v>8</v>
      </c>
      <c r="E35" s="50">
        <v>7</v>
      </c>
      <c r="F35" s="50">
        <v>7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0</v>
      </c>
      <c r="M35" s="50">
        <v>58</v>
      </c>
      <c r="N35" s="50">
        <v>0</v>
      </c>
      <c r="O35" s="15">
        <f t="shared" si="0"/>
        <v>92</v>
      </c>
      <c r="P35" s="15">
        <f t="shared" si="1"/>
        <v>150</v>
      </c>
    </row>
    <row r="36" spans="2:20" ht="23.1" customHeight="1" x14ac:dyDescent="0.25">
      <c r="B36" s="24" t="s">
        <v>63</v>
      </c>
      <c r="C36" s="50">
        <v>68</v>
      </c>
      <c r="D36" s="50">
        <v>14</v>
      </c>
      <c r="E36" s="50">
        <v>19</v>
      </c>
      <c r="F36" s="50">
        <v>5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46</v>
      </c>
      <c r="N36" s="50">
        <v>0</v>
      </c>
      <c r="O36" s="15">
        <f t="shared" si="0"/>
        <v>109</v>
      </c>
      <c r="P36" s="15">
        <f t="shared" si="1"/>
        <v>155</v>
      </c>
    </row>
    <row r="37" spans="2:20" ht="23.1" customHeight="1" x14ac:dyDescent="0.25">
      <c r="B37" s="23" t="s">
        <v>64</v>
      </c>
      <c r="C37" s="50">
        <v>48</v>
      </c>
      <c r="D37" s="50">
        <v>17</v>
      </c>
      <c r="E37" s="50">
        <v>5</v>
      </c>
      <c r="F37" s="50">
        <v>6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61</v>
      </c>
      <c r="N37" s="50">
        <v>0</v>
      </c>
      <c r="O37" s="15">
        <f t="shared" si="0"/>
        <v>79</v>
      </c>
      <c r="P37" s="15">
        <f t="shared" si="1"/>
        <v>140</v>
      </c>
    </row>
    <row r="38" spans="2:20" ht="23.1" customHeight="1" x14ac:dyDescent="0.25">
      <c r="B38" s="24" t="s">
        <v>65</v>
      </c>
      <c r="C38" s="50">
        <v>101</v>
      </c>
      <c r="D38" s="50">
        <v>13</v>
      </c>
      <c r="E38" s="50">
        <v>7</v>
      </c>
      <c r="F38" s="50">
        <v>4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72</v>
      </c>
      <c r="N38" s="50">
        <v>0</v>
      </c>
      <c r="O38" s="15">
        <f t="shared" si="0"/>
        <v>129</v>
      </c>
      <c r="P38" s="15">
        <f t="shared" si="1"/>
        <v>201</v>
      </c>
    </row>
    <row r="39" spans="2:20" ht="23.1" customHeight="1" x14ac:dyDescent="0.25">
      <c r="B39" s="24" t="s">
        <v>66</v>
      </c>
      <c r="C39" s="50">
        <v>11</v>
      </c>
      <c r="D39" s="50">
        <v>10</v>
      </c>
      <c r="E39" s="50">
        <v>8</v>
      </c>
      <c r="F39" s="50">
        <v>0</v>
      </c>
      <c r="G39" s="50">
        <v>0</v>
      </c>
      <c r="H39" s="50">
        <v>5</v>
      </c>
      <c r="I39" s="50">
        <v>1</v>
      </c>
      <c r="J39" s="50">
        <v>0</v>
      </c>
      <c r="K39" s="50">
        <v>0</v>
      </c>
      <c r="L39" s="50">
        <v>0</v>
      </c>
      <c r="M39" s="50">
        <v>65</v>
      </c>
      <c r="N39" s="50">
        <v>0</v>
      </c>
      <c r="O39" s="15">
        <f t="shared" si="0"/>
        <v>35</v>
      </c>
      <c r="P39" s="15">
        <f t="shared" si="1"/>
        <v>100</v>
      </c>
    </row>
    <row r="40" spans="2:20" ht="23.1" customHeight="1" x14ac:dyDescent="0.25">
      <c r="B40" s="24" t="s">
        <v>67</v>
      </c>
      <c r="C40" s="50">
        <v>120</v>
      </c>
      <c r="D40" s="50">
        <v>7</v>
      </c>
      <c r="E40" s="50">
        <v>13</v>
      </c>
      <c r="F40" s="50">
        <v>12</v>
      </c>
      <c r="G40" s="50">
        <v>0</v>
      </c>
      <c r="H40" s="50">
        <v>0</v>
      </c>
      <c r="I40" s="50">
        <v>7</v>
      </c>
      <c r="J40" s="50">
        <v>0</v>
      </c>
      <c r="K40" s="50">
        <v>0</v>
      </c>
      <c r="L40" s="50">
        <v>0</v>
      </c>
      <c r="M40" s="50">
        <v>107</v>
      </c>
      <c r="N40" s="50">
        <v>0</v>
      </c>
      <c r="O40" s="15">
        <f t="shared" si="0"/>
        <v>159</v>
      </c>
      <c r="P40" s="15">
        <f t="shared" si="1"/>
        <v>266</v>
      </c>
    </row>
    <row r="41" spans="2:20" ht="23.1" customHeight="1" x14ac:dyDescent="0.25">
      <c r="B41" s="23" t="s">
        <v>68</v>
      </c>
      <c r="C41" s="50">
        <v>93</v>
      </c>
      <c r="D41" s="50">
        <v>16</v>
      </c>
      <c r="E41" s="50">
        <v>6</v>
      </c>
      <c r="F41" s="50">
        <v>10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0</v>
      </c>
      <c r="M41" s="50">
        <v>72</v>
      </c>
      <c r="N41" s="50">
        <v>0</v>
      </c>
      <c r="O41" s="15">
        <f t="shared" si="0"/>
        <v>128</v>
      </c>
      <c r="P41" s="15">
        <f t="shared" si="1"/>
        <v>200</v>
      </c>
    </row>
    <row r="42" spans="2:20" ht="23.1" customHeight="1" x14ac:dyDescent="0.25">
      <c r="B42" s="24" t="s">
        <v>69</v>
      </c>
      <c r="C42" s="50">
        <v>93</v>
      </c>
      <c r="D42" s="50">
        <v>19</v>
      </c>
      <c r="E42" s="50">
        <v>4</v>
      </c>
      <c r="F42" s="50">
        <v>6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76</v>
      </c>
      <c r="N42" s="50">
        <v>0</v>
      </c>
      <c r="O42" s="15">
        <f t="shared" si="0"/>
        <v>126</v>
      </c>
      <c r="P42" s="15">
        <f t="shared" si="1"/>
        <v>202</v>
      </c>
    </row>
    <row r="43" spans="2:20" ht="23.1" customHeight="1" x14ac:dyDescent="0.25">
      <c r="B43" s="23" t="s">
        <v>70</v>
      </c>
      <c r="C43" s="50">
        <v>96</v>
      </c>
      <c r="D43" s="50">
        <v>14</v>
      </c>
      <c r="E43" s="50">
        <v>8</v>
      </c>
      <c r="F43" s="50">
        <v>14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80</v>
      </c>
      <c r="N43" s="50">
        <v>0</v>
      </c>
      <c r="O43" s="15">
        <f t="shared" si="0"/>
        <v>136</v>
      </c>
      <c r="P43" s="15">
        <f t="shared" si="1"/>
        <v>216</v>
      </c>
    </row>
    <row r="44" spans="2:20" ht="23.1" customHeight="1" x14ac:dyDescent="0.25">
      <c r="B44" s="25" t="s">
        <v>71</v>
      </c>
      <c r="C44" s="50">
        <v>120</v>
      </c>
      <c r="D44" s="50">
        <v>21</v>
      </c>
      <c r="E44" s="50">
        <v>15</v>
      </c>
      <c r="F44" s="50">
        <v>18</v>
      </c>
      <c r="G44" s="50">
        <v>0</v>
      </c>
      <c r="H44" s="50">
        <v>0</v>
      </c>
      <c r="I44" s="50">
        <v>6</v>
      </c>
      <c r="J44" s="50">
        <v>3</v>
      </c>
      <c r="K44" s="50">
        <v>0</v>
      </c>
      <c r="L44" s="50">
        <v>0</v>
      </c>
      <c r="M44" s="50">
        <v>76</v>
      </c>
      <c r="N44" s="50">
        <v>0</v>
      </c>
      <c r="O44" s="15">
        <f t="shared" si="0"/>
        <v>183</v>
      </c>
      <c r="P44" s="15">
        <f t="shared" si="1"/>
        <v>259</v>
      </c>
    </row>
    <row r="45" spans="2:20" ht="23.1" customHeight="1" x14ac:dyDescent="0.25">
      <c r="B45" s="23" t="s">
        <v>72</v>
      </c>
      <c r="C45" s="50">
        <v>145</v>
      </c>
      <c r="D45" s="50">
        <v>24</v>
      </c>
      <c r="E45" s="50">
        <v>9</v>
      </c>
      <c r="F45" s="50">
        <v>7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87</v>
      </c>
      <c r="N45" s="50">
        <v>0</v>
      </c>
      <c r="O45" s="15">
        <f t="shared" si="0"/>
        <v>187</v>
      </c>
      <c r="P45" s="15">
        <f t="shared" si="1"/>
        <v>274</v>
      </c>
    </row>
    <row r="46" spans="2:20" ht="23.1" customHeight="1" x14ac:dyDescent="0.25">
      <c r="B46" s="24" t="s">
        <v>73</v>
      </c>
      <c r="C46" s="50">
        <v>60</v>
      </c>
      <c r="D46" s="50">
        <v>15</v>
      </c>
      <c r="E46" s="50">
        <v>9</v>
      </c>
      <c r="F46" s="50">
        <v>18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64</v>
      </c>
      <c r="N46" s="50">
        <v>0</v>
      </c>
      <c r="O46" s="15">
        <f t="shared" si="0"/>
        <v>109</v>
      </c>
      <c r="P46" s="15">
        <f t="shared" si="1"/>
        <v>173</v>
      </c>
      <c r="R46" s="8"/>
      <c r="T46"/>
    </row>
    <row r="47" spans="2:20" ht="23.1" customHeight="1" x14ac:dyDescent="0.25">
      <c r="B47" s="24" t="s">
        <v>74</v>
      </c>
      <c r="C47" s="50">
        <v>43</v>
      </c>
      <c r="D47" s="50">
        <v>19</v>
      </c>
      <c r="E47" s="50">
        <v>7</v>
      </c>
      <c r="F47" s="50">
        <v>8</v>
      </c>
      <c r="G47" s="50">
        <v>0</v>
      </c>
      <c r="H47" s="50">
        <v>0</v>
      </c>
      <c r="I47" s="50">
        <v>2</v>
      </c>
      <c r="J47" s="50">
        <v>1</v>
      </c>
      <c r="K47" s="50">
        <v>1</v>
      </c>
      <c r="L47" s="50">
        <v>0</v>
      </c>
      <c r="M47" s="50">
        <v>64</v>
      </c>
      <c r="N47" s="50">
        <v>0</v>
      </c>
      <c r="O47" s="15">
        <f t="shared" si="0"/>
        <v>81</v>
      </c>
      <c r="P47" s="15">
        <f t="shared" si="1"/>
        <v>145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9</v>
      </c>
      <c r="E48" s="50">
        <v>12</v>
      </c>
      <c r="F48" s="50">
        <v>5</v>
      </c>
      <c r="G48" s="50">
        <v>0</v>
      </c>
      <c r="H48" s="50">
        <v>0</v>
      </c>
      <c r="I48" s="50">
        <v>5</v>
      </c>
      <c r="J48" s="50">
        <v>2</v>
      </c>
      <c r="K48" s="50">
        <v>0</v>
      </c>
      <c r="L48" s="50">
        <v>0</v>
      </c>
      <c r="M48" s="50">
        <v>77</v>
      </c>
      <c r="N48" s="50">
        <v>0</v>
      </c>
      <c r="O48" s="15">
        <f t="shared" si="0"/>
        <v>67</v>
      </c>
      <c r="P48" s="15">
        <f t="shared" si="1"/>
        <v>144</v>
      </c>
      <c r="R48" s="8"/>
      <c r="T48"/>
    </row>
    <row r="49" spans="2:20" ht="23.1" customHeight="1" x14ac:dyDescent="0.25">
      <c r="B49" s="23" t="s">
        <v>76</v>
      </c>
      <c r="C49" s="50">
        <v>42</v>
      </c>
      <c r="D49" s="50">
        <v>21</v>
      </c>
      <c r="E49" s="50">
        <v>10</v>
      </c>
      <c r="F49" s="50">
        <v>11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79</v>
      </c>
      <c r="N49" s="50">
        <v>0</v>
      </c>
      <c r="O49" s="15">
        <f t="shared" si="0"/>
        <v>87</v>
      </c>
      <c r="P49" s="15">
        <f t="shared" si="1"/>
        <v>166</v>
      </c>
      <c r="R49" s="8"/>
      <c r="T49"/>
    </row>
    <row r="50" spans="2:20" ht="23.1" customHeight="1" x14ac:dyDescent="0.25">
      <c r="B50" s="24" t="s">
        <v>77</v>
      </c>
      <c r="C50" s="50">
        <v>47</v>
      </c>
      <c r="D50" s="50">
        <v>5</v>
      </c>
      <c r="E50" s="50">
        <v>3</v>
      </c>
      <c r="F50" s="50">
        <v>4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89</v>
      </c>
      <c r="N50" s="50">
        <v>1</v>
      </c>
      <c r="O50" s="15">
        <f t="shared" si="0"/>
        <v>64</v>
      </c>
      <c r="P50" s="15">
        <f t="shared" si="1"/>
        <v>153</v>
      </c>
      <c r="R50" s="8"/>
      <c r="T50"/>
    </row>
    <row r="51" spans="2:20" ht="23.1" customHeight="1" x14ac:dyDescent="0.25">
      <c r="B51" s="24" t="s">
        <v>78</v>
      </c>
      <c r="C51" s="50">
        <v>32</v>
      </c>
      <c r="D51" s="50">
        <v>7</v>
      </c>
      <c r="E51" s="50">
        <v>4</v>
      </c>
      <c r="F51" s="50">
        <v>7</v>
      </c>
      <c r="G51" s="50">
        <v>0</v>
      </c>
      <c r="H51" s="50">
        <v>0</v>
      </c>
      <c r="I51" s="50">
        <v>7</v>
      </c>
      <c r="J51" s="50">
        <v>3</v>
      </c>
      <c r="K51" s="50">
        <v>0</v>
      </c>
      <c r="L51" s="50">
        <v>0</v>
      </c>
      <c r="M51" s="50">
        <v>88</v>
      </c>
      <c r="N51" s="50">
        <v>1</v>
      </c>
      <c r="O51" s="15">
        <f t="shared" si="0"/>
        <v>61</v>
      </c>
      <c r="P51" s="15">
        <f t="shared" si="1"/>
        <v>149</v>
      </c>
      <c r="R51" s="8"/>
      <c r="T51"/>
    </row>
    <row r="52" spans="2:20" ht="23.1" customHeight="1" x14ac:dyDescent="0.25">
      <c r="B52" s="24" t="s">
        <v>79</v>
      </c>
      <c r="C52" s="50">
        <v>36</v>
      </c>
      <c r="D52" s="50">
        <v>4</v>
      </c>
      <c r="E52" s="50">
        <v>2</v>
      </c>
      <c r="F52" s="50">
        <v>10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101</v>
      </c>
      <c r="N52" s="50">
        <v>0</v>
      </c>
      <c r="O52" s="15">
        <f t="shared" si="0"/>
        <v>57</v>
      </c>
      <c r="P52" s="15">
        <f t="shared" si="1"/>
        <v>158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11</v>
      </c>
      <c r="E53" s="50">
        <v>6</v>
      </c>
      <c r="F53" s="50">
        <v>8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85</v>
      </c>
      <c r="N53" s="50">
        <v>0</v>
      </c>
      <c r="O53" s="15">
        <f t="shared" si="0"/>
        <v>61</v>
      </c>
      <c r="P53" s="15">
        <f t="shared" si="1"/>
        <v>146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18</v>
      </c>
      <c r="E54" s="50">
        <v>8</v>
      </c>
      <c r="F54" s="50">
        <v>5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69</v>
      </c>
      <c r="N54" s="50">
        <v>0</v>
      </c>
      <c r="O54" s="15">
        <f t="shared" si="0"/>
        <v>74</v>
      </c>
      <c r="P54" s="15">
        <f t="shared" si="1"/>
        <v>143</v>
      </c>
      <c r="R54" s="8"/>
      <c r="T54"/>
    </row>
    <row r="55" spans="2:20" ht="23.1" customHeight="1" x14ac:dyDescent="0.25">
      <c r="B55" s="23" t="s">
        <v>82</v>
      </c>
      <c r="C55" s="50">
        <v>35</v>
      </c>
      <c r="D55" s="50">
        <v>12</v>
      </c>
      <c r="E55" s="50">
        <v>6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83</v>
      </c>
      <c r="N55" s="50">
        <v>0</v>
      </c>
      <c r="O55" s="15">
        <f t="shared" si="0"/>
        <v>55</v>
      </c>
      <c r="P55" s="15">
        <f t="shared" si="1"/>
        <v>138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29</v>
      </c>
      <c r="E56" s="50">
        <v>2</v>
      </c>
      <c r="F56" s="50">
        <v>4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90</v>
      </c>
      <c r="N56" s="50">
        <v>0</v>
      </c>
      <c r="O56" s="15">
        <f t="shared" si="0"/>
        <v>71</v>
      </c>
      <c r="P56" s="15">
        <f t="shared" si="1"/>
        <v>161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40</v>
      </c>
      <c r="E57" s="50">
        <v>9</v>
      </c>
      <c r="F57" s="50">
        <v>4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98</v>
      </c>
      <c r="P57" s="15">
        <f t="shared" si="1"/>
        <v>143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4488</v>
      </c>
      <c r="D58" s="16">
        <f t="shared" si="21"/>
        <v>1041</v>
      </c>
      <c r="E58" s="16">
        <f t="shared" si="21"/>
        <v>492</v>
      </c>
      <c r="F58" s="16">
        <f t="shared" si="21"/>
        <v>448</v>
      </c>
      <c r="G58" s="16">
        <f t="shared" si="21"/>
        <v>1</v>
      </c>
      <c r="H58" s="16">
        <f t="shared" si="21"/>
        <v>5</v>
      </c>
      <c r="I58" s="16">
        <f t="shared" si="21"/>
        <v>174</v>
      </c>
      <c r="J58" s="16">
        <f t="shared" si="21"/>
        <v>41</v>
      </c>
      <c r="K58" s="16">
        <f t="shared" si="21"/>
        <v>5</v>
      </c>
      <c r="L58" s="16">
        <f t="shared" si="21"/>
        <v>0</v>
      </c>
      <c r="M58" s="16">
        <f t="shared" si="21"/>
        <v>3889</v>
      </c>
      <c r="N58" s="16">
        <f t="shared" si="21"/>
        <v>75</v>
      </c>
      <c r="O58" s="16">
        <f t="shared" si="21"/>
        <v>6770</v>
      </c>
      <c r="P58" s="16">
        <f t="shared" si="21"/>
        <v>10659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0.42105263157894735</v>
      </c>
      <c r="D59" s="43">
        <f t="shared" si="22"/>
        <v>9.7663945961159584E-2</v>
      </c>
      <c r="E59" s="43">
        <f t="shared" si="22"/>
        <v>4.6158176189135938E-2</v>
      </c>
      <c r="F59" s="43">
        <f t="shared" si="22"/>
        <v>4.2030209212871754E-2</v>
      </c>
      <c r="G59" s="43">
        <f t="shared" si="22"/>
        <v>9.3817431278731586E-5</v>
      </c>
      <c r="H59" s="43">
        <f t="shared" si="22"/>
        <v>4.6908715639365793E-4</v>
      </c>
      <c r="I59" s="43">
        <f t="shared" si="22"/>
        <v>1.6324233042499296E-2</v>
      </c>
      <c r="J59" s="43">
        <f t="shared" si="22"/>
        <v>3.8465146824279953E-3</v>
      </c>
      <c r="K59" s="43">
        <f t="shared" si="22"/>
        <v>4.6908715639365793E-4</v>
      </c>
      <c r="L59" s="43">
        <f t="shared" si="22"/>
        <v>0</v>
      </c>
      <c r="M59" s="43">
        <f t="shared" si="22"/>
        <v>0.36485599024298715</v>
      </c>
      <c r="N59" s="43">
        <f t="shared" si="22"/>
        <v>7.0363073459048693E-3</v>
      </c>
      <c r="R59" s="8"/>
      <c r="T59"/>
    </row>
    <row r="60" spans="2:20" ht="23.1" customHeight="1" x14ac:dyDescent="0.25">
      <c r="B60" s="42" t="s">
        <v>94</v>
      </c>
      <c r="C60" s="44">
        <f>C58/$O$58</f>
        <v>0.66292466765140323</v>
      </c>
      <c r="D60" s="44">
        <f t="shared" ref="D60:N60" si="23">D58/$O$58</f>
        <v>0.15376661742983752</v>
      </c>
      <c r="E60" s="44">
        <f t="shared" si="23"/>
        <v>7.2673559822747411E-2</v>
      </c>
      <c r="F60" s="44">
        <f t="shared" si="23"/>
        <v>6.617429837518464E-2</v>
      </c>
      <c r="G60" s="44">
        <f t="shared" si="23"/>
        <v>1.4771048744460856E-4</v>
      </c>
      <c r="H60" s="44">
        <f t="shared" si="23"/>
        <v>7.3855243722304289E-4</v>
      </c>
      <c r="I60" s="44">
        <f t="shared" si="23"/>
        <v>2.5701624815361892E-2</v>
      </c>
      <c r="J60" s="44">
        <f t="shared" si="23"/>
        <v>6.0561299852289509E-3</v>
      </c>
      <c r="K60" s="44">
        <f t="shared" si="23"/>
        <v>7.3855243722304289E-4</v>
      </c>
      <c r="L60" s="44">
        <f t="shared" si="23"/>
        <v>0</v>
      </c>
      <c r="M60" s="44"/>
      <c r="N60" s="44">
        <f t="shared" si="23"/>
        <v>1.1078286558345642E-2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Naguru-Nakawa'!D5</f>
        <v>30.07.19</v>
      </c>
      <c r="E5" s="3"/>
      <c r="F5" s="41" t="s">
        <v>1</v>
      </c>
      <c r="G5" s="63" t="str">
        <f>'29.07 Naguru-Nakawa'!G5:H5</f>
        <v>NAGURU POLICE HEAD QUARTER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174</v>
      </c>
      <c r="E6" s="64"/>
      <c r="F6" s="2" t="s">
        <v>2</v>
      </c>
      <c r="G6" s="63" t="s">
        <v>191</v>
      </c>
      <c r="H6" s="64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160</v>
      </c>
      <c r="T10" s="17">
        <f t="shared" si="2"/>
        <v>67</v>
      </c>
      <c r="U10" s="17">
        <f t="shared" si="2"/>
        <v>22</v>
      </c>
      <c r="V10" s="17">
        <f t="shared" si="2"/>
        <v>32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224</v>
      </c>
      <c r="AD10" s="17">
        <f t="shared" si="2"/>
        <v>0</v>
      </c>
      <c r="AE10" s="31">
        <f t="shared" si="2"/>
        <v>288</v>
      </c>
      <c r="AF10" s="31">
        <f t="shared" si="2"/>
        <v>512</v>
      </c>
    </row>
    <row r="11" spans="2:32" s="6" customFormat="1" ht="23.1" customHeight="1" x14ac:dyDescent="0.25">
      <c r="B11" s="23" t="s">
        <v>38</v>
      </c>
      <c r="C11" s="50">
        <v>50</v>
      </c>
      <c r="D11" s="50">
        <v>20</v>
      </c>
      <c r="E11" s="50">
        <v>5</v>
      </c>
      <c r="F11" s="50">
        <v>6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65</v>
      </c>
      <c r="N11" s="50">
        <v>0</v>
      </c>
      <c r="O11" s="15">
        <f t="shared" si="0"/>
        <v>83</v>
      </c>
      <c r="P11" s="15">
        <f t="shared" si="1"/>
        <v>148</v>
      </c>
      <c r="R11" s="1" t="s">
        <v>7</v>
      </c>
      <c r="S11" s="17">
        <f t="shared" ref="S11:AF11" si="3">SUM(C14:C17)</f>
        <v>165</v>
      </c>
      <c r="T11" s="17">
        <f t="shared" si="3"/>
        <v>154</v>
      </c>
      <c r="U11" s="17">
        <f t="shared" si="3"/>
        <v>28</v>
      </c>
      <c r="V11" s="17">
        <f t="shared" si="3"/>
        <v>54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4</v>
      </c>
      <c r="AA11" s="17">
        <f t="shared" si="3"/>
        <v>2</v>
      </c>
      <c r="AB11" s="17">
        <f t="shared" si="3"/>
        <v>0</v>
      </c>
      <c r="AC11" s="17">
        <f t="shared" si="3"/>
        <v>347</v>
      </c>
      <c r="AD11" s="17">
        <f t="shared" si="3"/>
        <v>0</v>
      </c>
      <c r="AE11" s="31">
        <f t="shared" si="3"/>
        <v>415</v>
      </c>
      <c r="AF11" s="31">
        <f t="shared" si="3"/>
        <v>762</v>
      </c>
    </row>
    <row r="12" spans="2:32" ht="23.1" customHeight="1" x14ac:dyDescent="0.25">
      <c r="B12" s="23" t="s">
        <v>39</v>
      </c>
      <c r="C12" s="50">
        <v>58</v>
      </c>
      <c r="D12" s="50">
        <v>26</v>
      </c>
      <c r="E12" s="50">
        <v>8</v>
      </c>
      <c r="F12" s="50">
        <v>13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62</v>
      </c>
      <c r="N12" s="50">
        <v>0</v>
      </c>
      <c r="O12" s="15">
        <f t="shared" si="0"/>
        <v>106</v>
      </c>
      <c r="P12" s="15">
        <f t="shared" si="1"/>
        <v>168</v>
      </c>
      <c r="R12" s="1" t="s">
        <v>8</v>
      </c>
      <c r="S12" s="17">
        <f t="shared" ref="S12:AF12" si="4">SUM(C18:C21)</f>
        <v>91</v>
      </c>
      <c r="T12" s="17">
        <f t="shared" si="4"/>
        <v>142</v>
      </c>
      <c r="U12" s="17">
        <f t="shared" si="4"/>
        <v>63</v>
      </c>
      <c r="V12" s="17">
        <f t="shared" si="4"/>
        <v>34</v>
      </c>
      <c r="W12" s="17">
        <f t="shared" si="4"/>
        <v>5</v>
      </c>
      <c r="X12" s="17">
        <f t="shared" si="4"/>
        <v>1</v>
      </c>
      <c r="Y12" s="17">
        <f t="shared" si="4"/>
        <v>8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256</v>
      </c>
      <c r="AD12" s="17">
        <f t="shared" si="4"/>
        <v>0</v>
      </c>
      <c r="AE12" s="31">
        <f t="shared" si="4"/>
        <v>348</v>
      </c>
      <c r="AF12" s="31">
        <f t="shared" si="4"/>
        <v>604</v>
      </c>
    </row>
    <row r="13" spans="2:32" ht="23.1" customHeight="1" x14ac:dyDescent="0.25">
      <c r="B13" s="23" t="s">
        <v>40</v>
      </c>
      <c r="C13" s="50">
        <v>52</v>
      </c>
      <c r="D13" s="50">
        <v>21</v>
      </c>
      <c r="E13" s="50">
        <v>9</v>
      </c>
      <c r="F13" s="50">
        <v>13</v>
      </c>
      <c r="G13" s="50">
        <v>2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97</v>
      </c>
      <c r="N13" s="50">
        <v>0</v>
      </c>
      <c r="O13" s="15">
        <f t="shared" si="0"/>
        <v>99</v>
      </c>
      <c r="P13" s="15">
        <f t="shared" si="1"/>
        <v>196</v>
      </c>
      <c r="R13" s="1" t="s">
        <v>9</v>
      </c>
      <c r="S13" s="17">
        <f t="shared" ref="S13:AF13" si="5">SUM(C22:C25)</f>
        <v>175</v>
      </c>
      <c r="T13" s="17">
        <f t="shared" si="5"/>
        <v>129</v>
      </c>
      <c r="U13" s="17">
        <f t="shared" si="5"/>
        <v>58</v>
      </c>
      <c r="V13" s="17">
        <f t="shared" si="5"/>
        <v>21</v>
      </c>
      <c r="W13" s="17">
        <f t="shared" si="5"/>
        <v>0</v>
      </c>
      <c r="X13" s="17">
        <f t="shared" si="5"/>
        <v>0</v>
      </c>
      <c r="Y13" s="17">
        <f t="shared" si="5"/>
        <v>14</v>
      </c>
      <c r="Z13" s="17">
        <f t="shared" si="5"/>
        <v>3</v>
      </c>
      <c r="AA13" s="17">
        <f t="shared" si="5"/>
        <v>2</v>
      </c>
      <c r="AB13" s="17">
        <f t="shared" si="5"/>
        <v>1</v>
      </c>
      <c r="AC13" s="17">
        <f t="shared" si="5"/>
        <v>292</v>
      </c>
      <c r="AD13" s="17">
        <f t="shared" si="5"/>
        <v>1</v>
      </c>
      <c r="AE13" s="31">
        <f t="shared" si="5"/>
        <v>404</v>
      </c>
      <c r="AF13" s="31">
        <f t="shared" si="5"/>
        <v>696</v>
      </c>
    </row>
    <row r="14" spans="2:32" ht="23.1" customHeight="1" x14ac:dyDescent="0.25">
      <c r="B14" s="23" t="s">
        <v>41</v>
      </c>
      <c r="C14" s="50">
        <v>43</v>
      </c>
      <c r="D14" s="50">
        <v>35</v>
      </c>
      <c r="E14" s="50">
        <v>7</v>
      </c>
      <c r="F14" s="50">
        <v>11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88</v>
      </c>
      <c r="N14" s="50">
        <v>0</v>
      </c>
      <c r="O14" s="15">
        <f t="shared" si="0"/>
        <v>100</v>
      </c>
      <c r="P14" s="15">
        <f t="shared" si="1"/>
        <v>188</v>
      </c>
      <c r="R14" s="1" t="s">
        <v>10</v>
      </c>
      <c r="S14" s="17">
        <f t="shared" ref="S14:AF14" si="6">SUM(C26:C29)</f>
        <v>142</v>
      </c>
      <c r="T14" s="17">
        <f t="shared" si="6"/>
        <v>143</v>
      </c>
      <c r="U14" s="17">
        <f t="shared" si="6"/>
        <v>43</v>
      </c>
      <c r="V14" s="17">
        <f t="shared" si="6"/>
        <v>26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9</v>
      </c>
      <c r="AA14" s="17">
        <f t="shared" si="6"/>
        <v>1</v>
      </c>
      <c r="AB14" s="17">
        <f t="shared" si="6"/>
        <v>0</v>
      </c>
      <c r="AC14" s="17">
        <f t="shared" si="6"/>
        <v>158</v>
      </c>
      <c r="AD14" s="17">
        <f t="shared" si="6"/>
        <v>0</v>
      </c>
      <c r="AE14" s="31">
        <f t="shared" si="6"/>
        <v>373</v>
      </c>
      <c r="AF14" s="31">
        <f t="shared" si="6"/>
        <v>531</v>
      </c>
    </row>
    <row r="15" spans="2:32" ht="23.1" customHeight="1" x14ac:dyDescent="0.25">
      <c r="B15" s="23" t="s">
        <v>42</v>
      </c>
      <c r="C15" s="50">
        <v>46</v>
      </c>
      <c r="D15" s="50">
        <v>42</v>
      </c>
      <c r="E15" s="50">
        <v>2</v>
      </c>
      <c r="F15" s="50">
        <v>9</v>
      </c>
      <c r="G15" s="50">
        <v>0</v>
      </c>
      <c r="H15" s="50">
        <v>0</v>
      </c>
      <c r="I15" s="50">
        <v>0</v>
      </c>
      <c r="J15" s="50">
        <v>1</v>
      </c>
      <c r="K15" s="50">
        <v>1</v>
      </c>
      <c r="L15" s="50">
        <v>0</v>
      </c>
      <c r="M15" s="50">
        <v>80</v>
      </c>
      <c r="N15" s="50">
        <v>0</v>
      </c>
      <c r="O15" s="15">
        <f t="shared" si="0"/>
        <v>101</v>
      </c>
      <c r="P15" s="15">
        <f t="shared" si="1"/>
        <v>181</v>
      </c>
      <c r="R15" s="1" t="s">
        <v>11</v>
      </c>
      <c r="S15" s="17">
        <f t="shared" ref="S15:AF15" si="7">SUM(C30:C33)</f>
        <v>223</v>
      </c>
      <c r="T15" s="17">
        <f t="shared" si="7"/>
        <v>182</v>
      </c>
      <c r="U15" s="17">
        <f t="shared" si="7"/>
        <v>58</v>
      </c>
      <c r="V15" s="17">
        <f t="shared" si="7"/>
        <v>26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279</v>
      </c>
      <c r="AD15" s="17">
        <f t="shared" si="7"/>
        <v>1</v>
      </c>
      <c r="AE15" s="31">
        <f t="shared" si="7"/>
        <v>499</v>
      </c>
      <c r="AF15" s="31">
        <f t="shared" si="7"/>
        <v>778</v>
      </c>
    </row>
    <row r="16" spans="2:32" ht="23.1" customHeight="1" x14ac:dyDescent="0.25">
      <c r="B16" s="23" t="s">
        <v>43</v>
      </c>
      <c r="C16" s="50">
        <v>35</v>
      </c>
      <c r="D16" s="50">
        <v>40</v>
      </c>
      <c r="E16" s="50">
        <v>5</v>
      </c>
      <c r="F16" s="50">
        <v>26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74</v>
      </c>
      <c r="N16" s="50">
        <v>0</v>
      </c>
      <c r="O16" s="15">
        <f t="shared" si="0"/>
        <v>109</v>
      </c>
      <c r="P16" s="15">
        <f t="shared" si="1"/>
        <v>183</v>
      </c>
      <c r="R16" s="1" t="s">
        <v>12</v>
      </c>
      <c r="S16" s="17">
        <f t="shared" ref="S16:AF16" si="8">SUM(C34:C37)</f>
        <v>197</v>
      </c>
      <c r="T16" s="17">
        <f t="shared" si="8"/>
        <v>194</v>
      </c>
      <c r="U16" s="17">
        <f t="shared" si="8"/>
        <v>28</v>
      </c>
      <c r="V16" s="17">
        <f t="shared" si="8"/>
        <v>24</v>
      </c>
      <c r="W16" s="17">
        <f t="shared" si="8"/>
        <v>0</v>
      </c>
      <c r="X16" s="17">
        <f t="shared" si="8"/>
        <v>1</v>
      </c>
      <c r="Y16" s="17">
        <f t="shared" si="8"/>
        <v>9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275</v>
      </c>
      <c r="AD16" s="17">
        <f t="shared" si="8"/>
        <v>1</v>
      </c>
      <c r="AE16" s="31">
        <f t="shared" si="8"/>
        <v>458</v>
      </c>
      <c r="AF16" s="31">
        <f t="shared" si="8"/>
        <v>733</v>
      </c>
    </row>
    <row r="17" spans="2:32" ht="23.1" customHeight="1" x14ac:dyDescent="0.25">
      <c r="B17" s="23" t="s">
        <v>44</v>
      </c>
      <c r="C17" s="50">
        <v>41</v>
      </c>
      <c r="D17" s="50">
        <v>37</v>
      </c>
      <c r="E17" s="50">
        <v>14</v>
      </c>
      <c r="F17" s="50">
        <v>8</v>
      </c>
      <c r="G17" s="50">
        <v>0</v>
      </c>
      <c r="H17" s="50">
        <v>0</v>
      </c>
      <c r="I17" s="50">
        <v>4</v>
      </c>
      <c r="J17" s="50">
        <v>0</v>
      </c>
      <c r="K17" s="50">
        <v>1</v>
      </c>
      <c r="L17" s="50">
        <v>0</v>
      </c>
      <c r="M17" s="50">
        <v>105</v>
      </c>
      <c r="N17" s="50">
        <v>0</v>
      </c>
      <c r="O17" s="15">
        <f t="shared" si="0"/>
        <v>105</v>
      </c>
      <c r="P17" s="15">
        <f t="shared" si="1"/>
        <v>210</v>
      </c>
      <c r="R17" s="1" t="s">
        <v>13</v>
      </c>
      <c r="S17" s="17">
        <f t="shared" ref="S17:AF17" si="9">SUM(C38:C41)</f>
        <v>213</v>
      </c>
      <c r="T17" s="17">
        <f t="shared" si="9"/>
        <v>185</v>
      </c>
      <c r="U17" s="17">
        <f t="shared" si="9"/>
        <v>54</v>
      </c>
      <c r="V17" s="17">
        <f t="shared" si="9"/>
        <v>32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214</v>
      </c>
      <c r="AD17" s="17">
        <f t="shared" si="9"/>
        <v>0</v>
      </c>
      <c r="AE17" s="31">
        <f t="shared" si="9"/>
        <v>496</v>
      </c>
      <c r="AF17" s="31">
        <f t="shared" si="9"/>
        <v>710</v>
      </c>
    </row>
    <row r="18" spans="2:32" ht="23.1" customHeight="1" x14ac:dyDescent="0.25">
      <c r="B18" s="23" t="s">
        <v>45</v>
      </c>
      <c r="C18" s="50">
        <v>33</v>
      </c>
      <c r="D18" s="50">
        <v>23</v>
      </c>
      <c r="E18" s="50">
        <v>9</v>
      </c>
      <c r="F18" s="50">
        <v>8</v>
      </c>
      <c r="G18" s="50">
        <v>0</v>
      </c>
      <c r="H18" s="50">
        <v>0</v>
      </c>
      <c r="I18" s="50">
        <v>2</v>
      </c>
      <c r="J18" s="50">
        <v>3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78</v>
      </c>
      <c r="P18" s="15">
        <f t="shared" si="1"/>
        <v>173</v>
      </c>
      <c r="R18" s="1" t="s">
        <v>14</v>
      </c>
      <c r="S18" s="17">
        <f t="shared" ref="S18:AF18" si="10">SUM(C42:C45)</f>
        <v>341</v>
      </c>
      <c r="T18" s="17">
        <f t="shared" si="10"/>
        <v>282</v>
      </c>
      <c r="U18" s="17">
        <f t="shared" si="10"/>
        <v>66</v>
      </c>
      <c r="V18" s="17">
        <f t="shared" si="10"/>
        <v>27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210</v>
      </c>
      <c r="AD18" s="17">
        <f t="shared" si="10"/>
        <v>1</v>
      </c>
      <c r="AE18" s="31">
        <f t="shared" si="10"/>
        <v>730</v>
      </c>
      <c r="AF18" s="31">
        <f t="shared" si="10"/>
        <v>940</v>
      </c>
    </row>
    <row r="19" spans="2:32" ht="23.1" customHeight="1" x14ac:dyDescent="0.25">
      <c r="B19" s="23" t="s">
        <v>46</v>
      </c>
      <c r="C19" s="50">
        <v>32</v>
      </c>
      <c r="D19" s="50">
        <v>26</v>
      </c>
      <c r="E19" s="50">
        <v>14</v>
      </c>
      <c r="F19" s="50">
        <v>8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55</v>
      </c>
      <c r="N19" s="50">
        <v>0</v>
      </c>
      <c r="O19" s="15">
        <f t="shared" si="0"/>
        <v>80</v>
      </c>
      <c r="P19" s="15">
        <f t="shared" si="1"/>
        <v>135</v>
      </c>
      <c r="R19" s="1" t="s">
        <v>15</v>
      </c>
      <c r="S19" s="17">
        <f t="shared" ref="S19:AF19" si="11">SUM(C46:C49)</f>
        <v>483</v>
      </c>
      <c r="T19" s="17">
        <f t="shared" si="11"/>
        <v>443</v>
      </c>
      <c r="U19" s="17">
        <f t="shared" si="11"/>
        <v>73</v>
      </c>
      <c r="V19" s="17">
        <f t="shared" si="11"/>
        <v>38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230</v>
      </c>
      <c r="AD19" s="17">
        <f t="shared" si="11"/>
        <v>0</v>
      </c>
      <c r="AE19" s="31">
        <f t="shared" si="11"/>
        <v>1046</v>
      </c>
      <c r="AF19" s="31">
        <f t="shared" si="11"/>
        <v>1276</v>
      </c>
    </row>
    <row r="20" spans="2:32" ht="23.1" customHeight="1" x14ac:dyDescent="0.25">
      <c r="B20" s="23" t="s">
        <v>47</v>
      </c>
      <c r="C20" s="50">
        <v>0</v>
      </c>
      <c r="D20" s="50">
        <v>73</v>
      </c>
      <c r="E20" s="50">
        <v>32</v>
      </c>
      <c r="F20" s="50">
        <v>14</v>
      </c>
      <c r="G20" s="50">
        <v>5</v>
      </c>
      <c r="H20" s="50">
        <v>1</v>
      </c>
      <c r="I20" s="50">
        <v>4</v>
      </c>
      <c r="J20" s="50">
        <v>0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129</v>
      </c>
      <c r="P20" s="15">
        <f t="shared" si="1"/>
        <v>189</v>
      </c>
      <c r="R20" s="1" t="s">
        <v>16</v>
      </c>
      <c r="S20" s="17">
        <f t="shared" ref="S20:AF20" si="12">SUM(C50:C53)</f>
        <v>521</v>
      </c>
      <c r="T20" s="17">
        <f t="shared" si="12"/>
        <v>519</v>
      </c>
      <c r="U20" s="17">
        <f t="shared" si="12"/>
        <v>87</v>
      </c>
      <c r="V20" s="17">
        <f t="shared" si="12"/>
        <v>59</v>
      </c>
      <c r="W20" s="17">
        <f t="shared" si="12"/>
        <v>0</v>
      </c>
      <c r="X20" s="17">
        <f t="shared" si="12"/>
        <v>1</v>
      </c>
      <c r="Y20" s="17">
        <f t="shared" si="12"/>
        <v>9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242</v>
      </c>
      <c r="AD20" s="17">
        <f t="shared" si="12"/>
        <v>0</v>
      </c>
      <c r="AE20" s="31">
        <f t="shared" si="12"/>
        <v>1200</v>
      </c>
      <c r="AF20" s="31">
        <f t="shared" si="12"/>
        <v>1442</v>
      </c>
    </row>
    <row r="21" spans="2:32" ht="23.1" customHeight="1" x14ac:dyDescent="0.25">
      <c r="B21" s="23" t="s">
        <v>48</v>
      </c>
      <c r="C21" s="50">
        <v>26</v>
      </c>
      <c r="D21" s="50">
        <v>20</v>
      </c>
      <c r="E21" s="50">
        <v>8</v>
      </c>
      <c r="F21" s="50">
        <v>4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46</v>
      </c>
      <c r="N21" s="50">
        <v>0</v>
      </c>
      <c r="O21" s="15">
        <f t="shared" si="0"/>
        <v>61</v>
      </c>
      <c r="P21" s="15">
        <f t="shared" si="1"/>
        <v>107</v>
      </c>
      <c r="R21" s="36" t="s">
        <v>20</v>
      </c>
      <c r="S21" s="34">
        <f t="shared" ref="S21:AF21" si="13">SUM(C54:C57)</f>
        <v>373</v>
      </c>
      <c r="T21" s="17">
        <f t="shared" si="13"/>
        <v>382</v>
      </c>
      <c r="U21" s="17">
        <f t="shared" si="13"/>
        <v>71</v>
      </c>
      <c r="V21" s="17">
        <f t="shared" si="13"/>
        <v>51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280</v>
      </c>
      <c r="AD21" s="17">
        <f t="shared" si="13"/>
        <v>0</v>
      </c>
      <c r="AE21" s="31">
        <f t="shared" si="13"/>
        <v>884</v>
      </c>
      <c r="AF21" s="31">
        <f t="shared" si="13"/>
        <v>1164</v>
      </c>
    </row>
    <row r="22" spans="2:32" ht="23.1" customHeight="1" x14ac:dyDescent="0.25">
      <c r="B22" s="23" t="s">
        <v>49</v>
      </c>
      <c r="C22" s="50">
        <v>40</v>
      </c>
      <c r="D22" s="50">
        <v>34</v>
      </c>
      <c r="E22" s="50">
        <v>8</v>
      </c>
      <c r="F22" s="50">
        <v>5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1</v>
      </c>
      <c r="M22" s="50">
        <v>25</v>
      </c>
      <c r="N22" s="50">
        <v>1</v>
      </c>
      <c r="O22" s="15">
        <f t="shared" si="0"/>
        <v>91</v>
      </c>
      <c r="P22" s="15">
        <f t="shared" si="1"/>
        <v>116</v>
      </c>
      <c r="R22" s="38" t="s">
        <v>90</v>
      </c>
      <c r="S22" s="39">
        <f>MAX(S10:S12)</f>
        <v>165</v>
      </c>
      <c r="T22" s="39">
        <f t="shared" ref="T22:AF22" si="14">MAX(T10:T12)</f>
        <v>154</v>
      </c>
      <c r="U22" s="39">
        <f t="shared" si="14"/>
        <v>63</v>
      </c>
      <c r="V22" s="39">
        <f t="shared" si="14"/>
        <v>54</v>
      </c>
      <c r="W22" s="39">
        <f t="shared" si="14"/>
        <v>5</v>
      </c>
      <c r="X22" s="39">
        <f t="shared" si="14"/>
        <v>1</v>
      </c>
      <c r="Y22" s="39">
        <f t="shared" si="14"/>
        <v>8</v>
      </c>
      <c r="Z22" s="39">
        <f t="shared" si="14"/>
        <v>4</v>
      </c>
      <c r="AA22" s="39">
        <f t="shared" si="14"/>
        <v>2</v>
      </c>
      <c r="AB22" s="39">
        <f t="shared" si="14"/>
        <v>0</v>
      </c>
      <c r="AC22" s="39">
        <f t="shared" si="14"/>
        <v>347</v>
      </c>
      <c r="AD22" s="39">
        <f t="shared" si="14"/>
        <v>0</v>
      </c>
      <c r="AE22" s="40">
        <f t="shared" si="14"/>
        <v>415</v>
      </c>
      <c r="AF22" s="40">
        <f t="shared" si="14"/>
        <v>762</v>
      </c>
    </row>
    <row r="23" spans="2:32" ht="23.1" customHeight="1" x14ac:dyDescent="0.25">
      <c r="B23" s="23" t="s">
        <v>50</v>
      </c>
      <c r="C23" s="50">
        <v>42</v>
      </c>
      <c r="D23" s="50">
        <v>25</v>
      </c>
      <c r="E23" s="50">
        <v>13</v>
      </c>
      <c r="F23" s="50">
        <v>3</v>
      </c>
      <c r="G23" s="50">
        <v>0</v>
      </c>
      <c r="H23" s="50">
        <v>0</v>
      </c>
      <c r="I23" s="50">
        <v>4</v>
      </c>
      <c r="J23" s="50">
        <v>0</v>
      </c>
      <c r="K23" s="50">
        <v>2</v>
      </c>
      <c r="L23" s="50">
        <v>0</v>
      </c>
      <c r="M23" s="50">
        <v>65</v>
      </c>
      <c r="N23" s="50">
        <v>0</v>
      </c>
      <c r="O23" s="15">
        <f t="shared" si="0"/>
        <v>89</v>
      </c>
      <c r="P23" s="15">
        <f t="shared" si="1"/>
        <v>154</v>
      </c>
      <c r="R23" s="38" t="s">
        <v>91</v>
      </c>
      <c r="S23" s="39">
        <f>MAX(S13:S18)</f>
        <v>341</v>
      </c>
      <c r="T23" s="39">
        <f t="shared" ref="T23:AF23" si="15">MAX(T13:T18)</f>
        <v>282</v>
      </c>
      <c r="U23" s="39">
        <f t="shared" si="15"/>
        <v>66</v>
      </c>
      <c r="V23" s="39">
        <f t="shared" si="15"/>
        <v>32</v>
      </c>
      <c r="W23" s="39">
        <f t="shared" si="15"/>
        <v>0</v>
      </c>
      <c r="X23" s="39">
        <f t="shared" si="15"/>
        <v>1</v>
      </c>
      <c r="Y23" s="39">
        <f t="shared" si="15"/>
        <v>14</v>
      </c>
      <c r="Z23" s="39">
        <f t="shared" si="15"/>
        <v>9</v>
      </c>
      <c r="AA23" s="39">
        <f t="shared" si="15"/>
        <v>2</v>
      </c>
      <c r="AB23" s="39">
        <f t="shared" si="15"/>
        <v>1</v>
      </c>
      <c r="AC23" s="39">
        <f t="shared" si="15"/>
        <v>292</v>
      </c>
      <c r="AD23" s="39">
        <f t="shared" si="15"/>
        <v>1</v>
      </c>
      <c r="AE23" s="40">
        <f t="shared" si="15"/>
        <v>730</v>
      </c>
      <c r="AF23" s="40">
        <f t="shared" si="15"/>
        <v>940</v>
      </c>
    </row>
    <row r="24" spans="2:32" ht="23.1" customHeight="1" x14ac:dyDescent="0.25">
      <c r="B24" s="23" t="s">
        <v>51</v>
      </c>
      <c r="C24" s="50">
        <v>44</v>
      </c>
      <c r="D24" s="50">
        <v>45</v>
      </c>
      <c r="E24" s="50">
        <v>17</v>
      </c>
      <c r="F24" s="50">
        <v>8</v>
      </c>
      <c r="G24" s="50">
        <v>0</v>
      </c>
      <c r="H24" s="50">
        <v>0</v>
      </c>
      <c r="I24" s="50">
        <v>6</v>
      </c>
      <c r="J24" s="50">
        <v>3</v>
      </c>
      <c r="K24" s="50">
        <v>0</v>
      </c>
      <c r="L24" s="50">
        <v>0</v>
      </c>
      <c r="M24" s="50">
        <v>122</v>
      </c>
      <c r="N24" s="50">
        <v>0</v>
      </c>
      <c r="O24" s="15">
        <f t="shared" si="0"/>
        <v>123</v>
      </c>
      <c r="P24" s="15">
        <f t="shared" si="1"/>
        <v>245</v>
      </c>
      <c r="R24" s="38" t="s">
        <v>92</v>
      </c>
      <c r="S24" s="39">
        <f>MAX(S19:S21)</f>
        <v>521</v>
      </c>
      <c r="T24" s="39">
        <f t="shared" ref="T24:AF24" si="16">MAX(T19:T21)</f>
        <v>519</v>
      </c>
      <c r="U24" s="39">
        <f t="shared" si="16"/>
        <v>87</v>
      </c>
      <c r="V24" s="39">
        <f t="shared" si="16"/>
        <v>59</v>
      </c>
      <c r="W24" s="39">
        <f t="shared" si="16"/>
        <v>0</v>
      </c>
      <c r="X24" s="39">
        <f t="shared" si="16"/>
        <v>1</v>
      </c>
      <c r="Y24" s="39">
        <f t="shared" si="16"/>
        <v>9</v>
      </c>
      <c r="Z24" s="39">
        <f t="shared" si="16"/>
        <v>4</v>
      </c>
      <c r="AA24" s="39">
        <f t="shared" si="16"/>
        <v>1</v>
      </c>
      <c r="AB24" s="39">
        <f t="shared" si="16"/>
        <v>0</v>
      </c>
      <c r="AC24" s="39">
        <f t="shared" si="16"/>
        <v>280</v>
      </c>
      <c r="AD24" s="39">
        <f t="shared" si="16"/>
        <v>0</v>
      </c>
      <c r="AE24" s="40">
        <f t="shared" si="16"/>
        <v>1200</v>
      </c>
      <c r="AF24" s="40">
        <f t="shared" si="16"/>
        <v>1442</v>
      </c>
    </row>
    <row r="25" spans="2:32" ht="23.1" customHeight="1" x14ac:dyDescent="0.25">
      <c r="B25" s="23" t="s">
        <v>52</v>
      </c>
      <c r="C25" s="50">
        <v>49</v>
      </c>
      <c r="D25" s="50">
        <v>25</v>
      </c>
      <c r="E25" s="50">
        <v>20</v>
      </c>
      <c r="F25" s="50">
        <v>5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80</v>
      </c>
      <c r="N25" s="50">
        <v>0</v>
      </c>
      <c r="O25" s="15">
        <f t="shared" si="0"/>
        <v>101</v>
      </c>
      <c r="P25" s="15">
        <f t="shared" si="1"/>
        <v>181</v>
      </c>
      <c r="R25" s="37" t="s">
        <v>85</v>
      </c>
      <c r="S25" s="35">
        <f t="shared" ref="S25:AF25" si="17">SUM(S10:S12)</f>
        <v>416</v>
      </c>
      <c r="T25" s="16">
        <f t="shared" si="17"/>
        <v>363</v>
      </c>
      <c r="U25" s="16">
        <f t="shared" si="17"/>
        <v>113</v>
      </c>
      <c r="V25" s="16">
        <f t="shared" si="17"/>
        <v>120</v>
      </c>
      <c r="W25" s="16">
        <f t="shared" si="17"/>
        <v>7</v>
      </c>
      <c r="X25" s="16">
        <f t="shared" si="17"/>
        <v>1</v>
      </c>
      <c r="Y25" s="16">
        <f t="shared" si="17"/>
        <v>20</v>
      </c>
      <c r="Z25" s="16">
        <f t="shared" si="17"/>
        <v>9</v>
      </c>
      <c r="AA25" s="16">
        <f t="shared" si="17"/>
        <v>2</v>
      </c>
      <c r="AB25" s="16">
        <f t="shared" si="17"/>
        <v>0</v>
      </c>
      <c r="AC25" s="16">
        <f t="shared" si="17"/>
        <v>827</v>
      </c>
      <c r="AD25" s="16">
        <f t="shared" si="17"/>
        <v>0</v>
      </c>
      <c r="AE25" s="32">
        <f t="shared" si="17"/>
        <v>1051</v>
      </c>
      <c r="AF25" s="32">
        <f t="shared" si="17"/>
        <v>1878</v>
      </c>
    </row>
    <row r="26" spans="2:32" ht="23.1" customHeight="1" x14ac:dyDescent="0.25">
      <c r="B26" s="23" t="s">
        <v>53</v>
      </c>
      <c r="C26" s="50">
        <v>28</v>
      </c>
      <c r="D26" s="50">
        <v>32</v>
      </c>
      <c r="E26" s="50">
        <v>9</v>
      </c>
      <c r="F26" s="50">
        <v>10</v>
      </c>
      <c r="G26" s="50">
        <v>0</v>
      </c>
      <c r="H26" s="50">
        <v>0</v>
      </c>
      <c r="I26" s="50">
        <v>1</v>
      </c>
      <c r="J26" s="50">
        <v>4</v>
      </c>
      <c r="K26" s="50">
        <v>1</v>
      </c>
      <c r="L26" s="50">
        <v>0</v>
      </c>
      <c r="M26" s="50">
        <v>48</v>
      </c>
      <c r="N26" s="50">
        <v>0</v>
      </c>
      <c r="O26" s="15">
        <f t="shared" si="0"/>
        <v>85</v>
      </c>
      <c r="P26" s="15">
        <f t="shared" si="1"/>
        <v>133</v>
      </c>
      <c r="R26" s="28" t="s">
        <v>86</v>
      </c>
      <c r="S26" s="16">
        <f t="shared" ref="S26:AF26" si="18">SUM(S13:S18)</f>
        <v>1291</v>
      </c>
      <c r="T26" s="16">
        <f t="shared" si="18"/>
        <v>1115</v>
      </c>
      <c r="U26" s="16">
        <f t="shared" si="18"/>
        <v>307</v>
      </c>
      <c r="V26" s="16">
        <f t="shared" si="18"/>
        <v>156</v>
      </c>
      <c r="W26" s="16">
        <f t="shared" si="18"/>
        <v>0</v>
      </c>
      <c r="X26" s="16">
        <f t="shared" si="18"/>
        <v>1</v>
      </c>
      <c r="Y26" s="16">
        <f t="shared" si="18"/>
        <v>61</v>
      </c>
      <c r="Z26" s="16">
        <f t="shared" si="18"/>
        <v>19</v>
      </c>
      <c r="AA26" s="16">
        <f t="shared" si="18"/>
        <v>5</v>
      </c>
      <c r="AB26" s="16">
        <f t="shared" si="18"/>
        <v>1</v>
      </c>
      <c r="AC26" s="16">
        <f t="shared" si="18"/>
        <v>1428</v>
      </c>
      <c r="AD26" s="16">
        <f t="shared" si="18"/>
        <v>4</v>
      </c>
      <c r="AE26" s="32">
        <f t="shared" si="18"/>
        <v>2960</v>
      </c>
      <c r="AF26" s="32">
        <f t="shared" si="18"/>
        <v>4388</v>
      </c>
    </row>
    <row r="27" spans="2:32" ht="23.1" customHeight="1" x14ac:dyDescent="0.25">
      <c r="B27" s="23" t="s">
        <v>54</v>
      </c>
      <c r="C27" s="50">
        <v>37</v>
      </c>
      <c r="D27" s="50">
        <v>24</v>
      </c>
      <c r="E27" s="50">
        <v>10</v>
      </c>
      <c r="F27" s="50">
        <v>3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40</v>
      </c>
      <c r="N27" s="50">
        <v>0</v>
      </c>
      <c r="O27" s="15">
        <f t="shared" si="0"/>
        <v>78</v>
      </c>
      <c r="P27" s="15">
        <f t="shared" si="1"/>
        <v>118</v>
      </c>
      <c r="R27" s="29" t="s">
        <v>87</v>
      </c>
      <c r="S27" s="16">
        <f t="shared" ref="S27:AF27" si="19">SUM(S19:S21)</f>
        <v>1377</v>
      </c>
      <c r="T27" s="16">
        <f t="shared" si="19"/>
        <v>1344</v>
      </c>
      <c r="U27" s="16">
        <f t="shared" si="19"/>
        <v>231</v>
      </c>
      <c r="V27" s="16">
        <f t="shared" si="19"/>
        <v>148</v>
      </c>
      <c r="W27" s="16">
        <f t="shared" si="19"/>
        <v>0</v>
      </c>
      <c r="X27" s="16">
        <f t="shared" si="19"/>
        <v>2</v>
      </c>
      <c r="Y27" s="16">
        <f t="shared" si="19"/>
        <v>19</v>
      </c>
      <c r="Z27" s="16">
        <f t="shared" si="19"/>
        <v>7</v>
      </c>
      <c r="AA27" s="16">
        <f t="shared" si="19"/>
        <v>2</v>
      </c>
      <c r="AB27" s="16">
        <f t="shared" si="19"/>
        <v>0</v>
      </c>
      <c r="AC27" s="16">
        <f t="shared" si="19"/>
        <v>752</v>
      </c>
      <c r="AD27" s="16">
        <f t="shared" si="19"/>
        <v>0</v>
      </c>
      <c r="AE27" s="32">
        <f t="shared" si="19"/>
        <v>3130</v>
      </c>
      <c r="AF27" s="32">
        <f t="shared" si="19"/>
        <v>3882</v>
      </c>
    </row>
    <row r="28" spans="2:32" ht="23.1" customHeight="1" x14ac:dyDescent="0.25">
      <c r="B28" s="23" t="s">
        <v>55</v>
      </c>
      <c r="C28" s="50">
        <v>39</v>
      </c>
      <c r="D28" s="50">
        <v>45</v>
      </c>
      <c r="E28" s="50">
        <v>13</v>
      </c>
      <c r="F28" s="50">
        <v>12</v>
      </c>
      <c r="G28" s="50">
        <v>0</v>
      </c>
      <c r="H28" s="50">
        <v>0</v>
      </c>
      <c r="I28" s="50">
        <v>4</v>
      </c>
      <c r="J28" s="50">
        <v>3</v>
      </c>
      <c r="K28" s="50">
        <v>0</v>
      </c>
      <c r="L28" s="50">
        <v>0</v>
      </c>
      <c r="M28" s="50">
        <v>27</v>
      </c>
      <c r="N28" s="50">
        <v>0</v>
      </c>
      <c r="O28" s="15">
        <f t="shared" si="0"/>
        <v>116</v>
      </c>
      <c r="P28" s="15">
        <f t="shared" si="1"/>
        <v>143</v>
      </c>
      <c r="R28" s="5" t="s">
        <v>17</v>
      </c>
      <c r="S28" s="16">
        <f t="shared" ref="S28:AF28" si="20">SUM(S10:S21)</f>
        <v>3084</v>
      </c>
      <c r="T28" s="16">
        <f t="shared" si="20"/>
        <v>2822</v>
      </c>
      <c r="U28" s="16">
        <f t="shared" si="20"/>
        <v>651</v>
      </c>
      <c r="V28" s="16">
        <f t="shared" si="20"/>
        <v>424</v>
      </c>
      <c r="W28" s="16">
        <f t="shared" si="20"/>
        <v>7</v>
      </c>
      <c r="X28" s="16">
        <f t="shared" si="20"/>
        <v>4</v>
      </c>
      <c r="Y28" s="16">
        <f t="shared" si="20"/>
        <v>100</v>
      </c>
      <c r="Z28" s="16">
        <f t="shared" si="20"/>
        <v>35</v>
      </c>
      <c r="AA28" s="16">
        <f t="shared" si="20"/>
        <v>9</v>
      </c>
      <c r="AB28" s="16">
        <f t="shared" si="20"/>
        <v>1</v>
      </c>
      <c r="AC28" s="16">
        <f t="shared" si="20"/>
        <v>3007</v>
      </c>
      <c r="AD28" s="16">
        <f t="shared" si="20"/>
        <v>4</v>
      </c>
      <c r="AE28" s="32">
        <f t="shared" si="20"/>
        <v>7141</v>
      </c>
      <c r="AF28" s="32">
        <f t="shared" si="20"/>
        <v>10148</v>
      </c>
    </row>
    <row r="29" spans="2:32" ht="23.1" customHeight="1" x14ac:dyDescent="0.25">
      <c r="B29" s="23" t="s">
        <v>56</v>
      </c>
      <c r="C29" s="50">
        <v>38</v>
      </c>
      <c r="D29" s="50">
        <v>42</v>
      </c>
      <c r="E29" s="50">
        <v>11</v>
      </c>
      <c r="F29" s="50">
        <v>1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43</v>
      </c>
      <c r="N29" s="50">
        <v>0</v>
      </c>
      <c r="O29" s="15">
        <f t="shared" si="0"/>
        <v>94</v>
      </c>
      <c r="P29" s="15">
        <f t="shared" si="1"/>
        <v>137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31</v>
      </c>
      <c r="E30" s="50">
        <v>15</v>
      </c>
      <c r="F30" s="50">
        <v>4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33</v>
      </c>
      <c r="N30" s="50">
        <v>1</v>
      </c>
      <c r="O30" s="15">
        <f t="shared" si="0"/>
        <v>98</v>
      </c>
      <c r="P30" s="15">
        <f t="shared" si="1"/>
        <v>131</v>
      </c>
    </row>
    <row r="31" spans="2:32" ht="23.1" customHeight="1" x14ac:dyDescent="0.25">
      <c r="B31" s="24" t="s">
        <v>58</v>
      </c>
      <c r="C31" s="50">
        <v>52</v>
      </c>
      <c r="D31" s="50">
        <v>34</v>
      </c>
      <c r="E31" s="50">
        <v>8</v>
      </c>
      <c r="F31" s="50">
        <v>7</v>
      </c>
      <c r="G31" s="50">
        <v>0</v>
      </c>
      <c r="H31" s="50">
        <v>0</v>
      </c>
      <c r="I31" s="50">
        <v>5</v>
      </c>
      <c r="J31" s="50">
        <v>1</v>
      </c>
      <c r="K31" s="50">
        <v>1</v>
      </c>
      <c r="L31" s="50">
        <v>0</v>
      </c>
      <c r="M31" s="50">
        <v>115</v>
      </c>
      <c r="N31" s="50">
        <v>0</v>
      </c>
      <c r="O31" s="15">
        <f t="shared" si="0"/>
        <v>108</v>
      </c>
      <c r="P31" s="15">
        <f t="shared" si="1"/>
        <v>223</v>
      </c>
    </row>
    <row r="32" spans="2:32" ht="23.1" customHeight="1" x14ac:dyDescent="0.25">
      <c r="B32" s="24" t="s">
        <v>59</v>
      </c>
      <c r="C32" s="50">
        <v>56</v>
      </c>
      <c r="D32" s="50">
        <v>58</v>
      </c>
      <c r="E32" s="50">
        <v>23</v>
      </c>
      <c r="F32" s="50">
        <v>9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80</v>
      </c>
      <c r="N32" s="50">
        <v>0</v>
      </c>
      <c r="O32" s="15">
        <f t="shared" si="0"/>
        <v>146</v>
      </c>
      <c r="P32" s="15">
        <f t="shared" si="1"/>
        <v>226</v>
      </c>
    </row>
    <row r="33" spans="2:20" ht="23.1" customHeight="1" x14ac:dyDescent="0.25">
      <c r="B33" s="23" t="s">
        <v>60</v>
      </c>
      <c r="C33" s="50">
        <v>70</v>
      </c>
      <c r="D33" s="50">
        <v>59</v>
      </c>
      <c r="E33" s="50">
        <v>12</v>
      </c>
      <c r="F33" s="50">
        <v>6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51</v>
      </c>
      <c r="N33" s="50">
        <v>0</v>
      </c>
      <c r="O33" s="15">
        <f t="shared" si="0"/>
        <v>147</v>
      </c>
      <c r="P33" s="15">
        <f t="shared" si="1"/>
        <v>198</v>
      </c>
    </row>
    <row r="34" spans="2:20" ht="23.1" customHeight="1" x14ac:dyDescent="0.25">
      <c r="B34" s="24" t="s">
        <v>61</v>
      </c>
      <c r="C34" s="50">
        <v>53</v>
      </c>
      <c r="D34" s="50">
        <v>53</v>
      </c>
      <c r="E34" s="50">
        <v>6</v>
      </c>
      <c r="F34" s="50">
        <v>6</v>
      </c>
      <c r="G34" s="50">
        <v>0</v>
      </c>
      <c r="H34" s="50">
        <v>1</v>
      </c>
      <c r="I34" s="50">
        <v>3</v>
      </c>
      <c r="J34" s="50">
        <v>2</v>
      </c>
      <c r="K34" s="50">
        <v>0</v>
      </c>
      <c r="L34" s="50">
        <v>0</v>
      </c>
      <c r="M34" s="50">
        <v>85</v>
      </c>
      <c r="N34" s="50">
        <v>0</v>
      </c>
      <c r="O34" s="15">
        <f t="shared" si="0"/>
        <v>124</v>
      </c>
      <c r="P34" s="15">
        <f t="shared" si="1"/>
        <v>209</v>
      </c>
    </row>
    <row r="35" spans="2:20" ht="23.1" customHeight="1" x14ac:dyDescent="0.25">
      <c r="B35" s="24" t="s">
        <v>62</v>
      </c>
      <c r="C35" s="50">
        <v>50</v>
      </c>
      <c r="D35" s="50">
        <v>27</v>
      </c>
      <c r="E35" s="50">
        <v>11</v>
      </c>
      <c r="F35" s="50">
        <v>5</v>
      </c>
      <c r="G35" s="50">
        <v>0</v>
      </c>
      <c r="H35" s="50">
        <v>0</v>
      </c>
      <c r="I35" s="50">
        <v>5</v>
      </c>
      <c r="J35" s="50">
        <v>0</v>
      </c>
      <c r="K35" s="50">
        <v>0</v>
      </c>
      <c r="L35" s="50">
        <v>0</v>
      </c>
      <c r="M35" s="50">
        <v>65</v>
      </c>
      <c r="N35" s="50">
        <v>0</v>
      </c>
      <c r="O35" s="15">
        <f t="shared" si="0"/>
        <v>98</v>
      </c>
      <c r="P35" s="15">
        <f t="shared" si="1"/>
        <v>163</v>
      </c>
    </row>
    <row r="36" spans="2:20" ht="23.1" customHeight="1" x14ac:dyDescent="0.25">
      <c r="B36" s="24" t="s">
        <v>63</v>
      </c>
      <c r="C36" s="50">
        <v>41</v>
      </c>
      <c r="D36" s="50">
        <v>39</v>
      </c>
      <c r="E36" s="50">
        <v>5</v>
      </c>
      <c r="F36" s="50">
        <v>5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45</v>
      </c>
      <c r="N36" s="50">
        <v>1</v>
      </c>
      <c r="O36" s="15">
        <f t="shared" si="0"/>
        <v>93</v>
      </c>
      <c r="P36" s="15">
        <f t="shared" si="1"/>
        <v>138</v>
      </c>
    </row>
    <row r="37" spans="2:20" ht="23.1" customHeight="1" x14ac:dyDescent="0.25">
      <c r="B37" s="23" t="s">
        <v>64</v>
      </c>
      <c r="C37" s="50">
        <v>53</v>
      </c>
      <c r="D37" s="50">
        <v>75</v>
      </c>
      <c r="E37" s="50">
        <v>6</v>
      </c>
      <c r="F37" s="50">
        <v>8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80</v>
      </c>
      <c r="N37" s="50">
        <v>0</v>
      </c>
      <c r="O37" s="15">
        <f t="shared" si="0"/>
        <v>143</v>
      </c>
      <c r="P37" s="15">
        <f t="shared" si="1"/>
        <v>223</v>
      </c>
    </row>
    <row r="38" spans="2:20" ht="23.1" customHeight="1" x14ac:dyDescent="0.25">
      <c r="B38" s="24" t="s">
        <v>65</v>
      </c>
      <c r="C38" s="50">
        <v>57</v>
      </c>
      <c r="D38" s="50">
        <v>40</v>
      </c>
      <c r="E38" s="50">
        <v>8</v>
      </c>
      <c r="F38" s="50">
        <v>11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52</v>
      </c>
      <c r="N38" s="50">
        <v>0</v>
      </c>
      <c r="O38" s="15">
        <f t="shared" si="0"/>
        <v>122</v>
      </c>
      <c r="P38" s="15">
        <f t="shared" si="1"/>
        <v>174</v>
      </c>
    </row>
    <row r="39" spans="2:20" ht="23.1" customHeight="1" x14ac:dyDescent="0.25">
      <c r="B39" s="24" t="s">
        <v>66</v>
      </c>
      <c r="C39" s="50">
        <v>57</v>
      </c>
      <c r="D39" s="50">
        <v>51</v>
      </c>
      <c r="E39" s="50">
        <v>21</v>
      </c>
      <c r="F39" s="50">
        <v>11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69</v>
      </c>
      <c r="N39" s="50">
        <v>0</v>
      </c>
      <c r="O39" s="15">
        <f t="shared" si="0"/>
        <v>144</v>
      </c>
      <c r="P39" s="15">
        <f t="shared" si="1"/>
        <v>213</v>
      </c>
    </row>
    <row r="40" spans="2:20" ht="23.1" customHeight="1" x14ac:dyDescent="0.25">
      <c r="B40" s="24" t="s">
        <v>67</v>
      </c>
      <c r="C40" s="50">
        <v>56</v>
      </c>
      <c r="D40" s="50">
        <v>48</v>
      </c>
      <c r="E40" s="50">
        <v>15</v>
      </c>
      <c r="F40" s="50">
        <v>5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73</v>
      </c>
      <c r="N40" s="50">
        <v>0</v>
      </c>
      <c r="O40" s="15">
        <f t="shared" si="0"/>
        <v>124</v>
      </c>
      <c r="P40" s="15">
        <f t="shared" si="1"/>
        <v>197</v>
      </c>
    </row>
    <row r="41" spans="2:20" ht="23.1" customHeight="1" x14ac:dyDescent="0.25">
      <c r="B41" s="23" t="s">
        <v>68</v>
      </c>
      <c r="C41" s="50">
        <v>43</v>
      </c>
      <c r="D41" s="50">
        <v>46</v>
      </c>
      <c r="E41" s="50">
        <v>10</v>
      </c>
      <c r="F41" s="50">
        <v>5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106</v>
      </c>
      <c r="P41" s="15">
        <f t="shared" si="1"/>
        <v>126</v>
      </c>
    </row>
    <row r="42" spans="2:20" ht="23.1" customHeight="1" x14ac:dyDescent="0.25">
      <c r="B42" s="24" t="s">
        <v>69</v>
      </c>
      <c r="C42" s="50">
        <v>71</v>
      </c>
      <c r="D42" s="50">
        <v>57</v>
      </c>
      <c r="E42" s="50">
        <v>15</v>
      </c>
      <c r="F42" s="50">
        <v>4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60</v>
      </c>
      <c r="N42" s="50">
        <v>1</v>
      </c>
      <c r="O42" s="15">
        <f t="shared" si="0"/>
        <v>152</v>
      </c>
      <c r="P42" s="15">
        <f t="shared" si="1"/>
        <v>212</v>
      </c>
    </row>
    <row r="43" spans="2:20" ht="23.1" customHeight="1" x14ac:dyDescent="0.25">
      <c r="B43" s="23" t="s">
        <v>70</v>
      </c>
      <c r="C43" s="50">
        <v>64</v>
      </c>
      <c r="D43" s="50">
        <v>72</v>
      </c>
      <c r="E43" s="50">
        <v>18</v>
      </c>
      <c r="F43" s="50">
        <v>9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44</v>
      </c>
      <c r="N43" s="50">
        <v>0</v>
      </c>
      <c r="O43" s="15">
        <f t="shared" si="0"/>
        <v>167</v>
      </c>
      <c r="P43" s="15">
        <f t="shared" si="1"/>
        <v>211</v>
      </c>
    </row>
    <row r="44" spans="2:20" ht="23.1" customHeight="1" x14ac:dyDescent="0.25">
      <c r="B44" s="25" t="s">
        <v>71</v>
      </c>
      <c r="C44" s="50">
        <v>100</v>
      </c>
      <c r="D44" s="50">
        <v>85</v>
      </c>
      <c r="E44" s="50">
        <v>10</v>
      </c>
      <c r="F44" s="50">
        <v>8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203</v>
      </c>
      <c r="P44" s="15">
        <f t="shared" si="1"/>
        <v>243</v>
      </c>
    </row>
    <row r="45" spans="2:20" ht="23.1" customHeight="1" x14ac:dyDescent="0.25">
      <c r="B45" s="23" t="s">
        <v>72</v>
      </c>
      <c r="C45" s="50">
        <v>106</v>
      </c>
      <c r="D45" s="50">
        <v>68</v>
      </c>
      <c r="E45" s="50">
        <v>23</v>
      </c>
      <c r="F45" s="50">
        <v>6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0</v>
      </c>
      <c r="M45" s="50">
        <v>66</v>
      </c>
      <c r="N45" s="50">
        <v>0</v>
      </c>
      <c r="O45" s="15">
        <f t="shared" si="0"/>
        <v>208</v>
      </c>
      <c r="P45" s="15">
        <f t="shared" si="1"/>
        <v>274</v>
      </c>
    </row>
    <row r="46" spans="2:20" ht="23.1" customHeight="1" x14ac:dyDescent="0.25">
      <c r="B46" s="24" t="s">
        <v>73</v>
      </c>
      <c r="C46" s="50">
        <v>121</v>
      </c>
      <c r="D46" s="50">
        <v>88</v>
      </c>
      <c r="E46" s="50">
        <v>17</v>
      </c>
      <c r="F46" s="50">
        <v>12</v>
      </c>
      <c r="G46" s="50">
        <v>0</v>
      </c>
      <c r="H46" s="50">
        <v>1</v>
      </c>
      <c r="I46" s="50">
        <v>3</v>
      </c>
      <c r="J46" s="50">
        <v>0</v>
      </c>
      <c r="K46" s="50">
        <v>0</v>
      </c>
      <c r="L46" s="50">
        <v>0</v>
      </c>
      <c r="M46" s="50">
        <v>62</v>
      </c>
      <c r="N46" s="50">
        <v>0</v>
      </c>
      <c r="O46" s="15">
        <f t="shared" si="0"/>
        <v>242</v>
      </c>
      <c r="P46" s="15">
        <f t="shared" si="1"/>
        <v>304</v>
      </c>
      <c r="R46" s="8"/>
      <c r="T46"/>
    </row>
    <row r="47" spans="2:20" ht="23.1" customHeight="1" x14ac:dyDescent="0.25">
      <c r="B47" s="24" t="s">
        <v>74</v>
      </c>
      <c r="C47" s="50">
        <v>129</v>
      </c>
      <c r="D47" s="50">
        <v>106</v>
      </c>
      <c r="E47" s="50">
        <v>12</v>
      </c>
      <c r="F47" s="50">
        <v>11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58</v>
      </c>
      <c r="N47" s="50">
        <v>0</v>
      </c>
      <c r="O47" s="15">
        <f t="shared" si="0"/>
        <v>259</v>
      </c>
      <c r="P47" s="15">
        <f t="shared" si="1"/>
        <v>317</v>
      </c>
      <c r="R47" s="8"/>
      <c r="T47"/>
    </row>
    <row r="48" spans="2:20" ht="23.1" customHeight="1" x14ac:dyDescent="0.25">
      <c r="B48" s="24" t="s">
        <v>75</v>
      </c>
      <c r="C48" s="50">
        <v>125</v>
      </c>
      <c r="D48" s="50">
        <v>117</v>
      </c>
      <c r="E48" s="50">
        <v>33</v>
      </c>
      <c r="F48" s="50">
        <v>12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59</v>
      </c>
      <c r="N48" s="50">
        <v>0</v>
      </c>
      <c r="O48" s="15">
        <f t="shared" si="0"/>
        <v>289</v>
      </c>
      <c r="P48" s="15">
        <f t="shared" si="1"/>
        <v>348</v>
      </c>
      <c r="R48" s="8"/>
      <c r="T48"/>
    </row>
    <row r="49" spans="2:20" ht="23.1" customHeight="1" x14ac:dyDescent="0.25">
      <c r="B49" s="23" t="s">
        <v>76</v>
      </c>
      <c r="C49" s="50">
        <v>108</v>
      </c>
      <c r="D49" s="50">
        <v>132</v>
      </c>
      <c r="E49" s="50">
        <v>11</v>
      </c>
      <c r="F49" s="50">
        <v>3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51</v>
      </c>
      <c r="N49" s="50">
        <v>0</v>
      </c>
      <c r="O49" s="15">
        <f t="shared" si="0"/>
        <v>256</v>
      </c>
      <c r="P49" s="15">
        <f t="shared" si="1"/>
        <v>307</v>
      </c>
      <c r="R49" s="8"/>
      <c r="T49"/>
    </row>
    <row r="50" spans="2:20" ht="23.1" customHeight="1" x14ac:dyDescent="0.25">
      <c r="B50" s="24" t="s">
        <v>77</v>
      </c>
      <c r="C50" s="50">
        <v>111</v>
      </c>
      <c r="D50" s="50">
        <v>102</v>
      </c>
      <c r="E50" s="50">
        <v>26</v>
      </c>
      <c r="F50" s="50">
        <v>11</v>
      </c>
      <c r="G50" s="50">
        <v>0</v>
      </c>
      <c r="H50" s="50">
        <v>0</v>
      </c>
      <c r="I50" s="50">
        <v>5</v>
      </c>
      <c r="J50" s="50">
        <v>0</v>
      </c>
      <c r="K50" s="50">
        <v>1</v>
      </c>
      <c r="L50" s="50">
        <v>0</v>
      </c>
      <c r="M50" s="50">
        <v>55</v>
      </c>
      <c r="N50" s="50">
        <v>0</v>
      </c>
      <c r="O50" s="15">
        <f t="shared" si="0"/>
        <v>256</v>
      </c>
      <c r="P50" s="15">
        <f t="shared" si="1"/>
        <v>311</v>
      </c>
      <c r="R50" s="8"/>
      <c r="T50"/>
    </row>
    <row r="51" spans="2:20" ht="23.1" customHeight="1" x14ac:dyDescent="0.25">
      <c r="B51" s="24" t="s">
        <v>78</v>
      </c>
      <c r="C51" s="50">
        <v>81</v>
      </c>
      <c r="D51" s="50">
        <v>123</v>
      </c>
      <c r="E51" s="50">
        <v>25</v>
      </c>
      <c r="F51" s="50">
        <v>15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0</v>
      </c>
      <c r="M51" s="50">
        <v>51</v>
      </c>
      <c r="N51" s="50">
        <v>0</v>
      </c>
      <c r="O51" s="15">
        <f t="shared" si="0"/>
        <v>248</v>
      </c>
      <c r="P51" s="15">
        <f t="shared" si="1"/>
        <v>299</v>
      </c>
      <c r="R51" s="8"/>
      <c r="T51"/>
    </row>
    <row r="52" spans="2:20" ht="23.1" customHeight="1" x14ac:dyDescent="0.25">
      <c r="B52" s="24" t="s">
        <v>79</v>
      </c>
      <c r="C52" s="50">
        <v>104</v>
      </c>
      <c r="D52" s="50">
        <v>114</v>
      </c>
      <c r="E52" s="50">
        <v>20</v>
      </c>
      <c r="F52" s="50">
        <v>20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81</v>
      </c>
      <c r="N52" s="50">
        <v>0</v>
      </c>
      <c r="O52" s="15">
        <f t="shared" si="0"/>
        <v>261</v>
      </c>
      <c r="P52" s="15">
        <f t="shared" si="1"/>
        <v>342</v>
      </c>
      <c r="R52" s="8"/>
      <c r="T52"/>
    </row>
    <row r="53" spans="2:20" ht="23.1" customHeight="1" x14ac:dyDescent="0.25">
      <c r="B53" s="23" t="s">
        <v>80</v>
      </c>
      <c r="C53" s="50">
        <v>225</v>
      </c>
      <c r="D53" s="50">
        <v>180</v>
      </c>
      <c r="E53" s="50">
        <v>16</v>
      </c>
      <c r="F53" s="50">
        <v>13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435</v>
      </c>
      <c r="P53" s="15">
        <f t="shared" si="1"/>
        <v>490</v>
      </c>
      <c r="R53" s="8"/>
      <c r="T53"/>
    </row>
    <row r="54" spans="2:20" ht="23.1" customHeight="1" x14ac:dyDescent="0.25">
      <c r="B54" s="23" t="s">
        <v>81</v>
      </c>
      <c r="C54" s="50">
        <v>108</v>
      </c>
      <c r="D54" s="50">
        <v>72</v>
      </c>
      <c r="E54" s="50">
        <v>23</v>
      </c>
      <c r="F54" s="50">
        <v>20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90</v>
      </c>
      <c r="N54" s="50">
        <v>0</v>
      </c>
      <c r="O54" s="15">
        <f t="shared" si="0"/>
        <v>224</v>
      </c>
      <c r="P54" s="15">
        <f t="shared" si="1"/>
        <v>314</v>
      </c>
      <c r="R54" s="8"/>
      <c r="T54"/>
    </row>
    <row r="55" spans="2:20" ht="23.1" customHeight="1" x14ac:dyDescent="0.25">
      <c r="B55" s="23" t="s">
        <v>82</v>
      </c>
      <c r="C55" s="50">
        <v>79</v>
      </c>
      <c r="D55" s="50">
        <v>112</v>
      </c>
      <c r="E55" s="50">
        <v>22</v>
      </c>
      <c r="F55" s="50">
        <v>15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84</v>
      </c>
      <c r="N55" s="50">
        <v>0</v>
      </c>
      <c r="O55" s="15">
        <f t="shared" si="0"/>
        <v>230</v>
      </c>
      <c r="P55" s="15">
        <f t="shared" si="1"/>
        <v>314</v>
      </c>
      <c r="R55" s="8"/>
      <c r="T55"/>
    </row>
    <row r="56" spans="2:20" ht="23.1" customHeight="1" x14ac:dyDescent="0.25">
      <c r="B56" s="23" t="s">
        <v>83</v>
      </c>
      <c r="C56" s="50">
        <v>92</v>
      </c>
      <c r="D56" s="50">
        <v>103</v>
      </c>
      <c r="E56" s="50">
        <v>12</v>
      </c>
      <c r="F56" s="50">
        <v>9</v>
      </c>
      <c r="G56" s="50">
        <v>0</v>
      </c>
      <c r="H56" s="50">
        <v>0</v>
      </c>
      <c r="I56" s="50">
        <v>3</v>
      </c>
      <c r="J56" s="50">
        <v>0</v>
      </c>
      <c r="K56" s="50">
        <v>1</v>
      </c>
      <c r="L56" s="50">
        <v>0</v>
      </c>
      <c r="M56" s="50">
        <v>75</v>
      </c>
      <c r="N56" s="50">
        <v>0</v>
      </c>
      <c r="O56" s="15">
        <f t="shared" si="0"/>
        <v>220</v>
      </c>
      <c r="P56" s="15">
        <f t="shared" si="1"/>
        <v>295</v>
      </c>
      <c r="R56" s="8"/>
      <c r="T56"/>
    </row>
    <row r="57" spans="2:20" ht="23.1" customHeight="1" x14ac:dyDescent="0.25">
      <c r="B57" s="23" t="s">
        <v>84</v>
      </c>
      <c r="C57" s="50">
        <v>94</v>
      </c>
      <c r="D57" s="50">
        <v>95</v>
      </c>
      <c r="E57" s="50">
        <v>14</v>
      </c>
      <c r="F57" s="50">
        <v>7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31</v>
      </c>
      <c r="N57" s="50">
        <v>0</v>
      </c>
      <c r="O57" s="15">
        <f t="shared" si="0"/>
        <v>210</v>
      </c>
      <c r="P57" s="15">
        <f t="shared" si="1"/>
        <v>241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3084</v>
      </c>
      <c r="D58" s="16">
        <f t="shared" si="21"/>
        <v>2822</v>
      </c>
      <c r="E58" s="16">
        <f t="shared" si="21"/>
        <v>651</v>
      </c>
      <c r="F58" s="16">
        <f t="shared" si="21"/>
        <v>424</v>
      </c>
      <c r="G58" s="16">
        <f t="shared" si="21"/>
        <v>7</v>
      </c>
      <c r="H58" s="16">
        <f t="shared" si="21"/>
        <v>4</v>
      </c>
      <c r="I58" s="16">
        <f t="shared" si="21"/>
        <v>100</v>
      </c>
      <c r="J58" s="16">
        <f t="shared" si="21"/>
        <v>35</v>
      </c>
      <c r="K58" s="16">
        <f t="shared" si="21"/>
        <v>9</v>
      </c>
      <c r="L58" s="16">
        <f t="shared" si="21"/>
        <v>1</v>
      </c>
      <c r="M58" s="16">
        <f t="shared" si="21"/>
        <v>3007</v>
      </c>
      <c r="N58" s="16">
        <f t="shared" si="21"/>
        <v>4</v>
      </c>
      <c r="O58" s="16">
        <f t="shared" si="21"/>
        <v>7141</v>
      </c>
      <c r="P58" s="16">
        <f t="shared" si="21"/>
        <v>10148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0.30390224674812771</v>
      </c>
      <c r="D59" s="43">
        <f t="shared" si="22"/>
        <v>0.27808435159637368</v>
      </c>
      <c r="E59" s="43">
        <f t="shared" si="22"/>
        <v>6.4150571541190388E-2</v>
      </c>
      <c r="F59" s="43">
        <f t="shared" si="22"/>
        <v>4.1781631848640123E-2</v>
      </c>
      <c r="G59" s="43">
        <f t="shared" si="22"/>
        <v>6.8979109184075682E-4</v>
      </c>
      <c r="H59" s="43">
        <f t="shared" si="22"/>
        <v>3.9416633819471815E-4</v>
      </c>
      <c r="I59" s="43">
        <f t="shared" si="22"/>
        <v>9.8541584548679541E-3</v>
      </c>
      <c r="J59" s="43">
        <f t="shared" si="22"/>
        <v>3.448955459203784E-3</v>
      </c>
      <c r="K59" s="43">
        <f t="shared" si="22"/>
        <v>8.868742609381159E-4</v>
      </c>
      <c r="L59" s="43">
        <f t="shared" si="22"/>
        <v>9.8541584548679539E-5</v>
      </c>
      <c r="M59" s="43">
        <f t="shared" si="22"/>
        <v>0.29631454473787938</v>
      </c>
      <c r="N59" s="43">
        <f t="shared" si="22"/>
        <v>3.9416633819471815E-4</v>
      </c>
      <c r="R59" s="8"/>
      <c r="T59"/>
    </row>
    <row r="60" spans="2:20" ht="23.1" customHeight="1" x14ac:dyDescent="0.25">
      <c r="B60" s="42" t="s">
        <v>94</v>
      </c>
      <c r="C60" s="44">
        <f>C58/$O$58</f>
        <v>0.43187228679456657</v>
      </c>
      <c r="D60" s="44">
        <f t="shared" ref="D60:N60" si="23">D58/$O$58</f>
        <v>0.39518274751435373</v>
      </c>
      <c r="E60" s="44">
        <f t="shared" si="23"/>
        <v>9.1163702562666288E-2</v>
      </c>
      <c r="F60" s="44">
        <f t="shared" si="23"/>
        <v>5.9375437613779586E-2</v>
      </c>
      <c r="G60" s="44">
        <f t="shared" si="23"/>
        <v>9.8025486626522888E-4</v>
      </c>
      <c r="H60" s="44">
        <f t="shared" si="23"/>
        <v>5.6014563786584517E-4</v>
      </c>
      <c r="I60" s="44">
        <f t="shared" si="23"/>
        <v>1.4003640946646127E-2</v>
      </c>
      <c r="J60" s="44">
        <f t="shared" si="23"/>
        <v>4.9012743313261451E-3</v>
      </c>
      <c r="K60" s="44">
        <f t="shared" si="23"/>
        <v>1.2603276851981516E-3</v>
      </c>
      <c r="L60" s="44">
        <f t="shared" si="23"/>
        <v>1.4003640946646129E-4</v>
      </c>
      <c r="M60" s="44"/>
      <c r="N60" s="44">
        <f t="shared" si="23"/>
        <v>5.6014563786584517E-4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192</v>
      </c>
      <c r="E5" s="3"/>
      <c r="F5" s="41" t="s">
        <v>1</v>
      </c>
      <c r="G5" s="63" t="str">
        <f>'29.07 Naguru-Nakawa'!G5:H5</f>
        <v>NAGURU POLICE HEAD QUARTER</v>
      </c>
      <c r="H5" s="64"/>
      <c r="I5" s="14"/>
      <c r="J5" s="2" t="s">
        <v>5</v>
      </c>
      <c r="K5" s="63" t="s">
        <v>193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75</v>
      </c>
      <c r="D10" s="50">
        <v>16</v>
      </c>
      <c r="E10" s="50">
        <v>8</v>
      </c>
      <c r="F10" s="50">
        <v>15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57" si="0">SUM(C10:L10,N10)</f>
        <v>114</v>
      </c>
      <c r="P10" s="15">
        <f t="shared" ref="P10:P57" si="1">SUM(C10:N10)</f>
        <v>144</v>
      </c>
      <c r="R10" s="1" t="s">
        <v>6</v>
      </c>
      <c r="S10" s="17">
        <f t="shared" ref="S10:AF10" si="2">SUM(C10:C13)</f>
        <v>620</v>
      </c>
      <c r="T10" s="17">
        <f t="shared" si="2"/>
        <v>90</v>
      </c>
      <c r="U10" s="17">
        <f t="shared" si="2"/>
        <v>41</v>
      </c>
      <c r="V10" s="17">
        <f t="shared" si="2"/>
        <v>48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280</v>
      </c>
      <c r="AD10" s="17">
        <f t="shared" si="2"/>
        <v>0</v>
      </c>
      <c r="AE10" s="31">
        <f t="shared" si="2"/>
        <v>805</v>
      </c>
      <c r="AF10" s="31">
        <f t="shared" si="2"/>
        <v>1085</v>
      </c>
    </row>
    <row r="11" spans="2:32" s="6" customFormat="1" ht="23.1" customHeight="1" x14ac:dyDescent="0.25">
      <c r="B11" s="23" t="s">
        <v>38</v>
      </c>
      <c r="C11" s="50">
        <v>115</v>
      </c>
      <c r="D11" s="50">
        <v>10</v>
      </c>
      <c r="E11" s="50">
        <v>9</v>
      </c>
      <c r="F11" s="50">
        <v>8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73</v>
      </c>
      <c r="N11" s="50">
        <v>0</v>
      </c>
      <c r="O11" s="15">
        <f t="shared" si="0"/>
        <v>144</v>
      </c>
      <c r="P11" s="15">
        <f t="shared" si="1"/>
        <v>217</v>
      </c>
      <c r="R11" s="1" t="s">
        <v>7</v>
      </c>
      <c r="S11" s="17">
        <f t="shared" ref="S11:AF11" si="3">SUM(C14:C17)</f>
        <v>660</v>
      </c>
      <c r="T11" s="17">
        <f t="shared" si="3"/>
        <v>155</v>
      </c>
      <c r="U11" s="17">
        <f t="shared" si="3"/>
        <v>64</v>
      </c>
      <c r="V11" s="17">
        <f t="shared" si="3"/>
        <v>73</v>
      </c>
      <c r="W11" s="17">
        <f t="shared" si="3"/>
        <v>0</v>
      </c>
      <c r="X11" s="17">
        <f t="shared" si="3"/>
        <v>1</v>
      </c>
      <c r="Y11" s="17">
        <f t="shared" si="3"/>
        <v>11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450</v>
      </c>
      <c r="AD11" s="17">
        <f t="shared" si="3"/>
        <v>0</v>
      </c>
      <c r="AE11" s="31">
        <f t="shared" si="3"/>
        <v>969</v>
      </c>
      <c r="AF11" s="31">
        <f t="shared" si="3"/>
        <v>1419</v>
      </c>
    </row>
    <row r="12" spans="2:32" ht="23.1" customHeight="1" x14ac:dyDescent="0.25">
      <c r="B12" s="23" t="s">
        <v>39</v>
      </c>
      <c r="C12" s="50">
        <v>205</v>
      </c>
      <c r="D12" s="50">
        <v>36</v>
      </c>
      <c r="E12" s="50">
        <v>10</v>
      </c>
      <c r="F12" s="50">
        <v>15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63</v>
      </c>
      <c r="N12" s="50">
        <v>0</v>
      </c>
      <c r="O12" s="15">
        <f t="shared" si="0"/>
        <v>266</v>
      </c>
      <c r="P12" s="15">
        <f t="shared" si="1"/>
        <v>329</v>
      </c>
      <c r="R12" s="1" t="s">
        <v>8</v>
      </c>
      <c r="S12" s="17">
        <f t="shared" ref="S12:AF12" si="4">SUM(C18:C21)</f>
        <v>385</v>
      </c>
      <c r="T12" s="17">
        <f t="shared" si="4"/>
        <v>138</v>
      </c>
      <c r="U12" s="17">
        <f t="shared" si="4"/>
        <v>51</v>
      </c>
      <c r="V12" s="17">
        <f t="shared" si="4"/>
        <v>50</v>
      </c>
      <c r="W12" s="17">
        <f t="shared" si="4"/>
        <v>0</v>
      </c>
      <c r="X12" s="17">
        <f t="shared" si="4"/>
        <v>0</v>
      </c>
      <c r="Y12" s="17">
        <f t="shared" si="4"/>
        <v>21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360</v>
      </c>
      <c r="AD12" s="17">
        <f t="shared" si="4"/>
        <v>0</v>
      </c>
      <c r="AE12" s="31">
        <f t="shared" si="4"/>
        <v>651</v>
      </c>
      <c r="AF12" s="31">
        <f t="shared" si="4"/>
        <v>1011</v>
      </c>
    </row>
    <row r="13" spans="2:32" ht="23.1" customHeight="1" x14ac:dyDescent="0.25">
      <c r="B13" s="23" t="s">
        <v>40</v>
      </c>
      <c r="C13" s="50">
        <v>225</v>
      </c>
      <c r="D13" s="50">
        <v>28</v>
      </c>
      <c r="E13" s="50">
        <v>14</v>
      </c>
      <c r="F13" s="50">
        <v>10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114</v>
      </c>
      <c r="N13" s="50">
        <v>0</v>
      </c>
      <c r="O13" s="15">
        <f t="shared" si="0"/>
        <v>281</v>
      </c>
      <c r="P13" s="15">
        <f t="shared" si="1"/>
        <v>395</v>
      </c>
      <c r="R13" s="1" t="s">
        <v>9</v>
      </c>
      <c r="S13" s="17">
        <f t="shared" ref="S13:AF13" si="5">SUM(C22:C25)</f>
        <v>491</v>
      </c>
      <c r="T13" s="17">
        <f t="shared" si="5"/>
        <v>90</v>
      </c>
      <c r="U13" s="17">
        <f t="shared" si="5"/>
        <v>49</v>
      </c>
      <c r="V13" s="17">
        <f t="shared" si="5"/>
        <v>42</v>
      </c>
      <c r="W13" s="17">
        <f t="shared" si="5"/>
        <v>0</v>
      </c>
      <c r="X13" s="17">
        <f t="shared" si="5"/>
        <v>0</v>
      </c>
      <c r="Y13" s="17">
        <f t="shared" si="5"/>
        <v>18</v>
      </c>
      <c r="Z13" s="17">
        <f t="shared" si="5"/>
        <v>10</v>
      </c>
      <c r="AA13" s="17">
        <f t="shared" si="5"/>
        <v>0</v>
      </c>
      <c r="AB13" s="17">
        <f t="shared" si="5"/>
        <v>0</v>
      </c>
      <c r="AC13" s="17">
        <f t="shared" si="5"/>
        <v>314</v>
      </c>
      <c r="AD13" s="17">
        <f t="shared" si="5"/>
        <v>0</v>
      </c>
      <c r="AE13" s="31">
        <f t="shared" si="5"/>
        <v>700</v>
      </c>
      <c r="AF13" s="31">
        <f t="shared" si="5"/>
        <v>1014</v>
      </c>
    </row>
    <row r="14" spans="2:32" ht="23.1" customHeight="1" x14ac:dyDescent="0.25">
      <c r="B14" s="23" t="s">
        <v>41</v>
      </c>
      <c r="C14" s="50">
        <v>155</v>
      </c>
      <c r="D14" s="50">
        <v>45</v>
      </c>
      <c r="E14" s="50">
        <v>22</v>
      </c>
      <c r="F14" s="50">
        <v>19</v>
      </c>
      <c r="G14" s="50">
        <v>0</v>
      </c>
      <c r="H14" s="50">
        <v>1</v>
      </c>
      <c r="I14" s="50">
        <v>2</v>
      </c>
      <c r="J14" s="50">
        <v>0</v>
      </c>
      <c r="K14" s="50">
        <v>0</v>
      </c>
      <c r="L14" s="50">
        <v>0</v>
      </c>
      <c r="M14" s="50">
        <v>109</v>
      </c>
      <c r="N14" s="50">
        <v>0</v>
      </c>
      <c r="O14" s="15">
        <f t="shared" si="0"/>
        <v>244</v>
      </c>
      <c r="P14" s="15">
        <f t="shared" si="1"/>
        <v>353</v>
      </c>
      <c r="R14" s="1" t="s">
        <v>10</v>
      </c>
      <c r="S14" s="17">
        <f t="shared" ref="S14:AF14" si="6">SUM(C26:C29)</f>
        <v>395</v>
      </c>
      <c r="T14" s="17">
        <f t="shared" si="6"/>
        <v>90</v>
      </c>
      <c r="U14" s="17">
        <f t="shared" si="6"/>
        <v>51</v>
      </c>
      <c r="V14" s="17">
        <f t="shared" si="6"/>
        <v>37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4</v>
      </c>
      <c r="AA14" s="17">
        <f t="shared" si="6"/>
        <v>2</v>
      </c>
      <c r="AB14" s="17">
        <f t="shared" si="6"/>
        <v>0</v>
      </c>
      <c r="AC14" s="17">
        <f t="shared" si="6"/>
        <v>241</v>
      </c>
      <c r="AD14" s="17">
        <f t="shared" si="6"/>
        <v>0</v>
      </c>
      <c r="AE14" s="31">
        <f t="shared" si="6"/>
        <v>590</v>
      </c>
      <c r="AF14" s="31">
        <f t="shared" si="6"/>
        <v>831</v>
      </c>
    </row>
    <row r="15" spans="2:32" ht="23.1" customHeight="1" x14ac:dyDescent="0.25">
      <c r="B15" s="23" t="s">
        <v>42</v>
      </c>
      <c r="C15" s="50">
        <v>200</v>
      </c>
      <c r="D15" s="50">
        <v>35</v>
      </c>
      <c r="E15" s="50">
        <v>14</v>
      </c>
      <c r="F15" s="50">
        <v>18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128</v>
      </c>
      <c r="N15" s="50">
        <v>0</v>
      </c>
      <c r="O15" s="15">
        <f t="shared" si="0"/>
        <v>272</v>
      </c>
      <c r="P15" s="15">
        <f t="shared" si="1"/>
        <v>400</v>
      </c>
      <c r="R15" s="1" t="s">
        <v>11</v>
      </c>
      <c r="S15" s="17">
        <f t="shared" ref="S15:AF15" si="7">SUM(C30:C33)</f>
        <v>455</v>
      </c>
      <c r="T15" s="17">
        <f t="shared" si="7"/>
        <v>88</v>
      </c>
      <c r="U15" s="17">
        <f t="shared" si="7"/>
        <v>47</v>
      </c>
      <c r="V15" s="17">
        <f t="shared" si="7"/>
        <v>41</v>
      </c>
      <c r="W15" s="17">
        <f t="shared" si="7"/>
        <v>0</v>
      </c>
      <c r="X15" s="17">
        <f t="shared" si="7"/>
        <v>0</v>
      </c>
      <c r="Y15" s="17">
        <f t="shared" si="7"/>
        <v>17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298</v>
      </c>
      <c r="AD15" s="17">
        <f t="shared" si="7"/>
        <v>0</v>
      </c>
      <c r="AE15" s="31">
        <f t="shared" si="7"/>
        <v>650</v>
      </c>
      <c r="AF15" s="31">
        <f t="shared" si="7"/>
        <v>948</v>
      </c>
    </row>
    <row r="16" spans="2:32" ht="23.1" customHeight="1" x14ac:dyDescent="0.25">
      <c r="B16" s="23" t="s">
        <v>43</v>
      </c>
      <c r="C16" s="50">
        <v>170</v>
      </c>
      <c r="D16" s="50">
        <v>36</v>
      </c>
      <c r="E16" s="50">
        <v>13</v>
      </c>
      <c r="F16" s="50">
        <v>20</v>
      </c>
      <c r="G16" s="50">
        <v>0</v>
      </c>
      <c r="H16" s="50">
        <v>0</v>
      </c>
      <c r="I16" s="50">
        <v>4</v>
      </c>
      <c r="J16" s="50">
        <v>2</v>
      </c>
      <c r="K16" s="50">
        <v>0</v>
      </c>
      <c r="L16" s="50">
        <v>0</v>
      </c>
      <c r="M16" s="50">
        <v>120</v>
      </c>
      <c r="N16" s="50">
        <v>0</v>
      </c>
      <c r="O16" s="15">
        <f t="shared" si="0"/>
        <v>245</v>
      </c>
      <c r="P16" s="15">
        <f t="shared" si="1"/>
        <v>365</v>
      </c>
      <c r="R16" s="1" t="s">
        <v>12</v>
      </c>
      <c r="S16" s="17">
        <f t="shared" ref="S16:AF16" si="8">SUM(C34:C37)</f>
        <v>350</v>
      </c>
      <c r="T16" s="17">
        <f t="shared" si="8"/>
        <v>114</v>
      </c>
      <c r="U16" s="17">
        <f t="shared" si="8"/>
        <v>35</v>
      </c>
      <c r="V16" s="17">
        <f t="shared" si="8"/>
        <v>35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230</v>
      </c>
      <c r="AD16" s="17">
        <f t="shared" si="8"/>
        <v>0</v>
      </c>
      <c r="AE16" s="31">
        <f t="shared" si="8"/>
        <v>555</v>
      </c>
      <c r="AF16" s="31">
        <f t="shared" si="8"/>
        <v>785</v>
      </c>
    </row>
    <row r="17" spans="2:32" ht="23.1" customHeight="1" x14ac:dyDescent="0.25">
      <c r="B17" s="23" t="s">
        <v>44</v>
      </c>
      <c r="C17" s="50">
        <v>135</v>
      </c>
      <c r="D17" s="50">
        <v>39</v>
      </c>
      <c r="E17" s="50">
        <v>15</v>
      </c>
      <c r="F17" s="50">
        <v>16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93</v>
      </c>
      <c r="N17" s="50">
        <v>0</v>
      </c>
      <c r="O17" s="15">
        <f t="shared" si="0"/>
        <v>208</v>
      </c>
      <c r="P17" s="15">
        <f t="shared" si="1"/>
        <v>301</v>
      </c>
      <c r="R17" s="1" t="s">
        <v>13</v>
      </c>
      <c r="S17" s="17">
        <f t="shared" ref="S17:AF17" si="9">SUM(C38:C41)</f>
        <v>261</v>
      </c>
      <c r="T17" s="17">
        <f t="shared" si="9"/>
        <v>84</v>
      </c>
      <c r="U17" s="17">
        <f t="shared" si="9"/>
        <v>25</v>
      </c>
      <c r="V17" s="17">
        <f t="shared" si="9"/>
        <v>30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223</v>
      </c>
      <c r="AD17" s="17">
        <f t="shared" si="9"/>
        <v>0</v>
      </c>
      <c r="AE17" s="31">
        <f t="shared" si="9"/>
        <v>418</v>
      </c>
      <c r="AF17" s="31">
        <f t="shared" si="9"/>
        <v>641</v>
      </c>
    </row>
    <row r="18" spans="2:32" ht="23.1" customHeight="1" x14ac:dyDescent="0.25">
      <c r="B18" s="23" t="s">
        <v>45</v>
      </c>
      <c r="C18" s="50">
        <v>105</v>
      </c>
      <c r="D18" s="50">
        <v>40</v>
      </c>
      <c r="E18" s="50">
        <v>18</v>
      </c>
      <c r="F18" s="50">
        <v>22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99</v>
      </c>
      <c r="N18" s="50">
        <v>0</v>
      </c>
      <c r="O18" s="15">
        <f t="shared" si="0"/>
        <v>188</v>
      </c>
      <c r="P18" s="15">
        <f t="shared" si="1"/>
        <v>287</v>
      </c>
      <c r="R18" s="1" t="s">
        <v>14</v>
      </c>
      <c r="S18" s="17">
        <f t="shared" ref="S18:AF18" si="10">SUM(C42:C45)</f>
        <v>320</v>
      </c>
      <c r="T18" s="17">
        <f t="shared" si="10"/>
        <v>77</v>
      </c>
      <c r="U18" s="17">
        <f t="shared" si="10"/>
        <v>40</v>
      </c>
      <c r="V18" s="17">
        <f t="shared" si="10"/>
        <v>35</v>
      </c>
      <c r="W18" s="17">
        <f t="shared" si="10"/>
        <v>0</v>
      </c>
      <c r="X18" s="17">
        <f t="shared" si="10"/>
        <v>0</v>
      </c>
      <c r="Y18" s="17">
        <f t="shared" si="10"/>
        <v>16</v>
      </c>
      <c r="Z18" s="17">
        <f t="shared" si="10"/>
        <v>4</v>
      </c>
      <c r="AA18" s="17">
        <f t="shared" si="10"/>
        <v>2</v>
      </c>
      <c r="AB18" s="17">
        <f t="shared" si="10"/>
        <v>1</v>
      </c>
      <c r="AC18" s="17">
        <f t="shared" si="10"/>
        <v>256</v>
      </c>
      <c r="AD18" s="17">
        <f t="shared" si="10"/>
        <v>0</v>
      </c>
      <c r="AE18" s="31">
        <f t="shared" si="10"/>
        <v>495</v>
      </c>
      <c r="AF18" s="31">
        <f t="shared" si="10"/>
        <v>751</v>
      </c>
    </row>
    <row r="19" spans="2:32" ht="23.1" customHeight="1" x14ac:dyDescent="0.25">
      <c r="B19" s="23" t="s">
        <v>46</v>
      </c>
      <c r="C19" s="50">
        <v>85</v>
      </c>
      <c r="D19" s="50">
        <v>21</v>
      </c>
      <c r="E19" s="50">
        <v>11</v>
      </c>
      <c r="F19" s="50">
        <v>6</v>
      </c>
      <c r="G19" s="50">
        <v>0</v>
      </c>
      <c r="H19" s="50">
        <v>0</v>
      </c>
      <c r="I19" s="50">
        <v>5</v>
      </c>
      <c r="J19" s="50">
        <v>0</v>
      </c>
      <c r="K19" s="50">
        <v>1</v>
      </c>
      <c r="L19" s="50">
        <v>0</v>
      </c>
      <c r="M19" s="50">
        <v>94</v>
      </c>
      <c r="N19" s="50">
        <v>0</v>
      </c>
      <c r="O19" s="15">
        <f t="shared" si="0"/>
        <v>129</v>
      </c>
      <c r="P19" s="15">
        <f t="shared" si="1"/>
        <v>223</v>
      </c>
      <c r="R19" s="1" t="s">
        <v>15</v>
      </c>
      <c r="S19" s="17">
        <f t="shared" ref="S19:AF19" si="11">SUM(C46:C49)</f>
        <v>336</v>
      </c>
      <c r="T19" s="17">
        <f t="shared" si="11"/>
        <v>75</v>
      </c>
      <c r="U19" s="17">
        <f t="shared" si="11"/>
        <v>43</v>
      </c>
      <c r="V19" s="17">
        <f t="shared" si="11"/>
        <v>32</v>
      </c>
      <c r="W19" s="17">
        <f t="shared" si="11"/>
        <v>1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287</v>
      </c>
      <c r="AD19" s="17">
        <f t="shared" si="11"/>
        <v>0</v>
      </c>
      <c r="AE19" s="31">
        <f t="shared" si="11"/>
        <v>495</v>
      </c>
      <c r="AF19" s="31">
        <f t="shared" si="11"/>
        <v>782</v>
      </c>
    </row>
    <row r="20" spans="2:32" ht="23.1" customHeight="1" x14ac:dyDescent="0.25">
      <c r="B20" s="23" t="s">
        <v>47</v>
      </c>
      <c r="C20" s="50">
        <v>100</v>
      </c>
      <c r="D20" s="50">
        <v>32</v>
      </c>
      <c r="E20" s="50">
        <v>9</v>
      </c>
      <c r="F20" s="50">
        <v>8</v>
      </c>
      <c r="G20" s="50">
        <v>0</v>
      </c>
      <c r="H20" s="50">
        <v>0</v>
      </c>
      <c r="I20" s="50">
        <v>7</v>
      </c>
      <c r="J20" s="50">
        <v>3</v>
      </c>
      <c r="K20" s="50">
        <v>0</v>
      </c>
      <c r="L20" s="50">
        <v>0</v>
      </c>
      <c r="M20" s="50">
        <v>87</v>
      </c>
      <c r="N20" s="50">
        <v>0</v>
      </c>
      <c r="O20" s="15">
        <f t="shared" si="0"/>
        <v>159</v>
      </c>
      <c r="P20" s="15">
        <f t="shared" si="1"/>
        <v>246</v>
      </c>
      <c r="R20" s="1" t="s">
        <v>16</v>
      </c>
      <c r="S20" s="17">
        <f t="shared" ref="S20:AF20" si="12">SUM(C50:C53)</f>
        <v>400</v>
      </c>
      <c r="T20" s="17">
        <f t="shared" si="12"/>
        <v>76</v>
      </c>
      <c r="U20" s="17">
        <f t="shared" si="12"/>
        <v>39</v>
      </c>
      <c r="V20" s="17">
        <f t="shared" si="12"/>
        <v>34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4</v>
      </c>
      <c r="AA20" s="17">
        <f t="shared" si="12"/>
        <v>2</v>
      </c>
      <c r="AB20" s="17">
        <f t="shared" si="12"/>
        <v>0</v>
      </c>
      <c r="AC20" s="17">
        <f t="shared" si="12"/>
        <v>405</v>
      </c>
      <c r="AD20" s="17">
        <f t="shared" si="12"/>
        <v>1</v>
      </c>
      <c r="AE20" s="31">
        <f t="shared" si="12"/>
        <v>565</v>
      </c>
      <c r="AF20" s="31">
        <f t="shared" si="12"/>
        <v>970</v>
      </c>
    </row>
    <row r="21" spans="2:32" ht="23.1" customHeight="1" x14ac:dyDescent="0.25">
      <c r="B21" s="23" t="s">
        <v>48</v>
      </c>
      <c r="C21" s="50">
        <v>95</v>
      </c>
      <c r="D21" s="50">
        <v>45</v>
      </c>
      <c r="E21" s="50">
        <v>13</v>
      </c>
      <c r="F21" s="50">
        <v>14</v>
      </c>
      <c r="G21" s="50">
        <v>0</v>
      </c>
      <c r="H21" s="50">
        <v>0</v>
      </c>
      <c r="I21" s="50">
        <v>7</v>
      </c>
      <c r="J21" s="50">
        <v>0</v>
      </c>
      <c r="K21" s="50">
        <v>1</v>
      </c>
      <c r="L21" s="50">
        <v>0</v>
      </c>
      <c r="M21" s="50">
        <v>80</v>
      </c>
      <c r="N21" s="50">
        <v>0</v>
      </c>
      <c r="O21" s="15">
        <f t="shared" si="0"/>
        <v>175</v>
      </c>
      <c r="P21" s="15">
        <f t="shared" si="1"/>
        <v>255</v>
      </c>
      <c r="R21" s="36" t="s">
        <v>20</v>
      </c>
      <c r="S21" s="34">
        <f t="shared" ref="S21:AF21" si="13">SUM(C54:C57)</f>
        <v>310</v>
      </c>
      <c r="T21" s="17">
        <f t="shared" si="13"/>
        <v>89</v>
      </c>
      <c r="U21" s="17">
        <f t="shared" si="13"/>
        <v>53</v>
      </c>
      <c r="V21" s="17">
        <f t="shared" si="13"/>
        <v>27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312</v>
      </c>
      <c r="AD21" s="17">
        <f t="shared" si="13"/>
        <v>0</v>
      </c>
      <c r="AE21" s="31">
        <f t="shared" si="13"/>
        <v>491</v>
      </c>
      <c r="AF21" s="31">
        <f t="shared" si="13"/>
        <v>803</v>
      </c>
    </row>
    <row r="22" spans="2:32" ht="23.1" customHeight="1" x14ac:dyDescent="0.25">
      <c r="B22" s="23" t="s">
        <v>49</v>
      </c>
      <c r="C22" s="50">
        <v>115</v>
      </c>
      <c r="D22" s="50">
        <v>11</v>
      </c>
      <c r="E22" s="50">
        <v>15</v>
      </c>
      <c r="F22" s="50">
        <v>10</v>
      </c>
      <c r="G22" s="50">
        <v>0</v>
      </c>
      <c r="H22" s="50">
        <v>0</v>
      </c>
      <c r="I22" s="50">
        <v>4</v>
      </c>
      <c r="J22" s="50">
        <v>2</v>
      </c>
      <c r="K22" s="50">
        <v>0</v>
      </c>
      <c r="L22" s="50">
        <v>0</v>
      </c>
      <c r="M22" s="50">
        <v>65</v>
      </c>
      <c r="N22" s="50">
        <v>0</v>
      </c>
      <c r="O22" s="15">
        <f t="shared" si="0"/>
        <v>157</v>
      </c>
      <c r="P22" s="15">
        <f t="shared" si="1"/>
        <v>222</v>
      </c>
      <c r="R22" s="38" t="s">
        <v>90</v>
      </c>
      <c r="S22" s="39">
        <f>MAX(S10:S12)</f>
        <v>660</v>
      </c>
      <c r="T22" s="39">
        <f t="shared" ref="T22:AF22" si="14">MAX(T10:T12)</f>
        <v>155</v>
      </c>
      <c r="U22" s="39">
        <f t="shared" si="14"/>
        <v>64</v>
      </c>
      <c r="V22" s="39">
        <f t="shared" si="14"/>
        <v>73</v>
      </c>
      <c r="W22" s="39">
        <f t="shared" si="14"/>
        <v>0</v>
      </c>
      <c r="X22" s="39">
        <f t="shared" si="14"/>
        <v>1</v>
      </c>
      <c r="Y22" s="39">
        <f t="shared" si="14"/>
        <v>21</v>
      </c>
      <c r="Z22" s="39">
        <f t="shared" si="14"/>
        <v>5</v>
      </c>
      <c r="AA22" s="39">
        <f t="shared" si="14"/>
        <v>2</v>
      </c>
      <c r="AB22" s="39">
        <f t="shared" si="14"/>
        <v>0</v>
      </c>
      <c r="AC22" s="39">
        <f t="shared" si="14"/>
        <v>450</v>
      </c>
      <c r="AD22" s="39">
        <f t="shared" si="14"/>
        <v>0</v>
      </c>
      <c r="AE22" s="40">
        <f t="shared" si="14"/>
        <v>969</v>
      </c>
      <c r="AF22" s="40">
        <f t="shared" si="14"/>
        <v>1419</v>
      </c>
    </row>
    <row r="23" spans="2:32" ht="23.1" customHeight="1" x14ac:dyDescent="0.25">
      <c r="B23" s="23" t="s">
        <v>50</v>
      </c>
      <c r="C23" s="50">
        <v>100</v>
      </c>
      <c r="D23" s="50">
        <v>27</v>
      </c>
      <c r="E23" s="50">
        <v>13</v>
      </c>
      <c r="F23" s="50">
        <v>5</v>
      </c>
      <c r="G23" s="50">
        <v>0</v>
      </c>
      <c r="H23" s="50">
        <v>0</v>
      </c>
      <c r="I23" s="50">
        <v>4</v>
      </c>
      <c r="J23" s="50">
        <v>2</v>
      </c>
      <c r="K23" s="50">
        <v>0</v>
      </c>
      <c r="L23" s="50">
        <v>0</v>
      </c>
      <c r="M23" s="50">
        <v>83</v>
      </c>
      <c r="N23" s="50">
        <v>0</v>
      </c>
      <c r="O23" s="15">
        <f t="shared" si="0"/>
        <v>151</v>
      </c>
      <c r="P23" s="15">
        <f t="shared" si="1"/>
        <v>234</v>
      </c>
      <c r="R23" s="38" t="s">
        <v>91</v>
      </c>
      <c r="S23" s="39">
        <f>MAX(S13:S18)</f>
        <v>491</v>
      </c>
      <c r="T23" s="39">
        <f t="shared" ref="T23:AF23" si="15">MAX(T13:T18)</f>
        <v>114</v>
      </c>
      <c r="U23" s="39">
        <f t="shared" si="15"/>
        <v>51</v>
      </c>
      <c r="V23" s="39">
        <f t="shared" si="15"/>
        <v>42</v>
      </c>
      <c r="W23" s="39">
        <f t="shared" si="15"/>
        <v>0</v>
      </c>
      <c r="X23" s="39">
        <f t="shared" si="15"/>
        <v>0</v>
      </c>
      <c r="Y23" s="39">
        <f t="shared" si="15"/>
        <v>18</v>
      </c>
      <c r="Z23" s="39">
        <f t="shared" si="15"/>
        <v>10</v>
      </c>
      <c r="AA23" s="39">
        <f t="shared" si="15"/>
        <v>2</v>
      </c>
      <c r="AB23" s="39">
        <f t="shared" si="15"/>
        <v>1</v>
      </c>
      <c r="AC23" s="39">
        <f t="shared" si="15"/>
        <v>314</v>
      </c>
      <c r="AD23" s="39">
        <f t="shared" si="15"/>
        <v>0</v>
      </c>
      <c r="AE23" s="40">
        <f t="shared" si="15"/>
        <v>700</v>
      </c>
      <c r="AF23" s="40">
        <f t="shared" si="15"/>
        <v>1014</v>
      </c>
    </row>
    <row r="24" spans="2:32" ht="23.1" customHeight="1" x14ac:dyDescent="0.25">
      <c r="B24" s="23" t="s">
        <v>51</v>
      </c>
      <c r="C24" s="50">
        <v>110</v>
      </c>
      <c r="D24" s="50">
        <v>32</v>
      </c>
      <c r="E24" s="50">
        <v>15</v>
      </c>
      <c r="F24" s="50">
        <v>12</v>
      </c>
      <c r="G24" s="50">
        <v>0</v>
      </c>
      <c r="H24" s="50">
        <v>0</v>
      </c>
      <c r="I24" s="50">
        <v>7</v>
      </c>
      <c r="J24" s="50">
        <v>1</v>
      </c>
      <c r="K24" s="50">
        <v>0</v>
      </c>
      <c r="L24" s="50">
        <v>0</v>
      </c>
      <c r="M24" s="50">
        <v>80</v>
      </c>
      <c r="N24" s="50">
        <v>0</v>
      </c>
      <c r="O24" s="15">
        <f t="shared" si="0"/>
        <v>177</v>
      </c>
      <c r="P24" s="15">
        <f t="shared" si="1"/>
        <v>257</v>
      </c>
      <c r="R24" s="38" t="s">
        <v>92</v>
      </c>
      <c r="S24" s="39">
        <f>MAX(S19:S21)</f>
        <v>400</v>
      </c>
      <c r="T24" s="39">
        <f t="shared" ref="T24:AF24" si="16">MAX(T19:T21)</f>
        <v>89</v>
      </c>
      <c r="U24" s="39">
        <f t="shared" si="16"/>
        <v>53</v>
      </c>
      <c r="V24" s="39">
        <f t="shared" si="16"/>
        <v>34</v>
      </c>
      <c r="W24" s="39">
        <f t="shared" si="16"/>
        <v>1</v>
      </c>
      <c r="X24" s="39">
        <f t="shared" si="16"/>
        <v>0</v>
      </c>
      <c r="Y24" s="39">
        <f t="shared" si="16"/>
        <v>9</v>
      </c>
      <c r="Z24" s="39">
        <f t="shared" si="16"/>
        <v>4</v>
      </c>
      <c r="AA24" s="39">
        <f t="shared" si="16"/>
        <v>2</v>
      </c>
      <c r="AB24" s="39">
        <f t="shared" si="16"/>
        <v>0</v>
      </c>
      <c r="AC24" s="39">
        <f t="shared" si="16"/>
        <v>405</v>
      </c>
      <c r="AD24" s="39">
        <f t="shared" si="16"/>
        <v>1</v>
      </c>
      <c r="AE24" s="40">
        <f t="shared" si="16"/>
        <v>565</v>
      </c>
      <c r="AF24" s="40">
        <f t="shared" si="16"/>
        <v>970</v>
      </c>
    </row>
    <row r="25" spans="2:32" ht="23.1" customHeight="1" x14ac:dyDescent="0.25">
      <c r="B25" s="23" t="s">
        <v>52</v>
      </c>
      <c r="C25" s="50">
        <v>166</v>
      </c>
      <c r="D25" s="50">
        <v>20</v>
      </c>
      <c r="E25" s="50">
        <v>6</v>
      </c>
      <c r="F25" s="50">
        <v>15</v>
      </c>
      <c r="G25" s="50">
        <v>0</v>
      </c>
      <c r="H25" s="50">
        <v>0</v>
      </c>
      <c r="I25" s="50">
        <v>3</v>
      </c>
      <c r="J25" s="50">
        <v>5</v>
      </c>
      <c r="K25" s="50">
        <v>0</v>
      </c>
      <c r="L25" s="50">
        <v>0</v>
      </c>
      <c r="M25" s="50">
        <v>86</v>
      </c>
      <c r="N25" s="50">
        <v>0</v>
      </c>
      <c r="O25" s="15">
        <f t="shared" si="0"/>
        <v>215</v>
      </c>
      <c r="P25" s="15">
        <f t="shared" si="1"/>
        <v>301</v>
      </c>
      <c r="R25" s="37" t="s">
        <v>85</v>
      </c>
      <c r="S25" s="35">
        <f t="shared" ref="S25:AF25" si="17">SUM(S10:S12)</f>
        <v>1665</v>
      </c>
      <c r="T25" s="16">
        <f t="shared" si="17"/>
        <v>383</v>
      </c>
      <c r="U25" s="16">
        <f t="shared" si="17"/>
        <v>156</v>
      </c>
      <c r="V25" s="16">
        <f t="shared" si="17"/>
        <v>171</v>
      </c>
      <c r="W25" s="16">
        <f t="shared" si="17"/>
        <v>0</v>
      </c>
      <c r="X25" s="16">
        <f t="shared" si="17"/>
        <v>1</v>
      </c>
      <c r="Y25" s="16">
        <f t="shared" si="17"/>
        <v>37</v>
      </c>
      <c r="Z25" s="16">
        <f t="shared" si="17"/>
        <v>10</v>
      </c>
      <c r="AA25" s="16">
        <f t="shared" si="17"/>
        <v>2</v>
      </c>
      <c r="AB25" s="16">
        <f t="shared" si="17"/>
        <v>0</v>
      </c>
      <c r="AC25" s="16">
        <f t="shared" si="17"/>
        <v>1090</v>
      </c>
      <c r="AD25" s="16">
        <f t="shared" si="17"/>
        <v>0</v>
      </c>
      <c r="AE25" s="32">
        <f t="shared" si="17"/>
        <v>2425</v>
      </c>
      <c r="AF25" s="32">
        <f t="shared" si="17"/>
        <v>3515</v>
      </c>
    </row>
    <row r="26" spans="2:32" ht="23.1" customHeight="1" x14ac:dyDescent="0.25">
      <c r="B26" s="23" t="s">
        <v>53</v>
      </c>
      <c r="C26" s="50">
        <v>110</v>
      </c>
      <c r="D26" s="50">
        <v>26</v>
      </c>
      <c r="E26" s="50">
        <v>12</v>
      </c>
      <c r="F26" s="50">
        <v>15</v>
      </c>
      <c r="G26" s="50">
        <v>0</v>
      </c>
      <c r="H26" s="50">
        <v>0</v>
      </c>
      <c r="I26" s="50">
        <v>3</v>
      </c>
      <c r="J26" s="50">
        <v>1</v>
      </c>
      <c r="K26" s="50">
        <v>1</v>
      </c>
      <c r="L26" s="50">
        <v>0</v>
      </c>
      <c r="M26" s="50">
        <v>56</v>
      </c>
      <c r="N26" s="50">
        <v>0</v>
      </c>
      <c r="O26" s="15">
        <f t="shared" si="0"/>
        <v>168</v>
      </c>
      <c r="P26" s="15">
        <f t="shared" si="1"/>
        <v>224</v>
      </c>
      <c r="R26" s="28" t="s">
        <v>86</v>
      </c>
      <c r="S26" s="16">
        <f t="shared" ref="S26:AF26" si="18">SUM(S13:S18)</f>
        <v>2272</v>
      </c>
      <c r="T26" s="16">
        <f t="shared" si="18"/>
        <v>543</v>
      </c>
      <c r="U26" s="16">
        <f t="shared" si="18"/>
        <v>247</v>
      </c>
      <c r="V26" s="16">
        <f t="shared" si="18"/>
        <v>220</v>
      </c>
      <c r="W26" s="16">
        <f t="shared" si="18"/>
        <v>0</v>
      </c>
      <c r="X26" s="16">
        <f t="shared" si="18"/>
        <v>0</v>
      </c>
      <c r="Y26" s="16">
        <f t="shared" si="18"/>
        <v>91</v>
      </c>
      <c r="Z26" s="16">
        <f t="shared" si="18"/>
        <v>27</v>
      </c>
      <c r="AA26" s="16">
        <f t="shared" si="18"/>
        <v>7</v>
      </c>
      <c r="AB26" s="16">
        <f t="shared" si="18"/>
        <v>1</v>
      </c>
      <c r="AC26" s="16">
        <f t="shared" si="18"/>
        <v>1562</v>
      </c>
      <c r="AD26" s="16">
        <f t="shared" si="18"/>
        <v>0</v>
      </c>
      <c r="AE26" s="32">
        <f t="shared" si="18"/>
        <v>3408</v>
      </c>
      <c r="AF26" s="32">
        <f t="shared" si="18"/>
        <v>4970</v>
      </c>
    </row>
    <row r="27" spans="2:32" ht="23.1" customHeight="1" x14ac:dyDescent="0.25">
      <c r="B27" s="23" t="s">
        <v>54</v>
      </c>
      <c r="C27" s="50">
        <v>120</v>
      </c>
      <c r="D27" s="50">
        <v>25</v>
      </c>
      <c r="E27" s="50">
        <v>20</v>
      </c>
      <c r="F27" s="50">
        <v>10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69</v>
      </c>
      <c r="N27" s="50">
        <v>0</v>
      </c>
      <c r="O27" s="15">
        <f t="shared" si="0"/>
        <v>178</v>
      </c>
      <c r="P27" s="15">
        <f t="shared" si="1"/>
        <v>247</v>
      </c>
      <c r="R27" s="29" t="s">
        <v>87</v>
      </c>
      <c r="S27" s="16">
        <f t="shared" ref="S27:AF27" si="19">SUM(S19:S21)</f>
        <v>1046</v>
      </c>
      <c r="T27" s="16">
        <f t="shared" si="19"/>
        <v>240</v>
      </c>
      <c r="U27" s="16">
        <f t="shared" si="19"/>
        <v>135</v>
      </c>
      <c r="V27" s="16">
        <f t="shared" si="19"/>
        <v>93</v>
      </c>
      <c r="W27" s="16">
        <f t="shared" si="19"/>
        <v>1</v>
      </c>
      <c r="X27" s="16">
        <f t="shared" si="19"/>
        <v>0</v>
      </c>
      <c r="Y27" s="16">
        <f t="shared" si="19"/>
        <v>25</v>
      </c>
      <c r="Z27" s="16">
        <f t="shared" si="19"/>
        <v>8</v>
      </c>
      <c r="AA27" s="16">
        <f t="shared" si="19"/>
        <v>2</v>
      </c>
      <c r="AB27" s="16">
        <f t="shared" si="19"/>
        <v>0</v>
      </c>
      <c r="AC27" s="16">
        <f t="shared" si="19"/>
        <v>1004</v>
      </c>
      <c r="AD27" s="16">
        <f t="shared" si="19"/>
        <v>1</v>
      </c>
      <c r="AE27" s="32">
        <f t="shared" si="19"/>
        <v>1551</v>
      </c>
      <c r="AF27" s="32">
        <f t="shared" si="19"/>
        <v>2555</v>
      </c>
    </row>
    <row r="28" spans="2:32" ht="23.1" customHeight="1" x14ac:dyDescent="0.25">
      <c r="B28" s="23" t="s">
        <v>55</v>
      </c>
      <c r="C28" s="50">
        <v>85</v>
      </c>
      <c r="D28" s="50">
        <v>21</v>
      </c>
      <c r="E28" s="50">
        <v>11</v>
      </c>
      <c r="F28" s="50">
        <v>8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0</v>
      </c>
      <c r="M28" s="50">
        <v>46</v>
      </c>
      <c r="N28" s="50">
        <v>0</v>
      </c>
      <c r="O28" s="15">
        <f t="shared" si="0"/>
        <v>128</v>
      </c>
      <c r="P28" s="15">
        <f t="shared" si="1"/>
        <v>174</v>
      </c>
      <c r="R28" s="5" t="s">
        <v>17</v>
      </c>
      <c r="S28" s="16">
        <f t="shared" ref="S28:AF28" si="20">SUM(S10:S21)</f>
        <v>4983</v>
      </c>
      <c r="T28" s="16">
        <f t="shared" si="20"/>
        <v>1166</v>
      </c>
      <c r="U28" s="16">
        <f t="shared" si="20"/>
        <v>538</v>
      </c>
      <c r="V28" s="16">
        <f t="shared" si="20"/>
        <v>484</v>
      </c>
      <c r="W28" s="16">
        <f t="shared" si="20"/>
        <v>1</v>
      </c>
      <c r="X28" s="16">
        <f t="shared" si="20"/>
        <v>1</v>
      </c>
      <c r="Y28" s="16">
        <f t="shared" si="20"/>
        <v>153</v>
      </c>
      <c r="Z28" s="16">
        <f t="shared" si="20"/>
        <v>45</v>
      </c>
      <c r="AA28" s="16">
        <f t="shared" si="20"/>
        <v>11</v>
      </c>
      <c r="AB28" s="16">
        <f t="shared" si="20"/>
        <v>1</v>
      </c>
      <c r="AC28" s="16">
        <f t="shared" si="20"/>
        <v>3656</v>
      </c>
      <c r="AD28" s="16">
        <f t="shared" si="20"/>
        <v>1</v>
      </c>
      <c r="AE28" s="32">
        <f t="shared" si="20"/>
        <v>7384</v>
      </c>
      <c r="AF28" s="32">
        <f t="shared" si="20"/>
        <v>11040</v>
      </c>
    </row>
    <row r="29" spans="2:32" ht="23.1" customHeight="1" x14ac:dyDescent="0.25">
      <c r="B29" s="23" t="s">
        <v>56</v>
      </c>
      <c r="C29" s="50">
        <v>80</v>
      </c>
      <c r="D29" s="50">
        <v>18</v>
      </c>
      <c r="E29" s="50">
        <v>8</v>
      </c>
      <c r="F29" s="50">
        <v>4</v>
      </c>
      <c r="G29" s="50">
        <v>0</v>
      </c>
      <c r="H29" s="50">
        <v>0</v>
      </c>
      <c r="I29" s="50">
        <v>4</v>
      </c>
      <c r="J29" s="50">
        <v>1</v>
      </c>
      <c r="K29" s="50">
        <v>1</v>
      </c>
      <c r="L29" s="50">
        <v>0</v>
      </c>
      <c r="M29" s="50">
        <v>70</v>
      </c>
      <c r="N29" s="50">
        <v>0</v>
      </c>
      <c r="O29" s="15">
        <f t="shared" si="0"/>
        <v>116</v>
      </c>
      <c r="P29" s="15">
        <f t="shared" si="1"/>
        <v>186</v>
      </c>
      <c r="R29"/>
      <c r="S29" s="20"/>
      <c r="T29" s="19"/>
    </row>
    <row r="30" spans="2:32" ht="23.1" customHeight="1" x14ac:dyDescent="0.25">
      <c r="B30" s="23" t="s">
        <v>57</v>
      </c>
      <c r="C30" s="50">
        <v>120</v>
      </c>
      <c r="D30" s="50">
        <v>22</v>
      </c>
      <c r="E30" s="50">
        <v>12</v>
      </c>
      <c r="F30" s="50">
        <v>15</v>
      </c>
      <c r="G30" s="50">
        <v>0</v>
      </c>
      <c r="H30" s="50">
        <v>0</v>
      </c>
      <c r="I30" s="50">
        <v>6</v>
      </c>
      <c r="J30" s="50">
        <v>0</v>
      </c>
      <c r="K30" s="50">
        <v>0</v>
      </c>
      <c r="L30" s="50">
        <v>0</v>
      </c>
      <c r="M30" s="50">
        <v>77</v>
      </c>
      <c r="N30" s="50">
        <v>0</v>
      </c>
      <c r="O30" s="15">
        <f t="shared" si="0"/>
        <v>175</v>
      </c>
      <c r="P30" s="15">
        <f t="shared" si="1"/>
        <v>252</v>
      </c>
    </row>
    <row r="31" spans="2:32" ht="23.1" customHeight="1" x14ac:dyDescent="0.25">
      <c r="B31" s="24" t="s">
        <v>58</v>
      </c>
      <c r="C31" s="50">
        <v>105</v>
      </c>
      <c r="D31" s="50">
        <v>17</v>
      </c>
      <c r="E31" s="50">
        <v>7</v>
      </c>
      <c r="F31" s="50">
        <v>10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80</v>
      </c>
      <c r="N31" s="50">
        <v>0</v>
      </c>
      <c r="O31" s="15">
        <f t="shared" si="0"/>
        <v>142</v>
      </c>
      <c r="P31" s="15">
        <f t="shared" si="1"/>
        <v>222</v>
      </c>
    </row>
    <row r="32" spans="2:32" ht="23.1" customHeight="1" x14ac:dyDescent="0.25">
      <c r="B32" s="24" t="s">
        <v>59</v>
      </c>
      <c r="C32" s="50">
        <v>80</v>
      </c>
      <c r="D32" s="50">
        <v>17</v>
      </c>
      <c r="E32" s="50">
        <v>10</v>
      </c>
      <c r="F32" s="50">
        <v>6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65</v>
      </c>
      <c r="N32" s="50">
        <v>0</v>
      </c>
      <c r="O32" s="15">
        <f t="shared" si="0"/>
        <v>116</v>
      </c>
      <c r="P32" s="15">
        <f t="shared" si="1"/>
        <v>181</v>
      </c>
    </row>
    <row r="33" spans="2:20" ht="23.1" customHeight="1" x14ac:dyDescent="0.25">
      <c r="B33" s="23" t="s">
        <v>60</v>
      </c>
      <c r="C33" s="50">
        <v>150</v>
      </c>
      <c r="D33" s="50">
        <v>32</v>
      </c>
      <c r="E33" s="50">
        <v>18</v>
      </c>
      <c r="F33" s="50">
        <v>10</v>
      </c>
      <c r="G33" s="50">
        <v>0</v>
      </c>
      <c r="H33" s="50">
        <v>0</v>
      </c>
      <c r="I33" s="50">
        <v>6</v>
      </c>
      <c r="J33" s="50">
        <v>0</v>
      </c>
      <c r="K33" s="50">
        <v>1</v>
      </c>
      <c r="L33" s="50">
        <v>0</v>
      </c>
      <c r="M33" s="50">
        <v>76</v>
      </c>
      <c r="N33" s="50">
        <v>0</v>
      </c>
      <c r="O33" s="15">
        <f t="shared" si="0"/>
        <v>217</v>
      </c>
      <c r="P33" s="15">
        <f t="shared" si="1"/>
        <v>293</v>
      </c>
    </row>
    <row r="34" spans="2:20" ht="23.1" customHeight="1" x14ac:dyDescent="0.25">
      <c r="B34" s="24" t="s">
        <v>61</v>
      </c>
      <c r="C34" s="50">
        <v>95</v>
      </c>
      <c r="D34" s="50">
        <v>40</v>
      </c>
      <c r="E34" s="50">
        <v>5</v>
      </c>
      <c r="F34" s="50">
        <v>9</v>
      </c>
      <c r="G34" s="50">
        <v>0</v>
      </c>
      <c r="H34" s="50">
        <v>0</v>
      </c>
      <c r="I34" s="50">
        <v>5</v>
      </c>
      <c r="J34" s="50">
        <v>0</v>
      </c>
      <c r="K34" s="50">
        <v>1</v>
      </c>
      <c r="L34" s="50">
        <v>0</v>
      </c>
      <c r="M34" s="50">
        <v>56</v>
      </c>
      <c r="N34" s="50">
        <v>0</v>
      </c>
      <c r="O34" s="15">
        <f t="shared" si="0"/>
        <v>155</v>
      </c>
      <c r="P34" s="15">
        <f t="shared" si="1"/>
        <v>211</v>
      </c>
    </row>
    <row r="35" spans="2:20" ht="23.1" customHeight="1" x14ac:dyDescent="0.25">
      <c r="B35" s="24" t="s">
        <v>62</v>
      </c>
      <c r="C35" s="50">
        <v>60</v>
      </c>
      <c r="D35" s="50">
        <v>25</v>
      </c>
      <c r="E35" s="50">
        <v>13</v>
      </c>
      <c r="F35" s="50">
        <v>7</v>
      </c>
      <c r="G35" s="50">
        <v>0</v>
      </c>
      <c r="H35" s="50">
        <v>0</v>
      </c>
      <c r="I35" s="50">
        <v>6</v>
      </c>
      <c r="J35" s="50">
        <v>0</v>
      </c>
      <c r="K35" s="50">
        <v>0</v>
      </c>
      <c r="L35" s="50">
        <v>0</v>
      </c>
      <c r="M35" s="50">
        <v>50</v>
      </c>
      <c r="N35" s="50">
        <v>0</v>
      </c>
      <c r="O35" s="15">
        <f t="shared" si="0"/>
        <v>111</v>
      </c>
      <c r="P35" s="15">
        <f t="shared" si="1"/>
        <v>161</v>
      </c>
    </row>
    <row r="36" spans="2:20" ht="23.1" customHeight="1" x14ac:dyDescent="0.25">
      <c r="B36" s="24" t="s">
        <v>63</v>
      </c>
      <c r="C36" s="50">
        <v>100</v>
      </c>
      <c r="D36" s="50">
        <v>35</v>
      </c>
      <c r="E36" s="50">
        <v>13</v>
      </c>
      <c r="F36" s="50">
        <v>12</v>
      </c>
      <c r="G36" s="50">
        <v>0</v>
      </c>
      <c r="H36" s="50">
        <v>0</v>
      </c>
      <c r="I36" s="50">
        <v>4</v>
      </c>
      <c r="J36" s="50">
        <v>1</v>
      </c>
      <c r="K36" s="50">
        <v>1</v>
      </c>
      <c r="L36" s="50">
        <v>0</v>
      </c>
      <c r="M36" s="50">
        <v>72</v>
      </c>
      <c r="N36" s="50">
        <v>0</v>
      </c>
      <c r="O36" s="15">
        <f t="shared" si="0"/>
        <v>166</v>
      </c>
      <c r="P36" s="15">
        <f t="shared" si="1"/>
        <v>238</v>
      </c>
    </row>
    <row r="37" spans="2:20" ht="23.1" customHeight="1" x14ac:dyDescent="0.25">
      <c r="B37" s="23" t="s">
        <v>64</v>
      </c>
      <c r="C37" s="50">
        <v>95</v>
      </c>
      <c r="D37" s="50">
        <v>14</v>
      </c>
      <c r="E37" s="50">
        <v>4</v>
      </c>
      <c r="F37" s="50">
        <v>7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52</v>
      </c>
      <c r="N37" s="50">
        <v>0</v>
      </c>
      <c r="O37" s="15">
        <f t="shared" si="0"/>
        <v>123</v>
      </c>
      <c r="P37" s="15">
        <f t="shared" si="1"/>
        <v>175</v>
      </c>
    </row>
    <row r="38" spans="2:20" ht="23.1" customHeight="1" x14ac:dyDescent="0.25">
      <c r="B38" s="24" t="s">
        <v>65</v>
      </c>
      <c r="C38" s="50">
        <v>45</v>
      </c>
      <c r="D38" s="50">
        <v>15</v>
      </c>
      <c r="E38" s="50">
        <v>5</v>
      </c>
      <c r="F38" s="50">
        <v>7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75</v>
      </c>
      <c r="P38" s="15">
        <f t="shared" si="1"/>
        <v>125</v>
      </c>
    </row>
    <row r="39" spans="2:20" ht="23.1" customHeight="1" x14ac:dyDescent="0.25">
      <c r="B39" s="24" t="s">
        <v>66</v>
      </c>
      <c r="C39" s="50">
        <v>65</v>
      </c>
      <c r="D39" s="50">
        <v>27</v>
      </c>
      <c r="E39" s="50">
        <v>9</v>
      </c>
      <c r="F39" s="50">
        <v>8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60</v>
      </c>
      <c r="N39" s="50">
        <v>0</v>
      </c>
      <c r="O39" s="15">
        <f t="shared" si="0"/>
        <v>113</v>
      </c>
      <c r="P39" s="15">
        <f t="shared" si="1"/>
        <v>173</v>
      </c>
    </row>
    <row r="40" spans="2:20" ht="23.1" customHeight="1" x14ac:dyDescent="0.25">
      <c r="B40" s="24" t="s">
        <v>67</v>
      </c>
      <c r="C40" s="50">
        <v>65</v>
      </c>
      <c r="D40" s="50">
        <v>11</v>
      </c>
      <c r="E40" s="50">
        <v>3</v>
      </c>
      <c r="F40" s="50">
        <v>5</v>
      </c>
      <c r="G40" s="50">
        <v>0</v>
      </c>
      <c r="H40" s="50">
        <v>0</v>
      </c>
      <c r="I40" s="50">
        <v>5</v>
      </c>
      <c r="J40" s="50">
        <v>1</v>
      </c>
      <c r="K40" s="50">
        <v>0</v>
      </c>
      <c r="L40" s="50">
        <v>0</v>
      </c>
      <c r="M40" s="50">
        <v>57</v>
      </c>
      <c r="N40" s="50">
        <v>0</v>
      </c>
      <c r="O40" s="15">
        <f t="shared" si="0"/>
        <v>90</v>
      </c>
      <c r="P40" s="15">
        <f t="shared" si="1"/>
        <v>147</v>
      </c>
    </row>
    <row r="41" spans="2:20" ht="23.1" customHeight="1" x14ac:dyDescent="0.25">
      <c r="B41" s="23" t="s">
        <v>68</v>
      </c>
      <c r="C41" s="50">
        <v>86</v>
      </c>
      <c r="D41" s="50">
        <v>31</v>
      </c>
      <c r="E41" s="50">
        <v>8</v>
      </c>
      <c r="F41" s="50">
        <v>10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56</v>
      </c>
      <c r="N41" s="50">
        <v>0</v>
      </c>
      <c r="O41" s="15">
        <f t="shared" si="0"/>
        <v>140</v>
      </c>
      <c r="P41" s="15">
        <f t="shared" si="1"/>
        <v>196</v>
      </c>
    </row>
    <row r="42" spans="2:20" ht="23.1" customHeight="1" x14ac:dyDescent="0.25">
      <c r="B42" s="24" t="s">
        <v>69</v>
      </c>
      <c r="C42" s="50">
        <v>80</v>
      </c>
      <c r="D42" s="50">
        <v>17</v>
      </c>
      <c r="E42" s="50">
        <v>8</v>
      </c>
      <c r="F42" s="50">
        <v>9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1</v>
      </c>
      <c r="M42" s="50">
        <v>42</v>
      </c>
      <c r="N42" s="50">
        <v>0</v>
      </c>
      <c r="O42" s="15">
        <f t="shared" si="0"/>
        <v>119</v>
      </c>
      <c r="P42" s="15">
        <f t="shared" si="1"/>
        <v>161</v>
      </c>
    </row>
    <row r="43" spans="2:20" ht="23.1" customHeight="1" x14ac:dyDescent="0.25">
      <c r="B43" s="23" t="s">
        <v>70</v>
      </c>
      <c r="C43" s="50">
        <v>90</v>
      </c>
      <c r="D43" s="50">
        <v>12</v>
      </c>
      <c r="E43" s="50">
        <v>10</v>
      </c>
      <c r="F43" s="50">
        <v>5</v>
      </c>
      <c r="G43" s="50">
        <v>0</v>
      </c>
      <c r="H43" s="50">
        <v>0</v>
      </c>
      <c r="I43" s="50">
        <v>3</v>
      </c>
      <c r="J43" s="50">
        <v>1</v>
      </c>
      <c r="K43" s="50">
        <v>0</v>
      </c>
      <c r="L43" s="50">
        <v>0</v>
      </c>
      <c r="M43" s="50">
        <v>71</v>
      </c>
      <c r="N43" s="50">
        <v>0</v>
      </c>
      <c r="O43" s="15">
        <f t="shared" si="0"/>
        <v>121</v>
      </c>
      <c r="P43" s="15">
        <f t="shared" si="1"/>
        <v>192</v>
      </c>
    </row>
    <row r="44" spans="2:20" ht="23.1" customHeight="1" x14ac:dyDescent="0.25">
      <c r="B44" s="25" t="s">
        <v>71</v>
      </c>
      <c r="C44" s="50">
        <v>100</v>
      </c>
      <c r="D44" s="50">
        <v>22</v>
      </c>
      <c r="E44" s="50">
        <v>9</v>
      </c>
      <c r="F44" s="50">
        <v>9</v>
      </c>
      <c r="G44" s="50">
        <v>0</v>
      </c>
      <c r="H44" s="50">
        <v>0</v>
      </c>
      <c r="I44" s="50">
        <v>4</v>
      </c>
      <c r="J44" s="50">
        <v>1</v>
      </c>
      <c r="K44" s="50">
        <v>1</v>
      </c>
      <c r="L44" s="50">
        <v>0</v>
      </c>
      <c r="M44" s="50">
        <v>80</v>
      </c>
      <c r="N44" s="50">
        <v>0</v>
      </c>
      <c r="O44" s="15">
        <f t="shared" si="0"/>
        <v>146</v>
      </c>
      <c r="P44" s="15">
        <f t="shared" si="1"/>
        <v>226</v>
      </c>
    </row>
    <row r="45" spans="2:20" ht="23.1" customHeight="1" x14ac:dyDescent="0.25">
      <c r="B45" s="23" t="s">
        <v>72</v>
      </c>
      <c r="C45" s="50">
        <v>50</v>
      </c>
      <c r="D45" s="50">
        <v>26</v>
      </c>
      <c r="E45" s="50">
        <v>13</v>
      </c>
      <c r="F45" s="50">
        <v>12</v>
      </c>
      <c r="G45" s="50">
        <v>0</v>
      </c>
      <c r="H45" s="50">
        <v>0</v>
      </c>
      <c r="I45" s="50">
        <v>5</v>
      </c>
      <c r="J45" s="50">
        <v>2</v>
      </c>
      <c r="K45" s="50">
        <v>1</v>
      </c>
      <c r="L45" s="50">
        <v>0</v>
      </c>
      <c r="M45" s="50">
        <v>63</v>
      </c>
      <c r="N45" s="50">
        <v>0</v>
      </c>
      <c r="O45" s="15">
        <f t="shared" si="0"/>
        <v>109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90</v>
      </c>
      <c r="D46" s="50">
        <v>27</v>
      </c>
      <c r="E46" s="50">
        <v>12</v>
      </c>
      <c r="F46" s="50">
        <v>14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66</v>
      </c>
      <c r="N46" s="50">
        <v>0</v>
      </c>
      <c r="O46" s="15">
        <f t="shared" si="0"/>
        <v>148</v>
      </c>
      <c r="P46" s="15">
        <f t="shared" si="1"/>
        <v>214</v>
      </c>
      <c r="R46" s="8"/>
      <c r="T46"/>
    </row>
    <row r="47" spans="2:20" ht="23.1" customHeight="1" x14ac:dyDescent="0.25">
      <c r="B47" s="24" t="s">
        <v>74</v>
      </c>
      <c r="C47" s="50">
        <v>96</v>
      </c>
      <c r="D47" s="50">
        <v>15</v>
      </c>
      <c r="E47" s="50">
        <v>14</v>
      </c>
      <c r="F47" s="50">
        <v>7</v>
      </c>
      <c r="G47" s="50">
        <v>1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71</v>
      </c>
      <c r="N47" s="50">
        <v>0</v>
      </c>
      <c r="O47" s="15">
        <f t="shared" si="0"/>
        <v>136</v>
      </c>
      <c r="P47" s="15">
        <f t="shared" si="1"/>
        <v>207</v>
      </c>
      <c r="R47" s="8"/>
      <c r="T47"/>
    </row>
    <row r="48" spans="2:20" ht="23.1" customHeight="1" x14ac:dyDescent="0.25">
      <c r="B48" s="24" t="s">
        <v>75</v>
      </c>
      <c r="C48" s="50">
        <v>95</v>
      </c>
      <c r="D48" s="50">
        <v>20</v>
      </c>
      <c r="E48" s="50">
        <v>7</v>
      </c>
      <c r="F48" s="50">
        <v>10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132</v>
      </c>
      <c r="P48" s="15">
        <f t="shared" si="1"/>
        <v>187</v>
      </c>
      <c r="R48" s="8"/>
      <c r="T48"/>
    </row>
    <row r="49" spans="2:20" ht="23.1" customHeight="1" x14ac:dyDescent="0.25">
      <c r="B49" s="23" t="s">
        <v>76</v>
      </c>
      <c r="C49" s="50">
        <v>55</v>
      </c>
      <c r="D49" s="50">
        <v>13</v>
      </c>
      <c r="E49" s="50">
        <v>10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95</v>
      </c>
      <c r="N49" s="50">
        <v>0</v>
      </c>
      <c r="O49" s="15">
        <f t="shared" si="0"/>
        <v>79</v>
      </c>
      <c r="P49" s="15">
        <f t="shared" si="1"/>
        <v>174</v>
      </c>
      <c r="R49" s="8"/>
      <c r="T49"/>
    </row>
    <row r="50" spans="2:20" ht="23.1" customHeight="1" x14ac:dyDescent="0.25">
      <c r="B50" s="24" t="s">
        <v>77</v>
      </c>
      <c r="C50" s="50">
        <v>100</v>
      </c>
      <c r="D50" s="50">
        <v>19</v>
      </c>
      <c r="E50" s="50">
        <v>12</v>
      </c>
      <c r="F50" s="50">
        <v>6</v>
      </c>
      <c r="G50" s="50">
        <v>0</v>
      </c>
      <c r="H50" s="50">
        <v>0</v>
      </c>
      <c r="I50" s="50">
        <v>1</v>
      </c>
      <c r="J50" s="50">
        <v>0</v>
      </c>
      <c r="K50" s="50">
        <v>2</v>
      </c>
      <c r="L50" s="50">
        <v>0</v>
      </c>
      <c r="M50" s="50">
        <v>90</v>
      </c>
      <c r="N50" s="50">
        <v>0</v>
      </c>
      <c r="O50" s="15">
        <f t="shared" si="0"/>
        <v>140</v>
      </c>
      <c r="P50" s="15">
        <f t="shared" si="1"/>
        <v>230</v>
      </c>
      <c r="R50" s="8"/>
      <c r="T50"/>
    </row>
    <row r="51" spans="2:20" ht="23.1" customHeight="1" x14ac:dyDescent="0.25">
      <c r="B51" s="24" t="s">
        <v>78</v>
      </c>
      <c r="C51" s="50">
        <v>140</v>
      </c>
      <c r="D51" s="50">
        <v>23</v>
      </c>
      <c r="E51" s="50">
        <v>15</v>
      </c>
      <c r="F51" s="50">
        <v>10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105</v>
      </c>
      <c r="N51" s="50">
        <v>0</v>
      </c>
      <c r="O51" s="15">
        <f t="shared" si="0"/>
        <v>191</v>
      </c>
      <c r="P51" s="15">
        <f t="shared" si="1"/>
        <v>296</v>
      </c>
      <c r="R51" s="8"/>
      <c r="T51"/>
    </row>
    <row r="52" spans="2:20" ht="23.1" customHeight="1" x14ac:dyDescent="0.25">
      <c r="B52" s="24" t="s">
        <v>79</v>
      </c>
      <c r="C52" s="50">
        <v>85</v>
      </c>
      <c r="D52" s="50">
        <v>24</v>
      </c>
      <c r="E52" s="50">
        <v>8</v>
      </c>
      <c r="F52" s="50">
        <v>11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120</v>
      </c>
      <c r="N52" s="50">
        <v>0</v>
      </c>
      <c r="O52" s="15">
        <f t="shared" si="0"/>
        <v>133</v>
      </c>
      <c r="P52" s="15">
        <f t="shared" si="1"/>
        <v>253</v>
      </c>
      <c r="R52" s="8"/>
      <c r="T52"/>
    </row>
    <row r="53" spans="2:20" ht="23.1" customHeight="1" x14ac:dyDescent="0.25">
      <c r="B53" s="23" t="s">
        <v>80</v>
      </c>
      <c r="C53" s="50">
        <v>75</v>
      </c>
      <c r="D53" s="50">
        <v>10</v>
      </c>
      <c r="E53" s="50">
        <v>4</v>
      </c>
      <c r="F53" s="50">
        <v>7</v>
      </c>
      <c r="G53" s="50">
        <v>0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90</v>
      </c>
      <c r="N53" s="50">
        <v>1</v>
      </c>
      <c r="O53" s="15">
        <f t="shared" si="0"/>
        <v>101</v>
      </c>
      <c r="P53" s="15">
        <f t="shared" si="1"/>
        <v>191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16</v>
      </c>
      <c r="E54" s="50">
        <v>13</v>
      </c>
      <c r="F54" s="50">
        <v>6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70</v>
      </c>
      <c r="N54" s="50">
        <v>0</v>
      </c>
      <c r="O54" s="15">
        <f t="shared" si="0"/>
        <v>112</v>
      </c>
      <c r="P54" s="15">
        <f t="shared" si="1"/>
        <v>182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17</v>
      </c>
      <c r="E55" s="50">
        <v>8</v>
      </c>
      <c r="F55" s="50">
        <v>9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119</v>
      </c>
      <c r="P55" s="15">
        <f t="shared" si="1"/>
        <v>194</v>
      </c>
      <c r="R55" s="8"/>
      <c r="T55"/>
    </row>
    <row r="56" spans="2:20" ht="23.1" customHeight="1" x14ac:dyDescent="0.25">
      <c r="B56" s="23" t="s">
        <v>83</v>
      </c>
      <c r="C56" s="50">
        <v>95</v>
      </c>
      <c r="D56" s="50">
        <v>37</v>
      </c>
      <c r="E56" s="50">
        <v>14</v>
      </c>
      <c r="F56" s="50">
        <v>4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82</v>
      </c>
      <c r="N56" s="50">
        <v>0</v>
      </c>
      <c r="O56" s="15">
        <f t="shared" si="0"/>
        <v>153</v>
      </c>
      <c r="P56" s="15">
        <f t="shared" si="1"/>
        <v>235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19</v>
      </c>
      <c r="E57" s="50">
        <v>18</v>
      </c>
      <c r="F57" s="50">
        <v>8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85</v>
      </c>
      <c r="N57" s="50">
        <v>0</v>
      </c>
      <c r="O57" s="15">
        <f t="shared" si="0"/>
        <v>107</v>
      </c>
      <c r="P57" s="15">
        <f t="shared" si="1"/>
        <v>192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4983</v>
      </c>
      <c r="D58" s="16">
        <f t="shared" si="21"/>
        <v>1166</v>
      </c>
      <c r="E58" s="16">
        <f t="shared" si="21"/>
        <v>538</v>
      </c>
      <c r="F58" s="16">
        <f t="shared" si="21"/>
        <v>484</v>
      </c>
      <c r="G58" s="16">
        <f t="shared" si="21"/>
        <v>1</v>
      </c>
      <c r="H58" s="16">
        <f t="shared" si="21"/>
        <v>1</v>
      </c>
      <c r="I58" s="16">
        <f t="shared" si="21"/>
        <v>153</v>
      </c>
      <c r="J58" s="16">
        <f t="shared" si="21"/>
        <v>45</v>
      </c>
      <c r="K58" s="16">
        <f t="shared" si="21"/>
        <v>11</v>
      </c>
      <c r="L58" s="16">
        <f t="shared" si="21"/>
        <v>1</v>
      </c>
      <c r="M58" s="16">
        <f t="shared" si="21"/>
        <v>3656</v>
      </c>
      <c r="N58" s="16">
        <f t="shared" si="21"/>
        <v>1</v>
      </c>
      <c r="O58" s="16">
        <f t="shared" si="21"/>
        <v>7384</v>
      </c>
      <c r="P58" s="16">
        <f t="shared" si="21"/>
        <v>11040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0.4513586956521739</v>
      </c>
      <c r="D59" s="43">
        <f t="shared" si="22"/>
        <v>0.10561594202898551</v>
      </c>
      <c r="E59" s="43">
        <f t="shared" si="22"/>
        <v>4.8731884057971013E-2</v>
      </c>
      <c r="F59" s="43">
        <f t="shared" si="22"/>
        <v>4.3840579710144927E-2</v>
      </c>
      <c r="G59" s="43">
        <f t="shared" si="22"/>
        <v>9.0579710144927537E-5</v>
      </c>
      <c r="H59" s="43">
        <f t="shared" si="22"/>
        <v>9.0579710144927537E-5</v>
      </c>
      <c r="I59" s="43">
        <f t="shared" si="22"/>
        <v>1.3858695652173913E-2</v>
      </c>
      <c r="J59" s="43">
        <f t="shared" si="22"/>
        <v>4.076086956521739E-3</v>
      </c>
      <c r="K59" s="43">
        <f t="shared" si="22"/>
        <v>9.9637681159420286E-4</v>
      </c>
      <c r="L59" s="43">
        <f t="shared" si="22"/>
        <v>9.0579710144927537E-5</v>
      </c>
      <c r="M59" s="43">
        <f t="shared" si="22"/>
        <v>0.33115942028985507</v>
      </c>
      <c r="N59" s="43">
        <f t="shared" si="22"/>
        <v>9.0579710144927537E-5</v>
      </c>
      <c r="R59" s="8"/>
      <c r="T59"/>
    </row>
    <row r="60" spans="2:20" ht="23.1" customHeight="1" x14ac:dyDescent="0.25">
      <c r="B60" s="42" t="s">
        <v>94</v>
      </c>
      <c r="C60" s="44">
        <f>C58/$O$58</f>
        <v>0.67483748645720476</v>
      </c>
      <c r="D60" s="44">
        <f t="shared" ref="D60:N60" si="23">D58/$O$58</f>
        <v>0.15790899241603468</v>
      </c>
      <c r="E60" s="44">
        <f t="shared" si="23"/>
        <v>7.2860238353196105E-2</v>
      </c>
      <c r="F60" s="44">
        <f t="shared" si="23"/>
        <v>6.5547128927410617E-2</v>
      </c>
      <c r="G60" s="44">
        <f t="shared" si="23"/>
        <v>1.3542795232936077E-4</v>
      </c>
      <c r="H60" s="44">
        <f t="shared" si="23"/>
        <v>1.3542795232936077E-4</v>
      </c>
      <c r="I60" s="44">
        <f t="shared" si="23"/>
        <v>2.07204767063922E-2</v>
      </c>
      <c r="J60" s="44">
        <f t="shared" si="23"/>
        <v>6.0942578548212351E-3</v>
      </c>
      <c r="K60" s="44">
        <f t="shared" si="23"/>
        <v>1.4897074756229686E-3</v>
      </c>
      <c r="L60" s="44">
        <f t="shared" si="23"/>
        <v>1.3542795232936077E-4</v>
      </c>
      <c r="M60" s="44"/>
      <c r="N60" s="44">
        <f t="shared" si="23"/>
        <v>1.3542795232936077E-4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3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Naguru-Nakawa'!D5</f>
        <v>31.07.19</v>
      </c>
      <c r="E5" s="3"/>
      <c r="F5" s="41" t="s">
        <v>1</v>
      </c>
      <c r="G5" s="63" t="str">
        <f>'29.07 Naguru-Nakawa'!G5:H5</f>
        <v>NAGURU POLICE HEAD QUARTER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174</v>
      </c>
      <c r="E6" s="64"/>
      <c r="F6" s="2" t="s">
        <v>2</v>
      </c>
      <c r="G6" s="63" t="s">
        <v>191</v>
      </c>
      <c r="H6" s="64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29</v>
      </c>
      <c r="D10" s="50">
        <v>18</v>
      </c>
      <c r="E10" s="50">
        <v>2</v>
      </c>
      <c r="F10" s="50">
        <v>7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72</v>
      </c>
      <c r="R10" s="1" t="s">
        <v>6</v>
      </c>
      <c r="S10" s="17">
        <f t="shared" ref="S10:AF10" si="2">SUM(C10:C13)</f>
        <v>161</v>
      </c>
      <c r="T10" s="17">
        <f t="shared" si="2"/>
        <v>112</v>
      </c>
      <c r="U10" s="17">
        <f t="shared" si="2"/>
        <v>22</v>
      </c>
      <c r="V10" s="17">
        <f t="shared" si="2"/>
        <v>41</v>
      </c>
      <c r="W10" s="17">
        <f t="shared" si="2"/>
        <v>4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218</v>
      </c>
      <c r="AD10" s="17">
        <f t="shared" si="2"/>
        <v>0</v>
      </c>
      <c r="AE10" s="31">
        <f t="shared" si="2"/>
        <v>348</v>
      </c>
      <c r="AF10" s="31">
        <f t="shared" si="2"/>
        <v>566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20</v>
      </c>
      <c r="E11" s="50">
        <v>10</v>
      </c>
      <c r="F11" s="50">
        <v>3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30</v>
      </c>
      <c r="N11" s="50">
        <v>0</v>
      </c>
      <c r="O11" s="15">
        <f t="shared" si="0"/>
        <v>65</v>
      </c>
      <c r="P11" s="15">
        <f t="shared" si="1"/>
        <v>95</v>
      </c>
      <c r="R11" s="1" t="s">
        <v>7</v>
      </c>
      <c r="S11" s="17">
        <f t="shared" ref="S11:AF11" si="3">SUM(C14:C17)</f>
        <v>186</v>
      </c>
      <c r="T11" s="17">
        <f t="shared" si="3"/>
        <v>126</v>
      </c>
      <c r="U11" s="17">
        <f t="shared" si="3"/>
        <v>35</v>
      </c>
      <c r="V11" s="17">
        <f t="shared" si="3"/>
        <v>53</v>
      </c>
      <c r="W11" s="17">
        <f t="shared" si="3"/>
        <v>0</v>
      </c>
      <c r="X11" s="17">
        <f t="shared" si="3"/>
        <v>0</v>
      </c>
      <c r="Y11" s="17">
        <f t="shared" si="3"/>
        <v>12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415</v>
      </c>
      <c r="AD11" s="17">
        <f t="shared" si="3"/>
        <v>0</v>
      </c>
      <c r="AE11" s="31">
        <f t="shared" si="3"/>
        <v>416</v>
      </c>
      <c r="AF11" s="31">
        <f t="shared" si="3"/>
        <v>831</v>
      </c>
    </row>
    <row r="12" spans="2:32" ht="23.1" customHeight="1" x14ac:dyDescent="0.25">
      <c r="B12" s="23" t="s">
        <v>39</v>
      </c>
      <c r="C12" s="50">
        <v>39</v>
      </c>
      <c r="D12" s="50">
        <v>40</v>
      </c>
      <c r="E12" s="50">
        <v>5</v>
      </c>
      <c r="F12" s="50">
        <v>12</v>
      </c>
      <c r="G12" s="50">
        <v>1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91</v>
      </c>
      <c r="N12" s="50">
        <v>0</v>
      </c>
      <c r="O12" s="15">
        <f t="shared" si="0"/>
        <v>100</v>
      </c>
      <c r="P12" s="15">
        <f t="shared" si="1"/>
        <v>191</v>
      </c>
      <c r="R12" s="1" t="s">
        <v>8</v>
      </c>
      <c r="S12" s="17">
        <f t="shared" ref="S12:AF12" si="4">SUM(C18:C21)</f>
        <v>197</v>
      </c>
      <c r="T12" s="17">
        <f t="shared" si="4"/>
        <v>169</v>
      </c>
      <c r="U12" s="17">
        <f t="shared" si="4"/>
        <v>61</v>
      </c>
      <c r="V12" s="17">
        <f t="shared" si="4"/>
        <v>41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5</v>
      </c>
      <c r="AA12" s="17">
        <f t="shared" si="4"/>
        <v>1</v>
      </c>
      <c r="AB12" s="17">
        <f t="shared" si="4"/>
        <v>0</v>
      </c>
      <c r="AC12" s="17">
        <f t="shared" si="4"/>
        <v>232</v>
      </c>
      <c r="AD12" s="17">
        <f t="shared" si="4"/>
        <v>0</v>
      </c>
      <c r="AE12" s="31">
        <f t="shared" si="4"/>
        <v>481</v>
      </c>
      <c r="AF12" s="31">
        <f t="shared" si="4"/>
        <v>713</v>
      </c>
    </row>
    <row r="13" spans="2:32" ht="23.1" customHeight="1" x14ac:dyDescent="0.25">
      <c r="B13" s="23" t="s">
        <v>40</v>
      </c>
      <c r="C13" s="50">
        <v>63</v>
      </c>
      <c r="D13" s="50">
        <v>34</v>
      </c>
      <c r="E13" s="50">
        <v>5</v>
      </c>
      <c r="F13" s="50">
        <v>19</v>
      </c>
      <c r="G13" s="50">
        <v>2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82</v>
      </c>
      <c r="N13" s="50">
        <v>0</v>
      </c>
      <c r="O13" s="15">
        <f t="shared" si="0"/>
        <v>126</v>
      </c>
      <c r="P13" s="15">
        <f t="shared" si="1"/>
        <v>208</v>
      </c>
      <c r="R13" s="1" t="s">
        <v>9</v>
      </c>
      <c r="S13" s="17">
        <f t="shared" ref="S13:AF13" si="5">SUM(C22:C25)</f>
        <v>229</v>
      </c>
      <c r="T13" s="17">
        <f t="shared" si="5"/>
        <v>203</v>
      </c>
      <c r="U13" s="17">
        <f t="shared" si="5"/>
        <v>52</v>
      </c>
      <c r="V13" s="17">
        <f t="shared" si="5"/>
        <v>44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7</v>
      </c>
      <c r="AA13" s="17">
        <f t="shared" si="5"/>
        <v>0</v>
      </c>
      <c r="AB13" s="17">
        <f t="shared" si="5"/>
        <v>0</v>
      </c>
      <c r="AC13" s="17">
        <f t="shared" si="5"/>
        <v>190</v>
      </c>
      <c r="AD13" s="17">
        <f t="shared" si="5"/>
        <v>0</v>
      </c>
      <c r="AE13" s="31">
        <f t="shared" si="5"/>
        <v>550</v>
      </c>
      <c r="AF13" s="31">
        <f t="shared" si="5"/>
        <v>740</v>
      </c>
    </row>
    <row r="14" spans="2:32" ht="23.1" customHeight="1" x14ac:dyDescent="0.25">
      <c r="B14" s="23" t="s">
        <v>41</v>
      </c>
      <c r="C14" s="50">
        <v>47</v>
      </c>
      <c r="D14" s="50">
        <v>17</v>
      </c>
      <c r="E14" s="50">
        <v>4</v>
      </c>
      <c r="F14" s="50">
        <v>7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80</v>
      </c>
      <c r="N14" s="50">
        <v>0</v>
      </c>
      <c r="O14" s="15">
        <f t="shared" si="0"/>
        <v>79</v>
      </c>
      <c r="P14" s="15">
        <f t="shared" si="1"/>
        <v>159</v>
      </c>
      <c r="R14" s="1" t="s">
        <v>10</v>
      </c>
      <c r="S14" s="17">
        <f t="shared" ref="S14:AF14" si="6">SUM(C26:C29)</f>
        <v>208</v>
      </c>
      <c r="T14" s="17">
        <f t="shared" si="6"/>
        <v>121</v>
      </c>
      <c r="U14" s="17">
        <f t="shared" si="6"/>
        <v>42</v>
      </c>
      <c r="V14" s="17">
        <f t="shared" si="6"/>
        <v>17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184</v>
      </c>
      <c r="AD14" s="17">
        <f t="shared" si="6"/>
        <v>0</v>
      </c>
      <c r="AE14" s="31">
        <f t="shared" si="6"/>
        <v>391</v>
      </c>
      <c r="AF14" s="31">
        <f t="shared" si="6"/>
        <v>575</v>
      </c>
    </row>
    <row r="15" spans="2:32" ht="23.1" customHeight="1" x14ac:dyDescent="0.25">
      <c r="B15" s="23" t="s">
        <v>42</v>
      </c>
      <c r="C15" s="50">
        <v>49</v>
      </c>
      <c r="D15" s="50">
        <v>34</v>
      </c>
      <c r="E15" s="50">
        <v>15</v>
      </c>
      <c r="F15" s="50">
        <v>29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100</v>
      </c>
      <c r="N15" s="50">
        <v>0</v>
      </c>
      <c r="O15" s="15">
        <f t="shared" si="0"/>
        <v>132</v>
      </c>
      <c r="P15" s="15">
        <f t="shared" si="1"/>
        <v>232</v>
      </c>
      <c r="R15" s="1" t="s">
        <v>11</v>
      </c>
      <c r="S15" s="17">
        <f t="shared" ref="S15:AF15" si="7">SUM(C30:C33)</f>
        <v>274</v>
      </c>
      <c r="T15" s="17">
        <f t="shared" si="7"/>
        <v>143</v>
      </c>
      <c r="U15" s="17">
        <f t="shared" si="7"/>
        <v>52</v>
      </c>
      <c r="V15" s="17">
        <f t="shared" si="7"/>
        <v>31</v>
      </c>
      <c r="W15" s="17">
        <f t="shared" si="7"/>
        <v>0</v>
      </c>
      <c r="X15" s="17">
        <f t="shared" si="7"/>
        <v>0</v>
      </c>
      <c r="Y15" s="17">
        <f t="shared" si="7"/>
        <v>15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176</v>
      </c>
      <c r="AD15" s="17">
        <f t="shared" si="7"/>
        <v>0</v>
      </c>
      <c r="AE15" s="31">
        <f t="shared" si="7"/>
        <v>517</v>
      </c>
      <c r="AF15" s="31">
        <f t="shared" si="7"/>
        <v>693</v>
      </c>
    </row>
    <row r="16" spans="2:32" ht="23.1" customHeight="1" x14ac:dyDescent="0.25">
      <c r="B16" s="23" t="s">
        <v>43</v>
      </c>
      <c r="C16" s="50">
        <v>35</v>
      </c>
      <c r="D16" s="50">
        <v>42</v>
      </c>
      <c r="E16" s="50">
        <v>10</v>
      </c>
      <c r="F16" s="50">
        <v>8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118</v>
      </c>
      <c r="N16" s="50">
        <v>0</v>
      </c>
      <c r="O16" s="15">
        <f t="shared" si="0"/>
        <v>98</v>
      </c>
      <c r="P16" s="15">
        <f t="shared" si="1"/>
        <v>216</v>
      </c>
      <c r="R16" s="1" t="s">
        <v>12</v>
      </c>
      <c r="S16" s="17">
        <f t="shared" ref="S16:AF16" si="8">SUM(C34:C37)</f>
        <v>297</v>
      </c>
      <c r="T16" s="17">
        <f t="shared" si="8"/>
        <v>197</v>
      </c>
      <c r="U16" s="17">
        <f t="shared" si="8"/>
        <v>46</v>
      </c>
      <c r="V16" s="17">
        <f t="shared" si="8"/>
        <v>24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124</v>
      </c>
      <c r="AD16" s="17">
        <f t="shared" si="8"/>
        <v>0</v>
      </c>
      <c r="AE16" s="31">
        <f t="shared" si="8"/>
        <v>575</v>
      </c>
      <c r="AF16" s="31">
        <f t="shared" si="8"/>
        <v>699</v>
      </c>
    </row>
    <row r="17" spans="2:32" ht="23.1" customHeight="1" x14ac:dyDescent="0.25">
      <c r="B17" s="23" t="s">
        <v>44</v>
      </c>
      <c r="C17" s="50">
        <v>55</v>
      </c>
      <c r="D17" s="50">
        <v>33</v>
      </c>
      <c r="E17" s="50">
        <v>6</v>
      </c>
      <c r="F17" s="50">
        <v>9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117</v>
      </c>
      <c r="N17" s="50">
        <v>0</v>
      </c>
      <c r="O17" s="15">
        <f t="shared" si="0"/>
        <v>107</v>
      </c>
      <c r="P17" s="15">
        <f t="shared" si="1"/>
        <v>224</v>
      </c>
      <c r="R17" s="1" t="s">
        <v>13</v>
      </c>
      <c r="S17" s="17">
        <f t="shared" ref="S17:AF17" si="9">SUM(C38:C41)</f>
        <v>198</v>
      </c>
      <c r="T17" s="17">
        <f t="shared" si="9"/>
        <v>185</v>
      </c>
      <c r="U17" s="17">
        <f t="shared" si="9"/>
        <v>93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122</v>
      </c>
      <c r="AD17" s="17">
        <f t="shared" si="9"/>
        <v>0</v>
      </c>
      <c r="AE17" s="31">
        <f t="shared" si="9"/>
        <v>496</v>
      </c>
      <c r="AF17" s="31">
        <f t="shared" si="9"/>
        <v>618</v>
      </c>
    </row>
    <row r="18" spans="2:32" ht="23.1" customHeight="1" x14ac:dyDescent="0.25">
      <c r="B18" s="23" t="s">
        <v>45</v>
      </c>
      <c r="C18" s="50">
        <v>57</v>
      </c>
      <c r="D18" s="50">
        <v>48</v>
      </c>
      <c r="E18" s="50">
        <v>26</v>
      </c>
      <c r="F18" s="50">
        <v>18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0</v>
      </c>
      <c r="M18" s="50">
        <v>70</v>
      </c>
      <c r="N18" s="50">
        <v>0</v>
      </c>
      <c r="O18" s="15">
        <f t="shared" si="0"/>
        <v>152</v>
      </c>
      <c r="P18" s="15">
        <f t="shared" si="1"/>
        <v>222</v>
      </c>
      <c r="R18" s="1" t="s">
        <v>14</v>
      </c>
      <c r="S18" s="17">
        <f t="shared" ref="S18:AF18" si="10">SUM(C42:C45)</f>
        <v>295</v>
      </c>
      <c r="T18" s="17">
        <f t="shared" si="10"/>
        <v>301</v>
      </c>
      <c r="U18" s="17">
        <f t="shared" si="10"/>
        <v>78</v>
      </c>
      <c r="V18" s="17">
        <f t="shared" si="10"/>
        <v>28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3</v>
      </c>
      <c r="AA18" s="17">
        <f t="shared" si="10"/>
        <v>1</v>
      </c>
      <c r="AB18" s="17">
        <f t="shared" si="10"/>
        <v>1</v>
      </c>
      <c r="AC18" s="17">
        <f t="shared" si="10"/>
        <v>231</v>
      </c>
      <c r="AD18" s="17">
        <f t="shared" si="10"/>
        <v>0</v>
      </c>
      <c r="AE18" s="31">
        <f t="shared" si="10"/>
        <v>717</v>
      </c>
      <c r="AF18" s="31">
        <f t="shared" si="10"/>
        <v>948</v>
      </c>
    </row>
    <row r="19" spans="2:32" ht="23.1" customHeight="1" x14ac:dyDescent="0.25">
      <c r="B19" s="23" t="s">
        <v>46</v>
      </c>
      <c r="C19" s="50">
        <v>47</v>
      </c>
      <c r="D19" s="50">
        <v>34</v>
      </c>
      <c r="E19" s="50">
        <v>9</v>
      </c>
      <c r="F19" s="50">
        <v>13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57</v>
      </c>
      <c r="N19" s="50">
        <v>0</v>
      </c>
      <c r="O19" s="15">
        <f t="shared" si="0"/>
        <v>107</v>
      </c>
      <c r="P19" s="15">
        <f t="shared" si="1"/>
        <v>164</v>
      </c>
      <c r="R19" s="1" t="s">
        <v>15</v>
      </c>
      <c r="S19" s="17">
        <f t="shared" ref="S19:AF19" si="11">SUM(C46:C49)</f>
        <v>450</v>
      </c>
      <c r="T19" s="17">
        <f t="shared" si="11"/>
        <v>339</v>
      </c>
      <c r="U19" s="17">
        <f t="shared" si="11"/>
        <v>78</v>
      </c>
      <c r="V19" s="17">
        <f t="shared" si="11"/>
        <v>29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205</v>
      </c>
      <c r="AD19" s="17">
        <f t="shared" si="11"/>
        <v>0</v>
      </c>
      <c r="AE19" s="31">
        <f t="shared" si="11"/>
        <v>901</v>
      </c>
      <c r="AF19" s="31">
        <f t="shared" si="11"/>
        <v>1106</v>
      </c>
    </row>
    <row r="20" spans="2:32" ht="23.1" customHeight="1" x14ac:dyDescent="0.25">
      <c r="B20" s="23" t="s">
        <v>47</v>
      </c>
      <c r="C20" s="50">
        <v>58</v>
      </c>
      <c r="D20" s="50">
        <v>57</v>
      </c>
      <c r="E20" s="50">
        <v>8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127</v>
      </c>
      <c r="P20" s="15">
        <f t="shared" si="1"/>
        <v>182</v>
      </c>
      <c r="R20" s="1" t="s">
        <v>16</v>
      </c>
      <c r="S20" s="17">
        <f t="shared" ref="S20:AF20" si="12">SUM(C50:C53)</f>
        <v>740</v>
      </c>
      <c r="T20" s="17">
        <f t="shared" si="12"/>
        <v>626</v>
      </c>
      <c r="U20" s="17">
        <f t="shared" si="12"/>
        <v>137</v>
      </c>
      <c r="V20" s="17">
        <f t="shared" si="12"/>
        <v>47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4</v>
      </c>
      <c r="AA20" s="17">
        <f t="shared" si="12"/>
        <v>3</v>
      </c>
      <c r="AB20" s="17">
        <f t="shared" si="12"/>
        <v>3</v>
      </c>
      <c r="AC20" s="17">
        <f t="shared" si="12"/>
        <v>178</v>
      </c>
      <c r="AD20" s="17">
        <f t="shared" si="12"/>
        <v>0</v>
      </c>
      <c r="AE20" s="31">
        <f t="shared" si="12"/>
        <v>1565</v>
      </c>
      <c r="AF20" s="31">
        <f t="shared" si="12"/>
        <v>1743</v>
      </c>
    </row>
    <row r="21" spans="2:32" ht="23.1" customHeight="1" x14ac:dyDescent="0.25">
      <c r="B21" s="23" t="s">
        <v>48</v>
      </c>
      <c r="C21" s="50">
        <v>35</v>
      </c>
      <c r="D21" s="50">
        <v>30</v>
      </c>
      <c r="E21" s="50">
        <v>18</v>
      </c>
      <c r="F21" s="50">
        <v>9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0</v>
      </c>
      <c r="M21" s="50">
        <v>50</v>
      </c>
      <c r="N21" s="50">
        <v>0</v>
      </c>
      <c r="O21" s="15">
        <f t="shared" si="0"/>
        <v>95</v>
      </c>
      <c r="P21" s="15">
        <f t="shared" si="1"/>
        <v>145</v>
      </c>
      <c r="R21" s="36" t="s">
        <v>20</v>
      </c>
      <c r="S21" s="34">
        <f t="shared" ref="S21:AF21" si="13">SUM(C54:C57)</f>
        <v>465</v>
      </c>
      <c r="T21" s="17">
        <f t="shared" si="13"/>
        <v>506</v>
      </c>
      <c r="U21" s="17">
        <f t="shared" si="13"/>
        <v>37</v>
      </c>
      <c r="V21" s="17">
        <f t="shared" si="13"/>
        <v>72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2</v>
      </c>
      <c r="AA21" s="17">
        <f t="shared" si="13"/>
        <v>1</v>
      </c>
      <c r="AB21" s="17">
        <f t="shared" si="13"/>
        <v>1</v>
      </c>
      <c r="AC21" s="17">
        <f t="shared" si="13"/>
        <v>193</v>
      </c>
      <c r="AD21" s="17">
        <f t="shared" si="13"/>
        <v>0</v>
      </c>
      <c r="AE21" s="31">
        <f t="shared" si="13"/>
        <v>1089</v>
      </c>
      <c r="AF21" s="31">
        <f t="shared" si="13"/>
        <v>1282</v>
      </c>
    </row>
    <row r="22" spans="2:32" ht="23.1" customHeight="1" x14ac:dyDescent="0.25">
      <c r="B22" s="23" t="s">
        <v>49</v>
      </c>
      <c r="C22" s="50">
        <v>60</v>
      </c>
      <c r="D22" s="50">
        <v>44</v>
      </c>
      <c r="E22" s="50">
        <v>18</v>
      </c>
      <c r="F22" s="50">
        <v>13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30</v>
      </c>
      <c r="N22" s="50">
        <v>0</v>
      </c>
      <c r="O22" s="15">
        <f t="shared" si="0"/>
        <v>139</v>
      </c>
      <c r="P22" s="15">
        <f t="shared" si="1"/>
        <v>169</v>
      </c>
      <c r="R22" s="38" t="s">
        <v>90</v>
      </c>
      <c r="S22" s="39">
        <f>MAX(S10:S12)</f>
        <v>197</v>
      </c>
      <c r="T22" s="39">
        <f t="shared" ref="T22:AF22" si="14">MAX(T10:T12)</f>
        <v>169</v>
      </c>
      <c r="U22" s="39">
        <f t="shared" si="14"/>
        <v>61</v>
      </c>
      <c r="V22" s="39">
        <f t="shared" si="14"/>
        <v>53</v>
      </c>
      <c r="W22" s="39">
        <f t="shared" si="14"/>
        <v>4</v>
      </c>
      <c r="X22" s="39">
        <f t="shared" si="14"/>
        <v>0</v>
      </c>
      <c r="Y22" s="39">
        <f t="shared" si="14"/>
        <v>12</v>
      </c>
      <c r="Z22" s="39">
        <f t="shared" si="14"/>
        <v>5</v>
      </c>
      <c r="AA22" s="39">
        <f t="shared" si="14"/>
        <v>1</v>
      </c>
      <c r="AB22" s="39">
        <f t="shared" si="14"/>
        <v>0</v>
      </c>
      <c r="AC22" s="39">
        <f t="shared" si="14"/>
        <v>415</v>
      </c>
      <c r="AD22" s="39">
        <f t="shared" si="14"/>
        <v>0</v>
      </c>
      <c r="AE22" s="40">
        <f t="shared" si="14"/>
        <v>481</v>
      </c>
      <c r="AF22" s="40">
        <f t="shared" si="14"/>
        <v>831</v>
      </c>
    </row>
    <row r="23" spans="2:32" ht="23.1" customHeight="1" x14ac:dyDescent="0.25">
      <c r="B23" s="23" t="s">
        <v>50</v>
      </c>
      <c r="C23" s="50">
        <v>60</v>
      </c>
      <c r="D23" s="50">
        <v>43</v>
      </c>
      <c r="E23" s="50">
        <v>17</v>
      </c>
      <c r="F23" s="50">
        <v>10</v>
      </c>
      <c r="G23" s="50">
        <v>0</v>
      </c>
      <c r="H23" s="50">
        <v>0</v>
      </c>
      <c r="I23" s="50">
        <v>6</v>
      </c>
      <c r="J23" s="50">
        <v>3</v>
      </c>
      <c r="K23" s="50">
        <v>0</v>
      </c>
      <c r="L23" s="50">
        <v>0</v>
      </c>
      <c r="M23" s="50">
        <v>50</v>
      </c>
      <c r="N23" s="50">
        <v>0</v>
      </c>
      <c r="O23" s="15">
        <f t="shared" si="0"/>
        <v>139</v>
      </c>
      <c r="P23" s="15">
        <f t="shared" si="1"/>
        <v>189</v>
      </c>
      <c r="R23" s="38" t="s">
        <v>91</v>
      </c>
      <c r="S23" s="39">
        <f>MAX(S13:S18)</f>
        <v>297</v>
      </c>
      <c r="T23" s="39">
        <f t="shared" ref="T23:AF23" si="15">MAX(T13:T18)</f>
        <v>301</v>
      </c>
      <c r="U23" s="39">
        <f t="shared" si="15"/>
        <v>93</v>
      </c>
      <c r="V23" s="39">
        <f t="shared" si="15"/>
        <v>44</v>
      </c>
      <c r="W23" s="39">
        <f t="shared" si="15"/>
        <v>0</v>
      </c>
      <c r="X23" s="39">
        <f t="shared" si="15"/>
        <v>1</v>
      </c>
      <c r="Y23" s="39">
        <f t="shared" si="15"/>
        <v>15</v>
      </c>
      <c r="Z23" s="39">
        <f t="shared" si="15"/>
        <v>7</v>
      </c>
      <c r="AA23" s="39">
        <f t="shared" si="15"/>
        <v>1</v>
      </c>
      <c r="AB23" s="39">
        <f t="shared" si="15"/>
        <v>1</v>
      </c>
      <c r="AC23" s="39">
        <f t="shared" si="15"/>
        <v>231</v>
      </c>
      <c r="AD23" s="39">
        <f t="shared" si="15"/>
        <v>0</v>
      </c>
      <c r="AE23" s="40">
        <f t="shared" si="15"/>
        <v>717</v>
      </c>
      <c r="AF23" s="40">
        <f t="shared" si="15"/>
        <v>948</v>
      </c>
    </row>
    <row r="24" spans="2:32" ht="23.1" customHeight="1" x14ac:dyDescent="0.25">
      <c r="B24" s="23" t="s">
        <v>51</v>
      </c>
      <c r="C24" s="50">
        <v>56</v>
      </c>
      <c r="D24" s="50">
        <v>44</v>
      </c>
      <c r="E24" s="50">
        <v>7</v>
      </c>
      <c r="F24" s="50">
        <v>6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47</v>
      </c>
      <c r="N24" s="50">
        <v>0</v>
      </c>
      <c r="O24" s="15">
        <f t="shared" si="0"/>
        <v>114</v>
      </c>
      <c r="P24" s="15">
        <f t="shared" si="1"/>
        <v>161</v>
      </c>
      <c r="R24" s="38" t="s">
        <v>92</v>
      </c>
      <c r="S24" s="39">
        <f>MAX(S19:S21)</f>
        <v>740</v>
      </c>
      <c r="T24" s="39">
        <f t="shared" ref="T24:AF24" si="16">MAX(T19:T21)</f>
        <v>626</v>
      </c>
      <c r="U24" s="39">
        <f t="shared" si="16"/>
        <v>137</v>
      </c>
      <c r="V24" s="39">
        <f t="shared" si="16"/>
        <v>72</v>
      </c>
      <c r="W24" s="39">
        <f t="shared" si="16"/>
        <v>0</v>
      </c>
      <c r="X24" s="39">
        <f t="shared" si="16"/>
        <v>1</v>
      </c>
      <c r="Y24" s="39">
        <f t="shared" si="16"/>
        <v>5</v>
      </c>
      <c r="Z24" s="39">
        <f t="shared" si="16"/>
        <v>4</v>
      </c>
      <c r="AA24" s="39">
        <f t="shared" si="16"/>
        <v>3</v>
      </c>
      <c r="AB24" s="39">
        <f t="shared" si="16"/>
        <v>3</v>
      </c>
      <c r="AC24" s="39">
        <f t="shared" si="16"/>
        <v>205</v>
      </c>
      <c r="AD24" s="39">
        <f t="shared" si="16"/>
        <v>0</v>
      </c>
      <c r="AE24" s="40">
        <f t="shared" si="16"/>
        <v>1565</v>
      </c>
      <c r="AF24" s="40">
        <f t="shared" si="16"/>
        <v>1743</v>
      </c>
    </row>
    <row r="25" spans="2:32" ht="23.1" customHeight="1" x14ac:dyDescent="0.25">
      <c r="B25" s="23" t="s">
        <v>52</v>
      </c>
      <c r="C25" s="50">
        <v>53</v>
      </c>
      <c r="D25" s="50">
        <v>72</v>
      </c>
      <c r="E25" s="50">
        <v>10</v>
      </c>
      <c r="F25" s="50">
        <v>15</v>
      </c>
      <c r="G25" s="50">
        <v>0</v>
      </c>
      <c r="H25" s="50">
        <v>0</v>
      </c>
      <c r="I25" s="50">
        <v>4</v>
      </c>
      <c r="J25" s="50">
        <v>4</v>
      </c>
      <c r="K25" s="50">
        <v>0</v>
      </c>
      <c r="L25" s="50">
        <v>0</v>
      </c>
      <c r="M25" s="50">
        <v>63</v>
      </c>
      <c r="N25" s="50">
        <v>0</v>
      </c>
      <c r="O25" s="15">
        <f t="shared" si="0"/>
        <v>158</v>
      </c>
      <c r="P25" s="15">
        <f t="shared" si="1"/>
        <v>221</v>
      </c>
      <c r="R25" s="37" t="s">
        <v>85</v>
      </c>
      <c r="S25" s="35">
        <f t="shared" ref="S25:AF25" si="17">SUM(S10:S12)</f>
        <v>544</v>
      </c>
      <c r="T25" s="16">
        <f t="shared" si="17"/>
        <v>407</v>
      </c>
      <c r="U25" s="16">
        <f t="shared" si="17"/>
        <v>118</v>
      </c>
      <c r="V25" s="16">
        <f t="shared" si="17"/>
        <v>135</v>
      </c>
      <c r="W25" s="16">
        <f t="shared" si="17"/>
        <v>4</v>
      </c>
      <c r="X25" s="16">
        <f t="shared" si="17"/>
        <v>0</v>
      </c>
      <c r="Y25" s="16">
        <f t="shared" si="17"/>
        <v>24</v>
      </c>
      <c r="Z25" s="16">
        <f t="shared" si="17"/>
        <v>12</v>
      </c>
      <c r="AA25" s="16">
        <f t="shared" si="17"/>
        <v>1</v>
      </c>
      <c r="AB25" s="16">
        <f t="shared" si="17"/>
        <v>0</v>
      </c>
      <c r="AC25" s="16">
        <f t="shared" si="17"/>
        <v>865</v>
      </c>
      <c r="AD25" s="16">
        <f t="shared" si="17"/>
        <v>0</v>
      </c>
      <c r="AE25" s="32">
        <f t="shared" si="17"/>
        <v>1245</v>
      </c>
      <c r="AF25" s="32">
        <f t="shared" si="17"/>
        <v>2110</v>
      </c>
    </row>
    <row r="26" spans="2:32" ht="23.1" customHeight="1" x14ac:dyDescent="0.25">
      <c r="B26" s="23" t="s">
        <v>53</v>
      </c>
      <c r="C26" s="50">
        <v>48</v>
      </c>
      <c r="D26" s="50">
        <v>16</v>
      </c>
      <c r="E26" s="50">
        <v>10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43</v>
      </c>
      <c r="N26" s="50">
        <v>0</v>
      </c>
      <c r="O26" s="15">
        <f t="shared" si="0"/>
        <v>78</v>
      </c>
      <c r="P26" s="15">
        <f t="shared" si="1"/>
        <v>121</v>
      </c>
      <c r="R26" s="28" t="s">
        <v>86</v>
      </c>
      <c r="S26" s="16">
        <f t="shared" ref="S26:AF26" si="18">SUM(S13:S18)</f>
        <v>1501</v>
      </c>
      <c r="T26" s="16">
        <f t="shared" si="18"/>
        <v>1150</v>
      </c>
      <c r="U26" s="16">
        <f t="shared" si="18"/>
        <v>363</v>
      </c>
      <c r="V26" s="16">
        <f t="shared" si="18"/>
        <v>155</v>
      </c>
      <c r="W26" s="16">
        <f t="shared" si="18"/>
        <v>0</v>
      </c>
      <c r="X26" s="16">
        <f t="shared" si="18"/>
        <v>1</v>
      </c>
      <c r="Y26" s="16">
        <f t="shared" si="18"/>
        <v>55</v>
      </c>
      <c r="Z26" s="16">
        <f t="shared" si="18"/>
        <v>16</v>
      </c>
      <c r="AA26" s="16">
        <f t="shared" si="18"/>
        <v>4</v>
      </c>
      <c r="AB26" s="16">
        <f t="shared" si="18"/>
        <v>1</v>
      </c>
      <c r="AC26" s="16">
        <f t="shared" si="18"/>
        <v>1027</v>
      </c>
      <c r="AD26" s="16">
        <f t="shared" si="18"/>
        <v>0</v>
      </c>
      <c r="AE26" s="32">
        <f t="shared" si="18"/>
        <v>3246</v>
      </c>
      <c r="AF26" s="32">
        <f t="shared" si="18"/>
        <v>4273</v>
      </c>
    </row>
    <row r="27" spans="2:32" ht="23.1" customHeight="1" x14ac:dyDescent="0.25">
      <c r="B27" s="23" t="s">
        <v>54</v>
      </c>
      <c r="C27" s="50">
        <v>48</v>
      </c>
      <c r="D27" s="50">
        <v>32</v>
      </c>
      <c r="E27" s="50">
        <v>17</v>
      </c>
      <c r="F27" s="50">
        <v>6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36</v>
      </c>
      <c r="N27" s="50">
        <v>0</v>
      </c>
      <c r="O27" s="15">
        <f t="shared" si="0"/>
        <v>104</v>
      </c>
      <c r="P27" s="15">
        <f t="shared" si="1"/>
        <v>140</v>
      </c>
      <c r="R27" s="29" t="s">
        <v>87</v>
      </c>
      <c r="S27" s="16">
        <f t="shared" ref="S27:AF27" si="19">SUM(S19:S21)</f>
        <v>1655</v>
      </c>
      <c r="T27" s="16">
        <f t="shared" si="19"/>
        <v>1471</v>
      </c>
      <c r="U27" s="16">
        <f t="shared" si="19"/>
        <v>252</v>
      </c>
      <c r="V27" s="16">
        <f t="shared" si="19"/>
        <v>148</v>
      </c>
      <c r="W27" s="16">
        <f t="shared" si="19"/>
        <v>0</v>
      </c>
      <c r="X27" s="16">
        <f t="shared" si="19"/>
        <v>1</v>
      </c>
      <c r="Y27" s="16">
        <f t="shared" si="19"/>
        <v>14</v>
      </c>
      <c r="Z27" s="16">
        <f t="shared" si="19"/>
        <v>6</v>
      </c>
      <c r="AA27" s="16">
        <f t="shared" si="19"/>
        <v>4</v>
      </c>
      <c r="AB27" s="16">
        <f t="shared" si="19"/>
        <v>4</v>
      </c>
      <c r="AC27" s="16">
        <f t="shared" si="19"/>
        <v>576</v>
      </c>
      <c r="AD27" s="16">
        <f t="shared" si="19"/>
        <v>0</v>
      </c>
      <c r="AE27" s="32">
        <f t="shared" si="19"/>
        <v>3555</v>
      </c>
      <c r="AF27" s="32">
        <f t="shared" si="19"/>
        <v>4131</v>
      </c>
    </row>
    <row r="28" spans="2:32" ht="23.1" customHeight="1" x14ac:dyDescent="0.25">
      <c r="B28" s="23" t="s">
        <v>55</v>
      </c>
      <c r="C28" s="50">
        <v>63</v>
      </c>
      <c r="D28" s="50">
        <v>31</v>
      </c>
      <c r="E28" s="50">
        <v>11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60</v>
      </c>
      <c r="N28" s="50">
        <v>0</v>
      </c>
      <c r="O28" s="15">
        <f t="shared" si="0"/>
        <v>107</v>
      </c>
      <c r="P28" s="15">
        <f t="shared" si="1"/>
        <v>167</v>
      </c>
      <c r="R28" s="5" t="s">
        <v>17</v>
      </c>
      <c r="S28" s="16">
        <f t="shared" ref="S28:AF28" si="20">SUM(S10:S21)</f>
        <v>3700</v>
      </c>
      <c r="T28" s="16">
        <f t="shared" si="20"/>
        <v>3028</v>
      </c>
      <c r="U28" s="16">
        <f t="shared" si="20"/>
        <v>733</v>
      </c>
      <c r="V28" s="16">
        <f t="shared" si="20"/>
        <v>438</v>
      </c>
      <c r="W28" s="16">
        <f t="shared" si="20"/>
        <v>4</v>
      </c>
      <c r="X28" s="16">
        <f t="shared" si="20"/>
        <v>2</v>
      </c>
      <c r="Y28" s="16">
        <f t="shared" si="20"/>
        <v>93</v>
      </c>
      <c r="Z28" s="16">
        <f t="shared" si="20"/>
        <v>34</v>
      </c>
      <c r="AA28" s="16">
        <f t="shared" si="20"/>
        <v>9</v>
      </c>
      <c r="AB28" s="16">
        <f t="shared" si="20"/>
        <v>5</v>
      </c>
      <c r="AC28" s="16">
        <f t="shared" si="20"/>
        <v>2468</v>
      </c>
      <c r="AD28" s="16">
        <f t="shared" si="20"/>
        <v>0</v>
      </c>
      <c r="AE28" s="32">
        <f t="shared" si="20"/>
        <v>8046</v>
      </c>
      <c r="AF28" s="32">
        <f t="shared" si="20"/>
        <v>10514</v>
      </c>
    </row>
    <row r="29" spans="2:32" ht="23.1" customHeight="1" x14ac:dyDescent="0.25">
      <c r="B29" s="23" t="s">
        <v>56</v>
      </c>
      <c r="C29" s="50">
        <v>49</v>
      </c>
      <c r="D29" s="50">
        <v>42</v>
      </c>
      <c r="E29" s="50">
        <v>4</v>
      </c>
      <c r="F29" s="50">
        <v>5</v>
      </c>
      <c r="G29" s="50">
        <v>0</v>
      </c>
      <c r="H29" s="50">
        <v>1</v>
      </c>
      <c r="I29" s="50">
        <v>1</v>
      </c>
      <c r="J29" s="50">
        <v>0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102</v>
      </c>
      <c r="P29" s="15">
        <f t="shared" si="1"/>
        <v>147</v>
      </c>
      <c r="R29"/>
      <c r="S29" s="20"/>
      <c r="T29" s="19"/>
    </row>
    <row r="30" spans="2:32" ht="23.1" customHeight="1" x14ac:dyDescent="0.25">
      <c r="B30" s="23" t="s">
        <v>57</v>
      </c>
      <c r="C30" s="50">
        <v>67</v>
      </c>
      <c r="D30" s="50">
        <v>47</v>
      </c>
      <c r="E30" s="50">
        <v>7</v>
      </c>
      <c r="F30" s="50">
        <v>5</v>
      </c>
      <c r="G30" s="50">
        <v>0</v>
      </c>
      <c r="H30" s="50">
        <v>0</v>
      </c>
      <c r="I30" s="50">
        <v>6</v>
      </c>
      <c r="J30" s="50">
        <v>0</v>
      </c>
      <c r="K30" s="50">
        <v>0</v>
      </c>
      <c r="L30" s="50">
        <v>0</v>
      </c>
      <c r="M30" s="50">
        <v>43</v>
      </c>
      <c r="N30" s="50">
        <v>0</v>
      </c>
      <c r="O30" s="15">
        <f t="shared" si="0"/>
        <v>132</v>
      </c>
      <c r="P30" s="15">
        <f t="shared" si="1"/>
        <v>175</v>
      </c>
    </row>
    <row r="31" spans="2:32" ht="23.1" customHeight="1" x14ac:dyDescent="0.25">
      <c r="B31" s="24" t="s">
        <v>58</v>
      </c>
      <c r="C31" s="50">
        <v>57</v>
      </c>
      <c r="D31" s="50">
        <v>25</v>
      </c>
      <c r="E31" s="50">
        <v>15</v>
      </c>
      <c r="F31" s="50">
        <v>6</v>
      </c>
      <c r="G31" s="50">
        <v>0</v>
      </c>
      <c r="H31" s="50">
        <v>0</v>
      </c>
      <c r="I31" s="50">
        <v>6</v>
      </c>
      <c r="J31" s="50">
        <v>1</v>
      </c>
      <c r="K31" s="50">
        <v>0</v>
      </c>
      <c r="L31" s="50">
        <v>0</v>
      </c>
      <c r="M31" s="50">
        <v>43</v>
      </c>
      <c r="N31" s="50">
        <v>0</v>
      </c>
      <c r="O31" s="15">
        <f t="shared" si="0"/>
        <v>110</v>
      </c>
      <c r="P31" s="15">
        <f t="shared" si="1"/>
        <v>153</v>
      </c>
    </row>
    <row r="32" spans="2:32" ht="23.1" customHeight="1" x14ac:dyDescent="0.25">
      <c r="B32" s="24" t="s">
        <v>59</v>
      </c>
      <c r="C32" s="50">
        <v>76</v>
      </c>
      <c r="D32" s="50">
        <v>26</v>
      </c>
      <c r="E32" s="50">
        <v>13</v>
      </c>
      <c r="F32" s="50">
        <v>4</v>
      </c>
      <c r="G32" s="50">
        <v>0</v>
      </c>
      <c r="H32" s="50">
        <v>0</v>
      </c>
      <c r="I32" s="50">
        <v>2</v>
      </c>
      <c r="J32" s="50">
        <v>0</v>
      </c>
      <c r="K32" s="50">
        <v>1</v>
      </c>
      <c r="L32" s="50">
        <v>0</v>
      </c>
      <c r="M32" s="50">
        <v>58</v>
      </c>
      <c r="N32" s="50">
        <v>0</v>
      </c>
      <c r="O32" s="15">
        <f t="shared" si="0"/>
        <v>122</v>
      </c>
      <c r="P32" s="15">
        <f t="shared" si="1"/>
        <v>180</v>
      </c>
    </row>
    <row r="33" spans="2:20" ht="23.1" customHeight="1" x14ac:dyDescent="0.25">
      <c r="B33" s="23" t="s">
        <v>60</v>
      </c>
      <c r="C33" s="50">
        <v>74</v>
      </c>
      <c r="D33" s="50">
        <v>45</v>
      </c>
      <c r="E33" s="50">
        <v>17</v>
      </c>
      <c r="F33" s="50">
        <v>16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32</v>
      </c>
      <c r="N33" s="50">
        <v>0</v>
      </c>
      <c r="O33" s="15">
        <f t="shared" si="0"/>
        <v>153</v>
      </c>
      <c r="P33" s="15">
        <f t="shared" si="1"/>
        <v>185</v>
      </c>
    </row>
    <row r="34" spans="2:20" ht="23.1" customHeight="1" x14ac:dyDescent="0.25">
      <c r="B34" s="24" t="s">
        <v>61</v>
      </c>
      <c r="C34" s="50">
        <v>51</v>
      </c>
      <c r="D34" s="50">
        <v>40</v>
      </c>
      <c r="E34" s="50">
        <v>9</v>
      </c>
      <c r="F34" s="50">
        <v>10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41</v>
      </c>
      <c r="N34" s="50">
        <v>0</v>
      </c>
      <c r="O34" s="15">
        <f t="shared" si="0"/>
        <v>111</v>
      </c>
      <c r="P34" s="15">
        <f t="shared" si="1"/>
        <v>152</v>
      </c>
    </row>
    <row r="35" spans="2:20" ht="23.1" customHeight="1" x14ac:dyDescent="0.25">
      <c r="B35" s="24" t="s">
        <v>62</v>
      </c>
      <c r="C35" s="50">
        <v>73</v>
      </c>
      <c r="D35" s="50">
        <v>55</v>
      </c>
      <c r="E35" s="50">
        <v>11</v>
      </c>
      <c r="F35" s="50">
        <v>4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27</v>
      </c>
      <c r="N35" s="50">
        <v>0</v>
      </c>
      <c r="O35" s="15">
        <f t="shared" si="0"/>
        <v>145</v>
      </c>
      <c r="P35" s="15">
        <f t="shared" si="1"/>
        <v>172</v>
      </c>
    </row>
    <row r="36" spans="2:20" ht="23.1" customHeight="1" x14ac:dyDescent="0.25">
      <c r="B36" s="24" t="s">
        <v>63</v>
      </c>
      <c r="C36" s="50">
        <v>87</v>
      </c>
      <c r="D36" s="50">
        <v>47</v>
      </c>
      <c r="E36" s="50">
        <v>9</v>
      </c>
      <c r="F36" s="50">
        <v>8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28</v>
      </c>
      <c r="N36" s="50">
        <v>0</v>
      </c>
      <c r="O36" s="15">
        <f t="shared" si="0"/>
        <v>154</v>
      </c>
      <c r="P36" s="15">
        <f t="shared" si="1"/>
        <v>182</v>
      </c>
    </row>
    <row r="37" spans="2:20" ht="23.1" customHeight="1" x14ac:dyDescent="0.25">
      <c r="B37" s="23" t="s">
        <v>64</v>
      </c>
      <c r="C37" s="50">
        <v>86</v>
      </c>
      <c r="D37" s="50">
        <v>55</v>
      </c>
      <c r="E37" s="50">
        <v>17</v>
      </c>
      <c r="F37" s="50">
        <v>2</v>
      </c>
      <c r="G37" s="50">
        <v>0</v>
      </c>
      <c r="H37" s="50">
        <v>0</v>
      </c>
      <c r="I37" s="50">
        <v>3</v>
      </c>
      <c r="J37" s="50">
        <v>1</v>
      </c>
      <c r="K37" s="50">
        <v>1</v>
      </c>
      <c r="L37" s="50">
        <v>0</v>
      </c>
      <c r="M37" s="50">
        <v>28</v>
      </c>
      <c r="N37" s="50">
        <v>0</v>
      </c>
      <c r="O37" s="15">
        <f t="shared" si="0"/>
        <v>165</v>
      </c>
      <c r="P37" s="15">
        <f t="shared" si="1"/>
        <v>193</v>
      </c>
    </row>
    <row r="38" spans="2:20" ht="23.1" customHeight="1" x14ac:dyDescent="0.25">
      <c r="B38" s="24" t="s">
        <v>65</v>
      </c>
      <c r="C38" s="50">
        <v>42</v>
      </c>
      <c r="D38" s="50">
        <v>28</v>
      </c>
      <c r="E38" s="50">
        <v>10</v>
      </c>
      <c r="F38" s="50">
        <v>2</v>
      </c>
      <c r="G38" s="50">
        <v>0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84</v>
      </c>
      <c r="P38" s="15">
        <f t="shared" si="1"/>
        <v>103</v>
      </c>
    </row>
    <row r="39" spans="2:20" ht="23.1" customHeight="1" x14ac:dyDescent="0.25">
      <c r="B39" s="24" t="s">
        <v>66</v>
      </c>
      <c r="C39" s="50">
        <v>48</v>
      </c>
      <c r="D39" s="50">
        <v>67</v>
      </c>
      <c r="E39" s="50">
        <v>41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22</v>
      </c>
      <c r="N39" s="50">
        <v>0</v>
      </c>
      <c r="O39" s="15">
        <f t="shared" si="0"/>
        <v>157</v>
      </c>
      <c r="P39" s="15">
        <f t="shared" si="1"/>
        <v>179</v>
      </c>
    </row>
    <row r="40" spans="2:20" ht="23.1" customHeight="1" x14ac:dyDescent="0.25">
      <c r="B40" s="24" t="s">
        <v>67</v>
      </c>
      <c r="C40" s="50">
        <v>45</v>
      </c>
      <c r="D40" s="50">
        <v>46</v>
      </c>
      <c r="E40" s="50">
        <v>29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45</v>
      </c>
      <c r="N40" s="50">
        <v>0</v>
      </c>
      <c r="O40" s="15">
        <f t="shared" si="0"/>
        <v>125</v>
      </c>
      <c r="P40" s="15">
        <f t="shared" si="1"/>
        <v>170</v>
      </c>
    </row>
    <row r="41" spans="2:20" ht="23.1" customHeight="1" x14ac:dyDescent="0.25">
      <c r="B41" s="23" t="s">
        <v>68</v>
      </c>
      <c r="C41" s="50">
        <v>63</v>
      </c>
      <c r="D41" s="50">
        <v>44</v>
      </c>
      <c r="E41" s="50">
        <v>13</v>
      </c>
      <c r="F41" s="50">
        <v>6</v>
      </c>
      <c r="G41" s="50">
        <v>0</v>
      </c>
      <c r="H41" s="50">
        <v>0</v>
      </c>
      <c r="I41" s="50">
        <v>3</v>
      </c>
      <c r="J41" s="50">
        <v>0</v>
      </c>
      <c r="K41" s="50">
        <v>1</v>
      </c>
      <c r="L41" s="50">
        <v>0</v>
      </c>
      <c r="M41" s="50">
        <v>36</v>
      </c>
      <c r="N41" s="50">
        <v>0</v>
      </c>
      <c r="O41" s="15">
        <f t="shared" si="0"/>
        <v>130</v>
      </c>
      <c r="P41" s="15">
        <f t="shared" si="1"/>
        <v>166</v>
      </c>
    </row>
    <row r="42" spans="2:20" ht="23.1" customHeight="1" x14ac:dyDescent="0.25">
      <c r="B42" s="24" t="s">
        <v>69</v>
      </c>
      <c r="C42" s="50">
        <v>53</v>
      </c>
      <c r="D42" s="50">
        <v>83</v>
      </c>
      <c r="E42" s="50">
        <v>20</v>
      </c>
      <c r="F42" s="50">
        <v>6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26</v>
      </c>
      <c r="N42" s="50">
        <v>0</v>
      </c>
      <c r="O42" s="15">
        <f t="shared" si="0"/>
        <v>163</v>
      </c>
      <c r="P42" s="15">
        <f t="shared" si="1"/>
        <v>189</v>
      </c>
    </row>
    <row r="43" spans="2:20" ht="23.1" customHeight="1" x14ac:dyDescent="0.25">
      <c r="B43" s="23" t="s">
        <v>70</v>
      </c>
      <c r="C43" s="50">
        <v>73</v>
      </c>
      <c r="D43" s="50">
        <v>81</v>
      </c>
      <c r="E43" s="50">
        <v>14</v>
      </c>
      <c r="F43" s="50">
        <v>6</v>
      </c>
      <c r="G43" s="50">
        <v>0</v>
      </c>
      <c r="H43" s="50">
        <v>0</v>
      </c>
      <c r="I43" s="50">
        <v>3</v>
      </c>
      <c r="J43" s="50">
        <v>1</v>
      </c>
      <c r="K43" s="50">
        <v>1</v>
      </c>
      <c r="L43" s="50">
        <v>0</v>
      </c>
      <c r="M43" s="50">
        <v>35</v>
      </c>
      <c r="N43" s="50">
        <v>0</v>
      </c>
      <c r="O43" s="15">
        <f t="shared" si="0"/>
        <v>179</v>
      </c>
      <c r="P43" s="15">
        <f t="shared" si="1"/>
        <v>214</v>
      </c>
    </row>
    <row r="44" spans="2:20" ht="23.1" customHeight="1" x14ac:dyDescent="0.25">
      <c r="B44" s="25" t="s">
        <v>71</v>
      </c>
      <c r="C44" s="50">
        <v>83</v>
      </c>
      <c r="D44" s="50">
        <v>71</v>
      </c>
      <c r="E44" s="50">
        <v>22</v>
      </c>
      <c r="F44" s="50">
        <v>10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0</v>
      </c>
      <c r="M44" s="50">
        <v>55</v>
      </c>
      <c r="N44" s="50">
        <v>0</v>
      </c>
      <c r="O44" s="15">
        <f t="shared" si="0"/>
        <v>192</v>
      </c>
      <c r="P44" s="15">
        <f t="shared" si="1"/>
        <v>247</v>
      </c>
    </row>
    <row r="45" spans="2:20" ht="23.1" customHeight="1" x14ac:dyDescent="0.25">
      <c r="B45" s="23" t="s">
        <v>72</v>
      </c>
      <c r="C45" s="50">
        <v>86</v>
      </c>
      <c r="D45" s="50">
        <v>66</v>
      </c>
      <c r="E45" s="50">
        <v>22</v>
      </c>
      <c r="F45" s="50">
        <v>6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115</v>
      </c>
      <c r="N45" s="50">
        <v>0</v>
      </c>
      <c r="O45" s="15">
        <f t="shared" si="0"/>
        <v>183</v>
      </c>
      <c r="P45" s="15">
        <f t="shared" si="1"/>
        <v>298</v>
      </c>
    </row>
    <row r="46" spans="2:20" ht="23.1" customHeight="1" x14ac:dyDescent="0.25">
      <c r="B46" s="24" t="s">
        <v>73</v>
      </c>
      <c r="C46" s="50">
        <v>101</v>
      </c>
      <c r="D46" s="50">
        <v>70</v>
      </c>
      <c r="E46" s="50">
        <v>26</v>
      </c>
      <c r="F46" s="50">
        <v>7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83</v>
      </c>
      <c r="N46" s="50">
        <v>0</v>
      </c>
      <c r="O46" s="15">
        <f t="shared" si="0"/>
        <v>206</v>
      </c>
      <c r="P46" s="15">
        <f t="shared" si="1"/>
        <v>289</v>
      </c>
      <c r="R46" s="8"/>
      <c r="T46"/>
    </row>
    <row r="47" spans="2:20" ht="23.1" customHeight="1" x14ac:dyDescent="0.25">
      <c r="B47" s="24" t="s">
        <v>74</v>
      </c>
      <c r="C47" s="50">
        <v>108</v>
      </c>
      <c r="D47" s="50">
        <v>98</v>
      </c>
      <c r="E47" s="50">
        <v>13</v>
      </c>
      <c r="F47" s="50">
        <v>7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53</v>
      </c>
      <c r="N47" s="50">
        <v>0</v>
      </c>
      <c r="O47" s="15">
        <f t="shared" si="0"/>
        <v>227</v>
      </c>
      <c r="P47" s="15">
        <f t="shared" si="1"/>
        <v>280</v>
      </c>
      <c r="R47" s="8"/>
      <c r="T47"/>
    </row>
    <row r="48" spans="2:20" ht="23.1" customHeight="1" x14ac:dyDescent="0.25">
      <c r="B48" s="24" t="s">
        <v>75</v>
      </c>
      <c r="C48" s="50">
        <v>101</v>
      </c>
      <c r="D48" s="50">
        <v>77</v>
      </c>
      <c r="E48" s="50">
        <v>16</v>
      </c>
      <c r="F48" s="50">
        <v>6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45</v>
      </c>
      <c r="N48" s="50">
        <v>0</v>
      </c>
      <c r="O48" s="15">
        <f t="shared" si="0"/>
        <v>202</v>
      </c>
      <c r="P48" s="15">
        <f t="shared" si="1"/>
        <v>247</v>
      </c>
      <c r="R48" s="8"/>
      <c r="T48"/>
    </row>
    <row r="49" spans="2:20" ht="23.1" customHeight="1" x14ac:dyDescent="0.25">
      <c r="B49" s="23" t="s">
        <v>76</v>
      </c>
      <c r="C49" s="50">
        <v>140</v>
      </c>
      <c r="D49" s="50">
        <v>94</v>
      </c>
      <c r="E49" s="50">
        <v>23</v>
      </c>
      <c r="F49" s="50">
        <v>9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266</v>
      </c>
      <c r="P49" s="15">
        <f t="shared" si="1"/>
        <v>290</v>
      </c>
      <c r="R49" s="8"/>
      <c r="T49"/>
    </row>
    <row r="50" spans="2:20" ht="23.1" customHeight="1" x14ac:dyDescent="0.25">
      <c r="B50" s="24" t="s">
        <v>77</v>
      </c>
      <c r="C50" s="50">
        <v>175</v>
      </c>
      <c r="D50" s="50">
        <v>106</v>
      </c>
      <c r="E50" s="50">
        <v>22</v>
      </c>
      <c r="F50" s="50">
        <v>9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46</v>
      </c>
      <c r="N50" s="50">
        <v>0</v>
      </c>
      <c r="O50" s="15">
        <f t="shared" si="0"/>
        <v>314</v>
      </c>
      <c r="P50" s="15">
        <f t="shared" si="1"/>
        <v>360</v>
      </c>
      <c r="R50" s="8"/>
      <c r="T50"/>
    </row>
    <row r="51" spans="2:20" ht="23.1" customHeight="1" x14ac:dyDescent="0.25">
      <c r="B51" s="24" t="s">
        <v>78</v>
      </c>
      <c r="C51" s="50">
        <v>165</v>
      </c>
      <c r="D51" s="50">
        <v>165</v>
      </c>
      <c r="E51" s="50">
        <v>25</v>
      </c>
      <c r="F51" s="50">
        <v>11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1</v>
      </c>
      <c r="M51" s="50">
        <v>37</v>
      </c>
      <c r="N51" s="50">
        <v>0</v>
      </c>
      <c r="O51" s="15">
        <f t="shared" si="0"/>
        <v>370</v>
      </c>
      <c r="P51" s="15">
        <f t="shared" si="1"/>
        <v>407</v>
      </c>
      <c r="R51" s="8"/>
      <c r="T51"/>
    </row>
    <row r="52" spans="2:20" ht="23.1" customHeight="1" x14ac:dyDescent="0.25">
      <c r="B52" s="24" t="s">
        <v>79</v>
      </c>
      <c r="C52" s="50">
        <v>185</v>
      </c>
      <c r="D52" s="50">
        <v>165</v>
      </c>
      <c r="E52" s="50">
        <v>45</v>
      </c>
      <c r="F52" s="50">
        <v>20</v>
      </c>
      <c r="G52" s="50">
        <v>0</v>
      </c>
      <c r="H52" s="50">
        <v>0</v>
      </c>
      <c r="I52" s="50">
        <v>3</v>
      </c>
      <c r="J52" s="50">
        <v>2</v>
      </c>
      <c r="K52" s="50">
        <v>0</v>
      </c>
      <c r="L52" s="50">
        <v>0</v>
      </c>
      <c r="M52" s="50">
        <v>55</v>
      </c>
      <c r="N52" s="50">
        <v>0</v>
      </c>
      <c r="O52" s="15">
        <f t="shared" si="0"/>
        <v>420</v>
      </c>
      <c r="P52" s="15">
        <f t="shared" si="1"/>
        <v>475</v>
      </c>
      <c r="R52" s="8"/>
      <c r="T52"/>
    </row>
    <row r="53" spans="2:20" ht="23.1" customHeight="1" x14ac:dyDescent="0.25">
      <c r="B53" s="23" t="s">
        <v>80</v>
      </c>
      <c r="C53" s="50">
        <v>215</v>
      </c>
      <c r="D53" s="50">
        <v>190</v>
      </c>
      <c r="E53" s="50">
        <v>45</v>
      </c>
      <c r="F53" s="50">
        <v>7</v>
      </c>
      <c r="G53" s="50">
        <v>0</v>
      </c>
      <c r="H53" s="50">
        <v>0</v>
      </c>
      <c r="I53" s="50">
        <v>0</v>
      </c>
      <c r="J53" s="50">
        <v>1</v>
      </c>
      <c r="K53" s="50">
        <v>2</v>
      </c>
      <c r="L53" s="50">
        <v>1</v>
      </c>
      <c r="M53" s="50">
        <v>40</v>
      </c>
      <c r="N53" s="50">
        <v>0</v>
      </c>
      <c r="O53" s="15">
        <f t="shared" si="0"/>
        <v>461</v>
      </c>
      <c r="P53" s="15">
        <f t="shared" si="1"/>
        <v>501</v>
      </c>
      <c r="R53" s="8"/>
      <c r="T53"/>
    </row>
    <row r="54" spans="2:20" ht="23.1" customHeight="1" x14ac:dyDescent="0.25">
      <c r="B54" s="23" t="s">
        <v>81</v>
      </c>
      <c r="C54" s="50">
        <v>130</v>
      </c>
      <c r="D54" s="50">
        <v>164</v>
      </c>
      <c r="E54" s="50">
        <v>8</v>
      </c>
      <c r="F54" s="50">
        <v>30</v>
      </c>
      <c r="G54" s="50">
        <v>0</v>
      </c>
      <c r="H54" s="50">
        <v>1</v>
      </c>
      <c r="I54" s="50">
        <v>2</v>
      </c>
      <c r="J54" s="50">
        <v>1</v>
      </c>
      <c r="K54" s="50">
        <v>1</v>
      </c>
      <c r="L54" s="50">
        <v>1</v>
      </c>
      <c r="M54" s="50">
        <v>48</v>
      </c>
      <c r="N54" s="50">
        <v>0</v>
      </c>
      <c r="O54" s="15">
        <f t="shared" si="0"/>
        <v>338</v>
      </c>
      <c r="P54" s="15">
        <f t="shared" si="1"/>
        <v>386</v>
      </c>
      <c r="R54" s="8"/>
      <c r="T54"/>
    </row>
    <row r="55" spans="2:20" ht="23.1" customHeight="1" x14ac:dyDescent="0.25">
      <c r="B55" s="23" t="s">
        <v>82</v>
      </c>
      <c r="C55" s="50">
        <v>120</v>
      </c>
      <c r="D55" s="50">
        <v>130</v>
      </c>
      <c r="E55" s="50">
        <v>13</v>
      </c>
      <c r="F55" s="50">
        <v>9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55</v>
      </c>
      <c r="N55" s="50">
        <v>0</v>
      </c>
      <c r="O55" s="15">
        <f t="shared" si="0"/>
        <v>275</v>
      </c>
      <c r="P55" s="15">
        <f t="shared" si="1"/>
        <v>330</v>
      </c>
      <c r="R55" s="8"/>
      <c r="T55"/>
    </row>
    <row r="56" spans="2:20" ht="23.1" customHeight="1" x14ac:dyDescent="0.25">
      <c r="B56" s="23" t="s">
        <v>83</v>
      </c>
      <c r="C56" s="50">
        <v>100</v>
      </c>
      <c r="D56" s="50">
        <v>98</v>
      </c>
      <c r="E56" s="50">
        <v>7</v>
      </c>
      <c r="F56" s="50">
        <v>9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40</v>
      </c>
      <c r="N56" s="50">
        <v>0</v>
      </c>
      <c r="O56" s="15">
        <f t="shared" si="0"/>
        <v>214</v>
      </c>
      <c r="P56" s="15">
        <f t="shared" si="1"/>
        <v>254</v>
      </c>
      <c r="R56" s="8"/>
      <c r="T56"/>
    </row>
    <row r="57" spans="2:20" ht="23.1" customHeight="1" x14ac:dyDescent="0.25">
      <c r="B57" s="23" t="s">
        <v>84</v>
      </c>
      <c r="C57" s="50">
        <v>115</v>
      </c>
      <c r="D57" s="50">
        <v>114</v>
      </c>
      <c r="E57" s="50">
        <v>9</v>
      </c>
      <c r="F57" s="50">
        <v>24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262</v>
      </c>
      <c r="P57" s="15">
        <f t="shared" si="1"/>
        <v>312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3700</v>
      </c>
      <c r="D58" s="16">
        <f t="shared" si="21"/>
        <v>3028</v>
      </c>
      <c r="E58" s="16">
        <f t="shared" si="21"/>
        <v>733</v>
      </c>
      <c r="F58" s="16">
        <f t="shared" si="21"/>
        <v>438</v>
      </c>
      <c r="G58" s="16">
        <f t="shared" si="21"/>
        <v>4</v>
      </c>
      <c r="H58" s="16">
        <f t="shared" si="21"/>
        <v>2</v>
      </c>
      <c r="I58" s="16">
        <f t="shared" si="21"/>
        <v>93</v>
      </c>
      <c r="J58" s="16">
        <f t="shared" si="21"/>
        <v>34</v>
      </c>
      <c r="K58" s="16">
        <f t="shared" si="21"/>
        <v>9</v>
      </c>
      <c r="L58" s="16">
        <f t="shared" si="21"/>
        <v>5</v>
      </c>
      <c r="M58" s="16">
        <f t="shared" si="21"/>
        <v>2468</v>
      </c>
      <c r="N58" s="16">
        <f t="shared" si="21"/>
        <v>0</v>
      </c>
      <c r="O58" s="16">
        <f t="shared" si="21"/>
        <v>8046</v>
      </c>
      <c r="P58" s="16">
        <f t="shared" si="21"/>
        <v>10514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0.3519117367319764</v>
      </c>
      <c r="D59" s="43">
        <f t="shared" si="22"/>
        <v>0.28799695643903367</v>
      </c>
      <c r="E59" s="43">
        <f t="shared" si="22"/>
        <v>6.9716568385010461E-2</v>
      </c>
      <c r="F59" s="43">
        <f t="shared" si="22"/>
        <v>4.1658740726650184E-2</v>
      </c>
      <c r="G59" s="43">
        <f t="shared" si="22"/>
        <v>3.8044512079132587E-4</v>
      </c>
      <c r="H59" s="43">
        <f t="shared" si="22"/>
        <v>1.9022256039566293E-4</v>
      </c>
      <c r="I59" s="43">
        <f t="shared" si="22"/>
        <v>8.8453490583983267E-3</v>
      </c>
      <c r="J59" s="43">
        <f t="shared" si="22"/>
        <v>3.2337835267262699E-3</v>
      </c>
      <c r="K59" s="43">
        <f t="shared" si="22"/>
        <v>8.5600152178048319E-4</v>
      </c>
      <c r="L59" s="43">
        <f t="shared" si="22"/>
        <v>4.7555640098915732E-4</v>
      </c>
      <c r="M59" s="43">
        <f t="shared" si="22"/>
        <v>0.23473463952824805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0.45985582898334576</v>
      </c>
      <c r="D60" s="44">
        <f t="shared" ref="D60:N60" si="23">D58/$O$58</f>
        <v>0.37633606761123539</v>
      </c>
      <c r="E60" s="44">
        <f t="shared" si="23"/>
        <v>9.1101168282376341E-2</v>
      </c>
      <c r="F60" s="44">
        <f t="shared" si="23"/>
        <v>5.4436987322893364E-2</v>
      </c>
      <c r="G60" s="44">
        <f t="shared" si="23"/>
        <v>4.9714143673875214E-4</v>
      </c>
      <c r="H60" s="44">
        <f t="shared" si="23"/>
        <v>2.4857071836937607E-4</v>
      </c>
      <c r="I60" s="44">
        <f t="shared" si="23"/>
        <v>1.1558538404175988E-2</v>
      </c>
      <c r="J60" s="44">
        <f t="shared" si="23"/>
        <v>4.2257022122793933E-3</v>
      </c>
      <c r="K60" s="44">
        <f t="shared" si="23"/>
        <v>1.1185682326621924E-3</v>
      </c>
      <c r="L60" s="44">
        <f t="shared" si="23"/>
        <v>6.2142679592344023E-4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3" t="s">
        <v>167</v>
      </c>
      <c r="H5" s="64"/>
      <c r="I5" s="14"/>
      <c r="J5" s="2" t="s">
        <v>5</v>
      </c>
      <c r="K5" s="63" t="s">
        <v>168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125</v>
      </c>
      <c r="D10" s="50">
        <v>33</v>
      </c>
      <c r="E10" s="50">
        <v>22</v>
      </c>
      <c r="F10" s="50">
        <v>10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57" si="0">SUM(C10:L10,N10)</f>
        <v>191</v>
      </c>
      <c r="P10" s="15">
        <f t="shared" ref="P10:P57" si="1">SUM(C10:N10)</f>
        <v>216</v>
      </c>
      <c r="R10" s="1" t="s">
        <v>6</v>
      </c>
      <c r="S10" s="17">
        <f t="shared" ref="S10:AF10" si="2">SUM(C10:C13)</f>
        <v>438</v>
      </c>
      <c r="T10" s="17">
        <f t="shared" si="2"/>
        <v>142</v>
      </c>
      <c r="U10" s="17">
        <f t="shared" si="2"/>
        <v>68</v>
      </c>
      <c r="V10" s="17">
        <f t="shared" si="2"/>
        <v>53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205</v>
      </c>
      <c r="AD10" s="17">
        <f t="shared" si="2"/>
        <v>0</v>
      </c>
      <c r="AE10" s="31">
        <f t="shared" si="2"/>
        <v>707</v>
      </c>
      <c r="AF10" s="31">
        <f t="shared" si="2"/>
        <v>912</v>
      </c>
    </row>
    <row r="11" spans="2:32" s="6" customFormat="1" ht="23.1" customHeight="1" x14ac:dyDescent="0.25">
      <c r="B11" s="45" t="s">
        <v>38</v>
      </c>
      <c r="C11" s="50">
        <v>110</v>
      </c>
      <c r="D11" s="50">
        <v>53</v>
      </c>
      <c r="E11" s="50">
        <v>21</v>
      </c>
      <c r="F11" s="50">
        <v>18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40</v>
      </c>
      <c r="N11" s="50">
        <v>0</v>
      </c>
      <c r="O11" s="15">
        <f t="shared" si="0"/>
        <v>202</v>
      </c>
      <c r="P11" s="15">
        <f t="shared" si="1"/>
        <v>242</v>
      </c>
      <c r="R11" s="1" t="s">
        <v>7</v>
      </c>
      <c r="S11" s="17">
        <f t="shared" ref="S11:AF11" si="3">SUM(C14:C17)</f>
        <v>614</v>
      </c>
      <c r="T11" s="17">
        <f t="shared" si="3"/>
        <v>150</v>
      </c>
      <c r="U11" s="17">
        <f t="shared" si="3"/>
        <v>60</v>
      </c>
      <c r="V11" s="17">
        <f t="shared" si="3"/>
        <v>57</v>
      </c>
      <c r="W11" s="17">
        <f t="shared" si="3"/>
        <v>0</v>
      </c>
      <c r="X11" s="17">
        <f t="shared" si="3"/>
        <v>1</v>
      </c>
      <c r="Y11" s="17">
        <f t="shared" si="3"/>
        <v>12</v>
      </c>
      <c r="Z11" s="17">
        <f t="shared" si="3"/>
        <v>3</v>
      </c>
      <c r="AA11" s="17">
        <f t="shared" si="3"/>
        <v>2</v>
      </c>
      <c r="AB11" s="17">
        <f t="shared" si="3"/>
        <v>1</v>
      </c>
      <c r="AC11" s="17">
        <f t="shared" si="3"/>
        <v>375</v>
      </c>
      <c r="AD11" s="17">
        <f t="shared" si="3"/>
        <v>0</v>
      </c>
      <c r="AE11" s="31">
        <f t="shared" si="3"/>
        <v>900</v>
      </c>
      <c r="AF11" s="31">
        <f t="shared" si="3"/>
        <v>1275</v>
      </c>
    </row>
    <row r="12" spans="2:32" ht="23.1" customHeight="1" x14ac:dyDescent="0.25">
      <c r="B12" s="45" t="s">
        <v>39</v>
      </c>
      <c r="C12" s="50">
        <v>73</v>
      </c>
      <c r="D12" s="50">
        <v>35</v>
      </c>
      <c r="E12" s="50">
        <v>15</v>
      </c>
      <c r="F12" s="50">
        <v>13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70</v>
      </c>
      <c r="N12" s="50">
        <v>0</v>
      </c>
      <c r="O12" s="15">
        <f t="shared" si="0"/>
        <v>138</v>
      </c>
      <c r="P12" s="15">
        <f t="shared" si="1"/>
        <v>208</v>
      </c>
      <c r="R12" s="1" t="s">
        <v>8</v>
      </c>
      <c r="S12" s="17">
        <f t="shared" ref="S12:AF12" si="4">SUM(C18:C21)</f>
        <v>553</v>
      </c>
      <c r="T12" s="17">
        <f t="shared" si="4"/>
        <v>143</v>
      </c>
      <c r="U12" s="17">
        <f t="shared" si="4"/>
        <v>64</v>
      </c>
      <c r="V12" s="17">
        <f t="shared" si="4"/>
        <v>33</v>
      </c>
      <c r="W12" s="17">
        <f t="shared" si="4"/>
        <v>1</v>
      </c>
      <c r="X12" s="17">
        <f t="shared" si="4"/>
        <v>0</v>
      </c>
      <c r="Y12" s="17">
        <f t="shared" si="4"/>
        <v>12</v>
      </c>
      <c r="Z12" s="17">
        <f t="shared" si="4"/>
        <v>7</v>
      </c>
      <c r="AA12" s="17">
        <f t="shared" si="4"/>
        <v>1</v>
      </c>
      <c r="AB12" s="17">
        <f t="shared" si="4"/>
        <v>0</v>
      </c>
      <c r="AC12" s="17">
        <f t="shared" si="4"/>
        <v>318</v>
      </c>
      <c r="AD12" s="17">
        <f t="shared" si="4"/>
        <v>0</v>
      </c>
      <c r="AE12" s="31">
        <f t="shared" si="4"/>
        <v>814</v>
      </c>
      <c r="AF12" s="31">
        <f t="shared" si="4"/>
        <v>1132</v>
      </c>
    </row>
    <row r="13" spans="2:32" ht="23.1" customHeight="1" x14ac:dyDescent="0.25">
      <c r="B13" s="45" t="s">
        <v>40</v>
      </c>
      <c r="C13" s="50">
        <v>130</v>
      </c>
      <c r="D13" s="50">
        <v>21</v>
      </c>
      <c r="E13" s="50">
        <v>10</v>
      </c>
      <c r="F13" s="50">
        <v>12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70</v>
      </c>
      <c r="N13" s="50">
        <v>0</v>
      </c>
      <c r="O13" s="15">
        <f t="shared" si="0"/>
        <v>176</v>
      </c>
      <c r="P13" s="15">
        <f t="shared" si="1"/>
        <v>246</v>
      </c>
      <c r="R13" s="1" t="s">
        <v>9</v>
      </c>
      <c r="S13" s="17">
        <f t="shared" ref="S13:AF13" si="5">SUM(C22:C25)</f>
        <v>465</v>
      </c>
      <c r="T13" s="17">
        <f t="shared" si="5"/>
        <v>109</v>
      </c>
      <c r="U13" s="17">
        <f t="shared" si="5"/>
        <v>57</v>
      </c>
      <c r="V13" s="17">
        <f t="shared" si="5"/>
        <v>49</v>
      </c>
      <c r="W13" s="17">
        <f t="shared" si="5"/>
        <v>1</v>
      </c>
      <c r="X13" s="17">
        <f t="shared" si="5"/>
        <v>0</v>
      </c>
      <c r="Y13" s="17">
        <f t="shared" si="5"/>
        <v>16</v>
      </c>
      <c r="Z13" s="17">
        <f t="shared" si="5"/>
        <v>8</v>
      </c>
      <c r="AA13" s="17">
        <f t="shared" si="5"/>
        <v>2</v>
      </c>
      <c r="AB13" s="17">
        <f t="shared" si="5"/>
        <v>0</v>
      </c>
      <c r="AC13" s="17">
        <f t="shared" si="5"/>
        <v>341</v>
      </c>
      <c r="AD13" s="17">
        <f t="shared" si="5"/>
        <v>0</v>
      </c>
      <c r="AE13" s="31">
        <f t="shared" si="5"/>
        <v>707</v>
      </c>
      <c r="AF13" s="31">
        <f t="shared" si="5"/>
        <v>1048</v>
      </c>
    </row>
    <row r="14" spans="2:32" ht="23.1" customHeight="1" x14ac:dyDescent="0.25">
      <c r="B14" s="45" t="s">
        <v>41</v>
      </c>
      <c r="C14" s="50">
        <v>95</v>
      </c>
      <c r="D14" s="50">
        <v>28</v>
      </c>
      <c r="E14" s="50">
        <v>12</v>
      </c>
      <c r="F14" s="50">
        <v>9</v>
      </c>
      <c r="G14" s="50">
        <v>0</v>
      </c>
      <c r="H14" s="50">
        <v>1</v>
      </c>
      <c r="I14" s="50">
        <v>2</v>
      </c>
      <c r="J14" s="50">
        <v>0</v>
      </c>
      <c r="K14" s="50">
        <v>0</v>
      </c>
      <c r="L14" s="50">
        <v>0</v>
      </c>
      <c r="M14" s="50">
        <v>110</v>
      </c>
      <c r="N14" s="50">
        <v>0</v>
      </c>
      <c r="O14" s="15">
        <f t="shared" si="0"/>
        <v>147</v>
      </c>
      <c r="P14" s="15">
        <f t="shared" si="1"/>
        <v>257</v>
      </c>
      <c r="R14" s="1" t="s">
        <v>10</v>
      </c>
      <c r="S14" s="17">
        <f t="shared" ref="S14:AF14" si="6">SUM(C26:C29)</f>
        <v>475</v>
      </c>
      <c r="T14" s="17">
        <f t="shared" si="6"/>
        <v>96</v>
      </c>
      <c r="U14" s="17">
        <f t="shared" si="6"/>
        <v>49</v>
      </c>
      <c r="V14" s="17">
        <f t="shared" si="6"/>
        <v>46</v>
      </c>
      <c r="W14" s="17">
        <f t="shared" si="6"/>
        <v>0</v>
      </c>
      <c r="X14" s="17">
        <f t="shared" si="6"/>
        <v>0</v>
      </c>
      <c r="Y14" s="17">
        <f t="shared" si="6"/>
        <v>16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314</v>
      </c>
      <c r="AD14" s="17">
        <f t="shared" si="6"/>
        <v>0</v>
      </c>
      <c r="AE14" s="31">
        <f t="shared" si="6"/>
        <v>689</v>
      </c>
      <c r="AF14" s="31">
        <f t="shared" si="6"/>
        <v>1003</v>
      </c>
    </row>
    <row r="15" spans="2:32" ht="23.1" customHeight="1" x14ac:dyDescent="0.25">
      <c r="B15" s="45" t="s">
        <v>42</v>
      </c>
      <c r="C15" s="50">
        <v>175</v>
      </c>
      <c r="D15" s="50">
        <v>39</v>
      </c>
      <c r="E15" s="50">
        <v>18</v>
      </c>
      <c r="F15" s="50">
        <v>15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1</v>
      </c>
      <c r="M15" s="50">
        <v>112</v>
      </c>
      <c r="N15" s="50">
        <v>0</v>
      </c>
      <c r="O15" s="15">
        <f t="shared" si="0"/>
        <v>251</v>
      </c>
      <c r="P15" s="15">
        <f t="shared" si="1"/>
        <v>363</v>
      </c>
      <c r="R15" s="1" t="s">
        <v>11</v>
      </c>
      <c r="S15" s="17">
        <f t="shared" ref="S15:AF15" si="7">SUM(C30:C33)</f>
        <v>455</v>
      </c>
      <c r="T15" s="17">
        <f t="shared" si="7"/>
        <v>121</v>
      </c>
      <c r="U15" s="17">
        <f t="shared" si="7"/>
        <v>46</v>
      </c>
      <c r="V15" s="17">
        <f t="shared" si="7"/>
        <v>42</v>
      </c>
      <c r="W15" s="17">
        <f t="shared" si="7"/>
        <v>0</v>
      </c>
      <c r="X15" s="17">
        <f t="shared" si="7"/>
        <v>0</v>
      </c>
      <c r="Y15" s="17">
        <f t="shared" si="7"/>
        <v>17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298</v>
      </c>
      <c r="AD15" s="17">
        <f t="shared" si="7"/>
        <v>0</v>
      </c>
      <c r="AE15" s="31">
        <f t="shared" si="7"/>
        <v>684</v>
      </c>
      <c r="AF15" s="31">
        <f t="shared" si="7"/>
        <v>982</v>
      </c>
    </row>
    <row r="16" spans="2:32" ht="23.1" customHeight="1" x14ac:dyDescent="0.25">
      <c r="B16" s="45" t="s">
        <v>43</v>
      </c>
      <c r="C16" s="50">
        <v>170</v>
      </c>
      <c r="D16" s="50">
        <v>52</v>
      </c>
      <c r="E16" s="50">
        <v>20</v>
      </c>
      <c r="F16" s="50">
        <v>17</v>
      </c>
      <c r="G16" s="50">
        <v>0</v>
      </c>
      <c r="H16" s="50">
        <v>0</v>
      </c>
      <c r="I16" s="50">
        <v>4</v>
      </c>
      <c r="J16" s="50">
        <v>1</v>
      </c>
      <c r="K16" s="50">
        <v>1</v>
      </c>
      <c r="L16" s="50">
        <v>0</v>
      </c>
      <c r="M16" s="50">
        <v>80</v>
      </c>
      <c r="N16" s="50">
        <v>0</v>
      </c>
      <c r="O16" s="15">
        <f t="shared" si="0"/>
        <v>265</v>
      </c>
      <c r="P16" s="15">
        <f t="shared" si="1"/>
        <v>345</v>
      </c>
      <c r="R16" s="1" t="s">
        <v>12</v>
      </c>
      <c r="S16" s="17">
        <f t="shared" ref="S16:AF16" si="8">SUM(C34:C37)</f>
        <v>405</v>
      </c>
      <c r="T16" s="17">
        <f t="shared" si="8"/>
        <v>86</v>
      </c>
      <c r="U16" s="17">
        <f t="shared" si="8"/>
        <v>51</v>
      </c>
      <c r="V16" s="17">
        <f t="shared" si="8"/>
        <v>32</v>
      </c>
      <c r="W16" s="17">
        <f t="shared" si="8"/>
        <v>1</v>
      </c>
      <c r="X16" s="17">
        <f t="shared" si="8"/>
        <v>2</v>
      </c>
      <c r="Y16" s="17">
        <f t="shared" si="8"/>
        <v>6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324</v>
      </c>
      <c r="AD16" s="17">
        <f t="shared" si="8"/>
        <v>0</v>
      </c>
      <c r="AE16" s="31">
        <f t="shared" si="8"/>
        <v>588</v>
      </c>
      <c r="AF16" s="31">
        <f t="shared" si="8"/>
        <v>912</v>
      </c>
    </row>
    <row r="17" spans="2:32" ht="23.1" customHeight="1" x14ac:dyDescent="0.25">
      <c r="B17" s="45" t="s">
        <v>44</v>
      </c>
      <c r="C17" s="50">
        <v>174</v>
      </c>
      <c r="D17" s="50">
        <v>31</v>
      </c>
      <c r="E17" s="50">
        <v>10</v>
      </c>
      <c r="F17" s="50">
        <v>16</v>
      </c>
      <c r="G17" s="50">
        <v>0</v>
      </c>
      <c r="H17" s="50">
        <v>0</v>
      </c>
      <c r="I17" s="50">
        <v>4</v>
      </c>
      <c r="J17" s="50">
        <v>1</v>
      </c>
      <c r="K17" s="50">
        <v>1</v>
      </c>
      <c r="L17" s="50">
        <v>0</v>
      </c>
      <c r="M17" s="50">
        <v>73</v>
      </c>
      <c r="N17" s="50">
        <v>0</v>
      </c>
      <c r="O17" s="15">
        <f t="shared" si="0"/>
        <v>237</v>
      </c>
      <c r="P17" s="15">
        <f t="shared" si="1"/>
        <v>310</v>
      </c>
      <c r="R17" s="1" t="s">
        <v>13</v>
      </c>
      <c r="S17" s="17">
        <f t="shared" ref="S17:AF17" si="9">SUM(C38:C41)</f>
        <v>248</v>
      </c>
      <c r="T17" s="17">
        <f t="shared" si="9"/>
        <v>76</v>
      </c>
      <c r="U17" s="17">
        <f t="shared" si="9"/>
        <v>39</v>
      </c>
      <c r="V17" s="17">
        <f t="shared" si="9"/>
        <v>26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6</v>
      </c>
      <c r="AA17" s="17">
        <f t="shared" si="9"/>
        <v>0</v>
      </c>
      <c r="AB17" s="17">
        <f t="shared" si="9"/>
        <v>0</v>
      </c>
      <c r="AC17" s="17">
        <f t="shared" si="9"/>
        <v>296</v>
      </c>
      <c r="AD17" s="17">
        <f t="shared" si="9"/>
        <v>0</v>
      </c>
      <c r="AE17" s="31">
        <f t="shared" si="9"/>
        <v>406</v>
      </c>
      <c r="AF17" s="31">
        <f t="shared" si="9"/>
        <v>702</v>
      </c>
    </row>
    <row r="18" spans="2:32" ht="23.1" customHeight="1" x14ac:dyDescent="0.25">
      <c r="B18" s="45" t="s">
        <v>45</v>
      </c>
      <c r="C18" s="50">
        <v>140</v>
      </c>
      <c r="D18" s="50">
        <v>42</v>
      </c>
      <c r="E18" s="50">
        <v>19</v>
      </c>
      <c r="F18" s="50">
        <v>8</v>
      </c>
      <c r="G18" s="50">
        <v>1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83</v>
      </c>
      <c r="N18" s="50">
        <v>0</v>
      </c>
      <c r="O18" s="15">
        <f t="shared" si="0"/>
        <v>215</v>
      </c>
      <c r="P18" s="15">
        <f t="shared" si="1"/>
        <v>298</v>
      </c>
      <c r="R18" s="1" t="s">
        <v>14</v>
      </c>
      <c r="S18" s="17">
        <f t="shared" ref="S18:AF18" si="10">SUM(C42:C45)</f>
        <v>366</v>
      </c>
      <c r="T18" s="17">
        <f t="shared" si="10"/>
        <v>95</v>
      </c>
      <c r="U18" s="17">
        <f t="shared" si="10"/>
        <v>46</v>
      </c>
      <c r="V18" s="17">
        <f t="shared" si="10"/>
        <v>43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3</v>
      </c>
      <c r="AA18" s="17">
        <f t="shared" si="10"/>
        <v>0</v>
      </c>
      <c r="AB18" s="17">
        <f t="shared" si="10"/>
        <v>1</v>
      </c>
      <c r="AC18" s="17">
        <f t="shared" si="10"/>
        <v>338</v>
      </c>
      <c r="AD18" s="17">
        <f t="shared" si="10"/>
        <v>0</v>
      </c>
      <c r="AE18" s="31">
        <f t="shared" si="10"/>
        <v>568</v>
      </c>
      <c r="AF18" s="31">
        <f t="shared" si="10"/>
        <v>906</v>
      </c>
    </row>
    <row r="19" spans="2:32" ht="23.1" customHeight="1" x14ac:dyDescent="0.25">
      <c r="B19" s="45" t="s">
        <v>46</v>
      </c>
      <c r="C19" s="50">
        <v>150</v>
      </c>
      <c r="D19" s="50">
        <v>30</v>
      </c>
      <c r="E19" s="50">
        <v>13</v>
      </c>
      <c r="F19" s="50">
        <v>11</v>
      </c>
      <c r="G19" s="50">
        <v>0</v>
      </c>
      <c r="H19" s="50">
        <v>0</v>
      </c>
      <c r="I19" s="50">
        <v>2</v>
      </c>
      <c r="J19" s="50">
        <v>2</v>
      </c>
      <c r="K19" s="50">
        <v>1</v>
      </c>
      <c r="L19" s="50">
        <v>0</v>
      </c>
      <c r="M19" s="50">
        <v>78</v>
      </c>
      <c r="N19" s="50">
        <v>0</v>
      </c>
      <c r="O19" s="15">
        <f t="shared" si="0"/>
        <v>209</v>
      </c>
      <c r="P19" s="15">
        <f t="shared" si="1"/>
        <v>287</v>
      </c>
      <c r="R19" s="1" t="s">
        <v>15</v>
      </c>
      <c r="S19" s="17">
        <f t="shared" ref="S19:AF19" si="11">SUM(C46:C49)</f>
        <v>303</v>
      </c>
      <c r="T19" s="17">
        <f t="shared" si="11"/>
        <v>75</v>
      </c>
      <c r="U19" s="17">
        <f t="shared" si="11"/>
        <v>38</v>
      </c>
      <c r="V19" s="17">
        <f t="shared" si="11"/>
        <v>35</v>
      </c>
      <c r="W19" s="17">
        <f t="shared" si="11"/>
        <v>1</v>
      </c>
      <c r="X19" s="17">
        <f t="shared" si="11"/>
        <v>0</v>
      </c>
      <c r="Y19" s="17">
        <f t="shared" si="11"/>
        <v>15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309</v>
      </c>
      <c r="AD19" s="17">
        <f t="shared" si="11"/>
        <v>2</v>
      </c>
      <c r="AE19" s="31">
        <f t="shared" si="11"/>
        <v>473</v>
      </c>
      <c r="AF19" s="31">
        <f t="shared" si="11"/>
        <v>782</v>
      </c>
    </row>
    <row r="20" spans="2:32" ht="23.1" customHeight="1" x14ac:dyDescent="0.25">
      <c r="B20" s="45" t="s">
        <v>47</v>
      </c>
      <c r="C20" s="50">
        <v>155</v>
      </c>
      <c r="D20" s="50">
        <v>38</v>
      </c>
      <c r="E20" s="50">
        <v>17</v>
      </c>
      <c r="F20" s="50">
        <v>10</v>
      </c>
      <c r="G20" s="50">
        <v>0</v>
      </c>
      <c r="H20" s="50">
        <v>0</v>
      </c>
      <c r="I20" s="50">
        <v>4</v>
      </c>
      <c r="J20" s="50">
        <v>3</v>
      </c>
      <c r="K20" s="50">
        <v>0</v>
      </c>
      <c r="L20" s="50">
        <v>0</v>
      </c>
      <c r="M20" s="50">
        <v>81</v>
      </c>
      <c r="N20" s="50">
        <v>0</v>
      </c>
      <c r="O20" s="15">
        <f t="shared" si="0"/>
        <v>227</v>
      </c>
      <c r="P20" s="15">
        <f t="shared" si="1"/>
        <v>308</v>
      </c>
      <c r="R20" s="1" t="s">
        <v>16</v>
      </c>
      <c r="S20" s="17">
        <f t="shared" ref="S20:AF20" si="12">SUM(C50:C53)</f>
        <v>361</v>
      </c>
      <c r="T20" s="17">
        <f t="shared" si="12"/>
        <v>81</v>
      </c>
      <c r="U20" s="17">
        <f t="shared" si="12"/>
        <v>35</v>
      </c>
      <c r="V20" s="17">
        <f t="shared" si="12"/>
        <v>45</v>
      </c>
      <c r="W20" s="17">
        <f t="shared" si="12"/>
        <v>1</v>
      </c>
      <c r="X20" s="17">
        <f t="shared" si="12"/>
        <v>0</v>
      </c>
      <c r="Y20" s="17">
        <f t="shared" si="12"/>
        <v>17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450</v>
      </c>
      <c r="AD20" s="17">
        <f t="shared" si="12"/>
        <v>0</v>
      </c>
      <c r="AE20" s="31">
        <f t="shared" si="12"/>
        <v>543</v>
      </c>
      <c r="AF20" s="31">
        <f t="shared" si="12"/>
        <v>993</v>
      </c>
    </row>
    <row r="21" spans="2:32" ht="23.1" customHeight="1" x14ac:dyDescent="0.25">
      <c r="B21" s="45" t="s">
        <v>48</v>
      </c>
      <c r="C21" s="50">
        <v>108</v>
      </c>
      <c r="D21" s="50">
        <v>33</v>
      </c>
      <c r="E21" s="50">
        <v>15</v>
      </c>
      <c r="F21" s="50">
        <v>4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76</v>
      </c>
      <c r="N21" s="50">
        <v>0</v>
      </c>
      <c r="O21" s="15">
        <f t="shared" si="0"/>
        <v>163</v>
      </c>
      <c r="P21" s="15">
        <f t="shared" si="1"/>
        <v>239</v>
      </c>
      <c r="R21" s="36" t="s">
        <v>20</v>
      </c>
      <c r="S21" s="34">
        <f t="shared" ref="S21:AF21" si="13">SUM(C54:C57)</f>
        <v>311</v>
      </c>
      <c r="T21" s="17">
        <f t="shared" si="13"/>
        <v>47</v>
      </c>
      <c r="U21" s="17">
        <f t="shared" si="13"/>
        <v>31</v>
      </c>
      <c r="V21" s="17">
        <f t="shared" si="13"/>
        <v>37</v>
      </c>
      <c r="W21" s="17">
        <f t="shared" si="13"/>
        <v>0</v>
      </c>
      <c r="X21" s="17">
        <f t="shared" si="13"/>
        <v>0</v>
      </c>
      <c r="Y21" s="17">
        <f t="shared" si="13"/>
        <v>14</v>
      </c>
      <c r="Z21" s="17">
        <f t="shared" si="13"/>
        <v>6</v>
      </c>
      <c r="AA21" s="17">
        <f t="shared" si="13"/>
        <v>3</v>
      </c>
      <c r="AB21" s="17">
        <f t="shared" si="13"/>
        <v>0</v>
      </c>
      <c r="AC21" s="17">
        <f t="shared" si="13"/>
        <v>372</v>
      </c>
      <c r="AD21" s="17">
        <f t="shared" si="13"/>
        <v>0</v>
      </c>
      <c r="AE21" s="31">
        <f t="shared" si="13"/>
        <v>449</v>
      </c>
      <c r="AF21" s="31">
        <f t="shared" si="13"/>
        <v>821</v>
      </c>
    </row>
    <row r="22" spans="2:32" ht="23.1" customHeight="1" x14ac:dyDescent="0.25">
      <c r="B22" s="45" t="s">
        <v>49</v>
      </c>
      <c r="C22" s="50">
        <v>170</v>
      </c>
      <c r="D22" s="50">
        <v>27</v>
      </c>
      <c r="E22" s="50">
        <v>15</v>
      </c>
      <c r="F22" s="50">
        <v>10</v>
      </c>
      <c r="G22" s="50">
        <v>1</v>
      </c>
      <c r="H22" s="50">
        <v>0</v>
      </c>
      <c r="I22" s="50">
        <v>6</v>
      </c>
      <c r="J22" s="50">
        <v>4</v>
      </c>
      <c r="K22" s="50">
        <v>2</v>
      </c>
      <c r="L22" s="50">
        <v>0</v>
      </c>
      <c r="M22" s="50">
        <v>84</v>
      </c>
      <c r="N22" s="50">
        <v>0</v>
      </c>
      <c r="O22" s="15">
        <f t="shared" si="0"/>
        <v>235</v>
      </c>
      <c r="P22" s="15">
        <f t="shared" si="1"/>
        <v>319</v>
      </c>
      <c r="R22" s="36" t="s">
        <v>146</v>
      </c>
      <c r="S22" s="34">
        <f>SUM(C58:C61)</f>
        <v>208</v>
      </c>
      <c r="T22" s="34">
        <f t="shared" ref="T22:AF22" si="14">SUM(D58:D61)</f>
        <v>89</v>
      </c>
      <c r="U22" s="34">
        <f t="shared" si="14"/>
        <v>61</v>
      </c>
      <c r="V22" s="34">
        <f t="shared" si="14"/>
        <v>53</v>
      </c>
      <c r="W22" s="34">
        <f t="shared" si="14"/>
        <v>3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104</v>
      </c>
      <c r="AD22" s="34">
        <f t="shared" si="14"/>
        <v>0</v>
      </c>
      <c r="AE22" s="31">
        <f t="shared" si="14"/>
        <v>416</v>
      </c>
      <c r="AF22" s="31">
        <f t="shared" si="14"/>
        <v>520</v>
      </c>
    </row>
    <row r="23" spans="2:32" ht="23.1" customHeight="1" x14ac:dyDescent="0.25">
      <c r="B23" s="45" t="s">
        <v>50</v>
      </c>
      <c r="C23" s="50">
        <v>140</v>
      </c>
      <c r="D23" s="50">
        <v>40</v>
      </c>
      <c r="E23" s="50">
        <v>19</v>
      </c>
      <c r="F23" s="50">
        <v>11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106</v>
      </c>
      <c r="N23" s="50">
        <v>0</v>
      </c>
      <c r="O23" s="15">
        <f t="shared" si="0"/>
        <v>211</v>
      </c>
      <c r="P23" s="15">
        <f t="shared" si="1"/>
        <v>317</v>
      </c>
      <c r="R23" s="36" t="s">
        <v>147</v>
      </c>
      <c r="S23" s="34">
        <f>SUM(C62:C65)</f>
        <v>133</v>
      </c>
      <c r="T23" s="34">
        <f t="shared" ref="T23:AF23" si="15">SUM(D62:D65)</f>
        <v>44</v>
      </c>
      <c r="U23" s="34">
        <f t="shared" si="15"/>
        <v>18</v>
      </c>
      <c r="V23" s="34">
        <f t="shared" si="15"/>
        <v>20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112</v>
      </c>
      <c r="AD23" s="34">
        <f t="shared" si="15"/>
        <v>0</v>
      </c>
      <c r="AE23" s="31">
        <f t="shared" si="15"/>
        <v>216</v>
      </c>
      <c r="AF23" s="31">
        <f t="shared" si="15"/>
        <v>328</v>
      </c>
    </row>
    <row r="24" spans="2:32" ht="23.1" customHeight="1" x14ac:dyDescent="0.25">
      <c r="B24" s="45" t="s">
        <v>51</v>
      </c>
      <c r="C24" s="50">
        <v>65</v>
      </c>
      <c r="D24" s="50">
        <v>15</v>
      </c>
      <c r="E24" s="50">
        <v>8</v>
      </c>
      <c r="F24" s="50">
        <v>12</v>
      </c>
      <c r="G24" s="50">
        <v>0</v>
      </c>
      <c r="H24" s="50">
        <v>0</v>
      </c>
      <c r="I24" s="50">
        <v>5</v>
      </c>
      <c r="J24" s="50">
        <v>1</v>
      </c>
      <c r="K24" s="50">
        <v>0</v>
      </c>
      <c r="L24" s="50">
        <v>0</v>
      </c>
      <c r="M24" s="50">
        <v>76</v>
      </c>
      <c r="N24" s="50">
        <v>0</v>
      </c>
      <c r="O24" s="15">
        <f t="shared" si="0"/>
        <v>106</v>
      </c>
      <c r="P24" s="15">
        <f t="shared" si="1"/>
        <v>182</v>
      </c>
      <c r="R24" s="36" t="s">
        <v>148</v>
      </c>
      <c r="S24" s="34">
        <f>SUM(C66:C69)</f>
        <v>82</v>
      </c>
      <c r="T24" s="34">
        <f t="shared" ref="T24:AF24" si="16">SUM(D66:D69)</f>
        <v>23</v>
      </c>
      <c r="U24" s="34">
        <f t="shared" si="16"/>
        <v>11</v>
      </c>
      <c r="V24" s="34">
        <f t="shared" si="16"/>
        <v>15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165</v>
      </c>
      <c r="AD24" s="34">
        <f t="shared" si="16"/>
        <v>0</v>
      </c>
      <c r="AE24" s="31">
        <f t="shared" si="16"/>
        <v>134</v>
      </c>
      <c r="AF24" s="31">
        <f t="shared" si="16"/>
        <v>299</v>
      </c>
    </row>
    <row r="25" spans="2:32" ht="23.1" customHeight="1" x14ac:dyDescent="0.25">
      <c r="B25" s="45" t="s">
        <v>52</v>
      </c>
      <c r="C25" s="50">
        <v>90</v>
      </c>
      <c r="D25" s="50">
        <v>27</v>
      </c>
      <c r="E25" s="50">
        <v>15</v>
      </c>
      <c r="F25" s="50">
        <v>16</v>
      </c>
      <c r="G25" s="50">
        <v>0</v>
      </c>
      <c r="H25" s="50">
        <v>0</v>
      </c>
      <c r="I25" s="50">
        <v>5</v>
      </c>
      <c r="J25" s="50">
        <v>2</v>
      </c>
      <c r="K25" s="50">
        <v>0</v>
      </c>
      <c r="L25" s="50">
        <v>0</v>
      </c>
      <c r="M25" s="50">
        <v>75</v>
      </c>
      <c r="N25" s="50">
        <v>0</v>
      </c>
      <c r="O25" s="15">
        <f t="shared" si="0"/>
        <v>155</v>
      </c>
      <c r="P25" s="15">
        <f t="shared" si="1"/>
        <v>230</v>
      </c>
      <c r="R25" s="36" t="s">
        <v>149</v>
      </c>
      <c r="S25" s="34">
        <f>SUM(C70:C73)</f>
        <v>26</v>
      </c>
      <c r="T25" s="34">
        <f t="shared" ref="T25:AF25" si="17">SUM(D70:D73)</f>
        <v>13</v>
      </c>
      <c r="U25" s="34">
        <f t="shared" si="17"/>
        <v>6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145</v>
      </c>
      <c r="AD25" s="34">
        <f t="shared" si="17"/>
        <v>0</v>
      </c>
      <c r="AE25" s="31">
        <f t="shared" si="17"/>
        <v>54</v>
      </c>
      <c r="AF25" s="31">
        <f t="shared" si="17"/>
        <v>199</v>
      </c>
    </row>
    <row r="26" spans="2:32" ht="23.1" customHeight="1" x14ac:dyDescent="0.25">
      <c r="B26" s="45" t="s">
        <v>53</v>
      </c>
      <c r="C26" s="50">
        <v>155</v>
      </c>
      <c r="D26" s="50">
        <v>24</v>
      </c>
      <c r="E26" s="50">
        <v>17</v>
      </c>
      <c r="F26" s="50">
        <v>12</v>
      </c>
      <c r="G26" s="50">
        <v>0</v>
      </c>
      <c r="H26" s="50">
        <v>0</v>
      </c>
      <c r="I26" s="50">
        <v>3</v>
      </c>
      <c r="J26" s="50">
        <v>2</v>
      </c>
      <c r="K26" s="50">
        <v>0</v>
      </c>
      <c r="L26" s="50">
        <v>0</v>
      </c>
      <c r="M26" s="50">
        <v>91</v>
      </c>
      <c r="N26" s="50">
        <v>0</v>
      </c>
      <c r="O26" s="15">
        <f t="shared" si="0"/>
        <v>213</v>
      </c>
      <c r="P26" s="15">
        <f t="shared" si="1"/>
        <v>304</v>
      </c>
      <c r="R26" s="36" t="s">
        <v>150</v>
      </c>
      <c r="S26" s="34">
        <f>SUM(C74:C77)</f>
        <v>19</v>
      </c>
      <c r="T26" s="34">
        <f t="shared" ref="T26:AF26" si="18">SUM(D74:D77)</f>
        <v>5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7</v>
      </c>
      <c r="Z26" s="34">
        <f t="shared" si="18"/>
        <v>0</v>
      </c>
      <c r="AA26" s="34">
        <f t="shared" si="18"/>
        <v>7</v>
      </c>
      <c r="AB26" s="34">
        <f t="shared" si="18"/>
        <v>0</v>
      </c>
      <c r="AC26" s="34">
        <f t="shared" si="18"/>
        <v>83</v>
      </c>
      <c r="AD26" s="34">
        <f t="shared" si="18"/>
        <v>0</v>
      </c>
      <c r="AE26" s="31">
        <f t="shared" si="18"/>
        <v>41</v>
      </c>
      <c r="AF26" s="31">
        <f t="shared" si="18"/>
        <v>124</v>
      </c>
    </row>
    <row r="27" spans="2:32" ht="23.1" customHeight="1" x14ac:dyDescent="0.25">
      <c r="B27" s="45" t="s">
        <v>54</v>
      </c>
      <c r="C27" s="50">
        <v>95</v>
      </c>
      <c r="D27" s="50">
        <v>27</v>
      </c>
      <c r="E27" s="50">
        <v>10</v>
      </c>
      <c r="F27" s="50">
        <v>6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0</v>
      </c>
      <c r="M27" s="50">
        <v>78</v>
      </c>
      <c r="N27" s="50">
        <v>0</v>
      </c>
      <c r="O27" s="15">
        <f t="shared" si="0"/>
        <v>144</v>
      </c>
      <c r="P27" s="15">
        <f t="shared" si="1"/>
        <v>222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6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150</v>
      </c>
      <c r="D28" s="50">
        <v>25</v>
      </c>
      <c r="E28" s="50">
        <v>9</v>
      </c>
      <c r="F28" s="50">
        <v>15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202</v>
      </c>
      <c r="P28" s="15">
        <f t="shared" si="1"/>
        <v>277</v>
      </c>
      <c r="R28" s="36" t="s">
        <v>152</v>
      </c>
      <c r="S28" s="34">
        <f>SUM(C82:C85)</f>
        <v>6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7</v>
      </c>
      <c r="AD28" s="34">
        <f t="shared" si="20"/>
        <v>0</v>
      </c>
      <c r="AE28" s="31">
        <f t="shared" si="20"/>
        <v>12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75</v>
      </c>
      <c r="D29" s="50">
        <v>20</v>
      </c>
      <c r="E29" s="50">
        <v>13</v>
      </c>
      <c r="F29" s="50">
        <v>13</v>
      </c>
      <c r="G29" s="50">
        <v>0</v>
      </c>
      <c r="H29" s="50">
        <v>0</v>
      </c>
      <c r="I29" s="50">
        <v>7</v>
      </c>
      <c r="J29" s="50">
        <v>2</v>
      </c>
      <c r="K29" s="50">
        <v>0</v>
      </c>
      <c r="L29" s="50">
        <v>0</v>
      </c>
      <c r="M29" s="50">
        <v>70</v>
      </c>
      <c r="N29" s="50">
        <v>0</v>
      </c>
      <c r="O29" s="15">
        <f t="shared" si="0"/>
        <v>130</v>
      </c>
      <c r="P29" s="15">
        <f t="shared" si="1"/>
        <v>200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4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125</v>
      </c>
      <c r="D30" s="50">
        <v>27</v>
      </c>
      <c r="E30" s="50">
        <v>7</v>
      </c>
      <c r="F30" s="50">
        <v>12</v>
      </c>
      <c r="G30" s="50">
        <v>0</v>
      </c>
      <c r="H30" s="50">
        <v>0</v>
      </c>
      <c r="I30" s="50">
        <v>8</v>
      </c>
      <c r="J30" s="50">
        <v>1</v>
      </c>
      <c r="K30" s="50">
        <v>0</v>
      </c>
      <c r="L30" s="50">
        <v>0</v>
      </c>
      <c r="M30" s="50">
        <v>75</v>
      </c>
      <c r="N30" s="50">
        <v>0</v>
      </c>
      <c r="O30" s="15">
        <f t="shared" si="0"/>
        <v>180</v>
      </c>
      <c r="P30" s="15">
        <f t="shared" si="1"/>
        <v>255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1</v>
      </c>
      <c r="AF30" s="31">
        <f t="shared" si="22"/>
        <v>8</v>
      </c>
    </row>
    <row r="31" spans="2:32" ht="23.1" customHeight="1" x14ac:dyDescent="0.25">
      <c r="B31" s="46" t="s">
        <v>58</v>
      </c>
      <c r="C31" s="50">
        <v>85</v>
      </c>
      <c r="D31" s="50">
        <v>40</v>
      </c>
      <c r="E31" s="50">
        <v>11</v>
      </c>
      <c r="F31" s="50">
        <v>7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146</v>
      </c>
      <c r="P31" s="15">
        <f t="shared" si="1"/>
        <v>211</v>
      </c>
      <c r="R31" s="36" t="s">
        <v>155</v>
      </c>
      <c r="S31" s="34">
        <f>SUM(C94:C97)</f>
        <v>3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12</v>
      </c>
      <c r="AD31" s="34">
        <f t="shared" si="23"/>
        <v>0</v>
      </c>
      <c r="AE31" s="31">
        <f t="shared" si="23"/>
        <v>4</v>
      </c>
      <c r="AF31" s="31">
        <f t="shared" si="23"/>
        <v>16</v>
      </c>
    </row>
    <row r="32" spans="2:32" ht="23.1" customHeight="1" x14ac:dyDescent="0.25">
      <c r="B32" s="46" t="s">
        <v>59</v>
      </c>
      <c r="C32" s="50">
        <v>95</v>
      </c>
      <c r="D32" s="50">
        <v>32</v>
      </c>
      <c r="E32" s="50">
        <v>15</v>
      </c>
      <c r="F32" s="50">
        <v>9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71</v>
      </c>
      <c r="N32" s="50">
        <v>0</v>
      </c>
      <c r="O32" s="15">
        <f t="shared" si="0"/>
        <v>153</v>
      </c>
      <c r="P32" s="15">
        <f t="shared" si="1"/>
        <v>224</v>
      </c>
      <c r="R32" s="33" t="s">
        <v>156</v>
      </c>
      <c r="S32" s="34">
        <f>SUM(C98:C101)</f>
        <v>6</v>
      </c>
      <c r="T32" s="34">
        <f t="shared" ref="T32:AF32" si="24">SUM(D98:D101)</f>
        <v>6</v>
      </c>
      <c r="U32" s="34">
        <f t="shared" si="24"/>
        <v>6</v>
      </c>
      <c r="V32" s="34">
        <f t="shared" si="24"/>
        <v>2</v>
      </c>
      <c r="W32" s="34">
        <f t="shared" si="24"/>
        <v>0</v>
      </c>
      <c r="X32" s="34">
        <f t="shared" si="24"/>
        <v>2</v>
      </c>
      <c r="Y32" s="34">
        <f t="shared" si="24"/>
        <v>2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35</v>
      </c>
      <c r="AD32" s="34">
        <f t="shared" si="24"/>
        <v>0</v>
      </c>
      <c r="AE32" s="31">
        <f t="shared" si="24"/>
        <v>25</v>
      </c>
      <c r="AF32" s="31">
        <f t="shared" si="24"/>
        <v>60</v>
      </c>
    </row>
    <row r="33" spans="2:32" ht="23.1" customHeight="1" x14ac:dyDescent="0.25">
      <c r="B33" s="45" t="s">
        <v>60</v>
      </c>
      <c r="C33" s="50">
        <v>150</v>
      </c>
      <c r="D33" s="50">
        <v>22</v>
      </c>
      <c r="E33" s="50">
        <v>13</v>
      </c>
      <c r="F33" s="50">
        <v>14</v>
      </c>
      <c r="G33" s="50">
        <v>0</v>
      </c>
      <c r="H33" s="50">
        <v>0</v>
      </c>
      <c r="I33" s="50">
        <v>4</v>
      </c>
      <c r="J33" s="50">
        <v>2</v>
      </c>
      <c r="K33" s="50">
        <v>0</v>
      </c>
      <c r="L33" s="50">
        <v>0</v>
      </c>
      <c r="M33" s="50">
        <v>87</v>
      </c>
      <c r="N33" s="50">
        <v>0</v>
      </c>
      <c r="O33" s="15">
        <f t="shared" si="0"/>
        <v>205</v>
      </c>
      <c r="P33" s="15">
        <f t="shared" si="1"/>
        <v>292</v>
      </c>
      <c r="R33" s="33" t="s">
        <v>157</v>
      </c>
      <c r="S33" s="34">
        <f>SUM(C102:C105)</f>
        <v>88</v>
      </c>
      <c r="T33" s="34">
        <f t="shared" ref="T33:AF33" si="25">SUM(D102:D105)</f>
        <v>39</v>
      </c>
      <c r="U33" s="34">
        <f t="shared" si="25"/>
        <v>26</v>
      </c>
      <c r="V33" s="34">
        <f t="shared" si="25"/>
        <v>36</v>
      </c>
      <c r="W33" s="34">
        <f t="shared" si="25"/>
        <v>1</v>
      </c>
      <c r="X33" s="34">
        <f t="shared" si="25"/>
        <v>0</v>
      </c>
      <c r="Y33" s="34">
        <f t="shared" si="25"/>
        <v>6</v>
      </c>
      <c r="Z33" s="34">
        <f t="shared" si="25"/>
        <v>0</v>
      </c>
      <c r="AA33" s="34">
        <f t="shared" si="25"/>
        <v>5</v>
      </c>
      <c r="AB33" s="34">
        <f t="shared" si="25"/>
        <v>0</v>
      </c>
      <c r="AC33" s="34">
        <f t="shared" si="25"/>
        <v>103</v>
      </c>
      <c r="AD33" s="34">
        <f t="shared" si="25"/>
        <v>0</v>
      </c>
      <c r="AE33" s="31">
        <f t="shared" si="25"/>
        <v>201</v>
      </c>
      <c r="AF33" s="31">
        <f t="shared" si="25"/>
        <v>304</v>
      </c>
    </row>
    <row r="34" spans="2:32" ht="23.1" customHeight="1" x14ac:dyDescent="0.25">
      <c r="B34" s="46" t="s">
        <v>61</v>
      </c>
      <c r="C34" s="50">
        <v>100</v>
      </c>
      <c r="D34" s="50">
        <v>20</v>
      </c>
      <c r="E34" s="50">
        <v>22</v>
      </c>
      <c r="F34" s="50">
        <v>9</v>
      </c>
      <c r="G34" s="50">
        <v>0</v>
      </c>
      <c r="H34" s="50">
        <v>2</v>
      </c>
      <c r="I34" s="50">
        <v>0</v>
      </c>
      <c r="J34" s="50">
        <v>0</v>
      </c>
      <c r="K34" s="50">
        <v>0</v>
      </c>
      <c r="L34" s="50">
        <v>0</v>
      </c>
      <c r="M34" s="50">
        <v>87</v>
      </c>
      <c r="N34" s="50">
        <v>0</v>
      </c>
      <c r="O34" s="15">
        <f t="shared" si="0"/>
        <v>153</v>
      </c>
      <c r="P34" s="15">
        <f t="shared" si="1"/>
        <v>240</v>
      </c>
      <c r="R34" s="38" t="s">
        <v>90</v>
      </c>
      <c r="S34" s="39">
        <f t="shared" ref="S34:AF34" si="26">MAX(S10:S12)</f>
        <v>614</v>
      </c>
      <c r="T34" s="39">
        <f t="shared" si="26"/>
        <v>150</v>
      </c>
      <c r="U34" s="39">
        <f t="shared" si="26"/>
        <v>68</v>
      </c>
      <c r="V34" s="39">
        <f t="shared" si="26"/>
        <v>57</v>
      </c>
      <c r="W34" s="39">
        <f t="shared" si="26"/>
        <v>1</v>
      </c>
      <c r="X34" s="39">
        <f t="shared" si="26"/>
        <v>1</v>
      </c>
      <c r="Y34" s="39">
        <f t="shared" si="26"/>
        <v>12</v>
      </c>
      <c r="Z34" s="39">
        <f t="shared" si="26"/>
        <v>7</v>
      </c>
      <c r="AA34" s="39">
        <f t="shared" si="26"/>
        <v>2</v>
      </c>
      <c r="AB34" s="39">
        <f t="shared" si="26"/>
        <v>1</v>
      </c>
      <c r="AC34" s="39">
        <f t="shared" si="26"/>
        <v>375</v>
      </c>
      <c r="AD34" s="39">
        <f t="shared" si="26"/>
        <v>0</v>
      </c>
      <c r="AE34" s="40">
        <f t="shared" si="26"/>
        <v>900</v>
      </c>
      <c r="AF34" s="40">
        <f t="shared" si="26"/>
        <v>1275</v>
      </c>
    </row>
    <row r="35" spans="2:32" ht="23.1" customHeight="1" x14ac:dyDescent="0.25">
      <c r="B35" s="46" t="s">
        <v>62</v>
      </c>
      <c r="C35" s="50">
        <v>90</v>
      </c>
      <c r="D35" s="50">
        <v>16</v>
      </c>
      <c r="E35" s="50">
        <v>14</v>
      </c>
      <c r="F35" s="50">
        <v>11</v>
      </c>
      <c r="G35" s="50">
        <v>1</v>
      </c>
      <c r="H35" s="50">
        <v>0</v>
      </c>
      <c r="I35" s="50">
        <v>1</v>
      </c>
      <c r="J35" s="50">
        <v>1</v>
      </c>
      <c r="K35" s="50">
        <v>2</v>
      </c>
      <c r="L35" s="50">
        <v>0</v>
      </c>
      <c r="M35" s="50">
        <v>72</v>
      </c>
      <c r="N35" s="50">
        <v>0</v>
      </c>
      <c r="O35" s="15">
        <f t="shared" si="0"/>
        <v>136</v>
      </c>
      <c r="P35" s="15">
        <f t="shared" si="1"/>
        <v>208</v>
      </c>
      <c r="R35" s="38" t="s">
        <v>91</v>
      </c>
      <c r="S35" s="39">
        <f t="shared" ref="S35:AF35" si="27">MAX(S13:S18)</f>
        <v>475</v>
      </c>
      <c r="T35" s="39">
        <f t="shared" si="27"/>
        <v>121</v>
      </c>
      <c r="U35" s="39">
        <f t="shared" si="27"/>
        <v>57</v>
      </c>
      <c r="V35" s="39">
        <f t="shared" si="27"/>
        <v>49</v>
      </c>
      <c r="W35" s="39">
        <f t="shared" si="27"/>
        <v>1</v>
      </c>
      <c r="X35" s="39">
        <f t="shared" si="27"/>
        <v>2</v>
      </c>
      <c r="Y35" s="39">
        <f t="shared" si="27"/>
        <v>17</v>
      </c>
      <c r="Z35" s="39">
        <f t="shared" si="27"/>
        <v>8</v>
      </c>
      <c r="AA35" s="39">
        <f t="shared" si="27"/>
        <v>3</v>
      </c>
      <c r="AB35" s="39">
        <f t="shared" si="27"/>
        <v>1</v>
      </c>
      <c r="AC35" s="39">
        <f t="shared" si="27"/>
        <v>341</v>
      </c>
      <c r="AD35" s="39">
        <f t="shared" si="27"/>
        <v>0</v>
      </c>
      <c r="AE35" s="40">
        <f t="shared" si="27"/>
        <v>707</v>
      </c>
      <c r="AF35" s="40">
        <f t="shared" si="27"/>
        <v>1048</v>
      </c>
    </row>
    <row r="36" spans="2:32" ht="23.1" customHeight="1" x14ac:dyDescent="0.25">
      <c r="B36" s="46" t="s">
        <v>63</v>
      </c>
      <c r="C36" s="50">
        <v>115</v>
      </c>
      <c r="D36" s="50">
        <v>30</v>
      </c>
      <c r="E36" s="50">
        <v>8</v>
      </c>
      <c r="F36" s="50">
        <v>4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75</v>
      </c>
      <c r="N36" s="50">
        <v>0</v>
      </c>
      <c r="O36" s="15">
        <f t="shared" si="0"/>
        <v>160</v>
      </c>
      <c r="P36" s="15">
        <f t="shared" si="1"/>
        <v>235</v>
      </c>
      <c r="R36" s="38" t="s">
        <v>92</v>
      </c>
      <c r="S36" s="39">
        <f t="shared" ref="S36:AF36" si="28">MAX(S19:S21)</f>
        <v>361</v>
      </c>
      <c r="T36" s="39">
        <f t="shared" si="28"/>
        <v>81</v>
      </c>
      <c r="U36" s="39">
        <f t="shared" si="28"/>
        <v>38</v>
      </c>
      <c r="V36" s="39">
        <f t="shared" si="28"/>
        <v>45</v>
      </c>
      <c r="W36" s="39">
        <f t="shared" si="28"/>
        <v>1</v>
      </c>
      <c r="X36" s="39">
        <f t="shared" si="28"/>
        <v>0</v>
      </c>
      <c r="Y36" s="39">
        <f t="shared" si="28"/>
        <v>17</v>
      </c>
      <c r="Z36" s="39">
        <f t="shared" si="28"/>
        <v>6</v>
      </c>
      <c r="AA36" s="39">
        <f t="shared" si="28"/>
        <v>3</v>
      </c>
      <c r="AB36" s="39">
        <f t="shared" si="28"/>
        <v>0</v>
      </c>
      <c r="AC36" s="39">
        <f t="shared" si="28"/>
        <v>450</v>
      </c>
      <c r="AD36" s="39">
        <f t="shared" si="28"/>
        <v>2</v>
      </c>
      <c r="AE36" s="40">
        <f t="shared" si="28"/>
        <v>543</v>
      </c>
      <c r="AF36" s="40">
        <f t="shared" si="28"/>
        <v>993</v>
      </c>
    </row>
    <row r="37" spans="2:32" ht="23.1" customHeight="1" x14ac:dyDescent="0.25">
      <c r="B37" s="45" t="s">
        <v>64</v>
      </c>
      <c r="C37" s="50">
        <v>100</v>
      </c>
      <c r="D37" s="50">
        <v>20</v>
      </c>
      <c r="E37" s="50">
        <v>7</v>
      </c>
      <c r="F37" s="50">
        <v>8</v>
      </c>
      <c r="G37" s="50">
        <v>0</v>
      </c>
      <c r="H37" s="50">
        <v>0</v>
      </c>
      <c r="I37" s="50">
        <v>3</v>
      </c>
      <c r="J37" s="50">
        <v>0</v>
      </c>
      <c r="K37" s="50">
        <v>1</v>
      </c>
      <c r="L37" s="50">
        <v>0</v>
      </c>
      <c r="M37" s="50">
        <v>90</v>
      </c>
      <c r="N37" s="50">
        <v>0</v>
      </c>
      <c r="O37" s="15">
        <f t="shared" si="0"/>
        <v>139</v>
      </c>
      <c r="P37" s="15">
        <f t="shared" si="1"/>
        <v>229</v>
      </c>
      <c r="R37" s="37" t="s">
        <v>85</v>
      </c>
      <c r="S37" s="35">
        <f t="shared" ref="S37:AF37" si="29">SUM(S10:S12)</f>
        <v>1605</v>
      </c>
      <c r="T37" s="16">
        <f t="shared" si="29"/>
        <v>435</v>
      </c>
      <c r="U37" s="16">
        <f t="shared" si="29"/>
        <v>192</v>
      </c>
      <c r="V37" s="16">
        <f t="shared" si="29"/>
        <v>143</v>
      </c>
      <c r="W37" s="16">
        <f t="shared" si="29"/>
        <v>1</v>
      </c>
      <c r="X37" s="16">
        <f t="shared" si="29"/>
        <v>1</v>
      </c>
      <c r="Y37" s="16">
        <f t="shared" si="29"/>
        <v>28</v>
      </c>
      <c r="Z37" s="16">
        <f t="shared" si="29"/>
        <v>12</v>
      </c>
      <c r="AA37" s="16">
        <f t="shared" si="29"/>
        <v>3</v>
      </c>
      <c r="AB37" s="16">
        <f t="shared" si="29"/>
        <v>1</v>
      </c>
      <c r="AC37" s="16">
        <f t="shared" si="29"/>
        <v>898</v>
      </c>
      <c r="AD37" s="16">
        <f t="shared" si="29"/>
        <v>0</v>
      </c>
      <c r="AE37" s="32">
        <f t="shared" si="29"/>
        <v>2421</v>
      </c>
      <c r="AF37" s="32">
        <f t="shared" si="29"/>
        <v>3319</v>
      </c>
    </row>
    <row r="38" spans="2:32" ht="23.1" customHeight="1" x14ac:dyDescent="0.25">
      <c r="B38" s="46" t="s">
        <v>65</v>
      </c>
      <c r="C38" s="50">
        <v>35</v>
      </c>
      <c r="D38" s="50">
        <v>18</v>
      </c>
      <c r="E38" s="50">
        <v>12</v>
      </c>
      <c r="F38" s="50">
        <v>4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70</v>
      </c>
      <c r="N38" s="50">
        <v>0</v>
      </c>
      <c r="O38" s="15">
        <f t="shared" si="0"/>
        <v>73</v>
      </c>
      <c r="P38" s="15">
        <f t="shared" si="1"/>
        <v>143</v>
      </c>
      <c r="R38" s="28" t="s">
        <v>86</v>
      </c>
      <c r="S38" s="16">
        <f t="shared" ref="S38:AF38" si="30">SUM(S13:S18)</f>
        <v>2414</v>
      </c>
      <c r="T38" s="16">
        <f t="shared" si="30"/>
        <v>583</v>
      </c>
      <c r="U38" s="16">
        <f t="shared" si="30"/>
        <v>288</v>
      </c>
      <c r="V38" s="16">
        <f t="shared" si="30"/>
        <v>238</v>
      </c>
      <c r="W38" s="16">
        <f t="shared" si="30"/>
        <v>2</v>
      </c>
      <c r="X38" s="16">
        <f t="shared" si="30"/>
        <v>2</v>
      </c>
      <c r="Y38" s="16">
        <f t="shared" si="30"/>
        <v>80</v>
      </c>
      <c r="Z38" s="16">
        <f t="shared" si="30"/>
        <v>29</v>
      </c>
      <c r="AA38" s="16">
        <f t="shared" si="30"/>
        <v>5</v>
      </c>
      <c r="AB38" s="16">
        <f t="shared" si="30"/>
        <v>1</v>
      </c>
      <c r="AC38" s="16">
        <f t="shared" si="30"/>
        <v>1911</v>
      </c>
      <c r="AD38" s="16">
        <f t="shared" si="30"/>
        <v>0</v>
      </c>
      <c r="AE38" s="32">
        <f t="shared" si="30"/>
        <v>3642</v>
      </c>
      <c r="AF38" s="32">
        <f t="shared" si="30"/>
        <v>5553</v>
      </c>
    </row>
    <row r="39" spans="2:32" ht="23.1" customHeight="1" x14ac:dyDescent="0.25">
      <c r="B39" s="46" t="s">
        <v>66</v>
      </c>
      <c r="C39" s="50">
        <v>40</v>
      </c>
      <c r="D39" s="50">
        <v>13</v>
      </c>
      <c r="E39" s="50">
        <v>9</v>
      </c>
      <c r="F39" s="50">
        <v>10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77</v>
      </c>
      <c r="N39" s="50">
        <v>0</v>
      </c>
      <c r="O39" s="15">
        <f t="shared" si="0"/>
        <v>74</v>
      </c>
      <c r="P39" s="15">
        <f t="shared" si="1"/>
        <v>151</v>
      </c>
      <c r="R39" s="29" t="s">
        <v>87</v>
      </c>
      <c r="S39" s="16">
        <f t="shared" ref="S39:AF39" si="31">SUM(S19:S21)</f>
        <v>975</v>
      </c>
      <c r="T39" s="16">
        <f t="shared" si="31"/>
        <v>203</v>
      </c>
      <c r="U39" s="16">
        <f t="shared" si="31"/>
        <v>104</v>
      </c>
      <c r="V39" s="16">
        <f t="shared" si="31"/>
        <v>117</v>
      </c>
      <c r="W39" s="16">
        <f t="shared" si="31"/>
        <v>2</v>
      </c>
      <c r="X39" s="16">
        <f t="shared" si="31"/>
        <v>0</v>
      </c>
      <c r="Y39" s="16">
        <f t="shared" si="31"/>
        <v>46</v>
      </c>
      <c r="Z39" s="16">
        <f t="shared" si="31"/>
        <v>10</v>
      </c>
      <c r="AA39" s="16">
        <f t="shared" si="31"/>
        <v>6</v>
      </c>
      <c r="AB39" s="16">
        <f t="shared" si="31"/>
        <v>0</v>
      </c>
      <c r="AC39" s="16">
        <f t="shared" si="31"/>
        <v>1131</v>
      </c>
      <c r="AD39" s="16">
        <f t="shared" si="31"/>
        <v>2</v>
      </c>
      <c r="AE39" s="32">
        <f t="shared" si="31"/>
        <v>1465</v>
      </c>
      <c r="AF39" s="32">
        <f t="shared" si="31"/>
        <v>2596</v>
      </c>
    </row>
    <row r="40" spans="2:32" ht="23.1" customHeight="1" x14ac:dyDescent="0.25">
      <c r="B40" s="46" t="s">
        <v>67</v>
      </c>
      <c r="C40" s="50">
        <v>73</v>
      </c>
      <c r="D40" s="50">
        <v>24</v>
      </c>
      <c r="E40" s="50">
        <v>6</v>
      </c>
      <c r="F40" s="50">
        <v>4</v>
      </c>
      <c r="G40" s="50">
        <v>0</v>
      </c>
      <c r="H40" s="50">
        <v>0</v>
      </c>
      <c r="I40" s="50">
        <v>4</v>
      </c>
      <c r="J40" s="50">
        <v>2</v>
      </c>
      <c r="K40" s="50">
        <v>0</v>
      </c>
      <c r="L40" s="50">
        <v>0</v>
      </c>
      <c r="M40" s="50">
        <v>74</v>
      </c>
      <c r="N40" s="50">
        <v>0</v>
      </c>
      <c r="O40" s="15">
        <f t="shared" si="0"/>
        <v>113</v>
      </c>
      <c r="P40" s="15">
        <f t="shared" si="1"/>
        <v>187</v>
      </c>
      <c r="R40" s="5" t="s">
        <v>17</v>
      </c>
      <c r="S40" s="16">
        <f t="shared" ref="S40:AF40" si="32">SUM(S10:S21)</f>
        <v>4994</v>
      </c>
      <c r="T40" s="16">
        <f t="shared" si="32"/>
        <v>1221</v>
      </c>
      <c r="U40" s="16">
        <f t="shared" si="32"/>
        <v>584</v>
      </c>
      <c r="V40" s="16">
        <f t="shared" si="32"/>
        <v>498</v>
      </c>
      <c r="W40" s="16">
        <f t="shared" si="32"/>
        <v>5</v>
      </c>
      <c r="X40" s="16">
        <f t="shared" si="32"/>
        <v>3</v>
      </c>
      <c r="Y40" s="16">
        <f t="shared" si="32"/>
        <v>154</v>
      </c>
      <c r="Z40" s="16">
        <f t="shared" si="32"/>
        <v>51</v>
      </c>
      <c r="AA40" s="16">
        <f t="shared" si="32"/>
        <v>14</v>
      </c>
      <c r="AB40" s="16">
        <f t="shared" si="32"/>
        <v>2</v>
      </c>
      <c r="AC40" s="16">
        <f t="shared" si="32"/>
        <v>3940</v>
      </c>
      <c r="AD40" s="16">
        <f t="shared" si="32"/>
        <v>2</v>
      </c>
      <c r="AE40" s="32">
        <f t="shared" si="32"/>
        <v>7528</v>
      </c>
      <c r="AF40" s="32">
        <f t="shared" si="32"/>
        <v>11468</v>
      </c>
    </row>
    <row r="41" spans="2:32" ht="23.1" customHeight="1" x14ac:dyDescent="0.25">
      <c r="B41" s="45" t="s">
        <v>68</v>
      </c>
      <c r="C41" s="50">
        <v>100</v>
      </c>
      <c r="D41" s="50">
        <v>21</v>
      </c>
      <c r="E41" s="50">
        <v>12</v>
      </c>
      <c r="F41" s="50">
        <v>8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75</v>
      </c>
      <c r="N41" s="50">
        <v>0</v>
      </c>
      <c r="O41" s="15">
        <f t="shared" si="0"/>
        <v>146</v>
      </c>
      <c r="P41" s="15">
        <f t="shared" si="1"/>
        <v>221</v>
      </c>
      <c r="R41" s="5" t="s">
        <v>159</v>
      </c>
      <c r="S41" s="16">
        <f>SUM(S10:S33)</f>
        <v>5571</v>
      </c>
      <c r="T41" s="16">
        <f t="shared" ref="T41:AF41" si="33">SUM(T10:T33)</f>
        <v>1442</v>
      </c>
      <c r="U41" s="16">
        <f t="shared" si="33"/>
        <v>717</v>
      </c>
      <c r="V41" s="16">
        <f t="shared" si="33"/>
        <v>627</v>
      </c>
      <c r="W41" s="16">
        <f t="shared" si="33"/>
        <v>9</v>
      </c>
      <c r="X41" s="16">
        <f t="shared" si="33"/>
        <v>5</v>
      </c>
      <c r="Y41" s="16">
        <f t="shared" si="33"/>
        <v>185</v>
      </c>
      <c r="Z41" s="16">
        <f t="shared" si="33"/>
        <v>53</v>
      </c>
      <c r="AA41" s="16">
        <f t="shared" si="33"/>
        <v>28</v>
      </c>
      <c r="AB41" s="16">
        <f t="shared" si="33"/>
        <v>3</v>
      </c>
      <c r="AC41" s="16">
        <f t="shared" si="33"/>
        <v>4727</v>
      </c>
      <c r="AD41" s="16">
        <f t="shared" si="33"/>
        <v>2</v>
      </c>
      <c r="AE41" s="32">
        <f t="shared" si="33"/>
        <v>8642</v>
      </c>
      <c r="AF41" s="32">
        <f t="shared" si="33"/>
        <v>13369</v>
      </c>
    </row>
    <row r="42" spans="2:32" ht="23.1" customHeight="1" x14ac:dyDescent="0.25">
      <c r="B42" s="46" t="s">
        <v>69</v>
      </c>
      <c r="C42" s="50">
        <v>60</v>
      </c>
      <c r="D42" s="50">
        <v>40</v>
      </c>
      <c r="E42" s="50">
        <v>8</v>
      </c>
      <c r="F42" s="50">
        <v>14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96</v>
      </c>
      <c r="N42" s="50">
        <v>0</v>
      </c>
      <c r="O42" s="15">
        <f t="shared" si="0"/>
        <v>125</v>
      </c>
      <c r="P42" s="15">
        <f t="shared" si="1"/>
        <v>221</v>
      </c>
      <c r="R42" s="5" t="s">
        <v>160</v>
      </c>
      <c r="S42" s="48">
        <f>S41/S40</f>
        <v>1.1155386463756507</v>
      </c>
      <c r="T42" s="48">
        <f t="shared" ref="T42:AF42" si="34">T41/T40</f>
        <v>1.1809991809991811</v>
      </c>
      <c r="U42" s="48">
        <f t="shared" si="34"/>
        <v>1.2277397260273972</v>
      </c>
      <c r="V42" s="48">
        <f t="shared" si="34"/>
        <v>1.2590361445783131</v>
      </c>
      <c r="W42" s="48">
        <f t="shared" si="34"/>
        <v>1.8</v>
      </c>
      <c r="X42" s="48">
        <f t="shared" si="34"/>
        <v>1.6666666666666667</v>
      </c>
      <c r="Y42" s="48">
        <f t="shared" si="34"/>
        <v>1.2012987012987013</v>
      </c>
      <c r="Z42" s="48">
        <f t="shared" si="34"/>
        <v>1.0392156862745099</v>
      </c>
      <c r="AA42" s="48">
        <f t="shared" si="34"/>
        <v>2</v>
      </c>
      <c r="AB42" s="48">
        <f t="shared" si="34"/>
        <v>1.5</v>
      </c>
      <c r="AC42" s="48">
        <f t="shared" si="34"/>
        <v>1.199746192893401</v>
      </c>
      <c r="AD42" s="48">
        <f t="shared" si="34"/>
        <v>1</v>
      </c>
      <c r="AE42" s="48">
        <f t="shared" si="34"/>
        <v>1.1479808714133901</v>
      </c>
      <c r="AF42" s="48">
        <f t="shared" si="34"/>
        <v>1.1657656086501569</v>
      </c>
    </row>
    <row r="43" spans="2:32" ht="23.1" customHeight="1" x14ac:dyDescent="0.25">
      <c r="B43" s="45" t="s">
        <v>70</v>
      </c>
      <c r="C43" s="50">
        <v>90</v>
      </c>
      <c r="D43" s="50">
        <v>15</v>
      </c>
      <c r="E43" s="50">
        <v>9</v>
      </c>
      <c r="F43" s="50">
        <v>7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79</v>
      </c>
      <c r="N43" s="50">
        <v>0</v>
      </c>
      <c r="O43" s="15">
        <f t="shared" si="0"/>
        <v>123</v>
      </c>
      <c r="P43" s="15">
        <f t="shared" si="1"/>
        <v>202</v>
      </c>
    </row>
    <row r="44" spans="2:32" ht="23.1" customHeight="1" x14ac:dyDescent="0.25">
      <c r="B44" s="47" t="s">
        <v>71</v>
      </c>
      <c r="C44" s="50">
        <v>115</v>
      </c>
      <c r="D44" s="50">
        <v>18</v>
      </c>
      <c r="E44" s="50">
        <v>12</v>
      </c>
      <c r="F44" s="50">
        <v>15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1</v>
      </c>
      <c r="M44" s="50">
        <v>86</v>
      </c>
      <c r="N44" s="50">
        <v>0</v>
      </c>
      <c r="O44" s="15">
        <f t="shared" si="0"/>
        <v>166</v>
      </c>
      <c r="P44" s="15">
        <f t="shared" si="1"/>
        <v>252</v>
      </c>
    </row>
    <row r="45" spans="2:32" ht="23.1" customHeight="1" x14ac:dyDescent="0.25">
      <c r="B45" s="45" t="s">
        <v>72</v>
      </c>
      <c r="C45" s="50">
        <v>101</v>
      </c>
      <c r="D45" s="50">
        <v>22</v>
      </c>
      <c r="E45" s="50">
        <v>17</v>
      </c>
      <c r="F45" s="50">
        <v>7</v>
      </c>
      <c r="G45" s="50">
        <v>0</v>
      </c>
      <c r="H45" s="50">
        <v>0</v>
      </c>
      <c r="I45" s="50">
        <v>7</v>
      </c>
      <c r="J45" s="50">
        <v>0</v>
      </c>
      <c r="K45" s="50">
        <v>0</v>
      </c>
      <c r="L45" s="50">
        <v>0</v>
      </c>
      <c r="M45" s="50">
        <v>77</v>
      </c>
      <c r="N45" s="50">
        <v>0</v>
      </c>
      <c r="O45" s="15">
        <f t="shared" si="0"/>
        <v>154</v>
      </c>
      <c r="P45" s="15">
        <f t="shared" si="1"/>
        <v>231</v>
      </c>
    </row>
    <row r="46" spans="2:32" ht="23.1" customHeight="1" x14ac:dyDescent="0.25">
      <c r="B46" s="46" t="s">
        <v>73</v>
      </c>
      <c r="C46" s="50">
        <v>47</v>
      </c>
      <c r="D46" s="50">
        <v>32</v>
      </c>
      <c r="E46" s="50">
        <v>5</v>
      </c>
      <c r="F46" s="50">
        <v>8</v>
      </c>
      <c r="G46" s="50">
        <v>1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62</v>
      </c>
      <c r="N46" s="50">
        <v>0</v>
      </c>
      <c r="O46" s="15">
        <f t="shared" si="0"/>
        <v>98</v>
      </c>
      <c r="P46" s="15">
        <f t="shared" si="1"/>
        <v>160</v>
      </c>
      <c r="R46" s="8"/>
      <c r="T46"/>
    </row>
    <row r="47" spans="2:32" ht="23.1" customHeight="1" x14ac:dyDescent="0.25">
      <c r="B47" s="46" t="s">
        <v>74</v>
      </c>
      <c r="C47" s="50">
        <v>97</v>
      </c>
      <c r="D47" s="50">
        <v>13</v>
      </c>
      <c r="E47" s="50">
        <v>12</v>
      </c>
      <c r="F47" s="50">
        <v>11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80</v>
      </c>
      <c r="N47" s="50">
        <v>1</v>
      </c>
      <c r="O47" s="15">
        <f t="shared" si="0"/>
        <v>138</v>
      </c>
      <c r="P47" s="15">
        <f t="shared" si="1"/>
        <v>218</v>
      </c>
      <c r="R47" s="8"/>
      <c r="T47"/>
    </row>
    <row r="48" spans="2:32" ht="23.1" customHeight="1" x14ac:dyDescent="0.25">
      <c r="B48" s="46" t="s">
        <v>75</v>
      </c>
      <c r="C48" s="50">
        <v>66</v>
      </c>
      <c r="D48" s="50">
        <v>18</v>
      </c>
      <c r="E48" s="50">
        <v>10</v>
      </c>
      <c r="F48" s="50">
        <v>8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74</v>
      </c>
      <c r="N48" s="50">
        <v>1</v>
      </c>
      <c r="O48" s="15">
        <f t="shared" si="0"/>
        <v>107</v>
      </c>
      <c r="P48" s="15">
        <f t="shared" si="1"/>
        <v>181</v>
      </c>
      <c r="R48" s="8"/>
      <c r="T48"/>
    </row>
    <row r="49" spans="2:20" ht="23.1" customHeight="1" x14ac:dyDescent="0.25">
      <c r="B49" s="45" t="s">
        <v>76</v>
      </c>
      <c r="C49" s="50">
        <v>93</v>
      </c>
      <c r="D49" s="50">
        <v>12</v>
      </c>
      <c r="E49" s="50">
        <v>11</v>
      </c>
      <c r="F49" s="50">
        <v>8</v>
      </c>
      <c r="G49" s="50">
        <v>0</v>
      </c>
      <c r="H49" s="50">
        <v>0</v>
      </c>
      <c r="I49" s="50">
        <v>4</v>
      </c>
      <c r="J49" s="50">
        <v>1</v>
      </c>
      <c r="K49" s="50">
        <v>1</v>
      </c>
      <c r="L49" s="50">
        <v>0</v>
      </c>
      <c r="M49" s="50">
        <v>93</v>
      </c>
      <c r="N49" s="50">
        <v>0</v>
      </c>
      <c r="O49" s="15">
        <f t="shared" si="0"/>
        <v>130</v>
      </c>
      <c r="P49" s="15">
        <f t="shared" si="1"/>
        <v>223</v>
      </c>
      <c r="R49" s="8"/>
      <c r="T49"/>
    </row>
    <row r="50" spans="2:20" ht="23.1" customHeight="1" x14ac:dyDescent="0.25">
      <c r="B50" s="46" t="s">
        <v>77</v>
      </c>
      <c r="C50" s="50">
        <v>100</v>
      </c>
      <c r="D50" s="50">
        <v>14</v>
      </c>
      <c r="E50" s="50">
        <v>4</v>
      </c>
      <c r="F50" s="50">
        <v>13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110</v>
      </c>
      <c r="N50" s="50">
        <v>0</v>
      </c>
      <c r="O50" s="15">
        <f t="shared" si="0"/>
        <v>136</v>
      </c>
      <c r="P50" s="15">
        <f t="shared" si="1"/>
        <v>246</v>
      </c>
      <c r="R50" s="8"/>
      <c r="T50"/>
    </row>
    <row r="51" spans="2:20" ht="23.1" customHeight="1" x14ac:dyDescent="0.25">
      <c r="B51" s="46" t="s">
        <v>78</v>
      </c>
      <c r="C51" s="50">
        <v>73</v>
      </c>
      <c r="D51" s="50">
        <v>20</v>
      </c>
      <c r="E51" s="50">
        <v>10</v>
      </c>
      <c r="F51" s="50">
        <v>8</v>
      </c>
      <c r="G51" s="50">
        <v>0</v>
      </c>
      <c r="H51" s="50">
        <v>0</v>
      </c>
      <c r="I51" s="50">
        <v>7</v>
      </c>
      <c r="J51" s="50">
        <v>1</v>
      </c>
      <c r="K51" s="50">
        <v>0</v>
      </c>
      <c r="L51" s="50">
        <v>0</v>
      </c>
      <c r="M51" s="50">
        <v>121</v>
      </c>
      <c r="N51" s="50">
        <v>0</v>
      </c>
      <c r="O51" s="15">
        <f t="shared" si="0"/>
        <v>119</v>
      </c>
      <c r="P51" s="15">
        <f t="shared" si="1"/>
        <v>240</v>
      </c>
      <c r="R51" s="8"/>
      <c r="T51"/>
    </row>
    <row r="52" spans="2:20" ht="23.1" customHeight="1" x14ac:dyDescent="0.25">
      <c r="B52" s="46" t="s">
        <v>79</v>
      </c>
      <c r="C52" s="50">
        <v>103</v>
      </c>
      <c r="D52" s="50">
        <v>23</v>
      </c>
      <c r="E52" s="50">
        <v>10</v>
      </c>
      <c r="F52" s="50">
        <v>13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124</v>
      </c>
      <c r="N52" s="50">
        <v>0</v>
      </c>
      <c r="O52" s="15">
        <f t="shared" si="0"/>
        <v>152</v>
      </c>
      <c r="P52" s="15">
        <f t="shared" si="1"/>
        <v>276</v>
      </c>
      <c r="R52" s="8"/>
      <c r="T52"/>
    </row>
    <row r="53" spans="2:20" ht="23.1" customHeight="1" x14ac:dyDescent="0.25">
      <c r="B53" s="45" t="s">
        <v>80</v>
      </c>
      <c r="C53" s="50">
        <v>85</v>
      </c>
      <c r="D53" s="50">
        <v>24</v>
      </c>
      <c r="E53" s="50">
        <v>11</v>
      </c>
      <c r="F53" s="50">
        <v>11</v>
      </c>
      <c r="G53" s="50">
        <v>0</v>
      </c>
      <c r="H53" s="50">
        <v>0</v>
      </c>
      <c r="I53" s="50">
        <v>3</v>
      </c>
      <c r="J53" s="50">
        <v>0</v>
      </c>
      <c r="K53" s="50">
        <v>2</v>
      </c>
      <c r="L53" s="50">
        <v>0</v>
      </c>
      <c r="M53" s="50">
        <v>95</v>
      </c>
      <c r="N53" s="50">
        <v>0</v>
      </c>
      <c r="O53" s="15">
        <f t="shared" si="0"/>
        <v>136</v>
      </c>
      <c r="P53" s="15">
        <f t="shared" si="1"/>
        <v>231</v>
      </c>
      <c r="R53" s="8"/>
      <c r="T53"/>
    </row>
    <row r="54" spans="2:20" ht="23.1" customHeight="1" x14ac:dyDescent="0.25">
      <c r="B54" s="45" t="s">
        <v>81</v>
      </c>
      <c r="C54" s="50">
        <v>86</v>
      </c>
      <c r="D54" s="50">
        <v>12</v>
      </c>
      <c r="E54" s="50">
        <v>13</v>
      </c>
      <c r="F54" s="50">
        <v>8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0</v>
      </c>
      <c r="M54" s="50">
        <v>101</v>
      </c>
      <c r="N54" s="50">
        <v>0</v>
      </c>
      <c r="O54" s="15">
        <f t="shared" si="0"/>
        <v>125</v>
      </c>
      <c r="P54" s="15">
        <f t="shared" si="1"/>
        <v>226</v>
      </c>
      <c r="R54" s="8"/>
      <c r="T54"/>
    </row>
    <row r="55" spans="2:20" ht="23.1" customHeight="1" x14ac:dyDescent="0.25">
      <c r="B55" s="45" t="s">
        <v>82</v>
      </c>
      <c r="C55" s="50">
        <v>75</v>
      </c>
      <c r="D55" s="50">
        <v>14</v>
      </c>
      <c r="E55" s="50">
        <v>8</v>
      </c>
      <c r="F55" s="50">
        <v>10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100</v>
      </c>
      <c r="N55" s="50">
        <v>0</v>
      </c>
      <c r="O55" s="15">
        <f t="shared" si="0"/>
        <v>111</v>
      </c>
      <c r="P55" s="15">
        <f t="shared" si="1"/>
        <v>211</v>
      </c>
      <c r="R55" s="8"/>
      <c r="T55"/>
    </row>
    <row r="56" spans="2:20" ht="23.1" customHeight="1" x14ac:dyDescent="0.25">
      <c r="B56" s="45" t="s">
        <v>83</v>
      </c>
      <c r="C56" s="50">
        <v>80</v>
      </c>
      <c r="D56" s="50">
        <v>10</v>
      </c>
      <c r="E56" s="50">
        <v>3</v>
      </c>
      <c r="F56" s="50">
        <v>10</v>
      </c>
      <c r="G56" s="50">
        <v>0</v>
      </c>
      <c r="H56" s="50">
        <v>0</v>
      </c>
      <c r="I56" s="50">
        <v>5</v>
      </c>
      <c r="J56" s="50">
        <v>4</v>
      </c>
      <c r="K56" s="50">
        <v>2</v>
      </c>
      <c r="L56" s="50">
        <v>0</v>
      </c>
      <c r="M56" s="50">
        <v>91</v>
      </c>
      <c r="N56" s="50">
        <v>0</v>
      </c>
      <c r="O56" s="15">
        <f t="shared" si="0"/>
        <v>114</v>
      </c>
      <c r="P56" s="15">
        <f t="shared" si="1"/>
        <v>205</v>
      </c>
      <c r="R56" s="8"/>
      <c r="T56"/>
    </row>
    <row r="57" spans="2:20" ht="23.1" customHeight="1" x14ac:dyDescent="0.25">
      <c r="B57" s="45" t="s">
        <v>84</v>
      </c>
      <c r="C57" s="50">
        <v>70</v>
      </c>
      <c r="D57" s="50">
        <v>11</v>
      </c>
      <c r="E57" s="50">
        <v>7</v>
      </c>
      <c r="F57" s="50">
        <v>9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80</v>
      </c>
      <c r="N57" s="50">
        <v>0</v>
      </c>
      <c r="O57" s="15">
        <f t="shared" si="0"/>
        <v>99</v>
      </c>
      <c r="P57" s="15">
        <f t="shared" si="1"/>
        <v>179</v>
      </c>
      <c r="R57" s="8"/>
      <c r="T57"/>
    </row>
    <row r="58" spans="2:20" ht="23.1" customHeight="1" x14ac:dyDescent="0.25">
      <c r="B58" s="45" t="s">
        <v>99</v>
      </c>
      <c r="C58" s="50">
        <v>54</v>
      </c>
      <c r="D58" s="50">
        <v>27</v>
      </c>
      <c r="E58" s="50">
        <v>20</v>
      </c>
      <c r="F58" s="50">
        <v>12</v>
      </c>
      <c r="G58" s="50">
        <v>2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45</v>
      </c>
      <c r="N58" s="50">
        <v>0</v>
      </c>
      <c r="O58" s="15">
        <f t="shared" ref="O58:O105" si="35">SUM(C58:L58,N58)</f>
        <v>117</v>
      </c>
      <c r="P58" s="15">
        <f t="shared" ref="P58:P105" si="36">SUM(C58:N58)</f>
        <v>162</v>
      </c>
      <c r="R58" s="8"/>
      <c r="T58"/>
    </row>
    <row r="59" spans="2:20" ht="23.1" customHeight="1" x14ac:dyDescent="0.25">
      <c r="B59" s="45" t="s">
        <v>100</v>
      </c>
      <c r="C59" s="50">
        <v>52</v>
      </c>
      <c r="D59" s="50">
        <v>23</v>
      </c>
      <c r="E59" s="50">
        <v>12</v>
      </c>
      <c r="F59" s="50">
        <v>16</v>
      </c>
      <c r="G59" s="50">
        <v>1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18</v>
      </c>
      <c r="N59" s="50">
        <v>0</v>
      </c>
      <c r="O59" s="15">
        <f t="shared" si="35"/>
        <v>104</v>
      </c>
      <c r="P59" s="15">
        <f t="shared" si="36"/>
        <v>122</v>
      </c>
      <c r="R59" s="8"/>
      <c r="T59"/>
    </row>
    <row r="60" spans="2:20" ht="23.1" customHeight="1" x14ac:dyDescent="0.25">
      <c r="B60" s="45" t="s">
        <v>101</v>
      </c>
      <c r="C60" s="50">
        <v>49</v>
      </c>
      <c r="D60" s="50">
        <v>23</v>
      </c>
      <c r="E60" s="50">
        <v>17</v>
      </c>
      <c r="F60" s="50">
        <v>13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20</v>
      </c>
      <c r="N60" s="50">
        <v>0</v>
      </c>
      <c r="O60" s="15">
        <f t="shared" si="35"/>
        <v>102</v>
      </c>
      <c r="P60" s="15">
        <f t="shared" si="36"/>
        <v>122</v>
      </c>
      <c r="R60" s="8"/>
      <c r="T60"/>
    </row>
    <row r="61" spans="2:20" ht="23.1" customHeight="1" x14ac:dyDescent="0.25">
      <c r="B61" s="45" t="s">
        <v>102</v>
      </c>
      <c r="C61" s="50">
        <v>53</v>
      </c>
      <c r="D61" s="50">
        <v>16</v>
      </c>
      <c r="E61" s="50">
        <v>12</v>
      </c>
      <c r="F61" s="50">
        <v>12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21</v>
      </c>
      <c r="N61" s="50">
        <v>0</v>
      </c>
      <c r="O61" s="15">
        <f t="shared" si="35"/>
        <v>93</v>
      </c>
      <c r="P61" s="15">
        <f t="shared" si="36"/>
        <v>114</v>
      </c>
      <c r="R61" s="8"/>
      <c r="T61"/>
    </row>
    <row r="62" spans="2:20" ht="23.1" customHeight="1" x14ac:dyDescent="0.25">
      <c r="B62" s="45" t="s">
        <v>107</v>
      </c>
      <c r="C62" s="50">
        <v>30</v>
      </c>
      <c r="D62" s="50">
        <v>12</v>
      </c>
      <c r="E62" s="50">
        <v>6</v>
      </c>
      <c r="F62" s="50">
        <v>3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40</v>
      </c>
      <c r="N62" s="50">
        <v>0</v>
      </c>
      <c r="O62" s="15">
        <f t="shared" si="35"/>
        <v>52</v>
      </c>
      <c r="P62" s="15">
        <f t="shared" si="36"/>
        <v>92</v>
      </c>
      <c r="R62" s="8"/>
      <c r="T62"/>
    </row>
    <row r="63" spans="2:20" ht="23.1" customHeight="1" x14ac:dyDescent="0.25">
      <c r="B63" s="45" t="s">
        <v>108</v>
      </c>
      <c r="C63" s="50">
        <v>27</v>
      </c>
      <c r="D63" s="50">
        <v>17</v>
      </c>
      <c r="E63" s="50">
        <v>5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11</v>
      </c>
      <c r="N63" s="50">
        <v>0</v>
      </c>
      <c r="O63" s="15">
        <f t="shared" si="35"/>
        <v>50</v>
      </c>
      <c r="P63" s="15">
        <f t="shared" si="36"/>
        <v>61</v>
      </c>
      <c r="R63" s="8"/>
      <c r="T63"/>
    </row>
    <row r="64" spans="2:20" ht="23.1" customHeight="1" x14ac:dyDescent="0.25">
      <c r="B64" s="45" t="s">
        <v>109</v>
      </c>
      <c r="C64" s="50">
        <v>53</v>
      </c>
      <c r="D64" s="50">
        <v>9</v>
      </c>
      <c r="E64" s="50">
        <v>4</v>
      </c>
      <c r="F64" s="50">
        <v>14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28</v>
      </c>
      <c r="N64" s="50">
        <v>0</v>
      </c>
      <c r="O64" s="15">
        <f t="shared" si="35"/>
        <v>80</v>
      </c>
      <c r="P64" s="15">
        <f t="shared" si="36"/>
        <v>108</v>
      </c>
      <c r="R64" s="8"/>
      <c r="T64"/>
    </row>
    <row r="65" spans="2:20" ht="23.1" customHeight="1" x14ac:dyDescent="0.25">
      <c r="B65" s="45" t="s">
        <v>158</v>
      </c>
      <c r="C65" s="50">
        <v>23</v>
      </c>
      <c r="D65" s="50">
        <v>6</v>
      </c>
      <c r="E65" s="50">
        <v>3</v>
      </c>
      <c r="F65" s="50">
        <v>2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33</v>
      </c>
      <c r="N65" s="50">
        <v>0</v>
      </c>
      <c r="O65" s="15">
        <f t="shared" si="35"/>
        <v>34</v>
      </c>
      <c r="P65" s="15">
        <f t="shared" si="36"/>
        <v>67</v>
      </c>
      <c r="R65" s="8"/>
      <c r="T65"/>
    </row>
    <row r="66" spans="2:20" ht="23.1" customHeight="1" x14ac:dyDescent="0.25">
      <c r="B66" s="45" t="s">
        <v>103</v>
      </c>
      <c r="C66" s="50">
        <v>35</v>
      </c>
      <c r="D66" s="50">
        <v>9</v>
      </c>
      <c r="E66" s="50">
        <v>5</v>
      </c>
      <c r="F66" s="50">
        <v>7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43</v>
      </c>
      <c r="N66" s="50">
        <v>0</v>
      </c>
      <c r="O66" s="15">
        <f t="shared" si="35"/>
        <v>56</v>
      </c>
      <c r="P66" s="15">
        <f t="shared" si="36"/>
        <v>99</v>
      </c>
      <c r="R66" s="8"/>
      <c r="T66"/>
    </row>
    <row r="67" spans="2:20" ht="23.1" customHeight="1" x14ac:dyDescent="0.25">
      <c r="B67" s="45" t="s">
        <v>104</v>
      </c>
      <c r="C67" s="50">
        <v>21</v>
      </c>
      <c r="D67" s="50">
        <v>7</v>
      </c>
      <c r="E67" s="50">
        <v>3</v>
      </c>
      <c r="F67" s="50">
        <v>3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1</v>
      </c>
      <c r="M67" s="50">
        <v>42</v>
      </c>
      <c r="N67" s="50">
        <v>0</v>
      </c>
      <c r="O67" s="15">
        <f t="shared" si="35"/>
        <v>36</v>
      </c>
      <c r="P67" s="15">
        <f t="shared" si="36"/>
        <v>78</v>
      </c>
      <c r="R67" s="8"/>
      <c r="T67"/>
    </row>
    <row r="68" spans="2:20" ht="23.1" customHeight="1" x14ac:dyDescent="0.25">
      <c r="B68" s="45" t="s">
        <v>105</v>
      </c>
      <c r="C68" s="50">
        <v>14</v>
      </c>
      <c r="D68" s="50">
        <v>2</v>
      </c>
      <c r="E68" s="50">
        <v>2</v>
      </c>
      <c r="F68" s="50">
        <v>3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42</v>
      </c>
      <c r="N68" s="50">
        <v>0</v>
      </c>
      <c r="O68" s="15">
        <f t="shared" si="35"/>
        <v>22</v>
      </c>
      <c r="P68" s="15">
        <f t="shared" si="36"/>
        <v>64</v>
      </c>
      <c r="R68" s="8"/>
      <c r="T68"/>
    </row>
    <row r="69" spans="2:20" ht="23.1" customHeight="1" x14ac:dyDescent="0.25">
      <c r="B69" s="45" t="s">
        <v>106</v>
      </c>
      <c r="C69" s="50">
        <v>12</v>
      </c>
      <c r="D69" s="50">
        <v>5</v>
      </c>
      <c r="E69" s="50">
        <v>1</v>
      </c>
      <c r="F69" s="50">
        <v>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38</v>
      </c>
      <c r="N69" s="50">
        <v>0</v>
      </c>
      <c r="O69" s="15">
        <f t="shared" si="35"/>
        <v>20</v>
      </c>
      <c r="P69" s="15">
        <f t="shared" si="36"/>
        <v>58</v>
      </c>
      <c r="R69" s="8"/>
      <c r="T69"/>
    </row>
    <row r="70" spans="2:20" ht="23.1" customHeight="1" x14ac:dyDescent="0.25">
      <c r="B70" s="45" t="s">
        <v>110</v>
      </c>
      <c r="C70" s="50">
        <v>9</v>
      </c>
      <c r="D70" s="50">
        <v>3</v>
      </c>
      <c r="E70" s="50">
        <v>1</v>
      </c>
      <c r="F70" s="50">
        <v>0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40</v>
      </c>
      <c r="N70" s="50">
        <v>0</v>
      </c>
      <c r="O70" s="15">
        <f t="shared" si="35"/>
        <v>15</v>
      </c>
      <c r="P70" s="15">
        <f t="shared" si="36"/>
        <v>55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2</v>
      </c>
      <c r="E71" s="50">
        <v>2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46</v>
      </c>
      <c r="N71" s="50">
        <v>0</v>
      </c>
      <c r="O71" s="15">
        <f t="shared" si="35"/>
        <v>10</v>
      </c>
      <c r="P71" s="15">
        <f t="shared" si="36"/>
        <v>56</v>
      </c>
      <c r="R71" s="8"/>
      <c r="T71"/>
    </row>
    <row r="72" spans="2:20" ht="23.1" customHeight="1" x14ac:dyDescent="0.25">
      <c r="B72" s="45" t="s">
        <v>112</v>
      </c>
      <c r="C72" s="50">
        <v>8</v>
      </c>
      <c r="D72" s="50">
        <v>3</v>
      </c>
      <c r="E72" s="50">
        <v>3</v>
      </c>
      <c r="F72" s="50">
        <v>0</v>
      </c>
      <c r="G72" s="50">
        <v>0</v>
      </c>
      <c r="H72" s="50">
        <v>0</v>
      </c>
      <c r="I72" s="50">
        <v>1</v>
      </c>
      <c r="J72" s="50">
        <v>1</v>
      </c>
      <c r="K72" s="50">
        <v>0</v>
      </c>
      <c r="L72" s="50">
        <v>0</v>
      </c>
      <c r="M72" s="50">
        <v>34</v>
      </c>
      <c r="N72" s="50">
        <v>0</v>
      </c>
      <c r="O72" s="15">
        <f t="shared" si="35"/>
        <v>16</v>
      </c>
      <c r="P72" s="15">
        <f t="shared" si="36"/>
        <v>50</v>
      </c>
      <c r="R72" s="8"/>
      <c r="T72"/>
    </row>
    <row r="73" spans="2:20" ht="23.1" customHeight="1" x14ac:dyDescent="0.25">
      <c r="B73" s="45" t="s">
        <v>113</v>
      </c>
      <c r="C73" s="50">
        <v>5</v>
      </c>
      <c r="D73" s="50">
        <v>5</v>
      </c>
      <c r="E73" s="50">
        <v>0</v>
      </c>
      <c r="F73" s="50">
        <v>0</v>
      </c>
      <c r="G73" s="50">
        <v>0</v>
      </c>
      <c r="H73" s="50">
        <v>0</v>
      </c>
      <c r="I73" s="50">
        <v>3</v>
      </c>
      <c r="J73" s="50">
        <v>0</v>
      </c>
      <c r="K73" s="50">
        <v>0</v>
      </c>
      <c r="L73" s="50">
        <v>0</v>
      </c>
      <c r="M73" s="50">
        <v>25</v>
      </c>
      <c r="N73" s="50">
        <v>0</v>
      </c>
      <c r="O73" s="15">
        <f t="shared" si="35"/>
        <v>13</v>
      </c>
      <c r="P73" s="15">
        <f t="shared" si="36"/>
        <v>38</v>
      </c>
      <c r="R73" s="8"/>
      <c r="T73"/>
    </row>
    <row r="74" spans="2:20" ht="23.1" customHeight="1" x14ac:dyDescent="0.25">
      <c r="B74" s="45" t="s">
        <v>114</v>
      </c>
      <c r="C74" s="50">
        <v>7</v>
      </c>
      <c r="D74" s="50">
        <v>4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28</v>
      </c>
      <c r="N74" s="50">
        <v>0</v>
      </c>
      <c r="O74" s="15">
        <f t="shared" si="35"/>
        <v>13</v>
      </c>
      <c r="P74" s="15">
        <f t="shared" si="36"/>
        <v>41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20</v>
      </c>
      <c r="N75" s="50">
        <v>0</v>
      </c>
      <c r="O75" s="15">
        <f t="shared" si="35"/>
        <v>7</v>
      </c>
      <c r="P75" s="15">
        <f t="shared" si="36"/>
        <v>27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2</v>
      </c>
      <c r="J76" s="50">
        <v>0</v>
      </c>
      <c r="K76" s="50">
        <v>3</v>
      </c>
      <c r="L76" s="50">
        <v>0</v>
      </c>
      <c r="M76" s="50">
        <v>16</v>
      </c>
      <c r="N76" s="50">
        <v>0</v>
      </c>
      <c r="O76" s="15">
        <f t="shared" si="35"/>
        <v>11</v>
      </c>
      <c r="P76" s="15">
        <f t="shared" si="36"/>
        <v>27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4</v>
      </c>
      <c r="J77" s="50">
        <v>0</v>
      </c>
      <c r="K77" s="50">
        <v>2</v>
      </c>
      <c r="L77" s="50">
        <v>0</v>
      </c>
      <c r="M77" s="50">
        <v>19</v>
      </c>
      <c r="N77" s="50">
        <v>0</v>
      </c>
      <c r="O77" s="15">
        <f t="shared" si="35"/>
        <v>10</v>
      </c>
      <c r="P77" s="15">
        <f t="shared" si="36"/>
        <v>29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1</v>
      </c>
      <c r="L78" s="50">
        <v>0</v>
      </c>
      <c r="M78" s="50">
        <v>4</v>
      </c>
      <c r="N78" s="50">
        <v>0</v>
      </c>
      <c r="O78" s="15">
        <f t="shared" si="35"/>
        <v>2</v>
      </c>
      <c r="P78" s="15">
        <f t="shared" si="36"/>
        <v>6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2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2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0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1</v>
      </c>
      <c r="E82" s="50">
        <v>1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5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4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1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2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0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1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</v>
      </c>
      <c r="N90" s="50">
        <v>0</v>
      </c>
      <c r="O90" s="15">
        <f t="shared" si="35"/>
        <v>0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0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5">
        <f t="shared" si="35"/>
        <v>1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2</v>
      </c>
      <c r="P97" s="15">
        <f t="shared" si="36"/>
        <v>8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9</v>
      </c>
      <c r="N98" s="50">
        <v>0</v>
      </c>
      <c r="O98" s="15">
        <f t="shared" si="35"/>
        <v>3</v>
      </c>
      <c r="P98" s="15">
        <f t="shared" si="36"/>
        <v>12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3</v>
      </c>
      <c r="F99" s="50">
        <v>0</v>
      </c>
      <c r="G99" s="50">
        <v>0</v>
      </c>
      <c r="H99" s="50">
        <v>1</v>
      </c>
      <c r="I99" s="50">
        <v>1</v>
      </c>
      <c r="J99" s="50">
        <v>0</v>
      </c>
      <c r="K99" s="50">
        <v>1</v>
      </c>
      <c r="L99" s="50">
        <v>0</v>
      </c>
      <c r="M99" s="50">
        <v>7</v>
      </c>
      <c r="N99" s="50">
        <v>0</v>
      </c>
      <c r="O99" s="15">
        <f t="shared" si="35"/>
        <v>7</v>
      </c>
      <c r="P99" s="15">
        <f t="shared" si="36"/>
        <v>14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2</v>
      </c>
      <c r="E100" s="50">
        <v>2</v>
      </c>
      <c r="F100" s="50">
        <v>0</v>
      </c>
      <c r="G100" s="50">
        <v>0</v>
      </c>
      <c r="H100" s="50">
        <v>1</v>
      </c>
      <c r="I100" s="50">
        <v>1</v>
      </c>
      <c r="J100" s="50">
        <v>0</v>
      </c>
      <c r="K100" s="50">
        <v>0</v>
      </c>
      <c r="L100" s="50">
        <v>0</v>
      </c>
      <c r="M100" s="50">
        <v>6</v>
      </c>
      <c r="N100" s="50">
        <v>0</v>
      </c>
      <c r="O100" s="15">
        <f t="shared" si="35"/>
        <v>6</v>
      </c>
      <c r="P100" s="15">
        <f t="shared" si="36"/>
        <v>12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4</v>
      </c>
      <c r="E101" s="50">
        <v>0</v>
      </c>
      <c r="F101" s="50">
        <v>2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13</v>
      </c>
      <c r="N101" s="50">
        <v>0</v>
      </c>
      <c r="O101" s="15">
        <f t="shared" si="35"/>
        <v>9</v>
      </c>
      <c r="P101" s="15">
        <f t="shared" si="36"/>
        <v>22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4</v>
      </c>
      <c r="E102" s="50">
        <v>1</v>
      </c>
      <c r="F102" s="50">
        <v>3</v>
      </c>
      <c r="G102" s="50">
        <v>1</v>
      </c>
      <c r="H102" s="50">
        <v>0</v>
      </c>
      <c r="I102" s="50">
        <v>1</v>
      </c>
      <c r="J102" s="50">
        <v>0</v>
      </c>
      <c r="K102" s="50">
        <v>1</v>
      </c>
      <c r="L102" s="50">
        <v>0</v>
      </c>
      <c r="M102" s="50">
        <v>11</v>
      </c>
      <c r="N102" s="50">
        <v>0</v>
      </c>
      <c r="O102" s="15">
        <f t="shared" si="35"/>
        <v>18</v>
      </c>
      <c r="P102" s="15">
        <f t="shared" si="36"/>
        <v>29</v>
      </c>
      <c r="R102" s="8"/>
      <c r="T102"/>
    </row>
    <row r="103" spans="2:20" ht="23.1" customHeight="1" x14ac:dyDescent="0.25">
      <c r="B103" s="45" t="s">
        <v>143</v>
      </c>
      <c r="C103" s="50">
        <v>9</v>
      </c>
      <c r="D103" s="50">
        <v>4</v>
      </c>
      <c r="E103" s="50">
        <v>6</v>
      </c>
      <c r="F103" s="50">
        <v>4</v>
      </c>
      <c r="G103" s="50">
        <v>0</v>
      </c>
      <c r="H103" s="50">
        <v>0</v>
      </c>
      <c r="I103" s="50">
        <v>3</v>
      </c>
      <c r="J103" s="50">
        <v>0</v>
      </c>
      <c r="K103" s="50">
        <v>3</v>
      </c>
      <c r="L103" s="50">
        <v>0</v>
      </c>
      <c r="M103" s="50">
        <v>18</v>
      </c>
      <c r="N103" s="50">
        <v>0</v>
      </c>
      <c r="O103" s="15">
        <f t="shared" si="35"/>
        <v>29</v>
      </c>
      <c r="P103" s="15">
        <f t="shared" si="36"/>
        <v>47</v>
      </c>
      <c r="R103" s="8"/>
      <c r="T103"/>
    </row>
    <row r="104" spans="2:20" ht="23.1" customHeight="1" x14ac:dyDescent="0.25">
      <c r="B104" s="47" t="s">
        <v>144</v>
      </c>
      <c r="C104" s="50">
        <v>32</v>
      </c>
      <c r="D104" s="50">
        <v>14</v>
      </c>
      <c r="E104" s="50">
        <v>9</v>
      </c>
      <c r="F104" s="50">
        <v>12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29</v>
      </c>
      <c r="N104" s="50">
        <v>0</v>
      </c>
      <c r="O104" s="15">
        <f t="shared" si="35"/>
        <v>68</v>
      </c>
      <c r="P104" s="15">
        <f t="shared" si="36"/>
        <v>97</v>
      </c>
      <c r="R104" s="8"/>
      <c r="T104"/>
    </row>
    <row r="105" spans="2:20" ht="23.1" customHeight="1" x14ac:dyDescent="0.25">
      <c r="B105" s="45" t="s">
        <v>145</v>
      </c>
      <c r="C105" s="50">
        <v>40</v>
      </c>
      <c r="D105" s="50">
        <v>17</v>
      </c>
      <c r="E105" s="50">
        <v>10</v>
      </c>
      <c r="F105" s="50">
        <v>17</v>
      </c>
      <c r="G105" s="50">
        <v>0</v>
      </c>
      <c r="H105" s="50">
        <v>0</v>
      </c>
      <c r="I105" s="50">
        <v>1</v>
      </c>
      <c r="J105" s="50">
        <v>0</v>
      </c>
      <c r="K105" s="50">
        <v>1</v>
      </c>
      <c r="L105" s="50">
        <v>0</v>
      </c>
      <c r="M105" s="50">
        <v>45</v>
      </c>
      <c r="N105" s="50">
        <v>0</v>
      </c>
      <c r="O105" s="15">
        <f t="shared" si="35"/>
        <v>86</v>
      </c>
      <c r="P105" s="15">
        <f t="shared" si="36"/>
        <v>131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5571</v>
      </c>
      <c r="D106" s="16">
        <f t="shared" ref="D106:P106" si="37">SUM(D10:D105)</f>
        <v>1442</v>
      </c>
      <c r="E106" s="16">
        <f t="shared" si="37"/>
        <v>717</v>
      </c>
      <c r="F106" s="16">
        <f t="shared" si="37"/>
        <v>627</v>
      </c>
      <c r="G106" s="16">
        <f t="shared" si="37"/>
        <v>9</v>
      </c>
      <c r="H106" s="16">
        <f t="shared" si="37"/>
        <v>5</v>
      </c>
      <c r="I106" s="16">
        <f t="shared" si="37"/>
        <v>185</v>
      </c>
      <c r="J106" s="16">
        <f t="shared" si="37"/>
        <v>53</v>
      </c>
      <c r="K106" s="16">
        <f t="shared" si="37"/>
        <v>28</v>
      </c>
      <c r="L106" s="16">
        <f t="shared" si="37"/>
        <v>3</v>
      </c>
      <c r="M106" s="16">
        <f t="shared" si="37"/>
        <v>4727</v>
      </c>
      <c r="N106" s="16">
        <f t="shared" si="37"/>
        <v>2</v>
      </c>
      <c r="O106" s="16">
        <f t="shared" si="37"/>
        <v>8642</v>
      </c>
      <c r="P106" s="16">
        <f t="shared" si="37"/>
        <v>13369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0.41671029994764008</v>
      </c>
      <c r="D107" s="43">
        <f t="shared" si="38"/>
        <v>0.10786147056623532</v>
      </c>
      <c r="E107" s="43">
        <f t="shared" si="38"/>
        <v>5.3631535642157231E-2</v>
      </c>
      <c r="F107" s="43">
        <f t="shared" si="38"/>
        <v>4.6899543720547533E-2</v>
      </c>
      <c r="G107" s="43">
        <f t="shared" si="38"/>
        <v>6.731991921609694E-4</v>
      </c>
      <c r="H107" s="43">
        <f t="shared" si="38"/>
        <v>3.7399955120053858E-4</v>
      </c>
      <c r="I107" s="43">
        <f t="shared" si="38"/>
        <v>1.3837983394419927E-2</v>
      </c>
      <c r="J107" s="43">
        <f t="shared" si="38"/>
        <v>3.9643952427257084E-3</v>
      </c>
      <c r="K107" s="43">
        <f t="shared" si="38"/>
        <v>2.0943974867230161E-3</v>
      </c>
      <c r="L107" s="43">
        <f t="shared" si="38"/>
        <v>2.2439973072032313E-4</v>
      </c>
      <c r="M107" s="43">
        <f t="shared" si="38"/>
        <v>0.35357917570498915</v>
      </c>
      <c r="N107" s="43">
        <f t="shared" si="38"/>
        <v>1.4959982048021541E-4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0.64464244387873182</v>
      </c>
      <c r="D108" s="44">
        <f t="shared" ref="D108:N108" si="39">D106/$O$106</f>
        <v>0.16685952325850498</v>
      </c>
      <c r="E108" s="44">
        <f t="shared" si="39"/>
        <v>8.2966905808840544E-2</v>
      </c>
      <c r="F108" s="44">
        <f t="shared" si="39"/>
        <v>7.2552649849571854E-2</v>
      </c>
      <c r="G108" s="44">
        <f t="shared" si="39"/>
        <v>1.0414255959268687E-3</v>
      </c>
      <c r="H108" s="44">
        <f t="shared" si="39"/>
        <v>5.7856977551492715E-4</v>
      </c>
      <c r="I108" s="44">
        <f t="shared" si="39"/>
        <v>2.1407081694052303E-2</v>
      </c>
      <c r="J108" s="44">
        <f t="shared" si="39"/>
        <v>6.1328396204582275E-3</v>
      </c>
      <c r="K108" s="44">
        <f t="shared" si="39"/>
        <v>3.2399907428835918E-3</v>
      </c>
      <c r="L108" s="44">
        <f t="shared" si="39"/>
        <v>3.4714186530895625E-4</v>
      </c>
      <c r="M108" s="44"/>
      <c r="N108" s="44">
        <f t="shared" si="39"/>
        <v>2.3142791020597085E-4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2" zoomScale="71" zoomScaleSheetLayoutView="71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Naguru-Nakawa-24h'!D5</f>
        <v>01.08.19</v>
      </c>
      <c r="E5" s="3"/>
      <c r="F5" s="41" t="s">
        <v>1</v>
      </c>
      <c r="G5" s="63" t="str">
        <f>'01.08 Naguru-Nakawa-24h'!G5:H5</f>
        <v>POLICE HEADQUATER</v>
      </c>
      <c r="H5" s="64"/>
      <c r="I5" s="14"/>
      <c r="J5" s="2" t="s">
        <v>5</v>
      </c>
      <c r="K5" s="63" t="s">
        <v>170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166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'01.08 Naguru-Nakawa-24h'!K6:L6</f>
        <v>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42</v>
      </c>
      <c r="D10" s="50">
        <v>44</v>
      </c>
      <c r="E10" s="50">
        <v>6</v>
      </c>
      <c r="F10" s="50">
        <v>9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73" si="0">SUM(C10:L10,N10)</f>
        <v>104</v>
      </c>
      <c r="P10" s="15">
        <f t="shared" ref="P10:P73" si="1">SUM(C10:N10)</f>
        <v>154</v>
      </c>
      <c r="R10" s="1" t="s">
        <v>6</v>
      </c>
      <c r="S10" s="17">
        <f t="shared" ref="S10:AF10" si="2">SUM(C10:C13)</f>
        <v>173</v>
      </c>
      <c r="T10" s="17">
        <f t="shared" si="2"/>
        <v>163</v>
      </c>
      <c r="U10" s="17">
        <f t="shared" si="2"/>
        <v>26</v>
      </c>
      <c r="V10" s="17">
        <f t="shared" si="2"/>
        <v>34</v>
      </c>
      <c r="W10" s="17">
        <f t="shared" si="2"/>
        <v>3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181</v>
      </c>
      <c r="AD10" s="17">
        <f t="shared" si="2"/>
        <v>0</v>
      </c>
      <c r="AE10" s="31">
        <f t="shared" si="2"/>
        <v>406</v>
      </c>
      <c r="AF10" s="31">
        <f t="shared" si="2"/>
        <v>587</v>
      </c>
    </row>
    <row r="11" spans="2:32" s="6" customFormat="1" ht="23.1" customHeight="1" x14ac:dyDescent="0.25">
      <c r="B11" s="45" t="s">
        <v>38</v>
      </c>
      <c r="C11" s="50">
        <v>39</v>
      </c>
      <c r="D11" s="50">
        <v>53</v>
      </c>
      <c r="E11" s="50">
        <v>8</v>
      </c>
      <c r="F11" s="50">
        <v>5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106</v>
      </c>
      <c r="P11" s="15">
        <f t="shared" si="1"/>
        <v>151</v>
      </c>
      <c r="R11" s="1" t="s">
        <v>7</v>
      </c>
      <c r="S11" s="17">
        <f t="shared" ref="S11:AF11" si="3">SUM(C14:C17)</f>
        <v>255</v>
      </c>
      <c r="T11" s="17">
        <f t="shared" si="3"/>
        <v>227</v>
      </c>
      <c r="U11" s="17">
        <f t="shared" si="3"/>
        <v>77</v>
      </c>
      <c r="V11" s="17">
        <f t="shared" si="3"/>
        <v>86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232</v>
      </c>
      <c r="AD11" s="17">
        <f t="shared" si="3"/>
        <v>0</v>
      </c>
      <c r="AE11" s="31">
        <f t="shared" si="3"/>
        <v>656</v>
      </c>
      <c r="AF11" s="31">
        <f t="shared" si="3"/>
        <v>888</v>
      </c>
    </row>
    <row r="12" spans="2:32" ht="23.1" customHeight="1" x14ac:dyDescent="0.25">
      <c r="B12" s="45" t="s">
        <v>39</v>
      </c>
      <c r="C12" s="50">
        <v>43</v>
      </c>
      <c r="D12" s="50">
        <v>33</v>
      </c>
      <c r="E12" s="50">
        <v>6</v>
      </c>
      <c r="F12" s="50">
        <v>10</v>
      </c>
      <c r="G12" s="50">
        <v>1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45</v>
      </c>
      <c r="N12" s="50">
        <v>0</v>
      </c>
      <c r="O12" s="15">
        <f t="shared" si="0"/>
        <v>95</v>
      </c>
      <c r="P12" s="15">
        <f t="shared" si="1"/>
        <v>140</v>
      </c>
      <c r="R12" s="1" t="s">
        <v>8</v>
      </c>
      <c r="S12" s="17">
        <f t="shared" ref="S12:AF12" si="4">SUM(C18:C21)</f>
        <v>178</v>
      </c>
      <c r="T12" s="17">
        <f t="shared" si="4"/>
        <v>159</v>
      </c>
      <c r="U12" s="17">
        <f t="shared" si="4"/>
        <v>38</v>
      </c>
      <c r="V12" s="17">
        <f t="shared" si="4"/>
        <v>40</v>
      </c>
      <c r="W12" s="17">
        <f t="shared" si="4"/>
        <v>1</v>
      </c>
      <c r="X12" s="17">
        <f t="shared" si="4"/>
        <v>0</v>
      </c>
      <c r="Y12" s="17">
        <f t="shared" si="4"/>
        <v>11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213</v>
      </c>
      <c r="AD12" s="17">
        <f t="shared" si="4"/>
        <v>0</v>
      </c>
      <c r="AE12" s="31">
        <f t="shared" si="4"/>
        <v>429</v>
      </c>
      <c r="AF12" s="31">
        <f t="shared" si="4"/>
        <v>642</v>
      </c>
    </row>
    <row r="13" spans="2:32" ht="23.1" customHeight="1" x14ac:dyDescent="0.25">
      <c r="B13" s="45" t="s">
        <v>40</v>
      </c>
      <c r="C13" s="50">
        <v>49</v>
      </c>
      <c r="D13" s="50">
        <v>33</v>
      </c>
      <c r="E13" s="50">
        <v>6</v>
      </c>
      <c r="F13" s="50">
        <v>10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41</v>
      </c>
      <c r="N13" s="50">
        <v>0</v>
      </c>
      <c r="O13" s="15">
        <f t="shared" si="0"/>
        <v>101</v>
      </c>
      <c r="P13" s="15">
        <f t="shared" si="1"/>
        <v>142</v>
      </c>
      <c r="R13" s="1" t="s">
        <v>9</v>
      </c>
      <c r="S13" s="17">
        <f t="shared" ref="S13:AF13" si="5">SUM(C22:C25)</f>
        <v>165</v>
      </c>
      <c r="T13" s="17">
        <f t="shared" si="5"/>
        <v>131</v>
      </c>
      <c r="U13" s="17">
        <f t="shared" si="5"/>
        <v>42</v>
      </c>
      <c r="V13" s="17">
        <f t="shared" si="5"/>
        <v>29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1</v>
      </c>
      <c r="AB13" s="17">
        <f t="shared" si="5"/>
        <v>3</v>
      </c>
      <c r="AC13" s="17">
        <f t="shared" si="5"/>
        <v>187</v>
      </c>
      <c r="AD13" s="17">
        <f t="shared" si="5"/>
        <v>0</v>
      </c>
      <c r="AE13" s="31">
        <f t="shared" si="5"/>
        <v>378</v>
      </c>
      <c r="AF13" s="31">
        <f t="shared" si="5"/>
        <v>565</v>
      </c>
    </row>
    <row r="14" spans="2:32" ht="23.1" customHeight="1" x14ac:dyDescent="0.25">
      <c r="B14" s="45" t="s">
        <v>41</v>
      </c>
      <c r="C14" s="50">
        <v>62</v>
      </c>
      <c r="D14" s="50">
        <v>59</v>
      </c>
      <c r="E14" s="50">
        <v>9</v>
      </c>
      <c r="F14" s="50">
        <v>19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50</v>
      </c>
      <c r="N14" s="50">
        <v>0</v>
      </c>
      <c r="O14" s="15">
        <f t="shared" si="0"/>
        <v>150</v>
      </c>
      <c r="P14" s="15">
        <f t="shared" si="1"/>
        <v>200</v>
      </c>
      <c r="R14" s="1" t="s">
        <v>10</v>
      </c>
      <c r="S14" s="17">
        <f t="shared" ref="S14:AF14" si="6">SUM(C26:C29)</f>
        <v>526</v>
      </c>
      <c r="T14" s="17">
        <f t="shared" si="6"/>
        <v>146</v>
      </c>
      <c r="U14" s="17">
        <f t="shared" si="6"/>
        <v>70</v>
      </c>
      <c r="V14" s="17">
        <f t="shared" si="6"/>
        <v>27</v>
      </c>
      <c r="W14" s="17">
        <f t="shared" si="6"/>
        <v>3</v>
      </c>
      <c r="X14" s="17">
        <f t="shared" si="6"/>
        <v>1</v>
      </c>
      <c r="Y14" s="17">
        <f t="shared" si="6"/>
        <v>5</v>
      </c>
      <c r="Z14" s="17">
        <f t="shared" si="6"/>
        <v>6</v>
      </c>
      <c r="AA14" s="17">
        <f t="shared" si="6"/>
        <v>3</v>
      </c>
      <c r="AB14" s="17">
        <f t="shared" si="6"/>
        <v>1</v>
      </c>
      <c r="AC14" s="17">
        <f t="shared" si="6"/>
        <v>194</v>
      </c>
      <c r="AD14" s="17">
        <f t="shared" si="6"/>
        <v>0</v>
      </c>
      <c r="AE14" s="31">
        <f t="shared" si="6"/>
        <v>788</v>
      </c>
      <c r="AF14" s="31">
        <f t="shared" si="6"/>
        <v>982</v>
      </c>
    </row>
    <row r="15" spans="2:32" ht="23.1" customHeight="1" x14ac:dyDescent="0.25">
      <c r="B15" s="45" t="s">
        <v>42</v>
      </c>
      <c r="C15" s="50">
        <v>65</v>
      </c>
      <c r="D15" s="50">
        <v>60</v>
      </c>
      <c r="E15" s="50">
        <v>24</v>
      </c>
      <c r="F15" s="50">
        <v>30</v>
      </c>
      <c r="G15" s="50">
        <v>0</v>
      </c>
      <c r="H15" s="50">
        <v>0</v>
      </c>
      <c r="I15" s="50">
        <v>3</v>
      </c>
      <c r="J15" s="50">
        <v>1</v>
      </c>
      <c r="K15" s="50">
        <v>1</v>
      </c>
      <c r="L15" s="50">
        <v>0</v>
      </c>
      <c r="M15" s="50">
        <v>56</v>
      </c>
      <c r="N15" s="50">
        <v>0</v>
      </c>
      <c r="O15" s="15">
        <f t="shared" si="0"/>
        <v>184</v>
      </c>
      <c r="P15" s="15">
        <f t="shared" si="1"/>
        <v>240</v>
      </c>
      <c r="R15" s="1" t="s">
        <v>11</v>
      </c>
      <c r="S15" s="17">
        <f t="shared" ref="S15:AF15" si="7">SUM(C30:C33)</f>
        <v>255</v>
      </c>
      <c r="T15" s="17">
        <f t="shared" si="7"/>
        <v>307</v>
      </c>
      <c r="U15" s="17">
        <f t="shared" si="7"/>
        <v>49</v>
      </c>
      <c r="V15" s="17">
        <f t="shared" si="7"/>
        <v>32</v>
      </c>
      <c r="W15" s="17">
        <f t="shared" si="7"/>
        <v>1</v>
      </c>
      <c r="X15" s="17">
        <f t="shared" si="7"/>
        <v>0</v>
      </c>
      <c r="Y15" s="17">
        <f t="shared" si="7"/>
        <v>22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209</v>
      </c>
      <c r="AD15" s="17">
        <f t="shared" si="7"/>
        <v>0</v>
      </c>
      <c r="AE15" s="31">
        <f t="shared" si="7"/>
        <v>667</v>
      </c>
      <c r="AF15" s="31">
        <f t="shared" si="7"/>
        <v>876</v>
      </c>
    </row>
    <row r="16" spans="2:32" ht="23.1" customHeight="1" x14ac:dyDescent="0.25">
      <c r="B16" s="45" t="s">
        <v>43</v>
      </c>
      <c r="C16" s="50">
        <v>60</v>
      </c>
      <c r="D16" s="50">
        <v>41</v>
      </c>
      <c r="E16" s="50">
        <v>7</v>
      </c>
      <c r="F16" s="50">
        <v>15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70</v>
      </c>
      <c r="N16" s="50">
        <v>0</v>
      </c>
      <c r="O16" s="15">
        <f t="shared" si="0"/>
        <v>123</v>
      </c>
      <c r="P16" s="15">
        <f t="shared" si="1"/>
        <v>193</v>
      </c>
      <c r="R16" s="1" t="s">
        <v>12</v>
      </c>
      <c r="S16" s="17">
        <f t="shared" ref="S16:AF16" si="8">SUM(C34:C37)</f>
        <v>306</v>
      </c>
      <c r="T16" s="17">
        <f t="shared" si="8"/>
        <v>217</v>
      </c>
      <c r="U16" s="17">
        <f t="shared" si="8"/>
        <v>39</v>
      </c>
      <c r="V16" s="17">
        <f t="shared" si="8"/>
        <v>18</v>
      </c>
      <c r="W16" s="17">
        <f t="shared" si="8"/>
        <v>1</v>
      </c>
      <c r="X16" s="17">
        <f t="shared" si="8"/>
        <v>0</v>
      </c>
      <c r="Y16" s="17">
        <f t="shared" si="8"/>
        <v>19</v>
      </c>
      <c r="Z16" s="17">
        <f t="shared" si="8"/>
        <v>3</v>
      </c>
      <c r="AA16" s="17">
        <f t="shared" si="8"/>
        <v>4</v>
      </c>
      <c r="AB16" s="17">
        <f t="shared" si="8"/>
        <v>0</v>
      </c>
      <c r="AC16" s="17">
        <f t="shared" si="8"/>
        <v>164</v>
      </c>
      <c r="AD16" s="17">
        <f t="shared" si="8"/>
        <v>1</v>
      </c>
      <c r="AE16" s="31">
        <f t="shared" si="8"/>
        <v>608</v>
      </c>
      <c r="AF16" s="31">
        <f t="shared" si="8"/>
        <v>772</v>
      </c>
    </row>
    <row r="17" spans="2:32" ht="23.1" customHeight="1" x14ac:dyDescent="0.25">
      <c r="B17" s="45" t="s">
        <v>44</v>
      </c>
      <c r="C17" s="50">
        <v>68</v>
      </c>
      <c r="D17" s="50">
        <v>67</v>
      </c>
      <c r="E17" s="50">
        <v>37</v>
      </c>
      <c r="F17" s="50">
        <v>22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0</v>
      </c>
      <c r="M17" s="50">
        <v>56</v>
      </c>
      <c r="N17" s="50">
        <v>0</v>
      </c>
      <c r="O17" s="15">
        <f t="shared" si="0"/>
        <v>199</v>
      </c>
      <c r="P17" s="15">
        <f t="shared" si="1"/>
        <v>255</v>
      </c>
      <c r="R17" s="1" t="s">
        <v>13</v>
      </c>
      <c r="S17" s="17">
        <f t="shared" ref="S17:AF17" si="9">SUM(C38:C41)</f>
        <v>279</v>
      </c>
      <c r="T17" s="17">
        <f t="shared" si="9"/>
        <v>257</v>
      </c>
      <c r="U17" s="17">
        <f t="shared" si="9"/>
        <v>48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165</v>
      </c>
      <c r="AD17" s="17">
        <f t="shared" si="9"/>
        <v>0</v>
      </c>
      <c r="AE17" s="31">
        <f t="shared" si="9"/>
        <v>606</v>
      </c>
      <c r="AF17" s="31">
        <f t="shared" si="9"/>
        <v>771</v>
      </c>
    </row>
    <row r="18" spans="2:32" ht="23.1" customHeight="1" x14ac:dyDescent="0.25">
      <c r="B18" s="45" t="s">
        <v>45</v>
      </c>
      <c r="C18" s="50">
        <v>48</v>
      </c>
      <c r="D18" s="50">
        <v>44</v>
      </c>
      <c r="E18" s="50">
        <v>12</v>
      </c>
      <c r="F18" s="50">
        <v>8</v>
      </c>
      <c r="G18" s="50">
        <v>1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81</v>
      </c>
      <c r="N18" s="50">
        <v>0</v>
      </c>
      <c r="O18" s="15">
        <f t="shared" si="0"/>
        <v>119</v>
      </c>
      <c r="P18" s="15">
        <f t="shared" si="1"/>
        <v>200</v>
      </c>
      <c r="R18" s="1" t="s">
        <v>14</v>
      </c>
      <c r="S18" s="17">
        <f t="shared" ref="S18:AF18" si="10">SUM(C42:C45)</f>
        <v>386</v>
      </c>
      <c r="T18" s="17">
        <f t="shared" si="10"/>
        <v>382</v>
      </c>
      <c r="U18" s="17">
        <f t="shared" si="10"/>
        <v>56</v>
      </c>
      <c r="V18" s="17">
        <f t="shared" si="10"/>
        <v>25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157</v>
      </c>
      <c r="AD18" s="17">
        <f t="shared" si="10"/>
        <v>0</v>
      </c>
      <c r="AE18" s="31">
        <f t="shared" si="10"/>
        <v>862</v>
      </c>
      <c r="AF18" s="31">
        <f t="shared" si="10"/>
        <v>1019</v>
      </c>
    </row>
    <row r="19" spans="2:32" ht="23.1" customHeight="1" x14ac:dyDescent="0.25">
      <c r="B19" s="45" t="s">
        <v>46</v>
      </c>
      <c r="C19" s="50">
        <v>48</v>
      </c>
      <c r="D19" s="50">
        <v>42</v>
      </c>
      <c r="E19" s="50">
        <v>8</v>
      </c>
      <c r="F19" s="50">
        <v>14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47</v>
      </c>
      <c r="N19" s="50">
        <v>0</v>
      </c>
      <c r="O19" s="15">
        <f t="shared" si="0"/>
        <v>116</v>
      </c>
      <c r="P19" s="15">
        <f t="shared" si="1"/>
        <v>163</v>
      </c>
      <c r="R19" s="1" t="s">
        <v>15</v>
      </c>
      <c r="S19" s="17">
        <f t="shared" ref="S19:AF19" si="11">SUM(C46:C49)</f>
        <v>412</v>
      </c>
      <c r="T19" s="17">
        <f t="shared" si="11"/>
        <v>345</v>
      </c>
      <c r="U19" s="17">
        <f t="shared" si="11"/>
        <v>47</v>
      </c>
      <c r="V19" s="17">
        <f t="shared" si="11"/>
        <v>24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2</v>
      </c>
      <c r="AA19" s="17">
        <f t="shared" si="11"/>
        <v>3</v>
      </c>
      <c r="AB19" s="17">
        <f t="shared" si="11"/>
        <v>0</v>
      </c>
      <c r="AC19" s="17">
        <f t="shared" si="11"/>
        <v>174</v>
      </c>
      <c r="AD19" s="17">
        <f t="shared" si="11"/>
        <v>0</v>
      </c>
      <c r="AE19" s="31">
        <f t="shared" si="11"/>
        <v>838</v>
      </c>
      <c r="AF19" s="31">
        <f t="shared" si="11"/>
        <v>1012</v>
      </c>
    </row>
    <row r="20" spans="2:32" ht="23.1" customHeight="1" x14ac:dyDescent="0.25">
      <c r="B20" s="45" t="s">
        <v>47</v>
      </c>
      <c r="C20" s="50">
        <v>45</v>
      </c>
      <c r="D20" s="50">
        <v>41</v>
      </c>
      <c r="E20" s="50">
        <v>7</v>
      </c>
      <c r="F20" s="50">
        <v>9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105</v>
      </c>
      <c r="P20" s="15">
        <f t="shared" si="1"/>
        <v>160</v>
      </c>
      <c r="R20" s="1" t="s">
        <v>16</v>
      </c>
      <c r="S20" s="17">
        <f t="shared" ref="S20:AF20" si="12">SUM(C50:C53)</f>
        <v>701</v>
      </c>
      <c r="T20" s="17">
        <f t="shared" si="12"/>
        <v>558</v>
      </c>
      <c r="U20" s="17">
        <f t="shared" si="12"/>
        <v>192</v>
      </c>
      <c r="V20" s="17">
        <f t="shared" si="12"/>
        <v>55</v>
      </c>
      <c r="W20" s="17">
        <f t="shared" si="12"/>
        <v>0</v>
      </c>
      <c r="X20" s="17">
        <f t="shared" si="12"/>
        <v>1</v>
      </c>
      <c r="Y20" s="17">
        <f t="shared" si="12"/>
        <v>8</v>
      </c>
      <c r="Z20" s="17">
        <f t="shared" si="12"/>
        <v>7</v>
      </c>
      <c r="AA20" s="17">
        <f t="shared" si="12"/>
        <v>2</v>
      </c>
      <c r="AB20" s="17">
        <f t="shared" si="12"/>
        <v>0</v>
      </c>
      <c r="AC20" s="17">
        <f t="shared" si="12"/>
        <v>251</v>
      </c>
      <c r="AD20" s="17">
        <f t="shared" si="12"/>
        <v>0</v>
      </c>
      <c r="AE20" s="31">
        <f t="shared" si="12"/>
        <v>1524</v>
      </c>
      <c r="AF20" s="31">
        <f t="shared" si="12"/>
        <v>1775</v>
      </c>
    </row>
    <row r="21" spans="2:32" ht="23.1" customHeight="1" x14ac:dyDescent="0.25">
      <c r="B21" s="45" t="s">
        <v>48</v>
      </c>
      <c r="C21" s="50">
        <v>37</v>
      </c>
      <c r="D21" s="50">
        <v>32</v>
      </c>
      <c r="E21" s="50">
        <v>11</v>
      </c>
      <c r="F21" s="50">
        <v>9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89</v>
      </c>
      <c r="P21" s="15">
        <f t="shared" si="1"/>
        <v>119</v>
      </c>
      <c r="R21" s="36" t="s">
        <v>20</v>
      </c>
      <c r="S21" s="34">
        <f t="shared" ref="S21:AF21" si="13">SUM(C54:C57)</f>
        <v>525</v>
      </c>
      <c r="T21" s="17">
        <f t="shared" si="13"/>
        <v>435</v>
      </c>
      <c r="U21" s="17">
        <f t="shared" si="13"/>
        <v>80</v>
      </c>
      <c r="V21" s="17">
        <f t="shared" si="13"/>
        <v>44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2</v>
      </c>
      <c r="AB21" s="17">
        <f t="shared" si="13"/>
        <v>1</v>
      </c>
      <c r="AC21" s="17">
        <f t="shared" si="13"/>
        <v>323</v>
      </c>
      <c r="AD21" s="17">
        <f t="shared" si="13"/>
        <v>0</v>
      </c>
      <c r="AE21" s="31">
        <f t="shared" si="13"/>
        <v>1093</v>
      </c>
      <c r="AF21" s="31">
        <f t="shared" si="13"/>
        <v>1416</v>
      </c>
    </row>
    <row r="22" spans="2:32" ht="23.1" customHeight="1" x14ac:dyDescent="0.25">
      <c r="B22" s="45" t="s">
        <v>49</v>
      </c>
      <c r="C22" s="50">
        <v>38</v>
      </c>
      <c r="D22" s="50">
        <v>26</v>
      </c>
      <c r="E22" s="50">
        <v>8</v>
      </c>
      <c r="F22" s="50">
        <v>5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3</v>
      </c>
      <c r="M22" s="50">
        <v>48</v>
      </c>
      <c r="N22" s="50">
        <v>0</v>
      </c>
      <c r="O22" s="15">
        <f t="shared" si="0"/>
        <v>82</v>
      </c>
      <c r="P22" s="15">
        <f t="shared" si="1"/>
        <v>130</v>
      </c>
      <c r="R22" s="36" t="s">
        <v>146</v>
      </c>
      <c r="S22" s="34">
        <f>SUM(C58:C61)</f>
        <v>375</v>
      </c>
      <c r="T22" s="34">
        <f t="shared" ref="T22:AF22" si="14">SUM(D58:D61)</f>
        <v>265</v>
      </c>
      <c r="U22" s="34">
        <f t="shared" si="14"/>
        <v>53</v>
      </c>
      <c r="V22" s="34">
        <f t="shared" si="14"/>
        <v>55</v>
      </c>
      <c r="W22" s="34">
        <f t="shared" si="14"/>
        <v>4</v>
      </c>
      <c r="X22" s="34">
        <f t="shared" si="14"/>
        <v>0</v>
      </c>
      <c r="Y22" s="34">
        <f t="shared" si="14"/>
        <v>6</v>
      </c>
      <c r="Z22" s="34">
        <f t="shared" si="14"/>
        <v>12</v>
      </c>
      <c r="AA22" s="34">
        <f t="shared" si="14"/>
        <v>17</v>
      </c>
      <c r="AB22" s="34">
        <f t="shared" si="14"/>
        <v>0</v>
      </c>
      <c r="AC22" s="34">
        <f t="shared" si="14"/>
        <v>212</v>
      </c>
      <c r="AD22" s="34">
        <f t="shared" si="14"/>
        <v>0</v>
      </c>
      <c r="AE22" s="31">
        <f t="shared" si="14"/>
        <v>787</v>
      </c>
      <c r="AF22" s="31">
        <f t="shared" si="14"/>
        <v>999</v>
      </c>
    </row>
    <row r="23" spans="2:32" ht="23.1" customHeight="1" x14ac:dyDescent="0.25">
      <c r="B23" s="45" t="s">
        <v>50</v>
      </c>
      <c r="C23" s="50">
        <v>42</v>
      </c>
      <c r="D23" s="50">
        <v>29</v>
      </c>
      <c r="E23" s="50">
        <v>14</v>
      </c>
      <c r="F23" s="50">
        <v>12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40</v>
      </c>
      <c r="N23" s="50">
        <v>0</v>
      </c>
      <c r="O23" s="15">
        <f t="shared" si="0"/>
        <v>98</v>
      </c>
      <c r="P23" s="15">
        <f t="shared" si="1"/>
        <v>138</v>
      </c>
      <c r="R23" s="36" t="s">
        <v>147</v>
      </c>
      <c r="S23" s="34">
        <f>SUM(C62:C65)</f>
        <v>300</v>
      </c>
      <c r="T23" s="34">
        <f t="shared" ref="T23:AF23" si="15">SUM(D62:D65)</f>
        <v>155</v>
      </c>
      <c r="U23" s="34">
        <f t="shared" si="15"/>
        <v>90</v>
      </c>
      <c r="V23" s="34">
        <f t="shared" si="15"/>
        <v>45</v>
      </c>
      <c r="W23" s="34">
        <f t="shared" si="15"/>
        <v>15</v>
      </c>
      <c r="X23" s="34">
        <f t="shared" si="15"/>
        <v>18</v>
      </c>
      <c r="Y23" s="34">
        <f t="shared" si="15"/>
        <v>26</v>
      </c>
      <c r="Z23" s="34">
        <f t="shared" si="15"/>
        <v>4</v>
      </c>
      <c r="AA23" s="34">
        <f t="shared" si="15"/>
        <v>5</v>
      </c>
      <c r="AB23" s="34">
        <f t="shared" si="15"/>
        <v>0</v>
      </c>
      <c r="AC23" s="34">
        <f t="shared" si="15"/>
        <v>52</v>
      </c>
      <c r="AD23" s="34">
        <f t="shared" si="15"/>
        <v>0</v>
      </c>
      <c r="AE23" s="31">
        <f t="shared" si="15"/>
        <v>658</v>
      </c>
      <c r="AF23" s="31">
        <f t="shared" si="15"/>
        <v>710</v>
      </c>
    </row>
    <row r="24" spans="2:32" ht="23.1" customHeight="1" x14ac:dyDescent="0.25">
      <c r="B24" s="45" t="s">
        <v>51</v>
      </c>
      <c r="C24" s="50">
        <v>61</v>
      </c>
      <c r="D24" s="50">
        <v>38</v>
      </c>
      <c r="E24" s="50">
        <v>12</v>
      </c>
      <c r="F24" s="50">
        <v>9</v>
      </c>
      <c r="G24" s="50">
        <v>0</v>
      </c>
      <c r="H24" s="50">
        <v>0</v>
      </c>
      <c r="I24" s="50">
        <v>0</v>
      </c>
      <c r="J24" s="50">
        <v>2</v>
      </c>
      <c r="K24" s="50">
        <v>1</v>
      </c>
      <c r="L24" s="50">
        <v>0</v>
      </c>
      <c r="M24" s="50">
        <v>49</v>
      </c>
      <c r="N24" s="50">
        <v>0</v>
      </c>
      <c r="O24" s="15">
        <f t="shared" si="0"/>
        <v>123</v>
      </c>
      <c r="P24" s="15">
        <f t="shared" si="1"/>
        <v>172</v>
      </c>
      <c r="R24" s="36" t="s">
        <v>148</v>
      </c>
      <c r="S24" s="34">
        <f>SUM(C66:C69)</f>
        <v>375</v>
      </c>
      <c r="T24" s="34">
        <f t="shared" ref="T24:AF24" si="16">SUM(D66:D69)</f>
        <v>180</v>
      </c>
      <c r="U24" s="34">
        <f t="shared" si="16"/>
        <v>19</v>
      </c>
      <c r="V24" s="34">
        <f t="shared" si="16"/>
        <v>10</v>
      </c>
      <c r="W24" s="34">
        <f t="shared" si="16"/>
        <v>0</v>
      </c>
      <c r="X24" s="34">
        <f t="shared" si="16"/>
        <v>8</v>
      </c>
      <c r="Y24" s="34">
        <f t="shared" si="16"/>
        <v>16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22</v>
      </c>
      <c r="AD24" s="34">
        <f t="shared" si="16"/>
        <v>0</v>
      </c>
      <c r="AE24" s="31">
        <f t="shared" si="16"/>
        <v>611</v>
      </c>
      <c r="AF24" s="31">
        <f t="shared" si="16"/>
        <v>633</v>
      </c>
    </row>
    <row r="25" spans="2:32" ht="23.1" customHeight="1" x14ac:dyDescent="0.25">
      <c r="B25" s="45" t="s">
        <v>52</v>
      </c>
      <c r="C25" s="50">
        <v>24</v>
      </c>
      <c r="D25" s="50">
        <v>38</v>
      </c>
      <c r="E25" s="50">
        <v>8</v>
      </c>
      <c r="F25" s="50">
        <v>3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50</v>
      </c>
      <c r="N25" s="50">
        <v>0</v>
      </c>
      <c r="O25" s="15">
        <f t="shared" si="0"/>
        <v>75</v>
      </c>
      <c r="P25" s="15">
        <f t="shared" si="1"/>
        <v>125</v>
      </c>
      <c r="R25" s="36" t="s">
        <v>149</v>
      </c>
      <c r="S25" s="34">
        <f>SUM(C70:C73)</f>
        <v>330</v>
      </c>
      <c r="T25" s="34">
        <f t="shared" ref="T25:AF25" si="17">SUM(D70:D73)</f>
        <v>43</v>
      </c>
      <c r="U25" s="34">
        <f t="shared" si="17"/>
        <v>16</v>
      </c>
      <c r="V25" s="34">
        <f t="shared" si="17"/>
        <v>15</v>
      </c>
      <c r="W25" s="34">
        <f t="shared" si="17"/>
        <v>8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23</v>
      </c>
      <c r="AD25" s="34">
        <f t="shared" si="17"/>
        <v>0</v>
      </c>
      <c r="AE25" s="31">
        <f t="shared" si="17"/>
        <v>417</v>
      </c>
      <c r="AF25" s="31">
        <f t="shared" si="17"/>
        <v>440</v>
      </c>
    </row>
    <row r="26" spans="2:32" ht="23.1" customHeight="1" x14ac:dyDescent="0.25">
      <c r="B26" s="45" t="s">
        <v>53</v>
      </c>
      <c r="C26" s="50">
        <v>34</v>
      </c>
      <c r="D26" s="50">
        <v>39</v>
      </c>
      <c r="E26" s="50">
        <v>13</v>
      </c>
      <c r="F26" s="50">
        <v>9</v>
      </c>
      <c r="G26" s="50">
        <v>1</v>
      </c>
      <c r="H26" s="50">
        <v>0</v>
      </c>
      <c r="I26" s="50">
        <v>2</v>
      </c>
      <c r="J26" s="50">
        <v>4</v>
      </c>
      <c r="K26" s="50">
        <v>1</v>
      </c>
      <c r="L26" s="50">
        <v>0</v>
      </c>
      <c r="M26" s="50">
        <v>65</v>
      </c>
      <c r="N26" s="50">
        <v>0</v>
      </c>
      <c r="O26" s="15">
        <f t="shared" si="0"/>
        <v>103</v>
      </c>
      <c r="P26" s="15">
        <f t="shared" si="1"/>
        <v>168</v>
      </c>
      <c r="R26" s="36" t="s">
        <v>150</v>
      </c>
      <c r="S26" s="34">
        <f>SUM(C74:C77)</f>
        <v>395</v>
      </c>
      <c r="T26" s="34">
        <f t="shared" ref="T26:AF26" si="18">SUM(D74:D77)</f>
        <v>56</v>
      </c>
      <c r="U26" s="34">
        <f t="shared" si="18"/>
        <v>19</v>
      </c>
      <c r="V26" s="34">
        <f t="shared" si="18"/>
        <v>5</v>
      </c>
      <c r="W26" s="34">
        <f t="shared" si="18"/>
        <v>0</v>
      </c>
      <c r="X26" s="34">
        <f t="shared" si="18"/>
        <v>2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19</v>
      </c>
      <c r="AD26" s="34">
        <f t="shared" si="18"/>
        <v>0</v>
      </c>
      <c r="AE26" s="31">
        <f t="shared" si="18"/>
        <v>480</v>
      </c>
      <c r="AF26" s="31">
        <f t="shared" si="18"/>
        <v>499</v>
      </c>
    </row>
    <row r="27" spans="2:32" ht="23.1" customHeight="1" x14ac:dyDescent="0.25">
      <c r="B27" s="45" t="s">
        <v>54</v>
      </c>
      <c r="C27" s="50">
        <v>42</v>
      </c>
      <c r="D27" s="50">
        <v>27</v>
      </c>
      <c r="E27" s="50">
        <v>21</v>
      </c>
      <c r="F27" s="50">
        <v>7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27</v>
      </c>
      <c r="N27" s="50">
        <v>0</v>
      </c>
      <c r="O27" s="15">
        <f t="shared" si="0"/>
        <v>99</v>
      </c>
      <c r="P27" s="15">
        <f t="shared" si="1"/>
        <v>126</v>
      </c>
      <c r="R27" s="36" t="s">
        <v>151</v>
      </c>
      <c r="S27" s="34">
        <f>SUM(C78:C81)</f>
        <v>250</v>
      </c>
      <c r="T27" s="34">
        <f t="shared" ref="T27:AF27" si="19">SUM(D78:D81)</f>
        <v>49</v>
      </c>
      <c r="U27" s="34">
        <f t="shared" si="19"/>
        <v>18</v>
      </c>
      <c r="V27" s="34">
        <f t="shared" si="19"/>
        <v>20</v>
      </c>
      <c r="W27" s="34">
        <f t="shared" si="19"/>
        <v>1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11</v>
      </c>
      <c r="AD27" s="34">
        <f t="shared" si="19"/>
        <v>0</v>
      </c>
      <c r="AE27" s="31">
        <f t="shared" si="19"/>
        <v>340</v>
      </c>
      <c r="AF27" s="31">
        <f t="shared" si="19"/>
        <v>351</v>
      </c>
    </row>
    <row r="28" spans="2:32" ht="23.1" customHeight="1" x14ac:dyDescent="0.25">
      <c r="B28" s="45" t="s">
        <v>55</v>
      </c>
      <c r="C28" s="50">
        <v>81</v>
      </c>
      <c r="D28" s="50">
        <v>41</v>
      </c>
      <c r="E28" s="50">
        <v>24</v>
      </c>
      <c r="F28" s="50">
        <v>7</v>
      </c>
      <c r="G28" s="50">
        <v>1</v>
      </c>
      <c r="H28" s="50">
        <v>1</v>
      </c>
      <c r="I28" s="50">
        <v>1</v>
      </c>
      <c r="J28" s="50">
        <v>2</v>
      </c>
      <c r="K28" s="50">
        <v>2</v>
      </c>
      <c r="L28" s="50">
        <v>1</v>
      </c>
      <c r="M28" s="50">
        <v>44</v>
      </c>
      <c r="N28" s="50">
        <v>0</v>
      </c>
      <c r="O28" s="15">
        <f t="shared" si="0"/>
        <v>161</v>
      </c>
      <c r="P28" s="15">
        <f t="shared" si="1"/>
        <v>205</v>
      </c>
      <c r="R28" s="36" t="s">
        <v>152</v>
      </c>
      <c r="S28" s="34">
        <f>SUM(C82:C85)</f>
        <v>106</v>
      </c>
      <c r="T28" s="34">
        <f t="shared" ref="T28:AF28" si="20">SUM(D82:D85)</f>
        <v>12</v>
      </c>
      <c r="U28" s="34">
        <f t="shared" si="20"/>
        <v>6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127</v>
      </c>
      <c r="AF28" s="31">
        <f t="shared" si="20"/>
        <v>135</v>
      </c>
    </row>
    <row r="29" spans="2:32" ht="23.1" customHeight="1" x14ac:dyDescent="0.25">
      <c r="B29" s="45" t="s">
        <v>56</v>
      </c>
      <c r="C29" s="50">
        <v>369</v>
      </c>
      <c r="D29" s="50">
        <v>39</v>
      </c>
      <c r="E29" s="50">
        <v>12</v>
      </c>
      <c r="F29" s="50">
        <v>4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58</v>
      </c>
      <c r="N29" s="50">
        <v>0</v>
      </c>
      <c r="O29" s="15">
        <f t="shared" si="0"/>
        <v>425</v>
      </c>
      <c r="P29" s="15">
        <f t="shared" si="1"/>
        <v>483</v>
      </c>
      <c r="R29" s="36" t="s">
        <v>153</v>
      </c>
      <c r="S29" s="34">
        <f>SUM(C86:C89)</f>
        <v>9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10</v>
      </c>
      <c r="AD29" s="34">
        <f t="shared" si="21"/>
        <v>0</v>
      </c>
      <c r="AE29" s="31">
        <f t="shared" si="21"/>
        <v>12</v>
      </c>
      <c r="AF29" s="31">
        <f t="shared" si="21"/>
        <v>22</v>
      </c>
    </row>
    <row r="30" spans="2:32" ht="23.1" customHeight="1" x14ac:dyDescent="0.25">
      <c r="B30" s="45" t="s">
        <v>57</v>
      </c>
      <c r="C30" s="50">
        <v>61</v>
      </c>
      <c r="D30" s="50">
        <v>70</v>
      </c>
      <c r="E30" s="50">
        <v>10</v>
      </c>
      <c r="F30" s="50">
        <v>9</v>
      </c>
      <c r="G30" s="50">
        <v>1</v>
      </c>
      <c r="H30" s="50">
        <v>0</v>
      </c>
      <c r="I30" s="50">
        <v>6</v>
      </c>
      <c r="J30" s="50">
        <v>0</v>
      </c>
      <c r="K30" s="50">
        <v>0</v>
      </c>
      <c r="L30" s="50">
        <v>0</v>
      </c>
      <c r="M30" s="50">
        <v>46</v>
      </c>
      <c r="N30" s="50">
        <v>0</v>
      </c>
      <c r="O30" s="15">
        <f t="shared" si="0"/>
        <v>157</v>
      </c>
      <c r="P30" s="15">
        <f t="shared" si="1"/>
        <v>203</v>
      </c>
      <c r="R30" s="36" t="s">
        <v>154</v>
      </c>
      <c r="S30" s="34">
        <f>SUM(C90:C93)</f>
        <v>12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13</v>
      </c>
      <c r="AF30" s="31">
        <f t="shared" si="22"/>
        <v>16</v>
      </c>
    </row>
    <row r="31" spans="2:32" ht="23.1" customHeight="1" x14ac:dyDescent="0.25">
      <c r="B31" s="46" t="s">
        <v>58</v>
      </c>
      <c r="C31" s="50">
        <v>69</v>
      </c>
      <c r="D31" s="50">
        <v>75</v>
      </c>
      <c r="E31" s="50">
        <v>19</v>
      </c>
      <c r="F31" s="50">
        <v>7</v>
      </c>
      <c r="G31" s="50">
        <v>0</v>
      </c>
      <c r="H31" s="50">
        <v>0</v>
      </c>
      <c r="I31" s="50">
        <v>9</v>
      </c>
      <c r="J31" s="50">
        <v>1</v>
      </c>
      <c r="K31" s="50">
        <v>0</v>
      </c>
      <c r="L31" s="50">
        <v>0</v>
      </c>
      <c r="M31" s="50">
        <v>62</v>
      </c>
      <c r="N31" s="50">
        <v>0</v>
      </c>
      <c r="O31" s="15">
        <f t="shared" si="0"/>
        <v>180</v>
      </c>
      <c r="P31" s="15">
        <f t="shared" si="1"/>
        <v>242</v>
      </c>
      <c r="R31" s="36" t="s">
        <v>155</v>
      </c>
      <c r="S31" s="34">
        <f>SUM(C94:C97)</f>
        <v>37</v>
      </c>
      <c r="T31" s="34">
        <f t="shared" ref="T31:AF31" si="23">SUM(D94:D97)</f>
        <v>7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49</v>
      </c>
      <c r="AF31" s="31">
        <f t="shared" si="23"/>
        <v>56</v>
      </c>
    </row>
    <row r="32" spans="2:32" ht="23.1" customHeight="1" x14ac:dyDescent="0.25">
      <c r="B32" s="46" t="s">
        <v>59</v>
      </c>
      <c r="C32" s="50">
        <v>55</v>
      </c>
      <c r="D32" s="50">
        <v>77</v>
      </c>
      <c r="E32" s="50">
        <v>7</v>
      </c>
      <c r="F32" s="50">
        <v>4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51</v>
      </c>
      <c r="N32" s="50">
        <v>0</v>
      </c>
      <c r="O32" s="15">
        <f t="shared" si="0"/>
        <v>148</v>
      </c>
      <c r="P32" s="15">
        <f t="shared" si="1"/>
        <v>199</v>
      </c>
      <c r="R32" s="33" t="s">
        <v>156</v>
      </c>
      <c r="S32" s="34">
        <f>SUM(C98:C101)</f>
        <v>38</v>
      </c>
      <c r="T32" s="34">
        <f t="shared" ref="T32:AF32" si="24">SUM(D98:D101)</f>
        <v>9</v>
      </c>
      <c r="U32" s="34">
        <f t="shared" si="24"/>
        <v>4</v>
      </c>
      <c r="V32" s="34">
        <f t="shared" si="24"/>
        <v>2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2</v>
      </c>
      <c r="AB32" s="34">
        <f t="shared" si="24"/>
        <v>2</v>
      </c>
      <c r="AC32" s="34">
        <f t="shared" si="24"/>
        <v>9</v>
      </c>
      <c r="AD32" s="34">
        <f t="shared" si="24"/>
        <v>0</v>
      </c>
      <c r="AE32" s="31">
        <f t="shared" si="24"/>
        <v>59</v>
      </c>
      <c r="AF32" s="31">
        <f t="shared" si="24"/>
        <v>68</v>
      </c>
    </row>
    <row r="33" spans="2:32" ht="23.1" customHeight="1" x14ac:dyDescent="0.25">
      <c r="B33" s="45" t="s">
        <v>60</v>
      </c>
      <c r="C33" s="50">
        <v>70</v>
      </c>
      <c r="D33" s="50">
        <v>85</v>
      </c>
      <c r="E33" s="50">
        <v>13</v>
      </c>
      <c r="F33" s="50">
        <v>12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50</v>
      </c>
      <c r="N33" s="50">
        <v>0</v>
      </c>
      <c r="O33" s="15">
        <f t="shared" si="0"/>
        <v>182</v>
      </c>
      <c r="P33" s="15">
        <f t="shared" si="1"/>
        <v>232</v>
      </c>
      <c r="R33" s="33" t="s">
        <v>157</v>
      </c>
      <c r="S33" s="34">
        <f>SUM(C102:C105)</f>
        <v>120</v>
      </c>
      <c r="T33" s="34">
        <f t="shared" ref="T33:AF33" si="25">SUM(D102:D105)</f>
        <v>37</v>
      </c>
      <c r="U33" s="34">
        <f t="shared" si="25"/>
        <v>29</v>
      </c>
      <c r="V33" s="34">
        <f t="shared" si="25"/>
        <v>17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60</v>
      </c>
      <c r="AD33" s="34">
        <f t="shared" si="25"/>
        <v>0</v>
      </c>
      <c r="AE33" s="31">
        <f t="shared" si="25"/>
        <v>208</v>
      </c>
      <c r="AF33" s="31">
        <f t="shared" si="25"/>
        <v>268</v>
      </c>
    </row>
    <row r="34" spans="2:32" ht="23.1" customHeight="1" x14ac:dyDescent="0.25">
      <c r="B34" s="46" t="s">
        <v>61</v>
      </c>
      <c r="C34" s="50">
        <v>70</v>
      </c>
      <c r="D34" s="50">
        <v>61</v>
      </c>
      <c r="E34" s="50">
        <v>13</v>
      </c>
      <c r="F34" s="50">
        <v>4</v>
      </c>
      <c r="G34" s="50">
        <v>0</v>
      </c>
      <c r="H34" s="50">
        <v>0</v>
      </c>
      <c r="I34" s="50">
        <v>2</v>
      </c>
      <c r="J34" s="50">
        <v>1</v>
      </c>
      <c r="K34" s="50">
        <v>3</v>
      </c>
      <c r="L34" s="50">
        <v>0</v>
      </c>
      <c r="M34" s="50">
        <v>28</v>
      </c>
      <c r="N34" s="50">
        <v>1</v>
      </c>
      <c r="O34" s="15">
        <f t="shared" si="0"/>
        <v>155</v>
      </c>
      <c r="P34" s="15">
        <f t="shared" si="1"/>
        <v>183</v>
      </c>
      <c r="R34" s="38" t="s">
        <v>90</v>
      </c>
      <c r="S34" s="39">
        <f t="shared" ref="S34:AF34" si="26">MAX(S10:S12)</f>
        <v>255</v>
      </c>
      <c r="T34" s="39">
        <f t="shared" si="26"/>
        <v>227</v>
      </c>
      <c r="U34" s="39">
        <f t="shared" si="26"/>
        <v>77</v>
      </c>
      <c r="V34" s="39">
        <f t="shared" si="26"/>
        <v>86</v>
      </c>
      <c r="W34" s="39">
        <f t="shared" si="26"/>
        <v>3</v>
      </c>
      <c r="X34" s="39">
        <f t="shared" si="26"/>
        <v>0</v>
      </c>
      <c r="Y34" s="39">
        <f t="shared" si="26"/>
        <v>11</v>
      </c>
      <c r="Z34" s="39">
        <f t="shared" si="26"/>
        <v>2</v>
      </c>
      <c r="AA34" s="39">
        <f t="shared" si="26"/>
        <v>2</v>
      </c>
      <c r="AB34" s="39">
        <f t="shared" si="26"/>
        <v>0</v>
      </c>
      <c r="AC34" s="39">
        <f t="shared" si="26"/>
        <v>232</v>
      </c>
      <c r="AD34" s="39">
        <f t="shared" si="26"/>
        <v>0</v>
      </c>
      <c r="AE34" s="40">
        <f t="shared" si="26"/>
        <v>656</v>
      </c>
      <c r="AF34" s="40">
        <f t="shared" si="26"/>
        <v>888</v>
      </c>
    </row>
    <row r="35" spans="2:32" ht="23.1" customHeight="1" x14ac:dyDescent="0.25">
      <c r="B35" s="46" t="s">
        <v>62</v>
      </c>
      <c r="C35" s="50">
        <v>71</v>
      </c>
      <c r="D35" s="50">
        <v>50</v>
      </c>
      <c r="E35" s="50">
        <v>12</v>
      </c>
      <c r="F35" s="50">
        <v>7</v>
      </c>
      <c r="G35" s="50">
        <v>0</v>
      </c>
      <c r="H35" s="50">
        <v>0</v>
      </c>
      <c r="I35" s="50">
        <v>5</v>
      </c>
      <c r="J35" s="50">
        <v>2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147</v>
      </c>
      <c r="P35" s="15">
        <f t="shared" si="1"/>
        <v>182</v>
      </c>
      <c r="R35" s="38" t="s">
        <v>91</v>
      </c>
      <c r="S35" s="39">
        <f t="shared" ref="S35:AF35" si="27">MAX(S13:S18)</f>
        <v>526</v>
      </c>
      <c r="T35" s="39">
        <f t="shared" si="27"/>
        <v>382</v>
      </c>
      <c r="U35" s="39">
        <f t="shared" si="27"/>
        <v>70</v>
      </c>
      <c r="V35" s="39">
        <f t="shared" si="27"/>
        <v>32</v>
      </c>
      <c r="W35" s="39">
        <f t="shared" si="27"/>
        <v>3</v>
      </c>
      <c r="X35" s="39">
        <f t="shared" si="27"/>
        <v>1</v>
      </c>
      <c r="Y35" s="39">
        <f t="shared" si="27"/>
        <v>22</v>
      </c>
      <c r="Z35" s="39">
        <f t="shared" si="27"/>
        <v>6</v>
      </c>
      <c r="AA35" s="39">
        <f t="shared" si="27"/>
        <v>4</v>
      </c>
      <c r="AB35" s="39">
        <f t="shared" si="27"/>
        <v>3</v>
      </c>
      <c r="AC35" s="39">
        <f t="shared" si="27"/>
        <v>209</v>
      </c>
      <c r="AD35" s="39">
        <f t="shared" si="27"/>
        <v>1</v>
      </c>
      <c r="AE35" s="40">
        <f t="shared" si="27"/>
        <v>862</v>
      </c>
      <c r="AF35" s="40">
        <f t="shared" si="27"/>
        <v>1019</v>
      </c>
    </row>
    <row r="36" spans="2:32" ht="23.1" customHeight="1" x14ac:dyDescent="0.25">
      <c r="B36" s="46" t="s">
        <v>63</v>
      </c>
      <c r="C36" s="50">
        <v>105</v>
      </c>
      <c r="D36" s="50">
        <v>60</v>
      </c>
      <c r="E36" s="50">
        <v>12</v>
      </c>
      <c r="F36" s="50">
        <v>6</v>
      </c>
      <c r="G36" s="50">
        <v>1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187</v>
      </c>
      <c r="P36" s="15">
        <f t="shared" si="1"/>
        <v>200</v>
      </c>
      <c r="R36" s="38" t="s">
        <v>92</v>
      </c>
      <c r="S36" s="39">
        <f t="shared" ref="S36:AF36" si="28">MAX(S19:S21)</f>
        <v>701</v>
      </c>
      <c r="T36" s="39">
        <f t="shared" si="28"/>
        <v>558</v>
      </c>
      <c r="U36" s="39">
        <f t="shared" si="28"/>
        <v>192</v>
      </c>
      <c r="V36" s="39">
        <f t="shared" si="28"/>
        <v>55</v>
      </c>
      <c r="W36" s="39">
        <f t="shared" si="28"/>
        <v>0</v>
      </c>
      <c r="X36" s="39">
        <f t="shared" si="28"/>
        <v>1</v>
      </c>
      <c r="Y36" s="39">
        <f t="shared" si="28"/>
        <v>8</v>
      </c>
      <c r="Z36" s="39">
        <f t="shared" si="28"/>
        <v>7</v>
      </c>
      <c r="AA36" s="39">
        <f t="shared" si="28"/>
        <v>3</v>
      </c>
      <c r="AB36" s="39">
        <f t="shared" si="28"/>
        <v>1</v>
      </c>
      <c r="AC36" s="39">
        <f t="shared" si="28"/>
        <v>323</v>
      </c>
      <c r="AD36" s="39">
        <f t="shared" si="28"/>
        <v>0</v>
      </c>
      <c r="AE36" s="40">
        <f t="shared" si="28"/>
        <v>1524</v>
      </c>
      <c r="AF36" s="40">
        <f t="shared" si="28"/>
        <v>1775</v>
      </c>
    </row>
    <row r="37" spans="2:32" ht="23.1" customHeight="1" x14ac:dyDescent="0.25">
      <c r="B37" s="45" t="s">
        <v>64</v>
      </c>
      <c r="C37" s="50">
        <v>60</v>
      </c>
      <c r="D37" s="50">
        <v>46</v>
      </c>
      <c r="E37" s="50">
        <v>2</v>
      </c>
      <c r="F37" s="50">
        <v>1</v>
      </c>
      <c r="G37" s="50">
        <v>0</v>
      </c>
      <c r="H37" s="50">
        <v>0</v>
      </c>
      <c r="I37" s="50">
        <v>9</v>
      </c>
      <c r="J37" s="50">
        <v>0</v>
      </c>
      <c r="K37" s="50">
        <v>1</v>
      </c>
      <c r="L37" s="50">
        <v>0</v>
      </c>
      <c r="M37" s="50">
        <v>88</v>
      </c>
      <c r="N37" s="50">
        <v>0</v>
      </c>
      <c r="O37" s="15">
        <f t="shared" si="0"/>
        <v>119</v>
      </c>
      <c r="P37" s="15">
        <f t="shared" si="1"/>
        <v>207</v>
      </c>
      <c r="R37" s="37" t="s">
        <v>85</v>
      </c>
      <c r="S37" s="35">
        <f t="shared" ref="S37:AF37" si="29">SUM(S10:S12)</f>
        <v>606</v>
      </c>
      <c r="T37" s="16">
        <f t="shared" si="29"/>
        <v>549</v>
      </c>
      <c r="U37" s="16">
        <f t="shared" si="29"/>
        <v>141</v>
      </c>
      <c r="V37" s="16">
        <f t="shared" si="29"/>
        <v>160</v>
      </c>
      <c r="W37" s="16">
        <f t="shared" si="29"/>
        <v>4</v>
      </c>
      <c r="X37" s="16">
        <f t="shared" si="29"/>
        <v>0</v>
      </c>
      <c r="Y37" s="16">
        <f t="shared" si="29"/>
        <v>24</v>
      </c>
      <c r="Z37" s="16">
        <f t="shared" si="29"/>
        <v>5</v>
      </c>
      <c r="AA37" s="16">
        <f t="shared" si="29"/>
        <v>2</v>
      </c>
      <c r="AB37" s="16">
        <f t="shared" si="29"/>
        <v>0</v>
      </c>
      <c r="AC37" s="16">
        <f t="shared" si="29"/>
        <v>626</v>
      </c>
      <c r="AD37" s="16">
        <f t="shared" si="29"/>
        <v>0</v>
      </c>
      <c r="AE37" s="32">
        <f t="shared" si="29"/>
        <v>1491</v>
      </c>
      <c r="AF37" s="32">
        <f t="shared" si="29"/>
        <v>2117</v>
      </c>
    </row>
    <row r="38" spans="2:32" ht="23.1" customHeight="1" x14ac:dyDescent="0.25">
      <c r="B38" s="46" t="s">
        <v>65</v>
      </c>
      <c r="C38" s="50">
        <v>51</v>
      </c>
      <c r="D38" s="50">
        <v>56</v>
      </c>
      <c r="E38" s="50">
        <v>5</v>
      </c>
      <c r="F38" s="50">
        <v>4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116</v>
      </c>
      <c r="P38" s="15">
        <f t="shared" si="1"/>
        <v>166</v>
      </c>
      <c r="R38" s="28" t="s">
        <v>86</v>
      </c>
      <c r="S38" s="16">
        <f t="shared" ref="S38:AF38" si="30">SUM(S13:S18)</f>
        <v>1917</v>
      </c>
      <c r="T38" s="16">
        <f t="shared" si="30"/>
        <v>1440</v>
      </c>
      <c r="U38" s="16">
        <f t="shared" si="30"/>
        <v>304</v>
      </c>
      <c r="V38" s="16">
        <f t="shared" si="30"/>
        <v>146</v>
      </c>
      <c r="W38" s="16">
        <f t="shared" si="30"/>
        <v>6</v>
      </c>
      <c r="X38" s="16">
        <f t="shared" si="30"/>
        <v>1</v>
      </c>
      <c r="Y38" s="16">
        <f t="shared" si="30"/>
        <v>62</v>
      </c>
      <c r="Z38" s="16">
        <f t="shared" si="30"/>
        <v>17</v>
      </c>
      <c r="AA38" s="16">
        <f t="shared" si="30"/>
        <v>11</v>
      </c>
      <c r="AB38" s="16">
        <f t="shared" si="30"/>
        <v>4</v>
      </c>
      <c r="AC38" s="16">
        <f t="shared" si="30"/>
        <v>1076</v>
      </c>
      <c r="AD38" s="16">
        <f t="shared" si="30"/>
        <v>1</v>
      </c>
      <c r="AE38" s="32">
        <f t="shared" si="30"/>
        <v>3909</v>
      </c>
      <c r="AF38" s="32">
        <f t="shared" si="30"/>
        <v>4985</v>
      </c>
    </row>
    <row r="39" spans="2:32" ht="23.1" customHeight="1" x14ac:dyDescent="0.25">
      <c r="B39" s="46" t="s">
        <v>66</v>
      </c>
      <c r="C39" s="50">
        <v>53</v>
      </c>
      <c r="D39" s="50">
        <v>50</v>
      </c>
      <c r="E39" s="50">
        <v>21</v>
      </c>
      <c r="F39" s="50">
        <v>2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59</v>
      </c>
      <c r="N39" s="50">
        <v>0</v>
      </c>
      <c r="O39" s="15">
        <f t="shared" si="0"/>
        <v>127</v>
      </c>
      <c r="P39" s="15">
        <f t="shared" si="1"/>
        <v>186</v>
      </c>
      <c r="R39" s="29" t="s">
        <v>87</v>
      </c>
      <c r="S39" s="16">
        <f t="shared" ref="S39:AF39" si="31">SUM(S19:S21)</f>
        <v>1638</v>
      </c>
      <c r="T39" s="16">
        <f t="shared" si="31"/>
        <v>1338</v>
      </c>
      <c r="U39" s="16">
        <f t="shared" si="31"/>
        <v>319</v>
      </c>
      <c r="V39" s="16">
        <f t="shared" si="31"/>
        <v>123</v>
      </c>
      <c r="W39" s="16">
        <f t="shared" si="31"/>
        <v>0</v>
      </c>
      <c r="X39" s="16">
        <f t="shared" si="31"/>
        <v>2</v>
      </c>
      <c r="Y39" s="16">
        <f t="shared" si="31"/>
        <v>18</v>
      </c>
      <c r="Z39" s="16">
        <f t="shared" si="31"/>
        <v>9</v>
      </c>
      <c r="AA39" s="16">
        <f t="shared" si="31"/>
        <v>7</v>
      </c>
      <c r="AB39" s="16">
        <f t="shared" si="31"/>
        <v>1</v>
      </c>
      <c r="AC39" s="16">
        <f t="shared" si="31"/>
        <v>748</v>
      </c>
      <c r="AD39" s="16">
        <f t="shared" si="31"/>
        <v>0</v>
      </c>
      <c r="AE39" s="32">
        <f t="shared" si="31"/>
        <v>3455</v>
      </c>
      <c r="AF39" s="32">
        <f t="shared" si="31"/>
        <v>4203</v>
      </c>
    </row>
    <row r="40" spans="2:32" ht="23.1" customHeight="1" x14ac:dyDescent="0.25">
      <c r="B40" s="46" t="s">
        <v>67</v>
      </c>
      <c r="C40" s="50">
        <v>110</v>
      </c>
      <c r="D40" s="50">
        <v>71</v>
      </c>
      <c r="E40" s="50">
        <v>8</v>
      </c>
      <c r="F40" s="50">
        <v>5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32</v>
      </c>
      <c r="N40" s="50">
        <v>0</v>
      </c>
      <c r="O40" s="15">
        <f t="shared" si="0"/>
        <v>198</v>
      </c>
      <c r="P40" s="15">
        <f t="shared" si="1"/>
        <v>230</v>
      </c>
      <c r="R40" s="5" t="s">
        <v>17</v>
      </c>
      <c r="S40" s="16">
        <f t="shared" ref="S40:AF40" si="32">SUM(S10:S21)</f>
        <v>4161</v>
      </c>
      <c r="T40" s="16">
        <f t="shared" si="32"/>
        <v>3327</v>
      </c>
      <c r="U40" s="16">
        <f t="shared" si="32"/>
        <v>764</v>
      </c>
      <c r="V40" s="16">
        <f t="shared" si="32"/>
        <v>429</v>
      </c>
      <c r="W40" s="16">
        <f t="shared" si="32"/>
        <v>10</v>
      </c>
      <c r="X40" s="16">
        <f t="shared" si="32"/>
        <v>3</v>
      </c>
      <c r="Y40" s="16">
        <f t="shared" si="32"/>
        <v>104</v>
      </c>
      <c r="Z40" s="16">
        <f t="shared" si="32"/>
        <v>31</v>
      </c>
      <c r="AA40" s="16">
        <f t="shared" si="32"/>
        <v>20</v>
      </c>
      <c r="AB40" s="16">
        <f t="shared" si="32"/>
        <v>5</v>
      </c>
      <c r="AC40" s="16">
        <f t="shared" si="32"/>
        <v>2450</v>
      </c>
      <c r="AD40" s="16">
        <f t="shared" si="32"/>
        <v>1</v>
      </c>
      <c r="AE40" s="32">
        <f t="shared" si="32"/>
        <v>8855</v>
      </c>
      <c r="AF40" s="32">
        <f t="shared" si="32"/>
        <v>11305</v>
      </c>
    </row>
    <row r="41" spans="2:32" ht="23.1" customHeight="1" x14ac:dyDescent="0.25">
      <c r="B41" s="45" t="s">
        <v>68</v>
      </c>
      <c r="C41" s="50">
        <v>65</v>
      </c>
      <c r="D41" s="50">
        <v>80</v>
      </c>
      <c r="E41" s="50">
        <v>14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24</v>
      </c>
      <c r="N41" s="50">
        <v>0</v>
      </c>
      <c r="O41" s="15">
        <f t="shared" si="0"/>
        <v>165</v>
      </c>
      <c r="P41" s="15">
        <f t="shared" si="1"/>
        <v>189</v>
      </c>
      <c r="R41" s="5" t="s">
        <v>159</v>
      </c>
      <c r="S41" s="16">
        <f>SUM(S10:S33)</f>
        <v>6508</v>
      </c>
      <c r="T41" s="16">
        <f t="shared" ref="T41:AF41" si="33">SUM(T10:T33)</f>
        <v>4140</v>
      </c>
      <c r="U41" s="16">
        <f t="shared" si="33"/>
        <v>1022</v>
      </c>
      <c r="V41" s="16">
        <f t="shared" si="33"/>
        <v>602</v>
      </c>
      <c r="W41" s="16">
        <f t="shared" si="33"/>
        <v>40</v>
      </c>
      <c r="X41" s="16">
        <f t="shared" si="33"/>
        <v>31</v>
      </c>
      <c r="Y41" s="16">
        <f t="shared" si="33"/>
        <v>165</v>
      </c>
      <c r="Z41" s="16">
        <f t="shared" si="33"/>
        <v>52</v>
      </c>
      <c r="AA41" s="16">
        <f t="shared" si="33"/>
        <v>47</v>
      </c>
      <c r="AB41" s="16">
        <f t="shared" si="33"/>
        <v>8</v>
      </c>
      <c r="AC41" s="16">
        <f t="shared" si="33"/>
        <v>2886</v>
      </c>
      <c r="AD41" s="16">
        <f t="shared" si="33"/>
        <v>1</v>
      </c>
      <c r="AE41" s="32">
        <f t="shared" si="33"/>
        <v>12616</v>
      </c>
      <c r="AF41" s="32">
        <f t="shared" si="33"/>
        <v>15502</v>
      </c>
    </row>
    <row r="42" spans="2:32" ht="23.1" customHeight="1" x14ac:dyDescent="0.25">
      <c r="B42" s="46" t="s">
        <v>69</v>
      </c>
      <c r="C42" s="50">
        <v>121</v>
      </c>
      <c r="D42" s="50">
        <v>93</v>
      </c>
      <c r="E42" s="50">
        <v>21</v>
      </c>
      <c r="F42" s="50">
        <v>8</v>
      </c>
      <c r="G42" s="50">
        <v>0</v>
      </c>
      <c r="H42" s="50">
        <v>0</v>
      </c>
      <c r="I42" s="50">
        <v>4</v>
      </c>
      <c r="J42" s="50">
        <v>1</v>
      </c>
      <c r="K42" s="50">
        <v>1</v>
      </c>
      <c r="L42" s="50">
        <v>0</v>
      </c>
      <c r="M42" s="50">
        <v>35</v>
      </c>
      <c r="N42" s="50">
        <v>0</v>
      </c>
      <c r="O42" s="15">
        <f t="shared" si="0"/>
        <v>249</v>
      </c>
      <c r="P42" s="15">
        <f t="shared" si="1"/>
        <v>284</v>
      </c>
      <c r="R42" s="5" t="s">
        <v>160</v>
      </c>
      <c r="S42" s="48">
        <f>S41/S40</f>
        <v>1.5640471040615236</v>
      </c>
      <c r="T42" s="48">
        <f t="shared" ref="T42:AF42" si="34">T41/T40</f>
        <v>1.2443642921550946</v>
      </c>
      <c r="U42" s="48">
        <f t="shared" si="34"/>
        <v>1.337696335078534</v>
      </c>
      <c r="V42" s="48">
        <f t="shared" si="34"/>
        <v>1.4032634032634033</v>
      </c>
      <c r="W42" s="48">
        <f t="shared" si="34"/>
        <v>4</v>
      </c>
      <c r="X42" s="48">
        <f t="shared" si="34"/>
        <v>10.333333333333334</v>
      </c>
      <c r="Y42" s="48">
        <f t="shared" si="34"/>
        <v>1.5865384615384615</v>
      </c>
      <c r="Z42" s="48">
        <f t="shared" si="34"/>
        <v>1.6774193548387097</v>
      </c>
      <c r="AA42" s="48">
        <f t="shared" si="34"/>
        <v>2.35</v>
      </c>
      <c r="AB42" s="48">
        <f t="shared" si="34"/>
        <v>1.6</v>
      </c>
      <c r="AC42" s="48">
        <f t="shared" si="34"/>
        <v>1.1779591836734693</v>
      </c>
      <c r="AD42" s="48">
        <f t="shared" si="34"/>
        <v>1</v>
      </c>
      <c r="AE42" s="48">
        <f t="shared" si="34"/>
        <v>1.4247317899491811</v>
      </c>
      <c r="AF42" s="48">
        <f t="shared" si="34"/>
        <v>1.37125165855816</v>
      </c>
    </row>
    <row r="43" spans="2:32" ht="23.1" customHeight="1" x14ac:dyDescent="0.25">
      <c r="B43" s="45" t="s">
        <v>70</v>
      </c>
      <c r="C43" s="50">
        <v>70</v>
      </c>
      <c r="D43" s="50">
        <v>79</v>
      </c>
      <c r="E43" s="50">
        <v>3</v>
      </c>
      <c r="F43" s="50">
        <v>3</v>
      </c>
      <c r="G43" s="50">
        <v>0</v>
      </c>
      <c r="H43" s="50">
        <v>0</v>
      </c>
      <c r="I43" s="50">
        <v>3</v>
      </c>
      <c r="J43" s="50">
        <v>1</v>
      </c>
      <c r="K43" s="50">
        <v>0</v>
      </c>
      <c r="L43" s="50">
        <v>0</v>
      </c>
      <c r="M43" s="50">
        <v>56</v>
      </c>
      <c r="N43" s="50">
        <v>0</v>
      </c>
      <c r="O43" s="15">
        <f t="shared" si="0"/>
        <v>159</v>
      </c>
      <c r="P43" s="15">
        <f t="shared" si="1"/>
        <v>215</v>
      </c>
    </row>
    <row r="44" spans="2:32" ht="23.1" customHeight="1" x14ac:dyDescent="0.25">
      <c r="B44" s="47" t="s">
        <v>71</v>
      </c>
      <c r="C44" s="50">
        <v>105</v>
      </c>
      <c r="D44" s="50">
        <v>113</v>
      </c>
      <c r="E44" s="50">
        <v>18</v>
      </c>
      <c r="F44" s="50">
        <v>8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41</v>
      </c>
      <c r="N44" s="50">
        <v>0</v>
      </c>
      <c r="O44" s="15">
        <f t="shared" si="0"/>
        <v>245</v>
      </c>
      <c r="P44" s="15">
        <f t="shared" si="1"/>
        <v>286</v>
      </c>
    </row>
    <row r="45" spans="2:32" ht="23.1" customHeight="1" x14ac:dyDescent="0.25">
      <c r="B45" s="45" t="s">
        <v>72</v>
      </c>
      <c r="C45" s="50">
        <v>90</v>
      </c>
      <c r="D45" s="50">
        <v>97</v>
      </c>
      <c r="E45" s="50">
        <v>14</v>
      </c>
      <c r="F45" s="50">
        <v>6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25</v>
      </c>
      <c r="N45" s="50">
        <v>0</v>
      </c>
      <c r="O45" s="15">
        <f t="shared" si="0"/>
        <v>209</v>
      </c>
      <c r="P45" s="15">
        <f t="shared" si="1"/>
        <v>234</v>
      </c>
    </row>
    <row r="46" spans="2:32" ht="23.1" customHeight="1" x14ac:dyDescent="0.25">
      <c r="B46" s="46" t="s">
        <v>73</v>
      </c>
      <c r="C46" s="50">
        <v>80</v>
      </c>
      <c r="D46" s="50">
        <v>70</v>
      </c>
      <c r="E46" s="50">
        <v>8</v>
      </c>
      <c r="F46" s="50">
        <v>5</v>
      </c>
      <c r="G46" s="50">
        <v>0</v>
      </c>
      <c r="H46" s="50">
        <v>0</v>
      </c>
      <c r="I46" s="50">
        <v>0</v>
      </c>
      <c r="J46" s="50">
        <v>0</v>
      </c>
      <c r="K46" s="50">
        <v>2</v>
      </c>
      <c r="L46" s="50">
        <v>0</v>
      </c>
      <c r="M46" s="50">
        <v>30</v>
      </c>
      <c r="N46" s="50">
        <v>0</v>
      </c>
      <c r="O46" s="15">
        <f t="shared" si="0"/>
        <v>165</v>
      </c>
      <c r="P46" s="15">
        <f t="shared" si="1"/>
        <v>195</v>
      </c>
      <c r="R46" s="8"/>
      <c r="T46"/>
    </row>
    <row r="47" spans="2:32" ht="23.1" customHeight="1" x14ac:dyDescent="0.25">
      <c r="B47" s="46" t="s">
        <v>74</v>
      </c>
      <c r="C47" s="50">
        <v>104</v>
      </c>
      <c r="D47" s="50">
        <v>105</v>
      </c>
      <c r="E47" s="50">
        <v>15</v>
      </c>
      <c r="F47" s="50">
        <v>8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34</v>
      </c>
      <c r="N47" s="50">
        <v>0</v>
      </c>
      <c r="O47" s="15">
        <f t="shared" si="0"/>
        <v>235</v>
      </c>
      <c r="P47" s="15">
        <f t="shared" si="1"/>
        <v>269</v>
      </c>
      <c r="R47" s="8"/>
      <c r="T47"/>
    </row>
    <row r="48" spans="2:32" ht="23.1" customHeight="1" x14ac:dyDescent="0.25">
      <c r="B48" s="46" t="s">
        <v>75</v>
      </c>
      <c r="C48" s="50">
        <v>110</v>
      </c>
      <c r="D48" s="50">
        <v>108</v>
      </c>
      <c r="E48" s="50">
        <v>13</v>
      </c>
      <c r="F48" s="50">
        <v>5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40</v>
      </c>
      <c r="N48" s="50">
        <v>0</v>
      </c>
      <c r="O48" s="15">
        <f t="shared" si="0"/>
        <v>239</v>
      </c>
      <c r="P48" s="15">
        <f t="shared" si="1"/>
        <v>279</v>
      </c>
      <c r="R48" s="8"/>
      <c r="T48"/>
    </row>
    <row r="49" spans="2:20" ht="23.1" customHeight="1" x14ac:dyDescent="0.25">
      <c r="B49" s="45" t="s">
        <v>76</v>
      </c>
      <c r="C49" s="50">
        <v>118</v>
      </c>
      <c r="D49" s="50">
        <v>62</v>
      </c>
      <c r="E49" s="50">
        <v>11</v>
      </c>
      <c r="F49" s="50">
        <v>6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70</v>
      </c>
      <c r="N49" s="50">
        <v>0</v>
      </c>
      <c r="O49" s="15">
        <f t="shared" si="0"/>
        <v>199</v>
      </c>
      <c r="P49" s="15">
        <f t="shared" si="1"/>
        <v>269</v>
      </c>
      <c r="R49" s="8"/>
      <c r="T49"/>
    </row>
    <row r="50" spans="2:20" ht="23.1" customHeight="1" x14ac:dyDescent="0.25">
      <c r="B50" s="46" t="s">
        <v>77</v>
      </c>
      <c r="C50" s="50">
        <v>123</v>
      </c>
      <c r="D50" s="50">
        <v>108</v>
      </c>
      <c r="E50" s="50">
        <v>30</v>
      </c>
      <c r="F50" s="50">
        <v>20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283</v>
      </c>
      <c r="P50" s="15">
        <f t="shared" si="1"/>
        <v>333</v>
      </c>
      <c r="R50" s="8"/>
      <c r="T50"/>
    </row>
    <row r="51" spans="2:20" ht="23.1" customHeight="1" x14ac:dyDescent="0.25">
      <c r="B51" s="46" t="s">
        <v>78</v>
      </c>
      <c r="C51" s="50">
        <v>223</v>
      </c>
      <c r="D51" s="50">
        <v>160</v>
      </c>
      <c r="E51" s="50">
        <v>19</v>
      </c>
      <c r="F51" s="50">
        <v>5</v>
      </c>
      <c r="G51" s="50">
        <v>0</v>
      </c>
      <c r="H51" s="50">
        <v>1</v>
      </c>
      <c r="I51" s="50">
        <v>3</v>
      </c>
      <c r="J51" s="50">
        <v>2</v>
      </c>
      <c r="K51" s="50">
        <v>1</v>
      </c>
      <c r="L51" s="50">
        <v>0</v>
      </c>
      <c r="M51" s="50">
        <v>68</v>
      </c>
      <c r="N51" s="50">
        <v>0</v>
      </c>
      <c r="O51" s="15">
        <f t="shared" si="0"/>
        <v>414</v>
      </c>
      <c r="P51" s="15">
        <f t="shared" si="1"/>
        <v>482</v>
      </c>
      <c r="R51" s="8"/>
      <c r="T51"/>
    </row>
    <row r="52" spans="2:20" ht="23.1" customHeight="1" x14ac:dyDescent="0.25">
      <c r="B52" s="46" t="s">
        <v>79</v>
      </c>
      <c r="C52" s="50">
        <v>173</v>
      </c>
      <c r="D52" s="50">
        <v>155</v>
      </c>
      <c r="E52" s="50">
        <v>132</v>
      </c>
      <c r="F52" s="50">
        <v>19</v>
      </c>
      <c r="G52" s="50">
        <v>0</v>
      </c>
      <c r="H52" s="50">
        <v>0</v>
      </c>
      <c r="I52" s="50">
        <v>2</v>
      </c>
      <c r="J52" s="50">
        <v>1</v>
      </c>
      <c r="K52" s="50">
        <v>1</v>
      </c>
      <c r="L52" s="50">
        <v>0</v>
      </c>
      <c r="M52" s="50">
        <v>50</v>
      </c>
      <c r="N52" s="50">
        <v>0</v>
      </c>
      <c r="O52" s="15">
        <f t="shared" si="0"/>
        <v>483</v>
      </c>
      <c r="P52" s="15">
        <f t="shared" si="1"/>
        <v>533</v>
      </c>
      <c r="R52" s="8"/>
      <c r="T52"/>
    </row>
    <row r="53" spans="2:20" ht="23.1" customHeight="1" x14ac:dyDescent="0.25">
      <c r="B53" s="45" t="s">
        <v>80</v>
      </c>
      <c r="C53" s="50">
        <v>182</v>
      </c>
      <c r="D53" s="50">
        <v>135</v>
      </c>
      <c r="E53" s="50">
        <v>11</v>
      </c>
      <c r="F53" s="50">
        <v>11</v>
      </c>
      <c r="G53" s="50">
        <v>0</v>
      </c>
      <c r="H53" s="50">
        <v>0</v>
      </c>
      <c r="I53" s="50">
        <v>2</v>
      </c>
      <c r="J53" s="50">
        <v>3</v>
      </c>
      <c r="K53" s="50">
        <v>0</v>
      </c>
      <c r="L53" s="50">
        <v>0</v>
      </c>
      <c r="M53" s="50">
        <v>83</v>
      </c>
      <c r="N53" s="50">
        <v>0</v>
      </c>
      <c r="O53" s="15">
        <f t="shared" si="0"/>
        <v>344</v>
      </c>
      <c r="P53" s="15">
        <f t="shared" si="1"/>
        <v>427</v>
      </c>
      <c r="R53" s="8"/>
      <c r="T53"/>
    </row>
    <row r="54" spans="2:20" ht="23.1" customHeight="1" x14ac:dyDescent="0.25">
      <c r="B54" s="45" t="s">
        <v>81</v>
      </c>
      <c r="C54" s="50">
        <v>150</v>
      </c>
      <c r="D54" s="50">
        <v>115</v>
      </c>
      <c r="E54" s="50">
        <v>15</v>
      </c>
      <c r="F54" s="50">
        <v>9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1</v>
      </c>
      <c r="M54" s="50">
        <v>80</v>
      </c>
      <c r="N54" s="50">
        <v>0</v>
      </c>
      <c r="O54" s="15">
        <f t="shared" si="0"/>
        <v>292</v>
      </c>
      <c r="P54" s="15">
        <f t="shared" si="1"/>
        <v>372</v>
      </c>
      <c r="R54" s="8"/>
      <c r="T54"/>
    </row>
    <row r="55" spans="2:20" ht="23.1" customHeight="1" x14ac:dyDescent="0.25">
      <c r="B55" s="45" t="s">
        <v>82</v>
      </c>
      <c r="C55" s="50">
        <v>165</v>
      </c>
      <c r="D55" s="50">
        <v>115</v>
      </c>
      <c r="E55" s="50">
        <v>20</v>
      </c>
      <c r="F55" s="50">
        <v>7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308</v>
      </c>
      <c r="P55" s="15">
        <f t="shared" si="1"/>
        <v>383</v>
      </c>
      <c r="R55" s="8"/>
      <c r="T55"/>
    </row>
    <row r="56" spans="2:20" ht="23.1" customHeight="1" x14ac:dyDescent="0.25">
      <c r="B56" s="45" t="s">
        <v>83</v>
      </c>
      <c r="C56" s="50">
        <v>145</v>
      </c>
      <c r="D56" s="50">
        <v>130</v>
      </c>
      <c r="E56" s="50">
        <v>35</v>
      </c>
      <c r="F56" s="50">
        <v>20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100</v>
      </c>
      <c r="N56" s="50">
        <v>0</v>
      </c>
      <c r="O56" s="15">
        <f t="shared" si="0"/>
        <v>332</v>
      </c>
      <c r="P56" s="15">
        <f t="shared" si="1"/>
        <v>432</v>
      </c>
      <c r="R56" s="8"/>
      <c r="T56"/>
    </row>
    <row r="57" spans="2:20" ht="23.1" customHeight="1" x14ac:dyDescent="0.25">
      <c r="B57" s="45" t="s">
        <v>84</v>
      </c>
      <c r="C57" s="50">
        <v>65</v>
      </c>
      <c r="D57" s="50">
        <v>75</v>
      </c>
      <c r="E57" s="50">
        <v>10</v>
      </c>
      <c r="F57" s="50">
        <v>8</v>
      </c>
      <c r="G57" s="50">
        <v>0</v>
      </c>
      <c r="H57" s="50">
        <v>0</v>
      </c>
      <c r="I57" s="50">
        <v>2</v>
      </c>
      <c r="J57" s="50">
        <v>0</v>
      </c>
      <c r="K57" s="50">
        <v>1</v>
      </c>
      <c r="L57" s="50">
        <v>0</v>
      </c>
      <c r="M57" s="50">
        <v>68</v>
      </c>
      <c r="N57" s="50">
        <v>0</v>
      </c>
      <c r="O57" s="15">
        <f t="shared" si="0"/>
        <v>161</v>
      </c>
      <c r="P57" s="15">
        <f t="shared" si="1"/>
        <v>229</v>
      </c>
      <c r="R57" s="8"/>
      <c r="T57"/>
    </row>
    <row r="58" spans="2:20" ht="23.1" customHeight="1" x14ac:dyDescent="0.25">
      <c r="B58" s="45" t="s">
        <v>99</v>
      </c>
      <c r="C58" s="50">
        <v>115</v>
      </c>
      <c r="D58" s="50">
        <v>80</v>
      </c>
      <c r="E58" s="50">
        <v>0</v>
      </c>
      <c r="F58" s="50">
        <v>35</v>
      </c>
      <c r="G58" s="50">
        <v>0</v>
      </c>
      <c r="H58" s="50">
        <v>0</v>
      </c>
      <c r="I58" s="50">
        <v>5</v>
      </c>
      <c r="J58" s="50">
        <v>4</v>
      </c>
      <c r="K58" s="50">
        <v>6</v>
      </c>
      <c r="L58" s="50">
        <v>0</v>
      </c>
      <c r="M58" s="50">
        <v>63</v>
      </c>
      <c r="N58" s="50">
        <v>0</v>
      </c>
      <c r="O58" s="15">
        <f t="shared" si="0"/>
        <v>245</v>
      </c>
      <c r="P58" s="15">
        <f t="shared" si="1"/>
        <v>308</v>
      </c>
      <c r="R58" s="8"/>
      <c r="T58"/>
    </row>
    <row r="59" spans="2:20" ht="23.1" customHeight="1" x14ac:dyDescent="0.25">
      <c r="B59" s="45" t="s">
        <v>100</v>
      </c>
      <c r="C59" s="50">
        <v>105</v>
      </c>
      <c r="D59" s="50">
        <v>75</v>
      </c>
      <c r="E59" s="50">
        <v>30</v>
      </c>
      <c r="F59" s="50">
        <v>0</v>
      </c>
      <c r="G59" s="50">
        <v>0</v>
      </c>
      <c r="H59" s="50">
        <v>0</v>
      </c>
      <c r="I59" s="50">
        <v>1</v>
      </c>
      <c r="J59" s="50">
        <v>3</v>
      </c>
      <c r="K59" s="50">
        <v>11</v>
      </c>
      <c r="L59" s="50">
        <v>0</v>
      </c>
      <c r="M59" s="50">
        <v>67</v>
      </c>
      <c r="N59" s="50">
        <v>0</v>
      </c>
      <c r="O59" s="15">
        <f t="shared" si="0"/>
        <v>225</v>
      </c>
      <c r="P59" s="15">
        <f t="shared" si="1"/>
        <v>292</v>
      </c>
      <c r="R59" s="8"/>
      <c r="T59"/>
    </row>
    <row r="60" spans="2:20" ht="23.1" customHeight="1" x14ac:dyDescent="0.25">
      <c r="B60" s="45" t="s">
        <v>101</v>
      </c>
      <c r="C60" s="50">
        <v>115</v>
      </c>
      <c r="D60" s="50">
        <v>55</v>
      </c>
      <c r="E60" s="50">
        <v>15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43</v>
      </c>
      <c r="N60" s="50">
        <v>0</v>
      </c>
      <c r="O60" s="15">
        <f t="shared" si="0"/>
        <v>185</v>
      </c>
      <c r="P60" s="15">
        <f t="shared" si="1"/>
        <v>228</v>
      </c>
      <c r="R60" s="8"/>
      <c r="T60"/>
    </row>
    <row r="61" spans="2:20" ht="23.1" customHeight="1" x14ac:dyDescent="0.25">
      <c r="B61" s="45" t="s">
        <v>102</v>
      </c>
      <c r="C61" s="50">
        <v>40</v>
      </c>
      <c r="D61" s="50">
        <v>55</v>
      </c>
      <c r="E61" s="50">
        <v>8</v>
      </c>
      <c r="F61" s="50">
        <v>20</v>
      </c>
      <c r="G61" s="50">
        <v>4</v>
      </c>
      <c r="H61" s="50">
        <v>0</v>
      </c>
      <c r="I61" s="50">
        <v>0</v>
      </c>
      <c r="J61" s="50">
        <v>5</v>
      </c>
      <c r="K61" s="50">
        <v>0</v>
      </c>
      <c r="L61" s="50">
        <v>0</v>
      </c>
      <c r="M61" s="50">
        <v>39</v>
      </c>
      <c r="N61" s="50">
        <v>0</v>
      </c>
      <c r="O61" s="15">
        <f t="shared" si="0"/>
        <v>132</v>
      </c>
      <c r="P61" s="15">
        <f t="shared" si="1"/>
        <v>171</v>
      </c>
      <c r="R61" s="8"/>
      <c r="T61"/>
    </row>
    <row r="62" spans="2:20" ht="23.1" customHeight="1" x14ac:dyDescent="0.25">
      <c r="B62" s="45" t="s">
        <v>107</v>
      </c>
      <c r="C62" s="50">
        <v>55</v>
      </c>
      <c r="D62" s="50">
        <v>30</v>
      </c>
      <c r="E62" s="50">
        <v>30</v>
      </c>
      <c r="F62" s="50">
        <v>0</v>
      </c>
      <c r="G62" s="50">
        <v>0</v>
      </c>
      <c r="H62" s="50">
        <v>3</v>
      </c>
      <c r="I62" s="50">
        <v>8</v>
      </c>
      <c r="J62" s="50">
        <v>2</v>
      </c>
      <c r="K62" s="50">
        <v>2</v>
      </c>
      <c r="L62" s="50">
        <v>0</v>
      </c>
      <c r="M62" s="50">
        <v>17</v>
      </c>
      <c r="N62" s="50">
        <v>0</v>
      </c>
      <c r="O62" s="15">
        <f t="shared" si="0"/>
        <v>130</v>
      </c>
      <c r="P62" s="15">
        <f t="shared" si="1"/>
        <v>147</v>
      </c>
      <c r="R62" s="8"/>
      <c r="T62"/>
    </row>
    <row r="63" spans="2:20" ht="23.1" customHeight="1" x14ac:dyDescent="0.25">
      <c r="B63" s="45" t="s">
        <v>108</v>
      </c>
      <c r="C63" s="50">
        <v>70</v>
      </c>
      <c r="D63" s="50">
        <v>30</v>
      </c>
      <c r="E63" s="50">
        <v>0</v>
      </c>
      <c r="F63" s="50">
        <v>0</v>
      </c>
      <c r="G63" s="50">
        <v>0</v>
      </c>
      <c r="H63" s="50">
        <v>5</v>
      </c>
      <c r="I63" s="50">
        <v>7</v>
      </c>
      <c r="J63" s="50">
        <v>1</v>
      </c>
      <c r="K63" s="50">
        <v>0</v>
      </c>
      <c r="L63" s="50">
        <v>0</v>
      </c>
      <c r="M63" s="50">
        <v>15</v>
      </c>
      <c r="N63" s="50">
        <v>0</v>
      </c>
      <c r="O63" s="15">
        <f t="shared" si="0"/>
        <v>113</v>
      </c>
      <c r="P63" s="15">
        <f t="shared" si="1"/>
        <v>128</v>
      </c>
      <c r="R63" s="8"/>
      <c r="T63"/>
    </row>
    <row r="64" spans="2:20" ht="23.1" customHeight="1" x14ac:dyDescent="0.25">
      <c r="B64" s="45" t="s">
        <v>109</v>
      </c>
      <c r="C64" s="50">
        <v>105</v>
      </c>
      <c r="D64" s="50">
        <v>50</v>
      </c>
      <c r="E64" s="50">
        <v>50</v>
      </c>
      <c r="F64" s="50">
        <v>45</v>
      </c>
      <c r="G64" s="50">
        <v>0</v>
      </c>
      <c r="H64" s="50">
        <v>10</v>
      </c>
      <c r="I64" s="50">
        <v>5</v>
      </c>
      <c r="J64" s="50">
        <v>1</v>
      </c>
      <c r="K64" s="50">
        <v>2</v>
      </c>
      <c r="L64" s="50">
        <v>0</v>
      </c>
      <c r="M64" s="50">
        <v>11</v>
      </c>
      <c r="N64" s="50">
        <v>0</v>
      </c>
      <c r="O64" s="15">
        <f t="shared" si="0"/>
        <v>268</v>
      </c>
      <c r="P64" s="15">
        <f t="shared" si="1"/>
        <v>279</v>
      </c>
      <c r="R64" s="8"/>
      <c r="T64"/>
    </row>
    <row r="65" spans="2:20" ht="23.1" customHeight="1" x14ac:dyDescent="0.25">
      <c r="B65" s="45" t="s">
        <v>158</v>
      </c>
      <c r="C65" s="50">
        <v>70</v>
      </c>
      <c r="D65" s="50">
        <v>45</v>
      </c>
      <c r="E65" s="50">
        <v>10</v>
      </c>
      <c r="F65" s="50">
        <v>0</v>
      </c>
      <c r="G65" s="50">
        <v>15</v>
      </c>
      <c r="H65" s="50">
        <v>0</v>
      </c>
      <c r="I65" s="50">
        <v>6</v>
      </c>
      <c r="J65" s="50">
        <v>0</v>
      </c>
      <c r="K65" s="50">
        <v>1</v>
      </c>
      <c r="L65" s="50">
        <v>0</v>
      </c>
      <c r="M65" s="50">
        <v>9</v>
      </c>
      <c r="N65" s="50">
        <v>0</v>
      </c>
      <c r="O65" s="15">
        <f t="shared" si="0"/>
        <v>147</v>
      </c>
      <c r="P65" s="15">
        <f t="shared" si="1"/>
        <v>156</v>
      </c>
      <c r="R65" s="8"/>
      <c r="T65"/>
    </row>
    <row r="66" spans="2:20" ht="23.1" customHeight="1" x14ac:dyDescent="0.25">
      <c r="B66" s="45" t="s">
        <v>103</v>
      </c>
      <c r="C66" s="50">
        <v>100</v>
      </c>
      <c r="D66" s="50">
        <v>80</v>
      </c>
      <c r="E66" s="50">
        <v>5</v>
      </c>
      <c r="F66" s="50">
        <v>0</v>
      </c>
      <c r="G66" s="50">
        <v>0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188</v>
      </c>
      <c r="P66" s="15">
        <f t="shared" si="1"/>
        <v>194</v>
      </c>
      <c r="R66" s="8"/>
      <c r="T66"/>
    </row>
    <row r="67" spans="2:20" ht="23.1" customHeight="1" x14ac:dyDescent="0.25">
      <c r="B67" s="45" t="s">
        <v>104</v>
      </c>
      <c r="C67" s="50">
        <v>105</v>
      </c>
      <c r="D67" s="50">
        <v>10</v>
      </c>
      <c r="E67" s="50">
        <v>4</v>
      </c>
      <c r="F67" s="50">
        <v>10</v>
      </c>
      <c r="G67" s="50">
        <v>0</v>
      </c>
      <c r="H67" s="50">
        <v>6</v>
      </c>
      <c r="I67" s="50">
        <v>5</v>
      </c>
      <c r="J67" s="50">
        <v>0</v>
      </c>
      <c r="K67" s="50">
        <v>1</v>
      </c>
      <c r="L67" s="50">
        <v>0</v>
      </c>
      <c r="M67" s="50">
        <v>8</v>
      </c>
      <c r="N67" s="50">
        <v>0</v>
      </c>
      <c r="O67" s="15">
        <f t="shared" si="0"/>
        <v>141</v>
      </c>
      <c r="P67" s="15">
        <f t="shared" si="1"/>
        <v>149</v>
      </c>
      <c r="R67" s="8"/>
      <c r="T67"/>
    </row>
    <row r="68" spans="2:20" ht="23.1" customHeight="1" x14ac:dyDescent="0.25">
      <c r="B68" s="45" t="s">
        <v>105</v>
      </c>
      <c r="C68" s="50">
        <v>95</v>
      </c>
      <c r="D68" s="50">
        <v>15</v>
      </c>
      <c r="E68" s="50">
        <v>10</v>
      </c>
      <c r="F68" s="50">
        <v>0</v>
      </c>
      <c r="G68" s="50">
        <v>0</v>
      </c>
      <c r="H68" s="50">
        <v>2</v>
      </c>
      <c r="I68" s="50">
        <v>4</v>
      </c>
      <c r="J68" s="50">
        <v>1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127</v>
      </c>
      <c r="P68" s="15">
        <f t="shared" si="1"/>
        <v>131</v>
      </c>
      <c r="R68" s="8"/>
      <c r="T68"/>
    </row>
    <row r="69" spans="2:20" ht="23.1" customHeight="1" x14ac:dyDescent="0.25">
      <c r="B69" s="45" t="s">
        <v>106</v>
      </c>
      <c r="C69" s="50">
        <v>75</v>
      </c>
      <c r="D69" s="50">
        <v>75</v>
      </c>
      <c r="E69" s="50">
        <v>0</v>
      </c>
      <c r="F69" s="50">
        <v>0</v>
      </c>
      <c r="G69" s="50">
        <v>0</v>
      </c>
      <c r="H69" s="50">
        <v>0</v>
      </c>
      <c r="I69" s="50">
        <v>4</v>
      </c>
      <c r="J69" s="50">
        <v>1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155</v>
      </c>
      <c r="P69" s="15">
        <f t="shared" si="1"/>
        <v>159</v>
      </c>
      <c r="R69" s="8"/>
      <c r="T69"/>
    </row>
    <row r="70" spans="2:20" ht="23.1" customHeight="1" x14ac:dyDescent="0.25">
      <c r="B70" s="45" t="s">
        <v>110</v>
      </c>
      <c r="C70" s="50">
        <v>50</v>
      </c>
      <c r="D70" s="50">
        <v>17</v>
      </c>
      <c r="E70" s="50">
        <v>6</v>
      </c>
      <c r="F70" s="50">
        <v>5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0"/>
        <v>79</v>
      </c>
      <c r="P70" s="15">
        <f t="shared" si="1"/>
        <v>82</v>
      </c>
      <c r="R70" s="8"/>
      <c r="T70"/>
    </row>
    <row r="71" spans="2:20" ht="23.1" customHeight="1" x14ac:dyDescent="0.25">
      <c r="B71" s="45" t="s">
        <v>111</v>
      </c>
      <c r="C71" s="50">
        <v>60</v>
      </c>
      <c r="D71" s="50">
        <v>5</v>
      </c>
      <c r="E71" s="50">
        <v>2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</v>
      </c>
      <c r="N71" s="50">
        <v>0</v>
      </c>
      <c r="O71" s="15">
        <f t="shared" si="0"/>
        <v>67</v>
      </c>
      <c r="P71" s="15">
        <f t="shared" si="1"/>
        <v>70</v>
      </c>
      <c r="R71" s="8"/>
      <c r="T71"/>
    </row>
    <row r="72" spans="2:20" ht="23.1" customHeight="1" x14ac:dyDescent="0.25">
      <c r="B72" s="45" t="s">
        <v>112</v>
      </c>
      <c r="C72" s="50">
        <v>100</v>
      </c>
      <c r="D72" s="50">
        <v>11</v>
      </c>
      <c r="E72" s="50">
        <v>1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1</v>
      </c>
      <c r="L72" s="50">
        <v>0</v>
      </c>
      <c r="M72" s="50">
        <v>7</v>
      </c>
      <c r="N72" s="50">
        <v>0</v>
      </c>
      <c r="O72" s="15">
        <f t="shared" si="0"/>
        <v>114</v>
      </c>
      <c r="P72" s="15">
        <f t="shared" si="1"/>
        <v>121</v>
      </c>
      <c r="R72" s="8"/>
      <c r="T72"/>
    </row>
    <row r="73" spans="2:20" ht="23.1" customHeight="1" x14ac:dyDescent="0.25">
      <c r="B73" s="45" t="s">
        <v>113</v>
      </c>
      <c r="C73" s="50">
        <v>120</v>
      </c>
      <c r="D73" s="50">
        <v>10</v>
      </c>
      <c r="E73" s="50">
        <v>7</v>
      </c>
      <c r="F73" s="50">
        <v>10</v>
      </c>
      <c r="G73" s="50">
        <v>8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10</v>
      </c>
      <c r="N73" s="50">
        <v>0</v>
      </c>
      <c r="O73" s="15">
        <f t="shared" si="0"/>
        <v>157</v>
      </c>
      <c r="P73" s="15">
        <f t="shared" si="1"/>
        <v>167</v>
      </c>
      <c r="R73" s="8"/>
      <c r="T73"/>
    </row>
    <row r="74" spans="2:20" ht="23.1" customHeight="1" x14ac:dyDescent="0.25">
      <c r="B74" s="45" t="s">
        <v>114</v>
      </c>
      <c r="C74" s="50">
        <v>95</v>
      </c>
      <c r="D74" s="50">
        <v>15</v>
      </c>
      <c r="E74" s="50">
        <v>6</v>
      </c>
      <c r="F74" s="50">
        <v>0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117</v>
      </c>
      <c r="P74" s="15">
        <f t="shared" ref="P74:P105" si="36">SUM(C74:N74)</f>
        <v>119</v>
      </c>
      <c r="R74" s="8"/>
      <c r="T74"/>
    </row>
    <row r="75" spans="2:20" ht="23.1" customHeight="1" x14ac:dyDescent="0.25">
      <c r="B75" s="45" t="s">
        <v>115</v>
      </c>
      <c r="C75" s="50">
        <v>110</v>
      </c>
      <c r="D75" s="50">
        <v>19</v>
      </c>
      <c r="E75" s="50">
        <v>7</v>
      </c>
      <c r="F75" s="50">
        <v>5</v>
      </c>
      <c r="G75" s="50">
        <v>0</v>
      </c>
      <c r="H75" s="50">
        <v>1</v>
      </c>
      <c r="I75" s="50">
        <v>1</v>
      </c>
      <c r="J75" s="50">
        <v>0</v>
      </c>
      <c r="K75" s="50">
        <v>0</v>
      </c>
      <c r="L75" s="50">
        <v>0</v>
      </c>
      <c r="M75" s="50">
        <v>8</v>
      </c>
      <c r="N75" s="50">
        <v>0</v>
      </c>
      <c r="O75" s="15">
        <f t="shared" si="35"/>
        <v>143</v>
      </c>
      <c r="P75" s="15">
        <f t="shared" si="36"/>
        <v>151</v>
      </c>
      <c r="R75" s="8"/>
      <c r="T75"/>
    </row>
    <row r="76" spans="2:20" ht="23.1" customHeight="1" x14ac:dyDescent="0.25">
      <c r="B76" s="45" t="s">
        <v>116</v>
      </c>
      <c r="C76" s="50">
        <v>70</v>
      </c>
      <c r="D76" s="50">
        <v>20</v>
      </c>
      <c r="E76" s="50">
        <v>6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97</v>
      </c>
      <c r="P76" s="15">
        <f t="shared" si="36"/>
        <v>99</v>
      </c>
      <c r="R76" s="8"/>
      <c r="T76"/>
    </row>
    <row r="77" spans="2:20" ht="23.1" customHeight="1" x14ac:dyDescent="0.25">
      <c r="B77" s="45" t="s">
        <v>117</v>
      </c>
      <c r="C77" s="50">
        <v>120</v>
      </c>
      <c r="D77" s="50">
        <v>2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7</v>
      </c>
      <c r="N77" s="50">
        <v>0</v>
      </c>
      <c r="O77" s="15">
        <f t="shared" si="35"/>
        <v>123</v>
      </c>
      <c r="P77" s="15">
        <f t="shared" si="36"/>
        <v>130</v>
      </c>
      <c r="R77" s="8"/>
      <c r="T77"/>
    </row>
    <row r="78" spans="2:20" ht="23.1" customHeight="1" x14ac:dyDescent="0.25">
      <c r="B78" s="46" t="s">
        <v>118</v>
      </c>
      <c r="C78" s="50">
        <v>70</v>
      </c>
      <c r="D78" s="50">
        <v>7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78</v>
      </c>
      <c r="P78" s="15">
        <f t="shared" si="36"/>
        <v>80</v>
      </c>
      <c r="R78" s="8"/>
      <c r="T78"/>
    </row>
    <row r="79" spans="2:20" ht="23.1" customHeight="1" x14ac:dyDescent="0.25">
      <c r="B79" s="45" t="s">
        <v>119</v>
      </c>
      <c r="C79" s="50">
        <v>60</v>
      </c>
      <c r="D79" s="50">
        <v>40</v>
      </c>
      <c r="E79" s="50">
        <v>15</v>
      </c>
      <c r="F79" s="50">
        <v>20</v>
      </c>
      <c r="G79" s="50">
        <v>1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137</v>
      </c>
      <c r="P79" s="15">
        <f t="shared" si="36"/>
        <v>139</v>
      </c>
      <c r="R79" s="8"/>
      <c r="T79"/>
    </row>
    <row r="80" spans="2:20" ht="23.1" customHeight="1" x14ac:dyDescent="0.25">
      <c r="B80" s="47" t="s">
        <v>120</v>
      </c>
      <c r="C80" s="50">
        <v>60</v>
      </c>
      <c r="D80" s="50">
        <v>2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</v>
      </c>
      <c r="N80" s="50">
        <v>0</v>
      </c>
      <c r="O80" s="15">
        <f t="shared" si="35"/>
        <v>64</v>
      </c>
      <c r="P80" s="15">
        <f t="shared" si="36"/>
        <v>68</v>
      </c>
      <c r="R80" s="8"/>
      <c r="T80"/>
    </row>
    <row r="81" spans="2:20" ht="23.1" customHeight="1" x14ac:dyDescent="0.25">
      <c r="B81" s="45" t="s">
        <v>121</v>
      </c>
      <c r="C81" s="50">
        <v>60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61</v>
      </c>
      <c r="P81" s="15">
        <f t="shared" si="36"/>
        <v>64</v>
      </c>
      <c r="R81" s="8"/>
      <c r="T81"/>
    </row>
    <row r="82" spans="2:20" ht="23.1" customHeight="1" x14ac:dyDescent="0.25">
      <c r="B82" s="46" t="s">
        <v>122</v>
      </c>
      <c r="C82" s="50">
        <v>20</v>
      </c>
      <c r="D82" s="50">
        <v>4</v>
      </c>
      <c r="E82" s="50">
        <v>2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5">
        <f t="shared" si="35"/>
        <v>27</v>
      </c>
      <c r="P82" s="15">
        <f t="shared" si="36"/>
        <v>31</v>
      </c>
      <c r="R82" s="8"/>
      <c r="T82"/>
    </row>
    <row r="83" spans="2:20" ht="23.1" customHeight="1" x14ac:dyDescent="0.25">
      <c r="B83" s="45" t="s">
        <v>123</v>
      </c>
      <c r="C83" s="50">
        <v>40</v>
      </c>
      <c r="D83" s="50">
        <v>4</v>
      </c>
      <c r="E83" s="50">
        <v>3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48</v>
      </c>
      <c r="P83" s="15">
        <f t="shared" si="36"/>
        <v>49</v>
      </c>
      <c r="R83" s="8"/>
      <c r="T83"/>
    </row>
    <row r="84" spans="2:20" ht="23.1" customHeight="1" x14ac:dyDescent="0.25">
      <c r="B84" s="47" t="s">
        <v>124</v>
      </c>
      <c r="C84" s="50">
        <v>31</v>
      </c>
      <c r="D84" s="50">
        <v>3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2</v>
      </c>
      <c r="N84" s="50">
        <v>0</v>
      </c>
      <c r="O84" s="15">
        <f t="shared" si="35"/>
        <v>35</v>
      </c>
      <c r="P84" s="15">
        <f t="shared" si="36"/>
        <v>37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1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17</v>
      </c>
      <c r="P85" s="15">
        <f t="shared" si="36"/>
        <v>18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4</v>
      </c>
      <c r="N86" s="50">
        <v>0</v>
      </c>
      <c r="O86" s="15">
        <f t="shared" si="35"/>
        <v>5</v>
      </c>
      <c r="P86" s="15">
        <f t="shared" si="36"/>
        <v>9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3</v>
      </c>
      <c r="N88" s="50">
        <v>0</v>
      </c>
      <c r="O88" s="15">
        <f t="shared" si="35"/>
        <v>4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3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7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10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12</v>
      </c>
      <c r="P94" s="15">
        <f t="shared" si="36"/>
        <v>15</v>
      </c>
      <c r="R94" s="8"/>
      <c r="T94"/>
    </row>
    <row r="95" spans="2:20" ht="23.1" customHeight="1" x14ac:dyDescent="0.25">
      <c r="B95" s="45" t="s">
        <v>135</v>
      </c>
      <c r="C95" s="50">
        <v>15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15</v>
      </c>
      <c r="P95" s="15">
        <f t="shared" si="36"/>
        <v>17</v>
      </c>
      <c r="R95" s="8"/>
      <c r="T95"/>
    </row>
    <row r="96" spans="2:20" ht="23.1" customHeight="1" x14ac:dyDescent="0.25">
      <c r="B96" s="47" t="s">
        <v>136</v>
      </c>
      <c r="C96" s="50">
        <v>10</v>
      </c>
      <c r="D96" s="50">
        <v>3</v>
      </c>
      <c r="E96" s="50">
        <v>0</v>
      </c>
      <c r="F96" s="50">
        <v>0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15</v>
      </c>
      <c r="P96" s="15">
        <f t="shared" si="36"/>
        <v>16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3</v>
      </c>
      <c r="E97" s="50">
        <v>2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7</v>
      </c>
      <c r="P97" s="15">
        <f t="shared" si="36"/>
        <v>8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2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0</v>
      </c>
      <c r="M99" s="50">
        <v>2</v>
      </c>
      <c r="N99" s="50">
        <v>0</v>
      </c>
      <c r="O99" s="15">
        <f t="shared" si="35"/>
        <v>14</v>
      </c>
      <c r="P99" s="15">
        <f t="shared" si="36"/>
        <v>16</v>
      </c>
      <c r="R99" s="8"/>
      <c r="T99"/>
    </row>
    <row r="100" spans="2:20" ht="23.1" customHeight="1" x14ac:dyDescent="0.25">
      <c r="B100" s="47" t="s">
        <v>140</v>
      </c>
      <c r="C100" s="50">
        <v>12</v>
      </c>
      <c r="D100" s="50">
        <v>7</v>
      </c>
      <c r="E100" s="50">
        <v>3</v>
      </c>
      <c r="F100" s="50">
        <v>2</v>
      </c>
      <c r="G100" s="50">
        <v>1</v>
      </c>
      <c r="H100" s="50">
        <v>0</v>
      </c>
      <c r="I100" s="50">
        <v>0</v>
      </c>
      <c r="J100" s="50">
        <v>0</v>
      </c>
      <c r="K100" s="50">
        <v>1</v>
      </c>
      <c r="L100" s="50">
        <v>0</v>
      </c>
      <c r="M100" s="50">
        <v>2</v>
      </c>
      <c r="N100" s="50">
        <v>0</v>
      </c>
      <c r="O100" s="15">
        <f t="shared" si="35"/>
        <v>26</v>
      </c>
      <c r="P100" s="15">
        <f t="shared" si="36"/>
        <v>28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5">
        <f t="shared" si="35"/>
        <v>15</v>
      </c>
      <c r="P101" s="15">
        <f t="shared" si="36"/>
        <v>20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14</v>
      </c>
      <c r="E102" s="50">
        <v>5</v>
      </c>
      <c r="F102" s="50">
        <v>5</v>
      </c>
      <c r="G102" s="50">
        <v>1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42</v>
      </c>
      <c r="P102" s="15">
        <f t="shared" si="36"/>
        <v>44</v>
      </c>
      <c r="R102" s="8"/>
      <c r="T102"/>
    </row>
    <row r="103" spans="2:20" ht="23.1" customHeight="1" x14ac:dyDescent="0.25">
      <c r="B103" s="45" t="s">
        <v>143</v>
      </c>
      <c r="C103" s="50">
        <v>18</v>
      </c>
      <c r="D103" s="50">
        <v>2</v>
      </c>
      <c r="E103" s="50">
        <v>8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12</v>
      </c>
      <c r="N103" s="50">
        <v>0</v>
      </c>
      <c r="O103" s="15">
        <f t="shared" si="35"/>
        <v>29</v>
      </c>
      <c r="P103" s="15">
        <f t="shared" si="36"/>
        <v>41</v>
      </c>
      <c r="R103" s="8"/>
      <c r="T103"/>
    </row>
    <row r="104" spans="2:20" ht="23.1" customHeight="1" x14ac:dyDescent="0.25">
      <c r="B104" s="47" t="s">
        <v>144</v>
      </c>
      <c r="C104" s="50">
        <v>55</v>
      </c>
      <c r="D104" s="50">
        <v>10</v>
      </c>
      <c r="E104" s="50">
        <v>10</v>
      </c>
      <c r="F104" s="50">
        <v>8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19</v>
      </c>
      <c r="N104" s="50">
        <v>0</v>
      </c>
      <c r="O104" s="15">
        <f t="shared" si="35"/>
        <v>85</v>
      </c>
      <c r="P104" s="15">
        <f t="shared" si="36"/>
        <v>104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11</v>
      </c>
      <c r="E105" s="50">
        <v>6</v>
      </c>
      <c r="F105" s="50">
        <v>4</v>
      </c>
      <c r="G105" s="50">
        <v>0</v>
      </c>
      <c r="H105" s="50">
        <v>0</v>
      </c>
      <c r="I105" s="50">
        <v>0</v>
      </c>
      <c r="J105" s="50">
        <v>0</v>
      </c>
      <c r="K105" s="50">
        <v>1</v>
      </c>
      <c r="L105" s="50">
        <v>0</v>
      </c>
      <c r="M105" s="50">
        <v>27</v>
      </c>
      <c r="N105" s="50">
        <v>0</v>
      </c>
      <c r="O105" s="15">
        <f t="shared" si="35"/>
        <v>52</v>
      </c>
      <c r="P105" s="15">
        <f t="shared" si="36"/>
        <v>79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6508</v>
      </c>
      <c r="D106" s="16">
        <f t="shared" ref="D106:P106" si="37">SUM(D10:D105)</f>
        <v>4140</v>
      </c>
      <c r="E106" s="16">
        <f t="shared" si="37"/>
        <v>1022</v>
      </c>
      <c r="F106" s="16">
        <f t="shared" si="37"/>
        <v>602</v>
      </c>
      <c r="G106" s="16">
        <f t="shared" si="37"/>
        <v>40</v>
      </c>
      <c r="H106" s="16">
        <f t="shared" si="37"/>
        <v>31</v>
      </c>
      <c r="I106" s="16">
        <f t="shared" si="37"/>
        <v>165</v>
      </c>
      <c r="J106" s="16">
        <f t="shared" si="37"/>
        <v>52</v>
      </c>
      <c r="K106" s="16">
        <f t="shared" si="37"/>
        <v>47</v>
      </c>
      <c r="L106" s="16">
        <f t="shared" si="37"/>
        <v>8</v>
      </c>
      <c r="M106" s="16">
        <f t="shared" si="37"/>
        <v>2886</v>
      </c>
      <c r="N106" s="16">
        <f t="shared" si="37"/>
        <v>1</v>
      </c>
      <c r="O106" s="16">
        <f t="shared" si="37"/>
        <v>12616</v>
      </c>
      <c r="P106" s="16">
        <f t="shared" si="37"/>
        <v>15502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0.41981679783253772</v>
      </c>
      <c r="D107" s="43">
        <f t="shared" si="38"/>
        <v>0.26706231454005935</v>
      </c>
      <c r="E107" s="43">
        <f t="shared" si="38"/>
        <v>6.5926977164236872E-2</v>
      </c>
      <c r="F107" s="43">
        <f t="shared" si="38"/>
        <v>3.8833698877564188E-2</v>
      </c>
      <c r="G107" s="43">
        <f t="shared" si="38"/>
        <v>2.5803122177783513E-3</v>
      </c>
      <c r="H107" s="43">
        <f t="shared" si="38"/>
        <v>1.9997419687782223E-3</v>
      </c>
      <c r="I107" s="43">
        <f t="shared" si="38"/>
        <v>1.0643787898335699E-2</v>
      </c>
      <c r="J107" s="43">
        <f t="shared" si="38"/>
        <v>3.3544058831118566E-3</v>
      </c>
      <c r="K107" s="43">
        <f t="shared" si="38"/>
        <v>3.0318668558895626E-3</v>
      </c>
      <c r="L107" s="43">
        <f t="shared" si="38"/>
        <v>5.1606244355567024E-4</v>
      </c>
      <c r="M107" s="43">
        <f t="shared" si="38"/>
        <v>0.18616952651270804</v>
      </c>
      <c r="N107" s="43">
        <f t="shared" si="38"/>
        <v>6.450780544445878E-5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0.51585288522511097</v>
      </c>
      <c r="D108" s="44">
        <f t="shared" ref="D108:N108" si="39">D106/$O$106</f>
        <v>0.32815472415979707</v>
      </c>
      <c r="E108" s="44">
        <f t="shared" si="39"/>
        <v>8.1008243500317059E-2</v>
      </c>
      <c r="F108" s="44">
        <f t="shared" si="39"/>
        <v>4.7717184527584021E-2</v>
      </c>
      <c r="G108" s="44">
        <f t="shared" si="39"/>
        <v>3.1705770450221942E-3</v>
      </c>
      <c r="H108" s="44">
        <f t="shared" si="39"/>
        <v>2.4571972098922003E-3</v>
      </c>
      <c r="I108" s="44">
        <f t="shared" si="39"/>
        <v>1.3078630310716551E-2</v>
      </c>
      <c r="J108" s="44">
        <f t="shared" si="39"/>
        <v>4.1217501585288519E-3</v>
      </c>
      <c r="K108" s="44">
        <f t="shared" si="39"/>
        <v>3.725428027901078E-3</v>
      </c>
      <c r="L108" s="44">
        <f t="shared" si="39"/>
        <v>6.3411540900443881E-4</v>
      </c>
      <c r="M108" s="44"/>
      <c r="N108" s="44">
        <f t="shared" si="39"/>
        <v>7.9264426125554851E-5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B69" sqref="B6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3" t="s">
        <v>177</v>
      </c>
      <c r="H5" s="64"/>
      <c r="I5" s="14"/>
      <c r="J5" s="2" t="s">
        <v>5</v>
      </c>
      <c r="K5" s="63" t="s">
        <v>178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172</v>
      </c>
      <c r="L6" s="64"/>
      <c r="M6" s="10"/>
      <c r="N6" s="10"/>
      <c r="O6" s="3"/>
      <c r="P6" s="3"/>
    </row>
    <row r="7" spans="2:32" ht="20.100000000000001" customHeight="1" x14ac:dyDescent="0.25">
      <c r="B7" s="2">
        <v>3</v>
      </c>
      <c r="D7" s="3">
        <v>1</v>
      </c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150</v>
      </c>
      <c r="D10" s="50">
        <v>26</v>
      </c>
      <c r="E10" s="50">
        <v>13</v>
      </c>
      <c r="F10" s="50">
        <v>15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20</v>
      </c>
      <c r="N10" s="50">
        <v>0</v>
      </c>
      <c r="O10" s="15">
        <f t="shared" ref="O10:O57" si="0">SUM(C10:L10,N10)</f>
        <v>205</v>
      </c>
      <c r="P10" s="15">
        <f t="shared" ref="P10:P57" si="1">SUM(C10:N10)</f>
        <v>225</v>
      </c>
      <c r="R10" s="1" t="s">
        <v>6</v>
      </c>
      <c r="S10" s="17">
        <f t="shared" ref="S10:AF10" si="2">SUM(C10:C13)</f>
        <v>580</v>
      </c>
      <c r="T10" s="17">
        <f t="shared" si="2"/>
        <v>128</v>
      </c>
      <c r="U10" s="17">
        <f t="shared" si="2"/>
        <v>59</v>
      </c>
      <c r="V10" s="17">
        <f t="shared" si="2"/>
        <v>40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235</v>
      </c>
      <c r="AD10" s="17">
        <f t="shared" si="2"/>
        <v>0</v>
      </c>
      <c r="AE10" s="31">
        <f t="shared" si="2"/>
        <v>812</v>
      </c>
      <c r="AF10" s="31">
        <f t="shared" si="2"/>
        <v>1047</v>
      </c>
    </row>
    <row r="11" spans="2:32" s="6" customFormat="1" ht="23.1" customHeight="1" x14ac:dyDescent="0.25">
      <c r="B11" s="23" t="s">
        <v>38</v>
      </c>
      <c r="C11" s="50">
        <v>165</v>
      </c>
      <c r="D11" s="50">
        <v>21</v>
      </c>
      <c r="E11" s="50">
        <v>11</v>
      </c>
      <c r="F11" s="50">
        <v>14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40</v>
      </c>
      <c r="N11" s="50">
        <v>0</v>
      </c>
      <c r="O11" s="15">
        <f t="shared" si="0"/>
        <v>211</v>
      </c>
      <c r="P11" s="15">
        <f t="shared" si="1"/>
        <v>251</v>
      </c>
      <c r="R11" s="1" t="s">
        <v>7</v>
      </c>
      <c r="S11" s="17">
        <f t="shared" ref="S11:AF11" si="3">SUM(C14:C17)</f>
        <v>710</v>
      </c>
      <c r="T11" s="17">
        <f t="shared" si="3"/>
        <v>108</v>
      </c>
      <c r="U11" s="17">
        <f t="shared" si="3"/>
        <v>38</v>
      </c>
      <c r="V11" s="17">
        <f t="shared" si="3"/>
        <v>36</v>
      </c>
      <c r="W11" s="17">
        <f t="shared" si="3"/>
        <v>0</v>
      </c>
      <c r="X11" s="17">
        <f t="shared" si="3"/>
        <v>1</v>
      </c>
      <c r="Y11" s="17">
        <f t="shared" si="3"/>
        <v>16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486</v>
      </c>
      <c r="AD11" s="17">
        <f t="shared" si="3"/>
        <v>0</v>
      </c>
      <c r="AE11" s="31">
        <f t="shared" si="3"/>
        <v>914</v>
      </c>
      <c r="AF11" s="31">
        <f t="shared" si="3"/>
        <v>1400</v>
      </c>
    </row>
    <row r="12" spans="2:32" ht="23.1" customHeight="1" x14ac:dyDescent="0.25">
      <c r="B12" s="23" t="s">
        <v>39</v>
      </c>
      <c r="C12" s="50">
        <v>145</v>
      </c>
      <c r="D12" s="50">
        <v>36</v>
      </c>
      <c r="E12" s="50">
        <v>20</v>
      </c>
      <c r="F12" s="50">
        <v>6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75</v>
      </c>
      <c r="N12" s="50">
        <v>0</v>
      </c>
      <c r="O12" s="15">
        <f t="shared" si="0"/>
        <v>208</v>
      </c>
      <c r="P12" s="15">
        <f t="shared" si="1"/>
        <v>283</v>
      </c>
      <c r="R12" s="1" t="s">
        <v>8</v>
      </c>
      <c r="S12" s="17">
        <f t="shared" ref="S12:AF12" si="4">SUM(C18:C21)</f>
        <v>505</v>
      </c>
      <c r="T12" s="17">
        <f t="shared" si="4"/>
        <v>123</v>
      </c>
      <c r="U12" s="17">
        <f t="shared" si="4"/>
        <v>47</v>
      </c>
      <c r="V12" s="17">
        <f t="shared" si="4"/>
        <v>43</v>
      </c>
      <c r="W12" s="17">
        <f t="shared" si="4"/>
        <v>2</v>
      </c>
      <c r="X12" s="17">
        <f t="shared" si="4"/>
        <v>0</v>
      </c>
      <c r="Y12" s="17">
        <f t="shared" si="4"/>
        <v>28</v>
      </c>
      <c r="Z12" s="17">
        <f t="shared" si="4"/>
        <v>9</v>
      </c>
      <c r="AA12" s="17">
        <f t="shared" si="4"/>
        <v>0</v>
      </c>
      <c r="AB12" s="17">
        <f t="shared" si="4"/>
        <v>0</v>
      </c>
      <c r="AC12" s="17">
        <f t="shared" si="4"/>
        <v>526</v>
      </c>
      <c r="AD12" s="17">
        <f t="shared" si="4"/>
        <v>0</v>
      </c>
      <c r="AE12" s="31">
        <f t="shared" si="4"/>
        <v>757</v>
      </c>
      <c r="AF12" s="31">
        <f t="shared" si="4"/>
        <v>1283</v>
      </c>
    </row>
    <row r="13" spans="2:32" ht="23.1" customHeight="1" x14ac:dyDescent="0.25">
      <c r="B13" s="23" t="s">
        <v>40</v>
      </c>
      <c r="C13" s="50">
        <v>120</v>
      </c>
      <c r="D13" s="50">
        <v>45</v>
      </c>
      <c r="E13" s="50">
        <v>15</v>
      </c>
      <c r="F13" s="50">
        <v>5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100</v>
      </c>
      <c r="N13" s="50">
        <v>0</v>
      </c>
      <c r="O13" s="15">
        <f t="shared" si="0"/>
        <v>188</v>
      </c>
      <c r="P13" s="15">
        <f t="shared" si="1"/>
        <v>288</v>
      </c>
      <c r="R13" s="1" t="s">
        <v>9</v>
      </c>
      <c r="S13" s="17">
        <f t="shared" ref="S13:AF13" si="5">SUM(C22:C25)</f>
        <v>480</v>
      </c>
      <c r="T13" s="17">
        <f t="shared" si="5"/>
        <v>118</v>
      </c>
      <c r="U13" s="17">
        <f t="shared" si="5"/>
        <v>52</v>
      </c>
      <c r="V13" s="17">
        <f t="shared" si="5"/>
        <v>45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343</v>
      </c>
      <c r="AD13" s="17">
        <f t="shared" si="5"/>
        <v>0</v>
      </c>
      <c r="AE13" s="31">
        <f t="shared" si="5"/>
        <v>715</v>
      </c>
      <c r="AF13" s="31">
        <f t="shared" si="5"/>
        <v>1058</v>
      </c>
    </row>
    <row r="14" spans="2:32" ht="23.1" customHeight="1" x14ac:dyDescent="0.25">
      <c r="B14" s="23" t="s">
        <v>41</v>
      </c>
      <c r="C14" s="50">
        <v>180</v>
      </c>
      <c r="D14" s="50">
        <v>32</v>
      </c>
      <c r="E14" s="50">
        <v>10</v>
      </c>
      <c r="F14" s="50">
        <v>7</v>
      </c>
      <c r="G14" s="50">
        <v>0</v>
      </c>
      <c r="H14" s="50">
        <v>1</v>
      </c>
      <c r="I14" s="50">
        <v>1</v>
      </c>
      <c r="J14" s="50">
        <v>1</v>
      </c>
      <c r="K14" s="50">
        <v>0</v>
      </c>
      <c r="L14" s="50">
        <v>0</v>
      </c>
      <c r="M14" s="50">
        <v>106</v>
      </c>
      <c r="N14" s="50">
        <v>0</v>
      </c>
      <c r="O14" s="15">
        <f t="shared" si="0"/>
        <v>232</v>
      </c>
      <c r="P14" s="15">
        <f t="shared" si="1"/>
        <v>338</v>
      </c>
      <c r="R14" s="1" t="s">
        <v>10</v>
      </c>
      <c r="S14" s="17">
        <f t="shared" ref="S14:AF14" si="6">SUM(C26:C29)</f>
        <v>375</v>
      </c>
      <c r="T14" s="17">
        <f t="shared" si="6"/>
        <v>112</v>
      </c>
      <c r="U14" s="17">
        <f t="shared" si="6"/>
        <v>46</v>
      </c>
      <c r="V14" s="17">
        <f t="shared" si="6"/>
        <v>42</v>
      </c>
      <c r="W14" s="17">
        <f t="shared" si="6"/>
        <v>1</v>
      </c>
      <c r="X14" s="17">
        <f t="shared" si="6"/>
        <v>0</v>
      </c>
      <c r="Y14" s="17">
        <f t="shared" si="6"/>
        <v>16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392</v>
      </c>
      <c r="AD14" s="17">
        <f t="shared" si="6"/>
        <v>0</v>
      </c>
      <c r="AE14" s="31">
        <f t="shared" si="6"/>
        <v>596</v>
      </c>
      <c r="AF14" s="31">
        <f t="shared" si="6"/>
        <v>988</v>
      </c>
    </row>
    <row r="15" spans="2:32" ht="23.1" customHeight="1" x14ac:dyDescent="0.25">
      <c r="B15" s="23" t="s">
        <v>42</v>
      </c>
      <c r="C15" s="50">
        <v>185</v>
      </c>
      <c r="D15" s="50">
        <v>40</v>
      </c>
      <c r="E15" s="50">
        <v>12</v>
      </c>
      <c r="F15" s="50">
        <v>10</v>
      </c>
      <c r="G15" s="50">
        <v>0</v>
      </c>
      <c r="H15" s="50">
        <v>0</v>
      </c>
      <c r="I15" s="50">
        <v>5</v>
      </c>
      <c r="J15" s="50">
        <v>1</v>
      </c>
      <c r="K15" s="50">
        <v>0</v>
      </c>
      <c r="L15" s="50">
        <v>0</v>
      </c>
      <c r="M15" s="50">
        <v>120</v>
      </c>
      <c r="N15" s="50">
        <v>0</v>
      </c>
      <c r="O15" s="15">
        <f t="shared" si="0"/>
        <v>253</v>
      </c>
      <c r="P15" s="15">
        <f t="shared" si="1"/>
        <v>373</v>
      </c>
      <c r="R15" s="1" t="s">
        <v>11</v>
      </c>
      <c r="S15" s="17">
        <f t="shared" ref="S15:AF15" si="7">SUM(C30:C33)</f>
        <v>430</v>
      </c>
      <c r="T15" s="17">
        <f t="shared" si="7"/>
        <v>115</v>
      </c>
      <c r="U15" s="17">
        <f t="shared" si="7"/>
        <v>42</v>
      </c>
      <c r="V15" s="17">
        <f t="shared" si="7"/>
        <v>35</v>
      </c>
      <c r="W15" s="17">
        <f t="shared" si="7"/>
        <v>1</v>
      </c>
      <c r="X15" s="17">
        <f t="shared" si="7"/>
        <v>0</v>
      </c>
      <c r="Y15" s="17">
        <f t="shared" si="7"/>
        <v>21</v>
      </c>
      <c r="Z15" s="17">
        <f t="shared" si="7"/>
        <v>2</v>
      </c>
      <c r="AA15" s="17">
        <f t="shared" si="7"/>
        <v>1</v>
      </c>
      <c r="AB15" s="17">
        <f t="shared" si="7"/>
        <v>1</v>
      </c>
      <c r="AC15" s="17">
        <f t="shared" si="7"/>
        <v>279</v>
      </c>
      <c r="AD15" s="17">
        <f t="shared" si="7"/>
        <v>0</v>
      </c>
      <c r="AE15" s="31">
        <f t="shared" si="7"/>
        <v>648</v>
      </c>
      <c r="AF15" s="31">
        <f t="shared" si="7"/>
        <v>927</v>
      </c>
    </row>
    <row r="16" spans="2:32" ht="23.1" customHeight="1" x14ac:dyDescent="0.25">
      <c r="B16" s="23" t="s">
        <v>43</v>
      </c>
      <c r="C16" s="50">
        <v>150</v>
      </c>
      <c r="D16" s="50">
        <v>12</v>
      </c>
      <c r="E16" s="50">
        <v>9</v>
      </c>
      <c r="F16" s="50">
        <v>10</v>
      </c>
      <c r="G16" s="50">
        <v>0</v>
      </c>
      <c r="H16" s="50">
        <v>0</v>
      </c>
      <c r="I16" s="50">
        <v>6</v>
      </c>
      <c r="J16" s="50">
        <v>1</v>
      </c>
      <c r="K16" s="50">
        <v>0</v>
      </c>
      <c r="L16" s="50">
        <v>0</v>
      </c>
      <c r="M16" s="50">
        <v>140</v>
      </c>
      <c r="N16" s="50">
        <v>0</v>
      </c>
      <c r="O16" s="15">
        <f t="shared" si="0"/>
        <v>188</v>
      </c>
      <c r="P16" s="15">
        <f t="shared" si="1"/>
        <v>328</v>
      </c>
      <c r="R16" s="1" t="s">
        <v>12</v>
      </c>
      <c r="S16" s="17">
        <f t="shared" ref="S16:AF16" si="8">SUM(C34:C37)</f>
        <v>430</v>
      </c>
      <c r="T16" s="17">
        <f t="shared" si="8"/>
        <v>82</v>
      </c>
      <c r="U16" s="17">
        <f t="shared" si="8"/>
        <v>45</v>
      </c>
      <c r="V16" s="17">
        <f t="shared" si="8"/>
        <v>46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294</v>
      </c>
      <c r="AD16" s="17">
        <f t="shared" si="8"/>
        <v>1</v>
      </c>
      <c r="AE16" s="31">
        <f t="shared" si="8"/>
        <v>620</v>
      </c>
      <c r="AF16" s="31">
        <f t="shared" si="8"/>
        <v>914</v>
      </c>
    </row>
    <row r="17" spans="2:32" ht="23.1" customHeight="1" x14ac:dyDescent="0.25">
      <c r="B17" s="23" t="s">
        <v>44</v>
      </c>
      <c r="C17" s="50">
        <v>195</v>
      </c>
      <c r="D17" s="50">
        <v>24</v>
      </c>
      <c r="E17" s="50">
        <v>7</v>
      </c>
      <c r="F17" s="50">
        <v>9</v>
      </c>
      <c r="G17" s="50">
        <v>0</v>
      </c>
      <c r="H17" s="50">
        <v>0</v>
      </c>
      <c r="I17" s="50">
        <v>4</v>
      </c>
      <c r="J17" s="50">
        <v>2</v>
      </c>
      <c r="K17" s="50">
        <v>0</v>
      </c>
      <c r="L17" s="50">
        <v>0</v>
      </c>
      <c r="M17" s="50">
        <v>120</v>
      </c>
      <c r="N17" s="50">
        <v>0</v>
      </c>
      <c r="O17" s="15">
        <f t="shared" si="0"/>
        <v>241</v>
      </c>
      <c r="P17" s="15">
        <f t="shared" si="1"/>
        <v>361</v>
      </c>
      <c r="R17" s="1" t="s">
        <v>13</v>
      </c>
      <c r="S17" s="17">
        <f t="shared" ref="S17:AF17" si="9">SUM(C38:C41)</f>
        <v>405</v>
      </c>
      <c r="T17" s="17">
        <f t="shared" si="9"/>
        <v>94</v>
      </c>
      <c r="U17" s="17">
        <f t="shared" si="9"/>
        <v>41</v>
      </c>
      <c r="V17" s="17">
        <f t="shared" si="9"/>
        <v>33</v>
      </c>
      <c r="W17" s="17">
        <f t="shared" si="9"/>
        <v>0</v>
      </c>
      <c r="X17" s="17">
        <f t="shared" si="9"/>
        <v>1</v>
      </c>
      <c r="Y17" s="17">
        <f t="shared" si="9"/>
        <v>11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310</v>
      </c>
      <c r="AD17" s="17">
        <f t="shared" si="9"/>
        <v>0</v>
      </c>
      <c r="AE17" s="31">
        <f t="shared" si="9"/>
        <v>588</v>
      </c>
      <c r="AF17" s="31">
        <f t="shared" si="9"/>
        <v>898</v>
      </c>
    </row>
    <row r="18" spans="2:32" ht="23.1" customHeight="1" x14ac:dyDescent="0.25">
      <c r="B18" s="23" t="s">
        <v>45</v>
      </c>
      <c r="C18" s="50">
        <v>120</v>
      </c>
      <c r="D18" s="50">
        <v>32</v>
      </c>
      <c r="E18" s="50">
        <v>9</v>
      </c>
      <c r="F18" s="50">
        <v>12</v>
      </c>
      <c r="G18" s="50">
        <v>2</v>
      </c>
      <c r="H18" s="50">
        <v>0</v>
      </c>
      <c r="I18" s="50">
        <v>10</v>
      </c>
      <c r="J18" s="50">
        <v>1</v>
      </c>
      <c r="K18" s="50">
        <v>0</v>
      </c>
      <c r="L18" s="50">
        <v>0</v>
      </c>
      <c r="M18" s="50">
        <v>151</v>
      </c>
      <c r="N18" s="50">
        <v>0</v>
      </c>
      <c r="O18" s="15">
        <f t="shared" si="0"/>
        <v>186</v>
      </c>
      <c r="P18" s="15">
        <f t="shared" si="1"/>
        <v>337</v>
      </c>
      <c r="R18" s="1" t="s">
        <v>14</v>
      </c>
      <c r="S18" s="17">
        <f t="shared" ref="S18:AF18" si="10">SUM(C42:C45)</f>
        <v>351</v>
      </c>
      <c r="T18" s="17">
        <f t="shared" si="10"/>
        <v>70</v>
      </c>
      <c r="U18" s="17">
        <f t="shared" si="10"/>
        <v>39</v>
      </c>
      <c r="V18" s="17">
        <f t="shared" si="10"/>
        <v>39</v>
      </c>
      <c r="W18" s="17">
        <f t="shared" si="10"/>
        <v>0</v>
      </c>
      <c r="X18" s="17">
        <f t="shared" si="10"/>
        <v>0</v>
      </c>
      <c r="Y18" s="17">
        <f t="shared" si="10"/>
        <v>31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241</v>
      </c>
      <c r="AD18" s="17">
        <f t="shared" si="10"/>
        <v>1</v>
      </c>
      <c r="AE18" s="31">
        <f t="shared" si="10"/>
        <v>533</v>
      </c>
      <c r="AF18" s="31">
        <f t="shared" si="10"/>
        <v>774</v>
      </c>
    </row>
    <row r="19" spans="2:32" ht="23.1" customHeight="1" x14ac:dyDescent="0.25">
      <c r="B19" s="23" t="s">
        <v>46</v>
      </c>
      <c r="C19" s="50">
        <v>100</v>
      </c>
      <c r="D19" s="50">
        <v>50</v>
      </c>
      <c r="E19" s="50">
        <v>21</v>
      </c>
      <c r="F19" s="50">
        <v>10</v>
      </c>
      <c r="G19" s="50">
        <v>0</v>
      </c>
      <c r="H19" s="50">
        <v>0</v>
      </c>
      <c r="I19" s="50">
        <v>7</v>
      </c>
      <c r="J19" s="50">
        <v>2</v>
      </c>
      <c r="K19" s="50">
        <v>0</v>
      </c>
      <c r="L19" s="50">
        <v>0</v>
      </c>
      <c r="M19" s="50">
        <v>125</v>
      </c>
      <c r="N19" s="50">
        <v>0</v>
      </c>
      <c r="O19" s="15">
        <f t="shared" si="0"/>
        <v>190</v>
      </c>
      <c r="P19" s="15">
        <f t="shared" si="1"/>
        <v>315</v>
      </c>
      <c r="R19" s="1" t="s">
        <v>15</v>
      </c>
      <c r="S19" s="17">
        <f t="shared" ref="S19:AF19" si="11">SUM(C46:C49)</f>
        <v>335</v>
      </c>
      <c r="T19" s="17">
        <f t="shared" si="11"/>
        <v>71</v>
      </c>
      <c r="U19" s="17">
        <f t="shared" si="11"/>
        <v>33</v>
      </c>
      <c r="V19" s="17">
        <f t="shared" si="11"/>
        <v>28</v>
      </c>
      <c r="W19" s="17">
        <f t="shared" si="11"/>
        <v>1</v>
      </c>
      <c r="X19" s="17">
        <f t="shared" si="11"/>
        <v>0</v>
      </c>
      <c r="Y19" s="17">
        <f t="shared" si="11"/>
        <v>20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259</v>
      </c>
      <c r="AD19" s="17">
        <f t="shared" si="11"/>
        <v>1</v>
      </c>
      <c r="AE19" s="31">
        <f t="shared" si="11"/>
        <v>491</v>
      </c>
      <c r="AF19" s="31">
        <f t="shared" si="11"/>
        <v>750</v>
      </c>
    </row>
    <row r="20" spans="2:32" ht="23.1" customHeight="1" x14ac:dyDescent="0.25">
      <c r="B20" s="23" t="s">
        <v>47</v>
      </c>
      <c r="C20" s="50">
        <v>135</v>
      </c>
      <c r="D20" s="50">
        <v>21</v>
      </c>
      <c r="E20" s="50">
        <v>11</v>
      </c>
      <c r="F20" s="50">
        <v>13</v>
      </c>
      <c r="G20" s="50">
        <v>0</v>
      </c>
      <c r="H20" s="50">
        <v>0</v>
      </c>
      <c r="I20" s="50">
        <v>6</v>
      </c>
      <c r="J20" s="50">
        <v>1</v>
      </c>
      <c r="K20" s="50">
        <v>0</v>
      </c>
      <c r="L20" s="50">
        <v>0</v>
      </c>
      <c r="M20" s="50">
        <v>140</v>
      </c>
      <c r="N20" s="50">
        <v>0</v>
      </c>
      <c r="O20" s="15">
        <f t="shared" si="0"/>
        <v>187</v>
      </c>
      <c r="P20" s="15">
        <f t="shared" si="1"/>
        <v>327</v>
      </c>
      <c r="R20" s="1" t="s">
        <v>16</v>
      </c>
      <c r="S20" s="17">
        <f t="shared" ref="S20:AF20" si="12">SUM(C50:C53)</f>
        <v>261</v>
      </c>
      <c r="T20" s="17">
        <f t="shared" si="12"/>
        <v>83</v>
      </c>
      <c r="U20" s="17">
        <f t="shared" si="12"/>
        <v>25</v>
      </c>
      <c r="V20" s="17">
        <f t="shared" si="12"/>
        <v>26</v>
      </c>
      <c r="W20" s="17">
        <f t="shared" si="12"/>
        <v>0</v>
      </c>
      <c r="X20" s="17">
        <f t="shared" si="12"/>
        <v>0</v>
      </c>
      <c r="Y20" s="17">
        <f t="shared" si="12"/>
        <v>15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419</v>
      </c>
      <c r="AD20" s="17">
        <f t="shared" si="12"/>
        <v>0</v>
      </c>
      <c r="AE20" s="31">
        <f t="shared" si="12"/>
        <v>414</v>
      </c>
      <c r="AF20" s="31">
        <f t="shared" si="12"/>
        <v>833</v>
      </c>
    </row>
    <row r="21" spans="2:32" ht="23.1" customHeight="1" x14ac:dyDescent="0.25">
      <c r="B21" s="23" t="s">
        <v>48</v>
      </c>
      <c r="C21" s="50">
        <v>150</v>
      </c>
      <c r="D21" s="50">
        <v>20</v>
      </c>
      <c r="E21" s="50">
        <v>6</v>
      </c>
      <c r="F21" s="50">
        <v>8</v>
      </c>
      <c r="G21" s="50">
        <v>0</v>
      </c>
      <c r="H21" s="50">
        <v>0</v>
      </c>
      <c r="I21" s="50">
        <v>5</v>
      </c>
      <c r="J21" s="50">
        <v>5</v>
      </c>
      <c r="K21" s="50">
        <v>0</v>
      </c>
      <c r="L21" s="50">
        <v>0</v>
      </c>
      <c r="M21" s="50">
        <v>110</v>
      </c>
      <c r="N21" s="50">
        <v>0</v>
      </c>
      <c r="O21" s="15">
        <f t="shared" si="0"/>
        <v>194</v>
      </c>
      <c r="P21" s="15">
        <f t="shared" si="1"/>
        <v>304</v>
      </c>
      <c r="R21" s="36" t="s">
        <v>20</v>
      </c>
      <c r="S21" s="34">
        <f t="shared" ref="S21:AF21" si="13">SUM(C54:C57)</f>
        <v>415</v>
      </c>
      <c r="T21" s="17">
        <f t="shared" si="13"/>
        <v>63</v>
      </c>
      <c r="U21" s="17">
        <f t="shared" si="13"/>
        <v>30</v>
      </c>
      <c r="V21" s="17">
        <f t="shared" si="13"/>
        <v>34</v>
      </c>
      <c r="W21" s="17">
        <f t="shared" si="13"/>
        <v>3</v>
      </c>
      <c r="X21" s="17">
        <f t="shared" si="13"/>
        <v>0</v>
      </c>
      <c r="Y21" s="17">
        <f t="shared" si="13"/>
        <v>24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350</v>
      </c>
      <c r="AD21" s="17">
        <f t="shared" si="13"/>
        <v>0</v>
      </c>
      <c r="AE21" s="31">
        <f t="shared" si="13"/>
        <v>573</v>
      </c>
      <c r="AF21" s="31">
        <f t="shared" si="13"/>
        <v>923</v>
      </c>
    </row>
    <row r="22" spans="2:32" ht="23.1" customHeight="1" x14ac:dyDescent="0.25">
      <c r="B22" s="23" t="s">
        <v>49</v>
      </c>
      <c r="C22" s="50">
        <v>125</v>
      </c>
      <c r="D22" s="50">
        <v>31</v>
      </c>
      <c r="E22" s="50">
        <v>16</v>
      </c>
      <c r="F22" s="50">
        <v>15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69</v>
      </c>
      <c r="N22" s="50">
        <v>0</v>
      </c>
      <c r="O22" s="15">
        <f t="shared" si="0"/>
        <v>189</v>
      </c>
      <c r="P22" s="15">
        <f t="shared" si="1"/>
        <v>258</v>
      </c>
      <c r="R22" s="38" t="s">
        <v>90</v>
      </c>
      <c r="S22" s="39">
        <f>MAX(S10:S12)</f>
        <v>710</v>
      </c>
      <c r="T22" s="39">
        <f t="shared" ref="T22:AF22" si="14">MAX(T10:T12)</f>
        <v>128</v>
      </c>
      <c r="U22" s="39">
        <f t="shared" si="14"/>
        <v>59</v>
      </c>
      <c r="V22" s="39">
        <f t="shared" si="14"/>
        <v>43</v>
      </c>
      <c r="W22" s="39">
        <f t="shared" si="14"/>
        <v>2</v>
      </c>
      <c r="X22" s="39">
        <f t="shared" si="14"/>
        <v>1</v>
      </c>
      <c r="Y22" s="39">
        <f t="shared" si="14"/>
        <v>28</v>
      </c>
      <c r="Z22" s="39">
        <f t="shared" si="14"/>
        <v>9</v>
      </c>
      <c r="AA22" s="39">
        <f t="shared" si="14"/>
        <v>0</v>
      </c>
      <c r="AB22" s="39">
        <f t="shared" si="14"/>
        <v>0</v>
      </c>
      <c r="AC22" s="39">
        <f t="shared" si="14"/>
        <v>526</v>
      </c>
      <c r="AD22" s="39">
        <f t="shared" si="14"/>
        <v>0</v>
      </c>
      <c r="AE22" s="40">
        <f t="shared" si="14"/>
        <v>914</v>
      </c>
      <c r="AF22" s="40">
        <f t="shared" si="14"/>
        <v>1400</v>
      </c>
    </row>
    <row r="23" spans="2:32" ht="23.1" customHeight="1" x14ac:dyDescent="0.25">
      <c r="B23" s="23" t="s">
        <v>50</v>
      </c>
      <c r="C23" s="50">
        <v>80</v>
      </c>
      <c r="D23" s="50">
        <v>25</v>
      </c>
      <c r="E23" s="50">
        <v>8</v>
      </c>
      <c r="F23" s="50">
        <v>7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70</v>
      </c>
      <c r="N23" s="50">
        <v>0</v>
      </c>
      <c r="O23" s="15">
        <f t="shared" si="0"/>
        <v>123</v>
      </c>
      <c r="P23" s="15">
        <f t="shared" si="1"/>
        <v>193</v>
      </c>
      <c r="R23" s="38" t="s">
        <v>91</v>
      </c>
      <c r="S23" s="39">
        <f>MAX(S13:S18)</f>
        <v>480</v>
      </c>
      <c r="T23" s="39">
        <f t="shared" ref="T23:AF23" si="15">MAX(T13:T18)</f>
        <v>118</v>
      </c>
      <c r="U23" s="39">
        <f t="shared" si="15"/>
        <v>52</v>
      </c>
      <c r="V23" s="39">
        <f t="shared" si="15"/>
        <v>46</v>
      </c>
      <c r="W23" s="39">
        <f t="shared" si="15"/>
        <v>1</v>
      </c>
      <c r="X23" s="39">
        <f t="shared" si="15"/>
        <v>1</v>
      </c>
      <c r="Y23" s="39">
        <f t="shared" si="15"/>
        <v>31</v>
      </c>
      <c r="Z23" s="39">
        <f t="shared" si="15"/>
        <v>4</v>
      </c>
      <c r="AA23" s="39">
        <f t="shared" si="15"/>
        <v>1</v>
      </c>
      <c r="AB23" s="39">
        <f t="shared" si="15"/>
        <v>1</v>
      </c>
      <c r="AC23" s="39">
        <f t="shared" si="15"/>
        <v>392</v>
      </c>
      <c r="AD23" s="39">
        <f t="shared" si="15"/>
        <v>1</v>
      </c>
      <c r="AE23" s="40">
        <f t="shared" si="15"/>
        <v>715</v>
      </c>
      <c r="AF23" s="40">
        <f t="shared" si="15"/>
        <v>1058</v>
      </c>
    </row>
    <row r="24" spans="2:32" ht="23.1" customHeight="1" x14ac:dyDescent="0.25">
      <c r="B24" s="23" t="s">
        <v>51</v>
      </c>
      <c r="C24" s="50">
        <v>165</v>
      </c>
      <c r="D24" s="50">
        <v>45</v>
      </c>
      <c r="E24" s="50">
        <v>19</v>
      </c>
      <c r="F24" s="50">
        <v>13</v>
      </c>
      <c r="G24" s="50">
        <v>0</v>
      </c>
      <c r="H24" s="50">
        <v>0</v>
      </c>
      <c r="I24" s="50">
        <v>9</v>
      </c>
      <c r="J24" s="50">
        <v>1</v>
      </c>
      <c r="K24" s="50">
        <v>0</v>
      </c>
      <c r="L24" s="50">
        <v>0</v>
      </c>
      <c r="M24" s="50">
        <v>110</v>
      </c>
      <c r="N24" s="50">
        <v>0</v>
      </c>
      <c r="O24" s="15">
        <f t="shared" si="0"/>
        <v>252</v>
      </c>
      <c r="P24" s="15">
        <f t="shared" si="1"/>
        <v>362</v>
      </c>
      <c r="R24" s="38" t="s">
        <v>92</v>
      </c>
      <c r="S24" s="39">
        <f>MAX(S19:S21)</f>
        <v>415</v>
      </c>
      <c r="T24" s="39">
        <f t="shared" ref="T24:AF24" si="16">MAX(T19:T21)</f>
        <v>83</v>
      </c>
      <c r="U24" s="39">
        <f t="shared" si="16"/>
        <v>33</v>
      </c>
      <c r="V24" s="39">
        <f t="shared" si="16"/>
        <v>34</v>
      </c>
      <c r="W24" s="39">
        <f t="shared" si="16"/>
        <v>3</v>
      </c>
      <c r="X24" s="39">
        <f t="shared" si="16"/>
        <v>0</v>
      </c>
      <c r="Y24" s="39">
        <f t="shared" si="16"/>
        <v>24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419</v>
      </c>
      <c r="AD24" s="39">
        <f t="shared" si="16"/>
        <v>1</v>
      </c>
      <c r="AE24" s="40">
        <f t="shared" si="16"/>
        <v>573</v>
      </c>
      <c r="AF24" s="40">
        <f t="shared" si="16"/>
        <v>923</v>
      </c>
    </row>
    <row r="25" spans="2:32" ht="23.1" customHeight="1" x14ac:dyDescent="0.25">
      <c r="B25" s="23" t="s">
        <v>52</v>
      </c>
      <c r="C25" s="50">
        <v>110</v>
      </c>
      <c r="D25" s="50">
        <v>17</v>
      </c>
      <c r="E25" s="50">
        <v>9</v>
      </c>
      <c r="F25" s="50">
        <v>10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94</v>
      </c>
      <c r="N25" s="50">
        <v>0</v>
      </c>
      <c r="O25" s="15">
        <f t="shared" si="0"/>
        <v>151</v>
      </c>
      <c r="P25" s="15">
        <f t="shared" si="1"/>
        <v>245</v>
      </c>
      <c r="R25" s="37" t="s">
        <v>85</v>
      </c>
      <c r="S25" s="35">
        <f t="shared" ref="S25:AF25" si="17">SUM(S10:S12)</f>
        <v>1795</v>
      </c>
      <c r="T25" s="16">
        <f t="shared" si="17"/>
        <v>359</v>
      </c>
      <c r="U25" s="16">
        <f t="shared" si="17"/>
        <v>144</v>
      </c>
      <c r="V25" s="16">
        <f t="shared" si="17"/>
        <v>119</v>
      </c>
      <c r="W25" s="16">
        <f t="shared" si="17"/>
        <v>3</v>
      </c>
      <c r="X25" s="16">
        <f t="shared" si="17"/>
        <v>1</v>
      </c>
      <c r="Y25" s="16">
        <f t="shared" si="17"/>
        <v>47</v>
      </c>
      <c r="Z25" s="16">
        <f t="shared" si="17"/>
        <v>15</v>
      </c>
      <c r="AA25" s="16">
        <f t="shared" si="17"/>
        <v>0</v>
      </c>
      <c r="AB25" s="16">
        <f t="shared" si="17"/>
        <v>0</v>
      </c>
      <c r="AC25" s="16">
        <f t="shared" si="17"/>
        <v>1247</v>
      </c>
      <c r="AD25" s="16">
        <f t="shared" si="17"/>
        <v>0</v>
      </c>
      <c r="AE25" s="32">
        <f t="shared" si="17"/>
        <v>2483</v>
      </c>
      <c r="AF25" s="32">
        <f t="shared" si="17"/>
        <v>3730</v>
      </c>
    </row>
    <row r="26" spans="2:32" ht="23.1" customHeight="1" x14ac:dyDescent="0.25">
      <c r="B26" s="23" t="s">
        <v>53</v>
      </c>
      <c r="C26" s="50">
        <v>105</v>
      </c>
      <c r="D26" s="50">
        <v>42</v>
      </c>
      <c r="E26" s="50">
        <v>18</v>
      </c>
      <c r="F26" s="50">
        <v>10</v>
      </c>
      <c r="G26" s="50">
        <v>0</v>
      </c>
      <c r="H26" s="50">
        <v>0</v>
      </c>
      <c r="I26" s="50">
        <v>2</v>
      </c>
      <c r="J26" s="50">
        <v>1</v>
      </c>
      <c r="K26" s="50">
        <v>1</v>
      </c>
      <c r="L26" s="50">
        <v>0</v>
      </c>
      <c r="M26" s="50">
        <v>90</v>
      </c>
      <c r="N26" s="50">
        <v>0</v>
      </c>
      <c r="O26" s="15">
        <f t="shared" si="0"/>
        <v>179</v>
      </c>
      <c r="P26" s="15">
        <f t="shared" si="1"/>
        <v>269</v>
      </c>
      <c r="R26" s="28" t="s">
        <v>86</v>
      </c>
      <c r="S26" s="16">
        <f t="shared" ref="S26:AF26" si="18">SUM(S13:S18)</f>
        <v>2471</v>
      </c>
      <c r="T26" s="16">
        <f t="shared" si="18"/>
        <v>591</v>
      </c>
      <c r="U26" s="16">
        <f t="shared" si="18"/>
        <v>265</v>
      </c>
      <c r="V26" s="16">
        <f t="shared" si="18"/>
        <v>240</v>
      </c>
      <c r="W26" s="16">
        <f t="shared" si="18"/>
        <v>2</v>
      </c>
      <c r="X26" s="16">
        <f t="shared" si="18"/>
        <v>1</v>
      </c>
      <c r="Y26" s="16">
        <f t="shared" si="18"/>
        <v>108</v>
      </c>
      <c r="Z26" s="16">
        <f t="shared" si="18"/>
        <v>17</v>
      </c>
      <c r="AA26" s="16">
        <f t="shared" si="18"/>
        <v>2</v>
      </c>
      <c r="AB26" s="16">
        <f t="shared" si="18"/>
        <v>1</v>
      </c>
      <c r="AC26" s="16">
        <f t="shared" si="18"/>
        <v>1859</v>
      </c>
      <c r="AD26" s="16">
        <f t="shared" si="18"/>
        <v>2</v>
      </c>
      <c r="AE26" s="32">
        <f t="shared" si="18"/>
        <v>3700</v>
      </c>
      <c r="AF26" s="32">
        <f t="shared" si="18"/>
        <v>5559</v>
      </c>
    </row>
    <row r="27" spans="2:32" ht="23.1" customHeight="1" x14ac:dyDescent="0.25">
      <c r="B27" s="23" t="s">
        <v>54</v>
      </c>
      <c r="C27" s="50">
        <v>65</v>
      </c>
      <c r="D27" s="50">
        <v>22</v>
      </c>
      <c r="E27" s="50">
        <v>7</v>
      </c>
      <c r="F27" s="50">
        <v>8</v>
      </c>
      <c r="G27" s="50">
        <v>0</v>
      </c>
      <c r="H27" s="50">
        <v>0</v>
      </c>
      <c r="I27" s="50">
        <v>7</v>
      </c>
      <c r="J27" s="50">
        <v>1</v>
      </c>
      <c r="K27" s="50">
        <v>0</v>
      </c>
      <c r="L27" s="50">
        <v>0</v>
      </c>
      <c r="M27" s="50">
        <v>100</v>
      </c>
      <c r="N27" s="50">
        <v>0</v>
      </c>
      <c r="O27" s="15">
        <f t="shared" si="0"/>
        <v>110</v>
      </c>
      <c r="P27" s="15">
        <f t="shared" si="1"/>
        <v>210</v>
      </c>
      <c r="R27" s="29" t="s">
        <v>87</v>
      </c>
      <c r="S27" s="16">
        <f t="shared" ref="S27:AF27" si="19">SUM(S19:S21)</f>
        <v>1011</v>
      </c>
      <c r="T27" s="16">
        <f t="shared" si="19"/>
        <v>217</v>
      </c>
      <c r="U27" s="16">
        <f t="shared" si="19"/>
        <v>88</v>
      </c>
      <c r="V27" s="16">
        <f t="shared" si="19"/>
        <v>88</v>
      </c>
      <c r="W27" s="16">
        <f t="shared" si="19"/>
        <v>4</v>
      </c>
      <c r="X27" s="16">
        <f t="shared" si="19"/>
        <v>0</v>
      </c>
      <c r="Y27" s="16">
        <f t="shared" si="19"/>
        <v>59</v>
      </c>
      <c r="Z27" s="16">
        <f t="shared" si="19"/>
        <v>10</v>
      </c>
      <c r="AA27" s="16">
        <f t="shared" si="19"/>
        <v>0</v>
      </c>
      <c r="AB27" s="16">
        <f t="shared" si="19"/>
        <v>0</v>
      </c>
      <c r="AC27" s="16">
        <f t="shared" si="19"/>
        <v>1028</v>
      </c>
      <c r="AD27" s="16">
        <f t="shared" si="19"/>
        <v>1</v>
      </c>
      <c r="AE27" s="32">
        <f t="shared" si="19"/>
        <v>1478</v>
      </c>
      <c r="AF27" s="32">
        <f t="shared" si="19"/>
        <v>2506</v>
      </c>
    </row>
    <row r="28" spans="2:32" ht="23.1" customHeight="1" x14ac:dyDescent="0.25">
      <c r="B28" s="23" t="s">
        <v>55</v>
      </c>
      <c r="C28" s="50">
        <v>90</v>
      </c>
      <c r="D28" s="50">
        <v>20</v>
      </c>
      <c r="E28" s="50">
        <v>7</v>
      </c>
      <c r="F28" s="50">
        <v>11</v>
      </c>
      <c r="G28" s="50">
        <v>1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107</v>
      </c>
      <c r="N28" s="50">
        <v>0</v>
      </c>
      <c r="O28" s="15">
        <f t="shared" si="0"/>
        <v>133</v>
      </c>
      <c r="P28" s="15">
        <f t="shared" si="1"/>
        <v>240</v>
      </c>
      <c r="R28" s="5" t="s">
        <v>17</v>
      </c>
      <c r="S28" s="16">
        <f t="shared" ref="S28:AF28" si="20">SUM(S10:S21)</f>
        <v>5277</v>
      </c>
      <c r="T28" s="16">
        <f t="shared" si="20"/>
        <v>1167</v>
      </c>
      <c r="U28" s="16">
        <f t="shared" si="20"/>
        <v>497</v>
      </c>
      <c r="V28" s="16">
        <f t="shared" si="20"/>
        <v>447</v>
      </c>
      <c r="W28" s="16">
        <f t="shared" si="20"/>
        <v>9</v>
      </c>
      <c r="X28" s="16">
        <f t="shared" si="20"/>
        <v>2</v>
      </c>
      <c r="Y28" s="16">
        <f t="shared" si="20"/>
        <v>214</v>
      </c>
      <c r="Z28" s="16">
        <f t="shared" si="20"/>
        <v>42</v>
      </c>
      <c r="AA28" s="16">
        <f t="shared" si="20"/>
        <v>2</v>
      </c>
      <c r="AB28" s="16">
        <f t="shared" si="20"/>
        <v>1</v>
      </c>
      <c r="AC28" s="16">
        <f t="shared" si="20"/>
        <v>4134</v>
      </c>
      <c r="AD28" s="16">
        <f t="shared" si="20"/>
        <v>3</v>
      </c>
      <c r="AE28" s="32">
        <f t="shared" si="20"/>
        <v>7661</v>
      </c>
      <c r="AF28" s="32">
        <f t="shared" si="20"/>
        <v>11795</v>
      </c>
    </row>
    <row r="29" spans="2:32" ht="23.1" customHeight="1" x14ac:dyDescent="0.25">
      <c r="B29" s="23" t="s">
        <v>56</v>
      </c>
      <c r="C29" s="50">
        <v>115</v>
      </c>
      <c r="D29" s="50">
        <v>28</v>
      </c>
      <c r="E29" s="50">
        <v>14</v>
      </c>
      <c r="F29" s="50">
        <v>13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95</v>
      </c>
      <c r="N29" s="50">
        <v>0</v>
      </c>
      <c r="O29" s="15">
        <f t="shared" si="0"/>
        <v>174</v>
      </c>
      <c r="P29" s="15">
        <f t="shared" si="1"/>
        <v>269</v>
      </c>
      <c r="R29"/>
      <c r="S29" s="20"/>
      <c r="T29" s="19"/>
    </row>
    <row r="30" spans="2:32" ht="23.1" customHeight="1" x14ac:dyDescent="0.25">
      <c r="B30" s="23" t="s">
        <v>57</v>
      </c>
      <c r="C30" s="50">
        <v>120</v>
      </c>
      <c r="D30" s="50">
        <v>35</v>
      </c>
      <c r="E30" s="50">
        <v>10</v>
      </c>
      <c r="F30" s="50">
        <v>7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55</v>
      </c>
      <c r="N30" s="50">
        <v>0</v>
      </c>
      <c r="O30" s="15">
        <f t="shared" si="0"/>
        <v>174</v>
      </c>
      <c r="P30" s="15">
        <f t="shared" si="1"/>
        <v>229</v>
      </c>
    </row>
    <row r="31" spans="2:32" ht="23.1" customHeight="1" x14ac:dyDescent="0.25">
      <c r="B31" s="24" t="s">
        <v>58</v>
      </c>
      <c r="C31" s="50">
        <v>100</v>
      </c>
      <c r="D31" s="50">
        <v>25</v>
      </c>
      <c r="E31" s="50">
        <v>12</v>
      </c>
      <c r="F31" s="50">
        <v>8</v>
      </c>
      <c r="G31" s="50">
        <v>0</v>
      </c>
      <c r="H31" s="50">
        <v>0</v>
      </c>
      <c r="I31" s="50">
        <v>10</v>
      </c>
      <c r="J31" s="50">
        <v>1</v>
      </c>
      <c r="K31" s="50">
        <v>0</v>
      </c>
      <c r="L31" s="50">
        <v>1</v>
      </c>
      <c r="M31" s="50">
        <v>84</v>
      </c>
      <c r="N31" s="50">
        <v>0</v>
      </c>
      <c r="O31" s="15">
        <f t="shared" si="0"/>
        <v>157</v>
      </c>
      <c r="P31" s="15">
        <f t="shared" si="1"/>
        <v>241</v>
      </c>
    </row>
    <row r="32" spans="2:32" ht="23.1" customHeight="1" x14ac:dyDescent="0.25">
      <c r="B32" s="24" t="s">
        <v>59</v>
      </c>
      <c r="C32" s="50">
        <v>110</v>
      </c>
      <c r="D32" s="50">
        <v>33</v>
      </c>
      <c r="E32" s="50">
        <v>8</v>
      </c>
      <c r="F32" s="50">
        <v>10</v>
      </c>
      <c r="G32" s="50">
        <v>1</v>
      </c>
      <c r="H32" s="50">
        <v>0</v>
      </c>
      <c r="I32" s="50">
        <v>6</v>
      </c>
      <c r="J32" s="50">
        <v>0</v>
      </c>
      <c r="K32" s="50">
        <v>0</v>
      </c>
      <c r="L32" s="50">
        <v>0</v>
      </c>
      <c r="M32" s="50">
        <v>80</v>
      </c>
      <c r="N32" s="50">
        <v>0</v>
      </c>
      <c r="O32" s="15">
        <f t="shared" si="0"/>
        <v>168</v>
      </c>
      <c r="P32" s="15">
        <f t="shared" si="1"/>
        <v>248</v>
      </c>
    </row>
    <row r="33" spans="2:20" ht="23.1" customHeight="1" x14ac:dyDescent="0.25">
      <c r="B33" s="23" t="s">
        <v>60</v>
      </c>
      <c r="C33" s="50">
        <v>100</v>
      </c>
      <c r="D33" s="50">
        <v>22</v>
      </c>
      <c r="E33" s="50">
        <v>12</v>
      </c>
      <c r="F33" s="50">
        <v>10</v>
      </c>
      <c r="G33" s="50">
        <v>0</v>
      </c>
      <c r="H33" s="50">
        <v>0</v>
      </c>
      <c r="I33" s="50">
        <v>4</v>
      </c>
      <c r="J33" s="50">
        <v>0</v>
      </c>
      <c r="K33" s="50">
        <v>1</v>
      </c>
      <c r="L33" s="50">
        <v>0</v>
      </c>
      <c r="M33" s="50">
        <v>60</v>
      </c>
      <c r="N33" s="50">
        <v>0</v>
      </c>
      <c r="O33" s="15">
        <f t="shared" si="0"/>
        <v>149</v>
      </c>
      <c r="P33" s="15">
        <f t="shared" si="1"/>
        <v>209</v>
      </c>
    </row>
    <row r="34" spans="2:20" ht="23.1" customHeight="1" x14ac:dyDescent="0.25">
      <c r="B34" s="24" t="s">
        <v>61</v>
      </c>
      <c r="C34" s="50">
        <v>110</v>
      </c>
      <c r="D34" s="50">
        <v>11</v>
      </c>
      <c r="E34" s="50">
        <v>12</v>
      </c>
      <c r="F34" s="50">
        <v>8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65</v>
      </c>
      <c r="N34" s="50">
        <v>0</v>
      </c>
      <c r="O34" s="15">
        <f t="shared" si="0"/>
        <v>142</v>
      </c>
      <c r="P34" s="15">
        <f t="shared" si="1"/>
        <v>207</v>
      </c>
    </row>
    <row r="35" spans="2:20" ht="23.1" customHeight="1" x14ac:dyDescent="0.25">
      <c r="B35" s="24" t="s">
        <v>62</v>
      </c>
      <c r="C35" s="50">
        <v>85</v>
      </c>
      <c r="D35" s="50">
        <v>20</v>
      </c>
      <c r="E35" s="50">
        <v>10</v>
      </c>
      <c r="F35" s="50">
        <v>6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0</v>
      </c>
      <c r="M35" s="50">
        <v>66</v>
      </c>
      <c r="N35" s="50">
        <v>1</v>
      </c>
      <c r="O35" s="15">
        <f t="shared" si="0"/>
        <v>129</v>
      </c>
      <c r="P35" s="15">
        <f t="shared" si="1"/>
        <v>195</v>
      </c>
    </row>
    <row r="36" spans="2:20" ht="23.1" customHeight="1" x14ac:dyDescent="0.25">
      <c r="B36" s="24" t="s">
        <v>63</v>
      </c>
      <c r="C36" s="50">
        <v>105</v>
      </c>
      <c r="D36" s="50">
        <v>23</v>
      </c>
      <c r="E36" s="50">
        <v>7</v>
      </c>
      <c r="F36" s="50">
        <v>15</v>
      </c>
      <c r="G36" s="50">
        <v>0</v>
      </c>
      <c r="H36" s="50">
        <v>0</v>
      </c>
      <c r="I36" s="50">
        <v>5</v>
      </c>
      <c r="J36" s="50">
        <v>2</v>
      </c>
      <c r="K36" s="50">
        <v>0</v>
      </c>
      <c r="L36" s="50">
        <v>0</v>
      </c>
      <c r="M36" s="50">
        <v>83</v>
      </c>
      <c r="N36" s="50">
        <v>0</v>
      </c>
      <c r="O36" s="15">
        <f t="shared" si="0"/>
        <v>157</v>
      </c>
      <c r="P36" s="15">
        <f t="shared" si="1"/>
        <v>240</v>
      </c>
    </row>
    <row r="37" spans="2:20" ht="23.1" customHeight="1" x14ac:dyDescent="0.25">
      <c r="B37" s="23" t="s">
        <v>64</v>
      </c>
      <c r="C37" s="50">
        <v>130</v>
      </c>
      <c r="D37" s="50">
        <v>28</v>
      </c>
      <c r="E37" s="50">
        <v>16</v>
      </c>
      <c r="F37" s="50">
        <v>17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80</v>
      </c>
      <c r="N37" s="50">
        <v>0</v>
      </c>
      <c r="O37" s="15">
        <f t="shared" si="0"/>
        <v>192</v>
      </c>
      <c r="P37" s="15">
        <f t="shared" si="1"/>
        <v>272</v>
      </c>
    </row>
    <row r="38" spans="2:20" ht="23.1" customHeight="1" x14ac:dyDescent="0.25">
      <c r="B38" s="24" t="s">
        <v>65</v>
      </c>
      <c r="C38" s="50">
        <v>120</v>
      </c>
      <c r="D38" s="50">
        <v>26</v>
      </c>
      <c r="E38" s="50">
        <v>8</v>
      </c>
      <c r="F38" s="50">
        <v>10</v>
      </c>
      <c r="G38" s="50">
        <v>0</v>
      </c>
      <c r="H38" s="50">
        <v>1</v>
      </c>
      <c r="I38" s="50">
        <v>6</v>
      </c>
      <c r="J38" s="50">
        <v>1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172</v>
      </c>
      <c r="P38" s="15">
        <f t="shared" si="1"/>
        <v>232</v>
      </c>
    </row>
    <row r="39" spans="2:20" ht="23.1" customHeight="1" x14ac:dyDescent="0.25">
      <c r="B39" s="24" t="s">
        <v>66</v>
      </c>
      <c r="C39" s="50">
        <v>85</v>
      </c>
      <c r="D39" s="50">
        <v>27</v>
      </c>
      <c r="E39" s="50">
        <v>15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85</v>
      </c>
      <c r="N39" s="50">
        <v>0</v>
      </c>
      <c r="O39" s="15">
        <f t="shared" si="0"/>
        <v>131</v>
      </c>
      <c r="P39" s="15">
        <f t="shared" si="1"/>
        <v>216</v>
      </c>
    </row>
    <row r="40" spans="2:20" ht="23.1" customHeight="1" x14ac:dyDescent="0.25">
      <c r="B40" s="24" t="s">
        <v>67</v>
      </c>
      <c r="C40" s="50">
        <v>90</v>
      </c>
      <c r="D40" s="50">
        <v>23</v>
      </c>
      <c r="E40" s="50">
        <v>12</v>
      </c>
      <c r="F40" s="50">
        <v>7</v>
      </c>
      <c r="G40" s="50">
        <v>0</v>
      </c>
      <c r="H40" s="50">
        <v>0</v>
      </c>
      <c r="I40" s="50">
        <v>4</v>
      </c>
      <c r="J40" s="50">
        <v>1</v>
      </c>
      <c r="K40" s="50">
        <v>0</v>
      </c>
      <c r="L40" s="50">
        <v>0</v>
      </c>
      <c r="M40" s="50">
        <v>90</v>
      </c>
      <c r="N40" s="50">
        <v>0</v>
      </c>
      <c r="O40" s="15">
        <f t="shared" si="0"/>
        <v>137</v>
      </c>
      <c r="P40" s="15">
        <f t="shared" si="1"/>
        <v>227</v>
      </c>
    </row>
    <row r="41" spans="2:20" ht="23.1" customHeight="1" x14ac:dyDescent="0.25">
      <c r="B41" s="23" t="s">
        <v>68</v>
      </c>
      <c r="C41" s="50">
        <v>110</v>
      </c>
      <c r="D41" s="50">
        <v>18</v>
      </c>
      <c r="E41" s="50">
        <v>6</v>
      </c>
      <c r="F41" s="50">
        <v>12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75</v>
      </c>
      <c r="N41" s="50">
        <v>0</v>
      </c>
      <c r="O41" s="15">
        <f t="shared" si="0"/>
        <v>148</v>
      </c>
      <c r="P41" s="15">
        <f t="shared" si="1"/>
        <v>223</v>
      </c>
    </row>
    <row r="42" spans="2:20" ht="23.1" customHeight="1" x14ac:dyDescent="0.25">
      <c r="B42" s="24" t="s">
        <v>69</v>
      </c>
      <c r="C42" s="50">
        <v>86</v>
      </c>
      <c r="D42" s="50">
        <v>9</v>
      </c>
      <c r="E42" s="50">
        <v>6</v>
      </c>
      <c r="F42" s="50">
        <v>8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65</v>
      </c>
      <c r="N42" s="50">
        <v>1</v>
      </c>
      <c r="O42" s="15">
        <f t="shared" si="0"/>
        <v>115</v>
      </c>
      <c r="P42" s="15">
        <f t="shared" si="1"/>
        <v>180</v>
      </c>
    </row>
    <row r="43" spans="2:20" ht="23.1" customHeight="1" x14ac:dyDescent="0.25">
      <c r="B43" s="23" t="s">
        <v>70</v>
      </c>
      <c r="C43" s="50">
        <v>115</v>
      </c>
      <c r="D43" s="50">
        <v>24</v>
      </c>
      <c r="E43" s="50">
        <v>14</v>
      </c>
      <c r="F43" s="50">
        <v>13</v>
      </c>
      <c r="G43" s="50">
        <v>0</v>
      </c>
      <c r="H43" s="50">
        <v>0</v>
      </c>
      <c r="I43" s="50">
        <v>13</v>
      </c>
      <c r="J43" s="50">
        <v>1</v>
      </c>
      <c r="K43" s="50">
        <v>0</v>
      </c>
      <c r="L43" s="50">
        <v>0</v>
      </c>
      <c r="M43" s="50">
        <v>63</v>
      </c>
      <c r="N43" s="50">
        <v>0</v>
      </c>
      <c r="O43" s="15">
        <f t="shared" si="0"/>
        <v>180</v>
      </c>
      <c r="P43" s="15">
        <f t="shared" si="1"/>
        <v>243</v>
      </c>
    </row>
    <row r="44" spans="2:20" ht="23.1" customHeight="1" x14ac:dyDescent="0.25">
      <c r="B44" s="25" t="s">
        <v>71</v>
      </c>
      <c r="C44" s="50">
        <v>70</v>
      </c>
      <c r="D44" s="50">
        <v>21</v>
      </c>
      <c r="E44" s="50">
        <v>13</v>
      </c>
      <c r="F44" s="50">
        <v>10</v>
      </c>
      <c r="G44" s="50">
        <v>0</v>
      </c>
      <c r="H44" s="50">
        <v>0</v>
      </c>
      <c r="I44" s="50">
        <v>6</v>
      </c>
      <c r="J44" s="50">
        <v>1</v>
      </c>
      <c r="K44" s="50">
        <v>0</v>
      </c>
      <c r="L44" s="50">
        <v>0</v>
      </c>
      <c r="M44" s="50">
        <v>80</v>
      </c>
      <c r="N44" s="50">
        <v>0</v>
      </c>
      <c r="O44" s="15">
        <f t="shared" si="0"/>
        <v>121</v>
      </c>
      <c r="P44" s="15">
        <f t="shared" si="1"/>
        <v>201</v>
      </c>
    </row>
    <row r="45" spans="2:20" ht="23.1" customHeight="1" x14ac:dyDescent="0.25">
      <c r="B45" s="23" t="s">
        <v>72</v>
      </c>
      <c r="C45" s="50">
        <v>80</v>
      </c>
      <c r="D45" s="50">
        <v>16</v>
      </c>
      <c r="E45" s="50">
        <v>6</v>
      </c>
      <c r="F45" s="50">
        <v>8</v>
      </c>
      <c r="G45" s="50">
        <v>0</v>
      </c>
      <c r="H45" s="50">
        <v>0</v>
      </c>
      <c r="I45" s="50">
        <v>7</v>
      </c>
      <c r="J45" s="50">
        <v>0</v>
      </c>
      <c r="K45" s="50">
        <v>0</v>
      </c>
      <c r="L45" s="50">
        <v>0</v>
      </c>
      <c r="M45" s="50">
        <v>33</v>
      </c>
      <c r="N45" s="50">
        <v>0</v>
      </c>
      <c r="O45" s="15">
        <f t="shared" si="0"/>
        <v>117</v>
      </c>
      <c r="P45" s="15">
        <f t="shared" si="1"/>
        <v>150</v>
      </c>
    </row>
    <row r="46" spans="2:20" ht="23.1" customHeight="1" x14ac:dyDescent="0.25">
      <c r="B46" s="24" t="s">
        <v>73</v>
      </c>
      <c r="C46" s="50">
        <v>90</v>
      </c>
      <c r="D46" s="50">
        <v>16</v>
      </c>
      <c r="E46" s="50">
        <v>10</v>
      </c>
      <c r="F46" s="50">
        <v>11</v>
      </c>
      <c r="G46" s="50">
        <v>1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50</v>
      </c>
      <c r="N46" s="50">
        <v>0</v>
      </c>
      <c r="O46" s="15">
        <f t="shared" si="0"/>
        <v>132</v>
      </c>
      <c r="P46" s="15">
        <f t="shared" si="1"/>
        <v>182</v>
      </c>
      <c r="R46" s="8"/>
      <c r="T46"/>
    </row>
    <row r="47" spans="2:20" ht="23.1" customHeight="1" x14ac:dyDescent="0.25">
      <c r="B47" s="24" t="s">
        <v>74</v>
      </c>
      <c r="C47" s="50">
        <v>75</v>
      </c>
      <c r="D47" s="50">
        <v>25</v>
      </c>
      <c r="E47" s="50">
        <v>5</v>
      </c>
      <c r="F47" s="50">
        <v>8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73</v>
      </c>
      <c r="N47" s="50">
        <v>0</v>
      </c>
      <c r="O47" s="15">
        <f t="shared" si="0"/>
        <v>116</v>
      </c>
      <c r="P47" s="15">
        <f t="shared" si="1"/>
        <v>189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22</v>
      </c>
      <c r="E48" s="50">
        <v>12</v>
      </c>
      <c r="F48" s="50">
        <v>6</v>
      </c>
      <c r="G48" s="50">
        <v>0</v>
      </c>
      <c r="H48" s="50">
        <v>0</v>
      </c>
      <c r="I48" s="50">
        <v>12</v>
      </c>
      <c r="J48" s="50">
        <v>1</v>
      </c>
      <c r="K48" s="50">
        <v>0</v>
      </c>
      <c r="L48" s="50">
        <v>0</v>
      </c>
      <c r="M48" s="50">
        <v>65</v>
      </c>
      <c r="N48" s="50">
        <v>1</v>
      </c>
      <c r="O48" s="15">
        <f t="shared" si="0"/>
        <v>134</v>
      </c>
      <c r="P48" s="15">
        <f t="shared" si="1"/>
        <v>199</v>
      </c>
      <c r="R48" s="8"/>
      <c r="T48"/>
    </row>
    <row r="49" spans="2:20" ht="23.1" customHeight="1" x14ac:dyDescent="0.25">
      <c r="B49" s="23" t="s">
        <v>76</v>
      </c>
      <c r="C49" s="50">
        <v>90</v>
      </c>
      <c r="D49" s="50">
        <v>8</v>
      </c>
      <c r="E49" s="50">
        <v>6</v>
      </c>
      <c r="F49" s="50">
        <v>3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71</v>
      </c>
      <c r="N49" s="50">
        <v>0</v>
      </c>
      <c r="O49" s="15">
        <f t="shared" si="0"/>
        <v>109</v>
      </c>
      <c r="P49" s="15">
        <f t="shared" si="1"/>
        <v>180</v>
      </c>
      <c r="R49" s="8"/>
      <c r="T49"/>
    </row>
    <row r="50" spans="2:20" ht="23.1" customHeight="1" x14ac:dyDescent="0.25">
      <c r="B50" s="24" t="s">
        <v>77</v>
      </c>
      <c r="C50" s="50">
        <v>56</v>
      </c>
      <c r="D50" s="50">
        <v>20</v>
      </c>
      <c r="E50" s="50">
        <v>9</v>
      </c>
      <c r="F50" s="50">
        <v>4</v>
      </c>
      <c r="G50" s="50">
        <v>0</v>
      </c>
      <c r="H50" s="50">
        <v>0</v>
      </c>
      <c r="I50" s="50">
        <v>6</v>
      </c>
      <c r="J50" s="50">
        <v>1</v>
      </c>
      <c r="K50" s="50">
        <v>0</v>
      </c>
      <c r="L50" s="50">
        <v>0</v>
      </c>
      <c r="M50" s="50">
        <v>95</v>
      </c>
      <c r="N50" s="50">
        <v>0</v>
      </c>
      <c r="O50" s="15">
        <f t="shared" si="0"/>
        <v>96</v>
      </c>
      <c r="P50" s="15">
        <f t="shared" si="1"/>
        <v>191</v>
      </c>
      <c r="R50" s="8"/>
      <c r="T50"/>
    </row>
    <row r="51" spans="2:20" ht="23.1" customHeight="1" x14ac:dyDescent="0.25">
      <c r="B51" s="24" t="s">
        <v>78</v>
      </c>
      <c r="C51" s="50">
        <v>41</v>
      </c>
      <c r="D51" s="50">
        <v>25</v>
      </c>
      <c r="E51" s="50">
        <v>3</v>
      </c>
      <c r="F51" s="50">
        <v>11</v>
      </c>
      <c r="G51" s="50">
        <v>0</v>
      </c>
      <c r="H51" s="50">
        <v>0</v>
      </c>
      <c r="I51" s="50">
        <v>5</v>
      </c>
      <c r="J51" s="50">
        <v>2</v>
      </c>
      <c r="K51" s="50">
        <v>0</v>
      </c>
      <c r="L51" s="50">
        <v>0</v>
      </c>
      <c r="M51" s="50">
        <v>120</v>
      </c>
      <c r="N51" s="50">
        <v>0</v>
      </c>
      <c r="O51" s="15">
        <f t="shared" si="0"/>
        <v>87</v>
      </c>
      <c r="P51" s="15">
        <f t="shared" si="1"/>
        <v>207</v>
      </c>
      <c r="R51" s="8"/>
      <c r="T51"/>
    </row>
    <row r="52" spans="2:20" ht="23.1" customHeight="1" x14ac:dyDescent="0.25">
      <c r="B52" s="24" t="s">
        <v>79</v>
      </c>
      <c r="C52" s="50">
        <v>83</v>
      </c>
      <c r="D52" s="50">
        <v>16</v>
      </c>
      <c r="E52" s="50">
        <v>7</v>
      </c>
      <c r="F52" s="50">
        <v>7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108</v>
      </c>
      <c r="N52" s="50">
        <v>0</v>
      </c>
      <c r="O52" s="15">
        <f t="shared" si="0"/>
        <v>116</v>
      </c>
      <c r="P52" s="15">
        <f t="shared" si="1"/>
        <v>224</v>
      </c>
      <c r="R52" s="8"/>
      <c r="T52"/>
    </row>
    <row r="53" spans="2:20" ht="23.1" customHeight="1" x14ac:dyDescent="0.25">
      <c r="B53" s="23" t="s">
        <v>80</v>
      </c>
      <c r="C53" s="50">
        <v>81</v>
      </c>
      <c r="D53" s="50">
        <v>22</v>
      </c>
      <c r="E53" s="50">
        <v>6</v>
      </c>
      <c r="F53" s="50">
        <v>4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96</v>
      </c>
      <c r="N53" s="50">
        <v>0</v>
      </c>
      <c r="O53" s="15">
        <f t="shared" si="0"/>
        <v>115</v>
      </c>
      <c r="P53" s="15">
        <f t="shared" si="1"/>
        <v>211</v>
      </c>
      <c r="R53" s="8"/>
      <c r="T53"/>
    </row>
    <row r="54" spans="2:20" ht="23.1" customHeight="1" x14ac:dyDescent="0.25">
      <c r="B54" s="23" t="s">
        <v>81</v>
      </c>
      <c r="C54" s="50">
        <v>135</v>
      </c>
      <c r="D54" s="50">
        <v>25</v>
      </c>
      <c r="E54" s="50">
        <v>7</v>
      </c>
      <c r="F54" s="50">
        <v>8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104</v>
      </c>
      <c r="N54" s="50">
        <v>0</v>
      </c>
      <c r="O54" s="15">
        <f t="shared" si="0"/>
        <v>179</v>
      </c>
      <c r="P54" s="15">
        <f t="shared" si="1"/>
        <v>283</v>
      </c>
      <c r="R54" s="8"/>
      <c r="T54"/>
    </row>
    <row r="55" spans="2:20" ht="23.1" customHeight="1" x14ac:dyDescent="0.25">
      <c r="B55" s="23" t="s">
        <v>82</v>
      </c>
      <c r="C55" s="50">
        <v>105</v>
      </c>
      <c r="D55" s="50">
        <v>9</v>
      </c>
      <c r="E55" s="50">
        <v>3</v>
      </c>
      <c r="F55" s="50">
        <v>6</v>
      </c>
      <c r="G55" s="50">
        <v>2</v>
      </c>
      <c r="H55" s="50">
        <v>0</v>
      </c>
      <c r="I55" s="50">
        <v>9</v>
      </c>
      <c r="J55" s="50">
        <v>1</v>
      </c>
      <c r="K55" s="50">
        <v>0</v>
      </c>
      <c r="L55" s="50">
        <v>0</v>
      </c>
      <c r="M55" s="50">
        <v>90</v>
      </c>
      <c r="N55" s="50">
        <v>0</v>
      </c>
      <c r="O55" s="15">
        <f t="shared" si="0"/>
        <v>135</v>
      </c>
      <c r="P55" s="15">
        <f t="shared" si="1"/>
        <v>225</v>
      </c>
      <c r="R55" s="8"/>
      <c r="T55"/>
    </row>
    <row r="56" spans="2:20" ht="23.1" customHeight="1" x14ac:dyDescent="0.25">
      <c r="B56" s="23" t="s">
        <v>83</v>
      </c>
      <c r="C56" s="50">
        <v>90</v>
      </c>
      <c r="D56" s="50">
        <v>14</v>
      </c>
      <c r="E56" s="50">
        <v>8</v>
      </c>
      <c r="F56" s="50">
        <v>8</v>
      </c>
      <c r="G56" s="50">
        <v>1</v>
      </c>
      <c r="H56" s="50">
        <v>0</v>
      </c>
      <c r="I56" s="50">
        <v>9</v>
      </c>
      <c r="J56" s="50">
        <v>2</v>
      </c>
      <c r="K56" s="50">
        <v>0</v>
      </c>
      <c r="L56" s="50">
        <v>0</v>
      </c>
      <c r="M56" s="50">
        <v>85</v>
      </c>
      <c r="N56" s="50">
        <v>0</v>
      </c>
      <c r="O56" s="15">
        <f t="shared" si="0"/>
        <v>132</v>
      </c>
      <c r="P56" s="15">
        <f t="shared" si="1"/>
        <v>217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15</v>
      </c>
      <c r="E57" s="50">
        <v>12</v>
      </c>
      <c r="F57" s="50">
        <v>12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71</v>
      </c>
      <c r="N57" s="50">
        <v>0</v>
      </c>
      <c r="O57" s="15">
        <f t="shared" si="0"/>
        <v>127</v>
      </c>
      <c r="P57" s="15">
        <f t="shared" si="1"/>
        <v>198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5277</v>
      </c>
      <c r="D58" s="16">
        <f t="shared" si="21"/>
        <v>1167</v>
      </c>
      <c r="E58" s="16">
        <f t="shared" si="21"/>
        <v>497</v>
      </c>
      <c r="F58" s="16">
        <f t="shared" si="21"/>
        <v>447</v>
      </c>
      <c r="G58" s="16">
        <f t="shared" si="21"/>
        <v>9</v>
      </c>
      <c r="H58" s="16">
        <f t="shared" si="21"/>
        <v>2</v>
      </c>
      <c r="I58" s="16">
        <f t="shared" si="21"/>
        <v>214</v>
      </c>
      <c r="J58" s="16">
        <f t="shared" si="21"/>
        <v>42</v>
      </c>
      <c r="K58" s="16">
        <f t="shared" si="21"/>
        <v>2</v>
      </c>
      <c r="L58" s="16">
        <f t="shared" si="21"/>
        <v>1</v>
      </c>
      <c r="M58" s="16">
        <f t="shared" si="21"/>
        <v>4134</v>
      </c>
      <c r="N58" s="16">
        <f t="shared" si="21"/>
        <v>3</v>
      </c>
      <c r="O58" s="16">
        <f t="shared" si="21"/>
        <v>7661</v>
      </c>
      <c r="P58" s="16">
        <f t="shared" si="21"/>
        <v>11795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0.44739296311996607</v>
      </c>
      <c r="D59" s="43">
        <f t="shared" si="22"/>
        <v>9.8940228910555317E-2</v>
      </c>
      <c r="E59" s="43">
        <f t="shared" si="22"/>
        <v>4.2136498516320474E-2</v>
      </c>
      <c r="F59" s="43">
        <f t="shared" si="22"/>
        <v>3.7897414158541753E-2</v>
      </c>
      <c r="G59" s="43">
        <f t="shared" si="22"/>
        <v>7.6303518440016952E-4</v>
      </c>
      <c r="H59" s="43">
        <f t="shared" si="22"/>
        <v>1.695633743111488E-4</v>
      </c>
      <c r="I59" s="43">
        <f t="shared" si="22"/>
        <v>1.8143281051292922E-2</v>
      </c>
      <c r="J59" s="43">
        <f t="shared" si="22"/>
        <v>3.5608308605341245E-3</v>
      </c>
      <c r="K59" s="43">
        <f t="shared" si="22"/>
        <v>1.695633743111488E-4</v>
      </c>
      <c r="L59" s="43">
        <f t="shared" si="22"/>
        <v>8.4781687155574399E-5</v>
      </c>
      <c r="M59" s="43">
        <f t="shared" si="22"/>
        <v>0.35048749470114454</v>
      </c>
      <c r="N59" s="43">
        <f t="shared" si="22"/>
        <v>2.5434506146672321E-4</v>
      </c>
      <c r="R59" s="8"/>
      <c r="T59"/>
    </row>
    <row r="60" spans="2:20" ht="23.1" customHeight="1" x14ac:dyDescent="0.25">
      <c r="B60" s="42" t="s">
        <v>94</v>
      </c>
      <c r="C60" s="44">
        <f>C58/$O$58</f>
        <v>0.68881347082626287</v>
      </c>
      <c r="D60" s="44">
        <f t="shared" ref="D60:N60" si="23">D58/$O$58</f>
        <v>0.15232998303093592</v>
      </c>
      <c r="E60" s="44">
        <f t="shared" si="23"/>
        <v>6.4874037331940998E-2</v>
      </c>
      <c r="F60" s="44">
        <f t="shared" si="23"/>
        <v>5.8347474220075711E-2</v>
      </c>
      <c r="G60" s="44">
        <f t="shared" si="23"/>
        <v>1.1747813601357526E-3</v>
      </c>
      <c r="H60" s="44">
        <f t="shared" si="23"/>
        <v>2.6106252447461169E-4</v>
      </c>
      <c r="I60" s="44">
        <f t="shared" si="23"/>
        <v>2.7933690118783449E-2</v>
      </c>
      <c r="J60" s="44">
        <f t="shared" si="23"/>
        <v>5.482313013966845E-3</v>
      </c>
      <c r="K60" s="44">
        <f t="shared" si="23"/>
        <v>2.6106252447461169E-4</v>
      </c>
      <c r="L60" s="44">
        <f t="shared" si="23"/>
        <v>1.3053126223730585E-4</v>
      </c>
      <c r="M60" s="44"/>
      <c r="N60" s="44">
        <f t="shared" si="23"/>
        <v>3.9159378671191748E-4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" zoomScale="60" workbookViewId="0">
      <selection activeCell="I58" sqref="I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Naguru-Nakawa'!D5</f>
        <v>2.08.19</v>
      </c>
      <c r="E5" s="3"/>
      <c r="F5" s="41" t="s">
        <v>1</v>
      </c>
      <c r="G5" s="63" t="str">
        <f>'02.08 Naguru-Nakawa'!G5:H5</f>
        <v>POLICE HEAD QUARTER 46</v>
      </c>
      <c r="H5" s="64"/>
      <c r="I5" s="14"/>
      <c r="J5" s="2" t="s">
        <v>5</v>
      </c>
      <c r="K5" s="63" t="str">
        <f>'02.08 Naguru-Nakawa'!K5:L5</f>
        <v>MAISO M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166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'02.08 Naguru-Nakawa'!K6:L6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31</v>
      </c>
      <c r="E10" s="50">
        <v>4</v>
      </c>
      <c r="F10" s="50">
        <v>8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33</v>
      </c>
      <c r="N10" s="50">
        <v>0</v>
      </c>
      <c r="O10" s="15">
        <f t="shared" ref="O10:O57" si="0">SUM(C10:L10,N10)</f>
        <v>72</v>
      </c>
      <c r="P10" s="15">
        <f t="shared" ref="P10:P57" si="1">SUM(C10:N10)</f>
        <v>105</v>
      </c>
      <c r="R10" s="1" t="s">
        <v>6</v>
      </c>
      <c r="S10" s="17">
        <f t="shared" ref="S10:AF10" si="2">SUM(C10:C13)</f>
        <v>117</v>
      </c>
      <c r="T10" s="17">
        <f t="shared" si="2"/>
        <v>117</v>
      </c>
      <c r="U10" s="17">
        <f t="shared" si="2"/>
        <v>25</v>
      </c>
      <c r="V10" s="17">
        <f t="shared" si="2"/>
        <v>39</v>
      </c>
      <c r="W10" s="17">
        <f t="shared" si="2"/>
        <v>2</v>
      </c>
      <c r="X10" s="17">
        <f t="shared" si="2"/>
        <v>1</v>
      </c>
      <c r="Y10" s="17">
        <f t="shared" si="2"/>
        <v>5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222</v>
      </c>
      <c r="AD10" s="17">
        <f t="shared" si="2"/>
        <v>0</v>
      </c>
      <c r="AE10" s="31">
        <f t="shared" si="2"/>
        <v>310</v>
      </c>
      <c r="AF10" s="31">
        <f t="shared" si="2"/>
        <v>532</v>
      </c>
    </row>
    <row r="11" spans="2:32" s="6" customFormat="1" ht="23.1" customHeight="1" x14ac:dyDescent="0.25">
      <c r="B11" s="23" t="s">
        <v>38</v>
      </c>
      <c r="C11" s="50">
        <v>51</v>
      </c>
      <c r="D11" s="50">
        <v>47</v>
      </c>
      <c r="E11" s="50">
        <v>0</v>
      </c>
      <c r="F11" s="50">
        <v>13</v>
      </c>
      <c r="G11" s="50">
        <v>0</v>
      </c>
      <c r="H11" s="50">
        <v>1</v>
      </c>
      <c r="I11" s="50">
        <v>2</v>
      </c>
      <c r="J11" s="50">
        <v>1</v>
      </c>
      <c r="K11" s="50">
        <v>0</v>
      </c>
      <c r="L11" s="50">
        <v>0</v>
      </c>
      <c r="M11" s="50">
        <v>102</v>
      </c>
      <c r="N11" s="50">
        <v>0</v>
      </c>
      <c r="O11" s="15">
        <f t="shared" si="0"/>
        <v>115</v>
      </c>
      <c r="P11" s="15">
        <f t="shared" si="1"/>
        <v>217</v>
      </c>
      <c r="R11" s="1" t="s">
        <v>7</v>
      </c>
      <c r="S11" s="17">
        <f t="shared" ref="S11:AF11" si="3">SUM(C14:C17)</f>
        <v>192</v>
      </c>
      <c r="T11" s="17">
        <f t="shared" si="3"/>
        <v>164</v>
      </c>
      <c r="U11" s="17">
        <f t="shared" si="3"/>
        <v>31</v>
      </c>
      <c r="V11" s="17">
        <f t="shared" si="3"/>
        <v>56</v>
      </c>
      <c r="W11" s="17">
        <f t="shared" si="3"/>
        <v>2</v>
      </c>
      <c r="X11" s="17">
        <f t="shared" si="3"/>
        <v>0</v>
      </c>
      <c r="Y11" s="17">
        <f t="shared" si="3"/>
        <v>1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208</v>
      </c>
      <c r="AD11" s="17">
        <f t="shared" si="3"/>
        <v>0</v>
      </c>
      <c r="AE11" s="31">
        <f t="shared" si="3"/>
        <v>504</v>
      </c>
      <c r="AF11" s="31">
        <f t="shared" si="3"/>
        <v>859</v>
      </c>
    </row>
    <row r="12" spans="2:32" ht="23.1" customHeight="1" x14ac:dyDescent="0.25">
      <c r="B12" s="23" t="s">
        <v>39</v>
      </c>
      <c r="C12" s="50">
        <v>20</v>
      </c>
      <c r="D12" s="50">
        <v>18</v>
      </c>
      <c r="E12" s="50">
        <v>15</v>
      </c>
      <c r="F12" s="50">
        <v>12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55</v>
      </c>
      <c r="N12" s="50">
        <v>0</v>
      </c>
      <c r="O12" s="15">
        <f t="shared" si="0"/>
        <v>67</v>
      </c>
      <c r="P12" s="15">
        <f t="shared" si="1"/>
        <v>122</v>
      </c>
      <c r="R12" s="1" t="s">
        <v>8</v>
      </c>
      <c r="S12" s="17">
        <f t="shared" ref="S12:AF12" si="4">SUM(C18:C21)</f>
        <v>162</v>
      </c>
      <c r="T12" s="17">
        <f t="shared" si="4"/>
        <v>163</v>
      </c>
      <c r="U12" s="17">
        <f t="shared" si="4"/>
        <v>40</v>
      </c>
      <c r="V12" s="17">
        <f t="shared" si="4"/>
        <v>25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108</v>
      </c>
      <c r="AD12" s="17">
        <f t="shared" si="4"/>
        <v>0</v>
      </c>
      <c r="AE12" s="31">
        <f t="shared" si="4"/>
        <v>400</v>
      </c>
      <c r="AF12" s="31">
        <f t="shared" si="4"/>
        <v>508</v>
      </c>
    </row>
    <row r="13" spans="2:32" ht="23.1" customHeight="1" x14ac:dyDescent="0.25">
      <c r="B13" s="23" t="s">
        <v>40</v>
      </c>
      <c r="C13" s="50">
        <v>20</v>
      </c>
      <c r="D13" s="50">
        <v>21</v>
      </c>
      <c r="E13" s="50">
        <v>6</v>
      </c>
      <c r="F13" s="50">
        <v>6</v>
      </c>
      <c r="G13" s="50">
        <v>2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32</v>
      </c>
      <c r="N13" s="50">
        <v>0</v>
      </c>
      <c r="O13" s="15">
        <f t="shared" si="0"/>
        <v>56</v>
      </c>
      <c r="P13" s="15">
        <f t="shared" si="1"/>
        <v>88</v>
      </c>
      <c r="R13" s="1" t="s">
        <v>9</v>
      </c>
      <c r="S13" s="17">
        <f t="shared" ref="S13:AF13" si="5">SUM(C22:C25)</f>
        <v>152</v>
      </c>
      <c r="T13" s="17">
        <f t="shared" si="5"/>
        <v>144</v>
      </c>
      <c r="U13" s="17">
        <f t="shared" si="5"/>
        <v>49</v>
      </c>
      <c r="V13" s="17">
        <f t="shared" si="5"/>
        <v>22</v>
      </c>
      <c r="W13" s="17">
        <f t="shared" si="5"/>
        <v>3</v>
      </c>
      <c r="X13" s="17">
        <f t="shared" si="5"/>
        <v>1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155</v>
      </c>
      <c r="AD13" s="17">
        <f t="shared" si="5"/>
        <v>0</v>
      </c>
      <c r="AE13" s="31">
        <f t="shared" si="5"/>
        <v>376</v>
      </c>
      <c r="AF13" s="31">
        <f t="shared" si="5"/>
        <v>531</v>
      </c>
    </row>
    <row r="14" spans="2:32" ht="23.1" customHeight="1" x14ac:dyDescent="0.25">
      <c r="B14" s="23" t="s">
        <v>41</v>
      </c>
      <c r="C14" s="50">
        <v>42</v>
      </c>
      <c r="D14" s="50">
        <v>33</v>
      </c>
      <c r="E14" s="50">
        <v>5</v>
      </c>
      <c r="F14" s="50">
        <v>10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82</v>
      </c>
      <c r="N14" s="50">
        <v>0</v>
      </c>
      <c r="O14" s="15">
        <f t="shared" si="0"/>
        <v>91</v>
      </c>
      <c r="P14" s="15">
        <f t="shared" si="1"/>
        <v>173</v>
      </c>
      <c r="R14" s="1" t="s">
        <v>10</v>
      </c>
      <c r="S14" s="17">
        <f t="shared" ref="S14:AF14" si="6">SUM(C26:C29)</f>
        <v>223</v>
      </c>
      <c r="T14" s="17">
        <f t="shared" si="6"/>
        <v>201</v>
      </c>
      <c r="U14" s="17">
        <f t="shared" si="6"/>
        <v>72</v>
      </c>
      <c r="V14" s="17">
        <f t="shared" si="6"/>
        <v>29</v>
      </c>
      <c r="W14" s="17">
        <f t="shared" si="6"/>
        <v>2</v>
      </c>
      <c r="X14" s="17">
        <f t="shared" si="6"/>
        <v>0</v>
      </c>
      <c r="Y14" s="17">
        <f t="shared" si="6"/>
        <v>14</v>
      </c>
      <c r="Z14" s="17">
        <f t="shared" si="6"/>
        <v>3</v>
      </c>
      <c r="AA14" s="17">
        <f t="shared" si="6"/>
        <v>3</v>
      </c>
      <c r="AB14" s="17">
        <f t="shared" si="6"/>
        <v>0</v>
      </c>
      <c r="AC14" s="17">
        <f t="shared" si="6"/>
        <v>260</v>
      </c>
      <c r="AD14" s="17">
        <f t="shared" si="6"/>
        <v>1</v>
      </c>
      <c r="AE14" s="31">
        <f t="shared" si="6"/>
        <v>548</v>
      </c>
      <c r="AF14" s="31">
        <f t="shared" si="6"/>
        <v>808</v>
      </c>
    </row>
    <row r="15" spans="2:32" ht="23.1" customHeight="1" x14ac:dyDescent="0.25">
      <c r="B15" s="23" t="s">
        <v>42</v>
      </c>
      <c r="C15" s="50">
        <v>75</v>
      </c>
      <c r="D15" s="50">
        <v>37</v>
      </c>
      <c r="E15" s="50">
        <v>10</v>
      </c>
      <c r="F15" s="50">
        <v>21</v>
      </c>
      <c r="G15" s="50">
        <v>2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54</v>
      </c>
      <c r="N15" s="50">
        <v>0</v>
      </c>
      <c r="O15" s="15">
        <v>202</v>
      </c>
      <c r="P15" s="15">
        <f>SUM(C15:O15)</f>
        <v>403</v>
      </c>
      <c r="R15" s="1" t="s">
        <v>11</v>
      </c>
      <c r="S15" s="17">
        <f t="shared" ref="S15:AF15" si="7">SUM(C30:C33)</f>
        <v>199</v>
      </c>
      <c r="T15" s="17">
        <f t="shared" si="7"/>
        <v>181</v>
      </c>
      <c r="U15" s="17">
        <f t="shared" si="7"/>
        <v>59</v>
      </c>
      <c r="V15" s="17">
        <f t="shared" si="7"/>
        <v>34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187</v>
      </c>
      <c r="AD15" s="17">
        <f t="shared" si="7"/>
        <v>0</v>
      </c>
      <c r="AE15" s="31">
        <f t="shared" si="7"/>
        <v>481</v>
      </c>
      <c r="AF15" s="31">
        <f t="shared" si="7"/>
        <v>668</v>
      </c>
    </row>
    <row r="16" spans="2:32" ht="23.1" customHeight="1" x14ac:dyDescent="0.25">
      <c r="B16" s="23" t="s">
        <v>43</v>
      </c>
      <c r="C16" s="50">
        <v>30</v>
      </c>
      <c r="D16" s="50">
        <v>43</v>
      </c>
      <c r="E16" s="50">
        <v>3</v>
      </c>
      <c r="F16" s="50">
        <v>7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45</v>
      </c>
      <c r="N16" s="50">
        <v>0</v>
      </c>
      <c r="O16" s="15">
        <f t="shared" si="0"/>
        <v>84</v>
      </c>
      <c r="P16" s="15">
        <f t="shared" si="1"/>
        <v>129</v>
      </c>
      <c r="R16" s="1" t="s">
        <v>12</v>
      </c>
      <c r="S16" s="17">
        <f t="shared" ref="S16:AF16" si="8">SUM(C34:C37)</f>
        <v>220</v>
      </c>
      <c r="T16" s="17">
        <f t="shared" si="8"/>
        <v>204</v>
      </c>
      <c r="U16" s="17">
        <f t="shared" si="8"/>
        <v>39</v>
      </c>
      <c r="V16" s="17">
        <f t="shared" si="8"/>
        <v>22</v>
      </c>
      <c r="W16" s="17">
        <f t="shared" si="8"/>
        <v>2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176</v>
      </c>
      <c r="AD16" s="17">
        <f t="shared" si="8"/>
        <v>0</v>
      </c>
      <c r="AE16" s="31">
        <f t="shared" si="8"/>
        <v>493</v>
      </c>
      <c r="AF16" s="31">
        <f t="shared" si="8"/>
        <v>669</v>
      </c>
    </row>
    <row r="17" spans="2:32" ht="23.1" customHeight="1" x14ac:dyDescent="0.25">
      <c r="B17" s="23" t="s">
        <v>44</v>
      </c>
      <c r="C17" s="50">
        <v>45</v>
      </c>
      <c r="D17" s="50">
        <v>51</v>
      </c>
      <c r="E17" s="50">
        <v>13</v>
      </c>
      <c r="F17" s="50">
        <v>18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27</v>
      </c>
      <c r="N17" s="50">
        <v>0</v>
      </c>
      <c r="O17" s="15">
        <f t="shared" si="0"/>
        <v>127</v>
      </c>
      <c r="P17" s="15">
        <f t="shared" si="1"/>
        <v>154</v>
      </c>
      <c r="R17" s="1" t="s">
        <v>13</v>
      </c>
      <c r="S17" s="17">
        <f t="shared" ref="S17:AF17" si="9">SUM(C38:C41)</f>
        <v>191</v>
      </c>
      <c r="T17" s="17">
        <f t="shared" si="9"/>
        <v>223</v>
      </c>
      <c r="U17" s="17">
        <f t="shared" si="9"/>
        <v>43</v>
      </c>
      <c r="V17" s="17">
        <f t="shared" si="9"/>
        <v>18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2</v>
      </c>
      <c r="AC17" s="17">
        <f t="shared" si="9"/>
        <v>143</v>
      </c>
      <c r="AD17" s="17">
        <f t="shared" si="9"/>
        <v>0</v>
      </c>
      <c r="AE17" s="31">
        <f t="shared" si="9"/>
        <v>481</v>
      </c>
      <c r="AF17" s="31">
        <f t="shared" si="9"/>
        <v>624</v>
      </c>
    </row>
    <row r="18" spans="2:32" ht="23.1" customHeight="1" x14ac:dyDescent="0.25">
      <c r="B18" s="23" t="s">
        <v>45</v>
      </c>
      <c r="C18" s="50">
        <v>42</v>
      </c>
      <c r="D18" s="50">
        <v>55</v>
      </c>
      <c r="E18" s="50">
        <v>12</v>
      </c>
      <c r="F18" s="50">
        <v>6</v>
      </c>
      <c r="G18" s="50">
        <v>0</v>
      </c>
      <c r="H18" s="50">
        <v>0</v>
      </c>
      <c r="I18" s="50">
        <v>0</v>
      </c>
      <c r="J18" s="50">
        <v>2</v>
      </c>
      <c r="K18" s="50">
        <v>1</v>
      </c>
      <c r="L18" s="50">
        <v>0</v>
      </c>
      <c r="M18" s="50">
        <v>23</v>
      </c>
      <c r="N18" s="50">
        <v>0</v>
      </c>
      <c r="O18" s="15">
        <f t="shared" si="0"/>
        <v>118</v>
      </c>
      <c r="P18" s="15">
        <f t="shared" si="1"/>
        <v>141</v>
      </c>
      <c r="R18" s="1" t="s">
        <v>14</v>
      </c>
      <c r="S18" s="17">
        <f t="shared" ref="S18:AF18" si="10">SUM(C42:C45)</f>
        <v>285</v>
      </c>
      <c r="T18" s="17">
        <f t="shared" si="10"/>
        <v>303</v>
      </c>
      <c r="U18" s="17">
        <f t="shared" si="10"/>
        <v>46</v>
      </c>
      <c r="V18" s="17">
        <f t="shared" si="10"/>
        <v>9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170</v>
      </c>
      <c r="AD18" s="17">
        <f t="shared" si="10"/>
        <v>0</v>
      </c>
      <c r="AE18" s="31">
        <f t="shared" si="10"/>
        <v>652</v>
      </c>
      <c r="AF18" s="31">
        <f t="shared" si="10"/>
        <v>822</v>
      </c>
    </row>
    <row r="19" spans="2:32" ht="23.1" customHeight="1" x14ac:dyDescent="0.25">
      <c r="B19" s="23" t="s">
        <v>46</v>
      </c>
      <c r="C19" s="50">
        <v>27</v>
      </c>
      <c r="D19" s="50">
        <v>30</v>
      </c>
      <c r="E19" s="50">
        <v>5</v>
      </c>
      <c r="F19" s="50">
        <v>7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71</v>
      </c>
      <c r="P19" s="15">
        <f t="shared" si="1"/>
        <v>86</v>
      </c>
      <c r="R19" s="1" t="s">
        <v>15</v>
      </c>
      <c r="S19" s="17">
        <f t="shared" ref="S19:AF19" si="11">SUM(C46:C49)</f>
        <v>286</v>
      </c>
      <c r="T19" s="17">
        <f t="shared" si="11"/>
        <v>337</v>
      </c>
      <c r="U19" s="17">
        <f t="shared" si="11"/>
        <v>73</v>
      </c>
      <c r="V19" s="17">
        <f t="shared" si="11"/>
        <v>33</v>
      </c>
      <c r="W19" s="17">
        <f t="shared" si="11"/>
        <v>0</v>
      </c>
      <c r="X19" s="17">
        <f t="shared" si="11"/>
        <v>1</v>
      </c>
      <c r="Y19" s="17">
        <f t="shared" si="11"/>
        <v>8</v>
      </c>
      <c r="Z19" s="17">
        <f t="shared" si="11"/>
        <v>0</v>
      </c>
      <c r="AA19" s="17">
        <f t="shared" si="11"/>
        <v>1</v>
      </c>
      <c r="AB19" s="17">
        <f t="shared" si="11"/>
        <v>1</v>
      </c>
      <c r="AC19" s="17">
        <f t="shared" si="11"/>
        <v>205</v>
      </c>
      <c r="AD19" s="17">
        <f t="shared" si="11"/>
        <v>0</v>
      </c>
      <c r="AE19" s="31">
        <f t="shared" si="11"/>
        <v>740</v>
      </c>
      <c r="AF19" s="31">
        <f t="shared" si="11"/>
        <v>945</v>
      </c>
    </row>
    <row r="20" spans="2:32" ht="23.1" customHeight="1" x14ac:dyDescent="0.25">
      <c r="B20" s="23" t="s">
        <v>47</v>
      </c>
      <c r="C20" s="50">
        <v>37</v>
      </c>
      <c r="D20" s="50">
        <v>44</v>
      </c>
      <c r="E20" s="50">
        <v>13</v>
      </c>
      <c r="F20" s="50">
        <v>8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106</v>
      </c>
      <c r="P20" s="15">
        <f t="shared" si="1"/>
        <v>161</v>
      </c>
      <c r="R20" s="1" t="s">
        <v>16</v>
      </c>
      <c r="S20" s="17">
        <f t="shared" ref="S20:AF20" si="12">SUM(C50:C53)</f>
        <v>460</v>
      </c>
      <c r="T20" s="17">
        <f t="shared" si="12"/>
        <v>528</v>
      </c>
      <c r="U20" s="17">
        <f t="shared" si="12"/>
        <v>54</v>
      </c>
      <c r="V20" s="17">
        <f t="shared" si="12"/>
        <v>33</v>
      </c>
      <c r="W20" s="17">
        <f t="shared" si="12"/>
        <v>5</v>
      </c>
      <c r="X20" s="17">
        <f t="shared" si="12"/>
        <v>2</v>
      </c>
      <c r="Y20" s="17">
        <f t="shared" si="12"/>
        <v>5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262</v>
      </c>
      <c r="AD20" s="17">
        <f t="shared" si="12"/>
        <v>0</v>
      </c>
      <c r="AE20" s="31">
        <f t="shared" si="12"/>
        <v>1089</v>
      </c>
      <c r="AF20" s="31">
        <f t="shared" si="12"/>
        <v>1351</v>
      </c>
    </row>
    <row r="21" spans="2:32" ht="23.1" customHeight="1" x14ac:dyDescent="0.25">
      <c r="B21" s="23" t="s">
        <v>48</v>
      </c>
      <c r="C21" s="50">
        <v>56</v>
      </c>
      <c r="D21" s="50">
        <v>34</v>
      </c>
      <c r="E21" s="50">
        <v>10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105</v>
      </c>
      <c r="P21" s="15">
        <f t="shared" si="1"/>
        <v>120</v>
      </c>
      <c r="R21" s="36" t="s">
        <v>20</v>
      </c>
      <c r="S21" s="34">
        <f t="shared" ref="S21:AF21" si="13">SUM(C54:C57)</f>
        <v>752</v>
      </c>
      <c r="T21" s="17">
        <f t="shared" si="13"/>
        <v>564</v>
      </c>
      <c r="U21" s="17">
        <f t="shared" si="13"/>
        <v>61</v>
      </c>
      <c r="V21" s="17">
        <f t="shared" si="13"/>
        <v>69</v>
      </c>
      <c r="W21" s="17">
        <f t="shared" si="13"/>
        <v>2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320</v>
      </c>
      <c r="AD21" s="17">
        <f t="shared" si="13"/>
        <v>0</v>
      </c>
      <c r="AE21" s="31">
        <f t="shared" si="13"/>
        <v>1449</v>
      </c>
      <c r="AF21" s="31">
        <f t="shared" si="13"/>
        <v>1769</v>
      </c>
    </row>
    <row r="22" spans="2:32" ht="23.1" customHeight="1" x14ac:dyDescent="0.25">
      <c r="B22" s="23" t="s">
        <v>49</v>
      </c>
      <c r="C22" s="50">
        <v>35</v>
      </c>
      <c r="D22" s="50">
        <v>43</v>
      </c>
      <c r="E22" s="50">
        <v>7</v>
      </c>
      <c r="F22" s="50">
        <v>5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90</v>
      </c>
      <c r="P22" s="15">
        <f t="shared" si="1"/>
        <v>103</v>
      </c>
      <c r="R22" s="38" t="s">
        <v>90</v>
      </c>
      <c r="S22" s="39">
        <f>MAX(S10:S12)</f>
        <v>192</v>
      </c>
      <c r="T22" s="39">
        <f t="shared" ref="T22:AF22" si="14">MAX(T10:T12)</f>
        <v>164</v>
      </c>
      <c r="U22" s="39">
        <f t="shared" si="14"/>
        <v>40</v>
      </c>
      <c r="V22" s="39">
        <f t="shared" si="14"/>
        <v>56</v>
      </c>
      <c r="W22" s="39">
        <f t="shared" si="14"/>
        <v>2</v>
      </c>
      <c r="X22" s="39">
        <f t="shared" si="14"/>
        <v>1</v>
      </c>
      <c r="Y22" s="39">
        <f t="shared" si="14"/>
        <v>5</v>
      </c>
      <c r="Z22" s="39">
        <f t="shared" si="14"/>
        <v>4</v>
      </c>
      <c r="AA22" s="39">
        <f t="shared" si="14"/>
        <v>1</v>
      </c>
      <c r="AB22" s="39">
        <f t="shared" si="14"/>
        <v>0</v>
      </c>
      <c r="AC22" s="39">
        <f t="shared" si="14"/>
        <v>222</v>
      </c>
      <c r="AD22" s="39">
        <f t="shared" si="14"/>
        <v>0</v>
      </c>
      <c r="AE22" s="40">
        <f t="shared" si="14"/>
        <v>504</v>
      </c>
      <c r="AF22" s="40">
        <f t="shared" si="14"/>
        <v>859</v>
      </c>
    </row>
    <row r="23" spans="2:32" ht="23.1" customHeight="1" x14ac:dyDescent="0.25">
      <c r="B23" s="23" t="s">
        <v>50</v>
      </c>
      <c r="C23" s="50">
        <v>36</v>
      </c>
      <c r="D23" s="50">
        <v>27</v>
      </c>
      <c r="E23" s="50">
        <v>8</v>
      </c>
      <c r="F23" s="50">
        <v>4</v>
      </c>
      <c r="G23" s="50">
        <v>1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23</v>
      </c>
      <c r="N23" s="50">
        <v>0</v>
      </c>
      <c r="O23" s="15">
        <f t="shared" si="0"/>
        <v>78</v>
      </c>
      <c r="P23" s="15">
        <f t="shared" si="1"/>
        <v>101</v>
      </c>
      <c r="R23" s="38" t="s">
        <v>91</v>
      </c>
      <c r="S23" s="39">
        <f>MAX(S13:S18)</f>
        <v>285</v>
      </c>
      <c r="T23" s="39">
        <f t="shared" ref="T23:AF23" si="15">MAX(T13:T18)</f>
        <v>303</v>
      </c>
      <c r="U23" s="39">
        <f t="shared" si="15"/>
        <v>72</v>
      </c>
      <c r="V23" s="39">
        <f t="shared" si="15"/>
        <v>34</v>
      </c>
      <c r="W23" s="39">
        <f t="shared" si="15"/>
        <v>3</v>
      </c>
      <c r="X23" s="39">
        <f t="shared" si="15"/>
        <v>1</v>
      </c>
      <c r="Y23" s="39">
        <f t="shared" si="15"/>
        <v>14</v>
      </c>
      <c r="Z23" s="39">
        <f t="shared" si="15"/>
        <v>3</v>
      </c>
      <c r="AA23" s="39">
        <f t="shared" si="15"/>
        <v>3</v>
      </c>
      <c r="AB23" s="39">
        <f t="shared" si="15"/>
        <v>2</v>
      </c>
      <c r="AC23" s="39">
        <f t="shared" si="15"/>
        <v>260</v>
      </c>
      <c r="AD23" s="39">
        <f t="shared" si="15"/>
        <v>1</v>
      </c>
      <c r="AE23" s="40">
        <f t="shared" si="15"/>
        <v>652</v>
      </c>
      <c r="AF23" s="40">
        <f t="shared" si="15"/>
        <v>822</v>
      </c>
    </row>
    <row r="24" spans="2:32" ht="23.1" customHeight="1" x14ac:dyDescent="0.25">
      <c r="B24" s="23" t="s">
        <v>51</v>
      </c>
      <c r="C24" s="50">
        <v>35</v>
      </c>
      <c r="D24" s="50">
        <v>29</v>
      </c>
      <c r="E24" s="50">
        <v>15</v>
      </c>
      <c r="F24" s="50">
        <v>6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44</v>
      </c>
      <c r="N24" s="50">
        <v>0</v>
      </c>
      <c r="O24" s="15">
        <f t="shared" si="0"/>
        <v>89</v>
      </c>
      <c r="P24" s="15">
        <f t="shared" si="1"/>
        <v>133</v>
      </c>
      <c r="R24" s="38" t="s">
        <v>92</v>
      </c>
      <c r="S24" s="39">
        <f>MAX(S19:S21)</f>
        <v>752</v>
      </c>
      <c r="T24" s="39">
        <f t="shared" ref="T24:AF24" si="16">MAX(T19:T21)</f>
        <v>564</v>
      </c>
      <c r="U24" s="39">
        <f t="shared" si="16"/>
        <v>73</v>
      </c>
      <c r="V24" s="39">
        <f t="shared" si="16"/>
        <v>69</v>
      </c>
      <c r="W24" s="39">
        <f t="shared" si="16"/>
        <v>5</v>
      </c>
      <c r="X24" s="39">
        <f t="shared" si="16"/>
        <v>2</v>
      </c>
      <c r="Y24" s="39">
        <f t="shared" si="16"/>
        <v>8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320</v>
      </c>
      <c r="AD24" s="39">
        <f t="shared" si="16"/>
        <v>0</v>
      </c>
      <c r="AE24" s="40">
        <f t="shared" si="16"/>
        <v>1449</v>
      </c>
      <c r="AF24" s="40">
        <f t="shared" si="16"/>
        <v>1769</v>
      </c>
    </row>
    <row r="25" spans="2:32" ht="23.1" customHeight="1" x14ac:dyDescent="0.25">
      <c r="B25" s="23" t="s">
        <v>52</v>
      </c>
      <c r="C25" s="50">
        <v>46</v>
      </c>
      <c r="D25" s="50">
        <v>45</v>
      </c>
      <c r="E25" s="50">
        <v>19</v>
      </c>
      <c r="F25" s="50">
        <v>7</v>
      </c>
      <c r="G25" s="50">
        <v>1</v>
      </c>
      <c r="H25" s="50">
        <v>1</v>
      </c>
      <c r="I25" s="50">
        <v>0</v>
      </c>
      <c r="J25" s="50">
        <v>0</v>
      </c>
      <c r="K25" s="50">
        <v>0</v>
      </c>
      <c r="L25" s="50">
        <v>0</v>
      </c>
      <c r="M25" s="50">
        <v>75</v>
      </c>
      <c r="N25" s="50">
        <v>0</v>
      </c>
      <c r="O25" s="15">
        <f t="shared" si="0"/>
        <v>119</v>
      </c>
      <c r="P25" s="15">
        <f t="shared" si="1"/>
        <v>194</v>
      </c>
      <c r="R25" s="37" t="s">
        <v>85</v>
      </c>
      <c r="S25" s="35">
        <f t="shared" ref="S25:AF25" si="17">SUM(S10:S12)</f>
        <v>471</v>
      </c>
      <c r="T25" s="16">
        <f t="shared" si="17"/>
        <v>444</v>
      </c>
      <c r="U25" s="16">
        <f t="shared" si="17"/>
        <v>96</v>
      </c>
      <c r="V25" s="16">
        <f t="shared" si="17"/>
        <v>120</v>
      </c>
      <c r="W25" s="16">
        <f t="shared" si="17"/>
        <v>4</v>
      </c>
      <c r="X25" s="16">
        <f t="shared" si="17"/>
        <v>1</v>
      </c>
      <c r="Y25" s="16">
        <f t="shared" si="17"/>
        <v>11</v>
      </c>
      <c r="Z25" s="16">
        <f t="shared" si="17"/>
        <v>11</v>
      </c>
      <c r="AA25" s="16">
        <f t="shared" si="17"/>
        <v>1</v>
      </c>
      <c r="AB25" s="16">
        <f t="shared" si="17"/>
        <v>0</v>
      </c>
      <c r="AC25" s="16">
        <f t="shared" si="17"/>
        <v>538</v>
      </c>
      <c r="AD25" s="16">
        <f t="shared" si="17"/>
        <v>0</v>
      </c>
      <c r="AE25" s="32">
        <f t="shared" si="17"/>
        <v>1214</v>
      </c>
      <c r="AF25" s="32">
        <f t="shared" si="17"/>
        <v>1899</v>
      </c>
    </row>
    <row r="26" spans="2:32" ht="23.1" customHeight="1" x14ac:dyDescent="0.25">
      <c r="B26" s="23" t="s">
        <v>53</v>
      </c>
      <c r="C26" s="50">
        <v>47</v>
      </c>
      <c r="D26" s="50">
        <v>53</v>
      </c>
      <c r="E26" s="50">
        <v>10</v>
      </c>
      <c r="F26" s="50">
        <v>3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70</v>
      </c>
      <c r="N26" s="50">
        <v>0</v>
      </c>
      <c r="O26" s="15">
        <f t="shared" si="0"/>
        <v>116</v>
      </c>
      <c r="P26" s="15">
        <f t="shared" si="1"/>
        <v>186</v>
      </c>
      <c r="R26" s="28" t="s">
        <v>86</v>
      </c>
      <c r="S26" s="16">
        <f t="shared" ref="S26:AF26" si="18">SUM(S13:S18)</f>
        <v>1270</v>
      </c>
      <c r="T26" s="16">
        <f t="shared" si="18"/>
        <v>1256</v>
      </c>
      <c r="U26" s="16">
        <f t="shared" si="18"/>
        <v>308</v>
      </c>
      <c r="V26" s="16">
        <f t="shared" si="18"/>
        <v>134</v>
      </c>
      <c r="W26" s="16">
        <f t="shared" si="18"/>
        <v>8</v>
      </c>
      <c r="X26" s="16">
        <f t="shared" si="18"/>
        <v>1</v>
      </c>
      <c r="Y26" s="16">
        <f t="shared" si="18"/>
        <v>32</v>
      </c>
      <c r="Z26" s="16">
        <f t="shared" si="18"/>
        <v>12</v>
      </c>
      <c r="AA26" s="16">
        <f t="shared" si="18"/>
        <v>6</v>
      </c>
      <c r="AB26" s="16">
        <f t="shared" si="18"/>
        <v>3</v>
      </c>
      <c r="AC26" s="16">
        <f t="shared" si="18"/>
        <v>1091</v>
      </c>
      <c r="AD26" s="16">
        <f t="shared" si="18"/>
        <v>1</v>
      </c>
      <c r="AE26" s="32">
        <f t="shared" si="18"/>
        <v>3031</v>
      </c>
      <c r="AF26" s="32">
        <f t="shared" si="18"/>
        <v>4122</v>
      </c>
    </row>
    <row r="27" spans="2:32" ht="23.1" customHeight="1" x14ac:dyDescent="0.25">
      <c r="B27" s="23" t="s">
        <v>54</v>
      </c>
      <c r="C27" s="50">
        <v>56</v>
      </c>
      <c r="D27" s="50">
        <v>44</v>
      </c>
      <c r="E27" s="50">
        <v>15</v>
      </c>
      <c r="F27" s="50">
        <v>9</v>
      </c>
      <c r="G27" s="50">
        <v>0</v>
      </c>
      <c r="H27" s="50">
        <v>0</v>
      </c>
      <c r="I27" s="50">
        <v>3</v>
      </c>
      <c r="J27" s="50">
        <v>1</v>
      </c>
      <c r="K27" s="50">
        <v>0</v>
      </c>
      <c r="L27" s="50">
        <v>0</v>
      </c>
      <c r="M27" s="50">
        <v>63</v>
      </c>
      <c r="N27" s="50">
        <v>0</v>
      </c>
      <c r="O27" s="15">
        <f t="shared" si="0"/>
        <v>128</v>
      </c>
      <c r="P27" s="15">
        <f t="shared" si="1"/>
        <v>191</v>
      </c>
      <c r="R27" s="29" t="s">
        <v>87</v>
      </c>
      <c r="S27" s="16">
        <f t="shared" ref="S27:AF27" si="19">SUM(S19:S21)</f>
        <v>1498</v>
      </c>
      <c r="T27" s="16">
        <f t="shared" si="19"/>
        <v>1429</v>
      </c>
      <c r="U27" s="16">
        <f t="shared" si="19"/>
        <v>188</v>
      </c>
      <c r="V27" s="16">
        <f t="shared" si="19"/>
        <v>135</v>
      </c>
      <c r="W27" s="16">
        <f t="shared" si="19"/>
        <v>7</v>
      </c>
      <c r="X27" s="16">
        <f t="shared" si="19"/>
        <v>3</v>
      </c>
      <c r="Y27" s="16">
        <f t="shared" si="19"/>
        <v>14</v>
      </c>
      <c r="Z27" s="16">
        <f t="shared" si="19"/>
        <v>1</v>
      </c>
      <c r="AA27" s="16">
        <f t="shared" si="19"/>
        <v>2</v>
      </c>
      <c r="AB27" s="16">
        <f t="shared" si="19"/>
        <v>1</v>
      </c>
      <c r="AC27" s="16">
        <f t="shared" si="19"/>
        <v>787</v>
      </c>
      <c r="AD27" s="16">
        <f t="shared" si="19"/>
        <v>0</v>
      </c>
      <c r="AE27" s="32">
        <f t="shared" si="19"/>
        <v>3278</v>
      </c>
      <c r="AF27" s="32">
        <f t="shared" si="19"/>
        <v>4065</v>
      </c>
    </row>
    <row r="28" spans="2:32" ht="23.1" customHeight="1" x14ac:dyDescent="0.25">
      <c r="B28" s="23" t="s">
        <v>55</v>
      </c>
      <c r="C28" s="50">
        <v>64</v>
      </c>
      <c r="D28" s="50">
        <v>42</v>
      </c>
      <c r="E28" s="50">
        <v>24</v>
      </c>
      <c r="F28" s="50">
        <v>12</v>
      </c>
      <c r="G28" s="50">
        <v>1</v>
      </c>
      <c r="H28" s="50">
        <v>0</v>
      </c>
      <c r="I28" s="50">
        <v>2</v>
      </c>
      <c r="J28" s="50">
        <v>0</v>
      </c>
      <c r="K28" s="50">
        <v>3</v>
      </c>
      <c r="L28" s="50">
        <v>0</v>
      </c>
      <c r="M28" s="50">
        <v>55</v>
      </c>
      <c r="N28" s="50">
        <v>1</v>
      </c>
      <c r="O28" s="15">
        <f t="shared" si="0"/>
        <v>149</v>
      </c>
      <c r="P28" s="15">
        <f t="shared" si="1"/>
        <v>204</v>
      </c>
      <c r="R28" s="5" t="s">
        <v>17</v>
      </c>
      <c r="S28" s="16">
        <f t="shared" ref="S28:AF28" si="20">SUM(S10:S21)</f>
        <v>3239</v>
      </c>
      <c r="T28" s="16">
        <f t="shared" si="20"/>
        <v>3129</v>
      </c>
      <c r="U28" s="16">
        <f t="shared" si="20"/>
        <v>592</v>
      </c>
      <c r="V28" s="16">
        <f t="shared" si="20"/>
        <v>389</v>
      </c>
      <c r="W28" s="16">
        <f t="shared" si="20"/>
        <v>19</v>
      </c>
      <c r="X28" s="16">
        <f t="shared" si="20"/>
        <v>5</v>
      </c>
      <c r="Y28" s="16">
        <f t="shared" si="20"/>
        <v>57</v>
      </c>
      <c r="Z28" s="16">
        <f t="shared" si="20"/>
        <v>24</v>
      </c>
      <c r="AA28" s="16">
        <f t="shared" si="20"/>
        <v>9</v>
      </c>
      <c r="AB28" s="16">
        <f t="shared" si="20"/>
        <v>4</v>
      </c>
      <c r="AC28" s="16">
        <f t="shared" si="20"/>
        <v>2416</v>
      </c>
      <c r="AD28" s="16">
        <f t="shared" si="20"/>
        <v>1</v>
      </c>
      <c r="AE28" s="32">
        <f t="shared" si="20"/>
        <v>7523</v>
      </c>
      <c r="AF28" s="32">
        <f t="shared" si="20"/>
        <v>10086</v>
      </c>
    </row>
    <row r="29" spans="2:32" ht="23.1" customHeight="1" x14ac:dyDescent="0.25">
      <c r="B29" s="23" t="s">
        <v>56</v>
      </c>
      <c r="C29" s="50">
        <v>56</v>
      </c>
      <c r="D29" s="50">
        <v>62</v>
      </c>
      <c r="E29" s="50">
        <v>23</v>
      </c>
      <c r="F29" s="50">
        <v>5</v>
      </c>
      <c r="G29" s="50">
        <v>1</v>
      </c>
      <c r="H29" s="50">
        <v>0</v>
      </c>
      <c r="I29" s="50">
        <v>7</v>
      </c>
      <c r="J29" s="50">
        <v>1</v>
      </c>
      <c r="K29" s="50">
        <v>0</v>
      </c>
      <c r="L29" s="50">
        <v>0</v>
      </c>
      <c r="M29" s="50">
        <v>72</v>
      </c>
      <c r="N29" s="50">
        <v>0</v>
      </c>
      <c r="O29" s="15">
        <f t="shared" si="0"/>
        <v>155</v>
      </c>
      <c r="P29" s="15">
        <f t="shared" si="1"/>
        <v>227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53</v>
      </c>
      <c r="E30" s="50">
        <v>7</v>
      </c>
      <c r="F30" s="50">
        <v>13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33</v>
      </c>
      <c r="N30" s="50">
        <v>0</v>
      </c>
      <c r="O30" s="15">
        <f t="shared" si="0"/>
        <v>117</v>
      </c>
      <c r="P30" s="15">
        <f t="shared" si="1"/>
        <v>150</v>
      </c>
    </row>
    <row r="31" spans="2:32" ht="23.1" customHeight="1" x14ac:dyDescent="0.25">
      <c r="B31" s="24" t="s">
        <v>58</v>
      </c>
      <c r="C31" s="50">
        <v>48</v>
      </c>
      <c r="D31" s="50">
        <v>30</v>
      </c>
      <c r="E31" s="50">
        <v>16</v>
      </c>
      <c r="F31" s="50">
        <v>6</v>
      </c>
      <c r="G31" s="50">
        <v>0</v>
      </c>
      <c r="H31" s="50">
        <v>0</v>
      </c>
      <c r="I31" s="50">
        <v>3</v>
      </c>
      <c r="J31" s="50">
        <v>0</v>
      </c>
      <c r="K31" s="50">
        <v>1</v>
      </c>
      <c r="L31" s="50">
        <v>0</v>
      </c>
      <c r="M31" s="50">
        <v>53</v>
      </c>
      <c r="N31" s="50">
        <v>0</v>
      </c>
      <c r="O31" s="15">
        <f t="shared" si="0"/>
        <v>104</v>
      </c>
      <c r="P31" s="15">
        <f t="shared" si="1"/>
        <v>157</v>
      </c>
    </row>
    <row r="32" spans="2:32" ht="23.1" customHeight="1" x14ac:dyDescent="0.25">
      <c r="B32" s="24" t="s">
        <v>59</v>
      </c>
      <c r="C32" s="50">
        <v>67</v>
      </c>
      <c r="D32" s="50">
        <v>59</v>
      </c>
      <c r="E32" s="50">
        <v>13</v>
      </c>
      <c r="F32" s="50">
        <v>11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56</v>
      </c>
      <c r="N32" s="50">
        <v>0</v>
      </c>
      <c r="O32" s="15">
        <f t="shared" si="0"/>
        <v>152</v>
      </c>
      <c r="P32" s="15">
        <f t="shared" si="1"/>
        <v>208</v>
      </c>
    </row>
    <row r="33" spans="2:20" ht="23.1" customHeight="1" x14ac:dyDescent="0.25">
      <c r="B33" s="23" t="s">
        <v>60</v>
      </c>
      <c r="C33" s="50">
        <v>41</v>
      </c>
      <c r="D33" s="50">
        <v>39</v>
      </c>
      <c r="E33" s="50">
        <v>23</v>
      </c>
      <c r="F33" s="50">
        <v>4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45</v>
      </c>
      <c r="N33" s="50">
        <v>0</v>
      </c>
      <c r="O33" s="15">
        <f t="shared" si="0"/>
        <v>108</v>
      </c>
      <c r="P33" s="15">
        <f t="shared" si="1"/>
        <v>153</v>
      </c>
    </row>
    <row r="34" spans="2:20" ht="23.1" customHeight="1" x14ac:dyDescent="0.25">
      <c r="B34" s="24" t="s">
        <v>61</v>
      </c>
      <c r="C34" s="50">
        <v>42</v>
      </c>
      <c r="D34" s="50">
        <v>60</v>
      </c>
      <c r="E34" s="50">
        <v>4</v>
      </c>
      <c r="F34" s="50">
        <v>5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50</v>
      </c>
      <c r="N34" s="50">
        <v>0</v>
      </c>
      <c r="O34" s="15">
        <f t="shared" si="0"/>
        <v>115</v>
      </c>
      <c r="P34" s="15">
        <f t="shared" si="1"/>
        <v>165</v>
      </c>
    </row>
    <row r="35" spans="2:20" ht="23.1" customHeight="1" x14ac:dyDescent="0.25">
      <c r="B35" s="24" t="s">
        <v>179</v>
      </c>
      <c r="C35" s="50">
        <v>64</v>
      </c>
      <c r="D35" s="50">
        <v>53</v>
      </c>
      <c r="E35" s="50">
        <v>18</v>
      </c>
      <c r="F35" s="50">
        <v>4</v>
      </c>
      <c r="G35" s="50">
        <v>2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47</v>
      </c>
      <c r="N35" s="50">
        <v>0</v>
      </c>
      <c r="O35" s="15">
        <f t="shared" si="0"/>
        <v>142</v>
      </c>
      <c r="P35" s="15">
        <f t="shared" si="1"/>
        <v>189</v>
      </c>
    </row>
    <row r="36" spans="2:20" ht="23.1" customHeight="1" x14ac:dyDescent="0.25">
      <c r="B36" s="24" t="s">
        <v>63</v>
      </c>
      <c r="C36" s="50">
        <v>74</v>
      </c>
      <c r="D36" s="50">
        <v>61</v>
      </c>
      <c r="E36" s="50">
        <v>15</v>
      </c>
      <c r="F36" s="50">
        <v>7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26</v>
      </c>
      <c r="N36" s="50">
        <v>0</v>
      </c>
      <c r="O36" s="15">
        <f t="shared" si="0"/>
        <v>158</v>
      </c>
      <c r="P36" s="15">
        <f t="shared" si="1"/>
        <v>184</v>
      </c>
    </row>
    <row r="37" spans="2:20" ht="23.1" customHeight="1" x14ac:dyDescent="0.25">
      <c r="B37" s="23" t="s">
        <v>64</v>
      </c>
      <c r="C37" s="50">
        <v>40</v>
      </c>
      <c r="D37" s="50">
        <v>30</v>
      </c>
      <c r="E37" s="50">
        <v>2</v>
      </c>
      <c r="F37" s="50">
        <v>6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53</v>
      </c>
      <c r="N37" s="50">
        <v>0</v>
      </c>
      <c r="O37" s="15">
        <f t="shared" si="0"/>
        <v>78</v>
      </c>
      <c r="P37" s="15">
        <f t="shared" si="1"/>
        <v>131</v>
      </c>
    </row>
    <row r="38" spans="2:20" ht="23.1" customHeight="1" x14ac:dyDescent="0.25">
      <c r="B38" s="24" t="s">
        <v>65</v>
      </c>
      <c r="C38" s="50">
        <v>36</v>
      </c>
      <c r="D38" s="50">
        <v>33</v>
      </c>
      <c r="E38" s="50">
        <v>21</v>
      </c>
      <c r="F38" s="50">
        <v>7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98</v>
      </c>
      <c r="P38" s="15">
        <f t="shared" si="1"/>
        <v>120</v>
      </c>
    </row>
    <row r="39" spans="2:20" ht="23.1" customHeight="1" x14ac:dyDescent="0.25">
      <c r="B39" s="24" t="s">
        <v>66</v>
      </c>
      <c r="C39" s="50">
        <v>44</v>
      </c>
      <c r="D39" s="50">
        <v>45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30</v>
      </c>
      <c r="N39" s="50">
        <v>0</v>
      </c>
      <c r="O39" s="15">
        <f t="shared" si="0"/>
        <v>90</v>
      </c>
      <c r="P39" s="15">
        <f t="shared" si="1"/>
        <v>120</v>
      </c>
    </row>
    <row r="40" spans="2:20" ht="23.1" customHeight="1" x14ac:dyDescent="0.25">
      <c r="B40" s="24" t="s">
        <v>67</v>
      </c>
      <c r="C40" s="50">
        <v>49</v>
      </c>
      <c r="D40" s="50">
        <v>51</v>
      </c>
      <c r="E40" s="50">
        <v>13</v>
      </c>
      <c r="F40" s="50">
        <v>7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43</v>
      </c>
      <c r="N40" s="50">
        <v>0</v>
      </c>
      <c r="O40" s="15">
        <f t="shared" si="0"/>
        <v>122</v>
      </c>
      <c r="P40" s="15">
        <f t="shared" si="1"/>
        <v>165</v>
      </c>
    </row>
    <row r="41" spans="2:20" ht="23.1" customHeight="1" x14ac:dyDescent="0.25">
      <c r="B41" s="23" t="s">
        <v>68</v>
      </c>
      <c r="C41" s="50">
        <v>62</v>
      </c>
      <c r="D41" s="50">
        <v>94</v>
      </c>
      <c r="E41" s="50">
        <v>9</v>
      </c>
      <c r="F41" s="50">
        <v>4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48</v>
      </c>
      <c r="N41" s="50">
        <v>0</v>
      </c>
      <c r="O41" s="15">
        <f t="shared" si="0"/>
        <v>171</v>
      </c>
      <c r="P41" s="15">
        <f t="shared" si="1"/>
        <v>219</v>
      </c>
    </row>
    <row r="42" spans="2:20" ht="23.1" customHeight="1" x14ac:dyDescent="0.25">
      <c r="B42" s="24" t="s">
        <v>69</v>
      </c>
      <c r="C42" s="50">
        <v>71</v>
      </c>
      <c r="D42" s="50">
        <v>65</v>
      </c>
      <c r="E42" s="50">
        <v>12</v>
      </c>
      <c r="F42" s="50">
        <v>3</v>
      </c>
      <c r="G42" s="50">
        <v>1</v>
      </c>
      <c r="H42" s="50">
        <v>0</v>
      </c>
      <c r="I42" s="50">
        <v>3</v>
      </c>
      <c r="J42" s="50">
        <v>0</v>
      </c>
      <c r="K42" s="50">
        <v>1</v>
      </c>
      <c r="L42" s="50">
        <v>0</v>
      </c>
      <c r="M42" s="50">
        <v>60</v>
      </c>
      <c r="N42" s="50">
        <v>0</v>
      </c>
      <c r="O42" s="15">
        <f t="shared" si="0"/>
        <v>156</v>
      </c>
      <c r="P42" s="15">
        <f t="shared" si="1"/>
        <v>216</v>
      </c>
    </row>
    <row r="43" spans="2:20" ht="23.1" customHeight="1" x14ac:dyDescent="0.25">
      <c r="B43" s="23" t="s">
        <v>70</v>
      </c>
      <c r="C43" s="50">
        <v>59</v>
      </c>
      <c r="D43" s="50">
        <v>90</v>
      </c>
      <c r="E43" s="50">
        <v>10</v>
      </c>
      <c r="F43" s="50">
        <v>4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45</v>
      </c>
      <c r="N43" s="50">
        <v>0</v>
      </c>
      <c r="O43" s="15">
        <f t="shared" si="0"/>
        <v>165</v>
      </c>
      <c r="P43" s="15">
        <f t="shared" si="1"/>
        <v>210</v>
      </c>
    </row>
    <row r="44" spans="2:20" ht="23.1" customHeight="1" x14ac:dyDescent="0.25">
      <c r="B44" s="25" t="s">
        <v>71</v>
      </c>
      <c r="C44" s="50">
        <v>90</v>
      </c>
      <c r="D44" s="50">
        <v>80</v>
      </c>
      <c r="E44" s="50">
        <v>15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45</v>
      </c>
      <c r="N44" s="50">
        <v>0</v>
      </c>
      <c r="O44" s="15">
        <f t="shared" si="0"/>
        <v>186</v>
      </c>
      <c r="P44" s="15">
        <f t="shared" si="1"/>
        <v>231</v>
      </c>
    </row>
    <row r="45" spans="2:20" ht="23.1" customHeight="1" x14ac:dyDescent="0.25">
      <c r="B45" s="23" t="s">
        <v>72</v>
      </c>
      <c r="C45" s="50">
        <v>65</v>
      </c>
      <c r="D45" s="50">
        <v>68</v>
      </c>
      <c r="E45" s="50">
        <v>9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145</v>
      </c>
      <c r="P45" s="15">
        <f t="shared" si="1"/>
        <v>165</v>
      </c>
    </row>
    <row r="46" spans="2:20" ht="23.1" customHeight="1" x14ac:dyDescent="0.25">
      <c r="B46" s="24" t="s">
        <v>73</v>
      </c>
      <c r="C46" s="50">
        <v>55</v>
      </c>
      <c r="D46" s="50">
        <v>65</v>
      </c>
      <c r="E46" s="50">
        <v>12</v>
      </c>
      <c r="F46" s="50">
        <v>7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1</v>
      </c>
      <c r="M46" s="50">
        <v>31</v>
      </c>
      <c r="N46" s="50">
        <v>0</v>
      </c>
      <c r="O46" s="15">
        <f t="shared" si="0"/>
        <v>143</v>
      </c>
      <c r="P46" s="15">
        <f t="shared" si="1"/>
        <v>174</v>
      </c>
      <c r="R46" s="8"/>
      <c r="T46"/>
    </row>
    <row r="47" spans="2:20" ht="23.1" customHeight="1" x14ac:dyDescent="0.25">
      <c r="B47" s="24" t="s">
        <v>74</v>
      </c>
      <c r="C47" s="50">
        <v>76</v>
      </c>
      <c r="D47" s="50">
        <v>100</v>
      </c>
      <c r="E47" s="50">
        <v>21</v>
      </c>
      <c r="F47" s="50">
        <v>7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55</v>
      </c>
      <c r="N47" s="50">
        <v>0</v>
      </c>
      <c r="O47" s="15">
        <f t="shared" si="0"/>
        <v>204</v>
      </c>
      <c r="P47" s="15">
        <f t="shared" si="1"/>
        <v>259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75</v>
      </c>
      <c r="E48" s="50">
        <v>25</v>
      </c>
      <c r="F48" s="50">
        <v>10</v>
      </c>
      <c r="G48" s="50">
        <v>0</v>
      </c>
      <c r="H48" s="50">
        <v>1</v>
      </c>
      <c r="I48" s="50">
        <v>5</v>
      </c>
      <c r="J48" s="50">
        <v>0</v>
      </c>
      <c r="K48" s="50">
        <v>1</v>
      </c>
      <c r="L48" s="50">
        <v>0</v>
      </c>
      <c r="M48" s="50">
        <v>64</v>
      </c>
      <c r="N48" s="50">
        <v>0</v>
      </c>
      <c r="O48" s="15">
        <f t="shared" si="0"/>
        <v>197</v>
      </c>
      <c r="P48" s="15">
        <f t="shared" si="1"/>
        <v>261</v>
      </c>
      <c r="R48" s="8"/>
      <c r="T48"/>
    </row>
    <row r="49" spans="2:20" ht="23.1" customHeight="1" x14ac:dyDescent="0.25">
      <c r="B49" s="23" t="s">
        <v>76</v>
      </c>
      <c r="C49" s="50">
        <v>75</v>
      </c>
      <c r="D49" s="50">
        <v>97</v>
      </c>
      <c r="E49" s="50">
        <v>15</v>
      </c>
      <c r="F49" s="50">
        <v>9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196</v>
      </c>
      <c r="P49" s="15">
        <f t="shared" si="1"/>
        <v>251</v>
      </c>
      <c r="R49" s="8"/>
      <c r="T49"/>
    </row>
    <row r="50" spans="2:20" ht="23.1" customHeight="1" x14ac:dyDescent="0.25">
      <c r="B50" s="24" t="s">
        <v>77</v>
      </c>
      <c r="C50" s="50">
        <v>100</v>
      </c>
      <c r="D50" s="50">
        <v>120</v>
      </c>
      <c r="E50" s="50">
        <v>8</v>
      </c>
      <c r="F50" s="50">
        <v>9</v>
      </c>
      <c r="G50" s="50">
        <v>2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239</v>
      </c>
      <c r="P50" s="15">
        <f t="shared" si="1"/>
        <v>298</v>
      </c>
      <c r="R50" s="8"/>
      <c r="T50"/>
    </row>
    <row r="51" spans="2:20" ht="23.1" customHeight="1" x14ac:dyDescent="0.25">
      <c r="B51" s="24" t="s">
        <v>78</v>
      </c>
      <c r="C51" s="50">
        <v>95</v>
      </c>
      <c r="D51" s="50">
        <v>118</v>
      </c>
      <c r="E51" s="50">
        <v>17</v>
      </c>
      <c r="F51" s="50">
        <v>3</v>
      </c>
      <c r="G51" s="50">
        <v>0</v>
      </c>
      <c r="H51" s="50">
        <v>1</v>
      </c>
      <c r="I51" s="50">
        <v>2</v>
      </c>
      <c r="J51" s="50">
        <v>0</v>
      </c>
      <c r="K51" s="50">
        <v>1</v>
      </c>
      <c r="L51" s="50">
        <v>0</v>
      </c>
      <c r="M51" s="50">
        <v>45</v>
      </c>
      <c r="N51" s="50">
        <v>0</v>
      </c>
      <c r="O51" s="15">
        <f t="shared" si="0"/>
        <v>237</v>
      </c>
      <c r="P51" s="15">
        <f t="shared" si="1"/>
        <v>282</v>
      </c>
      <c r="R51" s="8"/>
      <c r="T51"/>
    </row>
    <row r="52" spans="2:20" ht="23.1" customHeight="1" x14ac:dyDescent="0.25">
      <c r="B52" s="24" t="s">
        <v>79</v>
      </c>
      <c r="C52" s="50">
        <v>105</v>
      </c>
      <c r="D52" s="50">
        <v>140</v>
      </c>
      <c r="E52" s="50">
        <v>13</v>
      </c>
      <c r="F52" s="50">
        <v>11</v>
      </c>
      <c r="G52" s="50">
        <v>2</v>
      </c>
      <c r="H52" s="50">
        <v>1</v>
      </c>
      <c r="I52" s="50">
        <v>3</v>
      </c>
      <c r="J52" s="50">
        <v>1</v>
      </c>
      <c r="K52" s="50">
        <v>0</v>
      </c>
      <c r="L52" s="50">
        <v>0</v>
      </c>
      <c r="M52" s="50">
        <v>120</v>
      </c>
      <c r="N52" s="50">
        <v>0</v>
      </c>
      <c r="O52" s="15">
        <f t="shared" si="0"/>
        <v>276</v>
      </c>
      <c r="P52" s="15">
        <f t="shared" si="1"/>
        <v>396</v>
      </c>
      <c r="R52" s="8"/>
      <c r="T52"/>
    </row>
    <row r="53" spans="2:20" ht="23.1" customHeight="1" x14ac:dyDescent="0.25">
      <c r="B53" s="23" t="s">
        <v>80</v>
      </c>
      <c r="C53" s="50">
        <v>160</v>
      </c>
      <c r="D53" s="50">
        <v>150</v>
      </c>
      <c r="E53" s="50">
        <v>16</v>
      </c>
      <c r="F53" s="50">
        <v>10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38</v>
      </c>
      <c r="N53" s="50">
        <v>0</v>
      </c>
      <c r="O53" s="15">
        <f t="shared" si="0"/>
        <v>337</v>
      </c>
      <c r="P53" s="15">
        <f t="shared" si="1"/>
        <v>375</v>
      </c>
      <c r="R53" s="8"/>
      <c r="T53"/>
    </row>
    <row r="54" spans="2:20" ht="23.1" customHeight="1" x14ac:dyDescent="0.25">
      <c r="B54" s="23" t="s">
        <v>81</v>
      </c>
      <c r="C54" s="50">
        <v>180</v>
      </c>
      <c r="D54" s="50">
        <v>125</v>
      </c>
      <c r="E54" s="50">
        <v>19</v>
      </c>
      <c r="F54" s="50">
        <v>19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85</v>
      </c>
      <c r="N54" s="50">
        <v>0</v>
      </c>
      <c r="O54" s="15">
        <f t="shared" si="0"/>
        <v>344</v>
      </c>
      <c r="P54" s="15">
        <f t="shared" si="1"/>
        <v>429</v>
      </c>
      <c r="R54" s="8"/>
      <c r="T54"/>
    </row>
    <row r="55" spans="2:20" ht="23.1" customHeight="1" x14ac:dyDescent="0.25">
      <c r="B55" s="23" t="s">
        <v>82</v>
      </c>
      <c r="C55" s="50">
        <v>157</v>
      </c>
      <c r="D55" s="50">
        <v>122</v>
      </c>
      <c r="E55" s="50">
        <v>16</v>
      </c>
      <c r="F55" s="50">
        <v>29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95</v>
      </c>
      <c r="N55" s="50">
        <v>0</v>
      </c>
      <c r="O55" s="15">
        <f t="shared" si="0"/>
        <v>325</v>
      </c>
      <c r="P55" s="15">
        <f t="shared" si="1"/>
        <v>420</v>
      </c>
      <c r="R55" s="8"/>
      <c r="T55"/>
    </row>
    <row r="56" spans="2:20" ht="23.1" customHeight="1" x14ac:dyDescent="0.25">
      <c r="B56" s="23" t="s">
        <v>83</v>
      </c>
      <c r="C56" s="50">
        <v>210</v>
      </c>
      <c r="D56" s="50">
        <v>175</v>
      </c>
      <c r="E56" s="50">
        <v>6</v>
      </c>
      <c r="F56" s="50">
        <v>8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80</v>
      </c>
      <c r="N56" s="50">
        <v>0</v>
      </c>
      <c r="O56" s="15">
        <f t="shared" si="0"/>
        <v>399</v>
      </c>
      <c r="P56" s="15">
        <f t="shared" si="1"/>
        <v>479</v>
      </c>
      <c r="R56" s="8"/>
      <c r="T56"/>
    </row>
    <row r="57" spans="2:20" ht="23.1" customHeight="1" x14ac:dyDescent="0.25">
      <c r="B57" s="23" t="s">
        <v>84</v>
      </c>
      <c r="C57" s="50">
        <v>205</v>
      </c>
      <c r="D57" s="50">
        <v>142</v>
      </c>
      <c r="E57" s="50">
        <v>20</v>
      </c>
      <c r="F57" s="50">
        <v>13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381</v>
      </c>
      <c r="P57" s="15">
        <f t="shared" si="1"/>
        <v>441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3239</v>
      </c>
      <c r="D58" s="16">
        <f t="shared" si="21"/>
        <v>3129</v>
      </c>
      <c r="E58" s="16">
        <f t="shared" si="21"/>
        <v>592</v>
      </c>
      <c r="F58" s="16">
        <f t="shared" si="21"/>
        <v>389</v>
      </c>
      <c r="G58" s="16">
        <f t="shared" si="21"/>
        <v>19</v>
      </c>
      <c r="H58" s="16">
        <f t="shared" si="21"/>
        <v>5</v>
      </c>
      <c r="I58" s="16">
        <f t="shared" si="21"/>
        <v>57</v>
      </c>
      <c r="J58" s="16">
        <f t="shared" si="21"/>
        <v>24</v>
      </c>
      <c r="K58" s="16">
        <f t="shared" si="21"/>
        <v>9</v>
      </c>
      <c r="L58" s="16">
        <f t="shared" si="21"/>
        <v>4</v>
      </c>
      <c r="M58" s="16">
        <f t="shared" si="21"/>
        <v>2416</v>
      </c>
      <c r="N58" s="16">
        <f t="shared" si="21"/>
        <v>1</v>
      </c>
      <c r="O58" s="16">
        <f t="shared" si="21"/>
        <v>7523</v>
      </c>
      <c r="P58" s="16">
        <f t="shared" si="21"/>
        <v>10086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0.32113821138211385</v>
      </c>
      <c r="D59" s="43">
        <f t="shared" si="22"/>
        <v>0.31023200475907198</v>
      </c>
      <c r="E59" s="43">
        <f t="shared" si="22"/>
        <v>5.869522109855245E-2</v>
      </c>
      <c r="F59" s="43">
        <f t="shared" si="22"/>
        <v>3.856831251239342E-2</v>
      </c>
      <c r="G59" s="43">
        <f t="shared" si="22"/>
        <v>1.8837993257981361E-3</v>
      </c>
      <c r="H59" s="43">
        <f t="shared" si="22"/>
        <v>4.9573666468372005E-4</v>
      </c>
      <c r="I59" s="43">
        <f t="shared" si="22"/>
        <v>5.6513979773944083E-3</v>
      </c>
      <c r="J59" s="43">
        <f t="shared" si="22"/>
        <v>2.3795359904818562E-3</v>
      </c>
      <c r="K59" s="43">
        <f t="shared" si="22"/>
        <v>8.92325996430696E-4</v>
      </c>
      <c r="L59" s="43">
        <f t="shared" si="22"/>
        <v>3.9658933174697601E-4</v>
      </c>
      <c r="M59" s="43">
        <f t="shared" si="22"/>
        <v>0.2395399563751735</v>
      </c>
      <c r="N59" s="43">
        <f t="shared" si="22"/>
        <v>9.9147332936744002E-5</v>
      </c>
      <c r="R59" s="8"/>
      <c r="T59"/>
    </row>
    <row r="60" spans="2:20" ht="23.1" customHeight="1" x14ac:dyDescent="0.25">
      <c r="B60" s="42" t="s">
        <v>94</v>
      </c>
      <c r="C60" s="44">
        <f>C58/$O$58</f>
        <v>0.43054632460454606</v>
      </c>
      <c r="D60" s="44">
        <f t="shared" ref="D60:N60" si="23">D58/$O$58</f>
        <v>0.41592449820550315</v>
      </c>
      <c r="E60" s="44">
        <f t="shared" si="23"/>
        <v>7.8692011165758344E-2</v>
      </c>
      <c r="F60" s="44">
        <f t="shared" si="23"/>
        <v>5.170809517479729E-2</v>
      </c>
      <c r="G60" s="44">
        <f t="shared" si="23"/>
        <v>2.525588196198325E-3</v>
      </c>
      <c r="H60" s="44">
        <f t="shared" si="23"/>
        <v>6.6462847268376974E-4</v>
      </c>
      <c r="I60" s="44">
        <f t="shared" si="23"/>
        <v>7.5767645885949754E-3</v>
      </c>
      <c r="J60" s="44">
        <f t="shared" si="23"/>
        <v>3.1902166688820947E-3</v>
      </c>
      <c r="K60" s="44">
        <f t="shared" si="23"/>
        <v>1.1963312508307855E-3</v>
      </c>
      <c r="L60" s="44">
        <f t="shared" si="23"/>
        <v>5.3170277814701579E-4</v>
      </c>
      <c r="M60" s="44"/>
      <c r="N60" s="44">
        <f t="shared" si="23"/>
        <v>1.3292569453675395E-4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B43" zoomScale="64" zoomScaleSheetLayoutView="64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'01.08 Nakawa-Naguru-24h'!G5:H5</f>
        <v>POLICE HEADQUATER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172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18</v>
      </c>
      <c r="D10" s="50">
        <v>6</v>
      </c>
      <c r="E10" s="50">
        <v>4</v>
      </c>
      <c r="F10" s="50">
        <v>4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73" si="0">SUM(C10:L10,N10)</f>
        <v>32</v>
      </c>
      <c r="P10" s="15">
        <f t="shared" ref="P10:P73" si="1">SUM(C10:N10)</f>
        <v>42</v>
      </c>
      <c r="R10" s="1" t="s">
        <v>6</v>
      </c>
      <c r="S10" s="17">
        <f t="shared" ref="S10:AF10" si="2">SUM(C10:C13)</f>
        <v>91</v>
      </c>
      <c r="T10" s="17">
        <f t="shared" si="2"/>
        <v>40</v>
      </c>
      <c r="U10" s="17">
        <f t="shared" si="2"/>
        <v>18</v>
      </c>
      <c r="V10" s="17">
        <f t="shared" si="2"/>
        <v>25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81</v>
      </c>
      <c r="AD10" s="17">
        <f t="shared" si="2"/>
        <v>0</v>
      </c>
      <c r="AE10" s="31">
        <f t="shared" si="2"/>
        <v>175</v>
      </c>
      <c r="AF10" s="31">
        <f t="shared" si="2"/>
        <v>256</v>
      </c>
    </row>
    <row r="11" spans="2:32" s="6" customFormat="1" ht="23.1" customHeight="1" x14ac:dyDescent="0.25">
      <c r="B11" s="45" t="s">
        <v>38</v>
      </c>
      <c r="C11" s="50">
        <v>22</v>
      </c>
      <c r="D11" s="50">
        <v>12</v>
      </c>
      <c r="E11" s="50">
        <v>3</v>
      </c>
      <c r="F11" s="50">
        <v>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12</v>
      </c>
      <c r="N11" s="50">
        <v>0</v>
      </c>
      <c r="O11" s="15">
        <f t="shared" si="0"/>
        <v>42</v>
      </c>
      <c r="P11" s="15">
        <f t="shared" si="1"/>
        <v>54</v>
      </c>
      <c r="R11" s="1" t="s">
        <v>7</v>
      </c>
      <c r="S11" s="17">
        <f t="shared" ref="S11:AF11" si="3">SUM(C14:C17)</f>
        <v>263</v>
      </c>
      <c r="T11" s="17">
        <f t="shared" si="3"/>
        <v>50</v>
      </c>
      <c r="U11" s="17">
        <f t="shared" si="3"/>
        <v>18</v>
      </c>
      <c r="V11" s="17">
        <f t="shared" si="3"/>
        <v>44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2</v>
      </c>
      <c r="AA11" s="17">
        <f t="shared" si="3"/>
        <v>0</v>
      </c>
      <c r="AB11" s="17">
        <f t="shared" si="3"/>
        <v>3</v>
      </c>
      <c r="AC11" s="17">
        <f t="shared" si="3"/>
        <v>209</v>
      </c>
      <c r="AD11" s="17">
        <f t="shared" si="3"/>
        <v>0</v>
      </c>
      <c r="AE11" s="31">
        <f t="shared" si="3"/>
        <v>391</v>
      </c>
      <c r="AF11" s="31">
        <f t="shared" si="3"/>
        <v>600</v>
      </c>
    </row>
    <row r="12" spans="2:32" ht="23.1" customHeight="1" x14ac:dyDescent="0.25">
      <c r="B12" s="45" t="s">
        <v>39</v>
      </c>
      <c r="C12" s="50">
        <v>15</v>
      </c>
      <c r="D12" s="50">
        <v>8</v>
      </c>
      <c r="E12" s="50">
        <v>7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34</v>
      </c>
      <c r="P12" s="15">
        <f t="shared" si="1"/>
        <v>48</v>
      </c>
      <c r="R12" s="1" t="s">
        <v>8</v>
      </c>
      <c r="S12" s="17">
        <f t="shared" ref="S12:AF12" si="4">SUM(C18:C21)</f>
        <v>595</v>
      </c>
      <c r="T12" s="17">
        <f t="shared" si="4"/>
        <v>97</v>
      </c>
      <c r="U12" s="17">
        <f t="shared" si="4"/>
        <v>35</v>
      </c>
      <c r="V12" s="17">
        <f t="shared" si="4"/>
        <v>34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8</v>
      </c>
      <c r="AA12" s="17">
        <f t="shared" si="4"/>
        <v>7</v>
      </c>
      <c r="AB12" s="17">
        <f t="shared" si="4"/>
        <v>0</v>
      </c>
      <c r="AC12" s="17">
        <f t="shared" si="4"/>
        <v>320</v>
      </c>
      <c r="AD12" s="17">
        <f t="shared" si="4"/>
        <v>0</v>
      </c>
      <c r="AE12" s="31">
        <f t="shared" si="4"/>
        <v>784</v>
      </c>
      <c r="AF12" s="31">
        <f t="shared" si="4"/>
        <v>1104</v>
      </c>
    </row>
    <row r="13" spans="2:32" ht="23.1" customHeight="1" x14ac:dyDescent="0.25">
      <c r="B13" s="45" t="s">
        <v>40</v>
      </c>
      <c r="C13" s="50">
        <v>36</v>
      </c>
      <c r="D13" s="50">
        <v>14</v>
      </c>
      <c r="E13" s="50">
        <v>4</v>
      </c>
      <c r="F13" s="50">
        <v>13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67</v>
      </c>
      <c r="P13" s="15">
        <f t="shared" si="1"/>
        <v>112</v>
      </c>
      <c r="R13" s="1" t="s">
        <v>9</v>
      </c>
      <c r="S13" s="17">
        <f t="shared" ref="S13:AF13" si="5">SUM(C22:C25)</f>
        <v>475</v>
      </c>
      <c r="T13" s="17">
        <f t="shared" si="5"/>
        <v>104</v>
      </c>
      <c r="U13" s="17">
        <f t="shared" si="5"/>
        <v>32</v>
      </c>
      <c r="V13" s="17">
        <f t="shared" si="5"/>
        <v>27</v>
      </c>
      <c r="W13" s="17">
        <f t="shared" si="5"/>
        <v>1</v>
      </c>
      <c r="X13" s="17">
        <f t="shared" si="5"/>
        <v>0</v>
      </c>
      <c r="Y13" s="17">
        <f t="shared" si="5"/>
        <v>16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295</v>
      </c>
      <c r="AD13" s="17">
        <f t="shared" si="5"/>
        <v>0</v>
      </c>
      <c r="AE13" s="31">
        <f t="shared" si="5"/>
        <v>660</v>
      </c>
      <c r="AF13" s="31">
        <f t="shared" si="5"/>
        <v>955</v>
      </c>
    </row>
    <row r="14" spans="2:32" ht="23.1" customHeight="1" x14ac:dyDescent="0.25">
      <c r="B14" s="45" t="s">
        <v>41</v>
      </c>
      <c r="C14" s="50">
        <v>35</v>
      </c>
      <c r="D14" s="50">
        <v>12</v>
      </c>
      <c r="E14" s="50">
        <v>5</v>
      </c>
      <c r="F14" s="50">
        <v>9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45</v>
      </c>
      <c r="N14" s="50">
        <v>0</v>
      </c>
      <c r="O14" s="15">
        <f t="shared" si="0"/>
        <v>65</v>
      </c>
      <c r="P14" s="15">
        <f t="shared" si="1"/>
        <v>110</v>
      </c>
      <c r="R14" s="1" t="s">
        <v>10</v>
      </c>
      <c r="S14" s="17">
        <f t="shared" ref="S14:AF14" si="6">SUM(C26:C29)</f>
        <v>543</v>
      </c>
      <c r="T14" s="17">
        <f t="shared" si="6"/>
        <v>126</v>
      </c>
      <c r="U14" s="17">
        <f t="shared" si="6"/>
        <v>48</v>
      </c>
      <c r="V14" s="17">
        <f t="shared" si="6"/>
        <v>37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208</v>
      </c>
      <c r="AD14" s="17">
        <f t="shared" si="6"/>
        <v>1</v>
      </c>
      <c r="AE14" s="31">
        <f t="shared" si="6"/>
        <v>776</v>
      </c>
      <c r="AF14" s="31">
        <f t="shared" si="6"/>
        <v>984</v>
      </c>
    </row>
    <row r="15" spans="2:32" ht="23.1" customHeight="1" x14ac:dyDescent="0.25">
      <c r="B15" s="45" t="s">
        <v>42</v>
      </c>
      <c r="C15" s="50">
        <v>45</v>
      </c>
      <c r="D15" s="50">
        <v>9</v>
      </c>
      <c r="E15" s="50">
        <v>4</v>
      </c>
      <c r="F15" s="50">
        <v>11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40</v>
      </c>
      <c r="N15" s="50">
        <v>0</v>
      </c>
      <c r="O15" s="15">
        <f t="shared" si="0"/>
        <v>69</v>
      </c>
      <c r="P15" s="15">
        <f t="shared" si="1"/>
        <v>109</v>
      </c>
      <c r="R15" s="1" t="s">
        <v>11</v>
      </c>
      <c r="S15" s="17">
        <f t="shared" ref="S15:AF15" si="7">SUM(C30:C33)</f>
        <v>575</v>
      </c>
      <c r="T15" s="17">
        <f t="shared" si="7"/>
        <v>131</v>
      </c>
      <c r="U15" s="17">
        <f t="shared" si="7"/>
        <v>40</v>
      </c>
      <c r="V15" s="17">
        <f t="shared" si="7"/>
        <v>41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254</v>
      </c>
      <c r="AD15" s="17">
        <f t="shared" si="7"/>
        <v>0</v>
      </c>
      <c r="AE15" s="31">
        <f t="shared" si="7"/>
        <v>819</v>
      </c>
      <c r="AF15" s="31">
        <f t="shared" si="7"/>
        <v>1073</v>
      </c>
    </row>
    <row r="16" spans="2:32" ht="23.1" customHeight="1" x14ac:dyDescent="0.25">
      <c r="B16" s="45" t="s">
        <v>43</v>
      </c>
      <c r="C16" s="50">
        <v>73</v>
      </c>
      <c r="D16" s="50">
        <v>8</v>
      </c>
      <c r="E16" s="50">
        <v>6</v>
      </c>
      <c r="F16" s="50">
        <v>9</v>
      </c>
      <c r="G16" s="50">
        <v>0</v>
      </c>
      <c r="H16" s="50">
        <v>0</v>
      </c>
      <c r="I16" s="50">
        <v>5</v>
      </c>
      <c r="J16" s="50">
        <v>0</v>
      </c>
      <c r="K16" s="50">
        <v>0</v>
      </c>
      <c r="L16" s="50">
        <v>3</v>
      </c>
      <c r="M16" s="50">
        <v>50</v>
      </c>
      <c r="N16" s="50">
        <v>0</v>
      </c>
      <c r="O16" s="15">
        <f t="shared" si="0"/>
        <v>104</v>
      </c>
      <c r="P16" s="15">
        <f t="shared" si="1"/>
        <v>154</v>
      </c>
      <c r="R16" s="1" t="s">
        <v>12</v>
      </c>
      <c r="S16" s="17">
        <f t="shared" ref="S16:AF16" si="8">SUM(C34:C37)</f>
        <v>437</v>
      </c>
      <c r="T16" s="17">
        <f t="shared" si="8"/>
        <v>76</v>
      </c>
      <c r="U16" s="17">
        <f t="shared" si="8"/>
        <v>36</v>
      </c>
      <c r="V16" s="17">
        <f t="shared" si="8"/>
        <v>33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5</v>
      </c>
      <c r="AA16" s="17">
        <f t="shared" si="8"/>
        <v>3</v>
      </c>
      <c r="AB16" s="17">
        <f t="shared" si="8"/>
        <v>0</v>
      </c>
      <c r="AC16" s="17">
        <f t="shared" si="8"/>
        <v>294</v>
      </c>
      <c r="AD16" s="17">
        <f t="shared" si="8"/>
        <v>0</v>
      </c>
      <c r="AE16" s="31">
        <f t="shared" si="8"/>
        <v>603</v>
      </c>
      <c r="AF16" s="31">
        <f t="shared" si="8"/>
        <v>897</v>
      </c>
    </row>
    <row r="17" spans="2:32" ht="23.1" customHeight="1" x14ac:dyDescent="0.25">
      <c r="B17" s="45" t="s">
        <v>44</v>
      </c>
      <c r="C17" s="50">
        <v>110</v>
      </c>
      <c r="D17" s="50">
        <v>21</v>
      </c>
      <c r="E17" s="50">
        <v>3</v>
      </c>
      <c r="F17" s="50">
        <v>15</v>
      </c>
      <c r="G17" s="50">
        <v>1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74</v>
      </c>
      <c r="N17" s="50">
        <v>0</v>
      </c>
      <c r="O17" s="15">
        <f t="shared" si="0"/>
        <v>153</v>
      </c>
      <c r="P17" s="15">
        <f t="shared" si="1"/>
        <v>227</v>
      </c>
      <c r="R17" s="1" t="s">
        <v>13</v>
      </c>
      <c r="S17" s="17">
        <f t="shared" ref="S17:AF17" si="9">SUM(C38:C41)</f>
        <v>462</v>
      </c>
      <c r="T17" s="17">
        <f t="shared" si="9"/>
        <v>66</v>
      </c>
      <c r="U17" s="17">
        <f t="shared" si="9"/>
        <v>33</v>
      </c>
      <c r="V17" s="17">
        <f t="shared" si="9"/>
        <v>37</v>
      </c>
      <c r="W17" s="17">
        <f t="shared" si="9"/>
        <v>0</v>
      </c>
      <c r="X17" s="17">
        <f t="shared" si="9"/>
        <v>1</v>
      </c>
      <c r="Y17" s="17">
        <f t="shared" si="9"/>
        <v>23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284</v>
      </c>
      <c r="AD17" s="17">
        <f t="shared" si="9"/>
        <v>0</v>
      </c>
      <c r="AE17" s="31">
        <f t="shared" si="9"/>
        <v>627</v>
      </c>
      <c r="AF17" s="31">
        <f t="shared" si="9"/>
        <v>911</v>
      </c>
    </row>
    <row r="18" spans="2:32" ht="23.1" customHeight="1" x14ac:dyDescent="0.25">
      <c r="B18" s="45" t="s">
        <v>45</v>
      </c>
      <c r="C18" s="50">
        <v>110</v>
      </c>
      <c r="D18" s="50">
        <v>27</v>
      </c>
      <c r="E18" s="50">
        <v>10</v>
      </c>
      <c r="F18" s="50">
        <v>11</v>
      </c>
      <c r="G18" s="50">
        <v>0</v>
      </c>
      <c r="H18" s="50">
        <v>0</v>
      </c>
      <c r="I18" s="50">
        <v>2</v>
      </c>
      <c r="J18" s="50">
        <v>4</v>
      </c>
      <c r="K18" s="50">
        <v>2</v>
      </c>
      <c r="L18" s="50">
        <v>0</v>
      </c>
      <c r="M18" s="50">
        <v>95</v>
      </c>
      <c r="N18" s="50">
        <v>0</v>
      </c>
      <c r="O18" s="15">
        <f t="shared" si="0"/>
        <v>166</v>
      </c>
      <c r="P18" s="15">
        <f t="shared" si="1"/>
        <v>261</v>
      </c>
      <c r="R18" s="1" t="s">
        <v>14</v>
      </c>
      <c r="S18" s="17">
        <f t="shared" ref="S18:AF18" si="10">SUM(C42:C45)</f>
        <v>475</v>
      </c>
      <c r="T18" s="17">
        <f t="shared" si="10"/>
        <v>94</v>
      </c>
      <c r="U18" s="17">
        <f t="shared" si="10"/>
        <v>46</v>
      </c>
      <c r="V18" s="17">
        <f t="shared" si="10"/>
        <v>31</v>
      </c>
      <c r="W18" s="17">
        <f t="shared" si="10"/>
        <v>2</v>
      </c>
      <c r="X18" s="17">
        <f t="shared" si="10"/>
        <v>0</v>
      </c>
      <c r="Y18" s="17">
        <f t="shared" si="10"/>
        <v>22</v>
      </c>
      <c r="Z18" s="17">
        <f t="shared" si="10"/>
        <v>3</v>
      </c>
      <c r="AA18" s="17">
        <f t="shared" si="10"/>
        <v>3</v>
      </c>
      <c r="AB18" s="17">
        <f t="shared" si="10"/>
        <v>0</v>
      </c>
      <c r="AC18" s="17">
        <f t="shared" si="10"/>
        <v>315</v>
      </c>
      <c r="AD18" s="17">
        <f t="shared" si="10"/>
        <v>0</v>
      </c>
      <c r="AE18" s="31">
        <f t="shared" si="10"/>
        <v>676</v>
      </c>
      <c r="AF18" s="31">
        <f t="shared" si="10"/>
        <v>991</v>
      </c>
    </row>
    <row r="19" spans="2:32" ht="23.1" customHeight="1" x14ac:dyDescent="0.25">
      <c r="B19" s="45" t="s">
        <v>46</v>
      </c>
      <c r="C19" s="50">
        <v>115</v>
      </c>
      <c r="D19" s="50">
        <v>20</v>
      </c>
      <c r="E19" s="50">
        <v>9</v>
      </c>
      <c r="F19" s="50">
        <v>10</v>
      </c>
      <c r="G19" s="50">
        <v>0</v>
      </c>
      <c r="H19" s="50">
        <v>0</v>
      </c>
      <c r="I19" s="50">
        <v>2</v>
      </c>
      <c r="J19" s="50">
        <v>2</v>
      </c>
      <c r="K19" s="50">
        <v>2</v>
      </c>
      <c r="L19" s="50">
        <v>0</v>
      </c>
      <c r="M19" s="50">
        <v>80</v>
      </c>
      <c r="N19" s="50">
        <v>0</v>
      </c>
      <c r="O19" s="15">
        <f t="shared" si="0"/>
        <v>160</v>
      </c>
      <c r="P19" s="15">
        <f t="shared" si="1"/>
        <v>240</v>
      </c>
      <c r="R19" s="1" t="s">
        <v>15</v>
      </c>
      <c r="S19" s="17">
        <f t="shared" ref="S19:AF19" si="11">SUM(C46:C49)</f>
        <v>535</v>
      </c>
      <c r="T19" s="17">
        <f t="shared" si="11"/>
        <v>64</v>
      </c>
      <c r="U19" s="17">
        <f t="shared" si="11"/>
        <v>33</v>
      </c>
      <c r="V19" s="17">
        <f t="shared" si="11"/>
        <v>32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6</v>
      </c>
      <c r="AA19" s="17">
        <f t="shared" si="11"/>
        <v>3</v>
      </c>
      <c r="AB19" s="17">
        <f t="shared" si="11"/>
        <v>0</v>
      </c>
      <c r="AC19" s="17">
        <f t="shared" si="11"/>
        <v>308</v>
      </c>
      <c r="AD19" s="17">
        <f t="shared" si="11"/>
        <v>0</v>
      </c>
      <c r="AE19" s="31">
        <f t="shared" si="11"/>
        <v>684</v>
      </c>
      <c r="AF19" s="31">
        <f t="shared" si="11"/>
        <v>992</v>
      </c>
    </row>
    <row r="20" spans="2:32" ht="23.1" customHeight="1" x14ac:dyDescent="0.25">
      <c r="B20" s="45" t="s">
        <v>47</v>
      </c>
      <c r="C20" s="50">
        <v>145</v>
      </c>
      <c r="D20" s="50">
        <v>25</v>
      </c>
      <c r="E20" s="50">
        <v>8</v>
      </c>
      <c r="F20" s="50">
        <v>9</v>
      </c>
      <c r="G20" s="50">
        <v>0</v>
      </c>
      <c r="H20" s="50">
        <v>0</v>
      </c>
      <c r="I20" s="50">
        <v>2</v>
      </c>
      <c r="J20" s="50">
        <v>1</v>
      </c>
      <c r="K20" s="50">
        <v>2</v>
      </c>
      <c r="L20" s="50">
        <v>0</v>
      </c>
      <c r="M20" s="50">
        <v>75</v>
      </c>
      <c r="N20" s="50">
        <v>0</v>
      </c>
      <c r="O20" s="15">
        <f t="shared" si="0"/>
        <v>192</v>
      </c>
      <c r="P20" s="15">
        <f t="shared" si="1"/>
        <v>267</v>
      </c>
      <c r="R20" s="1" t="s">
        <v>16</v>
      </c>
      <c r="S20" s="17">
        <f t="shared" ref="S20:AF20" si="12">SUM(C50:C53)</f>
        <v>440</v>
      </c>
      <c r="T20" s="17">
        <f t="shared" si="12"/>
        <v>67</v>
      </c>
      <c r="U20" s="17">
        <f t="shared" si="12"/>
        <v>28</v>
      </c>
      <c r="V20" s="17">
        <f t="shared" si="12"/>
        <v>27</v>
      </c>
      <c r="W20" s="17">
        <f t="shared" si="12"/>
        <v>1</v>
      </c>
      <c r="X20" s="17">
        <f t="shared" si="12"/>
        <v>0</v>
      </c>
      <c r="Y20" s="17">
        <f t="shared" si="12"/>
        <v>19</v>
      </c>
      <c r="Z20" s="17">
        <f t="shared" si="12"/>
        <v>5</v>
      </c>
      <c r="AA20" s="17">
        <f t="shared" si="12"/>
        <v>3</v>
      </c>
      <c r="AB20" s="17">
        <f t="shared" si="12"/>
        <v>0</v>
      </c>
      <c r="AC20" s="17">
        <f t="shared" si="12"/>
        <v>260</v>
      </c>
      <c r="AD20" s="17">
        <f t="shared" si="12"/>
        <v>0</v>
      </c>
      <c r="AE20" s="31">
        <f t="shared" si="12"/>
        <v>590</v>
      </c>
      <c r="AF20" s="31">
        <f t="shared" si="12"/>
        <v>850</v>
      </c>
    </row>
    <row r="21" spans="2:32" ht="23.1" customHeight="1" x14ac:dyDescent="0.25">
      <c r="B21" s="45" t="s">
        <v>48</v>
      </c>
      <c r="C21" s="50">
        <v>225</v>
      </c>
      <c r="D21" s="50">
        <v>25</v>
      </c>
      <c r="E21" s="50">
        <v>8</v>
      </c>
      <c r="F21" s="50">
        <v>4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70</v>
      </c>
      <c r="N21" s="50">
        <v>0</v>
      </c>
      <c r="O21" s="15">
        <f t="shared" si="0"/>
        <v>266</v>
      </c>
      <c r="P21" s="15">
        <f t="shared" si="1"/>
        <v>336</v>
      </c>
      <c r="R21" s="36" t="s">
        <v>20</v>
      </c>
      <c r="S21" s="34">
        <f t="shared" ref="S21:AF21" si="13">SUM(C54:C57)</f>
        <v>389</v>
      </c>
      <c r="T21" s="17">
        <f t="shared" si="13"/>
        <v>62</v>
      </c>
      <c r="U21" s="17">
        <f t="shared" si="13"/>
        <v>21</v>
      </c>
      <c r="V21" s="17">
        <f t="shared" si="13"/>
        <v>24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1</v>
      </c>
      <c r="AA21" s="17">
        <f t="shared" si="13"/>
        <v>2</v>
      </c>
      <c r="AB21" s="17">
        <f t="shared" si="13"/>
        <v>1</v>
      </c>
      <c r="AC21" s="17">
        <f t="shared" si="13"/>
        <v>267</v>
      </c>
      <c r="AD21" s="17">
        <f t="shared" si="13"/>
        <v>0</v>
      </c>
      <c r="AE21" s="31">
        <f t="shared" si="13"/>
        <v>513</v>
      </c>
      <c r="AF21" s="31">
        <f t="shared" si="13"/>
        <v>780</v>
      </c>
    </row>
    <row r="22" spans="2:32" ht="23.1" customHeight="1" x14ac:dyDescent="0.25">
      <c r="B22" s="45" t="s">
        <v>49</v>
      </c>
      <c r="C22" s="50">
        <v>80</v>
      </c>
      <c r="D22" s="50">
        <v>24</v>
      </c>
      <c r="E22" s="50">
        <v>6</v>
      </c>
      <c r="F22" s="50">
        <v>7</v>
      </c>
      <c r="G22" s="50">
        <v>1</v>
      </c>
      <c r="H22" s="50">
        <v>0</v>
      </c>
      <c r="I22" s="50">
        <v>6</v>
      </c>
      <c r="J22" s="50">
        <v>2</v>
      </c>
      <c r="K22" s="50">
        <v>0</v>
      </c>
      <c r="L22" s="50">
        <v>0</v>
      </c>
      <c r="M22" s="50">
        <v>69</v>
      </c>
      <c r="N22" s="50">
        <v>0</v>
      </c>
      <c r="O22" s="15">
        <f t="shared" si="0"/>
        <v>126</v>
      </c>
      <c r="P22" s="15">
        <f t="shared" si="1"/>
        <v>195</v>
      </c>
      <c r="R22" s="36" t="s">
        <v>146</v>
      </c>
      <c r="S22" s="34">
        <f>SUM(C58:C61)</f>
        <v>217</v>
      </c>
      <c r="T22" s="34">
        <f t="shared" ref="T22:AF22" si="14">SUM(D58:D61)</f>
        <v>306</v>
      </c>
      <c r="U22" s="34">
        <f t="shared" si="14"/>
        <v>32</v>
      </c>
      <c r="V22" s="34">
        <f t="shared" si="14"/>
        <v>11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1</v>
      </c>
      <c r="AA22" s="34">
        <f t="shared" si="14"/>
        <v>3</v>
      </c>
      <c r="AB22" s="34">
        <f t="shared" si="14"/>
        <v>1</v>
      </c>
      <c r="AC22" s="34">
        <f t="shared" si="14"/>
        <v>332</v>
      </c>
      <c r="AD22" s="34">
        <f t="shared" si="14"/>
        <v>0</v>
      </c>
      <c r="AE22" s="31">
        <f t="shared" si="14"/>
        <v>577</v>
      </c>
      <c r="AF22" s="31">
        <f t="shared" si="14"/>
        <v>909</v>
      </c>
    </row>
    <row r="23" spans="2:32" ht="23.1" customHeight="1" x14ac:dyDescent="0.25">
      <c r="B23" s="45" t="s">
        <v>50</v>
      </c>
      <c r="C23" s="50">
        <v>120</v>
      </c>
      <c r="D23" s="50">
        <v>18</v>
      </c>
      <c r="E23" s="50">
        <v>10</v>
      </c>
      <c r="F23" s="50">
        <v>5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68</v>
      </c>
      <c r="N23" s="50">
        <v>0</v>
      </c>
      <c r="O23" s="15">
        <f t="shared" si="0"/>
        <v>154</v>
      </c>
      <c r="P23" s="15">
        <f t="shared" si="1"/>
        <v>222</v>
      </c>
      <c r="R23" s="36" t="s">
        <v>147</v>
      </c>
      <c r="S23" s="34">
        <f>SUM(C62:C65)</f>
        <v>163</v>
      </c>
      <c r="T23" s="34">
        <f t="shared" ref="T23:AF23" si="15">SUM(D62:D65)</f>
        <v>50</v>
      </c>
      <c r="U23" s="34">
        <f t="shared" si="15"/>
        <v>17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228</v>
      </c>
      <c r="AD23" s="34">
        <f t="shared" si="15"/>
        <v>0</v>
      </c>
      <c r="AE23" s="31">
        <f t="shared" si="15"/>
        <v>241</v>
      </c>
      <c r="AF23" s="31">
        <f t="shared" si="15"/>
        <v>469</v>
      </c>
    </row>
    <row r="24" spans="2:32" ht="23.1" customHeight="1" x14ac:dyDescent="0.25">
      <c r="B24" s="45" t="s">
        <v>51</v>
      </c>
      <c r="C24" s="50">
        <v>125</v>
      </c>
      <c r="D24" s="50">
        <v>41</v>
      </c>
      <c r="E24" s="50">
        <v>11</v>
      </c>
      <c r="F24" s="50">
        <v>10</v>
      </c>
      <c r="G24" s="50">
        <v>0</v>
      </c>
      <c r="H24" s="50">
        <v>0</v>
      </c>
      <c r="I24" s="50">
        <v>8</v>
      </c>
      <c r="J24" s="50">
        <v>0</v>
      </c>
      <c r="K24" s="50">
        <v>2</v>
      </c>
      <c r="L24" s="50">
        <v>0</v>
      </c>
      <c r="M24" s="50">
        <v>88</v>
      </c>
      <c r="N24" s="50">
        <v>0</v>
      </c>
      <c r="O24" s="15">
        <f t="shared" si="0"/>
        <v>197</v>
      </c>
      <c r="P24" s="15">
        <f t="shared" si="1"/>
        <v>285</v>
      </c>
      <c r="R24" s="36" t="s">
        <v>148</v>
      </c>
      <c r="S24" s="34">
        <f>SUM(C66:C69)</f>
        <v>124</v>
      </c>
      <c r="T24" s="34">
        <f t="shared" ref="T24:AF24" si="16">SUM(D66:D69)</f>
        <v>32</v>
      </c>
      <c r="U24" s="34">
        <f t="shared" si="16"/>
        <v>13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95</v>
      </c>
      <c r="AD24" s="34">
        <f t="shared" si="16"/>
        <v>0</v>
      </c>
      <c r="AE24" s="31">
        <f t="shared" si="16"/>
        <v>175</v>
      </c>
      <c r="AF24" s="31">
        <f t="shared" si="16"/>
        <v>270</v>
      </c>
    </row>
    <row r="25" spans="2:32" ht="23.1" customHeight="1" x14ac:dyDescent="0.25">
      <c r="B25" s="45" t="s">
        <v>52</v>
      </c>
      <c r="C25" s="50">
        <v>150</v>
      </c>
      <c r="D25" s="50">
        <v>21</v>
      </c>
      <c r="E25" s="50">
        <v>5</v>
      </c>
      <c r="F25" s="50">
        <v>5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70</v>
      </c>
      <c r="N25" s="50">
        <v>0</v>
      </c>
      <c r="O25" s="15">
        <f t="shared" si="0"/>
        <v>183</v>
      </c>
      <c r="P25" s="15">
        <f t="shared" si="1"/>
        <v>253</v>
      </c>
      <c r="R25" s="36" t="s">
        <v>149</v>
      </c>
      <c r="S25" s="34">
        <f>SUM(C70:C73)</f>
        <v>75</v>
      </c>
      <c r="T25" s="34">
        <f t="shared" ref="T25:AF25" si="17">SUM(D70:D73)</f>
        <v>24</v>
      </c>
      <c r="U25" s="34">
        <f t="shared" si="17"/>
        <v>9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2</v>
      </c>
      <c r="AA25" s="34">
        <f t="shared" si="17"/>
        <v>2</v>
      </c>
      <c r="AB25" s="34">
        <f t="shared" si="17"/>
        <v>1</v>
      </c>
      <c r="AC25" s="34">
        <f t="shared" si="17"/>
        <v>51</v>
      </c>
      <c r="AD25" s="34">
        <f t="shared" si="17"/>
        <v>0</v>
      </c>
      <c r="AE25" s="31">
        <f t="shared" si="17"/>
        <v>122</v>
      </c>
      <c r="AF25" s="31">
        <f t="shared" si="17"/>
        <v>173</v>
      </c>
    </row>
    <row r="26" spans="2:32" ht="23.1" customHeight="1" x14ac:dyDescent="0.25">
      <c r="B26" s="45" t="s">
        <v>53</v>
      </c>
      <c r="C26" s="50">
        <v>130</v>
      </c>
      <c r="D26" s="50">
        <v>26</v>
      </c>
      <c r="E26" s="50">
        <v>6</v>
      </c>
      <c r="F26" s="50">
        <v>8</v>
      </c>
      <c r="G26" s="50">
        <v>0</v>
      </c>
      <c r="H26" s="50">
        <v>0</v>
      </c>
      <c r="I26" s="50">
        <v>7</v>
      </c>
      <c r="J26" s="50">
        <v>2</v>
      </c>
      <c r="K26" s="50">
        <v>0</v>
      </c>
      <c r="L26" s="50">
        <v>0</v>
      </c>
      <c r="M26" s="50">
        <v>62</v>
      </c>
      <c r="N26" s="50">
        <v>0</v>
      </c>
      <c r="O26" s="15">
        <f t="shared" si="0"/>
        <v>179</v>
      </c>
      <c r="P26" s="15">
        <f t="shared" si="1"/>
        <v>241</v>
      </c>
      <c r="R26" s="36" t="s">
        <v>150</v>
      </c>
      <c r="S26" s="34">
        <f>SUM(C74:C77)</f>
        <v>61</v>
      </c>
      <c r="T26" s="34">
        <f t="shared" ref="T26:AF26" si="18">SUM(D74:D77)</f>
        <v>15</v>
      </c>
      <c r="U26" s="34">
        <f t="shared" si="18"/>
        <v>2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28</v>
      </c>
      <c r="AD26" s="34">
        <f t="shared" si="18"/>
        <v>0</v>
      </c>
      <c r="AE26" s="31">
        <f t="shared" si="18"/>
        <v>82</v>
      </c>
      <c r="AF26" s="31">
        <f t="shared" si="18"/>
        <v>110</v>
      </c>
    </row>
    <row r="27" spans="2:32" ht="23.1" customHeight="1" x14ac:dyDescent="0.25">
      <c r="B27" s="45" t="s">
        <v>54</v>
      </c>
      <c r="C27" s="50">
        <v>133</v>
      </c>
      <c r="D27" s="50">
        <v>26</v>
      </c>
      <c r="E27" s="50">
        <v>10</v>
      </c>
      <c r="F27" s="50">
        <v>11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52</v>
      </c>
      <c r="N27" s="50">
        <v>1</v>
      </c>
      <c r="O27" s="15">
        <f t="shared" si="0"/>
        <v>183</v>
      </c>
      <c r="P27" s="15">
        <f t="shared" si="1"/>
        <v>235</v>
      </c>
      <c r="R27" s="36" t="s">
        <v>151</v>
      </c>
      <c r="S27" s="34">
        <f>SUM(C78:C81)</f>
        <v>18</v>
      </c>
      <c r="T27" s="34">
        <f t="shared" ref="T27:AF27" si="19">SUM(D78:D81)</f>
        <v>5</v>
      </c>
      <c r="U27" s="34">
        <f t="shared" si="19"/>
        <v>3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23</v>
      </c>
      <c r="AD27" s="34">
        <f t="shared" si="19"/>
        <v>0</v>
      </c>
      <c r="AE27" s="31">
        <f t="shared" si="19"/>
        <v>30</v>
      </c>
      <c r="AF27" s="31">
        <f t="shared" si="19"/>
        <v>53</v>
      </c>
    </row>
    <row r="28" spans="2:32" ht="23.1" customHeight="1" x14ac:dyDescent="0.25">
      <c r="B28" s="45" t="s">
        <v>55</v>
      </c>
      <c r="C28" s="50">
        <v>130</v>
      </c>
      <c r="D28" s="50">
        <v>35</v>
      </c>
      <c r="E28" s="50">
        <v>17</v>
      </c>
      <c r="F28" s="50">
        <v>7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193</v>
      </c>
      <c r="P28" s="15">
        <f t="shared" si="1"/>
        <v>238</v>
      </c>
      <c r="R28" s="36" t="s">
        <v>152</v>
      </c>
      <c r="S28" s="34">
        <f>SUM(C82:C85)</f>
        <v>10</v>
      </c>
      <c r="T28" s="34">
        <f t="shared" ref="T28:AF28" si="20">SUM(D82:D85)</f>
        <v>5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11</v>
      </c>
      <c r="AD28" s="34">
        <f t="shared" si="20"/>
        <v>0</v>
      </c>
      <c r="AE28" s="31">
        <f t="shared" si="20"/>
        <v>15</v>
      </c>
      <c r="AF28" s="31">
        <f t="shared" si="20"/>
        <v>26</v>
      </c>
    </row>
    <row r="29" spans="2:32" ht="23.1" customHeight="1" x14ac:dyDescent="0.25">
      <c r="B29" s="45" t="s">
        <v>56</v>
      </c>
      <c r="C29" s="50">
        <v>150</v>
      </c>
      <c r="D29" s="50">
        <v>39</v>
      </c>
      <c r="E29" s="50">
        <v>15</v>
      </c>
      <c r="F29" s="50">
        <v>11</v>
      </c>
      <c r="G29" s="50">
        <v>0</v>
      </c>
      <c r="H29" s="50">
        <v>0</v>
      </c>
      <c r="I29" s="50">
        <v>3</v>
      </c>
      <c r="J29" s="50">
        <v>2</v>
      </c>
      <c r="K29" s="50">
        <v>1</v>
      </c>
      <c r="L29" s="50">
        <v>0</v>
      </c>
      <c r="M29" s="50">
        <v>49</v>
      </c>
      <c r="N29" s="50">
        <v>0</v>
      </c>
      <c r="O29" s="15">
        <f t="shared" si="0"/>
        <v>221</v>
      </c>
      <c r="P29" s="15">
        <f t="shared" si="1"/>
        <v>270</v>
      </c>
      <c r="R29" s="36" t="s">
        <v>153</v>
      </c>
      <c r="S29" s="34">
        <f>SUM(C86:C89)</f>
        <v>20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23</v>
      </c>
      <c r="AF29" s="31">
        <f t="shared" si="21"/>
        <v>27</v>
      </c>
    </row>
    <row r="30" spans="2:32" ht="23.1" customHeight="1" x14ac:dyDescent="0.25">
      <c r="B30" s="45" t="s">
        <v>57</v>
      </c>
      <c r="C30" s="50">
        <v>150</v>
      </c>
      <c r="D30" s="50">
        <v>25</v>
      </c>
      <c r="E30" s="50">
        <v>11</v>
      </c>
      <c r="F30" s="50">
        <v>10</v>
      </c>
      <c r="G30" s="50">
        <v>0</v>
      </c>
      <c r="H30" s="50">
        <v>0</v>
      </c>
      <c r="I30" s="50">
        <v>8</v>
      </c>
      <c r="J30" s="50">
        <v>1</v>
      </c>
      <c r="K30" s="50">
        <v>0</v>
      </c>
      <c r="L30" s="50">
        <v>0</v>
      </c>
      <c r="M30" s="50">
        <v>72</v>
      </c>
      <c r="N30" s="50">
        <v>0</v>
      </c>
      <c r="O30" s="15">
        <f t="shared" si="0"/>
        <v>205</v>
      </c>
      <c r="P30" s="15">
        <f t="shared" si="1"/>
        <v>277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6</v>
      </c>
      <c r="AF30" s="31">
        <f t="shared" si="22"/>
        <v>13</v>
      </c>
    </row>
    <row r="31" spans="2:32" ht="23.1" customHeight="1" x14ac:dyDescent="0.25">
      <c r="B31" s="46" t="s">
        <v>58</v>
      </c>
      <c r="C31" s="50">
        <v>195</v>
      </c>
      <c r="D31" s="50">
        <v>45</v>
      </c>
      <c r="E31" s="50">
        <v>14</v>
      </c>
      <c r="F31" s="50">
        <v>12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62</v>
      </c>
      <c r="N31" s="50">
        <v>0</v>
      </c>
      <c r="O31" s="15">
        <f t="shared" si="0"/>
        <v>270</v>
      </c>
      <c r="P31" s="15">
        <f t="shared" si="1"/>
        <v>332</v>
      </c>
      <c r="R31" s="36" t="s">
        <v>155</v>
      </c>
      <c r="S31" s="34">
        <f>SUM(C94:C97)</f>
        <v>5</v>
      </c>
      <c r="T31" s="34">
        <f t="shared" ref="T31:AF31" si="23">SUM(D94:D97)</f>
        <v>6</v>
      </c>
      <c r="U31" s="34">
        <f t="shared" si="23"/>
        <v>1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17</v>
      </c>
      <c r="AD31" s="34">
        <f t="shared" si="23"/>
        <v>0</v>
      </c>
      <c r="AE31" s="31">
        <f t="shared" si="23"/>
        <v>14</v>
      </c>
      <c r="AF31" s="31">
        <f t="shared" si="23"/>
        <v>31</v>
      </c>
    </row>
    <row r="32" spans="2:32" ht="23.1" customHeight="1" x14ac:dyDescent="0.25">
      <c r="B32" s="46" t="s">
        <v>59</v>
      </c>
      <c r="C32" s="50">
        <v>90</v>
      </c>
      <c r="D32" s="50">
        <v>35</v>
      </c>
      <c r="E32" s="50">
        <v>7</v>
      </c>
      <c r="F32" s="50">
        <v>9</v>
      </c>
      <c r="G32" s="50">
        <v>0</v>
      </c>
      <c r="H32" s="50">
        <v>0</v>
      </c>
      <c r="I32" s="50">
        <v>8</v>
      </c>
      <c r="J32" s="50">
        <v>0</v>
      </c>
      <c r="K32" s="50">
        <v>0</v>
      </c>
      <c r="L32" s="50">
        <v>0</v>
      </c>
      <c r="M32" s="50">
        <v>61</v>
      </c>
      <c r="N32" s="50">
        <v>0</v>
      </c>
      <c r="O32" s="15">
        <f t="shared" si="0"/>
        <v>149</v>
      </c>
      <c r="P32" s="15">
        <f t="shared" si="1"/>
        <v>210</v>
      </c>
      <c r="R32" s="33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8</v>
      </c>
      <c r="AD32" s="34">
        <f t="shared" si="24"/>
        <v>0</v>
      </c>
      <c r="AE32" s="31">
        <f t="shared" si="24"/>
        <v>8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140</v>
      </c>
      <c r="D33" s="50">
        <v>26</v>
      </c>
      <c r="E33" s="50">
        <v>8</v>
      </c>
      <c r="F33" s="50">
        <v>10</v>
      </c>
      <c r="G33" s="50">
        <v>0</v>
      </c>
      <c r="H33" s="50">
        <v>0</v>
      </c>
      <c r="I33" s="50">
        <v>10</v>
      </c>
      <c r="J33" s="50">
        <v>0</v>
      </c>
      <c r="K33" s="50">
        <v>1</v>
      </c>
      <c r="L33" s="50">
        <v>0</v>
      </c>
      <c r="M33" s="50">
        <v>59</v>
      </c>
      <c r="N33" s="50">
        <v>0</v>
      </c>
      <c r="O33" s="15">
        <f t="shared" si="0"/>
        <v>195</v>
      </c>
      <c r="P33" s="15">
        <f t="shared" si="1"/>
        <v>254</v>
      </c>
      <c r="R33" s="33" t="s">
        <v>157</v>
      </c>
      <c r="S33" s="34">
        <f>SUM(C102:C105)</f>
        <v>22</v>
      </c>
      <c r="T33" s="34">
        <f t="shared" ref="T33:AF33" si="25">SUM(D102:D105)</f>
        <v>4</v>
      </c>
      <c r="U33" s="34">
        <f t="shared" si="25"/>
        <v>10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3</v>
      </c>
      <c r="AB33" s="34">
        <f t="shared" si="25"/>
        <v>0</v>
      </c>
      <c r="AC33" s="34">
        <f t="shared" si="25"/>
        <v>19</v>
      </c>
      <c r="AD33" s="34">
        <f t="shared" si="25"/>
        <v>0</v>
      </c>
      <c r="AE33" s="31">
        <f t="shared" si="25"/>
        <v>40</v>
      </c>
      <c r="AF33" s="31">
        <f t="shared" si="25"/>
        <v>59</v>
      </c>
    </row>
    <row r="34" spans="2:32" ht="23.1" customHeight="1" x14ac:dyDescent="0.25">
      <c r="B34" s="46" t="s">
        <v>61</v>
      </c>
      <c r="C34" s="50">
        <v>70</v>
      </c>
      <c r="D34" s="50">
        <v>14</v>
      </c>
      <c r="E34" s="50">
        <v>9</v>
      </c>
      <c r="F34" s="50">
        <v>13</v>
      </c>
      <c r="G34" s="50">
        <v>0</v>
      </c>
      <c r="H34" s="50">
        <v>0</v>
      </c>
      <c r="I34" s="50">
        <v>4</v>
      </c>
      <c r="J34" s="50">
        <v>0</v>
      </c>
      <c r="K34" s="50">
        <v>1</v>
      </c>
      <c r="L34" s="50">
        <v>0</v>
      </c>
      <c r="M34" s="50">
        <v>62</v>
      </c>
      <c r="N34" s="50">
        <v>0</v>
      </c>
      <c r="O34" s="15">
        <f t="shared" si="0"/>
        <v>111</v>
      </c>
      <c r="P34" s="15">
        <f t="shared" si="1"/>
        <v>173</v>
      </c>
      <c r="R34" s="38" t="s">
        <v>90</v>
      </c>
      <c r="S34" s="39">
        <f t="shared" ref="S34:AF34" si="26">MAX(S10:S12)</f>
        <v>595</v>
      </c>
      <c r="T34" s="39">
        <f t="shared" si="26"/>
        <v>97</v>
      </c>
      <c r="U34" s="39">
        <f t="shared" si="26"/>
        <v>35</v>
      </c>
      <c r="V34" s="39">
        <f t="shared" si="26"/>
        <v>44</v>
      </c>
      <c r="W34" s="39">
        <f t="shared" si="26"/>
        <v>1</v>
      </c>
      <c r="X34" s="39">
        <f t="shared" si="26"/>
        <v>0</v>
      </c>
      <c r="Y34" s="39">
        <f t="shared" si="26"/>
        <v>10</v>
      </c>
      <c r="Z34" s="39">
        <f t="shared" si="26"/>
        <v>8</v>
      </c>
      <c r="AA34" s="39">
        <f t="shared" si="26"/>
        <v>7</v>
      </c>
      <c r="AB34" s="39">
        <f t="shared" si="26"/>
        <v>3</v>
      </c>
      <c r="AC34" s="39">
        <f t="shared" si="26"/>
        <v>320</v>
      </c>
      <c r="AD34" s="39">
        <f t="shared" si="26"/>
        <v>0</v>
      </c>
      <c r="AE34" s="40">
        <f t="shared" si="26"/>
        <v>784</v>
      </c>
      <c r="AF34" s="40">
        <f t="shared" si="26"/>
        <v>1104</v>
      </c>
    </row>
    <row r="35" spans="2:32" ht="23.1" customHeight="1" x14ac:dyDescent="0.25">
      <c r="B35" s="46" t="s">
        <v>62</v>
      </c>
      <c r="C35" s="50">
        <v>70</v>
      </c>
      <c r="D35" s="50">
        <v>24</v>
      </c>
      <c r="E35" s="50">
        <v>9</v>
      </c>
      <c r="F35" s="50">
        <v>6</v>
      </c>
      <c r="G35" s="50">
        <v>0</v>
      </c>
      <c r="H35" s="50">
        <v>0</v>
      </c>
      <c r="I35" s="50">
        <v>5</v>
      </c>
      <c r="J35" s="50">
        <v>0</v>
      </c>
      <c r="K35" s="50">
        <v>1</v>
      </c>
      <c r="L35" s="50">
        <v>0</v>
      </c>
      <c r="M35" s="50">
        <v>60</v>
      </c>
      <c r="N35" s="50">
        <v>0</v>
      </c>
      <c r="O35" s="15">
        <f t="shared" si="0"/>
        <v>115</v>
      </c>
      <c r="P35" s="15">
        <f t="shared" si="1"/>
        <v>175</v>
      </c>
      <c r="R35" s="38" t="s">
        <v>91</v>
      </c>
      <c r="S35" s="39">
        <f t="shared" ref="S35:AF35" si="27">MAX(S13:S18)</f>
        <v>575</v>
      </c>
      <c r="T35" s="39">
        <f t="shared" si="27"/>
        <v>131</v>
      </c>
      <c r="U35" s="39">
        <f t="shared" si="27"/>
        <v>48</v>
      </c>
      <c r="V35" s="39">
        <f t="shared" si="27"/>
        <v>41</v>
      </c>
      <c r="W35" s="39">
        <f t="shared" si="27"/>
        <v>2</v>
      </c>
      <c r="X35" s="39">
        <f t="shared" si="27"/>
        <v>1</v>
      </c>
      <c r="Y35" s="39">
        <f t="shared" si="27"/>
        <v>29</v>
      </c>
      <c r="Z35" s="39">
        <f t="shared" si="27"/>
        <v>6</v>
      </c>
      <c r="AA35" s="39">
        <f t="shared" si="27"/>
        <v>3</v>
      </c>
      <c r="AB35" s="39">
        <f t="shared" si="27"/>
        <v>0</v>
      </c>
      <c r="AC35" s="39">
        <f t="shared" si="27"/>
        <v>315</v>
      </c>
      <c r="AD35" s="39">
        <f t="shared" si="27"/>
        <v>1</v>
      </c>
      <c r="AE35" s="40">
        <f t="shared" si="27"/>
        <v>819</v>
      </c>
      <c r="AF35" s="40">
        <f t="shared" si="27"/>
        <v>1073</v>
      </c>
    </row>
    <row r="36" spans="2:32" ht="23.1" customHeight="1" x14ac:dyDescent="0.25">
      <c r="B36" s="46" t="s">
        <v>63</v>
      </c>
      <c r="C36" s="50">
        <v>147</v>
      </c>
      <c r="D36" s="50">
        <v>22</v>
      </c>
      <c r="E36" s="50">
        <v>5</v>
      </c>
      <c r="F36" s="50">
        <v>9</v>
      </c>
      <c r="G36" s="50">
        <v>0</v>
      </c>
      <c r="H36" s="50">
        <v>0</v>
      </c>
      <c r="I36" s="50">
        <v>1</v>
      </c>
      <c r="J36" s="50">
        <v>2</v>
      </c>
      <c r="K36" s="50">
        <v>1</v>
      </c>
      <c r="L36" s="50">
        <v>0</v>
      </c>
      <c r="M36" s="50">
        <v>97</v>
      </c>
      <c r="N36" s="50">
        <v>0</v>
      </c>
      <c r="O36" s="15">
        <f t="shared" si="0"/>
        <v>187</v>
      </c>
      <c r="P36" s="15">
        <f t="shared" si="1"/>
        <v>284</v>
      </c>
      <c r="R36" s="38" t="s">
        <v>92</v>
      </c>
      <c r="S36" s="39">
        <f t="shared" ref="S36:AF36" si="28">MAX(S19:S21)</f>
        <v>535</v>
      </c>
      <c r="T36" s="39">
        <f t="shared" si="28"/>
        <v>67</v>
      </c>
      <c r="U36" s="39">
        <f t="shared" si="28"/>
        <v>33</v>
      </c>
      <c r="V36" s="39">
        <f t="shared" si="28"/>
        <v>32</v>
      </c>
      <c r="W36" s="39">
        <f t="shared" si="28"/>
        <v>1</v>
      </c>
      <c r="X36" s="39">
        <f t="shared" si="28"/>
        <v>0</v>
      </c>
      <c r="Y36" s="39">
        <f t="shared" si="28"/>
        <v>19</v>
      </c>
      <c r="Z36" s="39">
        <f t="shared" si="28"/>
        <v>6</v>
      </c>
      <c r="AA36" s="39">
        <f t="shared" si="28"/>
        <v>3</v>
      </c>
      <c r="AB36" s="39">
        <f t="shared" si="28"/>
        <v>1</v>
      </c>
      <c r="AC36" s="39">
        <f t="shared" si="28"/>
        <v>308</v>
      </c>
      <c r="AD36" s="39">
        <f t="shared" si="28"/>
        <v>0</v>
      </c>
      <c r="AE36" s="40">
        <f t="shared" si="28"/>
        <v>684</v>
      </c>
      <c r="AF36" s="40">
        <f t="shared" si="28"/>
        <v>992</v>
      </c>
    </row>
    <row r="37" spans="2:32" ht="23.1" customHeight="1" x14ac:dyDescent="0.25">
      <c r="B37" s="45" t="s">
        <v>64</v>
      </c>
      <c r="C37" s="50">
        <v>150</v>
      </c>
      <c r="D37" s="50">
        <v>16</v>
      </c>
      <c r="E37" s="50">
        <v>13</v>
      </c>
      <c r="F37" s="50">
        <v>5</v>
      </c>
      <c r="G37" s="50">
        <v>0</v>
      </c>
      <c r="H37" s="50">
        <v>0</v>
      </c>
      <c r="I37" s="50">
        <v>3</v>
      </c>
      <c r="J37" s="50">
        <v>3</v>
      </c>
      <c r="K37" s="50">
        <v>0</v>
      </c>
      <c r="L37" s="50">
        <v>0</v>
      </c>
      <c r="M37" s="50">
        <v>75</v>
      </c>
      <c r="N37" s="50">
        <v>0</v>
      </c>
      <c r="O37" s="15">
        <f t="shared" si="0"/>
        <v>190</v>
      </c>
      <c r="P37" s="15">
        <f t="shared" si="1"/>
        <v>265</v>
      </c>
      <c r="R37" s="37" t="s">
        <v>85</v>
      </c>
      <c r="S37" s="35">
        <f t="shared" ref="S37:AF37" si="29">SUM(S10:S12)</f>
        <v>949</v>
      </c>
      <c r="T37" s="16">
        <f t="shared" si="29"/>
        <v>187</v>
      </c>
      <c r="U37" s="16">
        <f t="shared" si="29"/>
        <v>71</v>
      </c>
      <c r="V37" s="16">
        <f t="shared" si="29"/>
        <v>103</v>
      </c>
      <c r="W37" s="16">
        <f t="shared" si="29"/>
        <v>1</v>
      </c>
      <c r="X37" s="16">
        <f t="shared" si="29"/>
        <v>0</v>
      </c>
      <c r="Y37" s="16">
        <f t="shared" si="29"/>
        <v>19</v>
      </c>
      <c r="Z37" s="16">
        <f t="shared" si="29"/>
        <v>10</v>
      </c>
      <c r="AA37" s="16">
        <f t="shared" si="29"/>
        <v>7</v>
      </c>
      <c r="AB37" s="16">
        <f t="shared" si="29"/>
        <v>3</v>
      </c>
      <c r="AC37" s="16">
        <f t="shared" si="29"/>
        <v>610</v>
      </c>
      <c r="AD37" s="16">
        <f t="shared" si="29"/>
        <v>0</v>
      </c>
      <c r="AE37" s="32">
        <f t="shared" si="29"/>
        <v>1350</v>
      </c>
      <c r="AF37" s="32">
        <f t="shared" si="29"/>
        <v>1960</v>
      </c>
    </row>
    <row r="38" spans="2:32" ht="23.1" customHeight="1" x14ac:dyDescent="0.25">
      <c r="B38" s="46" t="s">
        <v>65</v>
      </c>
      <c r="C38" s="50">
        <v>107</v>
      </c>
      <c r="D38" s="50">
        <v>13</v>
      </c>
      <c r="E38" s="50">
        <v>7</v>
      </c>
      <c r="F38" s="50">
        <v>12</v>
      </c>
      <c r="G38" s="50">
        <v>0</v>
      </c>
      <c r="H38" s="50">
        <v>1</v>
      </c>
      <c r="I38" s="50">
        <v>4</v>
      </c>
      <c r="J38" s="50">
        <v>0</v>
      </c>
      <c r="K38" s="50">
        <v>0</v>
      </c>
      <c r="L38" s="50">
        <v>0</v>
      </c>
      <c r="M38" s="50">
        <v>93</v>
      </c>
      <c r="N38" s="50">
        <v>0</v>
      </c>
      <c r="O38" s="15">
        <f t="shared" si="0"/>
        <v>144</v>
      </c>
      <c r="P38" s="15">
        <f t="shared" si="1"/>
        <v>237</v>
      </c>
      <c r="R38" s="28" t="s">
        <v>86</v>
      </c>
      <c r="S38" s="16">
        <f t="shared" ref="S38:AF38" si="30">SUM(S13:S18)</f>
        <v>2967</v>
      </c>
      <c r="T38" s="16">
        <f t="shared" si="30"/>
        <v>597</v>
      </c>
      <c r="U38" s="16">
        <f t="shared" si="30"/>
        <v>235</v>
      </c>
      <c r="V38" s="16">
        <f t="shared" si="30"/>
        <v>206</v>
      </c>
      <c r="W38" s="16">
        <f t="shared" si="30"/>
        <v>3</v>
      </c>
      <c r="X38" s="16">
        <f t="shared" si="30"/>
        <v>1</v>
      </c>
      <c r="Y38" s="16">
        <f t="shared" si="30"/>
        <v>117</v>
      </c>
      <c r="Z38" s="16">
        <f t="shared" si="30"/>
        <v>21</v>
      </c>
      <c r="AA38" s="16">
        <f t="shared" si="30"/>
        <v>13</v>
      </c>
      <c r="AB38" s="16">
        <f t="shared" si="30"/>
        <v>0</v>
      </c>
      <c r="AC38" s="16">
        <f t="shared" si="30"/>
        <v>1650</v>
      </c>
      <c r="AD38" s="16">
        <f t="shared" si="30"/>
        <v>1</v>
      </c>
      <c r="AE38" s="32">
        <f t="shared" si="30"/>
        <v>4161</v>
      </c>
      <c r="AF38" s="32">
        <f t="shared" si="30"/>
        <v>5811</v>
      </c>
    </row>
    <row r="39" spans="2:32" ht="23.1" customHeight="1" x14ac:dyDescent="0.25">
      <c r="B39" s="46" t="s">
        <v>66</v>
      </c>
      <c r="C39" s="50">
        <v>60</v>
      </c>
      <c r="D39" s="50">
        <v>11</v>
      </c>
      <c r="E39" s="50">
        <v>5</v>
      </c>
      <c r="F39" s="50">
        <v>6</v>
      </c>
      <c r="G39" s="50">
        <v>0</v>
      </c>
      <c r="H39" s="50">
        <v>0</v>
      </c>
      <c r="I39" s="50">
        <v>7</v>
      </c>
      <c r="J39" s="50">
        <v>1</v>
      </c>
      <c r="K39" s="50">
        <v>1</v>
      </c>
      <c r="L39" s="50">
        <v>0</v>
      </c>
      <c r="M39" s="50">
        <v>64</v>
      </c>
      <c r="N39" s="50">
        <v>0</v>
      </c>
      <c r="O39" s="15">
        <f t="shared" si="0"/>
        <v>91</v>
      </c>
      <c r="P39" s="15">
        <f t="shared" si="1"/>
        <v>155</v>
      </c>
      <c r="R39" s="29" t="s">
        <v>87</v>
      </c>
      <c r="S39" s="16">
        <f t="shared" ref="S39:AF39" si="31">SUM(S19:S21)</f>
        <v>1364</v>
      </c>
      <c r="T39" s="16">
        <f t="shared" si="31"/>
        <v>193</v>
      </c>
      <c r="U39" s="16">
        <f t="shared" si="31"/>
        <v>82</v>
      </c>
      <c r="V39" s="16">
        <f t="shared" si="31"/>
        <v>83</v>
      </c>
      <c r="W39" s="16">
        <f t="shared" si="31"/>
        <v>1</v>
      </c>
      <c r="X39" s="16">
        <f t="shared" si="31"/>
        <v>0</v>
      </c>
      <c r="Y39" s="16">
        <f t="shared" si="31"/>
        <v>43</v>
      </c>
      <c r="Z39" s="16">
        <f t="shared" si="31"/>
        <v>12</v>
      </c>
      <c r="AA39" s="16">
        <f t="shared" si="31"/>
        <v>8</v>
      </c>
      <c r="AB39" s="16">
        <f t="shared" si="31"/>
        <v>1</v>
      </c>
      <c r="AC39" s="16">
        <f t="shared" si="31"/>
        <v>835</v>
      </c>
      <c r="AD39" s="16">
        <f t="shared" si="31"/>
        <v>0</v>
      </c>
      <c r="AE39" s="32">
        <f t="shared" si="31"/>
        <v>1787</v>
      </c>
      <c r="AF39" s="32">
        <f t="shared" si="31"/>
        <v>2622</v>
      </c>
    </row>
    <row r="40" spans="2:32" ht="23.1" customHeight="1" x14ac:dyDescent="0.25">
      <c r="B40" s="46" t="s">
        <v>67</v>
      </c>
      <c r="C40" s="50">
        <v>105</v>
      </c>
      <c r="D40" s="50">
        <v>20</v>
      </c>
      <c r="E40" s="50">
        <v>10</v>
      </c>
      <c r="F40" s="50">
        <v>9</v>
      </c>
      <c r="G40" s="50">
        <v>0</v>
      </c>
      <c r="H40" s="50">
        <v>0</v>
      </c>
      <c r="I40" s="50">
        <v>5</v>
      </c>
      <c r="J40" s="50">
        <v>0</v>
      </c>
      <c r="K40" s="50">
        <v>1</v>
      </c>
      <c r="L40" s="50">
        <v>0</v>
      </c>
      <c r="M40" s="50">
        <v>60</v>
      </c>
      <c r="N40" s="50">
        <v>0</v>
      </c>
      <c r="O40" s="15">
        <f t="shared" si="0"/>
        <v>150</v>
      </c>
      <c r="P40" s="15">
        <f t="shared" si="1"/>
        <v>210</v>
      </c>
      <c r="R40" s="5" t="s">
        <v>17</v>
      </c>
      <c r="S40" s="16">
        <f t="shared" ref="S40:AF40" si="32">SUM(S10:S21)</f>
        <v>5280</v>
      </c>
      <c r="T40" s="16">
        <f t="shared" si="32"/>
        <v>977</v>
      </c>
      <c r="U40" s="16">
        <f t="shared" si="32"/>
        <v>388</v>
      </c>
      <c r="V40" s="16">
        <f t="shared" si="32"/>
        <v>392</v>
      </c>
      <c r="W40" s="16">
        <f t="shared" si="32"/>
        <v>5</v>
      </c>
      <c r="X40" s="16">
        <f t="shared" si="32"/>
        <v>1</v>
      </c>
      <c r="Y40" s="16">
        <f t="shared" si="32"/>
        <v>179</v>
      </c>
      <c r="Z40" s="16">
        <f t="shared" si="32"/>
        <v>43</v>
      </c>
      <c r="AA40" s="16">
        <f t="shared" si="32"/>
        <v>28</v>
      </c>
      <c r="AB40" s="16">
        <f t="shared" si="32"/>
        <v>4</v>
      </c>
      <c r="AC40" s="16">
        <f t="shared" si="32"/>
        <v>3095</v>
      </c>
      <c r="AD40" s="16">
        <f t="shared" si="32"/>
        <v>1</v>
      </c>
      <c r="AE40" s="32">
        <f t="shared" si="32"/>
        <v>7298</v>
      </c>
      <c r="AF40" s="32">
        <f t="shared" si="32"/>
        <v>10393</v>
      </c>
    </row>
    <row r="41" spans="2:32" ht="23.1" customHeight="1" x14ac:dyDescent="0.25">
      <c r="B41" s="45" t="s">
        <v>68</v>
      </c>
      <c r="C41" s="50">
        <v>190</v>
      </c>
      <c r="D41" s="50">
        <v>22</v>
      </c>
      <c r="E41" s="50">
        <v>11</v>
      </c>
      <c r="F41" s="50">
        <v>10</v>
      </c>
      <c r="G41" s="50">
        <v>0</v>
      </c>
      <c r="H41" s="50">
        <v>0</v>
      </c>
      <c r="I41" s="50">
        <v>7</v>
      </c>
      <c r="J41" s="50">
        <v>1</v>
      </c>
      <c r="K41" s="50">
        <v>1</v>
      </c>
      <c r="L41" s="50">
        <v>0</v>
      </c>
      <c r="M41" s="50">
        <v>67</v>
      </c>
      <c r="N41" s="50">
        <v>0</v>
      </c>
      <c r="O41" s="15">
        <f t="shared" si="0"/>
        <v>242</v>
      </c>
      <c r="P41" s="15">
        <f t="shared" si="1"/>
        <v>309</v>
      </c>
      <c r="R41" s="5" t="s">
        <v>159</v>
      </c>
      <c r="S41" s="16">
        <f>SUM(S10:S33)</f>
        <v>6004</v>
      </c>
      <c r="T41" s="16">
        <f t="shared" ref="T41:AF41" si="33">SUM(T10:T33)</f>
        <v>1425</v>
      </c>
      <c r="U41" s="16">
        <f t="shared" si="33"/>
        <v>477</v>
      </c>
      <c r="V41" s="16">
        <f t="shared" si="33"/>
        <v>422</v>
      </c>
      <c r="W41" s="16">
        <f t="shared" si="33"/>
        <v>5</v>
      </c>
      <c r="X41" s="16">
        <f t="shared" si="33"/>
        <v>1</v>
      </c>
      <c r="Y41" s="16">
        <f t="shared" si="33"/>
        <v>204</v>
      </c>
      <c r="Z41" s="16">
        <f t="shared" si="33"/>
        <v>48</v>
      </c>
      <c r="AA41" s="16">
        <f t="shared" si="33"/>
        <v>38</v>
      </c>
      <c r="AB41" s="16">
        <f t="shared" si="33"/>
        <v>6</v>
      </c>
      <c r="AC41" s="16">
        <f t="shared" si="33"/>
        <v>3918</v>
      </c>
      <c r="AD41" s="16">
        <f t="shared" si="33"/>
        <v>1</v>
      </c>
      <c r="AE41" s="32">
        <f t="shared" si="33"/>
        <v>8631</v>
      </c>
      <c r="AF41" s="32">
        <f t="shared" si="33"/>
        <v>12549</v>
      </c>
    </row>
    <row r="42" spans="2:32" ht="23.1" customHeight="1" x14ac:dyDescent="0.25">
      <c r="B42" s="46" t="s">
        <v>69</v>
      </c>
      <c r="C42" s="50">
        <v>110</v>
      </c>
      <c r="D42" s="50">
        <v>22</v>
      </c>
      <c r="E42" s="50">
        <v>17</v>
      </c>
      <c r="F42" s="50">
        <v>5</v>
      </c>
      <c r="G42" s="50">
        <v>0</v>
      </c>
      <c r="H42" s="50">
        <v>0</v>
      </c>
      <c r="I42" s="50">
        <v>4</v>
      </c>
      <c r="J42" s="50">
        <v>1</v>
      </c>
      <c r="K42" s="50">
        <v>1</v>
      </c>
      <c r="L42" s="50">
        <v>0</v>
      </c>
      <c r="M42" s="50">
        <v>79</v>
      </c>
      <c r="N42" s="50">
        <v>0</v>
      </c>
      <c r="O42" s="15">
        <f t="shared" si="0"/>
        <v>160</v>
      </c>
      <c r="P42" s="15">
        <f t="shared" si="1"/>
        <v>239</v>
      </c>
      <c r="R42" s="5" t="s">
        <v>160</v>
      </c>
      <c r="S42" s="48">
        <f>S41/S40</f>
        <v>1.1371212121212122</v>
      </c>
      <c r="T42" s="48">
        <f t="shared" ref="T42:AF42" si="34">T41/T40</f>
        <v>1.458546571136131</v>
      </c>
      <c r="U42" s="48">
        <f t="shared" si="34"/>
        <v>1.2293814432989691</v>
      </c>
      <c r="V42" s="48">
        <f t="shared" si="34"/>
        <v>1.0765306122448979</v>
      </c>
      <c r="W42" s="48">
        <f t="shared" si="34"/>
        <v>1</v>
      </c>
      <c r="X42" s="48">
        <f t="shared" si="34"/>
        <v>1</v>
      </c>
      <c r="Y42" s="48">
        <f t="shared" si="34"/>
        <v>1.1396648044692737</v>
      </c>
      <c r="Z42" s="48">
        <f t="shared" si="34"/>
        <v>1.1162790697674418</v>
      </c>
      <c r="AA42" s="48">
        <f t="shared" si="34"/>
        <v>1.3571428571428572</v>
      </c>
      <c r="AB42" s="48">
        <f t="shared" si="34"/>
        <v>1.5</v>
      </c>
      <c r="AC42" s="48">
        <f t="shared" si="34"/>
        <v>1.2659127625201938</v>
      </c>
      <c r="AD42" s="48">
        <f t="shared" si="34"/>
        <v>1</v>
      </c>
      <c r="AE42" s="48">
        <f t="shared" si="34"/>
        <v>1.1826527815839956</v>
      </c>
      <c r="AF42" s="48">
        <f t="shared" si="34"/>
        <v>1.2074473203117484</v>
      </c>
    </row>
    <row r="43" spans="2:32" ht="23.1" customHeight="1" x14ac:dyDescent="0.25">
      <c r="B43" s="45" t="s">
        <v>70</v>
      </c>
      <c r="C43" s="50">
        <v>125</v>
      </c>
      <c r="D43" s="50">
        <v>27</v>
      </c>
      <c r="E43" s="50">
        <v>7</v>
      </c>
      <c r="F43" s="50">
        <v>8</v>
      </c>
      <c r="G43" s="50">
        <v>0</v>
      </c>
      <c r="H43" s="50">
        <v>0</v>
      </c>
      <c r="I43" s="50">
        <v>6</v>
      </c>
      <c r="J43" s="50">
        <v>0</v>
      </c>
      <c r="K43" s="50">
        <v>2</v>
      </c>
      <c r="L43" s="50">
        <v>0</v>
      </c>
      <c r="M43" s="50">
        <v>80</v>
      </c>
      <c r="N43" s="50">
        <v>0</v>
      </c>
      <c r="O43" s="15">
        <f t="shared" si="0"/>
        <v>175</v>
      </c>
      <c r="P43" s="15">
        <f t="shared" si="1"/>
        <v>255</v>
      </c>
    </row>
    <row r="44" spans="2:32" ht="23.1" customHeight="1" x14ac:dyDescent="0.25">
      <c r="B44" s="47" t="s">
        <v>71</v>
      </c>
      <c r="C44" s="50">
        <v>125</v>
      </c>
      <c r="D44" s="50">
        <v>22</v>
      </c>
      <c r="E44" s="50">
        <v>9</v>
      </c>
      <c r="F44" s="50">
        <v>6</v>
      </c>
      <c r="G44" s="50">
        <v>2</v>
      </c>
      <c r="H44" s="50">
        <v>0</v>
      </c>
      <c r="I44" s="50">
        <v>5</v>
      </c>
      <c r="J44" s="50">
        <v>1</v>
      </c>
      <c r="K44" s="50">
        <v>0</v>
      </c>
      <c r="L44" s="50">
        <v>0</v>
      </c>
      <c r="M44" s="50">
        <v>75</v>
      </c>
      <c r="N44" s="50">
        <v>0</v>
      </c>
      <c r="O44" s="15">
        <f t="shared" si="0"/>
        <v>170</v>
      </c>
      <c r="P44" s="15">
        <f t="shared" si="1"/>
        <v>245</v>
      </c>
    </row>
    <row r="45" spans="2:32" ht="23.1" customHeight="1" x14ac:dyDescent="0.25">
      <c r="B45" s="45" t="s">
        <v>72</v>
      </c>
      <c r="C45" s="50">
        <v>115</v>
      </c>
      <c r="D45" s="50">
        <v>23</v>
      </c>
      <c r="E45" s="50">
        <v>13</v>
      </c>
      <c r="F45" s="50">
        <v>12</v>
      </c>
      <c r="G45" s="50">
        <v>0</v>
      </c>
      <c r="H45" s="50">
        <v>0</v>
      </c>
      <c r="I45" s="50">
        <v>7</v>
      </c>
      <c r="J45" s="50">
        <v>1</v>
      </c>
      <c r="K45" s="50">
        <v>0</v>
      </c>
      <c r="L45" s="50">
        <v>0</v>
      </c>
      <c r="M45" s="50">
        <v>81</v>
      </c>
      <c r="N45" s="50">
        <v>0</v>
      </c>
      <c r="O45" s="15">
        <f t="shared" si="0"/>
        <v>171</v>
      </c>
      <c r="P45" s="15">
        <f t="shared" si="1"/>
        <v>252</v>
      </c>
    </row>
    <row r="46" spans="2:32" ht="23.1" customHeight="1" x14ac:dyDescent="0.25">
      <c r="B46" s="46" t="s">
        <v>73</v>
      </c>
      <c r="C46" s="50">
        <v>190</v>
      </c>
      <c r="D46" s="50">
        <v>18</v>
      </c>
      <c r="E46" s="50">
        <v>9</v>
      </c>
      <c r="F46" s="50">
        <v>4</v>
      </c>
      <c r="G46" s="50">
        <v>0</v>
      </c>
      <c r="H46" s="50">
        <v>0</v>
      </c>
      <c r="I46" s="50">
        <v>4</v>
      </c>
      <c r="J46" s="50">
        <v>2</v>
      </c>
      <c r="K46" s="50">
        <v>0</v>
      </c>
      <c r="L46" s="50">
        <v>0</v>
      </c>
      <c r="M46" s="50">
        <v>91</v>
      </c>
      <c r="N46" s="50">
        <v>0</v>
      </c>
      <c r="O46" s="15">
        <f t="shared" si="0"/>
        <v>227</v>
      </c>
      <c r="P46" s="15">
        <f t="shared" si="1"/>
        <v>318</v>
      </c>
      <c r="R46" s="8"/>
      <c r="T46"/>
    </row>
    <row r="47" spans="2:32" ht="23.1" customHeight="1" x14ac:dyDescent="0.25">
      <c r="B47" s="46" t="s">
        <v>74</v>
      </c>
      <c r="C47" s="50">
        <v>120</v>
      </c>
      <c r="D47" s="50">
        <v>22</v>
      </c>
      <c r="E47" s="50">
        <v>6</v>
      </c>
      <c r="F47" s="50">
        <v>13</v>
      </c>
      <c r="G47" s="50">
        <v>0</v>
      </c>
      <c r="H47" s="50">
        <v>0</v>
      </c>
      <c r="I47" s="50">
        <v>3</v>
      </c>
      <c r="J47" s="50">
        <v>3</v>
      </c>
      <c r="K47" s="50">
        <v>1</v>
      </c>
      <c r="L47" s="50">
        <v>0</v>
      </c>
      <c r="M47" s="50">
        <v>81</v>
      </c>
      <c r="N47" s="50">
        <v>0</v>
      </c>
      <c r="O47" s="15">
        <f t="shared" si="0"/>
        <v>168</v>
      </c>
      <c r="P47" s="15">
        <f t="shared" si="1"/>
        <v>249</v>
      </c>
      <c r="R47" s="8"/>
      <c r="T47"/>
    </row>
    <row r="48" spans="2:32" ht="23.1" customHeight="1" x14ac:dyDescent="0.25">
      <c r="B48" s="46" t="s">
        <v>75</v>
      </c>
      <c r="C48" s="50">
        <v>125</v>
      </c>
      <c r="D48" s="50">
        <v>11</v>
      </c>
      <c r="E48" s="50">
        <v>14</v>
      </c>
      <c r="F48" s="50">
        <v>7</v>
      </c>
      <c r="G48" s="50">
        <v>0</v>
      </c>
      <c r="H48" s="50">
        <v>0</v>
      </c>
      <c r="I48" s="50">
        <v>2</v>
      </c>
      <c r="J48" s="50">
        <v>1</v>
      </c>
      <c r="K48" s="50">
        <v>1</v>
      </c>
      <c r="L48" s="50">
        <v>0</v>
      </c>
      <c r="M48" s="50">
        <v>85</v>
      </c>
      <c r="N48" s="50">
        <v>0</v>
      </c>
      <c r="O48" s="15">
        <f t="shared" si="0"/>
        <v>161</v>
      </c>
      <c r="P48" s="15">
        <f t="shared" si="1"/>
        <v>246</v>
      </c>
      <c r="R48" s="8"/>
      <c r="T48"/>
    </row>
    <row r="49" spans="2:20" ht="23.1" customHeight="1" x14ac:dyDescent="0.25">
      <c r="B49" s="45" t="s">
        <v>76</v>
      </c>
      <c r="C49" s="50">
        <v>100</v>
      </c>
      <c r="D49" s="50">
        <v>13</v>
      </c>
      <c r="E49" s="50">
        <v>4</v>
      </c>
      <c r="F49" s="50">
        <v>8</v>
      </c>
      <c r="G49" s="50">
        <v>0</v>
      </c>
      <c r="H49" s="50">
        <v>0</v>
      </c>
      <c r="I49" s="50">
        <v>2</v>
      </c>
      <c r="J49" s="50">
        <v>0</v>
      </c>
      <c r="K49" s="50">
        <v>1</v>
      </c>
      <c r="L49" s="50">
        <v>0</v>
      </c>
      <c r="M49" s="50">
        <v>51</v>
      </c>
      <c r="N49" s="50">
        <v>0</v>
      </c>
      <c r="O49" s="15">
        <f t="shared" si="0"/>
        <v>128</v>
      </c>
      <c r="P49" s="15">
        <f t="shared" si="1"/>
        <v>179</v>
      </c>
      <c r="R49" s="8"/>
      <c r="T49"/>
    </row>
    <row r="50" spans="2:20" ht="23.1" customHeight="1" x14ac:dyDescent="0.25">
      <c r="B50" s="46" t="s">
        <v>77</v>
      </c>
      <c r="C50" s="50">
        <v>130</v>
      </c>
      <c r="D50" s="50">
        <v>19</v>
      </c>
      <c r="E50" s="50">
        <v>6</v>
      </c>
      <c r="F50" s="50">
        <v>3</v>
      </c>
      <c r="G50" s="50">
        <v>1</v>
      </c>
      <c r="H50" s="50">
        <v>0</v>
      </c>
      <c r="I50" s="50">
        <v>6</v>
      </c>
      <c r="J50" s="50">
        <v>0</v>
      </c>
      <c r="K50" s="50">
        <v>0</v>
      </c>
      <c r="L50" s="50">
        <v>0</v>
      </c>
      <c r="M50" s="50">
        <v>83</v>
      </c>
      <c r="N50" s="50">
        <v>0</v>
      </c>
      <c r="O50" s="15">
        <f t="shared" si="0"/>
        <v>165</v>
      </c>
      <c r="P50" s="15">
        <f t="shared" si="1"/>
        <v>248</v>
      </c>
      <c r="R50" s="8"/>
      <c r="T50"/>
    </row>
    <row r="51" spans="2:20" ht="23.1" customHeight="1" x14ac:dyDescent="0.25">
      <c r="B51" s="46" t="s">
        <v>78</v>
      </c>
      <c r="C51" s="50">
        <v>100</v>
      </c>
      <c r="D51" s="50">
        <v>17</v>
      </c>
      <c r="E51" s="50">
        <v>6</v>
      </c>
      <c r="F51" s="50">
        <v>7</v>
      </c>
      <c r="G51" s="50">
        <v>0</v>
      </c>
      <c r="H51" s="50">
        <v>0</v>
      </c>
      <c r="I51" s="50">
        <v>9</v>
      </c>
      <c r="J51" s="50">
        <v>1</v>
      </c>
      <c r="K51" s="50">
        <v>0</v>
      </c>
      <c r="L51" s="50">
        <v>0</v>
      </c>
      <c r="M51" s="50">
        <v>50</v>
      </c>
      <c r="N51" s="50">
        <v>0</v>
      </c>
      <c r="O51" s="15">
        <f t="shared" si="0"/>
        <v>140</v>
      </c>
      <c r="P51" s="15">
        <f t="shared" si="1"/>
        <v>190</v>
      </c>
      <c r="R51" s="8"/>
      <c r="T51"/>
    </row>
    <row r="52" spans="2:20" ht="23.1" customHeight="1" x14ac:dyDescent="0.25">
      <c r="B52" s="46" t="s">
        <v>79</v>
      </c>
      <c r="C52" s="50">
        <v>90</v>
      </c>
      <c r="D52" s="50">
        <v>15</v>
      </c>
      <c r="E52" s="50">
        <v>9</v>
      </c>
      <c r="F52" s="50">
        <v>12</v>
      </c>
      <c r="G52" s="50">
        <v>0</v>
      </c>
      <c r="H52" s="50">
        <v>0</v>
      </c>
      <c r="I52" s="50">
        <v>3</v>
      </c>
      <c r="J52" s="50">
        <v>2</v>
      </c>
      <c r="K52" s="50">
        <v>1</v>
      </c>
      <c r="L52" s="50">
        <v>0</v>
      </c>
      <c r="M52" s="50">
        <v>64</v>
      </c>
      <c r="N52" s="50">
        <v>0</v>
      </c>
      <c r="O52" s="15">
        <f t="shared" si="0"/>
        <v>132</v>
      </c>
      <c r="P52" s="15">
        <f t="shared" si="1"/>
        <v>196</v>
      </c>
      <c r="R52" s="8"/>
      <c r="T52"/>
    </row>
    <row r="53" spans="2:20" ht="23.1" customHeight="1" x14ac:dyDescent="0.25">
      <c r="B53" s="45" t="s">
        <v>80</v>
      </c>
      <c r="C53" s="50">
        <v>120</v>
      </c>
      <c r="D53" s="50">
        <v>16</v>
      </c>
      <c r="E53" s="50">
        <v>7</v>
      </c>
      <c r="F53" s="50">
        <v>5</v>
      </c>
      <c r="G53" s="50">
        <v>0</v>
      </c>
      <c r="H53" s="50">
        <v>0</v>
      </c>
      <c r="I53" s="50">
        <v>1</v>
      </c>
      <c r="J53" s="50">
        <v>2</v>
      </c>
      <c r="K53" s="50">
        <v>2</v>
      </c>
      <c r="L53" s="50">
        <v>0</v>
      </c>
      <c r="M53" s="50">
        <v>63</v>
      </c>
      <c r="N53" s="50">
        <v>0</v>
      </c>
      <c r="O53" s="15">
        <f t="shared" si="0"/>
        <v>153</v>
      </c>
      <c r="P53" s="15">
        <f t="shared" si="1"/>
        <v>216</v>
      </c>
      <c r="R53" s="8"/>
      <c r="T53"/>
    </row>
    <row r="54" spans="2:20" ht="23.1" customHeight="1" x14ac:dyDescent="0.25">
      <c r="B54" s="45" t="s">
        <v>81</v>
      </c>
      <c r="C54" s="50">
        <v>74</v>
      </c>
      <c r="D54" s="50">
        <v>17</v>
      </c>
      <c r="E54" s="50">
        <v>8</v>
      </c>
      <c r="F54" s="50">
        <v>3</v>
      </c>
      <c r="G54" s="50">
        <v>0</v>
      </c>
      <c r="H54" s="50">
        <v>0</v>
      </c>
      <c r="I54" s="50">
        <v>4</v>
      </c>
      <c r="J54" s="50">
        <v>1</v>
      </c>
      <c r="K54" s="50">
        <v>1</v>
      </c>
      <c r="L54" s="50">
        <v>0</v>
      </c>
      <c r="M54" s="50">
        <v>61</v>
      </c>
      <c r="N54" s="50">
        <v>0</v>
      </c>
      <c r="O54" s="15">
        <f t="shared" si="0"/>
        <v>108</v>
      </c>
      <c r="P54" s="15">
        <f t="shared" si="1"/>
        <v>169</v>
      </c>
      <c r="R54" s="8"/>
      <c r="T54"/>
    </row>
    <row r="55" spans="2:20" ht="23.1" customHeight="1" x14ac:dyDescent="0.25">
      <c r="B55" s="45" t="s">
        <v>82</v>
      </c>
      <c r="C55" s="50">
        <v>70</v>
      </c>
      <c r="D55" s="50">
        <v>25</v>
      </c>
      <c r="E55" s="50">
        <v>5</v>
      </c>
      <c r="F55" s="50">
        <v>6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1</v>
      </c>
      <c r="M55" s="50">
        <v>69</v>
      </c>
      <c r="N55" s="50">
        <v>0</v>
      </c>
      <c r="O55" s="15">
        <f t="shared" si="0"/>
        <v>110</v>
      </c>
      <c r="P55" s="15">
        <f t="shared" si="1"/>
        <v>179</v>
      </c>
      <c r="R55" s="8"/>
      <c r="T55"/>
    </row>
    <row r="56" spans="2:20" ht="23.1" customHeight="1" x14ac:dyDescent="0.25">
      <c r="B56" s="45" t="s">
        <v>83</v>
      </c>
      <c r="C56" s="50">
        <v>160</v>
      </c>
      <c r="D56" s="50">
        <v>9</v>
      </c>
      <c r="E56" s="50">
        <v>4</v>
      </c>
      <c r="F56" s="50">
        <v>12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67</v>
      </c>
      <c r="N56" s="50">
        <v>0</v>
      </c>
      <c r="O56" s="15">
        <f t="shared" si="0"/>
        <v>187</v>
      </c>
      <c r="P56" s="15">
        <f t="shared" si="1"/>
        <v>254</v>
      </c>
      <c r="R56" s="8"/>
      <c r="T56"/>
    </row>
    <row r="57" spans="2:20" ht="23.1" customHeight="1" x14ac:dyDescent="0.25">
      <c r="B57" s="45" t="s">
        <v>84</v>
      </c>
      <c r="C57" s="50">
        <v>85</v>
      </c>
      <c r="D57" s="50">
        <v>11</v>
      </c>
      <c r="E57" s="50">
        <v>4</v>
      </c>
      <c r="F57" s="50">
        <v>3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108</v>
      </c>
      <c r="P57" s="15">
        <f t="shared" si="1"/>
        <v>178</v>
      </c>
      <c r="R57" s="8"/>
      <c r="T57"/>
    </row>
    <row r="58" spans="2:20" ht="23.1" customHeight="1" x14ac:dyDescent="0.25">
      <c r="B58" s="45" t="s">
        <v>99</v>
      </c>
      <c r="C58" s="50">
        <v>65</v>
      </c>
      <c r="D58" s="50">
        <v>258</v>
      </c>
      <c r="E58" s="50">
        <v>10</v>
      </c>
      <c r="F58" s="50">
        <v>7</v>
      </c>
      <c r="G58" s="50">
        <v>0</v>
      </c>
      <c r="H58" s="50">
        <v>0</v>
      </c>
      <c r="I58" s="50">
        <v>2</v>
      </c>
      <c r="J58" s="50">
        <v>0</v>
      </c>
      <c r="K58" s="50">
        <v>1</v>
      </c>
      <c r="L58" s="50">
        <v>1</v>
      </c>
      <c r="M58" s="50">
        <v>95</v>
      </c>
      <c r="N58" s="50">
        <v>0</v>
      </c>
      <c r="O58" s="15">
        <f t="shared" si="0"/>
        <v>344</v>
      </c>
      <c r="P58" s="15">
        <f t="shared" si="1"/>
        <v>439</v>
      </c>
      <c r="R58" s="8"/>
      <c r="T58"/>
    </row>
    <row r="59" spans="2:20" ht="23.1" customHeight="1" x14ac:dyDescent="0.25">
      <c r="B59" s="45" t="s">
        <v>100</v>
      </c>
      <c r="C59" s="50">
        <v>81</v>
      </c>
      <c r="D59" s="50">
        <v>25</v>
      </c>
      <c r="E59" s="50">
        <v>13</v>
      </c>
      <c r="F59" s="50">
        <v>0</v>
      </c>
      <c r="G59" s="50">
        <v>0</v>
      </c>
      <c r="H59" s="50">
        <v>0</v>
      </c>
      <c r="I59" s="50">
        <v>3</v>
      </c>
      <c r="J59" s="50">
        <v>1</v>
      </c>
      <c r="K59" s="50">
        <v>1</v>
      </c>
      <c r="L59" s="50">
        <v>0</v>
      </c>
      <c r="M59" s="50">
        <v>82</v>
      </c>
      <c r="N59" s="50">
        <v>0</v>
      </c>
      <c r="O59" s="15">
        <f t="shared" si="0"/>
        <v>124</v>
      </c>
      <c r="P59" s="15">
        <f t="shared" si="1"/>
        <v>206</v>
      </c>
      <c r="R59" s="8"/>
      <c r="T59"/>
    </row>
    <row r="60" spans="2:20" ht="23.1" customHeight="1" x14ac:dyDescent="0.25">
      <c r="B60" s="45" t="s">
        <v>101</v>
      </c>
      <c r="C60" s="50">
        <v>26</v>
      </c>
      <c r="D60" s="50">
        <v>10</v>
      </c>
      <c r="E60" s="50">
        <v>4</v>
      </c>
      <c r="F60" s="50">
        <v>2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99</v>
      </c>
      <c r="N60" s="50">
        <v>0</v>
      </c>
      <c r="O60" s="15">
        <f t="shared" si="0"/>
        <v>43</v>
      </c>
      <c r="P60" s="15">
        <f t="shared" si="1"/>
        <v>142</v>
      </c>
      <c r="R60" s="8"/>
      <c r="T60"/>
    </row>
    <row r="61" spans="2:20" ht="23.1" customHeight="1" x14ac:dyDescent="0.25">
      <c r="B61" s="45" t="s">
        <v>102</v>
      </c>
      <c r="C61" s="50">
        <v>45</v>
      </c>
      <c r="D61" s="50">
        <v>13</v>
      </c>
      <c r="E61" s="50">
        <v>5</v>
      </c>
      <c r="F61" s="50">
        <v>2</v>
      </c>
      <c r="G61" s="50">
        <v>0</v>
      </c>
      <c r="H61" s="50">
        <v>0</v>
      </c>
      <c r="I61" s="50">
        <v>0</v>
      </c>
      <c r="J61" s="50">
        <v>0</v>
      </c>
      <c r="K61" s="50">
        <v>1</v>
      </c>
      <c r="L61" s="50">
        <v>0</v>
      </c>
      <c r="M61" s="50">
        <v>56</v>
      </c>
      <c r="N61" s="50">
        <v>0</v>
      </c>
      <c r="O61" s="15">
        <f t="shared" si="0"/>
        <v>66</v>
      </c>
      <c r="P61" s="15">
        <f t="shared" si="1"/>
        <v>122</v>
      </c>
      <c r="R61" s="8"/>
      <c r="T61"/>
    </row>
    <row r="62" spans="2:20" ht="23.1" customHeight="1" x14ac:dyDescent="0.25">
      <c r="B62" s="45" t="s">
        <v>107</v>
      </c>
      <c r="C62" s="50">
        <v>45</v>
      </c>
      <c r="D62" s="50">
        <v>10</v>
      </c>
      <c r="E62" s="50">
        <v>6</v>
      </c>
      <c r="F62" s="50">
        <v>1</v>
      </c>
      <c r="G62" s="50">
        <v>0</v>
      </c>
      <c r="H62" s="50">
        <v>0</v>
      </c>
      <c r="I62" s="50">
        <v>7</v>
      </c>
      <c r="J62" s="50">
        <v>0</v>
      </c>
      <c r="K62" s="50">
        <v>0</v>
      </c>
      <c r="L62" s="50">
        <v>0</v>
      </c>
      <c r="M62" s="50">
        <v>47</v>
      </c>
      <c r="N62" s="50">
        <v>0</v>
      </c>
      <c r="O62" s="15">
        <f t="shared" si="0"/>
        <v>69</v>
      </c>
      <c r="P62" s="15">
        <f t="shared" si="1"/>
        <v>116</v>
      </c>
      <c r="R62" s="8"/>
      <c r="T62"/>
    </row>
    <row r="63" spans="2:20" ht="23.1" customHeight="1" x14ac:dyDescent="0.25">
      <c r="B63" s="45" t="s">
        <v>108</v>
      </c>
      <c r="C63" s="50">
        <v>48</v>
      </c>
      <c r="D63" s="50">
        <v>16</v>
      </c>
      <c r="E63" s="50">
        <v>3</v>
      </c>
      <c r="F63" s="50">
        <v>1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77</v>
      </c>
      <c r="N63" s="50">
        <v>0</v>
      </c>
      <c r="O63" s="15">
        <f t="shared" si="0"/>
        <v>69</v>
      </c>
      <c r="P63" s="15">
        <f t="shared" si="1"/>
        <v>146</v>
      </c>
      <c r="R63" s="8"/>
      <c r="T63"/>
    </row>
    <row r="64" spans="2:20" ht="23.1" customHeight="1" x14ac:dyDescent="0.25">
      <c r="B64" s="45" t="s">
        <v>109</v>
      </c>
      <c r="C64" s="50">
        <v>38</v>
      </c>
      <c r="D64" s="50">
        <v>13</v>
      </c>
      <c r="E64" s="50">
        <v>6</v>
      </c>
      <c r="F64" s="50">
        <v>1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51</v>
      </c>
      <c r="N64" s="50">
        <v>0</v>
      </c>
      <c r="O64" s="15">
        <f t="shared" si="0"/>
        <v>58</v>
      </c>
      <c r="P64" s="15">
        <f t="shared" si="1"/>
        <v>109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11</v>
      </c>
      <c r="E65" s="50">
        <v>2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53</v>
      </c>
      <c r="N65" s="50">
        <v>0</v>
      </c>
      <c r="O65" s="15">
        <f t="shared" si="0"/>
        <v>45</v>
      </c>
      <c r="P65" s="15">
        <f t="shared" si="1"/>
        <v>98</v>
      </c>
      <c r="R65" s="8"/>
      <c r="T65"/>
    </row>
    <row r="66" spans="2:20" ht="23.1" customHeight="1" x14ac:dyDescent="0.25">
      <c r="B66" s="45" t="s">
        <v>103</v>
      </c>
      <c r="C66" s="50">
        <v>43</v>
      </c>
      <c r="D66" s="50">
        <v>10</v>
      </c>
      <c r="E66" s="50">
        <v>4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1</v>
      </c>
      <c r="L66" s="50">
        <v>0</v>
      </c>
      <c r="M66" s="50">
        <v>22</v>
      </c>
      <c r="N66" s="50">
        <v>0</v>
      </c>
      <c r="O66" s="15">
        <f t="shared" si="0"/>
        <v>60</v>
      </c>
      <c r="P66" s="15">
        <f t="shared" si="1"/>
        <v>82</v>
      </c>
      <c r="R66" s="8"/>
      <c r="T66"/>
    </row>
    <row r="67" spans="2:20" ht="23.1" customHeight="1" x14ac:dyDescent="0.25">
      <c r="B67" s="45" t="s">
        <v>104</v>
      </c>
      <c r="C67" s="50">
        <v>33</v>
      </c>
      <c r="D67" s="50">
        <v>5</v>
      </c>
      <c r="E67" s="50">
        <v>6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27</v>
      </c>
      <c r="N67" s="50">
        <v>0</v>
      </c>
      <c r="O67" s="15">
        <f t="shared" si="0"/>
        <v>46</v>
      </c>
      <c r="P67" s="15">
        <f t="shared" si="1"/>
        <v>73</v>
      </c>
      <c r="R67" s="8"/>
      <c r="T67"/>
    </row>
    <row r="68" spans="2:20" ht="23.1" customHeight="1" x14ac:dyDescent="0.25">
      <c r="B68" s="45" t="s">
        <v>105</v>
      </c>
      <c r="C68" s="50">
        <v>22</v>
      </c>
      <c r="D68" s="50">
        <v>5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22</v>
      </c>
      <c r="N68" s="50">
        <v>0</v>
      </c>
      <c r="O68" s="15">
        <f t="shared" si="0"/>
        <v>28</v>
      </c>
      <c r="P68" s="15">
        <f t="shared" si="1"/>
        <v>50</v>
      </c>
      <c r="R68" s="8"/>
      <c r="T68"/>
    </row>
    <row r="69" spans="2:20" ht="23.1" customHeight="1" x14ac:dyDescent="0.25">
      <c r="B69" s="45" t="s">
        <v>106</v>
      </c>
      <c r="C69" s="50">
        <v>26</v>
      </c>
      <c r="D69" s="50">
        <v>12</v>
      </c>
      <c r="E69" s="50">
        <v>2</v>
      </c>
      <c r="F69" s="50">
        <v>1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24</v>
      </c>
      <c r="N69" s="50">
        <v>0</v>
      </c>
      <c r="O69" s="15">
        <f t="shared" si="0"/>
        <v>41</v>
      </c>
      <c r="P69" s="15">
        <f t="shared" si="1"/>
        <v>65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7</v>
      </c>
      <c r="E70" s="50">
        <v>4</v>
      </c>
      <c r="F70" s="50">
        <v>5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13</v>
      </c>
      <c r="N70" s="50">
        <v>0</v>
      </c>
      <c r="O70" s="15">
        <f t="shared" si="0"/>
        <v>34</v>
      </c>
      <c r="P70" s="15">
        <f t="shared" si="1"/>
        <v>47</v>
      </c>
      <c r="R70" s="8"/>
      <c r="T70"/>
    </row>
    <row r="71" spans="2:20" ht="23.1" customHeight="1" x14ac:dyDescent="0.25">
      <c r="B71" s="45" t="s">
        <v>111</v>
      </c>
      <c r="C71" s="50">
        <v>17</v>
      </c>
      <c r="D71" s="50">
        <v>3</v>
      </c>
      <c r="E71" s="50">
        <v>2</v>
      </c>
      <c r="F71" s="50">
        <v>0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1</v>
      </c>
      <c r="M71" s="50">
        <v>9</v>
      </c>
      <c r="N71" s="50">
        <v>0</v>
      </c>
      <c r="O71" s="15">
        <f t="shared" si="0"/>
        <v>26</v>
      </c>
      <c r="P71" s="15">
        <f t="shared" si="1"/>
        <v>35</v>
      </c>
      <c r="R71" s="8"/>
      <c r="T71"/>
    </row>
    <row r="72" spans="2:20" ht="23.1" customHeight="1" x14ac:dyDescent="0.25">
      <c r="B72" s="45" t="s">
        <v>112</v>
      </c>
      <c r="C72" s="50">
        <v>30</v>
      </c>
      <c r="D72" s="50">
        <v>10</v>
      </c>
      <c r="E72" s="50">
        <v>1</v>
      </c>
      <c r="F72" s="50">
        <v>0</v>
      </c>
      <c r="G72" s="50">
        <v>0</v>
      </c>
      <c r="H72" s="50">
        <v>0</v>
      </c>
      <c r="I72" s="50">
        <v>1</v>
      </c>
      <c r="J72" s="50">
        <v>1</v>
      </c>
      <c r="K72" s="50">
        <v>2</v>
      </c>
      <c r="L72" s="50">
        <v>0</v>
      </c>
      <c r="M72" s="50">
        <v>12</v>
      </c>
      <c r="N72" s="50">
        <v>0</v>
      </c>
      <c r="O72" s="15">
        <f t="shared" si="0"/>
        <v>45</v>
      </c>
      <c r="P72" s="15">
        <f t="shared" si="1"/>
        <v>57</v>
      </c>
      <c r="R72" s="8"/>
      <c r="T72"/>
    </row>
    <row r="73" spans="2:20" ht="23.1" customHeight="1" x14ac:dyDescent="0.25">
      <c r="B73" s="45" t="s">
        <v>113</v>
      </c>
      <c r="C73" s="50">
        <v>10</v>
      </c>
      <c r="D73" s="50">
        <v>4</v>
      </c>
      <c r="E73" s="50">
        <v>2</v>
      </c>
      <c r="F73" s="50">
        <v>0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17</v>
      </c>
      <c r="N73" s="50">
        <v>0</v>
      </c>
      <c r="O73" s="15">
        <f t="shared" si="0"/>
        <v>17</v>
      </c>
      <c r="P73" s="15">
        <f t="shared" si="1"/>
        <v>34</v>
      </c>
      <c r="R73" s="8"/>
      <c r="T73"/>
    </row>
    <row r="74" spans="2:20" ht="23.1" customHeight="1" x14ac:dyDescent="0.25">
      <c r="B74" s="45" t="s">
        <v>114</v>
      </c>
      <c r="C74" s="50">
        <v>32</v>
      </c>
      <c r="D74" s="50">
        <v>8</v>
      </c>
      <c r="E74" s="50">
        <v>1</v>
      </c>
      <c r="F74" s="50">
        <v>1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12</v>
      </c>
      <c r="N74" s="50">
        <v>0</v>
      </c>
      <c r="O74" s="15">
        <f t="shared" ref="O74:O105" si="35">SUM(C74:L74,N74)</f>
        <v>43</v>
      </c>
      <c r="P74" s="15">
        <f t="shared" ref="P74:P105" si="36">SUM(C74:N74)</f>
        <v>55</v>
      </c>
      <c r="R74" s="8"/>
      <c r="T74"/>
    </row>
    <row r="75" spans="2:20" ht="23.1" customHeight="1" x14ac:dyDescent="0.25">
      <c r="B75" s="45" t="s">
        <v>115</v>
      </c>
      <c r="C75" s="50">
        <v>16</v>
      </c>
      <c r="D75" s="50">
        <v>1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8</v>
      </c>
      <c r="N75" s="50">
        <v>0</v>
      </c>
      <c r="O75" s="15">
        <f t="shared" si="35"/>
        <v>18</v>
      </c>
      <c r="P75" s="15">
        <f t="shared" si="36"/>
        <v>26</v>
      </c>
      <c r="R75" s="8"/>
      <c r="T75"/>
    </row>
    <row r="76" spans="2:20" ht="23.1" customHeight="1" x14ac:dyDescent="0.25">
      <c r="B76" s="45" t="s">
        <v>116</v>
      </c>
      <c r="C76" s="50">
        <v>11</v>
      </c>
      <c r="D76" s="50">
        <v>2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14</v>
      </c>
      <c r="P76" s="15">
        <f t="shared" si="36"/>
        <v>20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4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7</v>
      </c>
      <c r="P77" s="15">
        <f t="shared" si="36"/>
        <v>9</v>
      </c>
      <c r="R77" s="8"/>
      <c r="T77"/>
    </row>
    <row r="78" spans="2:20" ht="23.1" customHeight="1" x14ac:dyDescent="0.25">
      <c r="B78" s="46" t="s">
        <v>118</v>
      </c>
      <c r="C78" s="50">
        <v>7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11</v>
      </c>
      <c r="N78" s="50">
        <v>0</v>
      </c>
      <c r="O78" s="15">
        <f t="shared" si="35"/>
        <v>11</v>
      </c>
      <c r="P78" s="15">
        <f t="shared" si="36"/>
        <v>22</v>
      </c>
      <c r="R78" s="8"/>
      <c r="T78"/>
    </row>
    <row r="79" spans="2:20" ht="23.1" customHeight="1" x14ac:dyDescent="0.25">
      <c r="B79" s="45" t="s">
        <v>119</v>
      </c>
      <c r="C79" s="50">
        <v>5</v>
      </c>
      <c r="D79" s="50">
        <v>2</v>
      </c>
      <c r="E79" s="50">
        <v>2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10</v>
      </c>
      <c r="P79" s="15">
        <f t="shared" si="36"/>
        <v>13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7</v>
      </c>
      <c r="N80" s="50">
        <v>0</v>
      </c>
      <c r="O80" s="15">
        <f t="shared" si="35"/>
        <v>4</v>
      </c>
      <c r="P80" s="15">
        <f t="shared" si="36"/>
        <v>11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1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5</v>
      </c>
      <c r="P81" s="15">
        <f t="shared" si="36"/>
        <v>7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</v>
      </c>
      <c r="N82" s="50">
        <v>0</v>
      </c>
      <c r="O82" s="15">
        <f t="shared" si="35"/>
        <v>8</v>
      </c>
      <c r="P82" s="15">
        <f t="shared" si="36"/>
        <v>10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2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4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1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2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6</v>
      </c>
      <c r="P86" s="15">
        <f t="shared" si="36"/>
        <v>7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5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</v>
      </c>
      <c r="N88" s="50">
        <v>0</v>
      </c>
      <c r="O88" s="15">
        <f t="shared" si="35"/>
        <v>5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7</v>
      </c>
      <c r="P89" s="15">
        <f t="shared" si="36"/>
        <v>7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0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3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3</v>
      </c>
      <c r="P95" s="15">
        <f t="shared" si="36"/>
        <v>5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4</v>
      </c>
      <c r="P96" s="15">
        <f t="shared" si="36"/>
        <v>7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3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11</v>
      </c>
      <c r="N97" s="50">
        <v>0</v>
      </c>
      <c r="O97" s="15">
        <f t="shared" si="35"/>
        <v>4</v>
      </c>
      <c r="P97" s="15">
        <f t="shared" si="36"/>
        <v>15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1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3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0</v>
      </c>
      <c r="M100" s="50">
        <v>2</v>
      </c>
      <c r="N100" s="50">
        <v>0</v>
      </c>
      <c r="O100" s="15">
        <f t="shared" si="35"/>
        <v>1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2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0</v>
      </c>
      <c r="E102" s="50">
        <v>2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7</v>
      </c>
      <c r="P102" s="15">
        <f t="shared" si="36"/>
        <v>9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0</v>
      </c>
      <c r="E103" s="50">
        <v>3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3</v>
      </c>
      <c r="L103" s="50">
        <v>0</v>
      </c>
      <c r="M103" s="50">
        <v>1</v>
      </c>
      <c r="N103" s="50">
        <v>0</v>
      </c>
      <c r="O103" s="15">
        <f t="shared" si="35"/>
        <v>13</v>
      </c>
      <c r="P103" s="15">
        <f t="shared" si="36"/>
        <v>14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1</v>
      </c>
      <c r="E104" s="50">
        <v>3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11</v>
      </c>
      <c r="P104" s="15">
        <f t="shared" si="36"/>
        <v>16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3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11</v>
      </c>
      <c r="N105" s="50">
        <v>0</v>
      </c>
      <c r="O105" s="15">
        <f t="shared" si="35"/>
        <v>9</v>
      </c>
      <c r="P105" s="15">
        <f t="shared" si="36"/>
        <v>20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6004</v>
      </c>
      <c r="D106" s="16">
        <f t="shared" ref="D106:P106" si="37">SUM(D10:D105)</f>
        <v>1425</v>
      </c>
      <c r="E106" s="16">
        <f t="shared" si="37"/>
        <v>477</v>
      </c>
      <c r="F106" s="16">
        <f t="shared" si="37"/>
        <v>422</v>
      </c>
      <c r="G106" s="16">
        <f t="shared" si="37"/>
        <v>5</v>
      </c>
      <c r="H106" s="16">
        <f t="shared" si="37"/>
        <v>1</v>
      </c>
      <c r="I106" s="16">
        <f t="shared" si="37"/>
        <v>204</v>
      </c>
      <c r="J106" s="16">
        <f t="shared" si="37"/>
        <v>48</v>
      </c>
      <c r="K106" s="16">
        <f t="shared" si="37"/>
        <v>38</v>
      </c>
      <c r="L106" s="16">
        <f t="shared" si="37"/>
        <v>6</v>
      </c>
      <c r="M106" s="16">
        <f t="shared" si="37"/>
        <v>3918</v>
      </c>
      <c r="N106" s="16">
        <f t="shared" si="37"/>
        <v>1</v>
      </c>
      <c r="O106" s="16">
        <f t="shared" si="37"/>
        <v>8631</v>
      </c>
      <c r="P106" s="16">
        <f t="shared" si="37"/>
        <v>12549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0.47844449756952745</v>
      </c>
      <c r="D107" s="43">
        <f t="shared" si="38"/>
        <v>0.11355486492947645</v>
      </c>
      <c r="E107" s="43">
        <f t="shared" si="38"/>
        <v>3.8010996892182645E-2</v>
      </c>
      <c r="F107" s="43">
        <f t="shared" si="38"/>
        <v>3.3628177544027416E-2</v>
      </c>
      <c r="G107" s="43">
        <f t="shared" si="38"/>
        <v>3.9843812255956648E-4</v>
      </c>
      <c r="H107" s="43">
        <f t="shared" si="38"/>
        <v>7.9687624511913304E-5</v>
      </c>
      <c r="I107" s="43">
        <f t="shared" si="38"/>
        <v>1.6256275400430314E-2</v>
      </c>
      <c r="J107" s="43">
        <f t="shared" si="38"/>
        <v>3.8250059765718384E-3</v>
      </c>
      <c r="K107" s="43">
        <f t="shared" si="38"/>
        <v>3.0281297314527053E-3</v>
      </c>
      <c r="L107" s="43">
        <f t="shared" si="38"/>
        <v>4.781257470714798E-4</v>
      </c>
      <c r="M107" s="43">
        <f t="shared" si="38"/>
        <v>0.31221611283767631</v>
      </c>
      <c r="N107" s="43">
        <f t="shared" si="38"/>
        <v>7.9687624511913304E-5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0.69563202409917735</v>
      </c>
      <c r="D108" s="44">
        <f t="shared" ref="D108:N108" si="39">D106/$O$106</f>
        <v>0.16510253736531108</v>
      </c>
      <c r="E108" s="44">
        <f t="shared" si="39"/>
        <v>5.526590198123045E-2</v>
      </c>
      <c r="F108" s="44">
        <f t="shared" si="39"/>
        <v>4.8893523346078091E-2</v>
      </c>
      <c r="G108" s="44">
        <f t="shared" si="39"/>
        <v>5.7930714865021436E-4</v>
      </c>
      <c r="H108" s="44">
        <f t="shared" si="39"/>
        <v>1.1586142973004287E-4</v>
      </c>
      <c r="I108" s="44">
        <f t="shared" si="39"/>
        <v>2.3635731664928744E-2</v>
      </c>
      <c r="J108" s="44">
        <f t="shared" si="39"/>
        <v>5.5613486270420578E-3</v>
      </c>
      <c r="K108" s="44">
        <f t="shared" si="39"/>
        <v>4.4027343297416291E-3</v>
      </c>
      <c r="L108" s="44">
        <f t="shared" si="39"/>
        <v>6.9516857838025723E-4</v>
      </c>
      <c r="M108" s="44"/>
      <c r="N108" s="44">
        <f t="shared" si="39"/>
        <v>1.1586142973004287E-4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B43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Naguru-Nakawa-24h'!D5</f>
        <v>03.08.19</v>
      </c>
      <c r="E5" s="3"/>
      <c r="F5" s="41" t="s">
        <v>1</v>
      </c>
      <c r="G5" s="63" t="str">
        <f>'03.08 Naguru-Nakawa-24h'!G5:H5</f>
        <v>POLICE HEADQUATER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174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'03.08 Naguru-Nakawa-24h'!K6:L6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</v>
      </c>
      <c r="D10" s="50">
        <v>7</v>
      </c>
      <c r="E10" s="50">
        <v>3</v>
      </c>
      <c r="F10" s="50">
        <v>1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31</v>
      </c>
      <c r="N10" s="50">
        <v>0</v>
      </c>
      <c r="O10" s="15">
        <f t="shared" ref="O10:O73" si="0">SUM(C10:L10,N10)</f>
        <v>28</v>
      </c>
      <c r="P10" s="15">
        <f t="shared" ref="P10:P73" si="1">SUM(C10:N10)</f>
        <v>59</v>
      </c>
      <c r="R10" s="1" t="s">
        <v>6</v>
      </c>
      <c r="S10" s="17">
        <f t="shared" ref="S10:AF10" si="2">SUM(C10:C13)</f>
        <v>48</v>
      </c>
      <c r="T10" s="17">
        <f t="shared" si="2"/>
        <v>27</v>
      </c>
      <c r="U10" s="17">
        <f t="shared" si="2"/>
        <v>21</v>
      </c>
      <c r="V10" s="17">
        <f t="shared" si="2"/>
        <v>12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110</v>
      </c>
      <c r="AD10" s="17">
        <f t="shared" si="2"/>
        <v>0</v>
      </c>
      <c r="AE10" s="31">
        <f t="shared" si="2"/>
        <v>116</v>
      </c>
      <c r="AF10" s="31">
        <f t="shared" si="2"/>
        <v>226</v>
      </c>
    </row>
    <row r="11" spans="2:32" s="6" customFormat="1" ht="23.1" customHeight="1" x14ac:dyDescent="0.25">
      <c r="B11" s="45" t="s">
        <v>38</v>
      </c>
      <c r="C11" s="50">
        <v>8</v>
      </c>
      <c r="D11" s="50">
        <v>3</v>
      </c>
      <c r="E11" s="50">
        <v>5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29</v>
      </c>
      <c r="N11" s="50">
        <v>0</v>
      </c>
      <c r="O11" s="15">
        <f t="shared" si="0"/>
        <v>19</v>
      </c>
      <c r="P11" s="15">
        <f t="shared" si="1"/>
        <v>48</v>
      </c>
      <c r="R11" s="1" t="s">
        <v>7</v>
      </c>
      <c r="S11" s="17">
        <f t="shared" ref="S11:AF11" si="3">SUM(C14:C17)</f>
        <v>88</v>
      </c>
      <c r="T11" s="17">
        <f t="shared" si="3"/>
        <v>36</v>
      </c>
      <c r="U11" s="17">
        <f t="shared" si="3"/>
        <v>24</v>
      </c>
      <c r="V11" s="17">
        <f t="shared" si="3"/>
        <v>21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109</v>
      </c>
      <c r="AD11" s="17">
        <f t="shared" si="3"/>
        <v>0</v>
      </c>
      <c r="AE11" s="31">
        <f t="shared" si="3"/>
        <v>176</v>
      </c>
      <c r="AF11" s="31">
        <f t="shared" si="3"/>
        <v>285</v>
      </c>
    </row>
    <row r="12" spans="2:32" ht="23.1" customHeight="1" x14ac:dyDescent="0.25">
      <c r="B12" s="45" t="s">
        <v>39</v>
      </c>
      <c r="C12" s="50">
        <v>11</v>
      </c>
      <c r="D12" s="50">
        <v>6</v>
      </c>
      <c r="E12" s="50">
        <v>6</v>
      </c>
      <c r="F12" s="50">
        <v>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26</v>
      </c>
      <c r="N12" s="50">
        <v>0</v>
      </c>
      <c r="O12" s="15">
        <f t="shared" si="0"/>
        <v>27</v>
      </c>
      <c r="P12" s="15">
        <f t="shared" si="1"/>
        <v>53</v>
      </c>
      <c r="R12" s="1" t="s">
        <v>8</v>
      </c>
      <c r="S12" s="17">
        <f t="shared" ref="S12:AF12" si="4">SUM(C18:C21)</f>
        <v>146</v>
      </c>
      <c r="T12" s="17">
        <f t="shared" si="4"/>
        <v>89</v>
      </c>
      <c r="U12" s="17">
        <f t="shared" si="4"/>
        <v>27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5</v>
      </c>
      <c r="AA12" s="17">
        <f t="shared" si="4"/>
        <v>1</v>
      </c>
      <c r="AB12" s="17">
        <f t="shared" si="4"/>
        <v>1</v>
      </c>
      <c r="AC12" s="17">
        <f t="shared" si="4"/>
        <v>159</v>
      </c>
      <c r="AD12" s="17">
        <f t="shared" si="4"/>
        <v>0</v>
      </c>
      <c r="AE12" s="31">
        <f t="shared" si="4"/>
        <v>340</v>
      </c>
      <c r="AF12" s="31">
        <f t="shared" si="4"/>
        <v>589</v>
      </c>
    </row>
    <row r="13" spans="2:32" ht="23.1" customHeight="1" x14ac:dyDescent="0.25">
      <c r="B13" s="45" t="s">
        <v>40</v>
      </c>
      <c r="C13" s="50">
        <v>16</v>
      </c>
      <c r="D13" s="50">
        <v>11</v>
      </c>
      <c r="E13" s="50">
        <v>7</v>
      </c>
      <c r="F13" s="50">
        <v>6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24</v>
      </c>
      <c r="N13" s="50">
        <v>0</v>
      </c>
      <c r="O13" s="15">
        <f t="shared" si="0"/>
        <v>42</v>
      </c>
      <c r="P13" s="15">
        <f t="shared" si="1"/>
        <v>66</v>
      </c>
      <c r="R13" s="1" t="s">
        <v>9</v>
      </c>
      <c r="S13" s="17">
        <f t="shared" ref="S13:AF13" si="5">SUM(C22:C25)</f>
        <v>156</v>
      </c>
      <c r="T13" s="17">
        <f t="shared" si="5"/>
        <v>123</v>
      </c>
      <c r="U13" s="17">
        <f t="shared" si="5"/>
        <v>25</v>
      </c>
      <c r="V13" s="17">
        <f t="shared" si="5"/>
        <v>13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6</v>
      </c>
      <c r="AA13" s="17">
        <f t="shared" si="5"/>
        <v>1</v>
      </c>
      <c r="AB13" s="17">
        <f t="shared" si="5"/>
        <v>1</v>
      </c>
      <c r="AC13" s="17">
        <f t="shared" si="5"/>
        <v>140</v>
      </c>
      <c r="AD13" s="17">
        <f t="shared" si="5"/>
        <v>0</v>
      </c>
      <c r="AE13" s="31">
        <f t="shared" si="5"/>
        <v>331</v>
      </c>
      <c r="AF13" s="31">
        <f t="shared" si="5"/>
        <v>471</v>
      </c>
    </row>
    <row r="14" spans="2:32" ht="23.1" customHeight="1" x14ac:dyDescent="0.25">
      <c r="B14" s="45" t="s">
        <v>41</v>
      </c>
      <c r="C14" s="50">
        <v>13</v>
      </c>
      <c r="D14" s="50">
        <v>6</v>
      </c>
      <c r="E14" s="50">
        <v>9</v>
      </c>
      <c r="F14" s="50">
        <v>5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32</v>
      </c>
      <c r="N14" s="50">
        <v>0</v>
      </c>
      <c r="O14" s="15">
        <f t="shared" si="0"/>
        <v>36</v>
      </c>
      <c r="P14" s="15">
        <f t="shared" si="1"/>
        <v>68</v>
      </c>
      <c r="R14" s="1" t="s">
        <v>10</v>
      </c>
      <c r="S14" s="17">
        <f t="shared" ref="S14:AF14" si="6">SUM(C26:C29)</f>
        <v>221</v>
      </c>
      <c r="T14" s="17">
        <f t="shared" si="6"/>
        <v>182</v>
      </c>
      <c r="U14" s="17">
        <f t="shared" si="6"/>
        <v>49</v>
      </c>
      <c r="V14" s="17">
        <f t="shared" si="6"/>
        <v>28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231</v>
      </c>
      <c r="AD14" s="17">
        <f t="shared" si="6"/>
        <v>0</v>
      </c>
      <c r="AE14" s="31">
        <f t="shared" si="6"/>
        <v>492</v>
      </c>
      <c r="AF14" s="31">
        <f t="shared" si="6"/>
        <v>723</v>
      </c>
    </row>
    <row r="15" spans="2:32" ht="23.1" customHeight="1" x14ac:dyDescent="0.25">
      <c r="B15" s="45" t="s">
        <v>42</v>
      </c>
      <c r="C15" s="50">
        <v>19</v>
      </c>
      <c r="D15" s="50">
        <v>9</v>
      </c>
      <c r="E15" s="50">
        <v>3</v>
      </c>
      <c r="F15" s="50">
        <v>5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23</v>
      </c>
      <c r="N15" s="50">
        <v>0</v>
      </c>
      <c r="O15" s="15">
        <f t="shared" si="0"/>
        <v>38</v>
      </c>
      <c r="P15" s="15">
        <f t="shared" si="1"/>
        <v>61</v>
      </c>
      <c r="R15" s="1" t="s">
        <v>11</v>
      </c>
      <c r="S15" s="17">
        <f t="shared" ref="S15:AF15" si="7">SUM(C30:C33)</f>
        <v>220</v>
      </c>
      <c r="T15" s="17">
        <f t="shared" si="7"/>
        <v>173</v>
      </c>
      <c r="U15" s="17">
        <f t="shared" si="7"/>
        <v>41</v>
      </c>
      <c r="V15" s="17">
        <f t="shared" si="7"/>
        <v>26</v>
      </c>
      <c r="W15" s="17">
        <f t="shared" si="7"/>
        <v>0</v>
      </c>
      <c r="X15" s="17">
        <f t="shared" si="7"/>
        <v>1</v>
      </c>
      <c r="Y15" s="17">
        <f t="shared" si="7"/>
        <v>10</v>
      </c>
      <c r="Z15" s="17">
        <f t="shared" si="7"/>
        <v>7</v>
      </c>
      <c r="AA15" s="17">
        <f t="shared" si="7"/>
        <v>0</v>
      </c>
      <c r="AB15" s="17">
        <f t="shared" si="7"/>
        <v>0</v>
      </c>
      <c r="AC15" s="17">
        <f t="shared" si="7"/>
        <v>170</v>
      </c>
      <c r="AD15" s="17">
        <f t="shared" si="7"/>
        <v>1</v>
      </c>
      <c r="AE15" s="31">
        <f t="shared" si="7"/>
        <v>479</v>
      </c>
      <c r="AF15" s="31">
        <f t="shared" si="7"/>
        <v>649</v>
      </c>
    </row>
    <row r="16" spans="2:32" ht="23.1" customHeight="1" x14ac:dyDescent="0.25">
      <c r="B16" s="45" t="s">
        <v>43</v>
      </c>
      <c r="C16" s="50">
        <v>28</v>
      </c>
      <c r="D16" s="50">
        <v>11</v>
      </c>
      <c r="E16" s="50">
        <v>4</v>
      </c>
      <c r="F16" s="50">
        <v>4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21</v>
      </c>
      <c r="N16" s="50">
        <v>0</v>
      </c>
      <c r="O16" s="15">
        <f t="shared" si="0"/>
        <v>48</v>
      </c>
      <c r="P16" s="15">
        <f t="shared" si="1"/>
        <v>69</v>
      </c>
      <c r="R16" s="1" t="s">
        <v>12</v>
      </c>
      <c r="S16" s="17">
        <f t="shared" ref="S16:AF16" si="8">SUM(C34:C37)</f>
        <v>317</v>
      </c>
      <c r="T16" s="17">
        <f t="shared" si="8"/>
        <v>316</v>
      </c>
      <c r="U16" s="17">
        <f t="shared" si="8"/>
        <v>58</v>
      </c>
      <c r="V16" s="17">
        <f t="shared" si="8"/>
        <v>37</v>
      </c>
      <c r="W16" s="17">
        <f t="shared" si="8"/>
        <v>2</v>
      </c>
      <c r="X16" s="17">
        <f t="shared" si="8"/>
        <v>0</v>
      </c>
      <c r="Y16" s="17">
        <f t="shared" si="8"/>
        <v>7</v>
      </c>
      <c r="Z16" s="17">
        <f t="shared" si="8"/>
        <v>9</v>
      </c>
      <c r="AA16" s="17">
        <f t="shared" si="8"/>
        <v>1</v>
      </c>
      <c r="AB16" s="17">
        <f t="shared" si="8"/>
        <v>0</v>
      </c>
      <c r="AC16" s="17">
        <f t="shared" si="8"/>
        <v>179</v>
      </c>
      <c r="AD16" s="17">
        <f t="shared" si="8"/>
        <v>0</v>
      </c>
      <c r="AE16" s="31">
        <f t="shared" si="8"/>
        <v>747</v>
      </c>
      <c r="AF16" s="31">
        <f t="shared" si="8"/>
        <v>926</v>
      </c>
    </row>
    <row r="17" spans="2:32" ht="23.1" customHeight="1" x14ac:dyDescent="0.25">
      <c r="B17" s="45" t="s">
        <v>44</v>
      </c>
      <c r="C17" s="50">
        <v>28</v>
      </c>
      <c r="D17" s="50">
        <v>10</v>
      </c>
      <c r="E17" s="50">
        <v>8</v>
      </c>
      <c r="F17" s="50">
        <v>7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33</v>
      </c>
      <c r="N17" s="50">
        <v>0</v>
      </c>
      <c r="O17" s="15">
        <f t="shared" si="0"/>
        <v>54</v>
      </c>
      <c r="P17" s="15">
        <f t="shared" si="1"/>
        <v>87</v>
      </c>
      <c r="R17" s="1" t="s">
        <v>13</v>
      </c>
      <c r="S17" s="17">
        <f t="shared" ref="S17:AF17" si="9">SUM(C38:C41)</f>
        <v>416</v>
      </c>
      <c r="T17" s="17">
        <f t="shared" si="9"/>
        <v>271</v>
      </c>
      <c r="U17" s="17">
        <f t="shared" si="9"/>
        <v>55</v>
      </c>
      <c r="V17" s="17">
        <f t="shared" si="9"/>
        <v>43</v>
      </c>
      <c r="W17" s="17">
        <f t="shared" si="9"/>
        <v>5</v>
      </c>
      <c r="X17" s="17">
        <f t="shared" si="9"/>
        <v>0</v>
      </c>
      <c r="Y17" s="17">
        <f t="shared" si="9"/>
        <v>11</v>
      </c>
      <c r="Z17" s="17">
        <f t="shared" si="9"/>
        <v>0</v>
      </c>
      <c r="AA17" s="17">
        <f t="shared" si="9"/>
        <v>3</v>
      </c>
      <c r="AB17" s="17">
        <f t="shared" si="9"/>
        <v>0</v>
      </c>
      <c r="AC17" s="17">
        <f t="shared" si="9"/>
        <v>169</v>
      </c>
      <c r="AD17" s="17">
        <f t="shared" si="9"/>
        <v>0</v>
      </c>
      <c r="AE17" s="31">
        <f t="shared" si="9"/>
        <v>804</v>
      </c>
      <c r="AF17" s="31">
        <f t="shared" si="9"/>
        <v>973</v>
      </c>
    </row>
    <row r="18" spans="2:32" ht="23.1" customHeight="1" x14ac:dyDescent="0.25">
      <c r="B18" s="45" t="s">
        <v>45</v>
      </c>
      <c r="C18" s="50">
        <v>37</v>
      </c>
      <c r="D18" s="50">
        <v>13</v>
      </c>
      <c r="E18" s="50">
        <v>3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57</v>
      </c>
      <c r="P18" s="15">
        <f t="shared" si="1"/>
        <v>107</v>
      </c>
      <c r="R18" s="1" t="s">
        <v>14</v>
      </c>
      <c r="S18" s="17">
        <f t="shared" ref="S18:AF18" si="10">SUM(C42:C45)</f>
        <v>474</v>
      </c>
      <c r="T18" s="17">
        <f t="shared" si="10"/>
        <v>467</v>
      </c>
      <c r="U18" s="17">
        <f t="shared" si="10"/>
        <v>53</v>
      </c>
      <c r="V18" s="17">
        <f t="shared" si="10"/>
        <v>46</v>
      </c>
      <c r="W18" s="17">
        <f t="shared" si="10"/>
        <v>1</v>
      </c>
      <c r="X18" s="17">
        <f t="shared" si="10"/>
        <v>0</v>
      </c>
      <c r="Y18" s="17">
        <f t="shared" si="10"/>
        <v>8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190</v>
      </c>
      <c r="AD18" s="17">
        <f t="shared" si="10"/>
        <v>0</v>
      </c>
      <c r="AE18" s="31">
        <f t="shared" si="10"/>
        <v>1055</v>
      </c>
      <c r="AF18" s="31">
        <f t="shared" si="10"/>
        <v>1245</v>
      </c>
    </row>
    <row r="19" spans="2:32" ht="23.1" customHeight="1" x14ac:dyDescent="0.25">
      <c r="B19" s="45" t="s">
        <v>46</v>
      </c>
      <c r="C19" s="50">
        <v>44</v>
      </c>
      <c r="D19" s="50">
        <v>29</v>
      </c>
      <c r="E19" s="50">
        <v>8</v>
      </c>
      <c r="F19" s="50">
        <v>5</v>
      </c>
      <c r="G19" s="50">
        <v>0</v>
      </c>
      <c r="H19" s="50">
        <v>0</v>
      </c>
      <c r="I19" s="50">
        <v>2</v>
      </c>
      <c r="J19" s="50">
        <v>1</v>
      </c>
      <c r="K19" s="50">
        <v>1</v>
      </c>
      <c r="L19" s="50">
        <v>0</v>
      </c>
      <c r="M19" s="50">
        <v>47</v>
      </c>
      <c r="N19" s="50">
        <v>0</v>
      </c>
      <c r="O19" s="15">
        <v>137</v>
      </c>
      <c r="P19" s="15">
        <f>SUM(C19:O19)</f>
        <v>274</v>
      </c>
      <c r="R19" s="1" t="s">
        <v>15</v>
      </c>
      <c r="S19" s="17">
        <f t="shared" ref="S19:AF19" si="11">SUM(C46:C49)</f>
        <v>409</v>
      </c>
      <c r="T19" s="17">
        <f t="shared" si="11"/>
        <v>447</v>
      </c>
      <c r="U19" s="17">
        <f t="shared" si="11"/>
        <v>54</v>
      </c>
      <c r="V19" s="17">
        <f t="shared" si="11"/>
        <v>24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3</v>
      </c>
      <c r="AA19" s="17">
        <f t="shared" si="11"/>
        <v>3</v>
      </c>
      <c r="AB19" s="17">
        <f t="shared" si="11"/>
        <v>3</v>
      </c>
      <c r="AC19" s="17">
        <f t="shared" si="11"/>
        <v>183</v>
      </c>
      <c r="AD19" s="17">
        <f t="shared" si="11"/>
        <v>0</v>
      </c>
      <c r="AE19" s="31">
        <f t="shared" si="11"/>
        <v>948</v>
      </c>
      <c r="AF19" s="31">
        <f t="shared" si="11"/>
        <v>1131</v>
      </c>
    </row>
    <row r="20" spans="2:32" ht="23.1" customHeight="1" x14ac:dyDescent="0.25">
      <c r="B20" s="45" t="s">
        <v>47</v>
      </c>
      <c r="C20" s="50">
        <v>30</v>
      </c>
      <c r="D20" s="50">
        <v>27</v>
      </c>
      <c r="E20" s="50">
        <v>6</v>
      </c>
      <c r="F20" s="50">
        <v>6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1</v>
      </c>
      <c r="M20" s="50">
        <v>36</v>
      </c>
      <c r="N20" s="50">
        <v>0</v>
      </c>
      <c r="O20" s="15">
        <f t="shared" si="0"/>
        <v>74</v>
      </c>
      <c r="P20" s="15">
        <f t="shared" si="1"/>
        <v>110</v>
      </c>
      <c r="R20" s="1" t="s">
        <v>16</v>
      </c>
      <c r="S20" s="17">
        <f t="shared" ref="S20:AF20" si="12">SUM(C50:C53)</f>
        <v>363</v>
      </c>
      <c r="T20" s="17">
        <f t="shared" si="12"/>
        <v>292</v>
      </c>
      <c r="U20" s="17">
        <f t="shared" si="12"/>
        <v>39</v>
      </c>
      <c r="V20" s="17">
        <f t="shared" si="12"/>
        <v>14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160</v>
      </c>
      <c r="AD20" s="17">
        <f t="shared" si="12"/>
        <v>0</v>
      </c>
      <c r="AE20" s="31">
        <f t="shared" si="12"/>
        <v>717</v>
      </c>
      <c r="AF20" s="31">
        <f t="shared" si="12"/>
        <v>877</v>
      </c>
    </row>
    <row r="21" spans="2:32" ht="23.1" customHeight="1" x14ac:dyDescent="0.25">
      <c r="B21" s="45" t="s">
        <v>48</v>
      </c>
      <c r="C21" s="50">
        <v>35</v>
      </c>
      <c r="D21" s="50">
        <v>20</v>
      </c>
      <c r="E21" s="50">
        <v>10</v>
      </c>
      <c r="F21" s="50">
        <v>3</v>
      </c>
      <c r="G21" s="50">
        <v>0</v>
      </c>
      <c r="H21" s="50">
        <v>0</v>
      </c>
      <c r="I21" s="50">
        <v>1</v>
      </c>
      <c r="J21" s="50">
        <v>3</v>
      </c>
      <c r="K21" s="50">
        <v>0</v>
      </c>
      <c r="L21" s="50">
        <v>0</v>
      </c>
      <c r="M21" s="50">
        <v>26</v>
      </c>
      <c r="N21" s="50">
        <v>0</v>
      </c>
      <c r="O21" s="15">
        <f t="shared" si="0"/>
        <v>72</v>
      </c>
      <c r="P21" s="15">
        <f t="shared" si="1"/>
        <v>98</v>
      </c>
      <c r="R21" s="36" t="s">
        <v>20</v>
      </c>
      <c r="S21" s="34">
        <f t="shared" ref="S21:AF21" si="13">SUM(C54:C57)</f>
        <v>371</v>
      </c>
      <c r="T21" s="17">
        <f t="shared" si="13"/>
        <v>369</v>
      </c>
      <c r="U21" s="17">
        <f t="shared" si="13"/>
        <v>22</v>
      </c>
      <c r="V21" s="17">
        <f t="shared" si="13"/>
        <v>18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3</v>
      </c>
      <c r="AA21" s="17">
        <f t="shared" si="13"/>
        <v>1</v>
      </c>
      <c r="AB21" s="17">
        <f t="shared" si="13"/>
        <v>1</v>
      </c>
      <c r="AC21" s="17">
        <f t="shared" si="13"/>
        <v>220</v>
      </c>
      <c r="AD21" s="17">
        <f t="shared" si="13"/>
        <v>0</v>
      </c>
      <c r="AE21" s="31">
        <f t="shared" si="13"/>
        <v>790</v>
      </c>
      <c r="AF21" s="31">
        <f t="shared" si="13"/>
        <v>1010</v>
      </c>
    </row>
    <row r="22" spans="2:32" ht="23.1" customHeight="1" x14ac:dyDescent="0.25">
      <c r="B22" s="45" t="s">
        <v>49</v>
      </c>
      <c r="C22" s="50">
        <v>38</v>
      </c>
      <c r="D22" s="50">
        <v>32</v>
      </c>
      <c r="E22" s="50">
        <v>3</v>
      </c>
      <c r="F22" s="50">
        <v>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77</v>
      </c>
      <c r="P22" s="15">
        <f t="shared" si="1"/>
        <v>99</v>
      </c>
      <c r="R22" s="36" t="s">
        <v>146</v>
      </c>
      <c r="S22" s="34">
        <f>SUM(C58:C61)</f>
        <v>224</v>
      </c>
      <c r="T22" s="34">
        <f t="shared" ref="T22:AF22" si="14">SUM(D58:D61)</f>
        <v>159</v>
      </c>
      <c r="U22" s="34">
        <f t="shared" si="14"/>
        <v>24</v>
      </c>
      <c r="V22" s="34">
        <f t="shared" si="14"/>
        <v>13</v>
      </c>
      <c r="W22" s="34">
        <f t="shared" si="14"/>
        <v>0</v>
      </c>
      <c r="X22" s="34">
        <f t="shared" si="14"/>
        <v>0</v>
      </c>
      <c r="Y22" s="34">
        <f t="shared" si="14"/>
        <v>14</v>
      </c>
      <c r="Z22" s="34">
        <f t="shared" si="14"/>
        <v>10</v>
      </c>
      <c r="AA22" s="34">
        <f t="shared" si="14"/>
        <v>6</v>
      </c>
      <c r="AB22" s="34">
        <f t="shared" si="14"/>
        <v>3</v>
      </c>
      <c r="AC22" s="34">
        <f t="shared" si="14"/>
        <v>231</v>
      </c>
      <c r="AD22" s="34">
        <f t="shared" si="14"/>
        <v>0</v>
      </c>
      <c r="AE22" s="31">
        <f t="shared" si="14"/>
        <v>453</v>
      </c>
      <c r="AF22" s="31">
        <f t="shared" si="14"/>
        <v>684</v>
      </c>
    </row>
    <row r="23" spans="2:32" ht="23.1" customHeight="1" x14ac:dyDescent="0.25">
      <c r="B23" s="45" t="s">
        <v>50</v>
      </c>
      <c r="C23" s="50">
        <v>37</v>
      </c>
      <c r="D23" s="50">
        <v>27</v>
      </c>
      <c r="E23" s="50">
        <v>3</v>
      </c>
      <c r="F23" s="50">
        <v>2</v>
      </c>
      <c r="G23" s="50">
        <v>0</v>
      </c>
      <c r="H23" s="50">
        <v>0</v>
      </c>
      <c r="I23" s="50">
        <v>0</v>
      </c>
      <c r="J23" s="50">
        <v>1</v>
      </c>
      <c r="K23" s="50">
        <v>1</v>
      </c>
      <c r="L23" s="50">
        <v>0</v>
      </c>
      <c r="M23" s="50">
        <v>31</v>
      </c>
      <c r="N23" s="50">
        <v>0</v>
      </c>
      <c r="O23" s="15">
        <f t="shared" si="0"/>
        <v>71</v>
      </c>
      <c r="P23" s="15">
        <f t="shared" si="1"/>
        <v>102</v>
      </c>
      <c r="R23" s="36" t="s">
        <v>147</v>
      </c>
      <c r="S23" s="34">
        <f>SUM(C62:C65)</f>
        <v>273</v>
      </c>
      <c r="T23" s="34">
        <f t="shared" ref="T23:AF23" si="15">SUM(D62:D65)</f>
        <v>224</v>
      </c>
      <c r="U23" s="34">
        <f t="shared" si="15"/>
        <v>20</v>
      </c>
      <c r="V23" s="34">
        <f t="shared" si="15"/>
        <v>12</v>
      </c>
      <c r="W23" s="34">
        <f t="shared" si="15"/>
        <v>0</v>
      </c>
      <c r="X23" s="34">
        <f t="shared" si="15"/>
        <v>0</v>
      </c>
      <c r="Y23" s="34">
        <f t="shared" si="15"/>
        <v>6</v>
      </c>
      <c r="Z23" s="34">
        <f t="shared" si="15"/>
        <v>3</v>
      </c>
      <c r="AA23" s="34">
        <f t="shared" si="15"/>
        <v>2</v>
      </c>
      <c r="AB23" s="34">
        <f t="shared" si="15"/>
        <v>0</v>
      </c>
      <c r="AC23" s="34">
        <f t="shared" si="15"/>
        <v>142</v>
      </c>
      <c r="AD23" s="34">
        <f t="shared" si="15"/>
        <v>0</v>
      </c>
      <c r="AE23" s="31">
        <f t="shared" si="15"/>
        <v>540</v>
      </c>
      <c r="AF23" s="31">
        <f t="shared" si="15"/>
        <v>682</v>
      </c>
    </row>
    <row r="24" spans="2:32" ht="23.1" customHeight="1" x14ac:dyDescent="0.25">
      <c r="B24" s="45" t="s">
        <v>51</v>
      </c>
      <c r="C24" s="50">
        <v>44</v>
      </c>
      <c r="D24" s="50">
        <v>27</v>
      </c>
      <c r="E24" s="50">
        <v>10</v>
      </c>
      <c r="F24" s="50">
        <v>3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53</v>
      </c>
      <c r="N24" s="50">
        <v>0</v>
      </c>
      <c r="O24" s="15">
        <f t="shared" si="0"/>
        <v>87</v>
      </c>
      <c r="P24" s="15">
        <f t="shared" si="1"/>
        <v>140</v>
      </c>
      <c r="R24" s="36" t="s">
        <v>148</v>
      </c>
      <c r="S24" s="34">
        <f>SUM(C66:C69)</f>
        <v>183</v>
      </c>
      <c r="T24" s="34">
        <f t="shared" ref="T24:AF24" si="16">SUM(D66:D69)</f>
        <v>132</v>
      </c>
      <c r="U24" s="34">
        <f t="shared" si="16"/>
        <v>27</v>
      </c>
      <c r="V24" s="34">
        <f t="shared" si="16"/>
        <v>7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3</v>
      </c>
      <c r="AB24" s="34">
        <f t="shared" si="16"/>
        <v>0</v>
      </c>
      <c r="AC24" s="34">
        <f t="shared" si="16"/>
        <v>70</v>
      </c>
      <c r="AD24" s="34">
        <f t="shared" si="16"/>
        <v>0</v>
      </c>
      <c r="AE24" s="31">
        <f t="shared" si="16"/>
        <v>354</v>
      </c>
      <c r="AF24" s="31">
        <f t="shared" si="16"/>
        <v>424</v>
      </c>
    </row>
    <row r="25" spans="2:32" ht="23.1" customHeight="1" x14ac:dyDescent="0.25">
      <c r="B25" s="45" t="s">
        <v>52</v>
      </c>
      <c r="C25" s="50">
        <v>37</v>
      </c>
      <c r="D25" s="50">
        <v>37</v>
      </c>
      <c r="E25" s="50">
        <v>9</v>
      </c>
      <c r="F25" s="50">
        <v>7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1</v>
      </c>
      <c r="M25" s="50">
        <v>34</v>
      </c>
      <c r="N25" s="50">
        <v>0</v>
      </c>
      <c r="O25" s="15">
        <f t="shared" si="0"/>
        <v>96</v>
      </c>
      <c r="P25" s="15">
        <f t="shared" si="1"/>
        <v>130</v>
      </c>
      <c r="R25" s="36" t="s">
        <v>149</v>
      </c>
      <c r="S25" s="34">
        <f>SUM(C70:C73)</f>
        <v>130</v>
      </c>
      <c r="T25" s="34">
        <f t="shared" ref="T25:AF25" si="17">SUM(D70:D73)</f>
        <v>115</v>
      </c>
      <c r="U25" s="34">
        <f t="shared" si="17"/>
        <v>10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35</v>
      </c>
      <c r="AD25" s="34">
        <f t="shared" si="17"/>
        <v>0</v>
      </c>
      <c r="AE25" s="31">
        <f t="shared" si="17"/>
        <v>263</v>
      </c>
      <c r="AF25" s="31">
        <f t="shared" si="17"/>
        <v>298</v>
      </c>
    </row>
    <row r="26" spans="2:32" ht="23.1" customHeight="1" x14ac:dyDescent="0.25">
      <c r="B26" s="45" t="s">
        <v>53</v>
      </c>
      <c r="C26" s="50">
        <v>39</v>
      </c>
      <c r="D26" s="50">
        <v>39</v>
      </c>
      <c r="E26" s="50">
        <v>14</v>
      </c>
      <c r="F26" s="50">
        <v>4</v>
      </c>
      <c r="G26" s="50">
        <v>0</v>
      </c>
      <c r="H26" s="50">
        <v>0</v>
      </c>
      <c r="I26" s="50">
        <v>3</v>
      </c>
      <c r="J26" s="50">
        <v>3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102</v>
      </c>
      <c r="P26" s="15">
        <f t="shared" si="1"/>
        <v>137</v>
      </c>
      <c r="R26" s="36" t="s">
        <v>150</v>
      </c>
      <c r="S26" s="34">
        <f>SUM(C74:C77)</f>
        <v>89</v>
      </c>
      <c r="T26" s="34">
        <f t="shared" ref="T26:AF26" si="18">SUM(D74:D77)</f>
        <v>83</v>
      </c>
      <c r="U26" s="34">
        <f t="shared" si="18"/>
        <v>6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31</v>
      </c>
      <c r="AD26" s="34">
        <f t="shared" si="18"/>
        <v>0</v>
      </c>
      <c r="AE26" s="31">
        <f t="shared" si="18"/>
        <v>179</v>
      </c>
      <c r="AF26" s="31">
        <f t="shared" si="18"/>
        <v>210</v>
      </c>
    </row>
    <row r="27" spans="2:32" ht="23.1" customHeight="1" x14ac:dyDescent="0.25">
      <c r="B27" s="45" t="s">
        <v>54</v>
      </c>
      <c r="C27" s="50">
        <v>60</v>
      </c>
      <c r="D27" s="50">
        <v>46</v>
      </c>
      <c r="E27" s="50">
        <v>12</v>
      </c>
      <c r="F27" s="50">
        <v>5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95</v>
      </c>
      <c r="N27" s="50">
        <v>0</v>
      </c>
      <c r="O27" s="15">
        <f t="shared" si="0"/>
        <v>126</v>
      </c>
      <c r="P27" s="15">
        <f t="shared" si="1"/>
        <v>221</v>
      </c>
      <c r="R27" s="36" t="s">
        <v>151</v>
      </c>
      <c r="S27" s="34">
        <f>SUM(C78:C81)</f>
        <v>48</v>
      </c>
      <c r="T27" s="34">
        <f t="shared" ref="T27:AF27" si="19">SUM(D78:D81)</f>
        <v>29</v>
      </c>
      <c r="U27" s="34">
        <f t="shared" si="19"/>
        <v>8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24</v>
      </c>
      <c r="AD27" s="34">
        <f t="shared" si="19"/>
        <v>0</v>
      </c>
      <c r="AE27" s="31">
        <f t="shared" si="19"/>
        <v>87</v>
      </c>
      <c r="AF27" s="31">
        <f t="shared" si="19"/>
        <v>111</v>
      </c>
    </row>
    <row r="28" spans="2:32" ht="23.1" customHeight="1" x14ac:dyDescent="0.25">
      <c r="B28" s="45" t="s">
        <v>55</v>
      </c>
      <c r="C28" s="50">
        <v>49</v>
      </c>
      <c r="D28" s="50">
        <v>44</v>
      </c>
      <c r="E28" s="50">
        <v>10</v>
      </c>
      <c r="F28" s="50">
        <v>9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26</v>
      </c>
      <c r="N28" s="50">
        <v>0</v>
      </c>
      <c r="O28" s="15">
        <f t="shared" si="0"/>
        <v>115</v>
      </c>
      <c r="P28" s="15">
        <f t="shared" si="1"/>
        <v>141</v>
      </c>
      <c r="R28" s="36" t="s">
        <v>152</v>
      </c>
      <c r="S28" s="34">
        <f>SUM(C82:C85)</f>
        <v>22</v>
      </c>
      <c r="T28" s="34">
        <f t="shared" ref="T28:AF28" si="20">SUM(D82:D85)</f>
        <v>22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46</v>
      </c>
      <c r="AF28" s="31">
        <f t="shared" si="20"/>
        <v>54</v>
      </c>
    </row>
    <row r="29" spans="2:32" ht="23.1" customHeight="1" x14ac:dyDescent="0.25">
      <c r="B29" s="45" t="s">
        <v>56</v>
      </c>
      <c r="C29" s="50">
        <v>73</v>
      </c>
      <c r="D29" s="50">
        <v>53</v>
      </c>
      <c r="E29" s="50">
        <v>13</v>
      </c>
      <c r="F29" s="50">
        <v>10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149</v>
      </c>
      <c r="P29" s="15">
        <f t="shared" si="1"/>
        <v>224</v>
      </c>
      <c r="R29" s="36" t="s">
        <v>153</v>
      </c>
      <c r="S29" s="34">
        <f>SUM(C86:C89)</f>
        <v>68</v>
      </c>
      <c r="T29" s="34">
        <f t="shared" ref="T29:AF29" si="21">SUM(D86:D89)</f>
        <v>41</v>
      </c>
      <c r="U29" s="34">
        <f t="shared" si="21"/>
        <v>3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</v>
      </c>
      <c r="AD29" s="34">
        <f t="shared" si="21"/>
        <v>0</v>
      </c>
      <c r="AE29" s="31">
        <f t="shared" si="21"/>
        <v>112</v>
      </c>
      <c r="AF29" s="31">
        <f t="shared" si="21"/>
        <v>117</v>
      </c>
    </row>
    <row r="30" spans="2:32" ht="23.1" customHeight="1" x14ac:dyDescent="0.25">
      <c r="B30" s="45" t="s">
        <v>57</v>
      </c>
      <c r="C30" s="50">
        <v>68</v>
      </c>
      <c r="D30" s="50">
        <v>42</v>
      </c>
      <c r="E30" s="50">
        <v>10</v>
      </c>
      <c r="F30" s="50">
        <v>8</v>
      </c>
      <c r="G30" s="50">
        <v>0</v>
      </c>
      <c r="H30" s="50">
        <v>1</v>
      </c>
      <c r="I30" s="50">
        <v>2</v>
      </c>
      <c r="J30" s="50">
        <v>2</v>
      </c>
      <c r="K30" s="50">
        <v>0</v>
      </c>
      <c r="L30" s="50">
        <v>0</v>
      </c>
      <c r="M30" s="50">
        <v>55</v>
      </c>
      <c r="N30" s="50">
        <v>0</v>
      </c>
      <c r="O30" s="15">
        <f t="shared" si="0"/>
        <v>133</v>
      </c>
      <c r="P30" s="15">
        <f t="shared" si="1"/>
        <v>188</v>
      </c>
      <c r="R30" s="36" t="s">
        <v>154</v>
      </c>
      <c r="S30" s="34">
        <f>SUM(C90:C93)</f>
        <v>50</v>
      </c>
      <c r="T30" s="34">
        <f t="shared" ref="T30:AF30" si="22">SUM(D90:D93)</f>
        <v>40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93</v>
      </c>
      <c r="AF30" s="31">
        <f t="shared" si="22"/>
        <v>100</v>
      </c>
    </row>
    <row r="31" spans="2:32" ht="23.1" customHeight="1" x14ac:dyDescent="0.25">
      <c r="B31" s="46" t="s">
        <v>58</v>
      </c>
      <c r="C31" s="50">
        <v>63</v>
      </c>
      <c r="D31" s="50">
        <v>62</v>
      </c>
      <c r="E31" s="50">
        <v>12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33</v>
      </c>
      <c r="N31" s="50">
        <v>0</v>
      </c>
      <c r="O31" s="15">
        <f t="shared" si="0"/>
        <v>139</v>
      </c>
      <c r="P31" s="15">
        <f t="shared" si="1"/>
        <v>172</v>
      </c>
      <c r="R31" s="36" t="s">
        <v>155</v>
      </c>
      <c r="S31" s="34">
        <f>SUM(C94:C97)</f>
        <v>28</v>
      </c>
      <c r="T31" s="34">
        <f t="shared" ref="T31:AF31" si="23">SUM(D94:D97)</f>
        <v>10</v>
      </c>
      <c r="U31" s="34">
        <f t="shared" si="23"/>
        <v>1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40</v>
      </c>
      <c r="AF31" s="31">
        <f t="shared" si="23"/>
        <v>45</v>
      </c>
    </row>
    <row r="32" spans="2:32" ht="23.1" customHeight="1" x14ac:dyDescent="0.25">
      <c r="B32" s="46" t="s">
        <v>59</v>
      </c>
      <c r="C32" s="50">
        <v>44</v>
      </c>
      <c r="D32" s="50">
        <v>41</v>
      </c>
      <c r="E32" s="50">
        <v>13</v>
      </c>
      <c r="F32" s="50">
        <v>10</v>
      </c>
      <c r="G32" s="50">
        <v>0</v>
      </c>
      <c r="H32" s="50">
        <v>0</v>
      </c>
      <c r="I32" s="50">
        <v>7</v>
      </c>
      <c r="J32" s="50">
        <v>1</v>
      </c>
      <c r="K32" s="50">
        <v>0</v>
      </c>
      <c r="L32" s="50">
        <v>0</v>
      </c>
      <c r="M32" s="50">
        <v>38</v>
      </c>
      <c r="N32" s="50">
        <v>0</v>
      </c>
      <c r="O32" s="15">
        <f t="shared" si="0"/>
        <v>116</v>
      </c>
      <c r="P32" s="15">
        <f t="shared" si="1"/>
        <v>154</v>
      </c>
      <c r="R32" s="33" t="s">
        <v>156</v>
      </c>
      <c r="S32" s="34">
        <f>SUM(C98:C101)</f>
        <v>12</v>
      </c>
      <c r="T32" s="34">
        <f t="shared" ref="T32:AF32" si="24">SUM(D98:D101)</f>
        <v>7</v>
      </c>
      <c r="U32" s="34">
        <f t="shared" si="24"/>
        <v>6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28</v>
      </c>
      <c r="AF32" s="31">
        <f t="shared" si="24"/>
        <v>31</v>
      </c>
    </row>
    <row r="33" spans="2:32" ht="23.1" customHeight="1" x14ac:dyDescent="0.25">
      <c r="B33" s="45" t="s">
        <v>60</v>
      </c>
      <c r="C33" s="50">
        <v>45</v>
      </c>
      <c r="D33" s="50">
        <v>28</v>
      </c>
      <c r="E33" s="50">
        <v>6</v>
      </c>
      <c r="F33" s="50">
        <v>6</v>
      </c>
      <c r="G33" s="50">
        <v>0</v>
      </c>
      <c r="H33" s="50">
        <v>0</v>
      </c>
      <c r="I33" s="50">
        <v>1</v>
      </c>
      <c r="J33" s="50">
        <v>4</v>
      </c>
      <c r="K33" s="50">
        <v>0</v>
      </c>
      <c r="L33" s="50">
        <v>0</v>
      </c>
      <c r="M33" s="50">
        <v>44</v>
      </c>
      <c r="N33" s="50">
        <v>1</v>
      </c>
      <c r="O33" s="15">
        <f t="shared" si="0"/>
        <v>91</v>
      </c>
      <c r="P33" s="15">
        <f t="shared" si="1"/>
        <v>135</v>
      </c>
      <c r="R33" s="33" t="s">
        <v>157</v>
      </c>
      <c r="S33" s="34">
        <f>SUM(C102:C105)</f>
        <v>12</v>
      </c>
      <c r="T33" s="34">
        <f t="shared" ref="T33:AF33" si="25">SUM(D102:D105)</f>
        <v>2</v>
      </c>
      <c r="U33" s="34">
        <f t="shared" si="25"/>
        <v>6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24</v>
      </c>
      <c r="AD33" s="34">
        <f t="shared" si="25"/>
        <v>0</v>
      </c>
      <c r="AE33" s="31">
        <f t="shared" si="25"/>
        <v>26</v>
      </c>
      <c r="AF33" s="31">
        <f t="shared" si="25"/>
        <v>50</v>
      </c>
    </row>
    <row r="34" spans="2:32" ht="23.1" customHeight="1" x14ac:dyDescent="0.25">
      <c r="B34" s="46" t="s">
        <v>61</v>
      </c>
      <c r="C34" s="50">
        <v>54</v>
      </c>
      <c r="D34" s="50">
        <v>62</v>
      </c>
      <c r="E34" s="50">
        <v>13</v>
      </c>
      <c r="F34" s="50">
        <v>13</v>
      </c>
      <c r="G34" s="50">
        <v>1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28</v>
      </c>
      <c r="N34" s="50">
        <v>0</v>
      </c>
      <c r="O34" s="15">
        <f t="shared" si="0"/>
        <v>145</v>
      </c>
      <c r="P34" s="15">
        <f t="shared" si="1"/>
        <v>173</v>
      </c>
      <c r="R34" s="38" t="s">
        <v>90</v>
      </c>
      <c r="S34" s="39">
        <f t="shared" ref="S34:AF34" si="26">MAX(S10:S12)</f>
        <v>146</v>
      </c>
      <c r="T34" s="39">
        <f t="shared" si="26"/>
        <v>89</v>
      </c>
      <c r="U34" s="39">
        <f t="shared" si="26"/>
        <v>27</v>
      </c>
      <c r="V34" s="39">
        <f t="shared" si="26"/>
        <v>21</v>
      </c>
      <c r="W34" s="39">
        <f t="shared" si="26"/>
        <v>1</v>
      </c>
      <c r="X34" s="39">
        <f t="shared" si="26"/>
        <v>0</v>
      </c>
      <c r="Y34" s="39">
        <f t="shared" si="26"/>
        <v>7</v>
      </c>
      <c r="Z34" s="39">
        <f t="shared" si="26"/>
        <v>5</v>
      </c>
      <c r="AA34" s="39">
        <f t="shared" si="26"/>
        <v>1</v>
      </c>
      <c r="AB34" s="39">
        <f t="shared" si="26"/>
        <v>1</v>
      </c>
      <c r="AC34" s="39">
        <f t="shared" si="26"/>
        <v>159</v>
      </c>
      <c r="AD34" s="39">
        <f t="shared" si="26"/>
        <v>0</v>
      </c>
      <c r="AE34" s="40">
        <f t="shared" si="26"/>
        <v>340</v>
      </c>
      <c r="AF34" s="40">
        <f t="shared" si="26"/>
        <v>589</v>
      </c>
    </row>
    <row r="35" spans="2:32" ht="23.1" customHeight="1" x14ac:dyDescent="0.25">
      <c r="B35" s="46" t="s">
        <v>62</v>
      </c>
      <c r="C35" s="50">
        <v>74</v>
      </c>
      <c r="D35" s="50">
        <v>69</v>
      </c>
      <c r="E35" s="50">
        <v>16</v>
      </c>
      <c r="F35" s="50">
        <v>8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49</v>
      </c>
      <c r="N35" s="50">
        <v>0</v>
      </c>
      <c r="O35" s="15">
        <f t="shared" si="0"/>
        <v>169</v>
      </c>
      <c r="P35" s="15">
        <f t="shared" si="1"/>
        <v>218</v>
      </c>
      <c r="R35" s="38" t="s">
        <v>91</v>
      </c>
      <c r="S35" s="39">
        <f t="shared" ref="S35:AF35" si="27">MAX(S13:S18)</f>
        <v>474</v>
      </c>
      <c r="T35" s="39">
        <f t="shared" si="27"/>
        <v>467</v>
      </c>
      <c r="U35" s="39">
        <f t="shared" si="27"/>
        <v>58</v>
      </c>
      <c r="V35" s="39">
        <f t="shared" si="27"/>
        <v>46</v>
      </c>
      <c r="W35" s="39">
        <f t="shared" si="27"/>
        <v>5</v>
      </c>
      <c r="X35" s="39">
        <f t="shared" si="27"/>
        <v>1</v>
      </c>
      <c r="Y35" s="39">
        <f t="shared" si="27"/>
        <v>11</v>
      </c>
      <c r="Z35" s="39">
        <f t="shared" si="27"/>
        <v>9</v>
      </c>
      <c r="AA35" s="39">
        <f t="shared" si="27"/>
        <v>3</v>
      </c>
      <c r="AB35" s="39">
        <f t="shared" si="27"/>
        <v>1</v>
      </c>
      <c r="AC35" s="39">
        <f t="shared" si="27"/>
        <v>231</v>
      </c>
      <c r="AD35" s="39">
        <f t="shared" si="27"/>
        <v>1</v>
      </c>
      <c r="AE35" s="40">
        <f t="shared" si="27"/>
        <v>1055</v>
      </c>
      <c r="AF35" s="40">
        <f t="shared" si="27"/>
        <v>1245</v>
      </c>
    </row>
    <row r="36" spans="2:32" ht="23.1" customHeight="1" x14ac:dyDescent="0.25">
      <c r="B36" s="46" t="s">
        <v>63</v>
      </c>
      <c r="C36" s="50">
        <v>79</v>
      </c>
      <c r="D36" s="50">
        <v>65</v>
      </c>
      <c r="E36" s="50">
        <v>18</v>
      </c>
      <c r="F36" s="50">
        <v>9</v>
      </c>
      <c r="G36" s="50">
        <v>0</v>
      </c>
      <c r="H36" s="50">
        <v>0</v>
      </c>
      <c r="I36" s="50">
        <v>1</v>
      </c>
      <c r="J36" s="50">
        <v>3</v>
      </c>
      <c r="K36" s="50">
        <v>1</v>
      </c>
      <c r="L36" s="50">
        <v>0</v>
      </c>
      <c r="M36" s="50">
        <v>38</v>
      </c>
      <c r="N36" s="50">
        <v>0</v>
      </c>
      <c r="O36" s="15">
        <f t="shared" si="0"/>
        <v>176</v>
      </c>
      <c r="P36" s="15">
        <f t="shared" si="1"/>
        <v>214</v>
      </c>
      <c r="R36" s="38" t="s">
        <v>92</v>
      </c>
      <c r="S36" s="39">
        <f t="shared" ref="S36:AF36" si="28">MAX(S19:S21)</f>
        <v>409</v>
      </c>
      <c r="T36" s="39">
        <f t="shared" si="28"/>
        <v>447</v>
      </c>
      <c r="U36" s="39">
        <f t="shared" si="28"/>
        <v>54</v>
      </c>
      <c r="V36" s="39">
        <f t="shared" si="28"/>
        <v>24</v>
      </c>
      <c r="W36" s="39">
        <f t="shared" si="28"/>
        <v>0</v>
      </c>
      <c r="X36" s="39">
        <f t="shared" si="28"/>
        <v>1</v>
      </c>
      <c r="Y36" s="39">
        <f t="shared" si="28"/>
        <v>5</v>
      </c>
      <c r="Z36" s="39">
        <f t="shared" si="28"/>
        <v>3</v>
      </c>
      <c r="AA36" s="39">
        <f t="shared" si="28"/>
        <v>3</v>
      </c>
      <c r="AB36" s="39">
        <f t="shared" si="28"/>
        <v>3</v>
      </c>
      <c r="AC36" s="39">
        <f t="shared" si="28"/>
        <v>220</v>
      </c>
      <c r="AD36" s="39">
        <f t="shared" si="28"/>
        <v>0</v>
      </c>
      <c r="AE36" s="40">
        <f t="shared" si="28"/>
        <v>948</v>
      </c>
      <c r="AF36" s="40">
        <f t="shared" si="28"/>
        <v>1131</v>
      </c>
    </row>
    <row r="37" spans="2:32" ht="23.1" customHeight="1" x14ac:dyDescent="0.25">
      <c r="B37" s="45" t="s">
        <v>64</v>
      </c>
      <c r="C37" s="50">
        <v>110</v>
      </c>
      <c r="D37" s="50">
        <v>120</v>
      </c>
      <c r="E37" s="50">
        <v>11</v>
      </c>
      <c r="F37" s="50">
        <v>7</v>
      </c>
      <c r="G37" s="50">
        <v>1</v>
      </c>
      <c r="H37" s="50">
        <v>0</v>
      </c>
      <c r="I37" s="50">
        <v>5</v>
      </c>
      <c r="J37" s="50">
        <v>3</v>
      </c>
      <c r="K37" s="50">
        <v>0</v>
      </c>
      <c r="L37" s="50">
        <v>0</v>
      </c>
      <c r="M37" s="50">
        <v>64</v>
      </c>
      <c r="N37" s="50">
        <v>0</v>
      </c>
      <c r="O37" s="15">
        <f t="shared" si="0"/>
        <v>257</v>
      </c>
      <c r="P37" s="15">
        <f t="shared" si="1"/>
        <v>321</v>
      </c>
      <c r="R37" s="37" t="s">
        <v>85</v>
      </c>
      <c r="S37" s="35">
        <f t="shared" ref="S37:AF37" si="29">SUM(S10:S12)</f>
        <v>282</v>
      </c>
      <c r="T37" s="16">
        <f t="shared" si="29"/>
        <v>152</v>
      </c>
      <c r="U37" s="16">
        <f t="shared" si="29"/>
        <v>72</v>
      </c>
      <c r="V37" s="16">
        <f t="shared" si="29"/>
        <v>50</v>
      </c>
      <c r="W37" s="16">
        <f t="shared" si="29"/>
        <v>1</v>
      </c>
      <c r="X37" s="16">
        <f t="shared" si="29"/>
        <v>0</v>
      </c>
      <c r="Y37" s="16">
        <f t="shared" si="29"/>
        <v>16</v>
      </c>
      <c r="Z37" s="16">
        <f t="shared" si="29"/>
        <v>10</v>
      </c>
      <c r="AA37" s="16">
        <f t="shared" si="29"/>
        <v>1</v>
      </c>
      <c r="AB37" s="16">
        <f t="shared" si="29"/>
        <v>1</v>
      </c>
      <c r="AC37" s="16">
        <f t="shared" si="29"/>
        <v>378</v>
      </c>
      <c r="AD37" s="16">
        <f t="shared" si="29"/>
        <v>0</v>
      </c>
      <c r="AE37" s="32">
        <f t="shared" si="29"/>
        <v>632</v>
      </c>
      <c r="AF37" s="32">
        <f t="shared" si="29"/>
        <v>1100</v>
      </c>
    </row>
    <row r="38" spans="2:32" ht="23.1" customHeight="1" x14ac:dyDescent="0.25">
      <c r="B38" s="46" t="s">
        <v>65</v>
      </c>
      <c r="C38" s="50">
        <v>98</v>
      </c>
      <c r="D38" s="50">
        <v>47</v>
      </c>
      <c r="E38" s="50">
        <v>14</v>
      </c>
      <c r="F38" s="50">
        <v>8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0</v>
      </c>
      <c r="M38" s="50">
        <v>33</v>
      </c>
      <c r="N38" s="50">
        <v>0</v>
      </c>
      <c r="O38" s="15">
        <f t="shared" si="0"/>
        <v>172</v>
      </c>
      <c r="P38" s="15">
        <f t="shared" si="1"/>
        <v>205</v>
      </c>
      <c r="R38" s="28" t="s">
        <v>86</v>
      </c>
      <c r="S38" s="16">
        <f t="shared" ref="S38:AF38" si="30">SUM(S13:S18)</f>
        <v>1804</v>
      </c>
      <c r="T38" s="16">
        <f t="shared" si="30"/>
        <v>1532</v>
      </c>
      <c r="U38" s="16">
        <f t="shared" si="30"/>
        <v>281</v>
      </c>
      <c r="V38" s="16">
        <f t="shared" si="30"/>
        <v>193</v>
      </c>
      <c r="W38" s="16">
        <f t="shared" si="30"/>
        <v>8</v>
      </c>
      <c r="X38" s="16">
        <f t="shared" si="30"/>
        <v>1</v>
      </c>
      <c r="Y38" s="16">
        <f t="shared" si="30"/>
        <v>48</v>
      </c>
      <c r="Z38" s="16">
        <f t="shared" si="30"/>
        <v>34</v>
      </c>
      <c r="AA38" s="16">
        <f t="shared" si="30"/>
        <v>5</v>
      </c>
      <c r="AB38" s="16">
        <f t="shared" si="30"/>
        <v>1</v>
      </c>
      <c r="AC38" s="16">
        <f t="shared" si="30"/>
        <v>1079</v>
      </c>
      <c r="AD38" s="16">
        <f t="shared" si="30"/>
        <v>1</v>
      </c>
      <c r="AE38" s="32">
        <f t="shared" si="30"/>
        <v>3908</v>
      </c>
      <c r="AF38" s="32">
        <f t="shared" si="30"/>
        <v>4987</v>
      </c>
    </row>
    <row r="39" spans="2:32" ht="23.1" customHeight="1" x14ac:dyDescent="0.25">
      <c r="B39" s="46" t="s">
        <v>66</v>
      </c>
      <c r="C39" s="50">
        <v>102</v>
      </c>
      <c r="D39" s="50">
        <v>83</v>
      </c>
      <c r="E39" s="50">
        <v>11</v>
      </c>
      <c r="F39" s="50">
        <v>12</v>
      </c>
      <c r="G39" s="50">
        <v>3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65</v>
      </c>
      <c r="N39" s="50">
        <v>0</v>
      </c>
      <c r="O39" s="15">
        <f t="shared" si="0"/>
        <v>215</v>
      </c>
      <c r="P39" s="15">
        <f t="shared" si="1"/>
        <v>280</v>
      </c>
      <c r="R39" s="29" t="s">
        <v>87</v>
      </c>
      <c r="S39" s="16">
        <f t="shared" ref="S39:AF39" si="31">SUM(S19:S21)</f>
        <v>1143</v>
      </c>
      <c r="T39" s="16">
        <f t="shared" si="31"/>
        <v>1108</v>
      </c>
      <c r="U39" s="16">
        <f t="shared" si="31"/>
        <v>115</v>
      </c>
      <c r="V39" s="16">
        <f t="shared" si="31"/>
        <v>56</v>
      </c>
      <c r="W39" s="16">
        <f t="shared" si="31"/>
        <v>0</v>
      </c>
      <c r="X39" s="16">
        <f t="shared" si="31"/>
        <v>1</v>
      </c>
      <c r="Y39" s="16">
        <f t="shared" si="31"/>
        <v>14</v>
      </c>
      <c r="Z39" s="16">
        <f t="shared" si="31"/>
        <v>9</v>
      </c>
      <c r="AA39" s="16">
        <f t="shared" si="31"/>
        <v>5</v>
      </c>
      <c r="AB39" s="16">
        <f t="shared" si="31"/>
        <v>4</v>
      </c>
      <c r="AC39" s="16">
        <f t="shared" si="31"/>
        <v>563</v>
      </c>
      <c r="AD39" s="16">
        <f t="shared" si="31"/>
        <v>0</v>
      </c>
      <c r="AE39" s="32">
        <f t="shared" si="31"/>
        <v>2455</v>
      </c>
      <c r="AF39" s="32">
        <f t="shared" si="31"/>
        <v>3018</v>
      </c>
    </row>
    <row r="40" spans="2:32" ht="23.1" customHeight="1" x14ac:dyDescent="0.25">
      <c r="B40" s="46" t="s">
        <v>67</v>
      </c>
      <c r="C40" s="50">
        <v>122</v>
      </c>
      <c r="D40" s="50">
        <v>74</v>
      </c>
      <c r="E40" s="50">
        <v>9</v>
      </c>
      <c r="F40" s="50">
        <v>11</v>
      </c>
      <c r="G40" s="50">
        <v>0</v>
      </c>
      <c r="H40" s="50">
        <v>0</v>
      </c>
      <c r="I40" s="50">
        <v>2</v>
      </c>
      <c r="J40" s="50">
        <v>0</v>
      </c>
      <c r="K40" s="50">
        <v>2</v>
      </c>
      <c r="L40" s="50">
        <v>0</v>
      </c>
      <c r="M40" s="50">
        <v>33</v>
      </c>
      <c r="N40" s="50">
        <v>0</v>
      </c>
      <c r="O40" s="15">
        <f t="shared" si="0"/>
        <v>220</v>
      </c>
      <c r="P40" s="15">
        <f t="shared" si="1"/>
        <v>253</v>
      </c>
      <c r="R40" s="5" t="s">
        <v>17</v>
      </c>
      <c r="S40" s="16">
        <f t="shared" ref="S40:AF40" si="32">SUM(S10:S21)</f>
        <v>3229</v>
      </c>
      <c r="T40" s="16">
        <f t="shared" si="32"/>
        <v>2792</v>
      </c>
      <c r="U40" s="16">
        <f t="shared" si="32"/>
        <v>468</v>
      </c>
      <c r="V40" s="16">
        <f t="shared" si="32"/>
        <v>299</v>
      </c>
      <c r="W40" s="16">
        <f t="shared" si="32"/>
        <v>9</v>
      </c>
      <c r="X40" s="16">
        <f t="shared" si="32"/>
        <v>2</v>
      </c>
      <c r="Y40" s="16">
        <f t="shared" si="32"/>
        <v>78</v>
      </c>
      <c r="Z40" s="16">
        <f t="shared" si="32"/>
        <v>53</v>
      </c>
      <c r="AA40" s="16">
        <f t="shared" si="32"/>
        <v>11</v>
      </c>
      <c r="AB40" s="16">
        <f t="shared" si="32"/>
        <v>6</v>
      </c>
      <c r="AC40" s="16">
        <f t="shared" si="32"/>
        <v>2020</v>
      </c>
      <c r="AD40" s="16">
        <f t="shared" si="32"/>
        <v>1</v>
      </c>
      <c r="AE40" s="32">
        <f t="shared" si="32"/>
        <v>6995</v>
      </c>
      <c r="AF40" s="32">
        <f t="shared" si="32"/>
        <v>9105</v>
      </c>
    </row>
    <row r="41" spans="2:32" ht="23.1" customHeight="1" x14ac:dyDescent="0.25">
      <c r="B41" s="45" t="s">
        <v>68</v>
      </c>
      <c r="C41" s="50">
        <v>94</v>
      </c>
      <c r="D41" s="50">
        <v>67</v>
      </c>
      <c r="E41" s="50">
        <v>21</v>
      </c>
      <c r="F41" s="50">
        <v>12</v>
      </c>
      <c r="G41" s="50">
        <v>2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38</v>
      </c>
      <c r="N41" s="50">
        <v>0</v>
      </c>
      <c r="O41" s="15">
        <f t="shared" si="0"/>
        <v>197</v>
      </c>
      <c r="P41" s="15">
        <f t="shared" si="1"/>
        <v>235</v>
      </c>
      <c r="R41" s="5" t="s">
        <v>159</v>
      </c>
      <c r="S41" s="16">
        <f>SUM(S10:S33)</f>
        <v>4368</v>
      </c>
      <c r="T41" s="16">
        <f t="shared" ref="T41:AF41" si="33">SUM(T10:T33)</f>
        <v>3656</v>
      </c>
      <c r="U41" s="16">
        <f t="shared" si="33"/>
        <v>584</v>
      </c>
      <c r="V41" s="16">
        <f t="shared" si="33"/>
        <v>343</v>
      </c>
      <c r="W41" s="16">
        <f t="shared" si="33"/>
        <v>9</v>
      </c>
      <c r="X41" s="16">
        <f t="shared" si="33"/>
        <v>2</v>
      </c>
      <c r="Y41" s="16">
        <f t="shared" si="33"/>
        <v>106</v>
      </c>
      <c r="Z41" s="16">
        <f t="shared" si="33"/>
        <v>68</v>
      </c>
      <c r="AA41" s="16">
        <f t="shared" si="33"/>
        <v>23</v>
      </c>
      <c r="AB41" s="16">
        <f t="shared" si="33"/>
        <v>9</v>
      </c>
      <c r="AC41" s="16">
        <f t="shared" si="33"/>
        <v>2605</v>
      </c>
      <c r="AD41" s="16">
        <f t="shared" si="33"/>
        <v>1</v>
      </c>
      <c r="AE41" s="32">
        <f t="shared" si="33"/>
        <v>9216</v>
      </c>
      <c r="AF41" s="32">
        <f t="shared" si="33"/>
        <v>11911</v>
      </c>
    </row>
    <row r="42" spans="2:32" ht="23.1" customHeight="1" x14ac:dyDescent="0.25">
      <c r="B42" s="46" t="s">
        <v>69</v>
      </c>
      <c r="C42" s="50">
        <v>99</v>
      </c>
      <c r="D42" s="50">
        <v>75</v>
      </c>
      <c r="E42" s="50">
        <v>18</v>
      </c>
      <c r="F42" s="50">
        <v>16</v>
      </c>
      <c r="G42" s="50">
        <v>0</v>
      </c>
      <c r="H42" s="50">
        <v>0</v>
      </c>
      <c r="I42" s="50">
        <v>5</v>
      </c>
      <c r="J42" s="50">
        <v>2</v>
      </c>
      <c r="K42" s="50">
        <v>0</v>
      </c>
      <c r="L42" s="50">
        <v>0</v>
      </c>
      <c r="M42" s="50">
        <v>65</v>
      </c>
      <c r="N42" s="50">
        <v>0</v>
      </c>
      <c r="O42" s="15">
        <f t="shared" si="0"/>
        <v>215</v>
      </c>
      <c r="P42" s="15">
        <f t="shared" si="1"/>
        <v>280</v>
      </c>
      <c r="R42" s="5" t="s">
        <v>160</v>
      </c>
      <c r="S42" s="48">
        <f>S41/S40</f>
        <v>1.3527407866212449</v>
      </c>
      <c r="T42" s="48">
        <f t="shared" ref="T42:AF42" si="34">T41/T40</f>
        <v>1.3094555873925502</v>
      </c>
      <c r="U42" s="48">
        <f t="shared" si="34"/>
        <v>1.2478632478632479</v>
      </c>
      <c r="V42" s="48">
        <f t="shared" si="34"/>
        <v>1.1471571906354514</v>
      </c>
      <c r="W42" s="48">
        <f t="shared" si="34"/>
        <v>1</v>
      </c>
      <c r="X42" s="48">
        <f t="shared" si="34"/>
        <v>1</v>
      </c>
      <c r="Y42" s="48">
        <f t="shared" si="34"/>
        <v>1.358974358974359</v>
      </c>
      <c r="Z42" s="48">
        <f t="shared" si="34"/>
        <v>1.2830188679245282</v>
      </c>
      <c r="AA42" s="48">
        <f t="shared" si="34"/>
        <v>2.0909090909090908</v>
      </c>
      <c r="AB42" s="48">
        <f t="shared" si="34"/>
        <v>1.5</v>
      </c>
      <c r="AC42" s="48">
        <f t="shared" si="34"/>
        <v>1.2896039603960396</v>
      </c>
      <c r="AD42" s="48">
        <f t="shared" si="34"/>
        <v>1</v>
      </c>
      <c r="AE42" s="48">
        <f t="shared" si="34"/>
        <v>1.3175125089349535</v>
      </c>
      <c r="AF42" s="48">
        <f t="shared" si="34"/>
        <v>1.3081823174080176</v>
      </c>
    </row>
    <row r="43" spans="2:32" ht="23.1" customHeight="1" x14ac:dyDescent="0.25">
      <c r="B43" s="45" t="s">
        <v>70</v>
      </c>
      <c r="C43" s="50">
        <v>120</v>
      </c>
      <c r="D43" s="50">
        <v>122</v>
      </c>
      <c r="E43" s="50">
        <v>8</v>
      </c>
      <c r="F43" s="50">
        <v>8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30</v>
      </c>
      <c r="N43" s="50">
        <v>0</v>
      </c>
      <c r="O43" s="15">
        <f t="shared" si="0"/>
        <v>261</v>
      </c>
      <c r="P43" s="15">
        <f t="shared" si="1"/>
        <v>291</v>
      </c>
    </row>
    <row r="44" spans="2:32" ht="23.1" customHeight="1" x14ac:dyDescent="0.25">
      <c r="B44" s="47" t="s">
        <v>71</v>
      </c>
      <c r="C44" s="50">
        <v>135</v>
      </c>
      <c r="D44" s="50">
        <v>152</v>
      </c>
      <c r="E44" s="50">
        <v>14</v>
      </c>
      <c r="F44" s="50">
        <v>12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36</v>
      </c>
      <c r="N44" s="50">
        <v>0</v>
      </c>
      <c r="O44" s="15">
        <f t="shared" si="0"/>
        <v>315</v>
      </c>
      <c r="P44" s="15">
        <f t="shared" si="1"/>
        <v>351</v>
      </c>
    </row>
    <row r="45" spans="2:32" ht="23.1" customHeight="1" x14ac:dyDescent="0.25">
      <c r="B45" s="45" t="s">
        <v>72</v>
      </c>
      <c r="C45" s="50">
        <v>120</v>
      </c>
      <c r="D45" s="50">
        <v>118</v>
      </c>
      <c r="E45" s="50">
        <v>13</v>
      </c>
      <c r="F45" s="50">
        <v>10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59</v>
      </c>
      <c r="N45" s="50">
        <v>0</v>
      </c>
      <c r="O45" s="15">
        <f t="shared" si="0"/>
        <v>264</v>
      </c>
      <c r="P45" s="15">
        <f t="shared" si="1"/>
        <v>323</v>
      </c>
    </row>
    <row r="46" spans="2:32" ht="23.1" customHeight="1" x14ac:dyDescent="0.25">
      <c r="B46" s="46" t="s">
        <v>73</v>
      </c>
      <c r="C46" s="50">
        <v>130</v>
      </c>
      <c r="D46" s="50">
        <v>155</v>
      </c>
      <c r="E46" s="50">
        <v>12</v>
      </c>
      <c r="F46" s="50">
        <v>9</v>
      </c>
      <c r="G46" s="50">
        <v>0</v>
      </c>
      <c r="H46" s="50">
        <v>0</v>
      </c>
      <c r="I46" s="50">
        <v>3</v>
      </c>
      <c r="J46" s="50">
        <v>2</v>
      </c>
      <c r="K46" s="50">
        <v>2</v>
      </c>
      <c r="L46" s="50">
        <v>0</v>
      </c>
      <c r="M46" s="50">
        <v>50</v>
      </c>
      <c r="N46" s="50">
        <v>0</v>
      </c>
      <c r="O46" s="15">
        <f t="shared" si="0"/>
        <v>313</v>
      </c>
      <c r="P46" s="15">
        <f t="shared" si="1"/>
        <v>363</v>
      </c>
      <c r="R46" s="8"/>
      <c r="T46"/>
    </row>
    <row r="47" spans="2:32" ht="23.1" customHeight="1" x14ac:dyDescent="0.25">
      <c r="B47" s="46" t="s">
        <v>74</v>
      </c>
      <c r="C47" s="50">
        <v>89</v>
      </c>
      <c r="D47" s="50">
        <v>85</v>
      </c>
      <c r="E47" s="50">
        <v>20</v>
      </c>
      <c r="F47" s="50">
        <v>6</v>
      </c>
      <c r="G47" s="50">
        <v>0</v>
      </c>
      <c r="H47" s="50">
        <v>0</v>
      </c>
      <c r="I47" s="50">
        <v>1</v>
      </c>
      <c r="J47" s="50">
        <v>1</v>
      </c>
      <c r="K47" s="50">
        <v>1</v>
      </c>
      <c r="L47" s="50">
        <v>1</v>
      </c>
      <c r="M47" s="50">
        <v>39</v>
      </c>
      <c r="N47" s="50">
        <v>0</v>
      </c>
      <c r="O47" s="15">
        <f t="shared" si="0"/>
        <v>204</v>
      </c>
      <c r="P47" s="15">
        <f t="shared" si="1"/>
        <v>243</v>
      </c>
      <c r="R47" s="8"/>
      <c r="T47"/>
    </row>
    <row r="48" spans="2:32" ht="23.1" customHeight="1" x14ac:dyDescent="0.25">
      <c r="B48" s="46" t="s">
        <v>75</v>
      </c>
      <c r="C48" s="50">
        <v>72</v>
      </c>
      <c r="D48" s="50">
        <v>98</v>
      </c>
      <c r="E48" s="50">
        <v>11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2</v>
      </c>
      <c r="M48" s="50">
        <v>71</v>
      </c>
      <c r="N48" s="50">
        <v>0</v>
      </c>
      <c r="O48" s="15">
        <f t="shared" si="0"/>
        <v>187</v>
      </c>
      <c r="P48" s="15">
        <f t="shared" si="1"/>
        <v>258</v>
      </c>
      <c r="R48" s="8"/>
      <c r="T48"/>
    </row>
    <row r="49" spans="2:20" ht="23.1" customHeight="1" x14ac:dyDescent="0.25">
      <c r="B49" s="45" t="s">
        <v>76</v>
      </c>
      <c r="C49" s="50">
        <v>118</v>
      </c>
      <c r="D49" s="50">
        <v>109</v>
      </c>
      <c r="E49" s="50">
        <v>11</v>
      </c>
      <c r="F49" s="50">
        <v>6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23</v>
      </c>
      <c r="N49" s="50">
        <v>0</v>
      </c>
      <c r="O49" s="15">
        <f t="shared" si="0"/>
        <v>244</v>
      </c>
      <c r="P49" s="15">
        <f t="shared" si="1"/>
        <v>267</v>
      </c>
      <c r="R49" s="8"/>
      <c r="T49"/>
    </row>
    <row r="50" spans="2:20" ht="23.1" customHeight="1" x14ac:dyDescent="0.25">
      <c r="B50" s="46" t="s">
        <v>77</v>
      </c>
      <c r="C50" s="50">
        <v>119</v>
      </c>
      <c r="D50" s="50">
        <v>103</v>
      </c>
      <c r="E50" s="50">
        <v>14</v>
      </c>
      <c r="F50" s="50">
        <v>2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34</v>
      </c>
      <c r="N50" s="50">
        <v>0</v>
      </c>
      <c r="O50" s="15">
        <f t="shared" si="0"/>
        <v>242</v>
      </c>
      <c r="P50" s="15">
        <f t="shared" si="1"/>
        <v>276</v>
      </c>
      <c r="R50" s="8"/>
      <c r="T50"/>
    </row>
    <row r="51" spans="2:20" ht="23.1" customHeight="1" x14ac:dyDescent="0.25">
      <c r="B51" s="46" t="s">
        <v>78</v>
      </c>
      <c r="C51" s="50">
        <v>86</v>
      </c>
      <c r="D51" s="50">
        <v>79</v>
      </c>
      <c r="E51" s="50">
        <v>12</v>
      </c>
      <c r="F51" s="50">
        <v>4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34</v>
      </c>
      <c r="N51" s="50">
        <v>0</v>
      </c>
      <c r="O51" s="15">
        <f t="shared" si="0"/>
        <v>182</v>
      </c>
      <c r="P51" s="15">
        <f t="shared" si="1"/>
        <v>216</v>
      </c>
      <c r="R51" s="8"/>
      <c r="T51"/>
    </row>
    <row r="52" spans="2:20" ht="23.1" customHeight="1" x14ac:dyDescent="0.25">
      <c r="B52" s="46" t="s">
        <v>79</v>
      </c>
      <c r="C52" s="50">
        <v>81</v>
      </c>
      <c r="D52" s="50">
        <v>61</v>
      </c>
      <c r="E52" s="50">
        <v>8</v>
      </c>
      <c r="F52" s="50">
        <v>6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159</v>
      </c>
      <c r="P52" s="15">
        <f t="shared" si="1"/>
        <v>200</v>
      </c>
      <c r="R52" s="8"/>
      <c r="T52"/>
    </row>
    <row r="53" spans="2:20" ht="23.1" customHeight="1" x14ac:dyDescent="0.25">
      <c r="B53" s="45" t="s">
        <v>80</v>
      </c>
      <c r="C53" s="50">
        <v>77</v>
      </c>
      <c r="D53" s="50">
        <v>49</v>
      </c>
      <c r="E53" s="50">
        <v>5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51</v>
      </c>
      <c r="N53" s="50">
        <v>0</v>
      </c>
      <c r="O53" s="15">
        <f t="shared" si="0"/>
        <v>134</v>
      </c>
      <c r="P53" s="15">
        <f t="shared" si="1"/>
        <v>185</v>
      </c>
      <c r="R53" s="8"/>
      <c r="T53"/>
    </row>
    <row r="54" spans="2:20" ht="23.1" customHeight="1" x14ac:dyDescent="0.25">
      <c r="B54" s="45" t="s">
        <v>81</v>
      </c>
      <c r="C54" s="50">
        <v>105</v>
      </c>
      <c r="D54" s="50">
        <v>86</v>
      </c>
      <c r="E54" s="50">
        <v>8</v>
      </c>
      <c r="F54" s="50">
        <v>7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62</v>
      </c>
      <c r="N54" s="50">
        <v>0</v>
      </c>
      <c r="O54" s="15">
        <f t="shared" si="0"/>
        <v>209</v>
      </c>
      <c r="P54" s="15">
        <f t="shared" si="1"/>
        <v>271</v>
      </c>
      <c r="R54" s="8"/>
      <c r="T54"/>
    </row>
    <row r="55" spans="2:20" ht="23.1" customHeight="1" x14ac:dyDescent="0.25">
      <c r="B55" s="45" t="s">
        <v>82</v>
      </c>
      <c r="C55" s="50">
        <v>76</v>
      </c>
      <c r="D55" s="50">
        <v>95</v>
      </c>
      <c r="E55" s="50">
        <v>7</v>
      </c>
      <c r="F55" s="50">
        <v>7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41</v>
      </c>
      <c r="N55" s="50">
        <v>0</v>
      </c>
      <c r="O55" s="15">
        <f t="shared" si="0"/>
        <v>188</v>
      </c>
      <c r="P55" s="15">
        <f t="shared" si="1"/>
        <v>229</v>
      </c>
      <c r="R55" s="8"/>
      <c r="T55"/>
    </row>
    <row r="56" spans="2:20" ht="23.1" customHeight="1" x14ac:dyDescent="0.25">
      <c r="B56" s="45" t="s">
        <v>83</v>
      </c>
      <c r="C56" s="50">
        <v>105</v>
      </c>
      <c r="D56" s="50">
        <v>83</v>
      </c>
      <c r="E56" s="50">
        <v>5</v>
      </c>
      <c r="F56" s="50">
        <v>2</v>
      </c>
      <c r="G56" s="50">
        <v>0</v>
      </c>
      <c r="H56" s="50">
        <v>1</v>
      </c>
      <c r="I56" s="50">
        <v>0</v>
      </c>
      <c r="J56" s="50">
        <v>1</v>
      </c>
      <c r="K56" s="50">
        <v>1</v>
      </c>
      <c r="L56" s="50">
        <v>0</v>
      </c>
      <c r="M56" s="50">
        <v>82</v>
      </c>
      <c r="N56" s="50">
        <v>0</v>
      </c>
      <c r="O56" s="15">
        <f t="shared" si="0"/>
        <v>198</v>
      </c>
      <c r="P56" s="15">
        <f t="shared" si="1"/>
        <v>280</v>
      </c>
      <c r="R56" s="8"/>
      <c r="T56"/>
    </row>
    <row r="57" spans="2:20" ht="23.1" customHeight="1" x14ac:dyDescent="0.25">
      <c r="B57" s="45" t="s">
        <v>84</v>
      </c>
      <c r="C57" s="50">
        <v>85</v>
      </c>
      <c r="D57" s="50">
        <v>105</v>
      </c>
      <c r="E57" s="50">
        <v>2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35</v>
      </c>
      <c r="N57" s="50">
        <v>0</v>
      </c>
      <c r="O57" s="15">
        <f t="shared" si="0"/>
        <v>195</v>
      </c>
      <c r="P57" s="15">
        <f t="shared" si="1"/>
        <v>230</v>
      </c>
      <c r="R57" s="8"/>
      <c r="T57"/>
    </row>
    <row r="58" spans="2:20" ht="23.1" customHeight="1" x14ac:dyDescent="0.25">
      <c r="B58" s="45" t="s">
        <v>99</v>
      </c>
      <c r="C58" s="50">
        <v>48</v>
      </c>
      <c r="D58" s="50">
        <v>32</v>
      </c>
      <c r="E58" s="50">
        <v>5</v>
      </c>
      <c r="F58" s="50">
        <v>4</v>
      </c>
      <c r="G58" s="50">
        <v>0</v>
      </c>
      <c r="H58" s="50">
        <v>0</v>
      </c>
      <c r="I58" s="50">
        <v>4</v>
      </c>
      <c r="J58" s="50">
        <v>5</v>
      </c>
      <c r="K58" s="50">
        <v>3</v>
      </c>
      <c r="L58" s="50">
        <v>0</v>
      </c>
      <c r="M58" s="50">
        <v>89</v>
      </c>
      <c r="N58" s="50">
        <v>0</v>
      </c>
      <c r="O58" s="15">
        <f t="shared" si="0"/>
        <v>101</v>
      </c>
      <c r="P58" s="15">
        <f t="shared" si="1"/>
        <v>190</v>
      </c>
      <c r="R58" s="8"/>
      <c r="T58"/>
    </row>
    <row r="59" spans="2:20" ht="23.1" customHeight="1" x14ac:dyDescent="0.25">
      <c r="B59" s="45" t="s">
        <v>100</v>
      </c>
      <c r="C59" s="50">
        <v>70</v>
      </c>
      <c r="D59" s="50">
        <v>64</v>
      </c>
      <c r="E59" s="50">
        <v>9</v>
      </c>
      <c r="F59" s="50">
        <v>1</v>
      </c>
      <c r="G59" s="50">
        <v>0</v>
      </c>
      <c r="H59" s="50">
        <v>0</v>
      </c>
      <c r="I59" s="50">
        <v>3</v>
      </c>
      <c r="J59" s="50">
        <v>2</v>
      </c>
      <c r="K59" s="50">
        <v>1</v>
      </c>
      <c r="L59" s="50">
        <v>2</v>
      </c>
      <c r="M59" s="50">
        <v>56</v>
      </c>
      <c r="N59" s="50">
        <v>0</v>
      </c>
      <c r="O59" s="15">
        <f t="shared" si="0"/>
        <v>152</v>
      </c>
      <c r="P59" s="15">
        <f t="shared" si="1"/>
        <v>208</v>
      </c>
      <c r="R59" s="8"/>
      <c r="T59"/>
    </row>
    <row r="60" spans="2:20" ht="23.1" customHeight="1" x14ac:dyDescent="0.25">
      <c r="B60" s="45" t="s">
        <v>101</v>
      </c>
      <c r="C60" s="50">
        <v>58</v>
      </c>
      <c r="D60" s="50">
        <v>11</v>
      </c>
      <c r="E60" s="50">
        <v>5</v>
      </c>
      <c r="F60" s="50">
        <v>4</v>
      </c>
      <c r="G60" s="50">
        <v>0</v>
      </c>
      <c r="H60" s="50">
        <v>0</v>
      </c>
      <c r="I60" s="50">
        <v>5</v>
      </c>
      <c r="J60" s="50">
        <v>3</v>
      </c>
      <c r="K60" s="50">
        <v>0</v>
      </c>
      <c r="L60" s="50">
        <v>1</v>
      </c>
      <c r="M60" s="50">
        <v>38</v>
      </c>
      <c r="N60" s="50">
        <v>0</v>
      </c>
      <c r="O60" s="15">
        <f t="shared" si="0"/>
        <v>87</v>
      </c>
      <c r="P60" s="15">
        <f t="shared" si="1"/>
        <v>125</v>
      </c>
      <c r="R60" s="8"/>
      <c r="T60"/>
    </row>
    <row r="61" spans="2:20" ht="23.1" customHeight="1" x14ac:dyDescent="0.25">
      <c r="B61" s="45" t="s">
        <v>102</v>
      </c>
      <c r="C61" s="50">
        <v>48</v>
      </c>
      <c r="D61" s="50">
        <v>52</v>
      </c>
      <c r="E61" s="50">
        <v>5</v>
      </c>
      <c r="F61" s="50">
        <v>4</v>
      </c>
      <c r="G61" s="50">
        <v>0</v>
      </c>
      <c r="H61" s="50">
        <v>0</v>
      </c>
      <c r="I61" s="50">
        <v>2</v>
      </c>
      <c r="J61" s="50">
        <v>0</v>
      </c>
      <c r="K61" s="50">
        <v>2</v>
      </c>
      <c r="L61" s="50">
        <v>0</v>
      </c>
      <c r="M61" s="50">
        <v>48</v>
      </c>
      <c r="N61" s="50">
        <v>0</v>
      </c>
      <c r="O61" s="15">
        <f t="shared" si="0"/>
        <v>113</v>
      </c>
      <c r="P61" s="15">
        <f t="shared" si="1"/>
        <v>161</v>
      </c>
      <c r="R61" s="8"/>
      <c r="T61"/>
    </row>
    <row r="62" spans="2:20" ht="23.1" customHeight="1" x14ac:dyDescent="0.25">
      <c r="B62" s="45" t="s">
        <v>107</v>
      </c>
      <c r="C62" s="50">
        <v>40</v>
      </c>
      <c r="D62" s="50">
        <v>36</v>
      </c>
      <c r="E62" s="50">
        <v>2</v>
      </c>
      <c r="F62" s="50">
        <v>1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38</v>
      </c>
      <c r="N62" s="50">
        <v>0</v>
      </c>
      <c r="O62" s="15">
        <f t="shared" si="0"/>
        <v>80</v>
      </c>
      <c r="P62" s="15">
        <f t="shared" si="1"/>
        <v>118</v>
      </c>
      <c r="R62" s="8"/>
      <c r="T62"/>
    </row>
    <row r="63" spans="2:20" ht="23.1" customHeight="1" x14ac:dyDescent="0.25">
      <c r="B63" s="45" t="s">
        <v>108</v>
      </c>
      <c r="C63" s="50">
        <v>38</v>
      </c>
      <c r="D63" s="50">
        <v>44</v>
      </c>
      <c r="E63" s="50">
        <v>1</v>
      </c>
      <c r="F63" s="50">
        <v>2</v>
      </c>
      <c r="G63" s="50">
        <v>0</v>
      </c>
      <c r="H63" s="50">
        <v>0</v>
      </c>
      <c r="I63" s="50">
        <v>1</v>
      </c>
      <c r="J63" s="50">
        <v>0</v>
      </c>
      <c r="K63" s="50">
        <v>2</v>
      </c>
      <c r="L63" s="50">
        <v>0</v>
      </c>
      <c r="M63" s="50">
        <v>41</v>
      </c>
      <c r="N63" s="50">
        <v>0</v>
      </c>
      <c r="O63" s="15">
        <f t="shared" si="0"/>
        <v>88</v>
      </c>
      <c r="P63" s="15">
        <f t="shared" si="1"/>
        <v>129</v>
      </c>
      <c r="R63" s="8"/>
      <c r="T63"/>
    </row>
    <row r="64" spans="2:20" ht="23.1" customHeight="1" x14ac:dyDescent="0.25">
      <c r="B64" s="45" t="s">
        <v>109</v>
      </c>
      <c r="C64" s="50">
        <v>130</v>
      </c>
      <c r="D64" s="50">
        <v>51</v>
      </c>
      <c r="E64" s="50">
        <v>6</v>
      </c>
      <c r="F64" s="50">
        <v>6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26</v>
      </c>
      <c r="N64" s="50">
        <v>0</v>
      </c>
      <c r="O64" s="15">
        <f t="shared" si="0"/>
        <v>193</v>
      </c>
      <c r="P64" s="15">
        <f t="shared" si="1"/>
        <v>219</v>
      </c>
      <c r="R64" s="8"/>
      <c r="T64"/>
    </row>
    <row r="65" spans="2:20" ht="23.1" customHeight="1" x14ac:dyDescent="0.25">
      <c r="B65" s="45" t="s">
        <v>158</v>
      </c>
      <c r="C65" s="50">
        <v>65</v>
      </c>
      <c r="D65" s="50">
        <v>93</v>
      </c>
      <c r="E65" s="50">
        <v>11</v>
      </c>
      <c r="F65" s="50">
        <v>3</v>
      </c>
      <c r="G65" s="50">
        <v>0</v>
      </c>
      <c r="H65" s="50">
        <v>0</v>
      </c>
      <c r="I65" s="50">
        <v>5</v>
      </c>
      <c r="J65" s="50">
        <v>2</v>
      </c>
      <c r="K65" s="50">
        <v>0</v>
      </c>
      <c r="L65" s="50">
        <v>0</v>
      </c>
      <c r="M65" s="50">
        <v>37</v>
      </c>
      <c r="N65" s="50">
        <v>0</v>
      </c>
      <c r="O65" s="15">
        <f t="shared" si="0"/>
        <v>179</v>
      </c>
      <c r="P65" s="15">
        <f t="shared" si="1"/>
        <v>216</v>
      </c>
      <c r="R65" s="8"/>
      <c r="T65"/>
    </row>
    <row r="66" spans="2:20" ht="23.1" customHeight="1" x14ac:dyDescent="0.25">
      <c r="B66" s="45" t="s">
        <v>103</v>
      </c>
      <c r="C66" s="50">
        <v>52</v>
      </c>
      <c r="D66" s="50">
        <v>40</v>
      </c>
      <c r="E66" s="50">
        <v>9</v>
      </c>
      <c r="F66" s="50">
        <v>5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19</v>
      </c>
      <c r="N66" s="50">
        <v>0</v>
      </c>
      <c r="O66" s="15">
        <f t="shared" si="0"/>
        <v>106</v>
      </c>
      <c r="P66" s="15">
        <f t="shared" si="1"/>
        <v>125</v>
      </c>
      <c r="R66" s="8"/>
      <c r="T66"/>
    </row>
    <row r="67" spans="2:20" ht="23.1" customHeight="1" x14ac:dyDescent="0.25">
      <c r="B67" s="45" t="s">
        <v>104</v>
      </c>
      <c r="C67" s="50">
        <v>36</v>
      </c>
      <c r="D67" s="50">
        <v>40</v>
      </c>
      <c r="E67" s="50">
        <v>6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2</v>
      </c>
      <c r="L67" s="50">
        <v>0</v>
      </c>
      <c r="M67" s="50">
        <v>26</v>
      </c>
      <c r="N67" s="50">
        <v>0</v>
      </c>
      <c r="O67" s="15">
        <f t="shared" si="0"/>
        <v>85</v>
      </c>
      <c r="P67" s="15">
        <f t="shared" si="1"/>
        <v>111</v>
      </c>
      <c r="R67" s="8"/>
      <c r="T67"/>
    </row>
    <row r="68" spans="2:20" ht="23.1" customHeight="1" x14ac:dyDescent="0.25">
      <c r="B68" s="45" t="s">
        <v>105</v>
      </c>
      <c r="C68" s="50">
        <v>60</v>
      </c>
      <c r="D68" s="50">
        <v>25</v>
      </c>
      <c r="E68" s="50">
        <v>9</v>
      </c>
      <c r="F68" s="50">
        <v>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14</v>
      </c>
      <c r="N68" s="50">
        <v>0</v>
      </c>
      <c r="O68" s="15">
        <f t="shared" si="0"/>
        <v>95</v>
      </c>
      <c r="P68" s="15">
        <f t="shared" si="1"/>
        <v>109</v>
      </c>
      <c r="R68" s="8"/>
      <c r="T68"/>
    </row>
    <row r="69" spans="2:20" ht="23.1" customHeight="1" x14ac:dyDescent="0.25">
      <c r="B69" s="45" t="s">
        <v>106</v>
      </c>
      <c r="C69" s="50">
        <v>35</v>
      </c>
      <c r="D69" s="50">
        <v>27</v>
      </c>
      <c r="E69" s="50">
        <v>3</v>
      </c>
      <c r="F69" s="50">
        <v>1</v>
      </c>
      <c r="G69" s="50">
        <v>0</v>
      </c>
      <c r="H69" s="50">
        <v>0</v>
      </c>
      <c r="I69" s="50">
        <v>0</v>
      </c>
      <c r="J69" s="50">
        <v>1</v>
      </c>
      <c r="K69" s="50">
        <v>1</v>
      </c>
      <c r="L69" s="50">
        <v>0</v>
      </c>
      <c r="M69" s="50">
        <v>11</v>
      </c>
      <c r="N69" s="50">
        <v>0</v>
      </c>
      <c r="O69" s="15">
        <f t="shared" si="0"/>
        <v>68</v>
      </c>
      <c r="P69" s="15">
        <f t="shared" si="1"/>
        <v>79</v>
      </c>
      <c r="R69" s="8"/>
      <c r="T69"/>
    </row>
    <row r="70" spans="2:20" ht="23.1" customHeight="1" x14ac:dyDescent="0.25">
      <c r="B70" s="45" t="s">
        <v>110</v>
      </c>
      <c r="C70" s="50">
        <v>29</v>
      </c>
      <c r="D70" s="50">
        <v>40</v>
      </c>
      <c r="E70" s="50">
        <v>5</v>
      </c>
      <c r="F70" s="50">
        <v>4</v>
      </c>
      <c r="G70" s="50">
        <v>0</v>
      </c>
      <c r="H70" s="50">
        <v>0</v>
      </c>
      <c r="I70" s="50">
        <v>1</v>
      </c>
      <c r="J70" s="50">
        <v>0</v>
      </c>
      <c r="K70" s="50">
        <v>1</v>
      </c>
      <c r="L70" s="50">
        <v>0</v>
      </c>
      <c r="M70" s="50">
        <v>13</v>
      </c>
      <c r="N70" s="50">
        <v>0</v>
      </c>
      <c r="O70" s="15">
        <f t="shared" si="0"/>
        <v>80</v>
      </c>
      <c r="P70" s="15">
        <f t="shared" si="1"/>
        <v>93</v>
      </c>
      <c r="R70" s="8"/>
      <c r="T70"/>
    </row>
    <row r="71" spans="2:20" ht="23.1" customHeight="1" x14ac:dyDescent="0.25">
      <c r="B71" s="45" t="s">
        <v>111</v>
      </c>
      <c r="C71" s="50">
        <v>40</v>
      </c>
      <c r="D71" s="50">
        <v>19</v>
      </c>
      <c r="E71" s="50">
        <v>2</v>
      </c>
      <c r="F71" s="50">
        <v>1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4</v>
      </c>
      <c r="N71" s="50">
        <v>0</v>
      </c>
      <c r="O71" s="15">
        <f t="shared" si="0"/>
        <v>62</v>
      </c>
      <c r="P71" s="15">
        <f t="shared" si="1"/>
        <v>66</v>
      </c>
      <c r="R71" s="8"/>
      <c r="T71"/>
    </row>
    <row r="72" spans="2:20" ht="23.1" customHeight="1" x14ac:dyDescent="0.25">
      <c r="B72" s="45" t="s">
        <v>112</v>
      </c>
      <c r="C72" s="50">
        <v>41</v>
      </c>
      <c r="D72" s="50">
        <v>23</v>
      </c>
      <c r="E72" s="50">
        <v>2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13</v>
      </c>
      <c r="N72" s="50">
        <v>0</v>
      </c>
      <c r="O72" s="15">
        <f t="shared" si="0"/>
        <v>67</v>
      </c>
      <c r="P72" s="15">
        <f t="shared" si="1"/>
        <v>80</v>
      </c>
      <c r="R72" s="8"/>
      <c r="T72"/>
    </row>
    <row r="73" spans="2:20" ht="23.1" customHeight="1" x14ac:dyDescent="0.25">
      <c r="B73" s="45" t="s">
        <v>113</v>
      </c>
      <c r="C73" s="50">
        <v>20</v>
      </c>
      <c r="D73" s="50">
        <v>33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5</v>
      </c>
      <c r="N73" s="50">
        <v>0</v>
      </c>
      <c r="O73" s="15">
        <f t="shared" si="0"/>
        <v>54</v>
      </c>
      <c r="P73" s="15">
        <f t="shared" si="1"/>
        <v>59</v>
      </c>
      <c r="R73" s="8"/>
      <c r="T73"/>
    </row>
    <row r="74" spans="2:20" ht="23.1" customHeight="1" x14ac:dyDescent="0.25">
      <c r="B74" s="45" t="s">
        <v>114</v>
      </c>
      <c r="C74" s="50">
        <v>31</v>
      </c>
      <c r="D74" s="50">
        <v>40</v>
      </c>
      <c r="E74" s="50">
        <v>2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6</v>
      </c>
      <c r="N74" s="50">
        <v>0</v>
      </c>
      <c r="O74" s="15">
        <f t="shared" ref="O74:O105" si="35">SUM(C74:L74,N74)</f>
        <v>74</v>
      </c>
      <c r="P74" s="15">
        <f t="shared" ref="P74:P105" si="36">SUM(C74:N74)</f>
        <v>80</v>
      </c>
      <c r="R74" s="8"/>
      <c r="T74"/>
    </row>
    <row r="75" spans="2:20" ht="23.1" customHeight="1" x14ac:dyDescent="0.25">
      <c r="B75" s="45" t="s">
        <v>115</v>
      </c>
      <c r="C75" s="50">
        <v>38</v>
      </c>
      <c r="D75" s="50">
        <v>32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6</v>
      </c>
      <c r="N75" s="50">
        <v>0</v>
      </c>
      <c r="O75" s="15">
        <f t="shared" si="35"/>
        <v>71</v>
      </c>
      <c r="P75" s="15">
        <f t="shared" si="36"/>
        <v>77</v>
      </c>
      <c r="R75" s="8"/>
      <c r="T75"/>
    </row>
    <row r="76" spans="2:20" ht="23.1" customHeight="1" x14ac:dyDescent="0.25">
      <c r="B76" s="45" t="s">
        <v>116</v>
      </c>
      <c r="C76" s="50">
        <v>13</v>
      </c>
      <c r="D76" s="50">
        <v>7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12</v>
      </c>
      <c r="N76" s="50">
        <v>0</v>
      </c>
      <c r="O76" s="15">
        <f t="shared" si="35"/>
        <v>21</v>
      </c>
      <c r="P76" s="15">
        <f t="shared" si="36"/>
        <v>33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4</v>
      </c>
      <c r="E77" s="50">
        <v>2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7</v>
      </c>
      <c r="N77" s="50">
        <v>0</v>
      </c>
      <c r="O77" s="15">
        <f t="shared" si="35"/>
        <v>13</v>
      </c>
      <c r="P77" s="15">
        <f t="shared" si="36"/>
        <v>20</v>
      </c>
      <c r="R77" s="8"/>
      <c r="T77"/>
    </row>
    <row r="78" spans="2:20" ht="23.1" customHeight="1" x14ac:dyDescent="0.25">
      <c r="B78" s="46" t="s">
        <v>118</v>
      </c>
      <c r="C78" s="50">
        <v>15</v>
      </c>
      <c r="D78" s="50">
        <v>9</v>
      </c>
      <c r="E78" s="50">
        <v>3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28</v>
      </c>
      <c r="P78" s="15">
        <f t="shared" si="36"/>
        <v>34</v>
      </c>
      <c r="R78" s="8"/>
      <c r="T78"/>
    </row>
    <row r="79" spans="2:20" ht="23.1" customHeight="1" x14ac:dyDescent="0.25">
      <c r="B79" s="45" t="s">
        <v>119</v>
      </c>
      <c r="C79" s="50">
        <v>14</v>
      </c>
      <c r="D79" s="50">
        <v>8</v>
      </c>
      <c r="E79" s="50">
        <v>3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</v>
      </c>
      <c r="N79" s="50">
        <v>0</v>
      </c>
      <c r="O79" s="15">
        <f t="shared" si="35"/>
        <v>26</v>
      </c>
      <c r="P79" s="15">
        <f t="shared" si="36"/>
        <v>33</v>
      </c>
      <c r="R79" s="8"/>
      <c r="T79"/>
    </row>
    <row r="80" spans="2:20" ht="23.1" customHeight="1" x14ac:dyDescent="0.25">
      <c r="B80" s="47" t="s">
        <v>120</v>
      </c>
      <c r="C80" s="50">
        <v>10</v>
      </c>
      <c r="D80" s="50">
        <v>7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8</v>
      </c>
      <c r="N80" s="50">
        <v>0</v>
      </c>
      <c r="O80" s="15">
        <f t="shared" si="35"/>
        <v>19</v>
      </c>
      <c r="P80" s="15">
        <f t="shared" si="36"/>
        <v>27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5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14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180</v>
      </c>
      <c r="C82" s="50">
        <v>10</v>
      </c>
      <c r="D82" s="50">
        <v>7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5">
        <f t="shared" si="35"/>
        <v>18</v>
      </c>
      <c r="P82" s="15">
        <f t="shared" si="36"/>
        <v>22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9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14</v>
      </c>
      <c r="P83" s="15">
        <f t="shared" si="36"/>
        <v>15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3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2</v>
      </c>
      <c r="N84" s="50">
        <v>0</v>
      </c>
      <c r="O84" s="15">
        <f t="shared" si="35"/>
        <v>6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3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8</v>
      </c>
      <c r="P85" s="15">
        <f t="shared" si="36"/>
        <v>9</v>
      </c>
      <c r="R85" s="8"/>
      <c r="T85"/>
    </row>
    <row r="86" spans="2:20" ht="23.1" customHeight="1" x14ac:dyDescent="0.25">
      <c r="B86" s="46" t="s">
        <v>126</v>
      </c>
      <c r="C86" s="50">
        <v>14</v>
      </c>
      <c r="D86" s="50">
        <v>8</v>
      </c>
      <c r="E86" s="50">
        <v>2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24</v>
      </c>
      <c r="P86" s="15">
        <f t="shared" si="36"/>
        <v>26</v>
      </c>
      <c r="R86" s="8"/>
      <c r="T86"/>
    </row>
    <row r="87" spans="2:20" ht="23.1" customHeight="1" x14ac:dyDescent="0.25">
      <c r="B87" s="45" t="s">
        <v>127</v>
      </c>
      <c r="C87" s="50">
        <v>19</v>
      </c>
      <c r="D87" s="50">
        <v>6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26</v>
      </c>
      <c r="P87" s="15">
        <f t="shared" si="36"/>
        <v>27</v>
      </c>
      <c r="R87" s="8"/>
      <c r="T87"/>
    </row>
    <row r="88" spans="2:20" ht="23.1" customHeight="1" x14ac:dyDescent="0.25">
      <c r="B88" s="47" t="s">
        <v>128</v>
      </c>
      <c r="C88" s="50">
        <v>17</v>
      </c>
      <c r="D88" s="50">
        <v>18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35</v>
      </c>
      <c r="P88" s="15">
        <f t="shared" si="36"/>
        <v>35</v>
      </c>
      <c r="R88" s="8"/>
      <c r="T88"/>
    </row>
    <row r="89" spans="2:20" ht="23.1" customHeight="1" x14ac:dyDescent="0.25">
      <c r="B89" s="45" t="s">
        <v>129</v>
      </c>
      <c r="C89" s="50">
        <v>18</v>
      </c>
      <c r="D89" s="50">
        <v>9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27</v>
      </c>
      <c r="P89" s="15">
        <f t="shared" si="36"/>
        <v>29</v>
      </c>
      <c r="R89" s="8"/>
      <c r="T89"/>
    </row>
    <row r="90" spans="2:20" ht="23.1" customHeight="1" x14ac:dyDescent="0.25">
      <c r="B90" s="46" t="s">
        <v>130</v>
      </c>
      <c r="C90" s="50">
        <v>6</v>
      </c>
      <c r="D90" s="50">
        <v>3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9</v>
      </c>
      <c r="P90" s="15">
        <f t="shared" si="36"/>
        <v>10</v>
      </c>
      <c r="R90" s="8"/>
      <c r="T90"/>
    </row>
    <row r="91" spans="2:20" ht="23.1" customHeight="1" x14ac:dyDescent="0.25">
      <c r="B91" s="45" t="s">
        <v>131</v>
      </c>
      <c r="C91" s="50">
        <v>13</v>
      </c>
      <c r="D91" s="50">
        <v>9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23</v>
      </c>
      <c r="P91" s="15">
        <f t="shared" si="36"/>
        <v>25</v>
      </c>
      <c r="R91" s="8"/>
      <c r="T91"/>
    </row>
    <row r="92" spans="2:20" ht="23.1" customHeight="1" x14ac:dyDescent="0.25">
      <c r="B92" s="47" t="s">
        <v>132</v>
      </c>
      <c r="C92" s="50">
        <v>17</v>
      </c>
      <c r="D92" s="50">
        <v>13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30</v>
      </c>
      <c r="P92" s="15">
        <f t="shared" si="36"/>
        <v>32</v>
      </c>
      <c r="R92" s="8"/>
      <c r="T92"/>
    </row>
    <row r="93" spans="2:20" ht="23.1" customHeight="1" x14ac:dyDescent="0.25">
      <c r="B93" s="45" t="s">
        <v>133</v>
      </c>
      <c r="C93" s="50">
        <v>14</v>
      </c>
      <c r="D93" s="50">
        <v>15</v>
      </c>
      <c r="E93" s="50">
        <v>2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31</v>
      </c>
      <c r="P93" s="15">
        <f t="shared" si="36"/>
        <v>33</v>
      </c>
      <c r="R93" s="8"/>
      <c r="T93"/>
    </row>
    <row r="94" spans="2:20" ht="23.1" customHeight="1" x14ac:dyDescent="0.25">
      <c r="B94" s="46" t="s">
        <v>134</v>
      </c>
      <c r="C94" s="50">
        <v>6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7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3</v>
      </c>
      <c r="E95" s="50">
        <v>1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7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7</v>
      </c>
      <c r="D96" s="50">
        <v>6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13</v>
      </c>
      <c r="P96" s="15">
        <f t="shared" si="36"/>
        <v>14</v>
      </c>
      <c r="R96" s="8"/>
      <c r="T96"/>
    </row>
    <row r="97" spans="2:20" ht="23.1" customHeight="1" x14ac:dyDescent="0.25">
      <c r="B97" s="45" t="s">
        <v>137</v>
      </c>
      <c r="C97" s="50">
        <v>13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13</v>
      </c>
      <c r="P97" s="15">
        <f t="shared" si="36"/>
        <v>14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1</v>
      </c>
      <c r="E98" s="50">
        <v>2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8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2</v>
      </c>
      <c r="E99" s="50">
        <v>1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6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4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4</v>
      </c>
      <c r="E101" s="50">
        <v>3</v>
      </c>
      <c r="F101" s="50">
        <v>2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10</v>
      </c>
      <c r="P101" s="15">
        <f t="shared" si="36"/>
        <v>11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5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0</v>
      </c>
      <c r="M103" s="50">
        <v>6</v>
      </c>
      <c r="N103" s="50">
        <v>0</v>
      </c>
      <c r="O103" s="15">
        <f t="shared" si="35"/>
        <v>5</v>
      </c>
      <c r="P103" s="15">
        <f t="shared" si="36"/>
        <v>11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</v>
      </c>
      <c r="E104" s="50">
        <v>2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7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1</v>
      </c>
      <c r="E105" s="50">
        <v>2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5"/>
        <v>9</v>
      </c>
      <c r="P105" s="15">
        <f t="shared" si="36"/>
        <v>21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4368</v>
      </c>
      <c r="D106" s="16">
        <f t="shared" ref="D106:P106" si="37">SUM(D10:D105)</f>
        <v>3656</v>
      </c>
      <c r="E106" s="16">
        <f t="shared" si="37"/>
        <v>584</v>
      </c>
      <c r="F106" s="16">
        <f t="shared" si="37"/>
        <v>343</v>
      </c>
      <c r="G106" s="16">
        <f t="shared" si="37"/>
        <v>9</v>
      </c>
      <c r="H106" s="16">
        <f t="shared" si="37"/>
        <v>2</v>
      </c>
      <c r="I106" s="16">
        <f t="shared" si="37"/>
        <v>106</v>
      </c>
      <c r="J106" s="16">
        <f t="shared" si="37"/>
        <v>68</v>
      </c>
      <c r="K106" s="16">
        <f t="shared" si="37"/>
        <v>23</v>
      </c>
      <c r="L106" s="16">
        <f t="shared" si="37"/>
        <v>9</v>
      </c>
      <c r="M106" s="16">
        <f t="shared" si="37"/>
        <v>2605</v>
      </c>
      <c r="N106" s="16">
        <f t="shared" si="37"/>
        <v>1</v>
      </c>
      <c r="O106" s="16">
        <f t="shared" si="37"/>
        <v>9216</v>
      </c>
      <c r="P106" s="16">
        <f t="shared" si="37"/>
        <v>11911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0.36671983880446646</v>
      </c>
      <c r="D107" s="43">
        <f t="shared" si="38"/>
        <v>0.30694316178322562</v>
      </c>
      <c r="E107" s="43">
        <f t="shared" si="38"/>
        <v>4.9030308118545883E-2</v>
      </c>
      <c r="F107" s="43">
        <f t="shared" si="38"/>
        <v>2.8796910418940475E-2</v>
      </c>
      <c r="G107" s="43">
        <f t="shared" si="38"/>
        <v>7.5560406347074136E-4</v>
      </c>
      <c r="H107" s="43">
        <f t="shared" si="38"/>
        <v>1.6791201410460918E-4</v>
      </c>
      <c r="I107" s="43">
        <f t="shared" si="38"/>
        <v>8.8993367475442876E-3</v>
      </c>
      <c r="J107" s="43">
        <f t="shared" si="38"/>
        <v>5.7090084795567127E-3</v>
      </c>
      <c r="K107" s="43">
        <f t="shared" si="38"/>
        <v>1.9309881622030056E-3</v>
      </c>
      <c r="L107" s="43">
        <f t="shared" si="38"/>
        <v>7.5560406347074136E-4</v>
      </c>
      <c r="M107" s="43">
        <f t="shared" si="38"/>
        <v>0.21870539837125347</v>
      </c>
      <c r="N107" s="43">
        <f t="shared" si="38"/>
        <v>8.3956007052304589E-5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0.47395833333333331</v>
      </c>
      <c r="D108" s="44">
        <f t="shared" ref="D108:N108" si="39">D106/$O$106</f>
        <v>0.3967013888888889</v>
      </c>
      <c r="E108" s="44">
        <f t="shared" si="39"/>
        <v>6.3368055555555552E-2</v>
      </c>
      <c r="F108" s="44">
        <f t="shared" si="39"/>
        <v>3.7217881944444448E-2</v>
      </c>
      <c r="G108" s="44">
        <f t="shared" si="39"/>
        <v>9.765625E-4</v>
      </c>
      <c r="H108" s="44">
        <f t="shared" si="39"/>
        <v>2.1701388888888888E-4</v>
      </c>
      <c r="I108" s="44">
        <f t="shared" si="39"/>
        <v>1.1501736111111112E-2</v>
      </c>
      <c r="J108" s="44">
        <f t="shared" si="39"/>
        <v>7.378472222222222E-3</v>
      </c>
      <c r="K108" s="44">
        <f t="shared" si="39"/>
        <v>2.495659722222222E-3</v>
      </c>
      <c r="L108" s="44">
        <f t="shared" si="39"/>
        <v>9.765625E-4</v>
      </c>
      <c r="M108" s="44"/>
      <c r="N108" s="44">
        <f t="shared" si="39"/>
        <v>1.0850694444444444E-4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0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Naguru-Nakawa'!C3:G3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181</v>
      </c>
      <c r="E5" s="3"/>
      <c r="F5" s="41" t="s">
        <v>1</v>
      </c>
      <c r="G5" s="63" t="str">
        <f>'03.08 Nakawa-Naguru-24h'!G5:H5</f>
        <v>POLICE HEADQUATER</v>
      </c>
      <c r="H5" s="64"/>
      <c r="I5" s="14"/>
      <c r="J5" s="2" t="s">
        <v>5</v>
      </c>
      <c r="K5" s="63" t="s">
        <v>184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166</v>
      </c>
      <c r="H6" s="64"/>
      <c r="J6" s="2" t="s">
        <v>21</v>
      </c>
      <c r="K6" s="63" t="str">
        <f>'03.08 Nakawa-Naguru-24h'!K6:L6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35</v>
      </c>
      <c r="D10" s="50">
        <v>12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50</v>
      </c>
      <c r="P10" s="15">
        <f t="shared" ref="P10:P57" si="1">SUM(C10:N10)</f>
        <v>58</v>
      </c>
      <c r="R10" s="1" t="s">
        <v>6</v>
      </c>
      <c r="S10" s="17">
        <f t="shared" ref="S10:AF10" si="2">SUM(C10:C13)</f>
        <v>109</v>
      </c>
      <c r="T10" s="17">
        <f t="shared" si="2"/>
        <v>14</v>
      </c>
      <c r="U10" s="17">
        <f t="shared" si="2"/>
        <v>4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66</v>
      </c>
      <c r="AD10" s="17">
        <f t="shared" si="2"/>
        <v>0</v>
      </c>
      <c r="AE10" s="31">
        <f t="shared" si="2"/>
        <v>133</v>
      </c>
      <c r="AF10" s="31">
        <f t="shared" si="2"/>
        <v>199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33</v>
      </c>
      <c r="P11" s="15">
        <f t="shared" si="1"/>
        <v>41</v>
      </c>
      <c r="R11" s="1" t="s">
        <v>7</v>
      </c>
      <c r="S11" s="17">
        <f t="shared" ref="S11:AF11" si="3">SUM(C14:C17)</f>
        <v>51</v>
      </c>
      <c r="T11" s="17">
        <f t="shared" si="3"/>
        <v>21</v>
      </c>
      <c r="U11" s="17">
        <f t="shared" si="3"/>
        <v>8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131</v>
      </c>
      <c r="AD11" s="17">
        <f t="shared" si="3"/>
        <v>0</v>
      </c>
      <c r="AE11" s="31">
        <f t="shared" si="3"/>
        <v>88</v>
      </c>
      <c r="AF11" s="31">
        <f t="shared" si="3"/>
        <v>219</v>
      </c>
    </row>
    <row r="12" spans="2:32" ht="23.1" customHeight="1" x14ac:dyDescent="0.25">
      <c r="B12" s="23" t="s">
        <v>39</v>
      </c>
      <c r="C12" s="50">
        <v>35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23</v>
      </c>
      <c r="N12" s="50">
        <v>0</v>
      </c>
      <c r="O12" s="15">
        <f t="shared" si="0"/>
        <v>37</v>
      </c>
      <c r="P12" s="15">
        <f t="shared" si="1"/>
        <v>60</v>
      </c>
      <c r="R12" s="1" t="s">
        <v>8</v>
      </c>
      <c r="S12" s="17">
        <f t="shared" ref="S12:AF12" si="4">SUM(C18:C21)</f>
        <v>88</v>
      </c>
      <c r="T12" s="17">
        <f t="shared" si="4"/>
        <v>33</v>
      </c>
      <c r="U12" s="17">
        <f t="shared" si="4"/>
        <v>11</v>
      </c>
      <c r="V12" s="17">
        <f t="shared" si="4"/>
        <v>6</v>
      </c>
      <c r="W12" s="17">
        <f t="shared" si="4"/>
        <v>1</v>
      </c>
      <c r="X12" s="17">
        <f t="shared" si="4"/>
        <v>0</v>
      </c>
      <c r="Y12" s="17">
        <f t="shared" si="4"/>
        <v>5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184</v>
      </c>
      <c r="AD12" s="17">
        <f t="shared" si="4"/>
        <v>0</v>
      </c>
      <c r="AE12" s="31">
        <f t="shared" si="4"/>
        <v>147</v>
      </c>
      <c r="AF12" s="31">
        <f t="shared" si="4"/>
        <v>331</v>
      </c>
    </row>
    <row r="13" spans="2:32" ht="23.1" customHeight="1" x14ac:dyDescent="0.25">
      <c r="B13" s="23" t="s">
        <v>40</v>
      </c>
      <c r="C13" s="50">
        <v>9</v>
      </c>
      <c r="D13" s="50">
        <v>1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27</v>
      </c>
      <c r="N13" s="50">
        <v>0</v>
      </c>
      <c r="O13" s="15">
        <f t="shared" si="0"/>
        <v>13</v>
      </c>
      <c r="P13" s="15">
        <f t="shared" si="1"/>
        <v>40</v>
      </c>
      <c r="R13" s="1" t="s">
        <v>9</v>
      </c>
      <c r="S13" s="17">
        <f t="shared" ref="S13:AF13" si="5">SUM(C22:C25)</f>
        <v>187</v>
      </c>
      <c r="T13" s="17">
        <f t="shared" si="5"/>
        <v>67</v>
      </c>
      <c r="U13" s="17">
        <f t="shared" si="5"/>
        <v>15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202</v>
      </c>
      <c r="AD13" s="17">
        <f t="shared" si="5"/>
        <v>0</v>
      </c>
      <c r="AE13" s="31">
        <f t="shared" si="5"/>
        <v>277</v>
      </c>
      <c r="AF13" s="31">
        <f t="shared" si="5"/>
        <v>479</v>
      </c>
    </row>
    <row r="14" spans="2:32" ht="23.1" customHeight="1" x14ac:dyDescent="0.25">
      <c r="B14" s="23" t="s">
        <v>41</v>
      </c>
      <c r="C14" s="50">
        <v>10</v>
      </c>
      <c r="D14" s="50">
        <v>2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22</v>
      </c>
      <c r="N14" s="50">
        <v>0</v>
      </c>
      <c r="O14" s="15">
        <f t="shared" si="0"/>
        <v>15</v>
      </c>
      <c r="P14" s="15">
        <f t="shared" si="1"/>
        <v>37</v>
      </c>
      <c r="R14" s="1" t="s">
        <v>10</v>
      </c>
      <c r="S14" s="17">
        <f t="shared" ref="S14:AF14" si="6">SUM(C26:C29)</f>
        <v>89</v>
      </c>
      <c r="T14" s="17">
        <f t="shared" si="6"/>
        <v>47</v>
      </c>
      <c r="U14" s="17">
        <f t="shared" si="6"/>
        <v>10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177</v>
      </c>
      <c r="AD14" s="17">
        <f t="shared" si="6"/>
        <v>0</v>
      </c>
      <c r="AE14" s="31">
        <f t="shared" si="6"/>
        <v>153</v>
      </c>
      <c r="AF14" s="31">
        <f t="shared" si="6"/>
        <v>330</v>
      </c>
    </row>
    <row r="15" spans="2:32" ht="23.1" customHeight="1" x14ac:dyDescent="0.25">
      <c r="B15" s="23" t="s">
        <v>42</v>
      </c>
      <c r="C15" s="50">
        <v>8</v>
      </c>
      <c r="D15" s="50">
        <v>1</v>
      </c>
      <c r="E15" s="50">
        <v>3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31</v>
      </c>
      <c r="N15" s="50">
        <v>0</v>
      </c>
      <c r="O15" s="15">
        <f t="shared" si="0"/>
        <v>14</v>
      </c>
      <c r="P15" s="15">
        <f t="shared" si="1"/>
        <v>45</v>
      </c>
      <c r="R15" s="1" t="s">
        <v>11</v>
      </c>
      <c r="S15" s="17">
        <f t="shared" ref="S15:AF15" si="7">SUM(C30:C33)</f>
        <v>93</v>
      </c>
      <c r="T15" s="17">
        <f t="shared" si="7"/>
        <v>31</v>
      </c>
      <c r="U15" s="17">
        <f t="shared" si="7"/>
        <v>18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148</v>
      </c>
      <c r="AD15" s="17">
        <f t="shared" si="7"/>
        <v>0</v>
      </c>
      <c r="AE15" s="31">
        <f t="shared" si="7"/>
        <v>148</v>
      </c>
      <c r="AF15" s="31">
        <f t="shared" si="7"/>
        <v>296</v>
      </c>
    </row>
    <row r="16" spans="2:32" ht="23.1" customHeight="1" x14ac:dyDescent="0.25">
      <c r="B16" s="23" t="s">
        <v>43</v>
      </c>
      <c r="C16" s="50">
        <v>11</v>
      </c>
      <c r="D16" s="50">
        <v>7</v>
      </c>
      <c r="E16" s="50">
        <v>2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33</v>
      </c>
      <c r="N16" s="50">
        <v>0</v>
      </c>
      <c r="O16" s="15">
        <f t="shared" si="0"/>
        <v>21</v>
      </c>
      <c r="P16" s="15">
        <f t="shared" si="1"/>
        <v>54</v>
      </c>
      <c r="R16" s="1" t="s">
        <v>12</v>
      </c>
      <c r="S16" s="17">
        <f t="shared" ref="S16:AF16" si="8">SUM(C34:C37)</f>
        <v>120</v>
      </c>
      <c r="T16" s="17">
        <f t="shared" si="8"/>
        <v>37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160</v>
      </c>
      <c r="AD16" s="17">
        <f t="shared" si="8"/>
        <v>0</v>
      </c>
      <c r="AE16" s="31">
        <f t="shared" si="8"/>
        <v>170</v>
      </c>
      <c r="AF16" s="31">
        <f t="shared" si="8"/>
        <v>330</v>
      </c>
    </row>
    <row r="17" spans="2:32" ht="23.1" customHeight="1" x14ac:dyDescent="0.25">
      <c r="B17" s="23" t="s">
        <v>44</v>
      </c>
      <c r="C17" s="50">
        <v>22</v>
      </c>
      <c r="D17" s="50">
        <v>11</v>
      </c>
      <c r="E17" s="50">
        <v>2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38</v>
      </c>
      <c r="P17" s="15">
        <f t="shared" si="1"/>
        <v>83</v>
      </c>
      <c r="R17" s="1" t="s">
        <v>13</v>
      </c>
      <c r="S17" s="17">
        <f t="shared" ref="S17:AF17" si="9">SUM(C38:C41)</f>
        <v>86</v>
      </c>
      <c r="T17" s="17">
        <f t="shared" si="9"/>
        <v>63</v>
      </c>
      <c r="U17" s="17">
        <f t="shared" si="9"/>
        <v>16</v>
      </c>
      <c r="V17" s="17">
        <f t="shared" si="9"/>
        <v>4</v>
      </c>
      <c r="W17" s="17">
        <f t="shared" si="9"/>
        <v>1</v>
      </c>
      <c r="X17" s="17">
        <f t="shared" si="9"/>
        <v>0</v>
      </c>
      <c r="Y17" s="17">
        <f t="shared" si="9"/>
        <v>3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148</v>
      </c>
      <c r="AD17" s="17">
        <f t="shared" si="9"/>
        <v>0</v>
      </c>
      <c r="AE17" s="31">
        <f t="shared" si="9"/>
        <v>176</v>
      </c>
      <c r="AF17" s="31">
        <f t="shared" si="9"/>
        <v>324</v>
      </c>
    </row>
    <row r="18" spans="2:32" ht="23.1" customHeight="1" x14ac:dyDescent="0.25">
      <c r="B18" s="23" t="s">
        <v>45</v>
      </c>
      <c r="C18" s="50">
        <v>37</v>
      </c>
      <c r="D18" s="50">
        <v>13</v>
      </c>
      <c r="E18" s="50">
        <v>5</v>
      </c>
      <c r="F18" s="50">
        <v>3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36</v>
      </c>
      <c r="N18" s="50">
        <v>0</v>
      </c>
      <c r="O18" s="15">
        <f t="shared" si="0"/>
        <v>61</v>
      </c>
      <c r="P18" s="15">
        <f t="shared" si="1"/>
        <v>97</v>
      </c>
      <c r="R18" s="1" t="s">
        <v>14</v>
      </c>
      <c r="S18" s="17">
        <f t="shared" ref="S18:AF18" si="10">SUM(C42:C45)</f>
        <v>63</v>
      </c>
      <c r="T18" s="17">
        <f t="shared" si="10"/>
        <v>17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143</v>
      </c>
      <c r="AD18" s="17">
        <f t="shared" si="10"/>
        <v>0</v>
      </c>
      <c r="AE18" s="31">
        <f t="shared" si="10"/>
        <v>92</v>
      </c>
      <c r="AF18" s="31">
        <f t="shared" si="10"/>
        <v>235</v>
      </c>
    </row>
    <row r="19" spans="2:32" ht="23.1" customHeight="1" x14ac:dyDescent="0.25">
      <c r="B19" s="23" t="s">
        <v>46</v>
      </c>
      <c r="C19" s="50">
        <v>16</v>
      </c>
      <c r="D19" s="50">
        <v>6</v>
      </c>
      <c r="E19" s="50">
        <v>0</v>
      </c>
      <c r="F19" s="50">
        <v>1</v>
      </c>
      <c r="G19" s="50">
        <v>1</v>
      </c>
      <c r="H19" s="50">
        <v>0</v>
      </c>
      <c r="I19" s="50">
        <v>1</v>
      </c>
      <c r="J19" s="50">
        <v>1</v>
      </c>
      <c r="K19" s="50">
        <v>1</v>
      </c>
      <c r="L19" s="50">
        <v>0</v>
      </c>
      <c r="M19" s="50">
        <v>55</v>
      </c>
      <c r="N19" s="50">
        <v>0</v>
      </c>
      <c r="O19" s="15">
        <f t="shared" si="0"/>
        <v>27</v>
      </c>
      <c r="P19" s="15">
        <f t="shared" si="1"/>
        <v>82</v>
      </c>
      <c r="R19" s="1" t="s">
        <v>15</v>
      </c>
      <c r="S19" s="17">
        <f t="shared" ref="S19:AF19" si="11">SUM(C46:C49)</f>
        <v>99</v>
      </c>
      <c r="T19" s="17">
        <f t="shared" si="11"/>
        <v>60</v>
      </c>
      <c r="U19" s="17">
        <f t="shared" si="11"/>
        <v>11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167</v>
      </c>
      <c r="AD19" s="17">
        <f t="shared" si="11"/>
        <v>0</v>
      </c>
      <c r="AE19" s="31">
        <f t="shared" si="11"/>
        <v>181</v>
      </c>
      <c r="AF19" s="31">
        <f t="shared" si="11"/>
        <v>348</v>
      </c>
    </row>
    <row r="20" spans="2:32" ht="23.1" customHeight="1" x14ac:dyDescent="0.25">
      <c r="B20" s="23" t="s">
        <v>47</v>
      </c>
      <c r="C20" s="50">
        <v>10</v>
      </c>
      <c r="D20" s="50">
        <v>4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42</v>
      </c>
      <c r="N20" s="50">
        <v>0</v>
      </c>
      <c r="O20" s="15">
        <f t="shared" si="0"/>
        <v>17</v>
      </c>
      <c r="P20" s="15">
        <f t="shared" si="1"/>
        <v>59</v>
      </c>
      <c r="R20" s="1" t="s">
        <v>16</v>
      </c>
      <c r="S20" s="17">
        <f t="shared" ref="S20:AF20" si="12">SUM(C50:C53)</f>
        <v>52</v>
      </c>
      <c r="T20" s="17">
        <f t="shared" si="12"/>
        <v>21</v>
      </c>
      <c r="U20" s="17">
        <f t="shared" si="12"/>
        <v>13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150</v>
      </c>
      <c r="AD20" s="17">
        <f t="shared" si="12"/>
        <v>0</v>
      </c>
      <c r="AE20" s="31">
        <f t="shared" si="12"/>
        <v>94</v>
      </c>
      <c r="AF20" s="31">
        <f t="shared" si="12"/>
        <v>244</v>
      </c>
    </row>
    <row r="21" spans="2:32" ht="23.1" customHeight="1" x14ac:dyDescent="0.25">
      <c r="B21" s="23" t="s">
        <v>48</v>
      </c>
      <c r="C21" s="50">
        <v>25</v>
      </c>
      <c r="D21" s="50">
        <v>10</v>
      </c>
      <c r="E21" s="50">
        <v>5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51</v>
      </c>
      <c r="N21" s="50">
        <v>0</v>
      </c>
      <c r="O21" s="15">
        <f t="shared" si="0"/>
        <v>42</v>
      </c>
      <c r="P21" s="15">
        <f t="shared" si="1"/>
        <v>93</v>
      </c>
      <c r="R21" s="36" t="s">
        <v>20</v>
      </c>
      <c r="S21" s="34">
        <f t="shared" ref="S21:AF21" si="13">SUM(C54:C57)</f>
        <v>77</v>
      </c>
      <c r="T21" s="17">
        <f t="shared" si="13"/>
        <v>33</v>
      </c>
      <c r="U21" s="17">
        <f t="shared" si="13"/>
        <v>6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150</v>
      </c>
      <c r="AD21" s="17">
        <f t="shared" si="13"/>
        <v>0</v>
      </c>
      <c r="AE21" s="31">
        <f t="shared" si="13"/>
        <v>128</v>
      </c>
      <c r="AF21" s="31">
        <f t="shared" si="13"/>
        <v>278</v>
      </c>
    </row>
    <row r="22" spans="2:32" ht="23.1" customHeight="1" x14ac:dyDescent="0.25">
      <c r="B22" s="23" t="s">
        <v>49</v>
      </c>
      <c r="C22" s="50">
        <v>44</v>
      </c>
      <c r="D22" s="50">
        <v>20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50</v>
      </c>
      <c r="N22" s="50">
        <v>0</v>
      </c>
      <c r="O22" s="15">
        <f t="shared" si="0"/>
        <v>67</v>
      </c>
      <c r="P22" s="15">
        <f t="shared" si="1"/>
        <v>117</v>
      </c>
      <c r="R22" s="38" t="s">
        <v>90</v>
      </c>
      <c r="S22" s="39">
        <f>MAX(S10:S12)</f>
        <v>109</v>
      </c>
      <c r="T22" s="39">
        <f t="shared" ref="T22:AF22" si="14">MAX(T10:T12)</f>
        <v>33</v>
      </c>
      <c r="U22" s="39">
        <f t="shared" si="14"/>
        <v>11</v>
      </c>
      <c r="V22" s="39">
        <f t="shared" si="14"/>
        <v>6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184</v>
      </c>
      <c r="AD22" s="39">
        <f t="shared" si="14"/>
        <v>0</v>
      </c>
      <c r="AE22" s="40">
        <f t="shared" si="14"/>
        <v>147</v>
      </c>
      <c r="AF22" s="40">
        <f t="shared" si="14"/>
        <v>331</v>
      </c>
    </row>
    <row r="23" spans="2:32" ht="23.1" customHeight="1" x14ac:dyDescent="0.25">
      <c r="B23" s="23" t="s">
        <v>50</v>
      </c>
      <c r="C23" s="50">
        <v>38</v>
      </c>
      <c r="D23" s="50">
        <v>10</v>
      </c>
      <c r="E23" s="50">
        <v>3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50</v>
      </c>
      <c r="N23" s="50">
        <v>0</v>
      </c>
      <c r="O23" s="15">
        <f t="shared" si="0"/>
        <v>52</v>
      </c>
      <c r="P23" s="15">
        <f t="shared" si="1"/>
        <v>102</v>
      </c>
      <c r="R23" s="38" t="s">
        <v>91</v>
      </c>
      <c r="S23" s="39">
        <f>MAX(S13:S18)</f>
        <v>187</v>
      </c>
      <c r="T23" s="39">
        <f t="shared" ref="T23:AF23" si="15">MAX(T13:T18)</f>
        <v>67</v>
      </c>
      <c r="U23" s="39">
        <f t="shared" si="15"/>
        <v>18</v>
      </c>
      <c r="V23" s="39">
        <f t="shared" si="15"/>
        <v>4</v>
      </c>
      <c r="W23" s="39">
        <f t="shared" si="15"/>
        <v>1</v>
      </c>
      <c r="X23" s="39">
        <f t="shared" si="15"/>
        <v>0</v>
      </c>
      <c r="Y23" s="39">
        <f t="shared" si="15"/>
        <v>6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202</v>
      </c>
      <c r="AD23" s="39">
        <f t="shared" si="15"/>
        <v>0</v>
      </c>
      <c r="AE23" s="40">
        <f t="shared" si="15"/>
        <v>277</v>
      </c>
      <c r="AF23" s="40">
        <f t="shared" si="15"/>
        <v>479</v>
      </c>
    </row>
    <row r="24" spans="2:32" ht="23.1" customHeight="1" x14ac:dyDescent="0.25">
      <c r="B24" s="23" t="s">
        <v>51</v>
      </c>
      <c r="C24" s="50">
        <v>50</v>
      </c>
      <c r="D24" s="50">
        <v>4</v>
      </c>
      <c r="E24" s="50">
        <v>1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57</v>
      </c>
      <c r="N24" s="50">
        <v>0</v>
      </c>
      <c r="O24" s="15">
        <f t="shared" si="0"/>
        <v>57</v>
      </c>
      <c r="P24" s="15">
        <f t="shared" si="1"/>
        <v>114</v>
      </c>
      <c r="R24" s="38" t="s">
        <v>92</v>
      </c>
      <c r="S24" s="39">
        <f>MAX(S19:S21)</f>
        <v>99</v>
      </c>
      <c r="T24" s="39">
        <f t="shared" ref="T24:AF24" si="16">MAX(T19:T21)</f>
        <v>60</v>
      </c>
      <c r="U24" s="39">
        <f t="shared" si="16"/>
        <v>13</v>
      </c>
      <c r="V24" s="39">
        <f t="shared" si="16"/>
        <v>7</v>
      </c>
      <c r="W24" s="39">
        <f t="shared" si="16"/>
        <v>0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167</v>
      </c>
      <c r="AD24" s="39">
        <f t="shared" si="16"/>
        <v>0</v>
      </c>
      <c r="AE24" s="40">
        <f t="shared" si="16"/>
        <v>181</v>
      </c>
      <c r="AF24" s="40">
        <f t="shared" si="16"/>
        <v>348</v>
      </c>
    </row>
    <row r="25" spans="2:32" ht="23.1" customHeight="1" x14ac:dyDescent="0.25">
      <c r="B25" s="23" t="s">
        <v>52</v>
      </c>
      <c r="C25" s="50">
        <v>55</v>
      </c>
      <c r="D25" s="50">
        <v>33</v>
      </c>
      <c r="E25" s="50">
        <v>10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101</v>
      </c>
      <c r="P25" s="15">
        <f t="shared" si="1"/>
        <v>146</v>
      </c>
      <c r="R25" s="37" t="s">
        <v>85</v>
      </c>
      <c r="S25" s="35">
        <f t="shared" ref="S25:AF25" si="17">SUM(S10:S12)</f>
        <v>248</v>
      </c>
      <c r="T25" s="16">
        <f t="shared" si="17"/>
        <v>68</v>
      </c>
      <c r="U25" s="16">
        <f t="shared" si="17"/>
        <v>23</v>
      </c>
      <c r="V25" s="16">
        <f t="shared" si="17"/>
        <v>15</v>
      </c>
      <c r="W25" s="16">
        <f t="shared" si="17"/>
        <v>1</v>
      </c>
      <c r="X25" s="16">
        <f t="shared" si="17"/>
        <v>0</v>
      </c>
      <c r="Y25" s="16">
        <f t="shared" si="17"/>
        <v>8</v>
      </c>
      <c r="Z25" s="16">
        <f t="shared" si="17"/>
        <v>4</v>
      </c>
      <c r="AA25" s="16">
        <f t="shared" si="17"/>
        <v>1</v>
      </c>
      <c r="AB25" s="16">
        <f t="shared" si="17"/>
        <v>0</v>
      </c>
      <c r="AC25" s="16">
        <f t="shared" si="17"/>
        <v>381</v>
      </c>
      <c r="AD25" s="16">
        <f t="shared" si="17"/>
        <v>0</v>
      </c>
      <c r="AE25" s="32">
        <f t="shared" si="17"/>
        <v>368</v>
      </c>
      <c r="AF25" s="32">
        <f t="shared" si="17"/>
        <v>749</v>
      </c>
    </row>
    <row r="26" spans="2:32" ht="23.1" customHeight="1" x14ac:dyDescent="0.25">
      <c r="B26" s="23" t="s">
        <v>53</v>
      </c>
      <c r="C26" s="50">
        <v>18</v>
      </c>
      <c r="D26" s="50">
        <v>30</v>
      </c>
      <c r="E26" s="50">
        <v>2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45</v>
      </c>
      <c r="N26" s="50">
        <v>0</v>
      </c>
      <c r="O26" s="15">
        <f t="shared" si="0"/>
        <v>52</v>
      </c>
      <c r="P26" s="15">
        <f t="shared" si="1"/>
        <v>97</v>
      </c>
      <c r="R26" s="28" t="s">
        <v>86</v>
      </c>
      <c r="S26" s="16">
        <f t="shared" ref="S26:AF26" si="18">SUM(S13:S18)</f>
        <v>638</v>
      </c>
      <c r="T26" s="16">
        <f t="shared" si="18"/>
        <v>262</v>
      </c>
      <c r="U26" s="16">
        <f t="shared" si="18"/>
        <v>68</v>
      </c>
      <c r="V26" s="16">
        <f t="shared" si="18"/>
        <v>15</v>
      </c>
      <c r="W26" s="16">
        <f t="shared" si="18"/>
        <v>1</v>
      </c>
      <c r="X26" s="16">
        <f t="shared" si="18"/>
        <v>0</v>
      </c>
      <c r="Y26" s="16">
        <f t="shared" si="18"/>
        <v>25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978</v>
      </c>
      <c r="AD26" s="16">
        <f t="shared" si="18"/>
        <v>0</v>
      </c>
      <c r="AE26" s="32">
        <f t="shared" si="18"/>
        <v>1016</v>
      </c>
      <c r="AF26" s="32">
        <f t="shared" si="18"/>
        <v>1994</v>
      </c>
    </row>
    <row r="27" spans="2:32" ht="23.1" customHeight="1" x14ac:dyDescent="0.25">
      <c r="B27" s="23" t="s">
        <v>54</v>
      </c>
      <c r="C27" s="50">
        <v>29</v>
      </c>
      <c r="D27" s="50">
        <v>4</v>
      </c>
      <c r="E27" s="50">
        <v>4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37</v>
      </c>
      <c r="N27" s="50">
        <v>0</v>
      </c>
      <c r="O27" s="15">
        <f t="shared" si="0"/>
        <v>39</v>
      </c>
      <c r="P27" s="15">
        <f t="shared" si="1"/>
        <v>76</v>
      </c>
      <c r="R27" s="29" t="s">
        <v>87</v>
      </c>
      <c r="S27" s="16">
        <f t="shared" ref="S27:AF27" si="19">SUM(S19:S21)</f>
        <v>228</v>
      </c>
      <c r="T27" s="16">
        <f t="shared" si="19"/>
        <v>114</v>
      </c>
      <c r="U27" s="16">
        <f t="shared" si="19"/>
        <v>30</v>
      </c>
      <c r="V27" s="16">
        <f t="shared" si="19"/>
        <v>13</v>
      </c>
      <c r="W27" s="16">
        <f t="shared" si="19"/>
        <v>0</v>
      </c>
      <c r="X27" s="16">
        <f t="shared" si="19"/>
        <v>0</v>
      </c>
      <c r="Y27" s="16">
        <f t="shared" si="19"/>
        <v>16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467</v>
      </c>
      <c r="AD27" s="16">
        <f t="shared" si="19"/>
        <v>0</v>
      </c>
      <c r="AE27" s="32">
        <f t="shared" si="19"/>
        <v>403</v>
      </c>
      <c r="AF27" s="32">
        <f t="shared" si="19"/>
        <v>870</v>
      </c>
    </row>
    <row r="28" spans="2:32" ht="23.1" customHeight="1" x14ac:dyDescent="0.25">
      <c r="B28" s="23" t="s">
        <v>55</v>
      </c>
      <c r="C28" s="50">
        <v>21</v>
      </c>
      <c r="D28" s="50">
        <v>5</v>
      </c>
      <c r="E28" s="50">
        <v>2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50</v>
      </c>
      <c r="N28" s="50">
        <v>0</v>
      </c>
      <c r="O28" s="15">
        <f t="shared" si="0"/>
        <v>29</v>
      </c>
      <c r="P28" s="15">
        <f t="shared" si="1"/>
        <v>79</v>
      </c>
      <c r="R28" s="5" t="s">
        <v>17</v>
      </c>
      <c r="S28" s="16">
        <f t="shared" ref="S28:AF28" si="20">SUM(S10:S21)</f>
        <v>1114</v>
      </c>
      <c r="T28" s="16">
        <f t="shared" si="20"/>
        <v>444</v>
      </c>
      <c r="U28" s="16">
        <f t="shared" si="20"/>
        <v>121</v>
      </c>
      <c r="V28" s="16">
        <f t="shared" si="20"/>
        <v>43</v>
      </c>
      <c r="W28" s="16">
        <f t="shared" si="20"/>
        <v>2</v>
      </c>
      <c r="X28" s="16">
        <f t="shared" si="20"/>
        <v>0</v>
      </c>
      <c r="Y28" s="16">
        <f t="shared" si="20"/>
        <v>49</v>
      </c>
      <c r="Z28" s="16">
        <f t="shared" si="20"/>
        <v>13</v>
      </c>
      <c r="AA28" s="16">
        <f t="shared" si="20"/>
        <v>1</v>
      </c>
      <c r="AB28" s="16">
        <f t="shared" si="20"/>
        <v>0</v>
      </c>
      <c r="AC28" s="16">
        <f t="shared" si="20"/>
        <v>1826</v>
      </c>
      <c r="AD28" s="16">
        <f t="shared" si="20"/>
        <v>0</v>
      </c>
      <c r="AE28" s="32">
        <f t="shared" si="20"/>
        <v>1787</v>
      </c>
      <c r="AF28" s="32">
        <f t="shared" si="20"/>
        <v>3613</v>
      </c>
    </row>
    <row r="29" spans="2:32" ht="23.1" customHeight="1" x14ac:dyDescent="0.25">
      <c r="B29" s="23" t="s">
        <v>56</v>
      </c>
      <c r="C29" s="50">
        <v>21</v>
      </c>
      <c r="D29" s="50">
        <v>8</v>
      </c>
      <c r="E29" s="50">
        <v>2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33</v>
      </c>
      <c r="P29" s="15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13</v>
      </c>
      <c r="E30" s="50">
        <v>13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45</v>
      </c>
      <c r="N30" s="50">
        <v>0</v>
      </c>
      <c r="O30" s="15">
        <f t="shared" si="0"/>
        <v>79</v>
      </c>
      <c r="P30" s="15">
        <f t="shared" si="1"/>
        <v>124</v>
      </c>
    </row>
    <row r="31" spans="2:32" ht="23.1" customHeight="1" x14ac:dyDescent="0.25">
      <c r="B31" s="24" t="s">
        <v>58</v>
      </c>
      <c r="C31" s="50">
        <v>5</v>
      </c>
      <c r="D31" s="50">
        <v>3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9</v>
      </c>
      <c r="P31" s="15">
        <f t="shared" si="1"/>
        <v>35</v>
      </c>
    </row>
    <row r="32" spans="2:32" ht="23.1" customHeight="1" x14ac:dyDescent="0.25">
      <c r="B32" s="24" t="s">
        <v>59</v>
      </c>
      <c r="C32" s="50">
        <v>23</v>
      </c>
      <c r="D32" s="50">
        <v>4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38</v>
      </c>
      <c r="N32" s="50">
        <v>0</v>
      </c>
      <c r="O32" s="15">
        <f t="shared" si="0"/>
        <v>29</v>
      </c>
      <c r="P32" s="15">
        <f t="shared" si="1"/>
        <v>67</v>
      </c>
    </row>
    <row r="33" spans="2:20" ht="23.1" customHeight="1" x14ac:dyDescent="0.25">
      <c r="B33" s="23" t="s">
        <v>60</v>
      </c>
      <c r="C33" s="50">
        <v>15</v>
      </c>
      <c r="D33" s="50">
        <v>11</v>
      </c>
      <c r="E33" s="50">
        <v>4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39</v>
      </c>
      <c r="N33" s="50">
        <v>0</v>
      </c>
      <c r="O33" s="15">
        <f t="shared" si="0"/>
        <v>31</v>
      </c>
      <c r="P33" s="15">
        <f t="shared" si="1"/>
        <v>70</v>
      </c>
    </row>
    <row r="34" spans="2:20" ht="23.1" customHeight="1" x14ac:dyDescent="0.25">
      <c r="B34" s="24" t="s">
        <v>61</v>
      </c>
      <c r="C34" s="50">
        <v>25</v>
      </c>
      <c r="D34" s="50">
        <v>5</v>
      </c>
      <c r="E34" s="50">
        <v>1</v>
      </c>
      <c r="F34" s="50">
        <v>0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37</v>
      </c>
      <c r="N34" s="50">
        <v>0</v>
      </c>
      <c r="O34" s="15">
        <f t="shared" si="0"/>
        <v>35</v>
      </c>
      <c r="P34" s="15">
        <f t="shared" si="1"/>
        <v>72</v>
      </c>
    </row>
    <row r="35" spans="2:20" ht="23.1" customHeight="1" x14ac:dyDescent="0.25">
      <c r="B35" s="24" t="s">
        <v>62</v>
      </c>
      <c r="C35" s="50">
        <v>33</v>
      </c>
      <c r="D35" s="50">
        <v>11</v>
      </c>
      <c r="E35" s="50">
        <v>1</v>
      </c>
      <c r="F35" s="50">
        <v>0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46</v>
      </c>
      <c r="N35" s="50">
        <v>0</v>
      </c>
      <c r="O35" s="15">
        <f t="shared" si="0"/>
        <v>48</v>
      </c>
      <c r="P35" s="15">
        <f t="shared" si="1"/>
        <v>94</v>
      </c>
    </row>
    <row r="36" spans="2:20" ht="23.1" customHeight="1" x14ac:dyDescent="0.25">
      <c r="B36" s="24" t="s">
        <v>63</v>
      </c>
      <c r="C36" s="50">
        <v>40</v>
      </c>
      <c r="D36" s="50">
        <v>8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44</v>
      </c>
      <c r="N36" s="50">
        <v>0</v>
      </c>
      <c r="O36" s="15">
        <f t="shared" si="0"/>
        <v>50</v>
      </c>
      <c r="P36" s="15">
        <f t="shared" si="1"/>
        <v>94</v>
      </c>
    </row>
    <row r="37" spans="2:20" ht="23.1" customHeight="1" x14ac:dyDescent="0.25">
      <c r="B37" s="23" t="s">
        <v>64</v>
      </c>
      <c r="C37" s="50">
        <v>22</v>
      </c>
      <c r="D37" s="50">
        <v>13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33</v>
      </c>
      <c r="N37" s="50">
        <v>0</v>
      </c>
      <c r="O37" s="15">
        <f t="shared" si="0"/>
        <v>37</v>
      </c>
      <c r="P37" s="15">
        <f t="shared" si="1"/>
        <v>70</v>
      </c>
    </row>
    <row r="38" spans="2:20" ht="23.1" customHeight="1" x14ac:dyDescent="0.25">
      <c r="B38" s="24" t="s">
        <v>65</v>
      </c>
      <c r="C38" s="50">
        <v>32</v>
      </c>
      <c r="D38" s="50">
        <v>14</v>
      </c>
      <c r="E38" s="50">
        <v>5</v>
      </c>
      <c r="F38" s="50">
        <v>2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40</v>
      </c>
      <c r="N38" s="50">
        <v>0</v>
      </c>
      <c r="O38" s="15">
        <f t="shared" si="0"/>
        <v>54</v>
      </c>
      <c r="P38" s="15">
        <f t="shared" si="1"/>
        <v>94</v>
      </c>
    </row>
    <row r="39" spans="2:20" ht="23.1" customHeight="1" x14ac:dyDescent="0.25">
      <c r="B39" s="24" t="s">
        <v>66</v>
      </c>
      <c r="C39" s="50">
        <v>14</v>
      </c>
      <c r="D39" s="50">
        <v>11</v>
      </c>
      <c r="E39" s="50">
        <v>3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37</v>
      </c>
      <c r="N39" s="50">
        <v>0</v>
      </c>
      <c r="O39" s="15">
        <f t="shared" si="0"/>
        <v>29</v>
      </c>
      <c r="P39" s="15">
        <f t="shared" si="1"/>
        <v>66</v>
      </c>
    </row>
    <row r="40" spans="2:20" ht="23.1" customHeight="1" x14ac:dyDescent="0.25">
      <c r="B40" s="24" t="s">
        <v>67</v>
      </c>
      <c r="C40" s="50">
        <v>25</v>
      </c>
      <c r="D40" s="50">
        <v>27</v>
      </c>
      <c r="E40" s="50">
        <v>5</v>
      </c>
      <c r="F40" s="50">
        <v>2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61</v>
      </c>
      <c r="P40" s="15">
        <f t="shared" si="1"/>
        <v>97</v>
      </c>
    </row>
    <row r="41" spans="2:20" ht="23.1" customHeight="1" x14ac:dyDescent="0.25">
      <c r="B41" s="23" t="s">
        <v>68</v>
      </c>
      <c r="C41" s="50">
        <v>15</v>
      </c>
      <c r="D41" s="50">
        <v>11</v>
      </c>
      <c r="E41" s="50">
        <v>3</v>
      </c>
      <c r="F41" s="50">
        <v>0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32</v>
      </c>
      <c r="P41" s="15">
        <f t="shared" si="1"/>
        <v>67</v>
      </c>
    </row>
    <row r="42" spans="2:20" ht="23.1" customHeight="1" x14ac:dyDescent="0.25">
      <c r="B42" s="24" t="s">
        <v>69</v>
      </c>
      <c r="C42" s="50">
        <v>25</v>
      </c>
      <c r="D42" s="50">
        <v>3</v>
      </c>
      <c r="E42" s="50">
        <v>2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33</v>
      </c>
      <c r="P42" s="15">
        <f t="shared" si="1"/>
        <v>83</v>
      </c>
    </row>
    <row r="43" spans="2:20" ht="23.1" customHeight="1" x14ac:dyDescent="0.25">
      <c r="B43" s="23" t="s">
        <v>70</v>
      </c>
      <c r="C43" s="50">
        <v>12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15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15</v>
      </c>
      <c r="D44" s="50">
        <v>6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23</v>
      </c>
      <c r="N44" s="50">
        <v>0</v>
      </c>
      <c r="O44" s="15">
        <f t="shared" si="0"/>
        <v>22</v>
      </c>
      <c r="P44" s="15">
        <f t="shared" si="1"/>
        <v>45</v>
      </c>
    </row>
    <row r="45" spans="2:20" ht="23.1" customHeight="1" x14ac:dyDescent="0.25">
      <c r="B45" s="23" t="s">
        <v>72</v>
      </c>
      <c r="C45" s="50">
        <v>11</v>
      </c>
      <c r="D45" s="50">
        <v>7</v>
      </c>
      <c r="E45" s="50">
        <v>3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35</v>
      </c>
      <c r="N45" s="50">
        <v>0</v>
      </c>
      <c r="O45" s="15">
        <f t="shared" si="0"/>
        <v>22</v>
      </c>
      <c r="P45" s="15">
        <f t="shared" si="1"/>
        <v>57</v>
      </c>
    </row>
    <row r="46" spans="2:20" ht="23.1" customHeight="1" x14ac:dyDescent="0.25">
      <c r="B46" s="24" t="s">
        <v>73</v>
      </c>
      <c r="C46" s="50">
        <v>23</v>
      </c>
      <c r="D46" s="50">
        <v>30</v>
      </c>
      <c r="E46" s="50">
        <v>4</v>
      </c>
      <c r="F46" s="50">
        <v>1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49</v>
      </c>
      <c r="N46" s="50">
        <v>0</v>
      </c>
      <c r="O46" s="15">
        <f t="shared" si="0"/>
        <v>61</v>
      </c>
      <c r="P46" s="15">
        <f t="shared" si="1"/>
        <v>110</v>
      </c>
      <c r="R46" s="8"/>
      <c r="T46"/>
    </row>
    <row r="47" spans="2:20" ht="23.1" customHeight="1" x14ac:dyDescent="0.25">
      <c r="B47" s="24" t="s">
        <v>74</v>
      </c>
      <c r="C47" s="50">
        <v>22</v>
      </c>
      <c r="D47" s="50">
        <v>13</v>
      </c>
      <c r="E47" s="50">
        <v>3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56</v>
      </c>
      <c r="N47" s="50">
        <v>0</v>
      </c>
      <c r="O47" s="15">
        <f t="shared" si="0"/>
        <v>38</v>
      </c>
      <c r="P47" s="15">
        <f t="shared" si="1"/>
        <v>94</v>
      </c>
      <c r="R47" s="8"/>
      <c r="T47"/>
    </row>
    <row r="48" spans="2:20" ht="23.1" customHeight="1" x14ac:dyDescent="0.25">
      <c r="B48" s="24" t="s">
        <v>75</v>
      </c>
      <c r="C48" s="50">
        <v>38</v>
      </c>
      <c r="D48" s="50">
        <v>5</v>
      </c>
      <c r="E48" s="50">
        <v>2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31</v>
      </c>
      <c r="N48" s="50">
        <v>0</v>
      </c>
      <c r="O48" s="15">
        <f t="shared" si="0"/>
        <v>49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12</v>
      </c>
      <c r="E49" s="50">
        <v>2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31</v>
      </c>
      <c r="N49" s="50">
        <v>0</v>
      </c>
      <c r="O49" s="15">
        <f t="shared" si="0"/>
        <v>33</v>
      </c>
      <c r="P49" s="15">
        <f t="shared" si="1"/>
        <v>64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7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18</v>
      </c>
      <c r="P50" s="15">
        <f t="shared" si="1"/>
        <v>48</v>
      </c>
      <c r="R50" s="8"/>
      <c r="T50"/>
    </row>
    <row r="51" spans="2:20" ht="23.1" customHeight="1" x14ac:dyDescent="0.25">
      <c r="B51" s="24" t="s">
        <v>78</v>
      </c>
      <c r="C51" s="50">
        <v>18</v>
      </c>
      <c r="D51" s="50">
        <v>4</v>
      </c>
      <c r="E51" s="50">
        <v>5</v>
      </c>
      <c r="F51" s="50">
        <v>1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43</v>
      </c>
      <c r="N51" s="50">
        <v>0</v>
      </c>
      <c r="O51" s="15">
        <f t="shared" si="0"/>
        <v>30</v>
      </c>
      <c r="P51" s="15">
        <f t="shared" si="1"/>
        <v>73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5</v>
      </c>
      <c r="E52" s="50">
        <v>5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40</v>
      </c>
      <c r="N52" s="50">
        <v>0</v>
      </c>
      <c r="O52" s="15">
        <f t="shared" si="0"/>
        <v>26</v>
      </c>
      <c r="P52" s="15">
        <f t="shared" si="1"/>
        <v>66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5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37</v>
      </c>
      <c r="N53" s="50">
        <v>0</v>
      </c>
      <c r="O53" s="15">
        <f t="shared" si="0"/>
        <v>20</v>
      </c>
      <c r="P53" s="15">
        <f t="shared" si="1"/>
        <v>57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4</v>
      </c>
      <c r="E54" s="50">
        <v>2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37</v>
      </c>
      <c r="N54" s="50">
        <v>0</v>
      </c>
      <c r="O54" s="15">
        <f t="shared" si="0"/>
        <v>22</v>
      </c>
      <c r="P54" s="15">
        <f t="shared" si="1"/>
        <v>59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13</v>
      </c>
      <c r="E55" s="50">
        <v>1</v>
      </c>
      <c r="F55" s="50">
        <v>4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33</v>
      </c>
      <c r="N55" s="50">
        <v>0</v>
      </c>
      <c r="O55" s="15">
        <f t="shared" si="0"/>
        <v>49</v>
      </c>
      <c r="P55" s="15">
        <f t="shared" si="1"/>
        <v>82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7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20</v>
      </c>
      <c r="P56" s="15">
        <f t="shared" si="1"/>
        <v>55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9</v>
      </c>
      <c r="E57" s="50">
        <v>2</v>
      </c>
      <c r="F57" s="50">
        <v>1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37</v>
      </c>
      <c r="P57" s="15">
        <f t="shared" si="1"/>
        <v>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1114</v>
      </c>
      <c r="D58" s="16">
        <f t="shared" si="21"/>
        <v>444</v>
      </c>
      <c r="E58" s="16">
        <f t="shared" si="21"/>
        <v>121</v>
      </c>
      <c r="F58" s="16">
        <f t="shared" si="21"/>
        <v>43</v>
      </c>
      <c r="G58" s="16">
        <f t="shared" si="21"/>
        <v>2</v>
      </c>
      <c r="H58" s="16">
        <f t="shared" si="21"/>
        <v>0</v>
      </c>
      <c r="I58" s="16">
        <f t="shared" si="21"/>
        <v>49</v>
      </c>
      <c r="J58" s="16">
        <f t="shared" si="21"/>
        <v>13</v>
      </c>
      <c r="K58" s="16">
        <f t="shared" si="21"/>
        <v>1</v>
      </c>
      <c r="L58" s="16">
        <f t="shared" si="21"/>
        <v>0</v>
      </c>
      <c r="M58" s="16">
        <f t="shared" si="21"/>
        <v>1826</v>
      </c>
      <c r="N58" s="16">
        <f t="shared" si="21"/>
        <v>0</v>
      </c>
      <c r="O58" s="16">
        <f t="shared" si="21"/>
        <v>1787</v>
      </c>
      <c r="P58" s="16">
        <f t="shared" si="21"/>
        <v>3613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0.30833102684749514</v>
      </c>
      <c r="D59" s="43">
        <f t="shared" si="22"/>
        <v>0.12288956545806809</v>
      </c>
      <c r="E59" s="43">
        <f t="shared" si="22"/>
        <v>3.3490174370329369E-2</v>
      </c>
      <c r="F59" s="43">
        <f t="shared" si="22"/>
        <v>1.190146692499308E-2</v>
      </c>
      <c r="G59" s="43">
        <f t="shared" si="22"/>
        <v>5.5355660116246884E-4</v>
      </c>
      <c r="H59" s="43">
        <f t="shared" si="22"/>
        <v>0</v>
      </c>
      <c r="I59" s="43">
        <f t="shared" si="22"/>
        <v>1.3562136728480487E-2</v>
      </c>
      <c r="J59" s="43">
        <f t="shared" si="22"/>
        <v>3.5981179075560477E-3</v>
      </c>
      <c r="K59" s="43">
        <f t="shared" si="22"/>
        <v>2.7677830058123442E-4</v>
      </c>
      <c r="L59" s="43">
        <f t="shared" si="22"/>
        <v>0</v>
      </c>
      <c r="M59" s="43">
        <f t="shared" si="22"/>
        <v>0.50539717686133412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0.62339115836597647</v>
      </c>
      <c r="D60" s="44">
        <f t="shared" ref="D60:N60" si="23">D58/$O$58</f>
        <v>0.24846110800223839</v>
      </c>
      <c r="E60" s="44">
        <f t="shared" si="23"/>
        <v>6.771124790151091E-2</v>
      </c>
      <c r="F60" s="44">
        <f t="shared" si="23"/>
        <v>2.4062674874090653E-2</v>
      </c>
      <c r="G60" s="44">
        <f t="shared" si="23"/>
        <v>1.1191941801902631E-3</v>
      </c>
      <c r="H60" s="44">
        <f t="shared" si="23"/>
        <v>0</v>
      </c>
      <c r="I60" s="44">
        <f t="shared" si="23"/>
        <v>2.7420257414661444E-2</v>
      </c>
      <c r="J60" s="44">
        <f t="shared" si="23"/>
        <v>7.2747621712367094E-3</v>
      </c>
      <c r="K60" s="44">
        <f t="shared" si="23"/>
        <v>5.5959709009513155E-4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2" zoomScale="60" workbookViewId="0">
      <selection activeCell="I11" sqref="I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181</v>
      </c>
      <c r="E5" s="3"/>
      <c r="F5" s="41" t="s">
        <v>1</v>
      </c>
      <c r="G5" s="63" t="str">
        <f>'04.08 Naguru-Nakawa'!G5:H5</f>
        <v>POLICE HEADQUATER</v>
      </c>
      <c r="H5" s="64"/>
      <c r="I5" s="14"/>
      <c r="J5" s="2" t="s">
        <v>5</v>
      </c>
      <c r="K5" s="63" t="s">
        <v>182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166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'04.08 Naguru-Nakawa'!K6:L6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4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16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25</v>
      </c>
      <c r="R10" s="1" t="s">
        <v>6</v>
      </c>
      <c r="S10" s="17">
        <f t="shared" ref="S10:AF10" si="2">SUM(C10:C13)</f>
        <v>15</v>
      </c>
      <c r="T10" s="17">
        <f t="shared" si="2"/>
        <v>4</v>
      </c>
      <c r="U10" s="17">
        <f t="shared" si="2"/>
        <v>9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82</v>
      </c>
      <c r="AD10" s="17">
        <f t="shared" si="2"/>
        <v>0</v>
      </c>
      <c r="AE10" s="31">
        <f t="shared" si="2"/>
        <v>36</v>
      </c>
      <c r="AF10" s="31">
        <f t="shared" si="2"/>
        <v>118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3</v>
      </c>
      <c r="F11" s="50">
        <v>0</v>
      </c>
      <c r="G11" s="50">
        <v>0</v>
      </c>
      <c r="H11" s="50">
        <v>0</v>
      </c>
      <c r="I11" s="50" t="s">
        <v>183</v>
      </c>
      <c r="J11" s="50">
        <v>1</v>
      </c>
      <c r="K11" s="50">
        <v>0</v>
      </c>
      <c r="L11" s="50">
        <v>0</v>
      </c>
      <c r="M11" s="50">
        <v>22</v>
      </c>
      <c r="N11" s="50">
        <v>0</v>
      </c>
      <c r="O11" s="15">
        <f t="shared" si="0"/>
        <v>7</v>
      </c>
      <c r="P11" s="15">
        <f t="shared" si="1"/>
        <v>29</v>
      </c>
      <c r="R11" s="1" t="s">
        <v>7</v>
      </c>
      <c r="S11" s="17">
        <f t="shared" ref="S11:AF11" si="3">SUM(C14:C17)</f>
        <v>26</v>
      </c>
      <c r="T11" s="17">
        <f t="shared" si="3"/>
        <v>23</v>
      </c>
      <c r="U11" s="17">
        <f t="shared" si="3"/>
        <v>12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138</v>
      </c>
      <c r="AD11" s="17">
        <f t="shared" si="3"/>
        <v>0</v>
      </c>
      <c r="AE11" s="31">
        <f t="shared" si="3"/>
        <v>63</v>
      </c>
      <c r="AF11" s="31">
        <f t="shared" si="3"/>
        <v>201</v>
      </c>
    </row>
    <row r="12" spans="2:32" ht="23.1" customHeight="1" x14ac:dyDescent="0.25">
      <c r="B12" s="23" t="s">
        <v>39</v>
      </c>
      <c r="C12" s="50">
        <v>9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10</v>
      </c>
      <c r="P12" s="15">
        <f t="shared" si="1"/>
        <v>28</v>
      </c>
      <c r="R12" s="1" t="s">
        <v>8</v>
      </c>
      <c r="S12" s="17">
        <f t="shared" ref="S12:AF12" si="4">SUM(C18:C21)</f>
        <v>49</v>
      </c>
      <c r="T12" s="17">
        <f t="shared" si="4"/>
        <v>48</v>
      </c>
      <c r="U12" s="17">
        <f t="shared" si="4"/>
        <v>22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256</v>
      </c>
      <c r="AD12" s="17">
        <f t="shared" si="4"/>
        <v>0</v>
      </c>
      <c r="AE12" s="31">
        <f t="shared" si="4"/>
        <v>130</v>
      </c>
      <c r="AF12" s="31">
        <f t="shared" si="4"/>
        <v>386</v>
      </c>
    </row>
    <row r="13" spans="2:32" ht="23.1" customHeight="1" x14ac:dyDescent="0.25">
      <c r="B13" s="23" t="s">
        <v>40</v>
      </c>
      <c r="C13" s="50">
        <v>2</v>
      </c>
      <c r="D13" s="50">
        <v>2</v>
      </c>
      <c r="E13" s="50">
        <v>1</v>
      </c>
      <c r="F13" s="50">
        <v>3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0</v>
      </c>
      <c r="M13" s="50">
        <v>26</v>
      </c>
      <c r="N13" s="50">
        <v>0</v>
      </c>
      <c r="O13" s="15">
        <f t="shared" si="0"/>
        <v>10</v>
      </c>
      <c r="P13" s="15">
        <f t="shared" si="1"/>
        <v>36</v>
      </c>
      <c r="R13" s="1" t="s">
        <v>9</v>
      </c>
      <c r="S13" s="17">
        <f t="shared" ref="S13:AF13" si="5">SUM(C22:C25)</f>
        <v>110</v>
      </c>
      <c r="T13" s="17">
        <f t="shared" si="5"/>
        <v>97</v>
      </c>
      <c r="U13" s="17">
        <f t="shared" si="5"/>
        <v>18</v>
      </c>
      <c r="V13" s="17">
        <f t="shared" si="5"/>
        <v>18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197</v>
      </c>
      <c r="AD13" s="17">
        <f t="shared" si="5"/>
        <v>0</v>
      </c>
      <c r="AE13" s="31">
        <f t="shared" si="5"/>
        <v>176</v>
      </c>
      <c r="AF13" s="31">
        <f t="shared" si="5"/>
        <v>445</v>
      </c>
    </row>
    <row r="14" spans="2:32" ht="23.1" customHeight="1" x14ac:dyDescent="0.25">
      <c r="B14" s="23" t="s">
        <v>41</v>
      </c>
      <c r="C14" s="50">
        <v>3</v>
      </c>
      <c r="D14" s="50">
        <v>3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8</v>
      </c>
      <c r="P14" s="15">
        <f t="shared" si="1"/>
        <v>48</v>
      </c>
      <c r="R14" s="1" t="s">
        <v>10</v>
      </c>
      <c r="S14" s="17">
        <f t="shared" ref="S14:AF14" si="6">SUM(C26:C29)</f>
        <v>91</v>
      </c>
      <c r="T14" s="17">
        <f t="shared" si="6"/>
        <v>111</v>
      </c>
      <c r="U14" s="17">
        <f t="shared" si="6"/>
        <v>14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196</v>
      </c>
      <c r="AD14" s="17">
        <f t="shared" si="6"/>
        <v>0</v>
      </c>
      <c r="AE14" s="31">
        <f t="shared" si="6"/>
        <v>236</v>
      </c>
      <c r="AF14" s="31">
        <f t="shared" si="6"/>
        <v>432</v>
      </c>
    </row>
    <row r="15" spans="2:32" ht="23.1" customHeight="1" x14ac:dyDescent="0.25">
      <c r="B15" s="23" t="s">
        <v>42</v>
      </c>
      <c r="C15" s="50">
        <v>3</v>
      </c>
      <c r="D15" s="50">
        <v>4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36</v>
      </c>
      <c r="N15" s="50">
        <v>0</v>
      </c>
      <c r="O15" s="15">
        <f t="shared" si="0"/>
        <v>9</v>
      </c>
      <c r="P15" s="15">
        <f t="shared" si="1"/>
        <v>45</v>
      </c>
      <c r="R15" s="1" t="s">
        <v>11</v>
      </c>
      <c r="S15" s="17">
        <f t="shared" ref="S15:AF15" si="7">SUM(C30:C33)</f>
        <v>183</v>
      </c>
      <c r="T15" s="17">
        <f t="shared" si="7"/>
        <v>186</v>
      </c>
      <c r="U15" s="17">
        <f t="shared" si="7"/>
        <v>15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188</v>
      </c>
      <c r="AD15" s="17">
        <f t="shared" si="7"/>
        <v>0</v>
      </c>
      <c r="AE15" s="31">
        <f t="shared" si="7"/>
        <v>400</v>
      </c>
      <c r="AF15" s="31">
        <f t="shared" si="7"/>
        <v>588</v>
      </c>
    </row>
    <row r="16" spans="2:32" ht="23.1" customHeight="1" x14ac:dyDescent="0.25">
      <c r="B16" s="23" t="s">
        <v>43</v>
      </c>
      <c r="C16" s="50">
        <v>4</v>
      </c>
      <c r="D16" s="50">
        <v>9</v>
      </c>
      <c r="E16" s="50">
        <v>7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20</v>
      </c>
      <c r="P16" s="15">
        <f t="shared" si="1"/>
        <v>55</v>
      </c>
      <c r="R16" s="1" t="s">
        <v>12</v>
      </c>
      <c r="S16" s="17">
        <f t="shared" ref="S16:AF16" si="8">SUM(C34:C37)</f>
        <v>223</v>
      </c>
      <c r="T16" s="17">
        <f t="shared" si="8"/>
        <v>183</v>
      </c>
      <c r="U16" s="17">
        <f t="shared" si="8"/>
        <v>11</v>
      </c>
      <c r="V16" s="17">
        <f t="shared" si="8"/>
        <v>7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200</v>
      </c>
      <c r="AD16" s="17">
        <f t="shared" si="8"/>
        <v>0</v>
      </c>
      <c r="AE16" s="31">
        <f t="shared" si="8"/>
        <v>430</v>
      </c>
      <c r="AF16" s="31">
        <f t="shared" si="8"/>
        <v>630</v>
      </c>
    </row>
    <row r="17" spans="2:32" ht="23.1" customHeight="1" x14ac:dyDescent="0.25">
      <c r="B17" s="23" t="s">
        <v>44</v>
      </c>
      <c r="C17" s="50">
        <v>16</v>
      </c>
      <c r="D17" s="50">
        <v>7</v>
      </c>
      <c r="E17" s="50">
        <v>2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27</v>
      </c>
      <c r="N17" s="50">
        <v>0</v>
      </c>
      <c r="O17" s="15">
        <f t="shared" si="0"/>
        <v>26</v>
      </c>
      <c r="P17" s="15">
        <f t="shared" si="1"/>
        <v>53</v>
      </c>
      <c r="R17" s="1" t="s">
        <v>13</v>
      </c>
      <c r="S17" s="17">
        <f t="shared" ref="S17:AF17" si="9">SUM(C38:C41)</f>
        <v>273</v>
      </c>
      <c r="T17" s="17">
        <f t="shared" si="9"/>
        <v>273</v>
      </c>
      <c r="U17" s="17">
        <f t="shared" si="9"/>
        <v>29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111</v>
      </c>
      <c r="AD17" s="17">
        <f t="shared" si="9"/>
        <v>0</v>
      </c>
      <c r="AE17" s="31">
        <f t="shared" si="9"/>
        <v>589</v>
      </c>
      <c r="AF17" s="31">
        <f t="shared" si="9"/>
        <v>700</v>
      </c>
    </row>
    <row r="18" spans="2:32" ht="23.1" customHeight="1" x14ac:dyDescent="0.25">
      <c r="B18" s="23" t="s">
        <v>45</v>
      </c>
      <c r="C18" s="50">
        <v>14</v>
      </c>
      <c r="D18" s="50">
        <v>13</v>
      </c>
      <c r="E18" s="50">
        <v>4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34</v>
      </c>
      <c r="P18" s="15">
        <f t="shared" si="1"/>
        <v>84</v>
      </c>
      <c r="R18" s="1" t="s">
        <v>14</v>
      </c>
      <c r="S18" s="17">
        <f t="shared" ref="S18:AF18" si="10">SUM(C42:C45)</f>
        <v>140</v>
      </c>
      <c r="T18" s="17">
        <f t="shared" si="10"/>
        <v>126</v>
      </c>
      <c r="U18" s="17">
        <f t="shared" si="10"/>
        <v>21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137</v>
      </c>
      <c r="AD18" s="17">
        <f t="shared" si="10"/>
        <v>0</v>
      </c>
      <c r="AE18" s="31">
        <f t="shared" si="10"/>
        <v>298</v>
      </c>
      <c r="AF18" s="31">
        <f t="shared" si="10"/>
        <v>435</v>
      </c>
    </row>
    <row r="19" spans="2:32" ht="23.1" customHeight="1" x14ac:dyDescent="0.25">
      <c r="B19" s="23" t="s">
        <v>46</v>
      </c>
      <c r="C19" s="50">
        <v>6</v>
      </c>
      <c r="D19" s="50">
        <v>8</v>
      </c>
      <c r="E19" s="50">
        <v>7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86</v>
      </c>
      <c r="N19" s="50">
        <v>0</v>
      </c>
      <c r="O19" s="15">
        <f t="shared" si="0"/>
        <v>24</v>
      </c>
      <c r="P19" s="15">
        <f t="shared" si="1"/>
        <v>110</v>
      </c>
      <c r="R19" s="1" t="s">
        <v>15</v>
      </c>
      <c r="S19" s="17">
        <f t="shared" ref="S19:AF19" si="11">SUM(C46:C49)</f>
        <v>175</v>
      </c>
      <c r="T19" s="17">
        <f t="shared" si="11"/>
        <v>182</v>
      </c>
      <c r="U19" s="17">
        <f t="shared" si="11"/>
        <v>13</v>
      </c>
      <c r="V19" s="17">
        <f t="shared" si="11"/>
        <v>8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1</v>
      </c>
      <c r="AA19" s="17">
        <f t="shared" si="11"/>
        <v>2</v>
      </c>
      <c r="AB19" s="17">
        <f t="shared" si="11"/>
        <v>0</v>
      </c>
      <c r="AC19" s="17">
        <f t="shared" si="11"/>
        <v>161</v>
      </c>
      <c r="AD19" s="17">
        <f t="shared" si="11"/>
        <v>0</v>
      </c>
      <c r="AE19" s="31">
        <f t="shared" si="11"/>
        <v>382</v>
      </c>
      <c r="AF19" s="31">
        <f t="shared" si="11"/>
        <v>543</v>
      </c>
    </row>
    <row r="20" spans="2:32" ht="23.1" customHeight="1" x14ac:dyDescent="0.25">
      <c r="B20" s="23" t="s">
        <v>47</v>
      </c>
      <c r="C20" s="50">
        <v>20</v>
      </c>
      <c r="D20" s="50">
        <v>21</v>
      </c>
      <c r="E20" s="50">
        <v>4</v>
      </c>
      <c r="F20" s="50">
        <v>3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62</v>
      </c>
      <c r="N20" s="50">
        <v>0</v>
      </c>
      <c r="O20" s="15">
        <f t="shared" si="0"/>
        <v>48</v>
      </c>
      <c r="P20" s="15">
        <f t="shared" si="1"/>
        <v>110</v>
      </c>
      <c r="R20" s="1" t="s">
        <v>16</v>
      </c>
      <c r="S20" s="17">
        <f t="shared" ref="S20:AF20" si="12">SUM(C50:C53)</f>
        <v>199</v>
      </c>
      <c r="T20" s="17">
        <f t="shared" si="12"/>
        <v>231</v>
      </c>
      <c r="U20" s="17">
        <f t="shared" si="12"/>
        <v>25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162</v>
      </c>
      <c r="AD20" s="17">
        <f t="shared" si="12"/>
        <v>0</v>
      </c>
      <c r="AE20" s="31">
        <f t="shared" si="12"/>
        <v>472</v>
      </c>
      <c r="AF20" s="31">
        <f t="shared" si="12"/>
        <v>634</v>
      </c>
    </row>
    <row r="21" spans="2:32" ht="23.1" customHeight="1" x14ac:dyDescent="0.25">
      <c r="B21" s="23" t="s">
        <v>48</v>
      </c>
      <c r="C21" s="50">
        <v>9</v>
      </c>
      <c r="D21" s="50">
        <v>6</v>
      </c>
      <c r="E21" s="50">
        <v>7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58</v>
      </c>
      <c r="N21" s="50">
        <v>0</v>
      </c>
      <c r="O21" s="15">
        <f t="shared" si="0"/>
        <v>24</v>
      </c>
      <c r="P21" s="15">
        <f t="shared" si="1"/>
        <v>82</v>
      </c>
      <c r="R21" s="36" t="s">
        <v>20</v>
      </c>
      <c r="S21" s="34">
        <f t="shared" ref="S21:AF21" si="13">SUM(C54:C57)</f>
        <v>219</v>
      </c>
      <c r="T21" s="17">
        <f t="shared" si="13"/>
        <v>194</v>
      </c>
      <c r="U21" s="17">
        <f t="shared" si="13"/>
        <v>11</v>
      </c>
      <c r="V21" s="17">
        <f t="shared" si="13"/>
        <v>16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4</v>
      </c>
      <c r="AA21" s="17">
        <f t="shared" si="13"/>
        <v>1</v>
      </c>
      <c r="AB21" s="17">
        <f t="shared" si="13"/>
        <v>0</v>
      </c>
      <c r="AC21" s="17">
        <f t="shared" si="13"/>
        <v>165</v>
      </c>
      <c r="AD21" s="17">
        <f t="shared" si="13"/>
        <v>0</v>
      </c>
      <c r="AE21" s="31">
        <f t="shared" si="13"/>
        <v>449</v>
      </c>
      <c r="AF21" s="31">
        <f t="shared" si="13"/>
        <v>614</v>
      </c>
    </row>
    <row r="22" spans="2:32" ht="23.1" customHeight="1" x14ac:dyDescent="0.25">
      <c r="B22" s="23" t="s">
        <v>49</v>
      </c>
      <c r="C22" s="50">
        <v>35</v>
      </c>
      <c r="D22" s="50">
        <v>30</v>
      </c>
      <c r="E22" s="50">
        <v>0</v>
      </c>
      <c r="F22" s="50">
        <v>6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53</v>
      </c>
      <c r="N22" s="50">
        <v>0</v>
      </c>
      <c r="O22" s="15"/>
      <c r="P22" s="15">
        <f t="shared" si="1"/>
        <v>125</v>
      </c>
      <c r="R22" s="38" t="s">
        <v>90</v>
      </c>
      <c r="S22" s="39">
        <f>MAX(S10:S12)</f>
        <v>49</v>
      </c>
      <c r="T22" s="39">
        <f t="shared" ref="T22:AF22" si="14">MAX(T10:T12)</f>
        <v>48</v>
      </c>
      <c r="U22" s="39">
        <f t="shared" si="14"/>
        <v>22</v>
      </c>
      <c r="V22" s="39">
        <f t="shared" si="14"/>
        <v>8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256</v>
      </c>
      <c r="AD22" s="39">
        <f t="shared" si="14"/>
        <v>0</v>
      </c>
      <c r="AE22" s="40">
        <f t="shared" si="14"/>
        <v>130</v>
      </c>
      <c r="AF22" s="40">
        <f t="shared" si="14"/>
        <v>386</v>
      </c>
    </row>
    <row r="23" spans="2:32" ht="23.1" customHeight="1" x14ac:dyDescent="0.25">
      <c r="B23" s="23" t="s">
        <v>50</v>
      </c>
      <c r="C23" s="50">
        <v>14</v>
      </c>
      <c r="D23" s="50">
        <v>14</v>
      </c>
      <c r="E23" s="50">
        <v>11</v>
      </c>
      <c r="F23" s="50">
        <v>4</v>
      </c>
      <c r="G23" s="50">
        <v>1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47</v>
      </c>
      <c r="N23" s="50">
        <v>0</v>
      </c>
      <c r="O23" s="15">
        <f t="shared" si="0"/>
        <v>45</v>
      </c>
      <c r="P23" s="15">
        <f t="shared" si="1"/>
        <v>92</v>
      </c>
      <c r="R23" s="38" t="s">
        <v>91</v>
      </c>
      <c r="S23" s="39">
        <f>MAX(S13:S18)</f>
        <v>273</v>
      </c>
      <c r="T23" s="39">
        <f t="shared" ref="T23:AF23" si="15">MAX(T13:T18)</f>
        <v>273</v>
      </c>
      <c r="U23" s="39">
        <f t="shared" si="15"/>
        <v>29</v>
      </c>
      <c r="V23" s="39">
        <f t="shared" si="15"/>
        <v>18</v>
      </c>
      <c r="W23" s="39">
        <f t="shared" si="15"/>
        <v>1</v>
      </c>
      <c r="X23" s="39">
        <f t="shared" si="15"/>
        <v>0</v>
      </c>
      <c r="Y23" s="39">
        <f t="shared" si="15"/>
        <v>7</v>
      </c>
      <c r="Z23" s="39">
        <f t="shared" si="15"/>
        <v>4</v>
      </c>
      <c r="AA23" s="39">
        <f t="shared" si="15"/>
        <v>0</v>
      </c>
      <c r="AB23" s="39">
        <f t="shared" si="15"/>
        <v>0</v>
      </c>
      <c r="AC23" s="39">
        <f t="shared" si="15"/>
        <v>200</v>
      </c>
      <c r="AD23" s="39">
        <f t="shared" si="15"/>
        <v>0</v>
      </c>
      <c r="AE23" s="40">
        <f t="shared" si="15"/>
        <v>589</v>
      </c>
      <c r="AF23" s="40">
        <f t="shared" si="15"/>
        <v>700</v>
      </c>
    </row>
    <row r="24" spans="2:32" ht="23.1" customHeight="1" x14ac:dyDescent="0.25">
      <c r="B24" s="23" t="s">
        <v>51</v>
      </c>
      <c r="C24" s="50">
        <v>38</v>
      </c>
      <c r="D24" s="50">
        <v>35</v>
      </c>
      <c r="E24" s="50">
        <v>4</v>
      </c>
      <c r="F24" s="50">
        <v>7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37</v>
      </c>
      <c r="N24" s="50">
        <v>0</v>
      </c>
      <c r="O24" s="15">
        <f t="shared" si="0"/>
        <v>85</v>
      </c>
      <c r="P24" s="15">
        <f t="shared" si="1"/>
        <v>122</v>
      </c>
      <c r="R24" s="38" t="s">
        <v>92</v>
      </c>
      <c r="S24" s="39">
        <f>MAX(S19:S21)</f>
        <v>219</v>
      </c>
      <c r="T24" s="39">
        <f t="shared" ref="T24:AF24" si="16">MAX(T19:T21)</f>
        <v>231</v>
      </c>
      <c r="U24" s="39">
        <f t="shared" si="16"/>
        <v>25</v>
      </c>
      <c r="V24" s="39">
        <f t="shared" si="16"/>
        <v>16</v>
      </c>
      <c r="W24" s="39">
        <f t="shared" si="16"/>
        <v>1</v>
      </c>
      <c r="X24" s="39">
        <f t="shared" si="16"/>
        <v>1</v>
      </c>
      <c r="Y24" s="39">
        <f t="shared" si="16"/>
        <v>7</v>
      </c>
      <c r="Z24" s="39">
        <f t="shared" si="16"/>
        <v>4</v>
      </c>
      <c r="AA24" s="39">
        <f t="shared" si="16"/>
        <v>2</v>
      </c>
      <c r="AB24" s="39">
        <f t="shared" si="16"/>
        <v>0</v>
      </c>
      <c r="AC24" s="39">
        <f t="shared" si="16"/>
        <v>165</v>
      </c>
      <c r="AD24" s="39">
        <f t="shared" si="16"/>
        <v>0</v>
      </c>
      <c r="AE24" s="40">
        <f t="shared" si="16"/>
        <v>472</v>
      </c>
      <c r="AF24" s="40">
        <f t="shared" si="16"/>
        <v>634</v>
      </c>
    </row>
    <row r="25" spans="2:32" ht="23.1" customHeight="1" x14ac:dyDescent="0.25">
      <c r="B25" s="23" t="s">
        <v>52</v>
      </c>
      <c r="C25" s="50">
        <v>23</v>
      </c>
      <c r="D25" s="50">
        <v>18</v>
      </c>
      <c r="E25" s="50">
        <v>3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46</v>
      </c>
      <c r="P25" s="15">
        <f t="shared" si="1"/>
        <v>106</v>
      </c>
      <c r="R25" s="37" t="s">
        <v>85</v>
      </c>
      <c r="S25" s="35">
        <f t="shared" ref="S25:AF25" si="17">SUM(S10:S12)</f>
        <v>90</v>
      </c>
      <c r="T25" s="16">
        <f t="shared" si="17"/>
        <v>75</v>
      </c>
      <c r="U25" s="16">
        <f t="shared" si="17"/>
        <v>43</v>
      </c>
      <c r="V25" s="16">
        <f t="shared" si="17"/>
        <v>12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476</v>
      </c>
      <c r="AD25" s="16">
        <f t="shared" si="17"/>
        <v>0</v>
      </c>
      <c r="AE25" s="32">
        <f t="shared" si="17"/>
        <v>229</v>
      </c>
      <c r="AF25" s="32">
        <f t="shared" si="17"/>
        <v>705</v>
      </c>
    </row>
    <row r="26" spans="2:32" ht="23.1" customHeight="1" x14ac:dyDescent="0.25">
      <c r="B26" s="23" t="s">
        <v>53</v>
      </c>
      <c r="C26" s="50">
        <v>20</v>
      </c>
      <c r="D26" s="50">
        <v>38</v>
      </c>
      <c r="E26" s="50">
        <v>4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70</v>
      </c>
      <c r="N26" s="50">
        <v>0</v>
      </c>
      <c r="O26" s="15">
        <f t="shared" si="0"/>
        <v>65</v>
      </c>
      <c r="P26" s="15">
        <f t="shared" si="1"/>
        <v>135</v>
      </c>
      <c r="R26" s="28" t="s">
        <v>86</v>
      </c>
      <c r="S26" s="16">
        <f t="shared" ref="S26:AF26" si="18">SUM(S13:S18)</f>
        <v>1020</v>
      </c>
      <c r="T26" s="16">
        <f t="shared" si="18"/>
        <v>976</v>
      </c>
      <c r="U26" s="16">
        <f t="shared" si="18"/>
        <v>108</v>
      </c>
      <c r="V26" s="16">
        <f t="shared" si="18"/>
        <v>59</v>
      </c>
      <c r="W26" s="16">
        <f t="shared" si="18"/>
        <v>1</v>
      </c>
      <c r="X26" s="16">
        <f t="shared" si="18"/>
        <v>0</v>
      </c>
      <c r="Y26" s="16">
        <f t="shared" si="18"/>
        <v>30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1029</v>
      </c>
      <c r="AD26" s="16">
        <f t="shared" si="18"/>
        <v>0</v>
      </c>
      <c r="AE26" s="32">
        <f t="shared" si="18"/>
        <v>2129</v>
      </c>
      <c r="AF26" s="32">
        <f t="shared" si="18"/>
        <v>3230</v>
      </c>
    </row>
    <row r="27" spans="2:32" ht="23.1" customHeight="1" x14ac:dyDescent="0.25">
      <c r="B27" s="23" t="s">
        <v>54</v>
      </c>
      <c r="C27" s="50">
        <v>16</v>
      </c>
      <c r="D27" s="50">
        <v>14</v>
      </c>
      <c r="E27" s="50">
        <v>3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51</v>
      </c>
      <c r="N27" s="50">
        <v>0</v>
      </c>
      <c r="O27" s="15">
        <f t="shared" si="0"/>
        <v>36</v>
      </c>
      <c r="P27" s="15">
        <f t="shared" si="1"/>
        <v>87</v>
      </c>
      <c r="R27" s="29" t="s">
        <v>87</v>
      </c>
      <c r="S27" s="16">
        <f t="shared" ref="S27:AF27" si="19">SUM(S19:S21)</f>
        <v>593</v>
      </c>
      <c r="T27" s="16">
        <f t="shared" si="19"/>
        <v>607</v>
      </c>
      <c r="U27" s="16">
        <f t="shared" si="19"/>
        <v>49</v>
      </c>
      <c r="V27" s="16">
        <f t="shared" si="19"/>
        <v>33</v>
      </c>
      <c r="W27" s="16">
        <f t="shared" si="19"/>
        <v>1</v>
      </c>
      <c r="X27" s="16">
        <f t="shared" si="19"/>
        <v>1</v>
      </c>
      <c r="Y27" s="16">
        <f t="shared" si="19"/>
        <v>11</v>
      </c>
      <c r="Z27" s="16">
        <f t="shared" si="19"/>
        <v>5</v>
      </c>
      <c r="AA27" s="16">
        <f t="shared" si="19"/>
        <v>3</v>
      </c>
      <c r="AB27" s="16">
        <f t="shared" si="19"/>
        <v>0</v>
      </c>
      <c r="AC27" s="16">
        <f t="shared" si="19"/>
        <v>488</v>
      </c>
      <c r="AD27" s="16">
        <f t="shared" si="19"/>
        <v>0</v>
      </c>
      <c r="AE27" s="32">
        <f t="shared" si="19"/>
        <v>1303</v>
      </c>
      <c r="AF27" s="32">
        <f t="shared" si="19"/>
        <v>1791</v>
      </c>
    </row>
    <row r="28" spans="2:32" ht="23.1" customHeight="1" x14ac:dyDescent="0.25">
      <c r="B28" s="23" t="s">
        <v>55</v>
      </c>
      <c r="C28" s="50">
        <v>25</v>
      </c>
      <c r="D28" s="50">
        <v>29</v>
      </c>
      <c r="E28" s="50">
        <v>3</v>
      </c>
      <c r="F28" s="50">
        <v>1</v>
      </c>
      <c r="G28" s="50">
        <v>0</v>
      </c>
      <c r="H28" s="50">
        <v>0</v>
      </c>
      <c r="I28" s="50">
        <v>3</v>
      </c>
      <c r="J28" s="50">
        <v>2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63</v>
      </c>
      <c r="P28" s="15">
        <f t="shared" si="1"/>
        <v>98</v>
      </c>
      <c r="R28" s="5" t="s">
        <v>17</v>
      </c>
      <c r="S28" s="16">
        <f t="shared" ref="S28:AF28" si="20">SUM(S10:S21)</f>
        <v>1703</v>
      </c>
      <c r="T28" s="16">
        <f t="shared" si="20"/>
        <v>1658</v>
      </c>
      <c r="U28" s="16">
        <f t="shared" si="20"/>
        <v>200</v>
      </c>
      <c r="V28" s="16">
        <f t="shared" si="20"/>
        <v>104</v>
      </c>
      <c r="W28" s="16">
        <f t="shared" si="20"/>
        <v>2</v>
      </c>
      <c r="X28" s="16">
        <f t="shared" si="20"/>
        <v>1</v>
      </c>
      <c r="Y28" s="16">
        <f t="shared" si="20"/>
        <v>46</v>
      </c>
      <c r="Z28" s="16">
        <f t="shared" si="20"/>
        <v>16</v>
      </c>
      <c r="AA28" s="16">
        <f t="shared" si="20"/>
        <v>3</v>
      </c>
      <c r="AB28" s="16">
        <f t="shared" si="20"/>
        <v>0</v>
      </c>
      <c r="AC28" s="16">
        <f t="shared" si="20"/>
        <v>1993</v>
      </c>
      <c r="AD28" s="16">
        <f t="shared" si="20"/>
        <v>0</v>
      </c>
      <c r="AE28" s="32">
        <f t="shared" si="20"/>
        <v>3661</v>
      </c>
      <c r="AF28" s="32">
        <f t="shared" si="20"/>
        <v>5726</v>
      </c>
    </row>
    <row r="29" spans="2:32" ht="23.1" customHeight="1" x14ac:dyDescent="0.25">
      <c r="B29" s="23" t="s">
        <v>56</v>
      </c>
      <c r="C29" s="50">
        <v>30</v>
      </c>
      <c r="D29" s="50">
        <v>30</v>
      </c>
      <c r="E29" s="50">
        <v>4</v>
      </c>
      <c r="F29" s="50">
        <v>5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72</v>
      </c>
      <c r="P29" s="15">
        <f t="shared" si="1"/>
        <v>112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40</v>
      </c>
      <c r="E30" s="50">
        <v>9</v>
      </c>
      <c r="F30" s="50">
        <v>4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44</v>
      </c>
      <c r="N30" s="50">
        <v>0</v>
      </c>
      <c r="O30" s="15">
        <f t="shared" si="0"/>
        <v>80</v>
      </c>
      <c r="P30" s="15">
        <f t="shared" si="1"/>
        <v>124</v>
      </c>
    </row>
    <row r="31" spans="2:32" ht="23.1" customHeight="1" x14ac:dyDescent="0.25">
      <c r="B31" s="24" t="s">
        <v>58</v>
      </c>
      <c r="C31" s="50">
        <v>68</v>
      </c>
      <c r="D31" s="50">
        <v>51</v>
      </c>
      <c r="E31" s="50">
        <v>6</v>
      </c>
      <c r="F31" s="50">
        <v>5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130</v>
      </c>
      <c r="P31" s="15">
        <f t="shared" si="1"/>
        <v>180</v>
      </c>
    </row>
    <row r="32" spans="2:32" ht="23.1" customHeight="1" x14ac:dyDescent="0.25">
      <c r="B32" s="24" t="s">
        <v>59</v>
      </c>
      <c r="C32" s="50">
        <v>60</v>
      </c>
      <c r="D32" s="50">
        <v>50</v>
      </c>
      <c r="E32" s="50">
        <v>0</v>
      </c>
      <c r="F32" s="50">
        <v>0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41</v>
      </c>
      <c r="N32" s="50">
        <v>0</v>
      </c>
      <c r="O32" s="15">
        <f t="shared" si="0"/>
        <v>114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30</v>
      </c>
      <c r="D33" s="50">
        <v>45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53</v>
      </c>
      <c r="N33" s="50">
        <v>0</v>
      </c>
      <c r="O33" s="15">
        <f t="shared" si="0"/>
        <v>76</v>
      </c>
      <c r="P33" s="15">
        <f t="shared" si="1"/>
        <v>129</v>
      </c>
    </row>
    <row r="34" spans="2:20" ht="23.1" customHeight="1" x14ac:dyDescent="0.25">
      <c r="B34" s="24" t="s">
        <v>61</v>
      </c>
      <c r="C34" s="50">
        <v>25</v>
      </c>
      <c r="D34" s="50">
        <v>24</v>
      </c>
      <c r="E34" s="50">
        <v>3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55</v>
      </c>
      <c r="N34" s="50">
        <v>0</v>
      </c>
      <c r="O34" s="15">
        <f t="shared" si="0"/>
        <v>52</v>
      </c>
      <c r="P34" s="15">
        <f t="shared" si="1"/>
        <v>107</v>
      </c>
    </row>
    <row r="35" spans="2:20" ht="23.1" customHeight="1" x14ac:dyDescent="0.25">
      <c r="B35" s="24" t="s">
        <v>62</v>
      </c>
      <c r="C35" s="50">
        <v>85</v>
      </c>
      <c r="D35" s="50">
        <v>65</v>
      </c>
      <c r="E35" s="50">
        <v>3</v>
      </c>
      <c r="F35" s="50">
        <v>3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51</v>
      </c>
      <c r="N35" s="50">
        <v>0</v>
      </c>
      <c r="O35" s="15">
        <f t="shared" si="0"/>
        <v>159</v>
      </c>
      <c r="P35" s="15">
        <f t="shared" si="1"/>
        <v>210</v>
      </c>
    </row>
    <row r="36" spans="2:20" ht="23.1" customHeight="1" x14ac:dyDescent="0.25">
      <c r="B36" s="24" t="s">
        <v>63</v>
      </c>
      <c r="C36" s="50">
        <v>47</v>
      </c>
      <c r="D36" s="50">
        <v>57</v>
      </c>
      <c r="E36" s="50">
        <v>2</v>
      </c>
      <c r="F36" s="50">
        <v>1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55</v>
      </c>
      <c r="N36" s="50">
        <v>0</v>
      </c>
      <c r="O36" s="15">
        <f t="shared" si="0"/>
        <v>109</v>
      </c>
      <c r="P36" s="15">
        <f t="shared" si="1"/>
        <v>164</v>
      </c>
    </row>
    <row r="37" spans="2:20" ht="23.1" customHeight="1" x14ac:dyDescent="0.25">
      <c r="B37" s="23" t="s">
        <v>64</v>
      </c>
      <c r="C37" s="50">
        <v>66</v>
      </c>
      <c r="D37" s="50">
        <v>37</v>
      </c>
      <c r="E37" s="50">
        <v>3</v>
      </c>
      <c r="F37" s="50">
        <v>3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39</v>
      </c>
      <c r="N37" s="50">
        <v>0</v>
      </c>
      <c r="O37" s="15">
        <f t="shared" si="0"/>
        <v>110</v>
      </c>
      <c r="P37" s="15">
        <f t="shared" si="1"/>
        <v>149</v>
      </c>
    </row>
    <row r="38" spans="2:20" ht="23.1" customHeight="1" x14ac:dyDescent="0.25">
      <c r="B38" s="24" t="s">
        <v>65</v>
      </c>
      <c r="C38" s="50">
        <v>73</v>
      </c>
      <c r="D38" s="50">
        <v>76</v>
      </c>
      <c r="E38" s="50">
        <v>7</v>
      </c>
      <c r="F38" s="50">
        <v>3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160</v>
      </c>
      <c r="P38" s="15">
        <f t="shared" si="1"/>
        <v>190</v>
      </c>
    </row>
    <row r="39" spans="2:20" ht="23.1" customHeight="1" x14ac:dyDescent="0.25">
      <c r="B39" s="24" t="s">
        <v>66</v>
      </c>
      <c r="C39" s="50">
        <v>42</v>
      </c>
      <c r="D39" s="50">
        <v>45</v>
      </c>
      <c r="E39" s="50">
        <v>6</v>
      </c>
      <c r="F39" s="50">
        <v>2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40</v>
      </c>
      <c r="N39" s="50">
        <v>0</v>
      </c>
      <c r="O39" s="15">
        <f t="shared" si="0"/>
        <v>98</v>
      </c>
      <c r="P39" s="15">
        <f t="shared" si="1"/>
        <v>138</v>
      </c>
    </row>
    <row r="40" spans="2:20" ht="23.1" customHeight="1" x14ac:dyDescent="0.25">
      <c r="B40" s="24" t="s">
        <v>67</v>
      </c>
      <c r="C40" s="50">
        <v>78</v>
      </c>
      <c r="D40" s="50">
        <v>88</v>
      </c>
      <c r="E40" s="50">
        <v>11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20</v>
      </c>
      <c r="N40" s="50">
        <v>0</v>
      </c>
      <c r="O40" s="15">
        <f t="shared" si="0"/>
        <v>179</v>
      </c>
      <c r="P40" s="15">
        <f t="shared" si="1"/>
        <v>199</v>
      </c>
    </row>
    <row r="41" spans="2:20" ht="23.1" customHeight="1" x14ac:dyDescent="0.25">
      <c r="B41" s="23" t="s">
        <v>68</v>
      </c>
      <c r="C41" s="50">
        <v>80</v>
      </c>
      <c r="D41" s="50">
        <v>64</v>
      </c>
      <c r="E41" s="50">
        <v>5</v>
      </c>
      <c r="F41" s="50">
        <v>3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152</v>
      </c>
      <c r="P41" s="15">
        <f t="shared" si="1"/>
        <v>173</v>
      </c>
    </row>
    <row r="42" spans="2:20" ht="23.1" customHeight="1" x14ac:dyDescent="0.25">
      <c r="B42" s="24" t="s">
        <v>69</v>
      </c>
      <c r="C42" s="50">
        <v>18</v>
      </c>
      <c r="D42" s="50">
        <v>49</v>
      </c>
      <c r="E42" s="50">
        <v>4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23</v>
      </c>
      <c r="N42" s="50">
        <v>0</v>
      </c>
      <c r="O42" s="15">
        <f t="shared" si="0"/>
        <v>75</v>
      </c>
      <c r="P42" s="15">
        <f t="shared" si="1"/>
        <v>98</v>
      </c>
    </row>
    <row r="43" spans="2:20" ht="23.1" customHeight="1" x14ac:dyDescent="0.25">
      <c r="B43" s="23" t="s">
        <v>70</v>
      </c>
      <c r="C43" s="50">
        <v>23</v>
      </c>
      <c r="D43" s="50">
        <v>15</v>
      </c>
      <c r="E43" s="50">
        <v>7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32</v>
      </c>
      <c r="N43" s="50">
        <v>0</v>
      </c>
      <c r="O43" s="15">
        <f t="shared" si="0"/>
        <v>47</v>
      </c>
      <c r="P43" s="15">
        <f t="shared" si="1"/>
        <v>79</v>
      </c>
    </row>
    <row r="44" spans="2:20" ht="23.1" customHeight="1" x14ac:dyDescent="0.25">
      <c r="B44" s="25" t="s">
        <v>71</v>
      </c>
      <c r="C44" s="50">
        <v>55</v>
      </c>
      <c r="D44" s="50">
        <v>22</v>
      </c>
      <c r="E44" s="50">
        <v>4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46</v>
      </c>
      <c r="N44" s="50">
        <v>0</v>
      </c>
      <c r="O44" s="15">
        <f t="shared" si="0"/>
        <v>83</v>
      </c>
      <c r="P44" s="15">
        <f t="shared" si="1"/>
        <v>129</v>
      </c>
    </row>
    <row r="45" spans="2:20" ht="23.1" customHeight="1" x14ac:dyDescent="0.25">
      <c r="B45" s="23" t="s">
        <v>72</v>
      </c>
      <c r="C45" s="50">
        <v>44</v>
      </c>
      <c r="D45" s="50">
        <v>40</v>
      </c>
      <c r="E45" s="50">
        <v>6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36</v>
      </c>
      <c r="N45" s="50">
        <v>0</v>
      </c>
      <c r="O45" s="15">
        <f t="shared" si="0"/>
        <v>93</v>
      </c>
      <c r="P45" s="15">
        <f t="shared" si="1"/>
        <v>129</v>
      </c>
    </row>
    <row r="46" spans="2:20" ht="23.1" customHeight="1" x14ac:dyDescent="0.25">
      <c r="B46" s="24" t="s">
        <v>73</v>
      </c>
      <c r="C46" s="50">
        <v>53</v>
      </c>
      <c r="D46" s="50">
        <v>75</v>
      </c>
      <c r="E46" s="50">
        <v>3</v>
      </c>
      <c r="F46" s="50">
        <v>3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135</v>
      </c>
      <c r="P46" s="15">
        <f t="shared" si="1"/>
        <v>170</v>
      </c>
      <c r="R46" s="8"/>
      <c r="T46"/>
    </row>
    <row r="47" spans="2:20" ht="23.1" customHeight="1" x14ac:dyDescent="0.25">
      <c r="B47" s="24" t="s">
        <v>74</v>
      </c>
      <c r="C47" s="50">
        <v>50</v>
      </c>
      <c r="D47" s="50">
        <v>38</v>
      </c>
      <c r="E47" s="50">
        <v>7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98</v>
      </c>
      <c r="P47" s="15">
        <f t="shared" si="1"/>
        <v>148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29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1</v>
      </c>
      <c r="K48" s="50">
        <v>1</v>
      </c>
      <c r="L48" s="50">
        <v>0</v>
      </c>
      <c r="M48" s="50">
        <v>39</v>
      </c>
      <c r="N48" s="50">
        <v>0</v>
      </c>
      <c r="O48" s="15">
        <f t="shared" si="0"/>
        <v>88</v>
      </c>
      <c r="P48" s="15">
        <f t="shared" si="1"/>
        <v>127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40</v>
      </c>
      <c r="E49" s="50">
        <v>3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37</v>
      </c>
      <c r="N49" s="50">
        <v>0</v>
      </c>
      <c r="O49" s="15">
        <f t="shared" si="0"/>
        <v>61</v>
      </c>
      <c r="P49" s="15">
        <f t="shared" si="1"/>
        <v>98</v>
      </c>
      <c r="R49" s="8"/>
      <c r="T49"/>
    </row>
    <row r="50" spans="2:20" ht="23.1" customHeight="1" x14ac:dyDescent="0.25">
      <c r="B50" s="24" t="s">
        <v>77</v>
      </c>
      <c r="C50" s="50">
        <v>84</v>
      </c>
      <c r="D50" s="50">
        <v>86</v>
      </c>
      <c r="E50" s="50">
        <v>7</v>
      </c>
      <c r="F50" s="50">
        <v>4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46</v>
      </c>
      <c r="N50" s="50">
        <v>0</v>
      </c>
      <c r="O50" s="15">
        <f t="shared" si="0"/>
        <v>185</v>
      </c>
      <c r="P50" s="15">
        <f t="shared" si="1"/>
        <v>231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58</v>
      </c>
      <c r="E51" s="50">
        <v>7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112</v>
      </c>
      <c r="P51" s="15">
        <f t="shared" si="1"/>
        <v>142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56</v>
      </c>
      <c r="E52" s="50">
        <v>7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48</v>
      </c>
      <c r="N52" s="50">
        <v>0</v>
      </c>
      <c r="O52" s="15">
        <f t="shared" si="0"/>
        <v>105</v>
      </c>
      <c r="P52" s="15">
        <f t="shared" si="1"/>
        <v>153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31</v>
      </c>
      <c r="E53" s="50">
        <v>4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38</v>
      </c>
      <c r="N53" s="50">
        <v>0</v>
      </c>
      <c r="O53" s="15">
        <f t="shared" si="0"/>
        <v>70</v>
      </c>
      <c r="P53" s="15">
        <f t="shared" si="1"/>
        <v>108</v>
      </c>
      <c r="R53" s="8"/>
      <c r="T53"/>
    </row>
    <row r="54" spans="2:20" ht="23.1" customHeight="1" x14ac:dyDescent="0.25">
      <c r="B54" s="23" t="s">
        <v>81</v>
      </c>
      <c r="C54" s="50">
        <v>50</v>
      </c>
      <c r="D54" s="50">
        <v>40</v>
      </c>
      <c r="E54" s="50">
        <v>5</v>
      </c>
      <c r="F54" s="50">
        <v>12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51</v>
      </c>
      <c r="N54" s="50">
        <v>0</v>
      </c>
      <c r="O54" s="15">
        <f t="shared" si="0"/>
        <v>108</v>
      </c>
      <c r="P54" s="15">
        <f t="shared" si="1"/>
        <v>159</v>
      </c>
      <c r="R54" s="8"/>
      <c r="T54"/>
    </row>
    <row r="55" spans="2:20" ht="23.1" customHeight="1" x14ac:dyDescent="0.25">
      <c r="B55" s="23" t="s">
        <v>82</v>
      </c>
      <c r="C55" s="50">
        <v>45</v>
      </c>
      <c r="D55" s="50">
        <v>44</v>
      </c>
      <c r="E55" s="50">
        <v>2</v>
      </c>
      <c r="F55" s="50">
        <v>2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26</v>
      </c>
      <c r="N55" s="50">
        <v>0</v>
      </c>
      <c r="O55" s="15">
        <f t="shared" si="0"/>
        <v>94</v>
      </c>
      <c r="P55" s="15">
        <f t="shared" si="1"/>
        <v>120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30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41</v>
      </c>
      <c r="N56" s="50">
        <v>0</v>
      </c>
      <c r="O56" s="15">
        <f t="shared" si="0"/>
        <v>73</v>
      </c>
      <c r="P56" s="15">
        <f t="shared" si="1"/>
        <v>114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80</v>
      </c>
      <c r="E57" s="50">
        <v>3</v>
      </c>
      <c r="F57" s="50">
        <v>2</v>
      </c>
      <c r="G57" s="50">
        <v>0</v>
      </c>
      <c r="H57" s="50">
        <v>0</v>
      </c>
      <c r="I57" s="50">
        <v>2</v>
      </c>
      <c r="J57" s="50">
        <v>1</v>
      </c>
      <c r="K57" s="50">
        <v>1</v>
      </c>
      <c r="L57" s="50">
        <v>0</v>
      </c>
      <c r="M57" s="50">
        <v>47</v>
      </c>
      <c r="N57" s="50">
        <v>0</v>
      </c>
      <c r="O57" s="15">
        <f t="shared" si="0"/>
        <v>174</v>
      </c>
      <c r="P57" s="15">
        <f t="shared" si="1"/>
        <v>221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1703</v>
      </c>
      <c r="D58" s="16">
        <f t="shared" si="21"/>
        <v>1658</v>
      </c>
      <c r="E58" s="16">
        <f t="shared" si="21"/>
        <v>200</v>
      </c>
      <c r="F58" s="16">
        <f t="shared" si="21"/>
        <v>104</v>
      </c>
      <c r="G58" s="16">
        <f t="shared" si="21"/>
        <v>2</v>
      </c>
      <c r="H58" s="16">
        <f t="shared" si="21"/>
        <v>1</v>
      </c>
      <c r="I58" s="16">
        <f t="shared" si="21"/>
        <v>46</v>
      </c>
      <c r="J58" s="16">
        <f t="shared" si="21"/>
        <v>16</v>
      </c>
      <c r="K58" s="16">
        <f t="shared" si="21"/>
        <v>3</v>
      </c>
      <c r="L58" s="16">
        <f t="shared" si="21"/>
        <v>0</v>
      </c>
      <c r="M58" s="16">
        <f t="shared" si="21"/>
        <v>1993</v>
      </c>
      <c r="N58" s="16">
        <f t="shared" si="21"/>
        <v>0</v>
      </c>
      <c r="O58" s="16">
        <f t="shared" si="21"/>
        <v>3661</v>
      </c>
      <c r="P58" s="16">
        <f t="shared" si="21"/>
        <v>5726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0.29741529863779254</v>
      </c>
      <c r="D59" s="43">
        <f t="shared" si="22"/>
        <v>0.28955640936081034</v>
      </c>
      <c r="E59" s="43">
        <f t="shared" si="22"/>
        <v>3.4928396786587497E-2</v>
      </c>
      <c r="F59" s="43">
        <f t="shared" si="22"/>
        <v>1.8162766329025498E-2</v>
      </c>
      <c r="G59" s="43">
        <f t="shared" si="22"/>
        <v>3.4928396786587494E-4</v>
      </c>
      <c r="H59" s="43">
        <f t="shared" si="22"/>
        <v>1.7464198393293747E-4</v>
      </c>
      <c r="I59" s="43">
        <f t="shared" si="22"/>
        <v>8.0335312609151246E-3</v>
      </c>
      <c r="J59" s="43">
        <f t="shared" si="22"/>
        <v>2.7942717429269995E-3</v>
      </c>
      <c r="K59" s="43">
        <f t="shared" si="22"/>
        <v>5.2392595179881246E-4</v>
      </c>
      <c r="L59" s="43">
        <f t="shared" si="22"/>
        <v>0</v>
      </c>
      <c r="M59" s="43">
        <f t="shared" si="22"/>
        <v>0.34806147397834442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0.46517344987708276</v>
      </c>
      <c r="D60" s="44">
        <f t="shared" ref="D60:N60" si="23">D58/$O$58</f>
        <v>0.45288172630428847</v>
      </c>
      <c r="E60" s="44">
        <f t="shared" si="23"/>
        <v>5.4629882545752524E-2</v>
      </c>
      <c r="F60" s="44">
        <f t="shared" si="23"/>
        <v>2.8407538923791314E-2</v>
      </c>
      <c r="G60" s="44">
        <f t="shared" si="23"/>
        <v>5.4629882545752522E-4</v>
      </c>
      <c r="H60" s="44">
        <f t="shared" si="23"/>
        <v>2.7314941272876261E-4</v>
      </c>
      <c r="I60" s="44">
        <f t="shared" si="23"/>
        <v>1.2564872985523081E-2</v>
      </c>
      <c r="J60" s="44">
        <f t="shared" si="23"/>
        <v>4.3703906036602017E-3</v>
      </c>
      <c r="K60" s="44">
        <f t="shared" si="23"/>
        <v>8.1944823818628793E-4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G58" zoomScale="60" zoomScaleNormal="100" workbookViewId="0">
      <selection activeCell="X78" sqref="X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Naguru-Nakawa'!G5:H5</f>
        <v>POLICE HEADQUATER</v>
      </c>
      <c r="H5" s="64"/>
      <c r="I5" s="14"/>
      <c r="J5" s="2" t="s">
        <v>5</v>
      </c>
      <c r="K5" s="63" t="str">
        <f>'04.08 Naguru-Nakawa'!K5:L5</f>
        <v>HARRIET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Naguru-Nakawa'!D6:E6</f>
        <v>NAGURU</v>
      </c>
      <c r="E6" s="64"/>
      <c r="F6" s="2" t="s">
        <v>2</v>
      </c>
      <c r="G6" s="63" t="str">
        <f>'04.08 Naguru-Nakawa'!G6:H6</f>
        <v>NAKAWA</v>
      </c>
      <c r="H6" s="64"/>
      <c r="J6" s="2" t="s">
        <v>21</v>
      </c>
      <c r="K6" s="63" t="str">
        <f>'04.08 Naguru-Nakawa'!K6:L6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Naguru-Nakawa'!C10,'30.07 Naguru-Nakawa'!C10,'31.07 Naguru-Nakawa'!C10,'02.08 Naguru-Nakawa'!C10,'01.08 Naguru-Nakawa-24h'!C10,'03.08 Naguru-Nakawa-24h'!C10,'04.08 Naguru-Nakawa'!C10)</f>
        <v>57.571428571428569</v>
      </c>
      <c r="D10" s="49">
        <f>AVERAGE('29.07 Naguru-Nakawa'!D10,'30.07 Naguru-Nakawa'!D10,'31.07 Naguru-Nakawa'!D10,'02.08 Naguru-Nakawa'!D10,'01.08 Naguru-Nakawa-24h'!D10,'03.08 Naguru-Nakawa-24h'!D10,'04.08 Naguru-Nakawa'!D10)</f>
        <v>13.285714285714286</v>
      </c>
      <c r="E10" s="49">
        <f>AVERAGE('29.07 Naguru-Nakawa'!E10,'30.07 Naguru-Nakawa'!E10,'31.07 Naguru-Nakawa'!E10,'02.08 Naguru-Nakawa'!E10,'01.08 Naguru-Nakawa-24h'!E10,'03.08 Naguru-Nakawa-24h'!E10,'04.08 Naguru-Nakawa'!E10)</f>
        <v>6.8571428571428568</v>
      </c>
      <c r="F10" s="49">
        <f>AVERAGE('29.07 Naguru-Nakawa'!F10,'30.07 Naguru-Nakawa'!F10,'31.07 Naguru-Nakawa'!F10,'02.08 Naguru-Nakawa'!F10,'01.08 Naguru-Nakawa-24h'!F10,'03.08 Naguru-Nakawa-24h'!F10,'04.08 Naguru-Nakawa'!F10)</f>
        <v>6.5714285714285712</v>
      </c>
      <c r="G10" s="49">
        <f>AVERAGE('29.07 Naguru-Nakawa'!G10,'30.07 Naguru-Nakawa'!G10,'31.07 Naguru-Nakawa'!G10,'02.08 Naguru-Nakawa'!G10,'01.08 Naguru-Nakawa-24h'!G10,'03.08 Naguru-Nakawa-24h'!G10,'04.08 Naguru-Nakawa'!G10)</f>
        <v>0</v>
      </c>
      <c r="H10" s="49">
        <f>AVERAGE('29.07 Naguru-Nakawa'!H10,'30.07 Naguru-Nakawa'!H10,'31.07 Naguru-Nakawa'!H10,'02.08 Naguru-Nakawa'!H10,'01.08 Naguru-Nakawa-24h'!H10,'03.08 Naguru-Nakawa-24h'!H10,'04.08 Naguru-Nakawa'!H10)</f>
        <v>0</v>
      </c>
      <c r="I10" s="49">
        <f>AVERAGE('29.07 Naguru-Nakawa'!I10,'30.07 Naguru-Nakawa'!I10,'31.07 Naguru-Nakawa'!I10,'02.08 Naguru-Nakawa'!I10,'01.08 Naguru-Nakawa-24h'!I10,'03.08 Naguru-Nakawa-24h'!I10,'04.08 Naguru-Nakawa'!I10)</f>
        <v>0.2857142857142857</v>
      </c>
      <c r="J10" s="49">
        <f>AVERAGE('29.07 Naguru-Nakawa'!J10,'30.07 Naguru-Nakawa'!J10,'31.07 Naguru-Nakawa'!J10,'02.08 Naguru-Nakawa'!J10,'01.08 Naguru-Nakawa-24h'!J10,'03.08 Naguru-Nakawa-24h'!J10,'04.08 Naguru-Nakawa'!J10)</f>
        <v>0</v>
      </c>
      <c r="K10" s="49">
        <f>AVERAGE('29.07 Naguru-Nakawa'!K10,'30.07 Naguru-Nakawa'!K10,'31.07 Naguru-Nakawa'!K10,'02.08 Naguru-Nakawa'!K10,'01.08 Naguru-Nakawa-24h'!K10,'03.08 Naguru-Nakawa-24h'!K10,'04.08 Naguru-Nakawa'!K10)</f>
        <v>0</v>
      </c>
      <c r="L10" s="49">
        <f>AVERAGE('29.07 Naguru-Nakawa'!L10,'30.07 Naguru-Nakawa'!L10,'31.07 Naguru-Nakawa'!L10,'02.08 Naguru-Nakawa'!L10,'01.08 Naguru-Nakawa-24h'!L10,'03.08 Naguru-Nakawa-24h'!L10,'04.08 Naguru-Nakawa'!L10)</f>
        <v>0</v>
      </c>
      <c r="M10" s="49">
        <f>AVERAGE('29.07 Naguru-Nakawa'!M10,'30.07 Naguru-Nakawa'!M10,'31.07 Naguru-Nakawa'!M10,'02.08 Naguru-Nakawa'!M10,'01.08 Naguru-Nakawa-24h'!M10,'03.08 Naguru-Nakawa-24h'!M10,'04.08 Naguru-Nakawa'!M10)</f>
        <v>13.285714285714286</v>
      </c>
      <c r="N10" s="49">
        <f>AVERAGE('29.07 Naguru-Nakawa'!N10,'30.07 Naguru-Nakawa'!N10,'31.07 Naguru-Nakawa'!N10,'02.08 Naguru-Nakawa'!N10,'01.08 Naguru-Nakawa-24h'!N10,'03.08 Naguru-Nakawa-24h'!N10,'04.08 Naguru-Nakawa'!N10)</f>
        <v>0</v>
      </c>
      <c r="O10" s="15">
        <f t="shared" ref="O10:O73" si="0">SUM(C10:L10,N10)</f>
        <v>84.571428571428584</v>
      </c>
      <c r="P10" s="15">
        <f t="shared" ref="P10:P73" si="1">SUM(C10:N10)</f>
        <v>97.857142857142875</v>
      </c>
      <c r="R10" s="1" t="s">
        <v>6</v>
      </c>
      <c r="S10" s="17">
        <f t="shared" ref="S10:AF10" si="2">SUM(C10:C13)</f>
        <v>339.57142857142856</v>
      </c>
      <c r="T10" s="17">
        <f t="shared" si="2"/>
        <v>84.571428571428569</v>
      </c>
      <c r="U10" s="17">
        <f t="shared" si="2"/>
        <v>34.571428571428569</v>
      </c>
      <c r="V10" s="17">
        <f t="shared" si="2"/>
        <v>37.142857142857139</v>
      </c>
      <c r="W10" s="17">
        <f t="shared" si="2"/>
        <v>0.14285714285714285</v>
      </c>
      <c r="X10" s="17">
        <f t="shared" si="2"/>
        <v>0</v>
      </c>
      <c r="Y10" s="17">
        <f t="shared" si="2"/>
        <v>2.5714285714285712</v>
      </c>
      <c r="Z10" s="17">
        <f t="shared" si="2"/>
        <v>0.71428571428571419</v>
      </c>
      <c r="AA10" s="17">
        <f t="shared" si="2"/>
        <v>0</v>
      </c>
      <c r="AB10" s="17">
        <f t="shared" si="2"/>
        <v>0</v>
      </c>
      <c r="AC10" s="17">
        <f t="shared" si="2"/>
        <v>164.42857142857144</v>
      </c>
      <c r="AD10" s="17">
        <f t="shared" si="2"/>
        <v>10.285714285714286</v>
      </c>
      <c r="AE10" s="31">
        <f t="shared" si="2"/>
        <v>509.57142857142856</v>
      </c>
      <c r="AF10" s="31">
        <f t="shared" si="2"/>
        <v>674</v>
      </c>
    </row>
    <row r="11" spans="2:32" s="6" customFormat="1" ht="23.1" customHeight="1" x14ac:dyDescent="0.25">
      <c r="B11" s="23" t="s">
        <v>38</v>
      </c>
      <c r="C11" s="49">
        <f>AVERAGE('29.07 Naguru-Nakawa'!C11,'30.07 Naguru-Nakawa'!C11,'31.07 Naguru-Nakawa'!C11,'02.08 Naguru-Nakawa'!C11,'01.08 Naguru-Nakawa-24h'!C11,'03.08 Naguru-Nakawa-24h'!C11,'04.08 Naguru-Nakawa'!C11)</f>
        <v>79.714285714285708</v>
      </c>
      <c r="D11" s="49">
        <f>AVERAGE('29.07 Naguru-Nakawa'!D11,'30.07 Naguru-Nakawa'!D11,'31.07 Naguru-Nakawa'!D11,'02.08 Naguru-Nakawa'!D11,'01.08 Naguru-Nakawa-24h'!D11,'03.08 Naguru-Nakawa-24h'!D11,'04.08 Naguru-Nakawa'!D11)</f>
        <v>18.142857142857142</v>
      </c>
      <c r="E11" s="49">
        <f>AVERAGE('29.07 Naguru-Nakawa'!E11,'30.07 Naguru-Nakawa'!E11,'31.07 Naguru-Nakawa'!E11,'02.08 Naguru-Nakawa'!E11,'01.08 Naguru-Nakawa-24h'!E11,'03.08 Naguru-Nakawa-24h'!E11,'04.08 Naguru-Nakawa'!E11)</f>
        <v>7.5714285714285712</v>
      </c>
      <c r="F11" s="49">
        <f>AVERAGE('29.07 Naguru-Nakawa'!F11,'30.07 Naguru-Nakawa'!F11,'31.07 Naguru-Nakawa'!F11,'02.08 Naguru-Nakawa'!F11,'01.08 Naguru-Nakawa-24h'!F11,'03.08 Naguru-Nakawa-24h'!F11,'04.08 Naguru-Nakawa'!F11)</f>
        <v>8.8571428571428577</v>
      </c>
      <c r="G11" s="49">
        <f>AVERAGE('29.07 Naguru-Nakawa'!G11,'30.07 Naguru-Nakawa'!G11,'31.07 Naguru-Nakawa'!G11,'02.08 Naguru-Nakawa'!G11,'01.08 Naguru-Nakawa-24h'!G11,'03.08 Naguru-Nakawa-24h'!G11,'04.08 Naguru-Nakawa'!G11)</f>
        <v>0</v>
      </c>
      <c r="H11" s="49">
        <f>AVERAGE('29.07 Naguru-Nakawa'!H11,'30.07 Naguru-Nakawa'!H11,'31.07 Naguru-Nakawa'!H11,'02.08 Naguru-Nakawa'!H11,'01.08 Naguru-Nakawa-24h'!H11,'03.08 Naguru-Nakawa-24h'!H11,'04.08 Naguru-Nakawa'!H11)</f>
        <v>0</v>
      </c>
      <c r="I11" s="49">
        <f>AVERAGE('29.07 Naguru-Nakawa'!I11,'30.07 Naguru-Nakawa'!I11,'31.07 Naguru-Nakawa'!I11,'02.08 Naguru-Nakawa'!I11,'01.08 Naguru-Nakawa-24h'!I11,'03.08 Naguru-Nakawa-24h'!I11,'04.08 Naguru-Nakawa'!I11)</f>
        <v>0.2857142857142857</v>
      </c>
      <c r="J11" s="49">
        <f>AVERAGE('29.07 Naguru-Nakawa'!J11,'30.07 Naguru-Nakawa'!J11,'31.07 Naguru-Nakawa'!J11,'02.08 Naguru-Nakawa'!J11,'01.08 Naguru-Nakawa-24h'!J11,'03.08 Naguru-Nakawa-24h'!J11,'04.08 Naguru-Nakawa'!J11)</f>
        <v>0.14285714285714285</v>
      </c>
      <c r="K11" s="49">
        <f>AVERAGE('29.07 Naguru-Nakawa'!K11,'30.07 Naguru-Nakawa'!K11,'31.07 Naguru-Nakawa'!K11,'02.08 Naguru-Nakawa'!K11,'01.08 Naguru-Nakawa-24h'!K11,'03.08 Naguru-Nakawa-24h'!K11,'04.08 Naguru-Nakawa'!K11)</f>
        <v>0</v>
      </c>
      <c r="L11" s="49">
        <f>AVERAGE('29.07 Naguru-Nakawa'!L11,'30.07 Naguru-Nakawa'!L11,'31.07 Naguru-Nakawa'!L11,'02.08 Naguru-Nakawa'!L11,'01.08 Naguru-Nakawa-24h'!L11,'03.08 Naguru-Nakawa-24h'!L11,'04.08 Naguru-Nakawa'!L11)</f>
        <v>0</v>
      </c>
      <c r="M11" s="49">
        <f>AVERAGE('29.07 Naguru-Nakawa'!M11,'30.07 Naguru-Nakawa'!M11,'31.07 Naguru-Nakawa'!M11,'02.08 Naguru-Nakawa'!M11,'01.08 Naguru-Nakawa-24h'!M11,'03.08 Naguru-Nakawa-24h'!M11,'04.08 Naguru-Nakawa'!M11)</f>
        <v>34.428571428571431</v>
      </c>
      <c r="N11" s="49">
        <f>AVERAGE('29.07 Naguru-Nakawa'!N11,'30.07 Naguru-Nakawa'!N11,'31.07 Naguru-Nakawa'!N11,'02.08 Naguru-Nakawa'!N11,'01.08 Naguru-Nakawa-24h'!N11,'03.08 Naguru-Nakawa-24h'!N11,'04.08 Naguru-Nakawa'!N11)</f>
        <v>0</v>
      </c>
      <c r="O11" s="15">
        <f t="shared" si="0"/>
        <v>114.71428571428571</v>
      </c>
      <c r="P11" s="15">
        <f t="shared" si="1"/>
        <v>149.14285714285714</v>
      </c>
      <c r="R11" s="1" t="s">
        <v>7</v>
      </c>
      <c r="S11" s="17">
        <f t="shared" ref="S11:AF11" si="3">SUM(C14:C17)</f>
        <v>488.28571428571433</v>
      </c>
      <c r="T11" s="17">
        <f t="shared" si="3"/>
        <v>101</v>
      </c>
      <c r="U11" s="17">
        <f t="shared" si="3"/>
        <v>45</v>
      </c>
      <c r="V11" s="17">
        <f t="shared" si="3"/>
        <v>46.142857142857139</v>
      </c>
      <c r="W11" s="17">
        <f t="shared" si="3"/>
        <v>0.14285714285714285</v>
      </c>
      <c r="X11" s="17">
        <f t="shared" si="3"/>
        <v>0.42857142857142855</v>
      </c>
      <c r="Y11" s="17">
        <f t="shared" si="3"/>
        <v>9.8571428571428577</v>
      </c>
      <c r="Z11" s="17">
        <f t="shared" si="3"/>
        <v>4</v>
      </c>
      <c r="AA11" s="17">
        <f t="shared" si="3"/>
        <v>0.2857142857142857</v>
      </c>
      <c r="AB11" s="17">
        <f t="shared" si="3"/>
        <v>0.5714285714285714</v>
      </c>
      <c r="AC11" s="17">
        <f t="shared" si="3"/>
        <v>340.42857142857144</v>
      </c>
      <c r="AD11" s="17">
        <f t="shared" si="3"/>
        <v>0.14285714285714285</v>
      </c>
      <c r="AE11" s="31">
        <f t="shared" si="3"/>
        <v>695.85714285714278</v>
      </c>
      <c r="AF11" s="31">
        <f t="shared" si="3"/>
        <v>1036.2857142857142</v>
      </c>
    </row>
    <row r="12" spans="2:32" ht="23.1" customHeight="1" x14ac:dyDescent="0.25">
      <c r="B12" s="23" t="s">
        <v>39</v>
      </c>
      <c r="C12" s="49">
        <f>AVERAGE('29.07 Naguru-Nakawa'!C12,'30.07 Naguru-Nakawa'!C12,'31.07 Naguru-Nakawa'!C12,'02.08 Naguru-Nakawa'!C12,'01.08 Naguru-Nakawa-24h'!C12,'03.08 Naguru-Nakawa-24h'!C12,'04.08 Naguru-Nakawa'!C12)</f>
        <v>94.714285714285708</v>
      </c>
      <c r="D12" s="49">
        <f>AVERAGE('29.07 Naguru-Nakawa'!D12,'30.07 Naguru-Nakawa'!D12,'31.07 Naguru-Nakawa'!D12,'02.08 Naguru-Nakawa'!D12,'01.08 Naguru-Nakawa-24h'!D12,'03.08 Naguru-Nakawa-24h'!D12,'04.08 Naguru-Nakawa'!D12)</f>
        <v>27</v>
      </c>
      <c r="E12" s="49">
        <f>AVERAGE('29.07 Naguru-Nakawa'!E12,'30.07 Naguru-Nakawa'!E12,'31.07 Naguru-Nakawa'!E12,'02.08 Naguru-Nakawa'!E12,'01.08 Naguru-Nakawa-24h'!E12,'03.08 Naguru-Nakawa-24h'!E12,'04.08 Naguru-Nakawa'!E12)</f>
        <v>11.142857142857142</v>
      </c>
      <c r="F12" s="49">
        <f>AVERAGE('29.07 Naguru-Nakawa'!F12,'30.07 Naguru-Nakawa'!F12,'31.07 Naguru-Nakawa'!F12,'02.08 Naguru-Nakawa'!F12,'01.08 Naguru-Nakawa-24h'!F12,'03.08 Naguru-Nakawa-24h'!F12,'04.08 Naguru-Nakawa'!F12)</f>
        <v>11.571428571428571</v>
      </c>
      <c r="G12" s="49">
        <f>AVERAGE('29.07 Naguru-Nakawa'!G12,'30.07 Naguru-Nakawa'!G12,'31.07 Naguru-Nakawa'!G12,'02.08 Naguru-Nakawa'!G12,'01.08 Naguru-Nakawa-24h'!G12,'03.08 Naguru-Nakawa-24h'!G12,'04.08 Naguru-Nakawa'!G12)</f>
        <v>0</v>
      </c>
      <c r="H12" s="49">
        <f>AVERAGE('29.07 Naguru-Nakawa'!H12,'30.07 Naguru-Nakawa'!H12,'31.07 Naguru-Nakawa'!H12,'02.08 Naguru-Nakawa'!H12,'01.08 Naguru-Nakawa-24h'!H12,'03.08 Naguru-Nakawa-24h'!H12,'04.08 Naguru-Nakawa'!H12)</f>
        <v>0</v>
      </c>
      <c r="I12" s="49">
        <f>AVERAGE('29.07 Naguru-Nakawa'!I12,'30.07 Naguru-Nakawa'!I12,'31.07 Naguru-Nakawa'!I12,'02.08 Naguru-Nakawa'!I12,'01.08 Naguru-Nakawa-24h'!I12,'03.08 Naguru-Nakawa-24h'!I12,'04.08 Naguru-Nakawa'!I12)</f>
        <v>0.5714285714285714</v>
      </c>
      <c r="J12" s="49">
        <f>AVERAGE('29.07 Naguru-Nakawa'!J12,'30.07 Naguru-Nakawa'!J12,'31.07 Naguru-Nakawa'!J12,'02.08 Naguru-Nakawa'!J12,'01.08 Naguru-Nakawa-24h'!J12,'03.08 Naguru-Nakawa-24h'!J12,'04.08 Naguru-Nakawa'!J12)</f>
        <v>0.2857142857142857</v>
      </c>
      <c r="K12" s="49">
        <f>AVERAGE('29.07 Naguru-Nakawa'!K12,'30.07 Naguru-Nakawa'!K12,'31.07 Naguru-Nakawa'!K12,'02.08 Naguru-Nakawa'!K12,'01.08 Naguru-Nakawa-24h'!K12,'03.08 Naguru-Nakawa-24h'!K12,'04.08 Naguru-Nakawa'!K12)</f>
        <v>0</v>
      </c>
      <c r="L12" s="49">
        <f>AVERAGE('29.07 Naguru-Nakawa'!L12,'30.07 Naguru-Nakawa'!L12,'31.07 Naguru-Nakawa'!L12,'02.08 Naguru-Nakawa'!L12,'01.08 Naguru-Nakawa-24h'!L12,'03.08 Naguru-Nakawa-24h'!L12,'04.08 Naguru-Nakawa'!L12)</f>
        <v>0</v>
      </c>
      <c r="M12" s="49">
        <f>AVERAGE('29.07 Naguru-Nakawa'!M12,'30.07 Naguru-Nakawa'!M12,'31.07 Naguru-Nakawa'!M12,'02.08 Naguru-Nakawa'!M12,'01.08 Naguru-Nakawa-24h'!M12,'03.08 Naguru-Nakawa-24h'!M12,'04.08 Naguru-Nakawa'!M12)</f>
        <v>43.714285714285715</v>
      </c>
      <c r="N12" s="49">
        <f>AVERAGE('29.07 Naguru-Nakawa'!N12,'30.07 Naguru-Nakawa'!N12,'31.07 Naguru-Nakawa'!N12,'02.08 Naguru-Nakawa'!N12,'01.08 Naguru-Nakawa-24h'!N12,'03.08 Naguru-Nakawa-24h'!N12,'04.08 Naguru-Nakawa'!N12)</f>
        <v>10.285714285714286</v>
      </c>
      <c r="O12" s="15">
        <f t="shared" si="0"/>
        <v>155.57142857142858</v>
      </c>
      <c r="P12" s="15">
        <f t="shared" si="1"/>
        <v>199.28571428571431</v>
      </c>
      <c r="R12" s="1" t="s">
        <v>8</v>
      </c>
      <c r="S12" s="17">
        <f t="shared" ref="S12:AF12" si="4">SUM(C18:C21)</f>
        <v>421.42857142857144</v>
      </c>
      <c r="T12" s="17">
        <f t="shared" si="4"/>
        <v>107.71428571428571</v>
      </c>
      <c r="U12" s="17">
        <f t="shared" si="4"/>
        <v>44.571428571428569</v>
      </c>
      <c r="V12" s="17">
        <f t="shared" si="4"/>
        <v>38.714285714285715</v>
      </c>
      <c r="W12" s="17">
        <f t="shared" si="4"/>
        <v>0.71428571428571419</v>
      </c>
      <c r="X12" s="17">
        <f t="shared" si="4"/>
        <v>0</v>
      </c>
      <c r="Y12" s="17">
        <f t="shared" si="4"/>
        <v>14.714285714285714</v>
      </c>
      <c r="Z12" s="17">
        <f t="shared" si="4"/>
        <v>5.1428571428571423</v>
      </c>
      <c r="AA12" s="17">
        <f t="shared" si="4"/>
        <v>1.714285714285714</v>
      </c>
      <c r="AB12" s="17">
        <f t="shared" si="4"/>
        <v>0</v>
      </c>
      <c r="AC12" s="17">
        <f t="shared" si="4"/>
        <v>352.85714285714283</v>
      </c>
      <c r="AD12" s="17">
        <f t="shared" si="4"/>
        <v>0</v>
      </c>
      <c r="AE12" s="31">
        <f t="shared" si="4"/>
        <v>634.71428571428567</v>
      </c>
      <c r="AF12" s="31">
        <f t="shared" si="4"/>
        <v>987.57142857142867</v>
      </c>
    </row>
    <row r="13" spans="2:32" ht="23.1" customHeight="1" x14ac:dyDescent="0.25">
      <c r="B13" s="23" t="s">
        <v>40</v>
      </c>
      <c r="C13" s="49">
        <f>AVERAGE('29.07 Naguru-Nakawa'!C13,'30.07 Naguru-Nakawa'!C13,'31.07 Naguru-Nakawa'!C13,'02.08 Naguru-Nakawa'!C13,'01.08 Naguru-Nakawa-24h'!C13,'03.08 Naguru-Nakawa-24h'!C13,'04.08 Naguru-Nakawa'!C13)</f>
        <v>107.57142857142857</v>
      </c>
      <c r="D13" s="49">
        <f>AVERAGE('29.07 Naguru-Nakawa'!D13,'30.07 Naguru-Nakawa'!D13,'31.07 Naguru-Nakawa'!D13,'02.08 Naguru-Nakawa'!D13,'01.08 Naguru-Nakawa-24h'!D13,'03.08 Naguru-Nakawa-24h'!D13,'04.08 Naguru-Nakawa'!D13)</f>
        <v>26.142857142857142</v>
      </c>
      <c r="E13" s="49">
        <f>AVERAGE('29.07 Naguru-Nakawa'!E13,'30.07 Naguru-Nakawa'!E13,'31.07 Naguru-Nakawa'!E13,'02.08 Naguru-Nakawa'!E13,'01.08 Naguru-Nakawa-24h'!E13,'03.08 Naguru-Nakawa-24h'!E13,'04.08 Naguru-Nakawa'!E13)</f>
        <v>9</v>
      </c>
      <c r="F13" s="49">
        <f>AVERAGE('29.07 Naguru-Nakawa'!F13,'30.07 Naguru-Nakawa'!F13,'31.07 Naguru-Nakawa'!F13,'02.08 Naguru-Nakawa'!F13,'01.08 Naguru-Nakawa-24h'!F13,'03.08 Naguru-Nakawa-24h'!F13,'04.08 Naguru-Nakawa'!F13)</f>
        <v>10.142857142857142</v>
      </c>
      <c r="G13" s="49">
        <f>AVERAGE('29.07 Naguru-Nakawa'!G13,'30.07 Naguru-Nakawa'!G13,'31.07 Naguru-Nakawa'!G13,'02.08 Naguru-Nakawa'!G13,'01.08 Naguru-Nakawa-24h'!G13,'03.08 Naguru-Nakawa-24h'!G13,'04.08 Naguru-Nakawa'!G13)</f>
        <v>0.14285714285714285</v>
      </c>
      <c r="H13" s="49">
        <f>AVERAGE('29.07 Naguru-Nakawa'!H13,'30.07 Naguru-Nakawa'!H13,'31.07 Naguru-Nakawa'!H13,'02.08 Naguru-Nakawa'!H13,'01.08 Naguru-Nakawa-24h'!H13,'03.08 Naguru-Nakawa-24h'!H13,'04.08 Naguru-Nakawa'!H13)</f>
        <v>0</v>
      </c>
      <c r="I13" s="49">
        <f>AVERAGE('29.07 Naguru-Nakawa'!I13,'30.07 Naguru-Nakawa'!I13,'31.07 Naguru-Nakawa'!I13,'02.08 Naguru-Nakawa'!I13,'01.08 Naguru-Nakawa-24h'!I13,'03.08 Naguru-Nakawa-24h'!I13,'04.08 Naguru-Nakawa'!I13)</f>
        <v>1.4285714285714286</v>
      </c>
      <c r="J13" s="49">
        <f>AVERAGE('29.07 Naguru-Nakawa'!J13,'30.07 Naguru-Nakawa'!J13,'31.07 Naguru-Nakawa'!J13,'02.08 Naguru-Nakawa'!J13,'01.08 Naguru-Nakawa-24h'!J13,'03.08 Naguru-Nakawa-24h'!J13,'04.08 Naguru-Nakawa'!J13)</f>
        <v>0.2857142857142857</v>
      </c>
      <c r="K13" s="49">
        <f>AVERAGE('29.07 Naguru-Nakawa'!K13,'30.07 Naguru-Nakawa'!K13,'31.07 Naguru-Nakawa'!K13,'02.08 Naguru-Nakawa'!K13,'01.08 Naguru-Nakawa-24h'!K13,'03.08 Naguru-Nakawa-24h'!K13,'04.08 Naguru-Nakawa'!K13)</f>
        <v>0</v>
      </c>
      <c r="L13" s="49">
        <f>AVERAGE('29.07 Naguru-Nakawa'!L13,'30.07 Naguru-Nakawa'!L13,'31.07 Naguru-Nakawa'!L13,'02.08 Naguru-Nakawa'!L13,'01.08 Naguru-Nakawa-24h'!L13,'03.08 Naguru-Nakawa-24h'!L13,'04.08 Naguru-Nakawa'!L13)</f>
        <v>0</v>
      </c>
      <c r="M13" s="49">
        <f>AVERAGE('29.07 Naguru-Nakawa'!M13,'30.07 Naguru-Nakawa'!M13,'31.07 Naguru-Nakawa'!M13,'02.08 Naguru-Nakawa'!M13,'01.08 Naguru-Nakawa-24h'!M13,'03.08 Naguru-Nakawa-24h'!M13,'04.08 Naguru-Nakawa'!M13)</f>
        <v>73</v>
      </c>
      <c r="N13" s="49">
        <f>AVERAGE('29.07 Naguru-Nakawa'!N13,'30.07 Naguru-Nakawa'!N13,'31.07 Naguru-Nakawa'!N13,'02.08 Naguru-Nakawa'!N13,'01.08 Naguru-Nakawa-24h'!N13,'03.08 Naguru-Nakawa-24h'!N13,'04.08 Naguru-Nakawa'!N13)</f>
        <v>0</v>
      </c>
      <c r="O13" s="15">
        <f t="shared" si="0"/>
        <v>154.71428571428569</v>
      </c>
      <c r="P13" s="15">
        <f t="shared" si="1"/>
        <v>227.71428571428569</v>
      </c>
      <c r="R13" s="1" t="s">
        <v>9</v>
      </c>
      <c r="S13" s="17">
        <f t="shared" ref="S13:AF13" si="5">SUM(C22:C25)</f>
        <v>431.28571428571422</v>
      </c>
      <c r="T13" s="17">
        <f t="shared" si="5"/>
        <v>94.428571428571416</v>
      </c>
      <c r="U13" s="17">
        <f t="shared" si="5"/>
        <v>42.142857142857146</v>
      </c>
      <c r="V13" s="17">
        <f t="shared" si="5"/>
        <v>35.142857142857146</v>
      </c>
      <c r="W13" s="17">
        <f t="shared" si="5"/>
        <v>0.2857142857142857</v>
      </c>
      <c r="X13" s="17">
        <f t="shared" si="5"/>
        <v>0</v>
      </c>
      <c r="Y13" s="17">
        <f t="shared" si="5"/>
        <v>14.571428571428571</v>
      </c>
      <c r="Z13" s="17">
        <f t="shared" si="5"/>
        <v>4.4285714285714288</v>
      </c>
      <c r="AA13" s="17">
        <f t="shared" si="5"/>
        <v>0.8571428571428571</v>
      </c>
      <c r="AB13" s="17">
        <f t="shared" si="5"/>
        <v>0</v>
      </c>
      <c r="AC13" s="17">
        <f t="shared" si="5"/>
        <v>296.42857142857144</v>
      </c>
      <c r="AD13" s="17">
        <f t="shared" si="5"/>
        <v>0</v>
      </c>
      <c r="AE13" s="31">
        <f t="shared" si="5"/>
        <v>623.14285714285711</v>
      </c>
      <c r="AF13" s="31">
        <f t="shared" si="5"/>
        <v>919.57142857142844</v>
      </c>
    </row>
    <row r="14" spans="2:32" ht="23.1" customHeight="1" x14ac:dyDescent="0.25">
      <c r="B14" s="23" t="s">
        <v>41</v>
      </c>
      <c r="C14" s="49">
        <f>AVERAGE('29.07 Naguru-Nakawa'!C14,'30.07 Naguru-Nakawa'!C14,'31.07 Naguru-Nakawa'!C14,'02.08 Naguru-Nakawa'!C14,'01.08 Naguru-Nakawa-24h'!C14,'03.08 Naguru-Nakawa-24h'!C14,'04.08 Naguru-Nakawa'!C14)</f>
        <v>102.14285714285714</v>
      </c>
      <c r="D14" s="49">
        <f>AVERAGE('29.07 Naguru-Nakawa'!D14,'30.07 Naguru-Nakawa'!D14,'31.07 Naguru-Nakawa'!D14,'02.08 Naguru-Nakawa'!D14,'01.08 Naguru-Nakawa-24h'!D14,'03.08 Naguru-Nakawa-24h'!D14,'04.08 Naguru-Nakawa'!D14)</f>
        <v>26.285714285714285</v>
      </c>
      <c r="E14" s="49">
        <f>AVERAGE('29.07 Naguru-Nakawa'!E14,'30.07 Naguru-Nakawa'!E14,'31.07 Naguru-Nakawa'!E14,'02.08 Naguru-Nakawa'!E14,'01.08 Naguru-Nakawa-24h'!E14,'03.08 Naguru-Nakawa-24h'!E14,'04.08 Naguru-Nakawa'!E14)</f>
        <v>11.428571428571429</v>
      </c>
      <c r="F14" s="49">
        <f>AVERAGE('29.07 Naguru-Nakawa'!F14,'30.07 Naguru-Nakawa'!F14,'31.07 Naguru-Nakawa'!F14,'02.08 Naguru-Nakawa'!F14,'01.08 Naguru-Nakawa-24h'!F14,'03.08 Naguru-Nakawa-24h'!F14,'04.08 Naguru-Nakawa'!F14)</f>
        <v>10.428571428571429</v>
      </c>
      <c r="G14" s="49">
        <f>AVERAGE('29.07 Naguru-Nakawa'!G14,'30.07 Naguru-Nakawa'!G14,'31.07 Naguru-Nakawa'!G14,'02.08 Naguru-Nakawa'!G14,'01.08 Naguru-Nakawa-24h'!G14,'03.08 Naguru-Nakawa-24h'!G14,'04.08 Naguru-Nakawa'!G14)</f>
        <v>0</v>
      </c>
      <c r="H14" s="49">
        <f>AVERAGE('29.07 Naguru-Nakawa'!H14,'30.07 Naguru-Nakawa'!H14,'31.07 Naguru-Nakawa'!H14,'02.08 Naguru-Nakawa'!H14,'01.08 Naguru-Nakawa-24h'!H14,'03.08 Naguru-Nakawa-24h'!H14,'04.08 Naguru-Nakawa'!H14)</f>
        <v>0.42857142857142855</v>
      </c>
      <c r="I14" s="49">
        <f>AVERAGE('29.07 Naguru-Nakawa'!I14,'30.07 Naguru-Nakawa'!I14,'31.07 Naguru-Nakawa'!I14,'02.08 Naguru-Nakawa'!I14,'01.08 Naguru-Nakawa-24h'!I14,'03.08 Naguru-Nakawa-24h'!I14,'04.08 Naguru-Nakawa'!I14)</f>
        <v>1.4285714285714286</v>
      </c>
      <c r="J14" s="49">
        <f>AVERAGE('29.07 Naguru-Nakawa'!J14,'30.07 Naguru-Nakawa'!J14,'31.07 Naguru-Nakawa'!J14,'02.08 Naguru-Nakawa'!J14,'01.08 Naguru-Nakawa-24h'!J14,'03.08 Naguru-Nakawa-24h'!J14,'04.08 Naguru-Nakawa'!J14)</f>
        <v>0.5714285714285714</v>
      </c>
      <c r="K14" s="49">
        <f>AVERAGE('29.07 Naguru-Nakawa'!K14,'30.07 Naguru-Nakawa'!K14,'31.07 Naguru-Nakawa'!K14,'02.08 Naguru-Nakawa'!K14,'01.08 Naguru-Nakawa-24h'!K14,'03.08 Naguru-Nakawa-24h'!K14,'04.08 Naguru-Nakawa'!K14)</f>
        <v>0</v>
      </c>
      <c r="L14" s="49">
        <f>AVERAGE('29.07 Naguru-Nakawa'!L14,'30.07 Naguru-Nakawa'!L14,'31.07 Naguru-Nakawa'!L14,'02.08 Naguru-Nakawa'!L14,'01.08 Naguru-Nakawa-24h'!L14,'03.08 Naguru-Nakawa-24h'!L14,'04.08 Naguru-Nakawa'!L14)</f>
        <v>0</v>
      </c>
      <c r="M14" s="49">
        <f>AVERAGE('29.07 Naguru-Nakawa'!M14,'30.07 Naguru-Nakawa'!M14,'31.07 Naguru-Nakawa'!M14,'02.08 Naguru-Nakawa'!M14,'01.08 Naguru-Nakawa-24h'!M14,'03.08 Naguru-Nakawa-24h'!M14,'04.08 Naguru-Nakawa'!M14)</f>
        <v>84</v>
      </c>
      <c r="N14" s="49">
        <f>AVERAGE('29.07 Naguru-Nakawa'!N14,'30.07 Naguru-Nakawa'!N14,'31.07 Naguru-Nakawa'!N14,'02.08 Naguru-Nakawa'!N14,'01.08 Naguru-Nakawa-24h'!N14,'03.08 Naguru-Nakawa-24h'!N14,'04.08 Naguru-Nakawa'!N14)</f>
        <v>0</v>
      </c>
      <c r="O14" s="15">
        <f t="shared" si="0"/>
        <v>152.71428571428567</v>
      </c>
      <c r="P14" s="15">
        <f t="shared" si="1"/>
        <v>236.71428571428567</v>
      </c>
      <c r="R14" s="1" t="s">
        <v>10</v>
      </c>
      <c r="S14" s="17">
        <f t="shared" ref="S14:AF14" si="6">SUM(C26:C29)</f>
        <v>358.57142857142856</v>
      </c>
      <c r="T14" s="17">
        <f t="shared" si="6"/>
        <v>93.571428571428569</v>
      </c>
      <c r="U14" s="17">
        <f t="shared" si="6"/>
        <v>43.428571428571431</v>
      </c>
      <c r="V14" s="17">
        <f t="shared" si="6"/>
        <v>34.428571428571431</v>
      </c>
      <c r="W14" s="17">
        <f t="shared" si="6"/>
        <v>0.14285714285714285</v>
      </c>
      <c r="X14" s="17">
        <f t="shared" si="6"/>
        <v>0</v>
      </c>
      <c r="Y14" s="17">
        <f t="shared" si="6"/>
        <v>14.571428571428571</v>
      </c>
      <c r="Z14" s="17">
        <f t="shared" si="6"/>
        <v>4</v>
      </c>
      <c r="AA14" s="17">
        <f t="shared" si="6"/>
        <v>1</v>
      </c>
      <c r="AB14" s="17">
        <f t="shared" si="6"/>
        <v>0</v>
      </c>
      <c r="AC14" s="17">
        <f t="shared" si="6"/>
        <v>283.42857142857144</v>
      </c>
      <c r="AD14" s="17">
        <f t="shared" si="6"/>
        <v>0.14285714285714285</v>
      </c>
      <c r="AE14" s="31">
        <f t="shared" si="6"/>
        <v>549.85714285714278</v>
      </c>
      <c r="AF14" s="31">
        <f t="shared" si="6"/>
        <v>833.28571428571422</v>
      </c>
    </row>
    <row r="15" spans="2:32" ht="23.1" customHeight="1" x14ac:dyDescent="0.25">
      <c r="B15" s="23" t="s">
        <v>42</v>
      </c>
      <c r="C15" s="49">
        <f>AVERAGE('29.07 Naguru-Nakawa'!C15,'30.07 Naguru-Nakawa'!C15,'31.07 Naguru-Nakawa'!C15,'02.08 Naguru-Nakawa'!C15,'01.08 Naguru-Nakawa-24h'!C15,'03.08 Naguru-Nakawa-24h'!C15,'04.08 Naguru-Nakawa'!C15)</f>
        <v>122.57142857142857</v>
      </c>
      <c r="D15" s="49">
        <f>AVERAGE('29.07 Naguru-Nakawa'!D15,'30.07 Naguru-Nakawa'!D15,'31.07 Naguru-Nakawa'!D15,'02.08 Naguru-Nakawa'!D15,'01.08 Naguru-Nakawa-24h'!D15,'03.08 Naguru-Nakawa-24h'!D15,'04.08 Naguru-Nakawa'!D15)</f>
        <v>25.285714285714285</v>
      </c>
      <c r="E15" s="49">
        <f>AVERAGE('29.07 Naguru-Nakawa'!E15,'30.07 Naguru-Nakawa'!E15,'31.07 Naguru-Nakawa'!E15,'02.08 Naguru-Nakawa'!E15,'01.08 Naguru-Nakawa-24h'!E15,'03.08 Naguru-Nakawa-24h'!E15,'04.08 Naguru-Nakawa'!E15)</f>
        <v>12</v>
      </c>
      <c r="F15" s="49">
        <f>AVERAGE('29.07 Naguru-Nakawa'!F15,'30.07 Naguru-Nakawa'!F15,'31.07 Naguru-Nakawa'!F15,'02.08 Naguru-Nakawa'!F15,'01.08 Naguru-Nakawa-24h'!F15,'03.08 Naguru-Nakawa-24h'!F15,'04.08 Naguru-Nakawa'!F15)</f>
        <v>12.571428571428571</v>
      </c>
      <c r="G15" s="49">
        <f>AVERAGE('29.07 Naguru-Nakawa'!G15,'30.07 Naguru-Nakawa'!G15,'31.07 Naguru-Nakawa'!G15,'02.08 Naguru-Nakawa'!G15,'01.08 Naguru-Nakawa-24h'!G15,'03.08 Naguru-Nakawa-24h'!G15,'04.08 Naguru-Nakawa'!G15)</f>
        <v>0</v>
      </c>
      <c r="H15" s="49">
        <f>AVERAGE('29.07 Naguru-Nakawa'!H15,'30.07 Naguru-Nakawa'!H15,'31.07 Naguru-Nakawa'!H15,'02.08 Naguru-Nakawa'!H15,'01.08 Naguru-Nakawa-24h'!H15,'03.08 Naguru-Nakawa-24h'!H15,'04.08 Naguru-Nakawa'!H15)</f>
        <v>0</v>
      </c>
      <c r="I15" s="49">
        <f>AVERAGE('29.07 Naguru-Nakawa'!I15,'30.07 Naguru-Nakawa'!I15,'31.07 Naguru-Nakawa'!I15,'02.08 Naguru-Nakawa'!I15,'01.08 Naguru-Nakawa-24h'!I15,'03.08 Naguru-Nakawa-24h'!I15,'04.08 Naguru-Nakawa'!I15)</f>
        <v>2.1428571428571428</v>
      </c>
      <c r="J15" s="49">
        <f>AVERAGE('29.07 Naguru-Nakawa'!J15,'30.07 Naguru-Nakawa'!J15,'31.07 Naguru-Nakawa'!J15,'02.08 Naguru-Nakawa'!J15,'01.08 Naguru-Nakawa-24h'!J15,'03.08 Naguru-Nakawa-24h'!J15,'04.08 Naguru-Nakawa'!J15)</f>
        <v>1</v>
      </c>
      <c r="K15" s="49">
        <f>AVERAGE('29.07 Naguru-Nakawa'!K15,'30.07 Naguru-Nakawa'!K15,'31.07 Naguru-Nakawa'!K15,'02.08 Naguru-Nakawa'!K15,'01.08 Naguru-Nakawa-24h'!K15,'03.08 Naguru-Nakawa-24h'!K15,'04.08 Naguru-Nakawa'!K15)</f>
        <v>0</v>
      </c>
      <c r="L15" s="49">
        <f>AVERAGE('29.07 Naguru-Nakawa'!L15,'30.07 Naguru-Nakawa'!L15,'31.07 Naguru-Nakawa'!L15,'02.08 Naguru-Nakawa'!L15,'01.08 Naguru-Nakawa-24h'!L15,'03.08 Naguru-Nakawa-24h'!L15,'04.08 Naguru-Nakawa'!L15)</f>
        <v>0.14285714285714285</v>
      </c>
      <c r="M15" s="49">
        <f>AVERAGE('29.07 Naguru-Nakawa'!M15,'30.07 Naguru-Nakawa'!M15,'31.07 Naguru-Nakawa'!M15,'02.08 Naguru-Nakawa'!M15,'01.08 Naguru-Nakawa-24h'!M15,'03.08 Naguru-Nakawa-24h'!M15,'04.08 Naguru-Nakawa'!M15)</f>
        <v>88.142857142857139</v>
      </c>
      <c r="N15" s="49">
        <f>AVERAGE('29.07 Naguru-Nakawa'!N15,'30.07 Naguru-Nakawa'!N15,'31.07 Naguru-Nakawa'!N15,'02.08 Naguru-Nakawa'!N15,'01.08 Naguru-Nakawa-24h'!N15,'03.08 Naguru-Nakawa-24h'!N15,'04.08 Naguru-Nakawa'!N15)</f>
        <v>0</v>
      </c>
      <c r="O15" s="15">
        <f t="shared" si="0"/>
        <v>175.71428571428572</v>
      </c>
      <c r="P15" s="15">
        <f t="shared" si="1"/>
        <v>263.85714285714289</v>
      </c>
      <c r="R15" s="1" t="s">
        <v>11</v>
      </c>
      <c r="S15" s="17">
        <f t="shared" ref="S15:AF15" si="7">SUM(C30:C33)</f>
        <v>395.28571428571433</v>
      </c>
      <c r="T15" s="17">
        <f t="shared" si="7"/>
        <v>91.285714285714278</v>
      </c>
      <c r="U15" s="17">
        <f t="shared" si="7"/>
        <v>38</v>
      </c>
      <c r="V15" s="17">
        <f t="shared" si="7"/>
        <v>33.571428571428569</v>
      </c>
      <c r="W15" s="17">
        <f t="shared" si="7"/>
        <v>0.14285714285714285</v>
      </c>
      <c r="X15" s="17">
        <f t="shared" si="7"/>
        <v>0</v>
      </c>
      <c r="Y15" s="17">
        <f t="shared" si="7"/>
        <v>18.142857142857142</v>
      </c>
      <c r="Z15" s="17">
        <f t="shared" si="7"/>
        <v>3</v>
      </c>
      <c r="AA15" s="17">
        <f t="shared" si="7"/>
        <v>0.71428571428571419</v>
      </c>
      <c r="AB15" s="17">
        <f t="shared" si="7"/>
        <v>0.14285714285714285</v>
      </c>
      <c r="AC15" s="17">
        <f t="shared" si="7"/>
        <v>275.57142857142856</v>
      </c>
      <c r="AD15" s="17">
        <f t="shared" si="7"/>
        <v>0</v>
      </c>
      <c r="AE15" s="31">
        <f t="shared" si="7"/>
        <v>580.28571428571422</v>
      </c>
      <c r="AF15" s="31">
        <f t="shared" si="7"/>
        <v>855.85714285714278</v>
      </c>
    </row>
    <row r="16" spans="2:32" ht="23.1" customHeight="1" x14ac:dyDescent="0.25">
      <c r="B16" s="23" t="s">
        <v>43</v>
      </c>
      <c r="C16" s="49">
        <f>AVERAGE('29.07 Naguru-Nakawa'!C16,'30.07 Naguru-Nakawa'!C16,'31.07 Naguru-Nakawa'!C16,'02.08 Naguru-Nakawa'!C16,'01.08 Naguru-Nakawa-24h'!C16,'03.08 Naguru-Nakawa-24h'!C16,'04.08 Naguru-Nakawa'!C16)</f>
        <v>132</v>
      </c>
      <c r="D16" s="49">
        <f>AVERAGE('29.07 Naguru-Nakawa'!D16,'30.07 Naguru-Nakawa'!D16,'31.07 Naguru-Nakawa'!D16,'02.08 Naguru-Nakawa'!D16,'01.08 Naguru-Nakawa-24h'!D16,'03.08 Naguru-Nakawa-24h'!D16,'04.08 Naguru-Nakawa'!D16)</f>
        <v>22.285714285714285</v>
      </c>
      <c r="E16" s="49">
        <f>AVERAGE('29.07 Naguru-Nakawa'!E16,'30.07 Naguru-Nakawa'!E16,'31.07 Naguru-Nakawa'!E16,'02.08 Naguru-Nakawa'!E16,'01.08 Naguru-Nakawa-24h'!E16,'03.08 Naguru-Nakawa-24h'!E16,'04.08 Naguru-Nakawa'!E16)</f>
        <v>12.428571428571429</v>
      </c>
      <c r="F16" s="49">
        <f>AVERAGE('29.07 Naguru-Nakawa'!F16,'30.07 Naguru-Nakawa'!F16,'31.07 Naguru-Nakawa'!F16,'02.08 Naguru-Nakawa'!F16,'01.08 Naguru-Nakawa-24h'!F16,'03.08 Naguru-Nakawa-24h'!F16,'04.08 Naguru-Nakawa'!F16)</f>
        <v>11</v>
      </c>
      <c r="G16" s="49">
        <f>AVERAGE('29.07 Naguru-Nakawa'!G16,'30.07 Naguru-Nakawa'!G16,'31.07 Naguru-Nakawa'!G16,'02.08 Naguru-Nakawa'!G16,'01.08 Naguru-Nakawa-24h'!G16,'03.08 Naguru-Nakawa-24h'!G16,'04.08 Naguru-Nakawa'!G16)</f>
        <v>0</v>
      </c>
      <c r="H16" s="49">
        <f>AVERAGE('29.07 Naguru-Nakawa'!H16,'30.07 Naguru-Nakawa'!H16,'31.07 Naguru-Nakawa'!H16,'02.08 Naguru-Nakawa'!H16,'01.08 Naguru-Nakawa-24h'!H16,'03.08 Naguru-Nakawa-24h'!H16,'04.08 Naguru-Nakawa'!H16)</f>
        <v>0</v>
      </c>
      <c r="I16" s="49">
        <f>AVERAGE('29.07 Naguru-Nakawa'!I16,'30.07 Naguru-Nakawa'!I16,'31.07 Naguru-Nakawa'!I16,'02.08 Naguru-Nakawa'!I16,'01.08 Naguru-Nakawa-24h'!I16,'03.08 Naguru-Nakawa-24h'!I16,'04.08 Naguru-Nakawa'!I16)</f>
        <v>3.4285714285714284</v>
      </c>
      <c r="J16" s="49">
        <f>AVERAGE('29.07 Naguru-Nakawa'!J16,'30.07 Naguru-Nakawa'!J16,'31.07 Naguru-Nakawa'!J16,'02.08 Naguru-Nakawa'!J16,'01.08 Naguru-Nakawa-24h'!J16,'03.08 Naguru-Nakawa-24h'!J16,'04.08 Naguru-Nakawa'!J16)</f>
        <v>0.8571428571428571</v>
      </c>
      <c r="K16" s="49">
        <f>AVERAGE('29.07 Naguru-Nakawa'!K16,'30.07 Naguru-Nakawa'!K16,'31.07 Naguru-Nakawa'!K16,'02.08 Naguru-Nakawa'!K16,'01.08 Naguru-Nakawa-24h'!K16,'03.08 Naguru-Nakawa-24h'!K16,'04.08 Naguru-Nakawa'!K16)</f>
        <v>0.14285714285714285</v>
      </c>
      <c r="L16" s="49">
        <f>AVERAGE('29.07 Naguru-Nakawa'!L16,'30.07 Naguru-Nakawa'!L16,'31.07 Naguru-Nakawa'!L16,'02.08 Naguru-Nakawa'!L16,'01.08 Naguru-Nakawa-24h'!L16,'03.08 Naguru-Nakawa-24h'!L16,'04.08 Naguru-Nakawa'!L16)</f>
        <v>0.42857142857142855</v>
      </c>
      <c r="M16" s="49">
        <f>AVERAGE('29.07 Naguru-Nakawa'!M16,'30.07 Naguru-Nakawa'!M16,'31.07 Naguru-Nakawa'!M16,'02.08 Naguru-Nakawa'!M16,'01.08 Naguru-Nakawa-24h'!M16,'03.08 Naguru-Nakawa-24h'!M16,'04.08 Naguru-Nakawa'!M16)</f>
        <v>87.142857142857139</v>
      </c>
      <c r="N16" s="49">
        <f>AVERAGE('29.07 Naguru-Nakawa'!N16,'30.07 Naguru-Nakawa'!N16,'31.07 Naguru-Nakawa'!N16,'02.08 Naguru-Nakawa'!N16,'01.08 Naguru-Nakawa-24h'!N16,'03.08 Naguru-Nakawa-24h'!N16,'04.08 Naguru-Nakawa'!N16)</f>
        <v>0</v>
      </c>
      <c r="O16" s="15">
        <f t="shared" si="0"/>
        <v>182.57142857142853</v>
      </c>
      <c r="P16" s="15">
        <f t="shared" si="1"/>
        <v>269.71428571428567</v>
      </c>
      <c r="R16" s="1" t="s">
        <v>12</v>
      </c>
      <c r="S16" s="17">
        <f t="shared" ref="S16:AF16" si="8">SUM(C34:C37)</f>
        <v>335.85714285714283</v>
      </c>
      <c r="T16" s="17">
        <f t="shared" si="8"/>
        <v>72.714285714285708</v>
      </c>
      <c r="U16" s="17">
        <f t="shared" si="8"/>
        <v>37.285714285714292</v>
      </c>
      <c r="V16" s="17">
        <f t="shared" si="8"/>
        <v>28.714285714285715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11.571428571428571</v>
      </c>
      <c r="Z16" s="17">
        <f t="shared" si="8"/>
        <v>2.8571428571428572</v>
      </c>
      <c r="AA16" s="17">
        <f t="shared" si="8"/>
        <v>1.4285714285714284</v>
      </c>
      <c r="AB16" s="17">
        <f t="shared" si="8"/>
        <v>0</v>
      </c>
      <c r="AC16" s="17">
        <f t="shared" si="8"/>
        <v>287.14285714285717</v>
      </c>
      <c r="AD16" s="17">
        <f t="shared" si="8"/>
        <v>0.14285714285714285</v>
      </c>
      <c r="AE16" s="31">
        <f t="shared" si="8"/>
        <v>491.00000000000006</v>
      </c>
      <c r="AF16" s="31">
        <f t="shared" si="8"/>
        <v>778.14285714285722</v>
      </c>
    </row>
    <row r="17" spans="2:32" ht="23.1" customHeight="1" x14ac:dyDescent="0.25">
      <c r="B17" s="23" t="s">
        <v>44</v>
      </c>
      <c r="C17" s="49">
        <f>AVERAGE('29.07 Naguru-Nakawa'!C17,'30.07 Naguru-Nakawa'!C17,'31.07 Naguru-Nakawa'!C17,'02.08 Naguru-Nakawa'!C17,'01.08 Naguru-Nakawa-24h'!C17,'03.08 Naguru-Nakawa-24h'!C17,'04.08 Naguru-Nakawa'!C17)</f>
        <v>131.57142857142858</v>
      </c>
      <c r="D17" s="49">
        <f>AVERAGE('29.07 Naguru-Nakawa'!D17,'30.07 Naguru-Nakawa'!D17,'31.07 Naguru-Nakawa'!D17,'02.08 Naguru-Nakawa'!D17,'01.08 Naguru-Nakawa-24h'!D17,'03.08 Naguru-Nakawa-24h'!D17,'04.08 Naguru-Nakawa'!D17)</f>
        <v>27.142857142857142</v>
      </c>
      <c r="E17" s="49">
        <f>AVERAGE('29.07 Naguru-Nakawa'!E17,'30.07 Naguru-Nakawa'!E17,'31.07 Naguru-Nakawa'!E17,'02.08 Naguru-Nakawa'!E17,'01.08 Naguru-Nakawa-24h'!E17,'03.08 Naguru-Nakawa-24h'!E17,'04.08 Naguru-Nakawa'!E17)</f>
        <v>9.1428571428571423</v>
      </c>
      <c r="F17" s="49">
        <f>AVERAGE('29.07 Naguru-Nakawa'!F17,'30.07 Naguru-Nakawa'!F17,'31.07 Naguru-Nakawa'!F17,'02.08 Naguru-Nakawa'!F17,'01.08 Naguru-Nakawa-24h'!F17,'03.08 Naguru-Nakawa-24h'!F17,'04.08 Naguru-Nakawa'!F17)</f>
        <v>12.142857142857142</v>
      </c>
      <c r="G17" s="49">
        <f>AVERAGE('29.07 Naguru-Nakawa'!G17,'30.07 Naguru-Nakawa'!G17,'31.07 Naguru-Nakawa'!G17,'02.08 Naguru-Nakawa'!G17,'01.08 Naguru-Nakawa-24h'!G17,'03.08 Naguru-Nakawa-24h'!G17,'04.08 Naguru-Nakawa'!G17)</f>
        <v>0.14285714285714285</v>
      </c>
      <c r="H17" s="49">
        <f>AVERAGE('29.07 Naguru-Nakawa'!H17,'30.07 Naguru-Nakawa'!H17,'31.07 Naguru-Nakawa'!H17,'02.08 Naguru-Nakawa'!H17,'01.08 Naguru-Nakawa-24h'!H17,'03.08 Naguru-Nakawa-24h'!H17,'04.08 Naguru-Nakawa'!H17)</f>
        <v>0</v>
      </c>
      <c r="I17" s="49">
        <f>AVERAGE('29.07 Naguru-Nakawa'!I17,'30.07 Naguru-Nakawa'!I17,'31.07 Naguru-Nakawa'!I17,'02.08 Naguru-Nakawa'!I17,'01.08 Naguru-Nakawa-24h'!I17,'03.08 Naguru-Nakawa-24h'!I17,'04.08 Naguru-Nakawa'!I17)</f>
        <v>2.8571428571428572</v>
      </c>
      <c r="J17" s="49">
        <f>AVERAGE('29.07 Naguru-Nakawa'!J17,'30.07 Naguru-Nakawa'!J17,'31.07 Naguru-Nakawa'!J17,'02.08 Naguru-Nakawa'!J17,'01.08 Naguru-Nakawa-24h'!J17,'03.08 Naguru-Nakawa-24h'!J17,'04.08 Naguru-Nakawa'!J17)</f>
        <v>1.5714285714285714</v>
      </c>
      <c r="K17" s="49">
        <f>AVERAGE('29.07 Naguru-Nakawa'!K17,'30.07 Naguru-Nakawa'!K17,'31.07 Naguru-Nakawa'!K17,'02.08 Naguru-Nakawa'!K17,'01.08 Naguru-Nakawa-24h'!K17,'03.08 Naguru-Nakawa-24h'!K17,'04.08 Naguru-Nakawa'!K17)</f>
        <v>0.14285714285714285</v>
      </c>
      <c r="L17" s="49">
        <f>AVERAGE('29.07 Naguru-Nakawa'!L17,'30.07 Naguru-Nakawa'!L17,'31.07 Naguru-Nakawa'!L17,'02.08 Naguru-Nakawa'!L17,'01.08 Naguru-Nakawa-24h'!L17,'03.08 Naguru-Nakawa-24h'!L17,'04.08 Naguru-Nakawa'!L17)</f>
        <v>0</v>
      </c>
      <c r="M17" s="49">
        <f>AVERAGE('29.07 Naguru-Nakawa'!M17,'30.07 Naguru-Nakawa'!M17,'31.07 Naguru-Nakawa'!M17,'02.08 Naguru-Nakawa'!M17,'01.08 Naguru-Nakawa-24h'!M17,'03.08 Naguru-Nakawa-24h'!M17,'04.08 Naguru-Nakawa'!M17)</f>
        <v>81.142857142857139</v>
      </c>
      <c r="N17" s="49">
        <f>AVERAGE('29.07 Naguru-Nakawa'!N17,'30.07 Naguru-Nakawa'!N17,'31.07 Naguru-Nakawa'!N17,'02.08 Naguru-Nakawa'!N17,'01.08 Naguru-Nakawa-24h'!N17,'03.08 Naguru-Nakawa-24h'!N17,'04.08 Naguru-Nakawa'!N17)</f>
        <v>0.14285714285714285</v>
      </c>
      <c r="O17" s="15">
        <f t="shared" si="0"/>
        <v>184.85714285714286</v>
      </c>
      <c r="P17" s="15">
        <f t="shared" si="1"/>
        <v>266.00000000000006</v>
      </c>
      <c r="R17" s="1" t="s">
        <v>13</v>
      </c>
      <c r="S17" s="17">
        <f t="shared" ref="S17:AF17" si="9">SUM(C38:C41)</f>
        <v>297.14285714285711</v>
      </c>
      <c r="T17" s="17">
        <f t="shared" si="9"/>
        <v>71.142857142857139</v>
      </c>
      <c r="U17" s="17">
        <f t="shared" si="9"/>
        <v>32.285714285714285</v>
      </c>
      <c r="V17" s="17">
        <f t="shared" si="9"/>
        <v>25.714285714285715</v>
      </c>
      <c r="W17" s="17">
        <f t="shared" si="9"/>
        <v>0.14285714285714285</v>
      </c>
      <c r="X17" s="17">
        <f t="shared" si="9"/>
        <v>1</v>
      </c>
      <c r="Y17" s="17">
        <f t="shared" si="9"/>
        <v>12.571428571428573</v>
      </c>
      <c r="Z17" s="17">
        <f t="shared" si="9"/>
        <v>3.4285714285714288</v>
      </c>
      <c r="AA17" s="17">
        <f t="shared" si="9"/>
        <v>0.5714285714285714</v>
      </c>
      <c r="AB17" s="17">
        <f t="shared" si="9"/>
        <v>0</v>
      </c>
      <c r="AC17" s="17">
        <f t="shared" si="9"/>
        <v>291.85714285714289</v>
      </c>
      <c r="AD17" s="17">
        <f t="shared" si="9"/>
        <v>0</v>
      </c>
      <c r="AE17" s="31">
        <f t="shared" si="9"/>
        <v>444</v>
      </c>
      <c r="AF17" s="31">
        <f t="shared" si="9"/>
        <v>735.85714285714289</v>
      </c>
    </row>
    <row r="18" spans="2:32" ht="23.1" customHeight="1" x14ac:dyDescent="0.25">
      <c r="B18" s="23" t="s">
        <v>45</v>
      </c>
      <c r="C18" s="49">
        <f>AVERAGE('29.07 Naguru-Nakawa'!C18,'30.07 Naguru-Nakawa'!C18,'31.07 Naguru-Nakawa'!C18,'02.08 Naguru-Nakawa'!C18,'01.08 Naguru-Nakawa-24h'!C18,'03.08 Naguru-Nakawa-24h'!C18,'04.08 Naguru-Nakawa'!C18)</f>
        <v>101.71428571428571</v>
      </c>
      <c r="D18" s="49">
        <f>AVERAGE('29.07 Naguru-Nakawa'!D18,'30.07 Naguru-Nakawa'!D18,'31.07 Naguru-Nakawa'!D18,'02.08 Naguru-Nakawa'!D18,'01.08 Naguru-Nakawa-24h'!D18,'03.08 Naguru-Nakawa-24h'!D18,'04.08 Naguru-Nakawa'!D18)</f>
        <v>29.428571428571427</v>
      </c>
      <c r="E18" s="49">
        <f>AVERAGE('29.07 Naguru-Nakawa'!E18,'30.07 Naguru-Nakawa'!E18,'31.07 Naguru-Nakawa'!E18,'02.08 Naguru-Nakawa'!E18,'01.08 Naguru-Nakawa-24h'!E18,'03.08 Naguru-Nakawa-24h'!E18,'04.08 Naguru-Nakawa'!E18)</f>
        <v>13.714285714285714</v>
      </c>
      <c r="F18" s="49">
        <f>AVERAGE('29.07 Naguru-Nakawa'!F18,'30.07 Naguru-Nakawa'!F18,'31.07 Naguru-Nakawa'!F18,'02.08 Naguru-Nakawa'!F18,'01.08 Naguru-Nakawa-24h'!F18,'03.08 Naguru-Nakawa-24h'!F18,'04.08 Naguru-Nakawa'!F18)</f>
        <v>13.285714285714286</v>
      </c>
      <c r="G18" s="49">
        <f>AVERAGE('29.07 Naguru-Nakawa'!G18,'30.07 Naguru-Nakawa'!G18,'31.07 Naguru-Nakawa'!G18,'02.08 Naguru-Nakawa'!G18,'01.08 Naguru-Nakawa-24h'!G18,'03.08 Naguru-Nakawa-24h'!G18,'04.08 Naguru-Nakawa'!G18)</f>
        <v>0.5714285714285714</v>
      </c>
      <c r="H18" s="49">
        <f>AVERAGE('29.07 Naguru-Nakawa'!H18,'30.07 Naguru-Nakawa'!H18,'31.07 Naguru-Nakawa'!H18,'02.08 Naguru-Nakawa'!H18,'01.08 Naguru-Nakawa-24h'!H18,'03.08 Naguru-Nakawa-24h'!H18,'04.08 Naguru-Nakawa'!H18)</f>
        <v>0</v>
      </c>
      <c r="I18" s="49">
        <f>AVERAGE('29.07 Naguru-Nakawa'!I18,'30.07 Naguru-Nakawa'!I18,'31.07 Naguru-Nakawa'!I18,'02.08 Naguru-Nakawa'!I18,'01.08 Naguru-Nakawa-24h'!I18,'03.08 Naguru-Nakawa-24h'!I18,'04.08 Naguru-Nakawa'!I18)</f>
        <v>3.7142857142857144</v>
      </c>
      <c r="J18" s="49">
        <f>AVERAGE('29.07 Naguru-Nakawa'!J18,'30.07 Naguru-Nakawa'!J18,'31.07 Naguru-Nakawa'!J18,'02.08 Naguru-Nakawa'!J18,'01.08 Naguru-Nakawa-24h'!J18,'03.08 Naguru-Nakawa-24h'!J18,'04.08 Naguru-Nakawa'!J18)</f>
        <v>1.5714285714285714</v>
      </c>
      <c r="K18" s="49">
        <f>AVERAGE('29.07 Naguru-Nakawa'!K18,'30.07 Naguru-Nakawa'!K18,'31.07 Naguru-Nakawa'!K18,'02.08 Naguru-Nakawa'!K18,'01.08 Naguru-Nakawa-24h'!K18,'03.08 Naguru-Nakawa-24h'!K18,'04.08 Naguru-Nakawa'!K18)</f>
        <v>0.42857142857142855</v>
      </c>
      <c r="L18" s="49">
        <f>AVERAGE('29.07 Naguru-Nakawa'!L18,'30.07 Naguru-Nakawa'!L18,'31.07 Naguru-Nakawa'!L18,'02.08 Naguru-Nakawa'!L18,'01.08 Naguru-Nakawa-24h'!L18,'03.08 Naguru-Nakawa-24h'!L18,'04.08 Naguru-Nakawa'!L18)</f>
        <v>0</v>
      </c>
      <c r="M18" s="49">
        <f>AVERAGE('29.07 Naguru-Nakawa'!M18,'30.07 Naguru-Nakawa'!M18,'31.07 Naguru-Nakawa'!M18,'02.08 Naguru-Nakawa'!M18,'01.08 Naguru-Nakawa-24h'!M18,'03.08 Naguru-Nakawa-24h'!M18,'04.08 Naguru-Nakawa'!M18)</f>
        <v>85.428571428571431</v>
      </c>
      <c r="N18" s="49">
        <f>AVERAGE('29.07 Naguru-Nakawa'!N18,'30.07 Naguru-Nakawa'!N18,'31.07 Naguru-Nakawa'!N18,'02.08 Naguru-Nakawa'!N18,'01.08 Naguru-Nakawa-24h'!N18,'03.08 Naguru-Nakawa-24h'!N18,'04.08 Naguru-Nakawa'!N18)</f>
        <v>0</v>
      </c>
      <c r="O18" s="15">
        <f t="shared" si="0"/>
        <v>164.42857142857144</v>
      </c>
      <c r="P18" s="15">
        <f t="shared" si="1"/>
        <v>249.85714285714289</v>
      </c>
      <c r="R18" s="1" t="s">
        <v>14</v>
      </c>
      <c r="S18" s="17">
        <f t="shared" ref="S18:AF18" si="10">SUM(C42:C45)</f>
        <v>323.85714285714289</v>
      </c>
      <c r="T18" s="17">
        <f t="shared" si="10"/>
        <v>69</v>
      </c>
      <c r="U18" s="17">
        <f t="shared" si="10"/>
        <v>35.571428571428569</v>
      </c>
      <c r="V18" s="17">
        <f t="shared" si="10"/>
        <v>32.714285714285715</v>
      </c>
      <c r="W18" s="17">
        <f t="shared" si="10"/>
        <v>0.2857142857142857</v>
      </c>
      <c r="X18" s="17">
        <f t="shared" si="10"/>
        <v>0</v>
      </c>
      <c r="Y18" s="17">
        <f t="shared" si="10"/>
        <v>17</v>
      </c>
      <c r="Z18" s="17">
        <f t="shared" si="10"/>
        <v>2.714285714285714</v>
      </c>
      <c r="AA18" s="17">
        <f t="shared" si="10"/>
        <v>0.85714285714285698</v>
      </c>
      <c r="AB18" s="17">
        <f t="shared" si="10"/>
        <v>0.2857142857142857</v>
      </c>
      <c r="AC18" s="17">
        <f t="shared" si="10"/>
        <v>273.85714285714283</v>
      </c>
      <c r="AD18" s="17">
        <f t="shared" si="10"/>
        <v>0.14285714285714285</v>
      </c>
      <c r="AE18" s="31">
        <f t="shared" si="10"/>
        <v>482.42857142857144</v>
      </c>
      <c r="AF18" s="31">
        <f t="shared" si="10"/>
        <v>756.28571428571422</v>
      </c>
    </row>
    <row r="19" spans="2:32" ht="23.1" customHeight="1" x14ac:dyDescent="0.25">
      <c r="B19" s="23" t="s">
        <v>46</v>
      </c>
      <c r="C19" s="49">
        <f>AVERAGE('29.07 Naguru-Nakawa'!C19,'30.07 Naguru-Nakawa'!C19,'31.07 Naguru-Nakawa'!C19,'02.08 Naguru-Nakawa'!C19,'01.08 Naguru-Nakawa-24h'!C19,'03.08 Naguru-Nakawa-24h'!C19,'04.08 Naguru-Nakawa'!C19)</f>
        <v>99</v>
      </c>
      <c r="D19" s="49">
        <f>AVERAGE('29.07 Naguru-Nakawa'!D19,'30.07 Naguru-Nakawa'!D19,'31.07 Naguru-Nakawa'!D19,'02.08 Naguru-Nakawa'!D19,'01.08 Naguru-Nakawa-24h'!D19,'03.08 Naguru-Nakawa-24h'!D19,'04.08 Naguru-Nakawa'!D19)</f>
        <v>27.142857142857142</v>
      </c>
      <c r="E19" s="49">
        <f>AVERAGE('29.07 Naguru-Nakawa'!E19,'30.07 Naguru-Nakawa'!E19,'31.07 Naguru-Nakawa'!E19,'02.08 Naguru-Nakawa'!E19,'01.08 Naguru-Nakawa-24h'!E19,'03.08 Naguru-Nakawa-24h'!E19,'04.08 Naguru-Nakawa'!E19)</f>
        <v>11.714285714285714</v>
      </c>
      <c r="F19" s="49">
        <f>AVERAGE('29.07 Naguru-Nakawa'!F19,'30.07 Naguru-Nakawa'!F19,'31.07 Naguru-Nakawa'!F19,'02.08 Naguru-Nakawa'!F19,'01.08 Naguru-Nakawa-24h'!F19,'03.08 Naguru-Nakawa-24h'!F19,'04.08 Naguru-Nakawa'!F19)</f>
        <v>8.8571428571428577</v>
      </c>
      <c r="G19" s="49">
        <f>AVERAGE('29.07 Naguru-Nakawa'!G19,'30.07 Naguru-Nakawa'!G19,'31.07 Naguru-Nakawa'!G19,'02.08 Naguru-Nakawa'!G19,'01.08 Naguru-Nakawa-24h'!G19,'03.08 Naguru-Nakawa-24h'!G19,'04.08 Naguru-Nakawa'!G19)</f>
        <v>0.14285714285714285</v>
      </c>
      <c r="H19" s="49">
        <f>AVERAGE('29.07 Naguru-Nakawa'!H19,'30.07 Naguru-Nakawa'!H19,'31.07 Naguru-Nakawa'!H19,'02.08 Naguru-Nakawa'!H19,'01.08 Naguru-Nakawa-24h'!H19,'03.08 Naguru-Nakawa-24h'!H19,'04.08 Naguru-Nakawa'!H19)</f>
        <v>0</v>
      </c>
      <c r="I19" s="49">
        <f>AVERAGE('29.07 Naguru-Nakawa'!I19,'30.07 Naguru-Nakawa'!I19,'31.07 Naguru-Nakawa'!I19,'02.08 Naguru-Nakawa'!I19,'01.08 Naguru-Nakawa-24h'!I19,'03.08 Naguru-Nakawa-24h'!I19,'04.08 Naguru-Nakawa'!I19)</f>
        <v>3.4285714285714284</v>
      </c>
      <c r="J19" s="49">
        <f>AVERAGE('29.07 Naguru-Nakawa'!J19,'30.07 Naguru-Nakawa'!J19,'31.07 Naguru-Nakawa'!J19,'02.08 Naguru-Nakawa'!J19,'01.08 Naguru-Nakawa-24h'!J19,'03.08 Naguru-Nakawa-24h'!J19,'04.08 Naguru-Nakawa'!J19)</f>
        <v>1.1428571428571428</v>
      </c>
      <c r="K19" s="49">
        <f>AVERAGE('29.07 Naguru-Nakawa'!K19,'30.07 Naguru-Nakawa'!K19,'31.07 Naguru-Nakawa'!K19,'02.08 Naguru-Nakawa'!K19,'01.08 Naguru-Nakawa-24h'!K19,'03.08 Naguru-Nakawa-24h'!K19,'04.08 Naguru-Nakawa'!K19)</f>
        <v>0.7142857142857143</v>
      </c>
      <c r="L19" s="49">
        <f>AVERAGE('29.07 Naguru-Nakawa'!L19,'30.07 Naguru-Nakawa'!L19,'31.07 Naguru-Nakawa'!L19,'02.08 Naguru-Nakawa'!L19,'01.08 Naguru-Nakawa-24h'!L19,'03.08 Naguru-Nakawa-24h'!L19,'04.08 Naguru-Nakawa'!L19)</f>
        <v>0</v>
      </c>
      <c r="M19" s="49">
        <f>AVERAGE('29.07 Naguru-Nakawa'!M19,'30.07 Naguru-Nakawa'!M19,'31.07 Naguru-Nakawa'!M19,'02.08 Naguru-Nakawa'!M19,'01.08 Naguru-Nakawa-24h'!M19,'03.08 Naguru-Nakawa-24h'!M19,'04.08 Naguru-Nakawa'!M19)</f>
        <v>96.714285714285708</v>
      </c>
      <c r="N19" s="49">
        <f>AVERAGE('29.07 Naguru-Nakawa'!N19,'30.07 Naguru-Nakawa'!N19,'31.07 Naguru-Nakawa'!N19,'02.08 Naguru-Nakawa'!N19,'01.08 Naguru-Nakawa-24h'!N19,'03.08 Naguru-Nakawa-24h'!N19,'04.08 Naguru-Nakawa'!N19)</f>
        <v>0</v>
      </c>
      <c r="O19" s="15">
        <f t="shared" si="0"/>
        <v>152.14285714285714</v>
      </c>
      <c r="P19" s="15">
        <f t="shared" si="1"/>
        <v>248.85714285714283</v>
      </c>
      <c r="R19" s="1" t="s">
        <v>15</v>
      </c>
      <c r="S19" s="17">
        <f t="shared" ref="S19:AF19" si="11">SUM(C46:C49)</f>
        <v>296.71428571428572</v>
      </c>
      <c r="T19" s="17">
        <f t="shared" si="11"/>
        <v>69.428571428571431</v>
      </c>
      <c r="U19" s="17">
        <f t="shared" si="11"/>
        <v>34.571428571428569</v>
      </c>
      <c r="V19" s="17">
        <f t="shared" si="11"/>
        <v>30</v>
      </c>
      <c r="W19" s="17">
        <f t="shared" si="11"/>
        <v>0.42857142857142855</v>
      </c>
      <c r="X19" s="17">
        <f t="shared" si="11"/>
        <v>0</v>
      </c>
      <c r="Y19" s="17">
        <f t="shared" si="11"/>
        <v>13.714285714285714</v>
      </c>
      <c r="Z19" s="17">
        <f t="shared" si="11"/>
        <v>3.5714285714285716</v>
      </c>
      <c r="AA19" s="17">
        <f t="shared" si="11"/>
        <v>1.1428571428571428</v>
      </c>
      <c r="AB19" s="17">
        <f t="shared" si="11"/>
        <v>0</v>
      </c>
      <c r="AC19" s="17">
        <f t="shared" si="11"/>
        <v>274.71428571428572</v>
      </c>
      <c r="AD19" s="17">
        <f t="shared" si="11"/>
        <v>0.42857142857142855</v>
      </c>
      <c r="AE19" s="31">
        <f t="shared" si="11"/>
        <v>450.00000000000006</v>
      </c>
      <c r="AF19" s="31">
        <f t="shared" si="11"/>
        <v>724.71428571428578</v>
      </c>
    </row>
    <row r="20" spans="2:32" ht="23.1" customHeight="1" x14ac:dyDescent="0.25">
      <c r="B20" s="23" t="s">
        <v>47</v>
      </c>
      <c r="C20" s="49">
        <f>AVERAGE('29.07 Naguru-Nakawa'!C20,'30.07 Naguru-Nakawa'!C20,'31.07 Naguru-Nakawa'!C20,'02.08 Naguru-Nakawa'!C20,'01.08 Naguru-Nakawa-24h'!C20,'03.08 Naguru-Nakawa-24h'!C20,'04.08 Naguru-Nakawa'!C20)</f>
        <v>107</v>
      </c>
      <c r="D20" s="49">
        <f>AVERAGE('29.07 Naguru-Nakawa'!D20,'30.07 Naguru-Nakawa'!D20,'31.07 Naguru-Nakawa'!D20,'02.08 Naguru-Nakawa'!D20,'01.08 Naguru-Nakawa-24h'!D20,'03.08 Naguru-Nakawa-24h'!D20,'04.08 Naguru-Nakawa'!D20)</f>
        <v>26</v>
      </c>
      <c r="E20" s="49">
        <f>AVERAGE('29.07 Naguru-Nakawa'!E20,'30.07 Naguru-Nakawa'!E20,'31.07 Naguru-Nakawa'!E20,'02.08 Naguru-Nakawa'!E20,'01.08 Naguru-Nakawa-24h'!E20,'03.08 Naguru-Nakawa-24h'!E20,'04.08 Naguru-Nakawa'!E20)</f>
        <v>10</v>
      </c>
      <c r="F20" s="49">
        <f>AVERAGE('29.07 Naguru-Nakawa'!F20,'30.07 Naguru-Nakawa'!F20,'31.07 Naguru-Nakawa'!F20,'02.08 Naguru-Nakawa'!F20,'01.08 Naguru-Nakawa-24h'!F20,'03.08 Naguru-Nakawa-24h'!F20,'04.08 Naguru-Nakawa'!F20)</f>
        <v>9.7142857142857135</v>
      </c>
      <c r="G20" s="49">
        <f>AVERAGE('29.07 Naguru-Nakawa'!G20,'30.07 Naguru-Nakawa'!G20,'31.07 Naguru-Nakawa'!G20,'02.08 Naguru-Nakawa'!G20,'01.08 Naguru-Nakawa-24h'!G20,'03.08 Naguru-Nakawa-24h'!G20,'04.08 Naguru-Nakawa'!G20)</f>
        <v>0</v>
      </c>
      <c r="H20" s="49">
        <f>AVERAGE('29.07 Naguru-Nakawa'!H20,'30.07 Naguru-Nakawa'!H20,'31.07 Naguru-Nakawa'!H20,'02.08 Naguru-Nakawa'!H20,'01.08 Naguru-Nakawa-24h'!H20,'03.08 Naguru-Nakawa-24h'!H20,'04.08 Naguru-Nakawa'!H20)</f>
        <v>0</v>
      </c>
      <c r="I20" s="49">
        <f>AVERAGE('29.07 Naguru-Nakawa'!I20,'30.07 Naguru-Nakawa'!I20,'31.07 Naguru-Nakawa'!I20,'02.08 Naguru-Nakawa'!I20,'01.08 Naguru-Nakawa-24h'!I20,'03.08 Naguru-Nakawa-24h'!I20,'04.08 Naguru-Nakawa'!I20)</f>
        <v>4</v>
      </c>
      <c r="J20" s="49">
        <f>AVERAGE('29.07 Naguru-Nakawa'!J20,'30.07 Naguru-Nakawa'!J20,'31.07 Naguru-Nakawa'!J20,'02.08 Naguru-Nakawa'!J20,'01.08 Naguru-Nakawa-24h'!J20,'03.08 Naguru-Nakawa-24h'!J20,'04.08 Naguru-Nakawa'!J20)</f>
        <v>1.2857142857142858</v>
      </c>
      <c r="K20" s="49">
        <f>AVERAGE('29.07 Naguru-Nakawa'!K20,'30.07 Naguru-Nakawa'!K20,'31.07 Naguru-Nakawa'!K20,'02.08 Naguru-Nakawa'!K20,'01.08 Naguru-Nakawa-24h'!K20,'03.08 Naguru-Nakawa-24h'!K20,'04.08 Naguru-Nakawa'!K20)</f>
        <v>0.2857142857142857</v>
      </c>
      <c r="L20" s="49">
        <f>AVERAGE('29.07 Naguru-Nakawa'!L20,'30.07 Naguru-Nakawa'!L20,'31.07 Naguru-Nakawa'!L20,'02.08 Naguru-Nakawa'!L20,'01.08 Naguru-Nakawa-24h'!L20,'03.08 Naguru-Nakawa-24h'!L20,'04.08 Naguru-Nakawa'!L20)</f>
        <v>0</v>
      </c>
      <c r="M20" s="49">
        <f>AVERAGE('29.07 Naguru-Nakawa'!M20,'30.07 Naguru-Nakawa'!M20,'31.07 Naguru-Nakawa'!M20,'02.08 Naguru-Nakawa'!M20,'01.08 Naguru-Nakawa-24h'!M20,'03.08 Naguru-Nakawa-24h'!M20,'04.08 Naguru-Nakawa'!M20)</f>
        <v>91.428571428571431</v>
      </c>
      <c r="N20" s="49">
        <f>AVERAGE('29.07 Naguru-Nakawa'!N20,'30.07 Naguru-Nakawa'!N20,'31.07 Naguru-Nakawa'!N20,'02.08 Naguru-Nakawa'!N20,'01.08 Naguru-Nakawa-24h'!N20,'03.08 Naguru-Nakawa-24h'!N20,'04.08 Naguru-Nakawa'!N20)</f>
        <v>0</v>
      </c>
      <c r="O20" s="15">
        <f t="shared" si="0"/>
        <v>158.28571428571428</v>
      </c>
      <c r="P20" s="15">
        <f t="shared" si="1"/>
        <v>249.71428571428572</v>
      </c>
      <c r="R20" s="1" t="s">
        <v>16</v>
      </c>
      <c r="S20" s="17">
        <f t="shared" ref="S20:AF20" si="12">SUM(C50:C53)</f>
        <v>274</v>
      </c>
      <c r="T20" s="17">
        <f t="shared" si="12"/>
        <v>61</v>
      </c>
      <c r="U20" s="17">
        <f t="shared" si="12"/>
        <v>26</v>
      </c>
      <c r="V20" s="17">
        <f t="shared" si="12"/>
        <v>28.142857142857139</v>
      </c>
      <c r="W20" s="17">
        <f t="shared" si="12"/>
        <v>0.2857142857142857</v>
      </c>
      <c r="X20" s="17">
        <f t="shared" si="12"/>
        <v>0</v>
      </c>
      <c r="Y20" s="17">
        <f t="shared" si="12"/>
        <v>14.571428571428573</v>
      </c>
      <c r="Z20" s="17">
        <f t="shared" si="12"/>
        <v>3.8571428571428568</v>
      </c>
      <c r="AA20" s="17">
        <f t="shared" si="12"/>
        <v>1</v>
      </c>
      <c r="AB20" s="17">
        <f t="shared" si="12"/>
        <v>0</v>
      </c>
      <c r="AC20" s="17">
        <f t="shared" si="12"/>
        <v>348.14285714285711</v>
      </c>
      <c r="AD20" s="17">
        <f t="shared" si="12"/>
        <v>0.42857142857142855</v>
      </c>
      <c r="AE20" s="31">
        <f t="shared" si="12"/>
        <v>409.28571428571428</v>
      </c>
      <c r="AF20" s="31">
        <f t="shared" si="12"/>
        <v>757.42857142857144</v>
      </c>
    </row>
    <row r="21" spans="2:32" ht="23.1" customHeight="1" x14ac:dyDescent="0.25">
      <c r="B21" s="23" t="s">
        <v>48</v>
      </c>
      <c r="C21" s="49">
        <f>AVERAGE('29.07 Naguru-Nakawa'!C21,'30.07 Naguru-Nakawa'!C21,'31.07 Naguru-Nakawa'!C21,'02.08 Naguru-Nakawa'!C21,'01.08 Naguru-Nakawa-24h'!C21,'03.08 Naguru-Nakawa-24h'!C21,'04.08 Naguru-Nakawa'!C21)</f>
        <v>113.71428571428571</v>
      </c>
      <c r="D21" s="49">
        <f>AVERAGE('29.07 Naguru-Nakawa'!D21,'30.07 Naguru-Nakawa'!D21,'31.07 Naguru-Nakawa'!D21,'02.08 Naguru-Nakawa'!D21,'01.08 Naguru-Nakawa-24h'!D21,'03.08 Naguru-Nakawa-24h'!D21,'04.08 Naguru-Nakawa'!D21)</f>
        <v>25.142857142857142</v>
      </c>
      <c r="E21" s="49">
        <f>AVERAGE('29.07 Naguru-Nakawa'!E21,'30.07 Naguru-Nakawa'!E21,'31.07 Naguru-Nakawa'!E21,'02.08 Naguru-Nakawa'!E21,'01.08 Naguru-Nakawa-24h'!E21,'03.08 Naguru-Nakawa-24h'!E21,'04.08 Naguru-Nakawa'!E21)</f>
        <v>9.1428571428571423</v>
      </c>
      <c r="F21" s="49">
        <f>AVERAGE('29.07 Naguru-Nakawa'!F21,'30.07 Naguru-Nakawa'!F21,'31.07 Naguru-Nakawa'!F21,'02.08 Naguru-Nakawa'!F21,'01.08 Naguru-Nakawa-24h'!F21,'03.08 Naguru-Nakawa-24h'!F21,'04.08 Naguru-Nakawa'!F21)</f>
        <v>6.8571428571428568</v>
      </c>
      <c r="G21" s="49">
        <f>AVERAGE('29.07 Naguru-Nakawa'!G21,'30.07 Naguru-Nakawa'!G21,'31.07 Naguru-Nakawa'!G21,'02.08 Naguru-Nakawa'!G21,'01.08 Naguru-Nakawa-24h'!G21,'03.08 Naguru-Nakawa-24h'!G21,'04.08 Naguru-Nakawa'!G21)</f>
        <v>0</v>
      </c>
      <c r="H21" s="49">
        <f>AVERAGE('29.07 Naguru-Nakawa'!H21,'30.07 Naguru-Nakawa'!H21,'31.07 Naguru-Nakawa'!H21,'02.08 Naguru-Nakawa'!H21,'01.08 Naguru-Nakawa-24h'!H21,'03.08 Naguru-Nakawa-24h'!H21,'04.08 Naguru-Nakawa'!H21)</f>
        <v>0</v>
      </c>
      <c r="I21" s="49">
        <f>AVERAGE('29.07 Naguru-Nakawa'!I21,'30.07 Naguru-Nakawa'!I21,'31.07 Naguru-Nakawa'!I21,'02.08 Naguru-Nakawa'!I21,'01.08 Naguru-Nakawa-24h'!I21,'03.08 Naguru-Nakawa-24h'!I21,'04.08 Naguru-Nakawa'!I21)</f>
        <v>3.5714285714285716</v>
      </c>
      <c r="J21" s="49">
        <f>AVERAGE('29.07 Naguru-Nakawa'!J21,'30.07 Naguru-Nakawa'!J21,'31.07 Naguru-Nakawa'!J21,'02.08 Naguru-Nakawa'!J21,'01.08 Naguru-Nakawa-24h'!J21,'03.08 Naguru-Nakawa-24h'!J21,'04.08 Naguru-Nakawa'!J21)</f>
        <v>1.1428571428571428</v>
      </c>
      <c r="K21" s="49">
        <f>AVERAGE('29.07 Naguru-Nakawa'!K21,'30.07 Naguru-Nakawa'!K21,'31.07 Naguru-Nakawa'!K21,'02.08 Naguru-Nakawa'!K21,'01.08 Naguru-Nakawa-24h'!K21,'03.08 Naguru-Nakawa-24h'!K21,'04.08 Naguru-Nakawa'!K21)</f>
        <v>0.2857142857142857</v>
      </c>
      <c r="L21" s="49">
        <f>AVERAGE('29.07 Naguru-Nakawa'!L21,'30.07 Naguru-Nakawa'!L21,'31.07 Naguru-Nakawa'!L21,'02.08 Naguru-Nakawa'!L21,'01.08 Naguru-Nakawa-24h'!L21,'03.08 Naguru-Nakawa-24h'!L21,'04.08 Naguru-Nakawa'!L21)</f>
        <v>0</v>
      </c>
      <c r="M21" s="49">
        <f>AVERAGE('29.07 Naguru-Nakawa'!M21,'30.07 Naguru-Nakawa'!M21,'31.07 Naguru-Nakawa'!M21,'02.08 Naguru-Nakawa'!M21,'01.08 Naguru-Nakawa-24h'!M21,'03.08 Naguru-Nakawa-24h'!M21,'04.08 Naguru-Nakawa'!M21)</f>
        <v>79.285714285714292</v>
      </c>
      <c r="N21" s="49">
        <f>AVERAGE('29.07 Naguru-Nakawa'!N21,'30.07 Naguru-Nakawa'!N21,'31.07 Naguru-Nakawa'!N21,'02.08 Naguru-Nakawa'!N21,'01.08 Naguru-Nakawa-24h'!N21,'03.08 Naguru-Nakawa-24h'!N21,'04.08 Naguru-Nakawa'!N21)</f>
        <v>0</v>
      </c>
      <c r="O21" s="15">
        <f t="shared" si="0"/>
        <v>159.85714285714286</v>
      </c>
      <c r="P21" s="15">
        <f t="shared" si="1"/>
        <v>239.14285714285717</v>
      </c>
      <c r="R21" s="36" t="s">
        <v>20</v>
      </c>
      <c r="S21" s="34">
        <f t="shared" ref="S21:AF21" si="13">SUM(C54:C57)</f>
        <v>271.57142857142856</v>
      </c>
      <c r="T21" s="17">
        <f t="shared" si="13"/>
        <v>62</v>
      </c>
      <c r="U21" s="17">
        <f t="shared" si="13"/>
        <v>27.571428571428573</v>
      </c>
      <c r="V21" s="17">
        <f t="shared" si="13"/>
        <v>24.285714285714285</v>
      </c>
      <c r="W21" s="17">
        <f t="shared" si="13"/>
        <v>0.5714285714285714</v>
      </c>
      <c r="X21" s="17">
        <f t="shared" si="13"/>
        <v>0</v>
      </c>
      <c r="Y21" s="17">
        <f t="shared" si="13"/>
        <v>13</v>
      </c>
      <c r="Z21" s="17">
        <f t="shared" si="13"/>
        <v>3.1428571428571428</v>
      </c>
      <c r="AA21" s="17">
        <f t="shared" si="13"/>
        <v>1</v>
      </c>
      <c r="AB21" s="17">
        <f t="shared" si="13"/>
        <v>0.14285714285714285</v>
      </c>
      <c r="AC21" s="17">
        <f t="shared" si="13"/>
        <v>301.42857142857144</v>
      </c>
      <c r="AD21" s="17">
        <f t="shared" si="13"/>
        <v>0</v>
      </c>
      <c r="AE21" s="31">
        <f t="shared" si="13"/>
        <v>403.28571428571433</v>
      </c>
      <c r="AF21" s="31">
        <f t="shared" si="13"/>
        <v>704.71428571428578</v>
      </c>
    </row>
    <row r="22" spans="2:32" ht="23.1" customHeight="1" x14ac:dyDescent="0.25">
      <c r="B22" s="23" t="s">
        <v>49</v>
      </c>
      <c r="C22" s="49">
        <f>AVERAGE('29.07 Naguru-Nakawa'!C22,'30.07 Naguru-Nakawa'!C22,'31.07 Naguru-Nakawa'!C22,'02.08 Naguru-Nakawa'!C22,'01.08 Naguru-Nakawa-24h'!C22,'03.08 Naguru-Nakawa-24h'!C22,'04.08 Naguru-Nakawa'!C22)</f>
        <v>120.57142857142857</v>
      </c>
      <c r="D22" s="49">
        <f>AVERAGE('29.07 Naguru-Nakawa'!D22,'30.07 Naguru-Nakawa'!D22,'31.07 Naguru-Nakawa'!D22,'02.08 Naguru-Nakawa'!D22,'01.08 Naguru-Nakawa-24h'!D22,'03.08 Naguru-Nakawa-24h'!D22,'04.08 Naguru-Nakawa'!D22)</f>
        <v>22.714285714285715</v>
      </c>
      <c r="E22" s="49">
        <f>AVERAGE('29.07 Naguru-Nakawa'!E22,'30.07 Naguru-Nakawa'!E22,'31.07 Naguru-Nakawa'!E22,'02.08 Naguru-Nakawa'!E22,'01.08 Naguru-Nakawa-24h'!E22,'03.08 Naguru-Nakawa-24h'!E22,'04.08 Naguru-Nakawa'!E22)</f>
        <v>11.857142857142858</v>
      </c>
      <c r="F22" s="49">
        <f>AVERAGE('29.07 Naguru-Nakawa'!F22,'30.07 Naguru-Nakawa'!F22,'31.07 Naguru-Nakawa'!F22,'02.08 Naguru-Nakawa'!F22,'01.08 Naguru-Nakawa-24h'!F22,'03.08 Naguru-Nakawa-24h'!F22,'04.08 Naguru-Nakawa'!F22)</f>
        <v>9.4285714285714288</v>
      </c>
      <c r="G22" s="49">
        <f>AVERAGE('29.07 Naguru-Nakawa'!G22,'30.07 Naguru-Nakawa'!G22,'31.07 Naguru-Nakawa'!G22,'02.08 Naguru-Nakawa'!G22,'01.08 Naguru-Nakawa-24h'!G22,'03.08 Naguru-Nakawa-24h'!G22,'04.08 Naguru-Nakawa'!G22)</f>
        <v>0.2857142857142857</v>
      </c>
      <c r="H22" s="49">
        <f>AVERAGE('29.07 Naguru-Nakawa'!H22,'30.07 Naguru-Nakawa'!H22,'31.07 Naguru-Nakawa'!H22,'02.08 Naguru-Nakawa'!H22,'01.08 Naguru-Nakawa-24h'!H22,'03.08 Naguru-Nakawa-24h'!H22,'04.08 Naguru-Nakawa'!H22)</f>
        <v>0</v>
      </c>
      <c r="I22" s="49">
        <f>AVERAGE('29.07 Naguru-Nakawa'!I22,'30.07 Naguru-Nakawa'!I22,'31.07 Naguru-Nakawa'!I22,'02.08 Naguru-Nakawa'!I22,'01.08 Naguru-Nakawa-24h'!I22,'03.08 Naguru-Nakawa-24h'!I22,'04.08 Naguru-Nakawa'!I22)</f>
        <v>3.7142857142857144</v>
      </c>
      <c r="J22" s="49">
        <f>AVERAGE('29.07 Naguru-Nakawa'!J22,'30.07 Naguru-Nakawa'!J22,'31.07 Naguru-Nakawa'!J22,'02.08 Naguru-Nakawa'!J22,'01.08 Naguru-Nakawa-24h'!J22,'03.08 Naguru-Nakawa-24h'!J22,'04.08 Naguru-Nakawa'!J22)</f>
        <v>1.1428571428571428</v>
      </c>
      <c r="K22" s="49">
        <f>AVERAGE('29.07 Naguru-Nakawa'!K22,'30.07 Naguru-Nakawa'!K22,'31.07 Naguru-Nakawa'!K22,'02.08 Naguru-Nakawa'!K22,'01.08 Naguru-Nakawa-24h'!K22,'03.08 Naguru-Nakawa-24h'!K22,'04.08 Naguru-Nakawa'!K22)</f>
        <v>0.2857142857142857</v>
      </c>
      <c r="L22" s="49">
        <f>AVERAGE('29.07 Naguru-Nakawa'!L22,'30.07 Naguru-Nakawa'!L22,'31.07 Naguru-Nakawa'!L22,'02.08 Naguru-Nakawa'!L22,'01.08 Naguru-Nakawa-24h'!L22,'03.08 Naguru-Nakawa-24h'!L22,'04.08 Naguru-Nakawa'!L22)</f>
        <v>0</v>
      </c>
      <c r="M22" s="49">
        <f>AVERAGE('29.07 Naguru-Nakawa'!M22,'30.07 Naguru-Nakawa'!M22,'31.07 Naguru-Nakawa'!M22,'02.08 Naguru-Nakawa'!M22,'01.08 Naguru-Nakawa-24h'!M22,'03.08 Naguru-Nakawa-24h'!M22,'04.08 Naguru-Nakawa'!M22)</f>
        <v>70.142857142857139</v>
      </c>
      <c r="N22" s="49">
        <f>AVERAGE('29.07 Naguru-Nakawa'!N22,'30.07 Naguru-Nakawa'!N22,'31.07 Naguru-Nakawa'!N22,'02.08 Naguru-Nakawa'!N22,'01.08 Naguru-Nakawa-24h'!N22,'03.08 Naguru-Nakawa-24h'!N22,'04.08 Naguru-Nakawa'!N22)</f>
        <v>0</v>
      </c>
      <c r="O22" s="15">
        <f t="shared" si="0"/>
        <v>169.99999999999997</v>
      </c>
      <c r="P22" s="15">
        <f t="shared" si="1"/>
        <v>240.14285714285711</v>
      </c>
      <c r="R22" s="1" t="s">
        <v>146</v>
      </c>
      <c r="S22" s="34">
        <f>SUM(C58:C61)</f>
        <v>212.5</v>
      </c>
      <c r="T22" s="34">
        <f t="shared" ref="T22:AF22" si="14">SUM(D58:D61)</f>
        <v>197.5</v>
      </c>
      <c r="U22" s="34">
        <f t="shared" si="14"/>
        <v>46.5</v>
      </c>
      <c r="V22" s="34">
        <f t="shared" si="14"/>
        <v>32</v>
      </c>
      <c r="W22" s="34">
        <f t="shared" si="14"/>
        <v>1.5</v>
      </c>
      <c r="X22" s="34">
        <f t="shared" si="14"/>
        <v>0</v>
      </c>
      <c r="Y22" s="34">
        <f t="shared" si="14"/>
        <v>4</v>
      </c>
      <c r="Z22" s="34">
        <f t="shared" si="14"/>
        <v>0.5</v>
      </c>
      <c r="AA22" s="34">
        <f t="shared" si="14"/>
        <v>1.5</v>
      </c>
      <c r="AB22" s="34">
        <f t="shared" si="14"/>
        <v>0.5</v>
      </c>
      <c r="AC22" s="34">
        <f t="shared" si="14"/>
        <v>218</v>
      </c>
      <c r="AD22" s="34">
        <f t="shared" si="14"/>
        <v>0</v>
      </c>
      <c r="AE22" s="31">
        <f t="shared" si="14"/>
        <v>496.5</v>
      </c>
      <c r="AF22" s="31">
        <f t="shared" si="14"/>
        <v>714.5</v>
      </c>
    </row>
    <row r="23" spans="2:32" ht="23.1" customHeight="1" x14ac:dyDescent="0.25">
      <c r="B23" s="23" t="s">
        <v>50</v>
      </c>
      <c r="C23" s="49">
        <f>AVERAGE('29.07 Naguru-Nakawa'!C23,'30.07 Naguru-Nakawa'!C23,'31.07 Naguru-Nakawa'!C23,'02.08 Naguru-Nakawa'!C23,'01.08 Naguru-Nakawa-24h'!C23,'03.08 Naguru-Nakawa-24h'!C23,'04.08 Naguru-Nakawa'!C23)</f>
        <v>99</v>
      </c>
      <c r="D23" s="49">
        <f>AVERAGE('29.07 Naguru-Nakawa'!D23,'30.07 Naguru-Nakawa'!D23,'31.07 Naguru-Nakawa'!D23,'02.08 Naguru-Nakawa'!D23,'01.08 Naguru-Nakawa-24h'!D23,'03.08 Naguru-Nakawa-24h'!D23,'04.08 Naguru-Nakawa'!D23)</f>
        <v>24.428571428571427</v>
      </c>
      <c r="E23" s="49">
        <f>AVERAGE('29.07 Naguru-Nakawa'!E23,'30.07 Naguru-Nakawa'!E23,'31.07 Naguru-Nakawa'!E23,'02.08 Naguru-Nakawa'!E23,'01.08 Naguru-Nakawa-24h'!E23,'03.08 Naguru-Nakawa-24h'!E23,'04.08 Naguru-Nakawa'!E23)</f>
        <v>10.714285714285714</v>
      </c>
      <c r="F23" s="49">
        <f>AVERAGE('29.07 Naguru-Nakawa'!F23,'30.07 Naguru-Nakawa'!F23,'31.07 Naguru-Nakawa'!F23,'02.08 Naguru-Nakawa'!F23,'01.08 Naguru-Nakawa-24h'!F23,'03.08 Naguru-Nakawa-24h'!F23,'04.08 Naguru-Nakawa'!F23)</f>
        <v>7.1428571428571432</v>
      </c>
      <c r="G23" s="49">
        <f>AVERAGE('29.07 Naguru-Nakawa'!G23,'30.07 Naguru-Nakawa'!G23,'31.07 Naguru-Nakawa'!G23,'02.08 Naguru-Nakawa'!G23,'01.08 Naguru-Nakawa-24h'!G23,'03.08 Naguru-Nakawa-24h'!G23,'04.08 Naguru-Nakawa'!G23)</f>
        <v>0</v>
      </c>
      <c r="H23" s="49">
        <f>AVERAGE('29.07 Naguru-Nakawa'!H23,'30.07 Naguru-Nakawa'!H23,'31.07 Naguru-Nakawa'!H23,'02.08 Naguru-Nakawa'!H23,'01.08 Naguru-Nakawa-24h'!H23,'03.08 Naguru-Nakawa-24h'!H23,'04.08 Naguru-Nakawa'!H23)</f>
        <v>0</v>
      </c>
      <c r="I23" s="49">
        <f>AVERAGE('29.07 Naguru-Nakawa'!I23,'30.07 Naguru-Nakawa'!I23,'31.07 Naguru-Nakawa'!I23,'02.08 Naguru-Nakawa'!I23,'01.08 Naguru-Nakawa-24h'!I23,'03.08 Naguru-Nakawa-24h'!I23,'04.08 Naguru-Nakawa'!I23)</f>
        <v>2.4285714285714284</v>
      </c>
      <c r="J23" s="49">
        <f>AVERAGE('29.07 Naguru-Nakawa'!J23,'30.07 Naguru-Nakawa'!J23,'31.07 Naguru-Nakawa'!J23,'02.08 Naguru-Nakawa'!J23,'01.08 Naguru-Nakawa-24h'!J23,'03.08 Naguru-Nakawa-24h'!J23,'04.08 Naguru-Nakawa'!J23)</f>
        <v>0.7142857142857143</v>
      </c>
      <c r="K23" s="49">
        <f>AVERAGE('29.07 Naguru-Nakawa'!K23,'30.07 Naguru-Nakawa'!K23,'31.07 Naguru-Nakawa'!K23,'02.08 Naguru-Nakawa'!K23,'01.08 Naguru-Nakawa-24h'!K23,'03.08 Naguru-Nakawa-24h'!K23,'04.08 Naguru-Nakawa'!K23)</f>
        <v>0</v>
      </c>
      <c r="L23" s="49">
        <f>AVERAGE('29.07 Naguru-Nakawa'!L23,'30.07 Naguru-Nakawa'!L23,'31.07 Naguru-Nakawa'!L23,'02.08 Naguru-Nakawa'!L23,'01.08 Naguru-Nakawa-24h'!L23,'03.08 Naguru-Nakawa-24h'!L23,'04.08 Naguru-Nakawa'!L23)</f>
        <v>0</v>
      </c>
      <c r="M23" s="49">
        <f>AVERAGE('29.07 Naguru-Nakawa'!M23,'30.07 Naguru-Nakawa'!M23,'31.07 Naguru-Nakawa'!M23,'02.08 Naguru-Nakawa'!M23,'01.08 Naguru-Nakawa-24h'!M23,'03.08 Naguru-Nakawa-24h'!M23,'04.08 Naguru-Nakawa'!M23)</f>
        <v>72.857142857142861</v>
      </c>
      <c r="N23" s="49">
        <f>AVERAGE('29.07 Naguru-Nakawa'!N23,'30.07 Naguru-Nakawa'!N23,'31.07 Naguru-Nakawa'!N23,'02.08 Naguru-Nakawa'!N23,'01.08 Naguru-Nakawa-24h'!N23,'03.08 Naguru-Nakawa-24h'!N23,'04.08 Naguru-Nakawa'!N23)</f>
        <v>0</v>
      </c>
      <c r="O23" s="15">
        <f t="shared" si="0"/>
        <v>144.42857142857142</v>
      </c>
      <c r="P23" s="15">
        <f t="shared" si="1"/>
        <v>217.28571428571428</v>
      </c>
      <c r="R23" s="1" t="s">
        <v>147</v>
      </c>
      <c r="S23" s="34">
        <f>SUM(C62:C65)</f>
        <v>148</v>
      </c>
      <c r="T23" s="34">
        <f t="shared" ref="T23:AF23" si="15">SUM(D62:D65)</f>
        <v>47</v>
      </c>
      <c r="U23" s="34">
        <f t="shared" si="15"/>
        <v>17.5</v>
      </c>
      <c r="V23" s="34">
        <f t="shared" si="15"/>
        <v>11.5</v>
      </c>
      <c r="W23" s="34">
        <f t="shared" si="15"/>
        <v>0</v>
      </c>
      <c r="X23" s="34">
        <f t="shared" si="15"/>
        <v>0</v>
      </c>
      <c r="Y23" s="34">
        <f t="shared" si="15"/>
        <v>4.5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170</v>
      </c>
      <c r="AD23" s="34">
        <f t="shared" si="15"/>
        <v>0</v>
      </c>
      <c r="AE23" s="31">
        <f t="shared" si="15"/>
        <v>228.5</v>
      </c>
      <c r="AF23" s="31">
        <f t="shared" si="15"/>
        <v>398.5</v>
      </c>
    </row>
    <row r="24" spans="2:32" ht="23.1" customHeight="1" x14ac:dyDescent="0.25">
      <c r="B24" s="23" t="s">
        <v>51</v>
      </c>
      <c r="C24" s="49">
        <f>AVERAGE('29.07 Naguru-Nakawa'!C24,'30.07 Naguru-Nakawa'!C24,'31.07 Naguru-Nakawa'!C24,'02.08 Naguru-Nakawa'!C24,'01.08 Naguru-Nakawa-24h'!C24,'03.08 Naguru-Nakawa-24h'!C24,'04.08 Naguru-Nakawa'!C24)</f>
        <v>95.142857142857139</v>
      </c>
      <c r="D24" s="49">
        <f>AVERAGE('29.07 Naguru-Nakawa'!D24,'30.07 Naguru-Nakawa'!D24,'31.07 Naguru-Nakawa'!D24,'02.08 Naguru-Nakawa'!D24,'01.08 Naguru-Nakawa-24h'!D24,'03.08 Naguru-Nakawa-24h'!D24,'04.08 Naguru-Nakawa'!D24)</f>
        <v>24</v>
      </c>
      <c r="E24" s="49">
        <f>AVERAGE('29.07 Naguru-Nakawa'!E24,'30.07 Naguru-Nakawa'!E24,'31.07 Naguru-Nakawa'!E24,'02.08 Naguru-Nakawa'!E24,'01.08 Naguru-Nakawa-24h'!E24,'03.08 Naguru-Nakawa-24h'!E24,'04.08 Naguru-Nakawa'!E24)</f>
        <v>9.8571428571428577</v>
      </c>
      <c r="F24" s="49">
        <f>AVERAGE('29.07 Naguru-Nakawa'!F24,'30.07 Naguru-Nakawa'!F24,'31.07 Naguru-Nakawa'!F24,'02.08 Naguru-Nakawa'!F24,'01.08 Naguru-Nakawa-24h'!F24,'03.08 Naguru-Nakawa-24h'!F24,'04.08 Naguru-Nakawa'!F24)</f>
        <v>9</v>
      </c>
      <c r="G24" s="49">
        <f>AVERAGE('29.07 Naguru-Nakawa'!G24,'30.07 Naguru-Nakawa'!G24,'31.07 Naguru-Nakawa'!G24,'02.08 Naguru-Nakawa'!G24,'01.08 Naguru-Nakawa-24h'!G24,'03.08 Naguru-Nakawa-24h'!G24,'04.08 Naguru-Nakawa'!G24)</f>
        <v>0</v>
      </c>
      <c r="H24" s="49">
        <f>AVERAGE('29.07 Naguru-Nakawa'!H24,'30.07 Naguru-Nakawa'!H24,'31.07 Naguru-Nakawa'!H24,'02.08 Naguru-Nakawa'!H24,'01.08 Naguru-Nakawa-24h'!H24,'03.08 Naguru-Nakawa-24h'!H24,'04.08 Naguru-Nakawa'!H24)</f>
        <v>0</v>
      </c>
      <c r="I24" s="49">
        <f>AVERAGE('29.07 Naguru-Nakawa'!I24,'30.07 Naguru-Nakawa'!I24,'31.07 Naguru-Nakawa'!I24,'02.08 Naguru-Nakawa'!I24,'01.08 Naguru-Nakawa-24h'!I24,'03.08 Naguru-Nakawa-24h'!I24,'04.08 Naguru-Nakawa'!I24)</f>
        <v>5.4285714285714288</v>
      </c>
      <c r="J24" s="49">
        <f>AVERAGE('29.07 Naguru-Nakawa'!J24,'30.07 Naguru-Nakawa'!J24,'31.07 Naguru-Nakawa'!J24,'02.08 Naguru-Nakawa'!J24,'01.08 Naguru-Nakawa-24h'!J24,'03.08 Naguru-Nakawa-24h'!J24,'04.08 Naguru-Nakawa'!J24)</f>
        <v>0.7142857142857143</v>
      </c>
      <c r="K24" s="49">
        <f>AVERAGE('29.07 Naguru-Nakawa'!K24,'30.07 Naguru-Nakawa'!K24,'31.07 Naguru-Nakawa'!K24,'02.08 Naguru-Nakawa'!K24,'01.08 Naguru-Nakawa-24h'!K24,'03.08 Naguru-Nakawa-24h'!K24,'04.08 Naguru-Nakawa'!K24)</f>
        <v>0.2857142857142857</v>
      </c>
      <c r="L24" s="49">
        <f>AVERAGE('29.07 Naguru-Nakawa'!L24,'30.07 Naguru-Nakawa'!L24,'31.07 Naguru-Nakawa'!L24,'02.08 Naguru-Nakawa'!L24,'01.08 Naguru-Nakawa-24h'!L24,'03.08 Naguru-Nakawa-24h'!L24,'04.08 Naguru-Nakawa'!L24)</f>
        <v>0</v>
      </c>
      <c r="M24" s="49">
        <f>AVERAGE('29.07 Naguru-Nakawa'!M24,'30.07 Naguru-Nakawa'!M24,'31.07 Naguru-Nakawa'!M24,'02.08 Naguru-Nakawa'!M24,'01.08 Naguru-Nakawa-24h'!M24,'03.08 Naguru-Nakawa-24h'!M24,'04.08 Naguru-Nakawa'!M24)</f>
        <v>82.571428571428569</v>
      </c>
      <c r="N24" s="49">
        <f>AVERAGE('29.07 Naguru-Nakawa'!N24,'30.07 Naguru-Nakawa'!N24,'31.07 Naguru-Nakawa'!N24,'02.08 Naguru-Nakawa'!N24,'01.08 Naguru-Nakawa-24h'!N24,'03.08 Naguru-Nakawa-24h'!N24,'04.08 Naguru-Nakawa'!N24)</f>
        <v>0</v>
      </c>
      <c r="O24" s="15">
        <f t="shared" si="0"/>
        <v>144.42857142857142</v>
      </c>
      <c r="P24" s="15">
        <f t="shared" si="1"/>
        <v>227</v>
      </c>
      <c r="R24" s="1" t="s">
        <v>148</v>
      </c>
      <c r="S24" s="34">
        <f>SUM(C66:C69)</f>
        <v>103</v>
      </c>
      <c r="T24" s="34">
        <f t="shared" ref="T24:AF24" si="16">SUM(D66:D69)</f>
        <v>27.5</v>
      </c>
      <c r="U24" s="34">
        <f t="shared" si="16"/>
        <v>12</v>
      </c>
      <c r="V24" s="34">
        <f t="shared" si="16"/>
        <v>8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0</v>
      </c>
      <c r="AA24" s="34">
        <f t="shared" si="16"/>
        <v>0.5</v>
      </c>
      <c r="AB24" s="34">
        <f t="shared" si="16"/>
        <v>0.5</v>
      </c>
      <c r="AC24" s="34">
        <f t="shared" si="16"/>
        <v>130</v>
      </c>
      <c r="AD24" s="34">
        <f t="shared" si="16"/>
        <v>0</v>
      </c>
      <c r="AE24" s="31">
        <f t="shared" si="16"/>
        <v>154.5</v>
      </c>
      <c r="AF24" s="31">
        <f t="shared" si="16"/>
        <v>284.5</v>
      </c>
    </row>
    <row r="25" spans="2:32" ht="23.1" customHeight="1" x14ac:dyDescent="0.25">
      <c r="B25" s="23" t="s">
        <v>52</v>
      </c>
      <c r="C25" s="49">
        <f>AVERAGE('29.07 Naguru-Nakawa'!C25,'30.07 Naguru-Nakawa'!C25,'31.07 Naguru-Nakawa'!C25,'02.08 Naguru-Nakawa'!C25,'01.08 Naguru-Nakawa-24h'!C25,'03.08 Naguru-Nakawa-24h'!C25,'04.08 Naguru-Nakawa'!C25)</f>
        <v>116.57142857142857</v>
      </c>
      <c r="D25" s="49">
        <f>AVERAGE('29.07 Naguru-Nakawa'!D25,'30.07 Naguru-Nakawa'!D25,'31.07 Naguru-Nakawa'!D25,'02.08 Naguru-Nakawa'!D25,'01.08 Naguru-Nakawa-24h'!D25,'03.08 Naguru-Nakawa-24h'!D25,'04.08 Naguru-Nakawa'!D25)</f>
        <v>23.285714285714285</v>
      </c>
      <c r="E25" s="49">
        <f>AVERAGE('29.07 Naguru-Nakawa'!E25,'30.07 Naguru-Nakawa'!E25,'31.07 Naguru-Nakawa'!E25,'02.08 Naguru-Nakawa'!E25,'01.08 Naguru-Nakawa-24h'!E25,'03.08 Naguru-Nakawa-24h'!E25,'04.08 Naguru-Nakawa'!E25)</f>
        <v>9.7142857142857135</v>
      </c>
      <c r="F25" s="49">
        <f>AVERAGE('29.07 Naguru-Nakawa'!F25,'30.07 Naguru-Nakawa'!F25,'31.07 Naguru-Nakawa'!F25,'02.08 Naguru-Nakawa'!F25,'01.08 Naguru-Nakawa-24h'!F25,'03.08 Naguru-Nakawa-24h'!F25,'04.08 Naguru-Nakawa'!F25)</f>
        <v>9.5714285714285712</v>
      </c>
      <c r="G25" s="49">
        <f>AVERAGE('29.07 Naguru-Nakawa'!G25,'30.07 Naguru-Nakawa'!G25,'31.07 Naguru-Nakawa'!G25,'02.08 Naguru-Nakawa'!G25,'01.08 Naguru-Nakawa-24h'!G25,'03.08 Naguru-Nakawa-24h'!G25,'04.08 Naguru-Nakawa'!G25)</f>
        <v>0</v>
      </c>
      <c r="H25" s="49">
        <f>AVERAGE('29.07 Naguru-Nakawa'!H25,'30.07 Naguru-Nakawa'!H25,'31.07 Naguru-Nakawa'!H25,'02.08 Naguru-Nakawa'!H25,'01.08 Naguru-Nakawa-24h'!H25,'03.08 Naguru-Nakawa-24h'!H25,'04.08 Naguru-Nakawa'!H25)</f>
        <v>0</v>
      </c>
      <c r="I25" s="49">
        <f>AVERAGE('29.07 Naguru-Nakawa'!I25,'30.07 Naguru-Nakawa'!I25,'31.07 Naguru-Nakawa'!I25,'02.08 Naguru-Nakawa'!I25,'01.08 Naguru-Nakawa-24h'!I25,'03.08 Naguru-Nakawa-24h'!I25,'04.08 Naguru-Nakawa'!I25)</f>
        <v>3</v>
      </c>
      <c r="J25" s="49">
        <f>AVERAGE('29.07 Naguru-Nakawa'!J25,'30.07 Naguru-Nakawa'!J25,'31.07 Naguru-Nakawa'!J25,'02.08 Naguru-Nakawa'!J25,'01.08 Naguru-Nakawa-24h'!J25,'03.08 Naguru-Nakawa-24h'!J25,'04.08 Naguru-Nakawa'!J25)</f>
        <v>1.8571428571428572</v>
      </c>
      <c r="K25" s="49">
        <f>AVERAGE('29.07 Naguru-Nakawa'!K25,'30.07 Naguru-Nakawa'!K25,'31.07 Naguru-Nakawa'!K25,'02.08 Naguru-Nakawa'!K25,'01.08 Naguru-Nakawa-24h'!K25,'03.08 Naguru-Nakawa-24h'!K25,'04.08 Naguru-Nakawa'!K25)</f>
        <v>0.2857142857142857</v>
      </c>
      <c r="L25" s="49">
        <f>AVERAGE('29.07 Naguru-Nakawa'!L25,'30.07 Naguru-Nakawa'!L25,'31.07 Naguru-Nakawa'!L25,'02.08 Naguru-Nakawa'!L25,'01.08 Naguru-Nakawa-24h'!L25,'03.08 Naguru-Nakawa-24h'!L25,'04.08 Naguru-Nakawa'!L25)</f>
        <v>0</v>
      </c>
      <c r="M25" s="49">
        <f>AVERAGE('29.07 Naguru-Nakawa'!M25,'30.07 Naguru-Nakawa'!M25,'31.07 Naguru-Nakawa'!M25,'02.08 Naguru-Nakawa'!M25,'01.08 Naguru-Nakawa-24h'!M25,'03.08 Naguru-Nakawa-24h'!M25,'04.08 Naguru-Nakawa'!M25)</f>
        <v>70.857142857142861</v>
      </c>
      <c r="N25" s="49">
        <f>AVERAGE('29.07 Naguru-Nakawa'!N25,'30.07 Naguru-Nakawa'!N25,'31.07 Naguru-Nakawa'!N25,'02.08 Naguru-Nakawa'!N25,'01.08 Naguru-Nakawa-24h'!N25,'03.08 Naguru-Nakawa-24h'!N25,'04.08 Naguru-Nakawa'!N25)</f>
        <v>0</v>
      </c>
      <c r="O25" s="15">
        <f t="shared" si="0"/>
        <v>164.28571428571431</v>
      </c>
      <c r="P25" s="15">
        <f t="shared" si="1"/>
        <v>235.14285714285717</v>
      </c>
      <c r="R25" s="1" t="s">
        <v>149</v>
      </c>
      <c r="S25" s="34">
        <f>SUM(C70:C73)</f>
        <v>50.5</v>
      </c>
      <c r="T25" s="34">
        <f t="shared" ref="T25:AF25" si="17">SUM(D70:D73)</f>
        <v>18.5</v>
      </c>
      <c r="U25" s="34">
        <f t="shared" si="17"/>
        <v>7.5</v>
      </c>
      <c r="V25" s="34">
        <f t="shared" si="17"/>
        <v>2.5</v>
      </c>
      <c r="W25" s="34">
        <f t="shared" si="17"/>
        <v>0</v>
      </c>
      <c r="X25" s="34">
        <f t="shared" si="17"/>
        <v>0</v>
      </c>
      <c r="Y25" s="34">
        <f t="shared" si="17"/>
        <v>5.5</v>
      </c>
      <c r="Z25" s="34">
        <f t="shared" si="17"/>
        <v>2</v>
      </c>
      <c r="AA25" s="34">
        <f t="shared" si="17"/>
        <v>1</v>
      </c>
      <c r="AB25" s="34">
        <f t="shared" si="17"/>
        <v>0.5</v>
      </c>
      <c r="AC25" s="34">
        <f t="shared" si="17"/>
        <v>98</v>
      </c>
      <c r="AD25" s="34">
        <f t="shared" si="17"/>
        <v>0</v>
      </c>
      <c r="AE25" s="31">
        <f t="shared" si="17"/>
        <v>88</v>
      </c>
      <c r="AF25" s="31">
        <f t="shared" si="17"/>
        <v>186</v>
      </c>
    </row>
    <row r="26" spans="2:32" ht="23.1" customHeight="1" x14ac:dyDescent="0.25">
      <c r="B26" s="23" t="s">
        <v>53</v>
      </c>
      <c r="C26" s="49">
        <f>AVERAGE('29.07 Naguru-Nakawa'!C26,'30.07 Naguru-Nakawa'!C26,'31.07 Naguru-Nakawa'!C26,'02.08 Naguru-Nakawa'!C26,'01.08 Naguru-Nakawa-24h'!C26,'03.08 Naguru-Nakawa-24h'!C26,'04.08 Naguru-Nakawa'!C26)</f>
        <v>93.714285714285708</v>
      </c>
      <c r="D26" s="49">
        <f>AVERAGE('29.07 Naguru-Nakawa'!D26,'30.07 Naguru-Nakawa'!D26,'31.07 Naguru-Nakawa'!D26,'02.08 Naguru-Nakawa'!D26,'01.08 Naguru-Nakawa-24h'!D26,'03.08 Naguru-Nakawa-24h'!D26,'04.08 Naguru-Nakawa'!D26)</f>
        <v>27.428571428571427</v>
      </c>
      <c r="E26" s="49">
        <f>AVERAGE('29.07 Naguru-Nakawa'!E26,'30.07 Naguru-Nakawa'!E26,'31.07 Naguru-Nakawa'!E26,'02.08 Naguru-Nakawa'!E26,'01.08 Naguru-Nakawa-24h'!E26,'03.08 Naguru-Nakawa-24h'!E26,'04.08 Naguru-Nakawa'!E26)</f>
        <v>10.857142857142858</v>
      </c>
      <c r="F26" s="49">
        <f>AVERAGE('29.07 Naguru-Nakawa'!F26,'30.07 Naguru-Nakawa'!F26,'31.07 Naguru-Nakawa'!F26,'02.08 Naguru-Nakawa'!F26,'01.08 Naguru-Nakawa-24h'!F26,'03.08 Naguru-Nakawa-24h'!F26,'04.08 Naguru-Nakawa'!F26)</f>
        <v>9</v>
      </c>
      <c r="G26" s="49">
        <f>AVERAGE('29.07 Naguru-Nakawa'!G26,'30.07 Naguru-Nakawa'!G26,'31.07 Naguru-Nakawa'!G26,'02.08 Naguru-Nakawa'!G26,'01.08 Naguru-Nakawa-24h'!G26,'03.08 Naguru-Nakawa-24h'!G26,'04.08 Naguru-Nakawa'!G26)</f>
        <v>0</v>
      </c>
      <c r="H26" s="49">
        <f>AVERAGE('29.07 Naguru-Nakawa'!H26,'30.07 Naguru-Nakawa'!H26,'31.07 Naguru-Nakawa'!H26,'02.08 Naguru-Nakawa'!H26,'01.08 Naguru-Nakawa-24h'!H26,'03.08 Naguru-Nakawa-24h'!H26,'04.08 Naguru-Nakawa'!H26)</f>
        <v>0</v>
      </c>
      <c r="I26" s="49">
        <f>AVERAGE('29.07 Naguru-Nakawa'!I26,'30.07 Naguru-Nakawa'!I26,'31.07 Naguru-Nakawa'!I26,'02.08 Naguru-Nakawa'!I26,'01.08 Naguru-Nakawa-24h'!I26,'03.08 Naguru-Nakawa-24h'!I26,'04.08 Naguru-Nakawa'!I26)</f>
        <v>4.8571428571428568</v>
      </c>
      <c r="J26" s="49">
        <f>AVERAGE('29.07 Naguru-Nakawa'!J26,'30.07 Naguru-Nakawa'!J26,'31.07 Naguru-Nakawa'!J26,'02.08 Naguru-Nakawa'!J26,'01.08 Naguru-Nakawa-24h'!J26,'03.08 Naguru-Nakawa-24h'!J26,'04.08 Naguru-Nakawa'!J26)</f>
        <v>1.2857142857142858</v>
      </c>
      <c r="K26" s="49">
        <f>AVERAGE('29.07 Naguru-Nakawa'!K26,'30.07 Naguru-Nakawa'!K26,'31.07 Naguru-Nakawa'!K26,'02.08 Naguru-Nakawa'!K26,'01.08 Naguru-Nakawa-24h'!K26,'03.08 Naguru-Nakawa-24h'!K26,'04.08 Naguru-Nakawa'!K26)</f>
        <v>0.5714285714285714</v>
      </c>
      <c r="L26" s="49">
        <f>AVERAGE('29.07 Naguru-Nakawa'!L26,'30.07 Naguru-Nakawa'!L26,'31.07 Naguru-Nakawa'!L26,'02.08 Naguru-Nakawa'!L26,'01.08 Naguru-Nakawa-24h'!L26,'03.08 Naguru-Nakawa-24h'!L26,'04.08 Naguru-Nakawa'!L26)</f>
        <v>0</v>
      </c>
      <c r="M26" s="49">
        <f>AVERAGE('29.07 Naguru-Nakawa'!M26,'30.07 Naguru-Nakawa'!M26,'31.07 Naguru-Nakawa'!M26,'02.08 Naguru-Nakawa'!M26,'01.08 Naguru-Nakawa-24h'!M26,'03.08 Naguru-Nakawa-24h'!M26,'04.08 Naguru-Nakawa'!M26)</f>
        <v>69.142857142857139</v>
      </c>
      <c r="N26" s="49">
        <f>AVERAGE('29.07 Naguru-Nakawa'!N26,'30.07 Naguru-Nakawa'!N26,'31.07 Naguru-Nakawa'!N26,'02.08 Naguru-Nakawa'!N26,'01.08 Naguru-Nakawa-24h'!N26,'03.08 Naguru-Nakawa-24h'!N26,'04.08 Naguru-Nakawa'!N26)</f>
        <v>0</v>
      </c>
      <c r="O26" s="15">
        <f t="shared" si="0"/>
        <v>147.71428571428572</v>
      </c>
      <c r="P26" s="15">
        <f t="shared" si="1"/>
        <v>216.85714285714286</v>
      </c>
      <c r="R26" s="1" t="s">
        <v>150</v>
      </c>
      <c r="S26" s="34">
        <f>SUM(C74:C77)</f>
        <v>40</v>
      </c>
      <c r="T26" s="34">
        <f t="shared" ref="T26:AF26" si="18">SUM(D74:D77)</f>
        <v>10</v>
      </c>
      <c r="U26" s="34">
        <f t="shared" si="18"/>
        <v>2.5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1</v>
      </c>
      <c r="AA26" s="34">
        <f t="shared" si="18"/>
        <v>3.5</v>
      </c>
      <c r="AB26" s="34">
        <f t="shared" si="18"/>
        <v>0</v>
      </c>
      <c r="AC26" s="34">
        <f t="shared" si="18"/>
        <v>55.5</v>
      </c>
      <c r="AD26" s="34">
        <f t="shared" si="18"/>
        <v>0</v>
      </c>
      <c r="AE26" s="31">
        <f t="shared" si="18"/>
        <v>61.5</v>
      </c>
      <c r="AF26" s="31">
        <f t="shared" si="18"/>
        <v>117</v>
      </c>
    </row>
    <row r="27" spans="2:32" ht="23.1" customHeight="1" x14ac:dyDescent="0.25">
      <c r="B27" s="23" t="s">
        <v>54</v>
      </c>
      <c r="C27" s="49">
        <f>AVERAGE('29.07 Naguru-Nakawa'!C27,'30.07 Naguru-Nakawa'!C27,'31.07 Naguru-Nakawa'!C27,'02.08 Naguru-Nakawa'!C27,'01.08 Naguru-Nakawa-24h'!C27,'03.08 Naguru-Nakawa-24h'!C27,'04.08 Naguru-Nakawa'!C27)</f>
        <v>88.285714285714292</v>
      </c>
      <c r="D27" s="49">
        <f>AVERAGE('29.07 Naguru-Nakawa'!D27,'30.07 Naguru-Nakawa'!D27,'31.07 Naguru-Nakawa'!D27,'02.08 Naguru-Nakawa'!D27,'01.08 Naguru-Nakawa-24h'!D27,'03.08 Naguru-Nakawa-24h'!D27,'04.08 Naguru-Nakawa'!D27)</f>
        <v>21.285714285714285</v>
      </c>
      <c r="E27" s="49">
        <f>AVERAGE('29.07 Naguru-Nakawa'!E27,'30.07 Naguru-Nakawa'!E27,'31.07 Naguru-Nakawa'!E27,'02.08 Naguru-Nakawa'!E27,'01.08 Naguru-Nakawa-24h'!E27,'03.08 Naguru-Nakawa-24h'!E27,'04.08 Naguru-Nakawa'!E27)</f>
        <v>10.571428571428571</v>
      </c>
      <c r="F27" s="49">
        <f>AVERAGE('29.07 Naguru-Nakawa'!F27,'30.07 Naguru-Nakawa'!F27,'31.07 Naguru-Nakawa'!F27,'02.08 Naguru-Nakawa'!F27,'01.08 Naguru-Nakawa-24h'!F27,'03.08 Naguru-Nakawa-24h'!F27,'04.08 Naguru-Nakawa'!F27)</f>
        <v>8.2857142857142865</v>
      </c>
      <c r="G27" s="49">
        <f>AVERAGE('29.07 Naguru-Nakawa'!G27,'30.07 Naguru-Nakawa'!G27,'31.07 Naguru-Nakawa'!G27,'02.08 Naguru-Nakawa'!G27,'01.08 Naguru-Nakawa-24h'!G27,'03.08 Naguru-Nakawa-24h'!G27,'04.08 Naguru-Nakawa'!G27)</f>
        <v>0</v>
      </c>
      <c r="H27" s="49">
        <f>AVERAGE('29.07 Naguru-Nakawa'!H27,'30.07 Naguru-Nakawa'!H27,'31.07 Naguru-Nakawa'!H27,'02.08 Naguru-Nakawa'!H27,'01.08 Naguru-Nakawa-24h'!H27,'03.08 Naguru-Nakawa-24h'!H27,'04.08 Naguru-Nakawa'!H27)</f>
        <v>0</v>
      </c>
      <c r="I27" s="49">
        <f>AVERAGE('29.07 Naguru-Nakawa'!I27,'30.07 Naguru-Nakawa'!I27,'31.07 Naguru-Nakawa'!I27,'02.08 Naguru-Nakawa'!I27,'01.08 Naguru-Nakawa-24h'!I27,'03.08 Naguru-Nakawa-24h'!I27,'04.08 Naguru-Nakawa'!I27)</f>
        <v>3.1428571428571428</v>
      </c>
      <c r="J27" s="49">
        <f>AVERAGE('29.07 Naguru-Nakawa'!J27,'30.07 Naguru-Nakawa'!J27,'31.07 Naguru-Nakawa'!J27,'02.08 Naguru-Nakawa'!J27,'01.08 Naguru-Nakawa-24h'!J27,'03.08 Naguru-Nakawa-24h'!J27,'04.08 Naguru-Nakawa'!J27)</f>
        <v>0.5714285714285714</v>
      </c>
      <c r="K27" s="49">
        <f>AVERAGE('29.07 Naguru-Nakawa'!K27,'30.07 Naguru-Nakawa'!K27,'31.07 Naguru-Nakawa'!K27,'02.08 Naguru-Nakawa'!K27,'01.08 Naguru-Nakawa-24h'!K27,'03.08 Naguru-Nakawa-24h'!K27,'04.08 Naguru-Nakawa'!K27)</f>
        <v>0</v>
      </c>
      <c r="L27" s="49">
        <f>AVERAGE('29.07 Naguru-Nakawa'!L27,'30.07 Naguru-Nakawa'!L27,'31.07 Naguru-Nakawa'!L27,'02.08 Naguru-Nakawa'!L27,'01.08 Naguru-Nakawa-24h'!L27,'03.08 Naguru-Nakawa-24h'!L27,'04.08 Naguru-Nakawa'!L27)</f>
        <v>0</v>
      </c>
      <c r="M27" s="49">
        <f>AVERAGE('29.07 Naguru-Nakawa'!M27,'30.07 Naguru-Nakawa'!M27,'31.07 Naguru-Nakawa'!M27,'02.08 Naguru-Nakawa'!M27,'01.08 Naguru-Nakawa-24h'!M27,'03.08 Naguru-Nakawa-24h'!M27,'04.08 Naguru-Nakawa'!M27)</f>
        <v>66.571428571428569</v>
      </c>
      <c r="N27" s="49">
        <f>AVERAGE('29.07 Naguru-Nakawa'!N27,'30.07 Naguru-Nakawa'!N27,'31.07 Naguru-Nakawa'!N27,'02.08 Naguru-Nakawa'!N27,'01.08 Naguru-Nakawa-24h'!N27,'03.08 Naguru-Nakawa-24h'!N27,'04.08 Naguru-Nakawa'!N27)</f>
        <v>0.14285714285714285</v>
      </c>
      <c r="O27" s="15">
        <f t="shared" si="0"/>
        <v>132.28571428571431</v>
      </c>
      <c r="P27" s="15">
        <f t="shared" si="1"/>
        <v>198.85714285714286</v>
      </c>
      <c r="R27" s="1" t="s">
        <v>151</v>
      </c>
      <c r="S27" s="34">
        <f>SUM(C78:C81)</f>
        <v>10.5</v>
      </c>
      <c r="T27" s="34">
        <f t="shared" ref="T27:AF27" si="19">SUM(D78:D81)</f>
        <v>2.5</v>
      </c>
      <c r="U27" s="34">
        <f t="shared" si="19"/>
        <v>1.5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15.5</v>
      </c>
      <c r="AD27" s="34">
        <f t="shared" si="19"/>
        <v>0</v>
      </c>
      <c r="AE27" s="31">
        <f t="shared" si="19"/>
        <v>18</v>
      </c>
      <c r="AF27" s="31">
        <f t="shared" si="19"/>
        <v>33.5</v>
      </c>
    </row>
    <row r="28" spans="2:32" ht="23.1" customHeight="1" x14ac:dyDescent="0.25">
      <c r="B28" s="23" t="s">
        <v>55</v>
      </c>
      <c r="C28" s="49">
        <f>AVERAGE('29.07 Naguru-Nakawa'!C28,'30.07 Naguru-Nakawa'!C28,'31.07 Naguru-Nakawa'!C28,'02.08 Naguru-Nakawa'!C28,'01.08 Naguru-Nakawa-24h'!C28,'03.08 Naguru-Nakawa-24h'!C28,'04.08 Naguru-Nakawa'!C28)</f>
        <v>88.428571428571431</v>
      </c>
      <c r="D28" s="49">
        <f>AVERAGE('29.07 Naguru-Nakawa'!D28,'30.07 Naguru-Nakawa'!D28,'31.07 Naguru-Nakawa'!D28,'02.08 Naguru-Nakawa'!D28,'01.08 Naguru-Nakawa-24h'!D28,'03.08 Naguru-Nakawa-24h'!D28,'04.08 Naguru-Nakawa'!D28)</f>
        <v>19.857142857142858</v>
      </c>
      <c r="E28" s="49">
        <f>AVERAGE('29.07 Naguru-Nakawa'!E28,'30.07 Naguru-Nakawa'!E28,'31.07 Naguru-Nakawa'!E28,'02.08 Naguru-Nakawa'!E28,'01.08 Naguru-Nakawa-24h'!E28,'03.08 Naguru-Nakawa-24h'!E28,'04.08 Naguru-Nakawa'!E28)</f>
        <v>10.714285714285714</v>
      </c>
      <c r="F28" s="49">
        <f>AVERAGE('29.07 Naguru-Nakawa'!F28,'30.07 Naguru-Nakawa'!F28,'31.07 Naguru-Nakawa'!F28,'02.08 Naguru-Nakawa'!F28,'01.08 Naguru-Nakawa-24h'!F28,'03.08 Naguru-Nakawa-24h'!F28,'04.08 Naguru-Nakawa'!F28)</f>
        <v>8.2857142857142865</v>
      </c>
      <c r="G28" s="49">
        <f>AVERAGE('29.07 Naguru-Nakawa'!G28,'30.07 Naguru-Nakawa'!G28,'31.07 Naguru-Nakawa'!G28,'02.08 Naguru-Nakawa'!G28,'01.08 Naguru-Nakawa-24h'!G28,'03.08 Naguru-Nakawa-24h'!G28,'04.08 Naguru-Nakawa'!G28)</f>
        <v>0.14285714285714285</v>
      </c>
      <c r="H28" s="49">
        <f>AVERAGE('29.07 Naguru-Nakawa'!H28,'30.07 Naguru-Nakawa'!H28,'31.07 Naguru-Nakawa'!H28,'02.08 Naguru-Nakawa'!H28,'01.08 Naguru-Nakawa-24h'!H28,'03.08 Naguru-Nakawa-24h'!H28,'04.08 Naguru-Nakawa'!H28)</f>
        <v>0</v>
      </c>
      <c r="I28" s="49">
        <f>AVERAGE('29.07 Naguru-Nakawa'!I28,'30.07 Naguru-Nakawa'!I28,'31.07 Naguru-Nakawa'!I28,'02.08 Naguru-Nakawa'!I28,'01.08 Naguru-Nakawa-24h'!I28,'03.08 Naguru-Nakawa-24h'!I28,'04.08 Naguru-Nakawa'!I28)</f>
        <v>2.1428571428571428</v>
      </c>
      <c r="J28" s="49">
        <f>AVERAGE('29.07 Naguru-Nakawa'!J28,'30.07 Naguru-Nakawa'!J28,'31.07 Naguru-Nakawa'!J28,'02.08 Naguru-Nakawa'!J28,'01.08 Naguru-Nakawa-24h'!J28,'03.08 Naguru-Nakawa-24h'!J28,'04.08 Naguru-Nakawa'!J28)</f>
        <v>1</v>
      </c>
      <c r="K28" s="49">
        <f>AVERAGE('29.07 Naguru-Nakawa'!K28,'30.07 Naguru-Nakawa'!K28,'31.07 Naguru-Nakawa'!K28,'02.08 Naguru-Nakawa'!K28,'01.08 Naguru-Nakawa-24h'!K28,'03.08 Naguru-Nakawa-24h'!K28,'04.08 Naguru-Nakawa'!K28)</f>
        <v>0</v>
      </c>
      <c r="L28" s="49">
        <f>AVERAGE('29.07 Naguru-Nakawa'!L28,'30.07 Naguru-Nakawa'!L28,'31.07 Naguru-Nakawa'!L28,'02.08 Naguru-Nakawa'!L28,'01.08 Naguru-Nakawa-24h'!L28,'03.08 Naguru-Nakawa-24h'!L28,'04.08 Naguru-Nakawa'!L28)</f>
        <v>0</v>
      </c>
      <c r="M28" s="49">
        <f>AVERAGE('29.07 Naguru-Nakawa'!M28,'30.07 Naguru-Nakawa'!M28,'31.07 Naguru-Nakawa'!M28,'02.08 Naguru-Nakawa'!M28,'01.08 Naguru-Nakawa-24h'!M28,'03.08 Naguru-Nakawa-24h'!M28,'04.08 Naguru-Nakawa'!M28)</f>
        <v>71.571428571428569</v>
      </c>
      <c r="N28" s="49">
        <f>AVERAGE('29.07 Naguru-Nakawa'!N28,'30.07 Naguru-Nakawa'!N28,'31.07 Naguru-Nakawa'!N28,'02.08 Naguru-Nakawa'!N28,'01.08 Naguru-Nakawa-24h'!N28,'03.08 Naguru-Nakawa-24h'!N28,'04.08 Naguru-Nakawa'!N28)</f>
        <v>0</v>
      </c>
      <c r="O28" s="15">
        <f t="shared" si="0"/>
        <v>130.57142857142858</v>
      </c>
      <c r="P28" s="15">
        <f t="shared" si="1"/>
        <v>202.14285714285717</v>
      </c>
      <c r="R28" s="1" t="s">
        <v>152</v>
      </c>
      <c r="S28" s="34">
        <f>SUM(C82:C85)</f>
        <v>8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9</v>
      </c>
      <c r="AD28" s="34">
        <f t="shared" si="20"/>
        <v>0</v>
      </c>
      <c r="AE28" s="31">
        <f t="shared" si="20"/>
        <v>13.5</v>
      </c>
      <c r="AF28" s="31">
        <f t="shared" si="20"/>
        <v>22.5</v>
      </c>
    </row>
    <row r="29" spans="2:32" ht="23.1" customHeight="1" x14ac:dyDescent="0.25">
      <c r="B29" s="23" t="s">
        <v>56</v>
      </c>
      <c r="C29" s="49">
        <f>AVERAGE('29.07 Naguru-Nakawa'!C29,'30.07 Naguru-Nakawa'!C29,'31.07 Naguru-Nakawa'!C29,'02.08 Naguru-Nakawa'!C29,'01.08 Naguru-Nakawa-24h'!C29,'03.08 Naguru-Nakawa-24h'!C29,'04.08 Naguru-Nakawa'!C29)</f>
        <v>88.142857142857139</v>
      </c>
      <c r="D29" s="49">
        <f>AVERAGE('29.07 Naguru-Nakawa'!D29,'30.07 Naguru-Nakawa'!D29,'31.07 Naguru-Nakawa'!D29,'02.08 Naguru-Nakawa'!D29,'01.08 Naguru-Nakawa-24h'!D29,'03.08 Naguru-Nakawa-24h'!D29,'04.08 Naguru-Nakawa'!D29)</f>
        <v>25</v>
      </c>
      <c r="E29" s="49">
        <f>AVERAGE('29.07 Naguru-Nakawa'!E29,'30.07 Naguru-Nakawa'!E29,'31.07 Naguru-Nakawa'!E29,'02.08 Naguru-Nakawa'!E29,'01.08 Naguru-Nakawa-24h'!E29,'03.08 Naguru-Nakawa-24h'!E29,'04.08 Naguru-Nakawa'!E29)</f>
        <v>11.285714285714286</v>
      </c>
      <c r="F29" s="49">
        <f>AVERAGE('29.07 Naguru-Nakawa'!F29,'30.07 Naguru-Nakawa'!F29,'31.07 Naguru-Nakawa'!F29,'02.08 Naguru-Nakawa'!F29,'01.08 Naguru-Nakawa-24h'!F29,'03.08 Naguru-Nakawa-24h'!F29,'04.08 Naguru-Nakawa'!F29)</f>
        <v>8.8571428571428577</v>
      </c>
      <c r="G29" s="49">
        <f>AVERAGE('29.07 Naguru-Nakawa'!G29,'30.07 Naguru-Nakawa'!G29,'31.07 Naguru-Nakawa'!G29,'02.08 Naguru-Nakawa'!G29,'01.08 Naguru-Nakawa-24h'!G29,'03.08 Naguru-Nakawa-24h'!G29,'04.08 Naguru-Nakawa'!G29)</f>
        <v>0</v>
      </c>
      <c r="H29" s="49">
        <f>AVERAGE('29.07 Naguru-Nakawa'!H29,'30.07 Naguru-Nakawa'!H29,'31.07 Naguru-Nakawa'!H29,'02.08 Naguru-Nakawa'!H29,'01.08 Naguru-Nakawa-24h'!H29,'03.08 Naguru-Nakawa-24h'!H29,'04.08 Naguru-Nakawa'!H29)</f>
        <v>0</v>
      </c>
      <c r="I29" s="49">
        <f>AVERAGE('29.07 Naguru-Nakawa'!I29,'30.07 Naguru-Nakawa'!I29,'31.07 Naguru-Nakawa'!I29,'02.08 Naguru-Nakawa'!I29,'01.08 Naguru-Nakawa-24h'!I29,'03.08 Naguru-Nakawa-24h'!I29,'04.08 Naguru-Nakawa'!I29)</f>
        <v>4.4285714285714288</v>
      </c>
      <c r="J29" s="49">
        <f>AVERAGE('29.07 Naguru-Nakawa'!J29,'30.07 Naguru-Nakawa'!J29,'31.07 Naguru-Nakawa'!J29,'02.08 Naguru-Nakawa'!J29,'01.08 Naguru-Nakawa-24h'!J29,'03.08 Naguru-Nakawa-24h'!J29,'04.08 Naguru-Nakawa'!J29)</f>
        <v>1.1428571428571428</v>
      </c>
      <c r="K29" s="49">
        <f>AVERAGE('29.07 Naguru-Nakawa'!K29,'30.07 Naguru-Nakawa'!K29,'31.07 Naguru-Nakawa'!K29,'02.08 Naguru-Nakawa'!K29,'01.08 Naguru-Nakawa-24h'!K29,'03.08 Naguru-Nakawa-24h'!K29,'04.08 Naguru-Nakawa'!K29)</f>
        <v>0.42857142857142855</v>
      </c>
      <c r="L29" s="49">
        <f>AVERAGE('29.07 Naguru-Nakawa'!L29,'30.07 Naguru-Nakawa'!L29,'31.07 Naguru-Nakawa'!L29,'02.08 Naguru-Nakawa'!L29,'01.08 Naguru-Nakawa-24h'!L29,'03.08 Naguru-Nakawa-24h'!L29,'04.08 Naguru-Nakawa'!L29)</f>
        <v>0</v>
      </c>
      <c r="M29" s="49">
        <f>AVERAGE('29.07 Naguru-Nakawa'!M29,'30.07 Naguru-Nakawa'!M29,'31.07 Naguru-Nakawa'!M29,'02.08 Naguru-Nakawa'!M29,'01.08 Naguru-Nakawa-24h'!M29,'03.08 Naguru-Nakawa-24h'!M29,'04.08 Naguru-Nakawa'!M29)</f>
        <v>76.142857142857139</v>
      </c>
      <c r="N29" s="49">
        <f>AVERAGE('29.07 Naguru-Nakawa'!N29,'30.07 Naguru-Nakawa'!N29,'31.07 Naguru-Nakawa'!N29,'02.08 Naguru-Nakawa'!N29,'01.08 Naguru-Nakawa-24h'!N29,'03.08 Naguru-Nakawa-24h'!N29,'04.08 Naguru-Nakawa'!N29)</f>
        <v>0</v>
      </c>
      <c r="O29" s="15">
        <f t="shared" si="0"/>
        <v>139.28571428571425</v>
      </c>
      <c r="P29" s="15">
        <f t="shared" si="1"/>
        <v>215.42857142857139</v>
      </c>
      <c r="R29" s="1" t="s">
        <v>153</v>
      </c>
      <c r="S29" s="34">
        <f>SUM(C86:C89)</f>
        <v>11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</v>
      </c>
      <c r="AD29" s="34">
        <f t="shared" si="21"/>
        <v>0</v>
      </c>
      <c r="AE29" s="31">
        <f t="shared" si="21"/>
        <v>13.5</v>
      </c>
      <c r="AF29" s="31">
        <f t="shared" si="21"/>
        <v>18.5</v>
      </c>
    </row>
    <row r="30" spans="2:32" ht="23.1" customHeight="1" x14ac:dyDescent="0.25">
      <c r="B30" s="23" t="s">
        <v>57</v>
      </c>
      <c r="C30" s="49">
        <f>AVERAGE('29.07 Naguru-Nakawa'!C30,'30.07 Naguru-Nakawa'!C30,'31.07 Naguru-Nakawa'!C30,'02.08 Naguru-Nakawa'!C30,'01.08 Naguru-Nakawa-24h'!C30,'03.08 Naguru-Nakawa-24h'!C30,'04.08 Naguru-Nakawa'!C30)</f>
        <v>107.71428571428571</v>
      </c>
      <c r="D30" s="49">
        <f>AVERAGE('29.07 Naguru-Nakawa'!D30,'30.07 Naguru-Nakawa'!D30,'31.07 Naguru-Nakawa'!D30,'02.08 Naguru-Nakawa'!D30,'01.08 Naguru-Nakawa-24h'!D30,'03.08 Naguru-Nakawa-24h'!D30,'04.08 Naguru-Nakawa'!D30)</f>
        <v>23</v>
      </c>
      <c r="E30" s="49">
        <f>AVERAGE('29.07 Naguru-Nakawa'!E30,'30.07 Naguru-Nakawa'!E30,'31.07 Naguru-Nakawa'!E30,'02.08 Naguru-Nakawa'!E30,'01.08 Naguru-Nakawa-24h'!E30,'03.08 Naguru-Nakawa-24h'!E30,'04.08 Naguru-Nakawa'!E30)</f>
        <v>10.142857142857142</v>
      </c>
      <c r="F30" s="49">
        <f>AVERAGE('29.07 Naguru-Nakawa'!F30,'30.07 Naguru-Nakawa'!F30,'31.07 Naguru-Nakawa'!F30,'02.08 Naguru-Nakawa'!F30,'01.08 Naguru-Nakawa-24h'!F30,'03.08 Naguru-Nakawa-24h'!F30,'04.08 Naguru-Nakawa'!F30)</f>
        <v>10.571428571428571</v>
      </c>
      <c r="G30" s="49">
        <f>AVERAGE('29.07 Naguru-Nakawa'!G30,'30.07 Naguru-Nakawa'!G30,'31.07 Naguru-Nakawa'!G30,'02.08 Naguru-Nakawa'!G30,'01.08 Naguru-Nakawa-24h'!G30,'03.08 Naguru-Nakawa-24h'!G30,'04.08 Naguru-Nakawa'!G30)</f>
        <v>0</v>
      </c>
      <c r="H30" s="49">
        <f>AVERAGE('29.07 Naguru-Nakawa'!H30,'30.07 Naguru-Nakawa'!H30,'31.07 Naguru-Nakawa'!H30,'02.08 Naguru-Nakawa'!H30,'01.08 Naguru-Nakawa-24h'!H30,'03.08 Naguru-Nakawa-24h'!H30,'04.08 Naguru-Nakawa'!H30)</f>
        <v>0</v>
      </c>
      <c r="I30" s="49">
        <f>AVERAGE('29.07 Naguru-Nakawa'!I30,'30.07 Naguru-Nakawa'!I30,'31.07 Naguru-Nakawa'!I30,'02.08 Naguru-Nakawa'!I30,'01.08 Naguru-Nakawa-24h'!I30,'03.08 Naguru-Nakawa-24h'!I30,'04.08 Naguru-Nakawa'!I30)</f>
        <v>4</v>
      </c>
      <c r="J30" s="49">
        <f>AVERAGE('29.07 Naguru-Nakawa'!J30,'30.07 Naguru-Nakawa'!J30,'31.07 Naguru-Nakawa'!J30,'02.08 Naguru-Nakawa'!J30,'01.08 Naguru-Nakawa-24h'!J30,'03.08 Naguru-Nakawa-24h'!J30,'04.08 Naguru-Nakawa'!J30)</f>
        <v>0.7142857142857143</v>
      </c>
      <c r="K30" s="49">
        <f>AVERAGE('29.07 Naguru-Nakawa'!K30,'30.07 Naguru-Nakawa'!K30,'31.07 Naguru-Nakawa'!K30,'02.08 Naguru-Nakawa'!K30,'01.08 Naguru-Nakawa-24h'!K30,'03.08 Naguru-Nakawa-24h'!K30,'04.08 Naguru-Nakawa'!K30)</f>
        <v>0.14285714285714285</v>
      </c>
      <c r="L30" s="49">
        <f>AVERAGE('29.07 Naguru-Nakawa'!L30,'30.07 Naguru-Nakawa'!L30,'31.07 Naguru-Nakawa'!L30,'02.08 Naguru-Nakawa'!L30,'01.08 Naguru-Nakawa-24h'!L30,'03.08 Naguru-Nakawa-24h'!L30,'04.08 Naguru-Nakawa'!L30)</f>
        <v>0</v>
      </c>
      <c r="M30" s="49">
        <f>AVERAGE('29.07 Naguru-Nakawa'!M30,'30.07 Naguru-Nakawa'!M30,'31.07 Naguru-Nakawa'!M30,'02.08 Naguru-Nakawa'!M30,'01.08 Naguru-Nakawa-24h'!M30,'03.08 Naguru-Nakawa-24h'!M30,'04.08 Naguru-Nakawa'!M30)</f>
        <v>63.285714285714285</v>
      </c>
      <c r="N30" s="49">
        <f>AVERAGE('29.07 Naguru-Nakawa'!N30,'30.07 Naguru-Nakawa'!N30,'31.07 Naguru-Nakawa'!N30,'02.08 Naguru-Nakawa'!N30,'01.08 Naguru-Nakawa-24h'!N30,'03.08 Naguru-Nakawa-24h'!N30,'04.08 Naguru-Nakawa'!N30)</f>
        <v>0</v>
      </c>
      <c r="O30" s="15">
        <f t="shared" si="0"/>
        <v>156.28571428571431</v>
      </c>
      <c r="P30" s="15">
        <f t="shared" si="1"/>
        <v>219.57142857142858</v>
      </c>
      <c r="R30" s="1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3.5</v>
      </c>
      <c r="AF30" s="31">
        <f t="shared" si="22"/>
        <v>10.5</v>
      </c>
    </row>
    <row r="31" spans="2:32" ht="23.1" customHeight="1" x14ac:dyDescent="0.25">
      <c r="B31" s="24" t="s">
        <v>58</v>
      </c>
      <c r="C31" s="49">
        <f>AVERAGE('29.07 Naguru-Nakawa'!C31,'30.07 Naguru-Nakawa'!C31,'31.07 Naguru-Nakawa'!C31,'02.08 Naguru-Nakawa'!C31,'01.08 Naguru-Nakawa-24h'!C31,'03.08 Naguru-Nakawa-24h'!C31,'04.08 Naguru-Nakawa'!C31)</f>
        <v>95</v>
      </c>
      <c r="D31" s="49">
        <f>AVERAGE('29.07 Naguru-Nakawa'!D31,'30.07 Naguru-Nakawa'!D31,'31.07 Naguru-Nakawa'!D31,'02.08 Naguru-Nakawa'!D31,'01.08 Naguru-Nakawa-24h'!D31,'03.08 Naguru-Nakawa-24h'!D31,'04.08 Naguru-Nakawa'!D31)</f>
        <v>23.428571428571427</v>
      </c>
      <c r="E31" s="49">
        <f>AVERAGE('29.07 Naguru-Nakawa'!E31,'30.07 Naguru-Nakawa'!E31,'31.07 Naguru-Nakawa'!E31,'02.08 Naguru-Nakawa'!E31,'01.08 Naguru-Nakawa-24h'!E31,'03.08 Naguru-Nakawa-24h'!E31,'04.08 Naguru-Nakawa'!E31)</f>
        <v>8.4285714285714288</v>
      </c>
      <c r="F31" s="49">
        <f>AVERAGE('29.07 Naguru-Nakawa'!F31,'30.07 Naguru-Nakawa'!F31,'31.07 Naguru-Nakawa'!F31,'02.08 Naguru-Nakawa'!F31,'01.08 Naguru-Nakawa-24h'!F31,'03.08 Naguru-Nakawa-24h'!F31,'04.08 Naguru-Nakawa'!F31)</f>
        <v>7.8571428571428568</v>
      </c>
      <c r="G31" s="49">
        <f>AVERAGE('29.07 Naguru-Nakawa'!G31,'30.07 Naguru-Nakawa'!G31,'31.07 Naguru-Nakawa'!G31,'02.08 Naguru-Nakawa'!G31,'01.08 Naguru-Nakawa-24h'!G31,'03.08 Naguru-Nakawa-24h'!G31,'04.08 Naguru-Nakawa'!G31)</f>
        <v>0</v>
      </c>
      <c r="H31" s="49">
        <f>AVERAGE('29.07 Naguru-Nakawa'!H31,'30.07 Naguru-Nakawa'!H31,'31.07 Naguru-Nakawa'!H31,'02.08 Naguru-Nakawa'!H31,'01.08 Naguru-Nakawa-24h'!H31,'03.08 Naguru-Nakawa-24h'!H31,'04.08 Naguru-Nakawa'!H31)</f>
        <v>0</v>
      </c>
      <c r="I31" s="49">
        <f>AVERAGE('29.07 Naguru-Nakawa'!I31,'30.07 Naguru-Nakawa'!I31,'31.07 Naguru-Nakawa'!I31,'02.08 Naguru-Nakawa'!I31,'01.08 Naguru-Nakawa-24h'!I31,'03.08 Naguru-Nakawa-24h'!I31,'04.08 Naguru-Nakawa'!I31)</f>
        <v>4.8571428571428568</v>
      </c>
      <c r="J31" s="49">
        <f>AVERAGE('29.07 Naguru-Nakawa'!J31,'30.07 Naguru-Nakawa'!J31,'31.07 Naguru-Nakawa'!J31,'02.08 Naguru-Nakawa'!J31,'01.08 Naguru-Nakawa-24h'!J31,'03.08 Naguru-Nakawa-24h'!J31,'04.08 Naguru-Nakawa'!J31)</f>
        <v>1.2857142857142858</v>
      </c>
      <c r="K31" s="49">
        <f>AVERAGE('29.07 Naguru-Nakawa'!K31,'30.07 Naguru-Nakawa'!K31,'31.07 Naguru-Nakawa'!K31,'02.08 Naguru-Nakawa'!K31,'01.08 Naguru-Nakawa-24h'!K31,'03.08 Naguru-Nakawa-24h'!K31,'04.08 Naguru-Nakawa'!K31)</f>
        <v>0.14285714285714285</v>
      </c>
      <c r="L31" s="49">
        <f>AVERAGE('29.07 Naguru-Nakawa'!L31,'30.07 Naguru-Nakawa'!L31,'31.07 Naguru-Nakawa'!L31,'02.08 Naguru-Nakawa'!L31,'01.08 Naguru-Nakawa-24h'!L31,'03.08 Naguru-Nakawa-24h'!L31,'04.08 Naguru-Nakawa'!L31)</f>
        <v>0.14285714285714285</v>
      </c>
      <c r="M31" s="49">
        <f>AVERAGE('29.07 Naguru-Nakawa'!M31,'30.07 Naguru-Nakawa'!M31,'31.07 Naguru-Nakawa'!M31,'02.08 Naguru-Nakawa'!M31,'01.08 Naguru-Nakawa-24h'!M31,'03.08 Naguru-Nakawa-24h'!M31,'04.08 Naguru-Nakawa'!M31)</f>
        <v>70.285714285714292</v>
      </c>
      <c r="N31" s="49">
        <f>AVERAGE('29.07 Naguru-Nakawa'!N31,'30.07 Naguru-Nakawa'!N31,'31.07 Naguru-Nakawa'!N31,'02.08 Naguru-Nakawa'!N31,'01.08 Naguru-Nakawa-24h'!N31,'03.08 Naguru-Nakawa-24h'!N31,'04.08 Naguru-Nakawa'!N31)</f>
        <v>0</v>
      </c>
      <c r="O31" s="15">
        <f t="shared" si="0"/>
        <v>141.14285714285714</v>
      </c>
      <c r="P31" s="15">
        <f t="shared" si="1"/>
        <v>211.42857142857144</v>
      </c>
      <c r="R31" s="1" t="s">
        <v>155</v>
      </c>
      <c r="S31" s="34">
        <f>SUM(C94:C97)</f>
        <v>4</v>
      </c>
      <c r="T31" s="34">
        <f t="shared" ref="T31:AF31" si="23">SUM(D94:D97)</f>
        <v>3.5</v>
      </c>
      <c r="U31" s="34">
        <f t="shared" si="23"/>
        <v>0.5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14.5</v>
      </c>
      <c r="AD31" s="34">
        <f t="shared" si="23"/>
        <v>0</v>
      </c>
      <c r="AE31" s="31">
        <f t="shared" si="23"/>
        <v>9</v>
      </c>
      <c r="AF31" s="31">
        <f t="shared" si="23"/>
        <v>23.5</v>
      </c>
    </row>
    <row r="32" spans="2:32" ht="23.1" customHeight="1" x14ac:dyDescent="0.25">
      <c r="B32" s="24" t="s">
        <v>59</v>
      </c>
      <c r="C32" s="49">
        <f>AVERAGE('29.07 Naguru-Nakawa'!C32,'30.07 Naguru-Nakawa'!C32,'31.07 Naguru-Nakawa'!C32,'02.08 Naguru-Nakawa'!C32,'01.08 Naguru-Nakawa-24h'!C32,'03.08 Naguru-Nakawa-24h'!C32,'04.08 Naguru-Nakawa'!C32)</f>
        <v>84.714285714285708</v>
      </c>
      <c r="D32" s="49">
        <f>AVERAGE('29.07 Naguru-Nakawa'!D32,'30.07 Naguru-Nakawa'!D32,'31.07 Naguru-Nakawa'!D32,'02.08 Naguru-Nakawa'!D32,'01.08 Naguru-Nakawa-24h'!D32,'03.08 Naguru-Nakawa-24h'!D32,'04.08 Naguru-Nakawa'!D32)</f>
        <v>24.142857142857142</v>
      </c>
      <c r="E32" s="49">
        <f>AVERAGE('29.07 Naguru-Nakawa'!E32,'30.07 Naguru-Nakawa'!E32,'31.07 Naguru-Nakawa'!E32,'02.08 Naguru-Nakawa'!E32,'01.08 Naguru-Nakawa-24h'!E32,'03.08 Naguru-Nakawa-24h'!E32,'04.08 Naguru-Nakawa'!E32)</f>
        <v>9</v>
      </c>
      <c r="F32" s="49">
        <f>AVERAGE('29.07 Naguru-Nakawa'!F32,'30.07 Naguru-Nakawa'!F32,'31.07 Naguru-Nakawa'!F32,'02.08 Naguru-Nakawa'!F32,'01.08 Naguru-Nakawa-24h'!F32,'03.08 Naguru-Nakawa-24h'!F32,'04.08 Naguru-Nakawa'!F32)</f>
        <v>6.8571428571428568</v>
      </c>
      <c r="G32" s="49">
        <f>AVERAGE('29.07 Naguru-Nakawa'!G32,'30.07 Naguru-Nakawa'!G32,'31.07 Naguru-Nakawa'!G32,'02.08 Naguru-Nakawa'!G32,'01.08 Naguru-Nakawa-24h'!G32,'03.08 Naguru-Nakawa-24h'!G32,'04.08 Naguru-Nakawa'!G32)</f>
        <v>0.14285714285714285</v>
      </c>
      <c r="H32" s="49">
        <f>AVERAGE('29.07 Naguru-Nakawa'!H32,'30.07 Naguru-Nakawa'!H32,'31.07 Naguru-Nakawa'!H32,'02.08 Naguru-Nakawa'!H32,'01.08 Naguru-Nakawa-24h'!H32,'03.08 Naguru-Nakawa-24h'!H32,'04.08 Naguru-Nakawa'!H32)</f>
        <v>0</v>
      </c>
      <c r="I32" s="49">
        <f>AVERAGE('29.07 Naguru-Nakawa'!I32,'30.07 Naguru-Nakawa'!I32,'31.07 Naguru-Nakawa'!I32,'02.08 Naguru-Nakawa'!I32,'01.08 Naguru-Nakawa-24h'!I32,'03.08 Naguru-Nakawa-24h'!I32,'04.08 Naguru-Nakawa'!I32)</f>
        <v>4.1428571428571432</v>
      </c>
      <c r="J32" s="49">
        <f>AVERAGE('29.07 Naguru-Nakawa'!J32,'30.07 Naguru-Nakawa'!J32,'31.07 Naguru-Nakawa'!J32,'02.08 Naguru-Nakawa'!J32,'01.08 Naguru-Nakawa-24h'!J32,'03.08 Naguru-Nakawa-24h'!J32,'04.08 Naguru-Nakawa'!J32)</f>
        <v>0.2857142857142857</v>
      </c>
      <c r="K32" s="49">
        <f>AVERAGE('29.07 Naguru-Nakawa'!K32,'30.07 Naguru-Nakawa'!K32,'31.07 Naguru-Nakawa'!K32,'02.08 Naguru-Nakawa'!K32,'01.08 Naguru-Nakawa-24h'!K32,'03.08 Naguru-Nakawa-24h'!K32,'04.08 Naguru-Nakawa'!K32)</f>
        <v>0</v>
      </c>
      <c r="L32" s="49">
        <f>AVERAGE('29.07 Naguru-Nakawa'!L32,'30.07 Naguru-Nakawa'!L32,'31.07 Naguru-Nakawa'!L32,'02.08 Naguru-Nakawa'!L32,'01.08 Naguru-Nakawa-24h'!L32,'03.08 Naguru-Nakawa-24h'!L32,'04.08 Naguru-Nakawa'!L32)</f>
        <v>0</v>
      </c>
      <c r="M32" s="49">
        <f>AVERAGE('29.07 Naguru-Nakawa'!M32,'30.07 Naguru-Nakawa'!M32,'31.07 Naguru-Nakawa'!M32,'02.08 Naguru-Nakawa'!M32,'01.08 Naguru-Nakawa-24h'!M32,'03.08 Naguru-Nakawa-24h'!M32,'04.08 Naguru-Nakawa'!M32)</f>
        <v>68.857142857142861</v>
      </c>
      <c r="N32" s="49">
        <f>AVERAGE('29.07 Naguru-Nakawa'!N32,'30.07 Naguru-Nakawa'!N32,'31.07 Naguru-Nakawa'!N32,'02.08 Naguru-Nakawa'!N32,'01.08 Naguru-Nakawa-24h'!N32,'03.08 Naguru-Nakawa-24h'!N32,'04.08 Naguru-Nakawa'!N32)</f>
        <v>0</v>
      </c>
      <c r="O32" s="15">
        <f t="shared" si="0"/>
        <v>129.28571428571428</v>
      </c>
      <c r="P32" s="15">
        <f t="shared" si="1"/>
        <v>198.14285714285714</v>
      </c>
      <c r="R32" s="1" t="s">
        <v>156</v>
      </c>
      <c r="S32" s="34">
        <f>SUM(C98:C101)</f>
        <v>5</v>
      </c>
      <c r="T32" s="34">
        <f t="shared" ref="T32:AF32" si="24">SUM(D98:D101)</f>
        <v>3</v>
      </c>
      <c r="U32" s="34">
        <f t="shared" si="24"/>
        <v>3.5</v>
      </c>
      <c r="V32" s="34">
        <f t="shared" si="24"/>
        <v>2</v>
      </c>
      <c r="W32" s="34">
        <f t="shared" si="24"/>
        <v>0</v>
      </c>
      <c r="X32" s="34">
        <f t="shared" si="24"/>
        <v>1</v>
      </c>
      <c r="Y32" s="34">
        <f t="shared" si="24"/>
        <v>1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21.5</v>
      </c>
      <c r="AD32" s="34">
        <f t="shared" si="24"/>
        <v>0</v>
      </c>
      <c r="AE32" s="31">
        <f t="shared" si="24"/>
        <v>16.5</v>
      </c>
      <c r="AF32" s="31">
        <f t="shared" si="24"/>
        <v>38</v>
      </c>
    </row>
    <row r="33" spans="2:32" ht="23.1" customHeight="1" x14ac:dyDescent="0.25">
      <c r="B33" s="23" t="s">
        <v>60</v>
      </c>
      <c r="C33" s="49">
        <f>AVERAGE('29.07 Naguru-Nakawa'!C33,'30.07 Naguru-Nakawa'!C33,'31.07 Naguru-Nakawa'!C33,'02.08 Naguru-Nakawa'!C33,'01.08 Naguru-Nakawa-24h'!C33,'03.08 Naguru-Nakawa-24h'!C33,'04.08 Naguru-Nakawa'!C33)</f>
        <v>107.85714285714286</v>
      </c>
      <c r="D33" s="49">
        <f>AVERAGE('29.07 Naguru-Nakawa'!D33,'30.07 Naguru-Nakawa'!D33,'31.07 Naguru-Nakawa'!D33,'02.08 Naguru-Nakawa'!D33,'01.08 Naguru-Nakawa-24h'!D33,'03.08 Naguru-Nakawa-24h'!D33,'04.08 Naguru-Nakawa'!D33)</f>
        <v>20.714285714285715</v>
      </c>
      <c r="E33" s="49">
        <f>AVERAGE('29.07 Naguru-Nakawa'!E33,'30.07 Naguru-Nakawa'!E33,'31.07 Naguru-Nakawa'!E33,'02.08 Naguru-Nakawa'!E33,'01.08 Naguru-Nakawa-24h'!E33,'03.08 Naguru-Nakawa-24h'!E33,'04.08 Naguru-Nakawa'!E33)</f>
        <v>10.428571428571429</v>
      </c>
      <c r="F33" s="49">
        <f>AVERAGE('29.07 Naguru-Nakawa'!F33,'30.07 Naguru-Nakawa'!F33,'31.07 Naguru-Nakawa'!F33,'02.08 Naguru-Nakawa'!F33,'01.08 Naguru-Nakawa-24h'!F33,'03.08 Naguru-Nakawa-24h'!F33,'04.08 Naguru-Nakawa'!F33)</f>
        <v>8.2857142857142865</v>
      </c>
      <c r="G33" s="49">
        <f>AVERAGE('29.07 Naguru-Nakawa'!G33,'30.07 Naguru-Nakawa'!G33,'31.07 Naguru-Nakawa'!G33,'02.08 Naguru-Nakawa'!G33,'01.08 Naguru-Nakawa-24h'!G33,'03.08 Naguru-Nakawa-24h'!G33,'04.08 Naguru-Nakawa'!G33)</f>
        <v>0</v>
      </c>
      <c r="H33" s="49">
        <f>AVERAGE('29.07 Naguru-Nakawa'!H33,'30.07 Naguru-Nakawa'!H33,'31.07 Naguru-Nakawa'!H33,'02.08 Naguru-Nakawa'!H33,'01.08 Naguru-Nakawa-24h'!H33,'03.08 Naguru-Nakawa-24h'!H33,'04.08 Naguru-Nakawa'!H33)</f>
        <v>0</v>
      </c>
      <c r="I33" s="49">
        <f>AVERAGE('29.07 Naguru-Nakawa'!I33,'30.07 Naguru-Nakawa'!I33,'31.07 Naguru-Nakawa'!I33,'02.08 Naguru-Nakawa'!I33,'01.08 Naguru-Nakawa-24h'!I33,'03.08 Naguru-Nakawa-24h'!I33,'04.08 Naguru-Nakawa'!I33)</f>
        <v>5.1428571428571432</v>
      </c>
      <c r="J33" s="49">
        <f>AVERAGE('29.07 Naguru-Nakawa'!J33,'30.07 Naguru-Nakawa'!J33,'31.07 Naguru-Nakawa'!J33,'02.08 Naguru-Nakawa'!J33,'01.08 Naguru-Nakawa-24h'!J33,'03.08 Naguru-Nakawa-24h'!J33,'04.08 Naguru-Nakawa'!J33)</f>
        <v>0.7142857142857143</v>
      </c>
      <c r="K33" s="49">
        <f>AVERAGE('29.07 Naguru-Nakawa'!K33,'30.07 Naguru-Nakawa'!K33,'31.07 Naguru-Nakawa'!K33,'02.08 Naguru-Nakawa'!K33,'01.08 Naguru-Nakawa-24h'!K33,'03.08 Naguru-Nakawa-24h'!K33,'04.08 Naguru-Nakawa'!K33)</f>
        <v>0.42857142857142855</v>
      </c>
      <c r="L33" s="49">
        <f>AVERAGE('29.07 Naguru-Nakawa'!L33,'30.07 Naguru-Nakawa'!L33,'31.07 Naguru-Nakawa'!L33,'02.08 Naguru-Nakawa'!L33,'01.08 Naguru-Nakawa-24h'!L33,'03.08 Naguru-Nakawa-24h'!L33,'04.08 Naguru-Nakawa'!L33)</f>
        <v>0</v>
      </c>
      <c r="M33" s="49">
        <f>AVERAGE('29.07 Naguru-Nakawa'!M33,'30.07 Naguru-Nakawa'!M33,'31.07 Naguru-Nakawa'!M33,'02.08 Naguru-Nakawa'!M33,'01.08 Naguru-Nakawa-24h'!M33,'03.08 Naguru-Nakawa-24h'!M33,'04.08 Naguru-Nakawa'!M33)</f>
        <v>73.142857142857139</v>
      </c>
      <c r="N33" s="49">
        <f>AVERAGE('29.07 Naguru-Nakawa'!N33,'30.07 Naguru-Nakawa'!N33,'31.07 Naguru-Nakawa'!N33,'02.08 Naguru-Nakawa'!N33,'01.08 Naguru-Nakawa-24h'!N33,'03.08 Naguru-Nakawa-24h'!N33,'04.08 Naguru-Nakawa'!N33)</f>
        <v>0</v>
      </c>
      <c r="O33" s="15">
        <f t="shared" si="0"/>
        <v>153.57142857142856</v>
      </c>
      <c r="P33" s="15">
        <f t="shared" si="1"/>
        <v>226.71428571428569</v>
      </c>
      <c r="R33" s="1" t="s">
        <v>157</v>
      </c>
      <c r="S33" s="34">
        <f>SUM(C102:C105)</f>
        <v>55</v>
      </c>
      <c r="T33" s="34">
        <f t="shared" ref="T33:AF33" si="25">SUM(D102:D105)</f>
        <v>21.5</v>
      </c>
      <c r="U33" s="34">
        <f t="shared" si="25"/>
        <v>18</v>
      </c>
      <c r="V33" s="34">
        <f t="shared" si="25"/>
        <v>18.5</v>
      </c>
      <c r="W33" s="34">
        <f t="shared" si="25"/>
        <v>0.5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4</v>
      </c>
      <c r="AB33" s="34">
        <f t="shared" si="25"/>
        <v>0</v>
      </c>
      <c r="AC33" s="34">
        <f t="shared" si="25"/>
        <v>61</v>
      </c>
      <c r="AD33" s="34">
        <f t="shared" si="25"/>
        <v>0</v>
      </c>
      <c r="AE33" s="31">
        <f t="shared" si="25"/>
        <v>120.5</v>
      </c>
      <c r="AF33" s="31">
        <f t="shared" si="25"/>
        <v>181.5</v>
      </c>
    </row>
    <row r="34" spans="2:32" ht="23.1" customHeight="1" x14ac:dyDescent="0.25">
      <c r="B34" s="24" t="s">
        <v>61</v>
      </c>
      <c r="C34" s="49">
        <f>AVERAGE('29.07 Naguru-Nakawa'!C34,'30.07 Naguru-Nakawa'!C34,'31.07 Naguru-Nakawa'!C34,'02.08 Naguru-Nakawa'!C34,'01.08 Naguru-Nakawa-24h'!C34,'03.08 Naguru-Nakawa-24h'!C34,'04.08 Naguru-Nakawa'!C34)</f>
        <v>83.714285714285708</v>
      </c>
      <c r="D34" s="49">
        <f>AVERAGE('29.07 Naguru-Nakawa'!D34,'30.07 Naguru-Nakawa'!D34,'31.07 Naguru-Nakawa'!D34,'02.08 Naguru-Nakawa'!D34,'01.08 Naguru-Nakawa-24h'!D34,'03.08 Naguru-Nakawa-24h'!D34,'04.08 Naguru-Nakawa'!D34)</f>
        <v>15.714285714285714</v>
      </c>
      <c r="E34" s="49">
        <f>AVERAGE('29.07 Naguru-Nakawa'!E34,'30.07 Naguru-Nakawa'!E34,'31.07 Naguru-Nakawa'!E34,'02.08 Naguru-Nakawa'!E34,'01.08 Naguru-Nakawa-24h'!E34,'03.08 Naguru-Nakawa-24h'!E34,'04.08 Naguru-Nakawa'!E34)</f>
        <v>8.7142857142857135</v>
      </c>
      <c r="F34" s="49">
        <f>AVERAGE('29.07 Naguru-Nakawa'!F34,'30.07 Naguru-Nakawa'!F34,'31.07 Naguru-Nakawa'!F34,'02.08 Naguru-Nakawa'!F34,'01.08 Naguru-Nakawa-24h'!F34,'03.08 Naguru-Nakawa-24h'!F34,'04.08 Naguru-Nakawa'!F34)</f>
        <v>8</v>
      </c>
      <c r="G34" s="49">
        <f>AVERAGE('29.07 Naguru-Nakawa'!G34,'30.07 Naguru-Nakawa'!G34,'31.07 Naguru-Nakawa'!G34,'02.08 Naguru-Nakawa'!G34,'01.08 Naguru-Nakawa-24h'!G34,'03.08 Naguru-Nakawa-24h'!G34,'04.08 Naguru-Nakawa'!G34)</f>
        <v>0</v>
      </c>
      <c r="H34" s="49">
        <f>AVERAGE('29.07 Naguru-Nakawa'!H34,'30.07 Naguru-Nakawa'!H34,'31.07 Naguru-Nakawa'!H34,'02.08 Naguru-Nakawa'!H34,'01.08 Naguru-Nakawa-24h'!H34,'03.08 Naguru-Nakawa-24h'!H34,'04.08 Naguru-Nakawa'!H34)</f>
        <v>0.2857142857142857</v>
      </c>
      <c r="I34" s="49">
        <f>AVERAGE('29.07 Naguru-Nakawa'!I34,'30.07 Naguru-Nakawa'!I34,'31.07 Naguru-Nakawa'!I34,'02.08 Naguru-Nakawa'!I34,'01.08 Naguru-Nakawa-24h'!I34,'03.08 Naguru-Nakawa-24h'!I34,'04.08 Naguru-Nakawa'!I34)</f>
        <v>3.2857142857142856</v>
      </c>
      <c r="J34" s="49">
        <f>AVERAGE('29.07 Naguru-Nakawa'!J34,'30.07 Naguru-Nakawa'!J34,'31.07 Naguru-Nakawa'!J34,'02.08 Naguru-Nakawa'!J34,'01.08 Naguru-Nakawa-24h'!J34,'03.08 Naguru-Nakawa-24h'!J34,'04.08 Naguru-Nakawa'!J34)</f>
        <v>0.14285714285714285</v>
      </c>
      <c r="K34" s="49">
        <f>AVERAGE('29.07 Naguru-Nakawa'!K34,'30.07 Naguru-Nakawa'!K34,'31.07 Naguru-Nakawa'!K34,'02.08 Naguru-Nakawa'!K34,'01.08 Naguru-Nakawa-24h'!K34,'03.08 Naguru-Nakawa-24h'!K34,'04.08 Naguru-Nakawa'!K34)</f>
        <v>0.2857142857142857</v>
      </c>
      <c r="L34" s="49">
        <f>AVERAGE('29.07 Naguru-Nakawa'!L34,'30.07 Naguru-Nakawa'!L34,'31.07 Naguru-Nakawa'!L34,'02.08 Naguru-Nakawa'!L34,'01.08 Naguru-Nakawa-24h'!L34,'03.08 Naguru-Nakawa-24h'!L34,'04.08 Naguru-Nakawa'!L34)</f>
        <v>0</v>
      </c>
      <c r="M34" s="49">
        <f>AVERAGE('29.07 Naguru-Nakawa'!M34,'30.07 Naguru-Nakawa'!M34,'31.07 Naguru-Nakawa'!M34,'02.08 Naguru-Nakawa'!M34,'01.08 Naguru-Nakawa-24h'!M34,'03.08 Naguru-Nakawa-24h'!M34,'04.08 Naguru-Nakawa'!M34)</f>
        <v>68.571428571428569</v>
      </c>
      <c r="N34" s="49">
        <f>AVERAGE('29.07 Naguru-Nakawa'!N34,'30.07 Naguru-Nakawa'!N34,'31.07 Naguru-Nakawa'!N34,'02.08 Naguru-Nakawa'!N34,'01.08 Naguru-Nakawa-24h'!N34,'03.08 Naguru-Nakawa-24h'!N34,'04.08 Naguru-Nakawa'!N34)</f>
        <v>0</v>
      </c>
      <c r="O34" s="15">
        <f t="shared" si="0"/>
        <v>120.14285714285714</v>
      </c>
      <c r="P34" s="15">
        <f t="shared" si="1"/>
        <v>188.71428571428572</v>
      </c>
      <c r="R34" s="38" t="s">
        <v>90</v>
      </c>
      <c r="S34" s="39">
        <f t="shared" ref="S34:AF34" si="26">MAX(S10:S12)</f>
        <v>488.28571428571433</v>
      </c>
      <c r="T34" s="39">
        <f t="shared" si="26"/>
        <v>107.71428571428571</v>
      </c>
      <c r="U34" s="39">
        <f t="shared" si="26"/>
        <v>45</v>
      </c>
      <c r="V34" s="39">
        <f t="shared" si="26"/>
        <v>46.142857142857139</v>
      </c>
      <c r="W34" s="39">
        <f t="shared" si="26"/>
        <v>0.71428571428571419</v>
      </c>
      <c r="X34" s="39">
        <f t="shared" si="26"/>
        <v>0.42857142857142855</v>
      </c>
      <c r="Y34" s="39">
        <f t="shared" si="26"/>
        <v>14.714285714285714</v>
      </c>
      <c r="Z34" s="39">
        <f t="shared" si="26"/>
        <v>5.1428571428571423</v>
      </c>
      <c r="AA34" s="39">
        <f t="shared" si="26"/>
        <v>1.714285714285714</v>
      </c>
      <c r="AB34" s="39">
        <f t="shared" si="26"/>
        <v>0.5714285714285714</v>
      </c>
      <c r="AC34" s="39">
        <f t="shared" si="26"/>
        <v>352.85714285714283</v>
      </c>
      <c r="AD34" s="39">
        <f t="shared" si="26"/>
        <v>10.285714285714286</v>
      </c>
      <c r="AE34" s="40">
        <f t="shared" si="26"/>
        <v>695.85714285714278</v>
      </c>
      <c r="AF34" s="40">
        <f t="shared" si="26"/>
        <v>1036.2857142857142</v>
      </c>
    </row>
    <row r="35" spans="2:32" ht="23.1" customHeight="1" x14ac:dyDescent="0.25">
      <c r="B35" s="24" t="s">
        <v>62</v>
      </c>
      <c r="C35" s="49">
        <f>AVERAGE('29.07 Naguru-Nakawa'!C35,'30.07 Naguru-Nakawa'!C35,'31.07 Naguru-Nakawa'!C35,'02.08 Naguru-Nakawa'!C35,'01.08 Naguru-Nakawa-24h'!C35,'03.08 Naguru-Nakawa-24h'!C35,'04.08 Naguru-Nakawa'!C35)</f>
        <v>70.142857142857139</v>
      </c>
      <c r="D35" s="49">
        <f>AVERAGE('29.07 Naguru-Nakawa'!D35,'30.07 Naguru-Nakawa'!D35,'31.07 Naguru-Nakawa'!D35,'02.08 Naguru-Nakawa'!D35,'01.08 Naguru-Nakawa-24h'!D35,'03.08 Naguru-Nakawa-24h'!D35,'04.08 Naguru-Nakawa'!D35)</f>
        <v>18.142857142857142</v>
      </c>
      <c r="E35" s="49">
        <f>AVERAGE('29.07 Naguru-Nakawa'!E35,'30.07 Naguru-Nakawa'!E35,'31.07 Naguru-Nakawa'!E35,'02.08 Naguru-Nakawa'!E35,'01.08 Naguru-Nakawa-24h'!E35,'03.08 Naguru-Nakawa-24h'!E35,'04.08 Naguru-Nakawa'!E35)</f>
        <v>9.4285714285714288</v>
      </c>
      <c r="F35" s="49">
        <f>AVERAGE('29.07 Naguru-Nakawa'!F35,'30.07 Naguru-Nakawa'!F35,'31.07 Naguru-Nakawa'!F35,'02.08 Naguru-Nakawa'!F35,'01.08 Naguru-Nakawa-24h'!F35,'03.08 Naguru-Nakawa-24h'!F35,'04.08 Naguru-Nakawa'!F35)</f>
        <v>6.2857142857142856</v>
      </c>
      <c r="G35" s="49">
        <f>AVERAGE('29.07 Naguru-Nakawa'!G35,'30.07 Naguru-Nakawa'!G35,'31.07 Naguru-Nakawa'!G35,'02.08 Naguru-Nakawa'!G35,'01.08 Naguru-Nakawa-24h'!G35,'03.08 Naguru-Nakawa-24h'!G35,'04.08 Naguru-Nakawa'!G35)</f>
        <v>0.14285714285714285</v>
      </c>
      <c r="H35" s="49">
        <f>AVERAGE('29.07 Naguru-Nakawa'!H35,'30.07 Naguru-Nakawa'!H35,'31.07 Naguru-Nakawa'!H35,'02.08 Naguru-Nakawa'!H35,'01.08 Naguru-Nakawa-24h'!H35,'03.08 Naguru-Nakawa-24h'!H35,'04.08 Naguru-Nakawa'!H35)</f>
        <v>0</v>
      </c>
      <c r="I35" s="49">
        <f>AVERAGE('29.07 Naguru-Nakawa'!I35,'30.07 Naguru-Nakawa'!I35,'31.07 Naguru-Nakawa'!I35,'02.08 Naguru-Nakawa'!I35,'01.08 Naguru-Nakawa-24h'!I35,'03.08 Naguru-Nakawa-24h'!I35,'04.08 Naguru-Nakawa'!I35)</f>
        <v>4.1428571428571432</v>
      </c>
      <c r="J35" s="49">
        <f>AVERAGE('29.07 Naguru-Nakawa'!J35,'30.07 Naguru-Nakawa'!J35,'31.07 Naguru-Nakawa'!J35,'02.08 Naguru-Nakawa'!J35,'01.08 Naguru-Nakawa-24h'!J35,'03.08 Naguru-Nakawa-24h'!J35,'04.08 Naguru-Nakawa'!J35)</f>
        <v>0.42857142857142855</v>
      </c>
      <c r="K35" s="49">
        <f>AVERAGE('29.07 Naguru-Nakawa'!K35,'30.07 Naguru-Nakawa'!K35,'31.07 Naguru-Nakawa'!K35,'02.08 Naguru-Nakawa'!K35,'01.08 Naguru-Nakawa-24h'!K35,'03.08 Naguru-Nakawa-24h'!K35,'04.08 Naguru-Nakawa'!K35)</f>
        <v>0.5714285714285714</v>
      </c>
      <c r="L35" s="49">
        <f>AVERAGE('29.07 Naguru-Nakawa'!L35,'30.07 Naguru-Nakawa'!L35,'31.07 Naguru-Nakawa'!L35,'02.08 Naguru-Nakawa'!L35,'01.08 Naguru-Nakawa-24h'!L35,'03.08 Naguru-Nakawa-24h'!L35,'04.08 Naguru-Nakawa'!L35)</f>
        <v>0</v>
      </c>
      <c r="M35" s="49">
        <f>AVERAGE('29.07 Naguru-Nakawa'!M35,'30.07 Naguru-Nakawa'!M35,'31.07 Naguru-Nakawa'!M35,'02.08 Naguru-Nakawa'!M35,'01.08 Naguru-Nakawa-24h'!M35,'03.08 Naguru-Nakawa-24h'!M35,'04.08 Naguru-Nakawa'!M35)</f>
        <v>66.714285714285708</v>
      </c>
      <c r="N35" s="49">
        <f>AVERAGE('29.07 Naguru-Nakawa'!N35,'30.07 Naguru-Nakawa'!N35,'31.07 Naguru-Nakawa'!N35,'02.08 Naguru-Nakawa'!N35,'01.08 Naguru-Nakawa-24h'!N35,'03.08 Naguru-Nakawa-24h'!N35,'04.08 Naguru-Nakawa'!N35)</f>
        <v>0.14285714285714285</v>
      </c>
      <c r="O35" s="15">
        <f t="shared" si="0"/>
        <v>109.42857142857142</v>
      </c>
      <c r="P35" s="15">
        <f t="shared" si="1"/>
        <v>176.14285714285714</v>
      </c>
      <c r="R35" s="38" t="s">
        <v>91</v>
      </c>
      <c r="S35" s="39">
        <f t="shared" ref="S35:AF35" si="27">MAX(S13:S18)</f>
        <v>431.28571428571422</v>
      </c>
      <c r="T35" s="39">
        <f t="shared" si="27"/>
        <v>94.428571428571416</v>
      </c>
      <c r="U35" s="39">
        <f t="shared" si="27"/>
        <v>43.428571428571431</v>
      </c>
      <c r="V35" s="39">
        <f t="shared" si="27"/>
        <v>35.142857142857146</v>
      </c>
      <c r="W35" s="39">
        <f t="shared" si="27"/>
        <v>0.2857142857142857</v>
      </c>
      <c r="X35" s="39">
        <f t="shared" si="27"/>
        <v>1</v>
      </c>
      <c r="Y35" s="39">
        <f t="shared" si="27"/>
        <v>18.142857142857142</v>
      </c>
      <c r="Z35" s="39">
        <f t="shared" si="27"/>
        <v>4.4285714285714288</v>
      </c>
      <c r="AA35" s="39">
        <f t="shared" si="27"/>
        <v>1.4285714285714284</v>
      </c>
      <c r="AB35" s="39">
        <f t="shared" si="27"/>
        <v>0.2857142857142857</v>
      </c>
      <c r="AC35" s="39">
        <f t="shared" si="27"/>
        <v>296.42857142857144</v>
      </c>
      <c r="AD35" s="39">
        <f t="shared" si="27"/>
        <v>0.14285714285714285</v>
      </c>
      <c r="AE35" s="40">
        <f t="shared" si="27"/>
        <v>623.14285714285711</v>
      </c>
      <c r="AF35" s="40">
        <f t="shared" si="27"/>
        <v>919.57142857142844</v>
      </c>
    </row>
    <row r="36" spans="2:32" ht="23.1" customHeight="1" x14ac:dyDescent="0.25">
      <c r="B36" s="24" t="s">
        <v>63</v>
      </c>
      <c r="C36" s="49">
        <f>AVERAGE('29.07 Naguru-Nakawa'!C36,'30.07 Naguru-Nakawa'!C36,'31.07 Naguru-Nakawa'!C36,'02.08 Naguru-Nakawa'!C36,'01.08 Naguru-Nakawa-24h'!C36,'03.08 Naguru-Nakawa-24h'!C36,'04.08 Naguru-Nakawa'!C36)</f>
        <v>93.285714285714292</v>
      </c>
      <c r="D36" s="49">
        <f>AVERAGE('29.07 Naguru-Nakawa'!D36,'30.07 Naguru-Nakawa'!D36,'31.07 Naguru-Nakawa'!D36,'02.08 Naguru-Nakawa'!D36,'01.08 Naguru-Nakawa-24h'!D36,'03.08 Naguru-Nakawa-24h'!D36,'04.08 Naguru-Nakawa'!D36)</f>
        <v>21.857142857142858</v>
      </c>
      <c r="E36" s="49">
        <f>AVERAGE('29.07 Naguru-Nakawa'!E36,'30.07 Naguru-Nakawa'!E36,'31.07 Naguru-Nakawa'!E36,'02.08 Naguru-Nakawa'!E36,'01.08 Naguru-Nakawa-24h'!E36,'03.08 Naguru-Nakawa-24h'!E36,'04.08 Naguru-Nakawa'!E36)</f>
        <v>10.285714285714286</v>
      </c>
      <c r="F36" s="49">
        <f>AVERAGE('29.07 Naguru-Nakawa'!F36,'30.07 Naguru-Nakawa'!F36,'31.07 Naguru-Nakawa'!F36,'02.08 Naguru-Nakawa'!F36,'01.08 Naguru-Nakawa-24h'!F36,'03.08 Naguru-Nakawa-24h'!F36,'04.08 Naguru-Nakawa'!F36)</f>
        <v>8</v>
      </c>
      <c r="G36" s="49">
        <f>AVERAGE('29.07 Naguru-Nakawa'!G36,'30.07 Naguru-Nakawa'!G36,'31.07 Naguru-Nakawa'!G36,'02.08 Naguru-Nakawa'!G36,'01.08 Naguru-Nakawa-24h'!G36,'03.08 Naguru-Nakawa-24h'!G36,'04.08 Naguru-Nakawa'!G36)</f>
        <v>0</v>
      </c>
      <c r="H36" s="49">
        <f>AVERAGE('29.07 Naguru-Nakawa'!H36,'30.07 Naguru-Nakawa'!H36,'31.07 Naguru-Nakawa'!H36,'02.08 Naguru-Nakawa'!H36,'01.08 Naguru-Nakawa-24h'!H36,'03.08 Naguru-Nakawa-24h'!H36,'04.08 Naguru-Nakawa'!H36)</f>
        <v>0</v>
      </c>
      <c r="I36" s="49">
        <f>AVERAGE('29.07 Naguru-Nakawa'!I36,'30.07 Naguru-Nakawa'!I36,'31.07 Naguru-Nakawa'!I36,'02.08 Naguru-Nakawa'!I36,'01.08 Naguru-Nakawa-24h'!I36,'03.08 Naguru-Nakawa-24h'!I36,'04.08 Naguru-Nakawa'!I36)</f>
        <v>2.5714285714285716</v>
      </c>
      <c r="J36" s="49">
        <f>AVERAGE('29.07 Naguru-Nakawa'!J36,'30.07 Naguru-Nakawa'!J36,'31.07 Naguru-Nakawa'!J36,'02.08 Naguru-Nakawa'!J36,'01.08 Naguru-Nakawa-24h'!J36,'03.08 Naguru-Nakawa-24h'!J36,'04.08 Naguru-Nakawa'!J36)</f>
        <v>1</v>
      </c>
      <c r="K36" s="49">
        <f>AVERAGE('29.07 Naguru-Nakawa'!K36,'30.07 Naguru-Nakawa'!K36,'31.07 Naguru-Nakawa'!K36,'02.08 Naguru-Nakawa'!K36,'01.08 Naguru-Nakawa-24h'!K36,'03.08 Naguru-Nakawa-24h'!K36,'04.08 Naguru-Nakawa'!K36)</f>
        <v>0.2857142857142857</v>
      </c>
      <c r="L36" s="49">
        <f>AVERAGE('29.07 Naguru-Nakawa'!L36,'30.07 Naguru-Nakawa'!L36,'31.07 Naguru-Nakawa'!L36,'02.08 Naguru-Nakawa'!L36,'01.08 Naguru-Nakawa-24h'!L36,'03.08 Naguru-Nakawa-24h'!L36,'04.08 Naguru-Nakawa'!L36)</f>
        <v>0</v>
      </c>
      <c r="M36" s="49">
        <f>AVERAGE('29.07 Naguru-Nakawa'!M36,'30.07 Naguru-Nakawa'!M36,'31.07 Naguru-Nakawa'!M36,'02.08 Naguru-Nakawa'!M36,'01.08 Naguru-Nakawa-24h'!M36,'03.08 Naguru-Nakawa-24h'!M36,'04.08 Naguru-Nakawa'!M36)</f>
        <v>77.428571428571431</v>
      </c>
      <c r="N36" s="49">
        <f>AVERAGE('29.07 Naguru-Nakawa'!N36,'30.07 Naguru-Nakawa'!N36,'31.07 Naguru-Nakawa'!N36,'02.08 Naguru-Nakawa'!N36,'01.08 Naguru-Nakawa-24h'!N36,'03.08 Naguru-Nakawa-24h'!N36,'04.08 Naguru-Nakawa'!N36)</f>
        <v>0</v>
      </c>
      <c r="O36" s="15">
        <f t="shared" si="0"/>
        <v>137.28571428571431</v>
      </c>
      <c r="P36" s="15">
        <f t="shared" si="1"/>
        <v>214.71428571428572</v>
      </c>
      <c r="R36" s="38" t="s">
        <v>92</v>
      </c>
      <c r="S36" s="39">
        <f t="shared" ref="S36:AF36" si="28">MAX(S19:S21)</f>
        <v>296.71428571428572</v>
      </c>
      <c r="T36" s="39">
        <f t="shared" si="28"/>
        <v>69.428571428571431</v>
      </c>
      <c r="U36" s="39">
        <f t="shared" si="28"/>
        <v>34.571428571428569</v>
      </c>
      <c r="V36" s="39">
        <f t="shared" si="28"/>
        <v>30</v>
      </c>
      <c r="W36" s="39">
        <f t="shared" si="28"/>
        <v>0.5714285714285714</v>
      </c>
      <c r="X36" s="39">
        <f t="shared" si="28"/>
        <v>0</v>
      </c>
      <c r="Y36" s="39">
        <f t="shared" si="28"/>
        <v>14.571428571428573</v>
      </c>
      <c r="Z36" s="39">
        <f t="shared" si="28"/>
        <v>3.8571428571428568</v>
      </c>
      <c r="AA36" s="39">
        <f t="shared" si="28"/>
        <v>1.1428571428571428</v>
      </c>
      <c r="AB36" s="39">
        <f t="shared" si="28"/>
        <v>0.14285714285714285</v>
      </c>
      <c r="AC36" s="39">
        <f t="shared" si="28"/>
        <v>348.14285714285711</v>
      </c>
      <c r="AD36" s="39">
        <f t="shared" si="28"/>
        <v>0.42857142857142855</v>
      </c>
      <c r="AE36" s="40">
        <f t="shared" si="28"/>
        <v>450.00000000000006</v>
      </c>
      <c r="AF36" s="40">
        <f t="shared" si="28"/>
        <v>757.42857142857144</v>
      </c>
    </row>
    <row r="37" spans="2:32" ht="23.1" customHeight="1" x14ac:dyDescent="0.25">
      <c r="B37" s="23" t="s">
        <v>64</v>
      </c>
      <c r="C37" s="49">
        <f>AVERAGE('29.07 Naguru-Nakawa'!C37,'30.07 Naguru-Nakawa'!C37,'31.07 Naguru-Nakawa'!C37,'02.08 Naguru-Nakawa'!C37,'01.08 Naguru-Nakawa-24h'!C37,'03.08 Naguru-Nakawa-24h'!C37,'04.08 Naguru-Nakawa'!C37)</f>
        <v>88.714285714285708</v>
      </c>
      <c r="D37" s="49">
        <f>AVERAGE('29.07 Naguru-Nakawa'!D37,'30.07 Naguru-Nakawa'!D37,'31.07 Naguru-Nakawa'!D37,'02.08 Naguru-Nakawa'!D37,'01.08 Naguru-Nakawa-24h'!D37,'03.08 Naguru-Nakawa-24h'!D37,'04.08 Naguru-Nakawa'!D37)</f>
        <v>17</v>
      </c>
      <c r="E37" s="49">
        <f>AVERAGE('29.07 Naguru-Nakawa'!E37,'30.07 Naguru-Nakawa'!E37,'31.07 Naguru-Nakawa'!E37,'02.08 Naguru-Nakawa'!E37,'01.08 Naguru-Nakawa-24h'!E37,'03.08 Naguru-Nakawa-24h'!E37,'04.08 Naguru-Nakawa'!E37)</f>
        <v>8.8571428571428577</v>
      </c>
      <c r="F37" s="49">
        <f>AVERAGE('29.07 Naguru-Nakawa'!F37,'30.07 Naguru-Nakawa'!F37,'31.07 Naguru-Nakawa'!F37,'02.08 Naguru-Nakawa'!F37,'01.08 Naguru-Nakawa-24h'!F37,'03.08 Naguru-Nakawa-24h'!F37,'04.08 Naguru-Nakawa'!F37)</f>
        <v>6.4285714285714288</v>
      </c>
      <c r="G37" s="49">
        <f>AVERAGE('29.07 Naguru-Nakawa'!G37,'30.07 Naguru-Nakawa'!G37,'31.07 Naguru-Nakawa'!G37,'02.08 Naguru-Nakawa'!G37,'01.08 Naguru-Nakawa-24h'!G37,'03.08 Naguru-Nakawa-24h'!G37,'04.08 Naguru-Nakawa'!G37)</f>
        <v>0</v>
      </c>
      <c r="H37" s="49">
        <f>AVERAGE('29.07 Naguru-Nakawa'!H37,'30.07 Naguru-Nakawa'!H37,'31.07 Naguru-Nakawa'!H37,'02.08 Naguru-Nakawa'!H37,'01.08 Naguru-Nakawa-24h'!H37,'03.08 Naguru-Nakawa-24h'!H37,'04.08 Naguru-Nakawa'!H37)</f>
        <v>0</v>
      </c>
      <c r="I37" s="49">
        <f>AVERAGE('29.07 Naguru-Nakawa'!I37,'30.07 Naguru-Nakawa'!I37,'31.07 Naguru-Nakawa'!I37,'02.08 Naguru-Nakawa'!I37,'01.08 Naguru-Nakawa-24h'!I37,'03.08 Naguru-Nakawa-24h'!I37,'04.08 Naguru-Nakawa'!I37)</f>
        <v>1.5714285714285714</v>
      </c>
      <c r="J37" s="49">
        <f>AVERAGE('29.07 Naguru-Nakawa'!J37,'30.07 Naguru-Nakawa'!J37,'31.07 Naguru-Nakawa'!J37,'02.08 Naguru-Nakawa'!J37,'01.08 Naguru-Nakawa-24h'!J37,'03.08 Naguru-Nakawa-24h'!J37,'04.08 Naguru-Nakawa'!J37)</f>
        <v>1.2857142857142858</v>
      </c>
      <c r="K37" s="49">
        <f>AVERAGE('29.07 Naguru-Nakawa'!K37,'30.07 Naguru-Nakawa'!K37,'31.07 Naguru-Nakawa'!K37,'02.08 Naguru-Nakawa'!K37,'01.08 Naguru-Nakawa-24h'!K37,'03.08 Naguru-Nakawa-24h'!K37,'04.08 Naguru-Nakawa'!K37)</f>
        <v>0.2857142857142857</v>
      </c>
      <c r="L37" s="49">
        <f>AVERAGE('29.07 Naguru-Nakawa'!L37,'30.07 Naguru-Nakawa'!L37,'31.07 Naguru-Nakawa'!L37,'02.08 Naguru-Nakawa'!L37,'01.08 Naguru-Nakawa-24h'!L37,'03.08 Naguru-Nakawa-24h'!L37,'04.08 Naguru-Nakawa'!L37)</f>
        <v>0</v>
      </c>
      <c r="M37" s="49">
        <f>AVERAGE('29.07 Naguru-Nakawa'!M37,'30.07 Naguru-Nakawa'!M37,'31.07 Naguru-Nakawa'!M37,'02.08 Naguru-Nakawa'!M37,'01.08 Naguru-Nakawa-24h'!M37,'03.08 Naguru-Nakawa-24h'!M37,'04.08 Naguru-Nakawa'!M37)</f>
        <v>74.428571428571431</v>
      </c>
      <c r="N37" s="49">
        <f>AVERAGE('29.07 Naguru-Nakawa'!N37,'30.07 Naguru-Nakawa'!N37,'31.07 Naguru-Nakawa'!N37,'02.08 Naguru-Nakawa'!N37,'01.08 Naguru-Nakawa-24h'!N37,'03.08 Naguru-Nakawa-24h'!N37,'04.08 Naguru-Nakawa'!N37)</f>
        <v>0</v>
      </c>
      <c r="O37" s="15">
        <f t="shared" si="0"/>
        <v>124.14285714285715</v>
      </c>
      <c r="P37" s="15">
        <f t="shared" si="1"/>
        <v>198.57142857142858</v>
      </c>
      <c r="R37" s="37" t="s">
        <v>85</v>
      </c>
      <c r="S37" s="35">
        <f t="shared" ref="S37:AF37" si="29">SUM(S10:S12)</f>
        <v>1249.2857142857142</v>
      </c>
      <c r="T37" s="16">
        <f t="shared" si="29"/>
        <v>293.28571428571428</v>
      </c>
      <c r="U37" s="16">
        <f t="shared" si="29"/>
        <v>124.14285714285714</v>
      </c>
      <c r="V37" s="16">
        <f t="shared" si="29"/>
        <v>122</v>
      </c>
      <c r="W37" s="16">
        <f t="shared" si="29"/>
        <v>0.99999999999999989</v>
      </c>
      <c r="X37" s="16">
        <f t="shared" si="29"/>
        <v>0.42857142857142855</v>
      </c>
      <c r="Y37" s="16">
        <f t="shared" si="29"/>
        <v>27.142857142857142</v>
      </c>
      <c r="Z37" s="16">
        <f t="shared" si="29"/>
        <v>9.8571428571428577</v>
      </c>
      <c r="AA37" s="16">
        <f t="shared" si="29"/>
        <v>1.9999999999999996</v>
      </c>
      <c r="AB37" s="16">
        <f t="shared" si="29"/>
        <v>0.5714285714285714</v>
      </c>
      <c r="AC37" s="16">
        <f t="shared" si="29"/>
        <v>857.71428571428578</v>
      </c>
      <c r="AD37" s="16">
        <f t="shared" si="29"/>
        <v>10.428571428571429</v>
      </c>
      <c r="AE37" s="32">
        <f t="shared" si="29"/>
        <v>1840.1428571428569</v>
      </c>
      <c r="AF37" s="32">
        <f t="shared" si="29"/>
        <v>2697.8571428571431</v>
      </c>
    </row>
    <row r="38" spans="2:32" ht="23.1" customHeight="1" x14ac:dyDescent="0.25">
      <c r="B38" s="24" t="s">
        <v>65</v>
      </c>
      <c r="C38" s="49">
        <f>AVERAGE('29.07 Naguru-Nakawa'!C38,'30.07 Naguru-Nakawa'!C38,'31.07 Naguru-Nakawa'!C38,'02.08 Naguru-Nakawa'!C38,'01.08 Naguru-Nakawa-24h'!C38,'03.08 Naguru-Nakawa-24h'!C38,'04.08 Naguru-Nakawa'!C38)</f>
        <v>69.428571428571431</v>
      </c>
      <c r="D38" s="49">
        <f>AVERAGE('29.07 Naguru-Nakawa'!D38,'30.07 Naguru-Nakawa'!D38,'31.07 Naguru-Nakawa'!D38,'02.08 Naguru-Nakawa'!D38,'01.08 Naguru-Nakawa-24h'!D38,'03.08 Naguru-Nakawa-24h'!D38,'04.08 Naguru-Nakawa'!D38)</f>
        <v>16.428571428571427</v>
      </c>
      <c r="E38" s="49">
        <f>AVERAGE('29.07 Naguru-Nakawa'!E38,'30.07 Naguru-Nakawa'!E38,'31.07 Naguru-Nakawa'!E38,'02.08 Naguru-Nakawa'!E38,'01.08 Naguru-Nakawa-24h'!E38,'03.08 Naguru-Nakawa-24h'!E38,'04.08 Naguru-Nakawa'!E38)</f>
        <v>8</v>
      </c>
      <c r="F38" s="49">
        <f>AVERAGE('29.07 Naguru-Nakawa'!F38,'30.07 Naguru-Nakawa'!F38,'31.07 Naguru-Nakawa'!F38,'02.08 Naguru-Nakawa'!F38,'01.08 Naguru-Nakawa-24h'!F38,'03.08 Naguru-Nakawa-24h'!F38,'04.08 Naguru-Nakawa'!F38)</f>
        <v>6.2857142857142856</v>
      </c>
      <c r="G38" s="49">
        <f>AVERAGE('29.07 Naguru-Nakawa'!G38,'30.07 Naguru-Nakawa'!G38,'31.07 Naguru-Nakawa'!G38,'02.08 Naguru-Nakawa'!G38,'01.08 Naguru-Nakawa-24h'!G38,'03.08 Naguru-Nakawa-24h'!G38,'04.08 Naguru-Nakawa'!G38)</f>
        <v>0</v>
      </c>
      <c r="H38" s="49">
        <f>AVERAGE('29.07 Naguru-Nakawa'!H38,'30.07 Naguru-Nakawa'!H38,'31.07 Naguru-Nakawa'!H38,'02.08 Naguru-Nakawa'!H38,'01.08 Naguru-Nakawa-24h'!H38,'03.08 Naguru-Nakawa-24h'!H38,'04.08 Naguru-Nakawa'!H38)</f>
        <v>0.2857142857142857</v>
      </c>
      <c r="I38" s="49">
        <f>AVERAGE('29.07 Naguru-Nakawa'!I38,'30.07 Naguru-Nakawa'!I38,'31.07 Naguru-Nakawa'!I38,'02.08 Naguru-Nakawa'!I38,'01.08 Naguru-Nakawa-24h'!I38,'03.08 Naguru-Nakawa-24h'!I38,'04.08 Naguru-Nakawa'!I38)</f>
        <v>3.8571428571428572</v>
      </c>
      <c r="J38" s="49">
        <f>AVERAGE('29.07 Naguru-Nakawa'!J38,'30.07 Naguru-Nakawa'!J38,'31.07 Naguru-Nakawa'!J38,'02.08 Naguru-Nakawa'!J38,'01.08 Naguru-Nakawa-24h'!J38,'03.08 Naguru-Nakawa-24h'!J38,'04.08 Naguru-Nakawa'!J38)</f>
        <v>0.42857142857142855</v>
      </c>
      <c r="K38" s="49">
        <f>AVERAGE('29.07 Naguru-Nakawa'!K38,'30.07 Naguru-Nakawa'!K38,'31.07 Naguru-Nakawa'!K38,'02.08 Naguru-Nakawa'!K38,'01.08 Naguru-Nakawa-24h'!K38,'03.08 Naguru-Nakawa-24h'!K38,'04.08 Naguru-Nakawa'!K38)</f>
        <v>0</v>
      </c>
      <c r="L38" s="49">
        <f>AVERAGE('29.07 Naguru-Nakawa'!L38,'30.07 Naguru-Nakawa'!L38,'31.07 Naguru-Nakawa'!L38,'02.08 Naguru-Nakawa'!L38,'01.08 Naguru-Nakawa-24h'!L38,'03.08 Naguru-Nakawa-24h'!L38,'04.08 Naguru-Nakawa'!L38)</f>
        <v>0</v>
      </c>
      <c r="M38" s="49">
        <f>AVERAGE('29.07 Naguru-Nakawa'!M38,'30.07 Naguru-Nakawa'!M38,'31.07 Naguru-Nakawa'!M38,'02.08 Naguru-Nakawa'!M38,'01.08 Naguru-Nakawa-24h'!M38,'03.08 Naguru-Nakawa-24h'!M38,'04.08 Naguru-Nakawa'!M38)</f>
        <v>71.285714285714292</v>
      </c>
      <c r="N38" s="49">
        <f>AVERAGE('29.07 Naguru-Nakawa'!N38,'30.07 Naguru-Nakawa'!N38,'31.07 Naguru-Nakawa'!N38,'02.08 Naguru-Nakawa'!N38,'01.08 Naguru-Nakawa-24h'!N38,'03.08 Naguru-Nakawa-24h'!N38,'04.08 Naguru-Nakawa'!N38)</f>
        <v>0</v>
      </c>
      <c r="O38" s="15">
        <f t="shared" si="0"/>
        <v>104.71428571428574</v>
      </c>
      <c r="P38" s="15">
        <f t="shared" si="1"/>
        <v>176.00000000000003</v>
      </c>
      <c r="R38" s="28" t="s">
        <v>86</v>
      </c>
      <c r="S38" s="16">
        <f t="shared" ref="S38:AF38" si="30">SUM(S13:S18)</f>
        <v>2142</v>
      </c>
      <c r="T38" s="16">
        <f t="shared" si="30"/>
        <v>492.14285714285711</v>
      </c>
      <c r="U38" s="16">
        <f t="shared" si="30"/>
        <v>228.71428571428572</v>
      </c>
      <c r="V38" s="16">
        <f t="shared" si="30"/>
        <v>190.28571428571431</v>
      </c>
      <c r="W38" s="16">
        <f t="shared" si="30"/>
        <v>1.1428571428571428</v>
      </c>
      <c r="X38" s="16">
        <f t="shared" si="30"/>
        <v>1.2857142857142856</v>
      </c>
      <c r="Y38" s="16">
        <f t="shared" si="30"/>
        <v>88.428571428571431</v>
      </c>
      <c r="Z38" s="16">
        <f t="shared" si="30"/>
        <v>20.428571428571431</v>
      </c>
      <c r="AA38" s="16">
        <f t="shared" si="30"/>
        <v>5.4285714285714279</v>
      </c>
      <c r="AB38" s="16">
        <f t="shared" si="30"/>
        <v>0.42857142857142855</v>
      </c>
      <c r="AC38" s="16">
        <f t="shared" si="30"/>
        <v>1708.2857142857144</v>
      </c>
      <c r="AD38" s="16">
        <f t="shared" si="30"/>
        <v>0.42857142857142855</v>
      </c>
      <c r="AE38" s="32">
        <f t="shared" si="30"/>
        <v>3170.7142857142858</v>
      </c>
      <c r="AF38" s="32">
        <f t="shared" si="30"/>
        <v>4879</v>
      </c>
    </row>
    <row r="39" spans="2:32" ht="23.1" customHeight="1" x14ac:dyDescent="0.25">
      <c r="B39" s="24" t="s">
        <v>66</v>
      </c>
      <c r="C39" s="49">
        <f>AVERAGE('29.07 Naguru-Nakawa'!C39,'30.07 Naguru-Nakawa'!C39,'31.07 Naguru-Nakawa'!C39,'02.08 Naguru-Nakawa'!C39,'01.08 Naguru-Nakawa-24h'!C39,'03.08 Naguru-Nakawa-24h'!C39,'04.08 Naguru-Nakawa'!C39)</f>
        <v>47.857142857142854</v>
      </c>
      <c r="D39" s="49">
        <f>AVERAGE('29.07 Naguru-Nakawa'!D39,'30.07 Naguru-Nakawa'!D39,'31.07 Naguru-Nakawa'!D39,'02.08 Naguru-Nakawa'!D39,'01.08 Naguru-Nakawa-24h'!D39,'03.08 Naguru-Nakawa-24h'!D39,'04.08 Naguru-Nakawa'!D39)</f>
        <v>16.285714285714285</v>
      </c>
      <c r="E39" s="49">
        <f>AVERAGE('29.07 Naguru-Nakawa'!E39,'30.07 Naguru-Nakawa'!E39,'31.07 Naguru-Nakawa'!E39,'02.08 Naguru-Nakawa'!E39,'01.08 Naguru-Nakawa-24h'!E39,'03.08 Naguru-Nakawa-24h'!E39,'04.08 Naguru-Nakawa'!E39)</f>
        <v>8.4285714285714288</v>
      </c>
      <c r="F39" s="49">
        <f>AVERAGE('29.07 Naguru-Nakawa'!F39,'30.07 Naguru-Nakawa'!F39,'31.07 Naguru-Nakawa'!F39,'02.08 Naguru-Nakawa'!F39,'01.08 Naguru-Nakawa-24h'!F39,'03.08 Naguru-Nakawa-24h'!F39,'04.08 Naguru-Nakawa'!F39)</f>
        <v>4.4285714285714288</v>
      </c>
      <c r="G39" s="49">
        <f>AVERAGE('29.07 Naguru-Nakawa'!G39,'30.07 Naguru-Nakawa'!G39,'31.07 Naguru-Nakawa'!G39,'02.08 Naguru-Nakawa'!G39,'01.08 Naguru-Nakawa-24h'!G39,'03.08 Naguru-Nakawa-24h'!G39,'04.08 Naguru-Nakawa'!G39)</f>
        <v>0</v>
      </c>
      <c r="H39" s="49">
        <f>AVERAGE('29.07 Naguru-Nakawa'!H39,'30.07 Naguru-Nakawa'!H39,'31.07 Naguru-Nakawa'!H39,'02.08 Naguru-Nakawa'!H39,'01.08 Naguru-Nakawa-24h'!H39,'03.08 Naguru-Nakawa-24h'!H39,'04.08 Naguru-Nakawa'!H39)</f>
        <v>0.7142857142857143</v>
      </c>
      <c r="I39" s="49">
        <f>AVERAGE('29.07 Naguru-Nakawa'!I39,'30.07 Naguru-Nakawa'!I39,'31.07 Naguru-Nakawa'!I39,'02.08 Naguru-Nakawa'!I39,'01.08 Naguru-Nakawa-24h'!I39,'03.08 Naguru-Nakawa-24h'!I39,'04.08 Naguru-Nakawa'!I39)</f>
        <v>1.8571428571428572</v>
      </c>
      <c r="J39" s="49">
        <f>AVERAGE('29.07 Naguru-Nakawa'!J39,'30.07 Naguru-Nakawa'!J39,'31.07 Naguru-Nakawa'!J39,'02.08 Naguru-Nakawa'!J39,'01.08 Naguru-Nakawa-24h'!J39,'03.08 Naguru-Nakawa-24h'!J39,'04.08 Naguru-Nakawa'!J39)</f>
        <v>1</v>
      </c>
      <c r="K39" s="49">
        <f>AVERAGE('29.07 Naguru-Nakawa'!K39,'30.07 Naguru-Nakawa'!K39,'31.07 Naguru-Nakawa'!K39,'02.08 Naguru-Nakawa'!K39,'01.08 Naguru-Nakawa-24h'!K39,'03.08 Naguru-Nakawa-24h'!K39,'04.08 Naguru-Nakawa'!K39)</f>
        <v>0.14285714285714285</v>
      </c>
      <c r="L39" s="49">
        <f>AVERAGE('29.07 Naguru-Nakawa'!L39,'30.07 Naguru-Nakawa'!L39,'31.07 Naguru-Nakawa'!L39,'02.08 Naguru-Nakawa'!L39,'01.08 Naguru-Nakawa-24h'!L39,'03.08 Naguru-Nakawa-24h'!L39,'04.08 Naguru-Nakawa'!L39)</f>
        <v>0</v>
      </c>
      <c r="M39" s="49">
        <f>AVERAGE('29.07 Naguru-Nakawa'!M39,'30.07 Naguru-Nakawa'!M39,'31.07 Naguru-Nakawa'!M39,'02.08 Naguru-Nakawa'!M39,'01.08 Naguru-Nakawa-24h'!M39,'03.08 Naguru-Nakawa-24h'!M39,'04.08 Naguru-Nakawa'!M39)</f>
        <v>71.142857142857139</v>
      </c>
      <c r="N39" s="49">
        <f>AVERAGE('29.07 Naguru-Nakawa'!N39,'30.07 Naguru-Nakawa'!N39,'31.07 Naguru-Nakawa'!N39,'02.08 Naguru-Nakawa'!N39,'01.08 Naguru-Nakawa-24h'!N39,'03.08 Naguru-Nakawa-24h'!N39,'04.08 Naguru-Nakawa'!N39)</f>
        <v>0</v>
      </c>
      <c r="O39" s="15">
        <f t="shared" si="0"/>
        <v>80.714285714285708</v>
      </c>
      <c r="P39" s="15">
        <f t="shared" si="1"/>
        <v>151.85714285714283</v>
      </c>
      <c r="R39" s="29" t="s">
        <v>87</v>
      </c>
      <c r="S39" s="16">
        <f t="shared" ref="S39:AF39" si="31">SUM(S19:S21)</f>
        <v>842.28571428571433</v>
      </c>
      <c r="T39" s="16">
        <f t="shared" si="31"/>
        <v>192.42857142857144</v>
      </c>
      <c r="U39" s="16">
        <f t="shared" si="31"/>
        <v>88.142857142857139</v>
      </c>
      <c r="V39" s="16">
        <f t="shared" si="31"/>
        <v>82.428571428571416</v>
      </c>
      <c r="W39" s="16">
        <f t="shared" si="31"/>
        <v>1.2857142857142856</v>
      </c>
      <c r="X39" s="16">
        <f t="shared" si="31"/>
        <v>0</v>
      </c>
      <c r="Y39" s="16">
        <f t="shared" si="31"/>
        <v>41.285714285714285</v>
      </c>
      <c r="Z39" s="16">
        <f t="shared" si="31"/>
        <v>10.571428571428571</v>
      </c>
      <c r="AA39" s="16">
        <f t="shared" si="31"/>
        <v>3.1428571428571428</v>
      </c>
      <c r="AB39" s="16">
        <f t="shared" si="31"/>
        <v>0.14285714285714285</v>
      </c>
      <c r="AC39" s="16">
        <f t="shared" si="31"/>
        <v>924.28571428571433</v>
      </c>
      <c r="AD39" s="16">
        <f t="shared" si="31"/>
        <v>0.8571428571428571</v>
      </c>
      <c r="AE39" s="32">
        <f t="shared" si="31"/>
        <v>1262.5714285714287</v>
      </c>
      <c r="AF39" s="32">
        <f t="shared" si="31"/>
        <v>2186.8571428571431</v>
      </c>
    </row>
    <row r="40" spans="2:32" ht="23.1" customHeight="1" x14ac:dyDescent="0.25">
      <c r="B40" s="24" t="s">
        <v>67</v>
      </c>
      <c r="C40" s="49">
        <f>AVERAGE('29.07 Naguru-Nakawa'!C40,'30.07 Naguru-Nakawa'!C40,'31.07 Naguru-Nakawa'!C40,'02.08 Naguru-Nakawa'!C40,'01.08 Naguru-Nakawa-24h'!C40,'03.08 Naguru-Nakawa-24h'!C40,'04.08 Naguru-Nakawa'!C40)</f>
        <v>84.285714285714292</v>
      </c>
      <c r="D40" s="49">
        <f>AVERAGE('29.07 Naguru-Nakawa'!D40,'30.07 Naguru-Nakawa'!D40,'31.07 Naguru-Nakawa'!D40,'02.08 Naguru-Nakawa'!D40,'01.08 Naguru-Nakawa-24h'!D40,'03.08 Naguru-Nakawa-24h'!D40,'04.08 Naguru-Nakawa'!D40)</f>
        <v>18.571428571428573</v>
      </c>
      <c r="E40" s="49">
        <f>AVERAGE('29.07 Naguru-Nakawa'!E40,'30.07 Naguru-Nakawa'!E40,'31.07 Naguru-Nakawa'!E40,'02.08 Naguru-Nakawa'!E40,'01.08 Naguru-Nakawa-24h'!E40,'03.08 Naguru-Nakawa-24h'!E40,'04.08 Naguru-Nakawa'!E40)</f>
        <v>8.2857142857142865</v>
      </c>
      <c r="F40" s="49">
        <f>AVERAGE('29.07 Naguru-Nakawa'!F40,'30.07 Naguru-Nakawa'!F40,'31.07 Naguru-Nakawa'!F40,'02.08 Naguru-Nakawa'!F40,'01.08 Naguru-Nakawa-24h'!F40,'03.08 Naguru-Nakawa-24h'!F40,'04.08 Naguru-Nakawa'!F40)</f>
        <v>6.2857142857142856</v>
      </c>
      <c r="G40" s="49">
        <f>AVERAGE('29.07 Naguru-Nakawa'!G40,'30.07 Naguru-Nakawa'!G40,'31.07 Naguru-Nakawa'!G40,'02.08 Naguru-Nakawa'!G40,'01.08 Naguru-Nakawa-24h'!G40,'03.08 Naguru-Nakawa-24h'!G40,'04.08 Naguru-Nakawa'!G40)</f>
        <v>0.14285714285714285</v>
      </c>
      <c r="H40" s="49">
        <f>AVERAGE('29.07 Naguru-Nakawa'!H40,'30.07 Naguru-Nakawa'!H40,'31.07 Naguru-Nakawa'!H40,'02.08 Naguru-Nakawa'!H40,'01.08 Naguru-Nakawa-24h'!H40,'03.08 Naguru-Nakawa-24h'!H40,'04.08 Naguru-Nakawa'!H40)</f>
        <v>0</v>
      </c>
      <c r="I40" s="49">
        <f>AVERAGE('29.07 Naguru-Nakawa'!I40,'30.07 Naguru-Nakawa'!I40,'31.07 Naguru-Nakawa'!I40,'02.08 Naguru-Nakawa'!I40,'01.08 Naguru-Nakawa-24h'!I40,'03.08 Naguru-Nakawa-24h'!I40,'04.08 Naguru-Nakawa'!I40)</f>
        <v>4.1428571428571432</v>
      </c>
      <c r="J40" s="49">
        <f>AVERAGE('29.07 Naguru-Nakawa'!J40,'30.07 Naguru-Nakawa'!J40,'31.07 Naguru-Nakawa'!J40,'02.08 Naguru-Nakawa'!J40,'01.08 Naguru-Nakawa-24h'!J40,'03.08 Naguru-Nakawa-24h'!J40,'04.08 Naguru-Nakawa'!J40)</f>
        <v>0.7142857142857143</v>
      </c>
      <c r="K40" s="49">
        <f>AVERAGE('29.07 Naguru-Nakawa'!K40,'30.07 Naguru-Nakawa'!K40,'31.07 Naguru-Nakawa'!K40,'02.08 Naguru-Nakawa'!K40,'01.08 Naguru-Nakawa-24h'!K40,'03.08 Naguru-Nakawa-24h'!K40,'04.08 Naguru-Nakawa'!K40)</f>
        <v>0.14285714285714285</v>
      </c>
      <c r="L40" s="49">
        <f>AVERAGE('29.07 Naguru-Nakawa'!L40,'30.07 Naguru-Nakawa'!L40,'31.07 Naguru-Nakawa'!L40,'02.08 Naguru-Nakawa'!L40,'01.08 Naguru-Nakawa-24h'!L40,'03.08 Naguru-Nakawa-24h'!L40,'04.08 Naguru-Nakawa'!L40)</f>
        <v>0</v>
      </c>
      <c r="M40" s="49">
        <f>AVERAGE('29.07 Naguru-Nakawa'!M40,'30.07 Naguru-Nakawa'!M40,'31.07 Naguru-Nakawa'!M40,'02.08 Naguru-Nakawa'!M40,'01.08 Naguru-Nakawa-24h'!M40,'03.08 Naguru-Nakawa-24h'!M40,'04.08 Naguru-Nakawa'!M40)</f>
        <v>76.428571428571431</v>
      </c>
      <c r="N40" s="49">
        <f>AVERAGE('29.07 Naguru-Nakawa'!N40,'30.07 Naguru-Nakawa'!N40,'31.07 Naguru-Nakawa'!N40,'02.08 Naguru-Nakawa'!N40,'01.08 Naguru-Nakawa-24h'!N40,'03.08 Naguru-Nakawa-24h'!N40,'04.08 Naguru-Nakawa'!N40)</f>
        <v>0</v>
      </c>
      <c r="O40" s="15">
        <f t="shared" si="0"/>
        <v>122.57142857142857</v>
      </c>
      <c r="P40" s="15">
        <f t="shared" si="1"/>
        <v>199</v>
      </c>
      <c r="R40" s="5" t="s">
        <v>17</v>
      </c>
      <c r="S40" s="16">
        <f t="shared" ref="S40:AF40" si="32">SUM(S10:S21)</f>
        <v>4233.5714285714284</v>
      </c>
      <c r="T40" s="16">
        <f t="shared" si="32"/>
        <v>977.85714285714266</v>
      </c>
      <c r="U40" s="16">
        <f t="shared" si="32"/>
        <v>440.99999999999994</v>
      </c>
      <c r="V40" s="16">
        <f t="shared" si="32"/>
        <v>394.71428571428572</v>
      </c>
      <c r="W40" s="16">
        <f t="shared" si="32"/>
        <v>3.4285714285714279</v>
      </c>
      <c r="X40" s="16">
        <f t="shared" si="32"/>
        <v>1.7142857142857142</v>
      </c>
      <c r="Y40" s="16">
        <f t="shared" si="32"/>
        <v>156.85714285714286</v>
      </c>
      <c r="Z40" s="16">
        <f t="shared" si="32"/>
        <v>40.857142857142854</v>
      </c>
      <c r="AA40" s="16">
        <f t="shared" si="32"/>
        <v>10.571428571428571</v>
      </c>
      <c r="AB40" s="16">
        <f t="shared" si="32"/>
        <v>1.1428571428571428</v>
      </c>
      <c r="AC40" s="16">
        <f t="shared" si="32"/>
        <v>3490.2857142857147</v>
      </c>
      <c r="AD40" s="16">
        <f t="shared" si="32"/>
        <v>11.714285714285714</v>
      </c>
      <c r="AE40" s="32">
        <f t="shared" si="32"/>
        <v>6273.4285714285716</v>
      </c>
      <c r="AF40" s="32">
        <f t="shared" si="32"/>
        <v>9763.7142857142862</v>
      </c>
    </row>
    <row r="41" spans="2:32" ht="23.1" customHeight="1" x14ac:dyDescent="0.25">
      <c r="B41" s="23" t="s">
        <v>68</v>
      </c>
      <c r="C41" s="49">
        <f>AVERAGE('29.07 Naguru-Nakawa'!C41,'30.07 Naguru-Nakawa'!C41,'31.07 Naguru-Nakawa'!C41,'02.08 Naguru-Nakawa'!C41,'01.08 Naguru-Nakawa-24h'!C41,'03.08 Naguru-Nakawa-24h'!C41,'04.08 Naguru-Nakawa'!C41)</f>
        <v>95.571428571428569</v>
      </c>
      <c r="D41" s="49">
        <f>AVERAGE('29.07 Naguru-Nakawa'!D41,'30.07 Naguru-Nakawa'!D41,'31.07 Naguru-Nakawa'!D41,'02.08 Naguru-Nakawa'!D41,'01.08 Naguru-Nakawa-24h'!D41,'03.08 Naguru-Nakawa-24h'!D41,'04.08 Naguru-Nakawa'!D41)</f>
        <v>19.857142857142858</v>
      </c>
      <c r="E41" s="49">
        <f>AVERAGE('29.07 Naguru-Nakawa'!E41,'30.07 Naguru-Nakawa'!E41,'31.07 Naguru-Nakawa'!E41,'02.08 Naguru-Nakawa'!E41,'01.08 Naguru-Nakawa-24h'!E41,'03.08 Naguru-Nakawa-24h'!E41,'04.08 Naguru-Nakawa'!E41)</f>
        <v>7.5714285714285712</v>
      </c>
      <c r="F41" s="49">
        <f>AVERAGE('29.07 Naguru-Nakawa'!F41,'30.07 Naguru-Nakawa'!F41,'31.07 Naguru-Nakawa'!F41,'02.08 Naguru-Nakawa'!F41,'01.08 Naguru-Nakawa-24h'!F41,'03.08 Naguru-Nakawa-24h'!F41,'04.08 Naguru-Nakawa'!F41)</f>
        <v>8.7142857142857135</v>
      </c>
      <c r="G41" s="49">
        <f>AVERAGE('29.07 Naguru-Nakawa'!G41,'30.07 Naguru-Nakawa'!G41,'31.07 Naguru-Nakawa'!G41,'02.08 Naguru-Nakawa'!G41,'01.08 Naguru-Nakawa-24h'!G41,'03.08 Naguru-Nakawa-24h'!G41,'04.08 Naguru-Nakawa'!G41)</f>
        <v>0</v>
      </c>
      <c r="H41" s="49">
        <f>AVERAGE('29.07 Naguru-Nakawa'!H41,'30.07 Naguru-Nakawa'!H41,'31.07 Naguru-Nakawa'!H41,'02.08 Naguru-Nakawa'!H41,'01.08 Naguru-Nakawa-24h'!H41,'03.08 Naguru-Nakawa-24h'!H41,'04.08 Naguru-Nakawa'!H41)</f>
        <v>0</v>
      </c>
      <c r="I41" s="49">
        <f>AVERAGE('29.07 Naguru-Nakawa'!I41,'30.07 Naguru-Nakawa'!I41,'31.07 Naguru-Nakawa'!I41,'02.08 Naguru-Nakawa'!I41,'01.08 Naguru-Nakawa-24h'!I41,'03.08 Naguru-Nakawa-24h'!I41,'04.08 Naguru-Nakawa'!I41)</f>
        <v>2.7142857142857144</v>
      </c>
      <c r="J41" s="49">
        <f>AVERAGE('29.07 Naguru-Nakawa'!J41,'30.07 Naguru-Nakawa'!J41,'31.07 Naguru-Nakawa'!J41,'02.08 Naguru-Nakawa'!J41,'01.08 Naguru-Nakawa-24h'!J41,'03.08 Naguru-Nakawa-24h'!J41,'04.08 Naguru-Nakawa'!J41)</f>
        <v>1.2857142857142858</v>
      </c>
      <c r="K41" s="49">
        <f>AVERAGE('29.07 Naguru-Nakawa'!K41,'30.07 Naguru-Nakawa'!K41,'31.07 Naguru-Nakawa'!K41,'02.08 Naguru-Nakawa'!K41,'01.08 Naguru-Nakawa-24h'!K41,'03.08 Naguru-Nakawa-24h'!K41,'04.08 Naguru-Nakawa'!K41)</f>
        <v>0.2857142857142857</v>
      </c>
      <c r="L41" s="49">
        <f>AVERAGE('29.07 Naguru-Nakawa'!L41,'30.07 Naguru-Nakawa'!L41,'31.07 Naguru-Nakawa'!L41,'02.08 Naguru-Nakawa'!L41,'01.08 Naguru-Nakawa-24h'!L41,'03.08 Naguru-Nakawa-24h'!L41,'04.08 Naguru-Nakawa'!L41)</f>
        <v>0</v>
      </c>
      <c r="M41" s="49">
        <f>AVERAGE('29.07 Naguru-Nakawa'!M41,'30.07 Naguru-Nakawa'!M41,'31.07 Naguru-Nakawa'!M41,'02.08 Naguru-Nakawa'!M41,'01.08 Naguru-Nakawa-24h'!M41,'03.08 Naguru-Nakawa-24h'!M41,'04.08 Naguru-Nakawa'!M41)</f>
        <v>73</v>
      </c>
      <c r="N41" s="49">
        <f>AVERAGE('29.07 Naguru-Nakawa'!N41,'30.07 Naguru-Nakawa'!N41,'31.07 Naguru-Nakawa'!N41,'02.08 Naguru-Nakawa'!N41,'01.08 Naguru-Nakawa-24h'!N41,'03.08 Naguru-Nakawa-24h'!N41,'04.08 Naguru-Nakawa'!N41)</f>
        <v>0</v>
      </c>
      <c r="O41" s="15">
        <f t="shared" si="0"/>
        <v>136</v>
      </c>
      <c r="P41" s="15">
        <f t="shared" si="1"/>
        <v>209</v>
      </c>
      <c r="R41" s="5" t="s">
        <v>194</v>
      </c>
      <c r="S41" s="16">
        <f>SUM(S10:S33)</f>
        <v>4884.0714285714284</v>
      </c>
      <c r="T41" s="16">
        <f t="shared" ref="T41:AD41" si="33">SUM(T10:T33)</f>
        <v>1312.3571428571427</v>
      </c>
      <c r="U41" s="16">
        <f t="shared" si="33"/>
        <v>552</v>
      </c>
      <c r="V41" s="16">
        <f t="shared" si="33"/>
        <v>474.21428571428572</v>
      </c>
      <c r="W41" s="16">
        <f t="shared" si="33"/>
        <v>5.4285714285714279</v>
      </c>
      <c r="X41" s="16">
        <f t="shared" si="33"/>
        <v>2.7142857142857144</v>
      </c>
      <c r="Y41" s="16">
        <f t="shared" si="33"/>
        <v>184.85714285714286</v>
      </c>
      <c r="Z41" s="16">
        <f t="shared" si="33"/>
        <v>44.357142857142854</v>
      </c>
      <c r="AA41" s="16">
        <f t="shared" si="33"/>
        <v>22.571428571428569</v>
      </c>
      <c r="AB41" s="16">
        <f t="shared" si="33"/>
        <v>2.6428571428571428</v>
      </c>
      <c r="AC41" s="16">
        <f t="shared" si="33"/>
        <v>4295.2857142857147</v>
      </c>
      <c r="AD41" s="16">
        <f t="shared" si="33"/>
        <v>11.714285714285714</v>
      </c>
      <c r="AE41" s="32">
        <f>SUM(AE10:AE33)</f>
        <v>7496.9285714285716</v>
      </c>
      <c r="AF41" s="32">
        <f>SUM(AF10:AF33)</f>
        <v>11792.214285714286</v>
      </c>
    </row>
    <row r="42" spans="2:32" ht="23.1" customHeight="1" x14ac:dyDescent="0.25">
      <c r="B42" s="24" t="s">
        <v>69</v>
      </c>
      <c r="C42" s="49">
        <f>AVERAGE('29.07 Naguru-Nakawa'!C42,'30.07 Naguru-Nakawa'!C42,'31.07 Naguru-Nakawa'!C42,'02.08 Naguru-Nakawa'!C42,'01.08 Naguru-Nakawa-24h'!C42,'03.08 Naguru-Nakawa-24h'!C42,'04.08 Naguru-Nakawa'!C42)</f>
        <v>71.857142857142861</v>
      </c>
      <c r="D42" s="49">
        <f>AVERAGE('29.07 Naguru-Nakawa'!D42,'30.07 Naguru-Nakawa'!D42,'31.07 Naguru-Nakawa'!D42,'02.08 Naguru-Nakawa'!D42,'01.08 Naguru-Nakawa-24h'!D42,'03.08 Naguru-Nakawa-24h'!D42,'04.08 Naguru-Nakawa'!D42)</f>
        <v>17.571428571428573</v>
      </c>
      <c r="E42" s="49">
        <f>AVERAGE('29.07 Naguru-Nakawa'!E42,'30.07 Naguru-Nakawa'!E42,'31.07 Naguru-Nakawa'!E42,'02.08 Naguru-Nakawa'!E42,'01.08 Naguru-Nakawa-24h'!E42,'03.08 Naguru-Nakawa-24h'!E42,'04.08 Naguru-Nakawa'!E42)</f>
        <v>7.8571428571428568</v>
      </c>
      <c r="F42" s="49">
        <f>AVERAGE('29.07 Naguru-Nakawa'!F42,'30.07 Naguru-Nakawa'!F42,'31.07 Naguru-Nakawa'!F42,'02.08 Naguru-Nakawa'!F42,'01.08 Naguru-Nakawa-24h'!F42,'03.08 Naguru-Nakawa-24h'!F42,'04.08 Naguru-Nakawa'!F42)</f>
        <v>6.8571428571428568</v>
      </c>
      <c r="G42" s="49">
        <f>AVERAGE('29.07 Naguru-Nakawa'!G42,'30.07 Naguru-Nakawa'!G42,'31.07 Naguru-Nakawa'!G42,'02.08 Naguru-Nakawa'!G42,'01.08 Naguru-Nakawa-24h'!G42,'03.08 Naguru-Nakawa-24h'!G42,'04.08 Naguru-Nakawa'!G42)</f>
        <v>0</v>
      </c>
      <c r="H42" s="49">
        <f>AVERAGE('29.07 Naguru-Nakawa'!H42,'30.07 Naguru-Nakawa'!H42,'31.07 Naguru-Nakawa'!H42,'02.08 Naguru-Nakawa'!H42,'01.08 Naguru-Nakawa-24h'!H42,'03.08 Naguru-Nakawa-24h'!H42,'04.08 Naguru-Nakawa'!H42)</f>
        <v>0</v>
      </c>
      <c r="I42" s="49">
        <f>AVERAGE('29.07 Naguru-Nakawa'!I42,'30.07 Naguru-Nakawa'!I42,'31.07 Naguru-Nakawa'!I42,'02.08 Naguru-Nakawa'!I42,'01.08 Naguru-Nakawa-24h'!I42,'03.08 Naguru-Nakawa-24h'!I42,'04.08 Naguru-Nakawa'!I42)</f>
        <v>3.8571428571428572</v>
      </c>
      <c r="J42" s="49">
        <f>AVERAGE('29.07 Naguru-Nakawa'!J42,'30.07 Naguru-Nakawa'!J42,'31.07 Naguru-Nakawa'!J42,'02.08 Naguru-Nakawa'!J42,'01.08 Naguru-Nakawa-24h'!J42,'03.08 Naguru-Nakawa-24h'!J42,'04.08 Naguru-Nakawa'!J42)</f>
        <v>0.5714285714285714</v>
      </c>
      <c r="K42" s="49">
        <f>AVERAGE('29.07 Naguru-Nakawa'!K42,'30.07 Naguru-Nakawa'!K42,'31.07 Naguru-Nakawa'!K42,'02.08 Naguru-Nakawa'!K42,'01.08 Naguru-Nakawa-24h'!K42,'03.08 Naguru-Nakawa-24h'!K42,'04.08 Naguru-Nakawa'!K42)</f>
        <v>0.14285714285714285</v>
      </c>
      <c r="L42" s="49">
        <f>AVERAGE('29.07 Naguru-Nakawa'!L42,'30.07 Naguru-Nakawa'!L42,'31.07 Naguru-Nakawa'!L42,'02.08 Naguru-Nakawa'!L42,'01.08 Naguru-Nakawa-24h'!L42,'03.08 Naguru-Nakawa-24h'!L42,'04.08 Naguru-Nakawa'!L42)</f>
        <v>0.14285714285714285</v>
      </c>
      <c r="M42" s="49">
        <f>AVERAGE('29.07 Naguru-Nakawa'!M42,'30.07 Naguru-Nakawa'!M42,'31.07 Naguru-Nakawa'!M42,'02.08 Naguru-Nakawa'!M42,'01.08 Naguru-Nakawa-24h'!M42,'03.08 Naguru-Nakawa-24h'!M42,'04.08 Naguru-Nakawa'!M42)</f>
        <v>68.285714285714292</v>
      </c>
      <c r="N42" s="49">
        <f>AVERAGE('29.07 Naguru-Nakawa'!N42,'30.07 Naguru-Nakawa'!N42,'31.07 Naguru-Nakawa'!N42,'02.08 Naguru-Nakawa'!N42,'01.08 Naguru-Nakawa-24h'!N42,'03.08 Naguru-Nakawa-24h'!N42,'04.08 Naguru-Nakawa'!N42)</f>
        <v>0.14285714285714285</v>
      </c>
      <c r="O42" s="15">
        <f t="shared" si="0"/>
        <v>109</v>
      </c>
      <c r="P42" s="15">
        <f t="shared" si="1"/>
        <v>177.28571428571431</v>
      </c>
      <c r="R42" s="5" t="s">
        <v>160</v>
      </c>
      <c r="S42" s="48">
        <f>S41/S40</f>
        <v>1.1536527754344525</v>
      </c>
      <c r="T42" s="48">
        <f t="shared" ref="T42:AF42" si="34">T41/T40</f>
        <v>1.3420745069393718</v>
      </c>
      <c r="U42" s="48">
        <f t="shared" si="34"/>
        <v>1.2517006802721089</v>
      </c>
      <c r="V42" s="48">
        <f t="shared" si="34"/>
        <v>1.2014115092290989</v>
      </c>
      <c r="W42" s="48">
        <f t="shared" si="34"/>
        <v>1.5833333333333335</v>
      </c>
      <c r="X42" s="48">
        <f t="shared" si="34"/>
        <v>1.5833333333333335</v>
      </c>
      <c r="Y42" s="48">
        <f t="shared" si="34"/>
        <v>1.1785063752276868</v>
      </c>
      <c r="Z42" s="48">
        <f t="shared" si="34"/>
        <v>1.0856643356643356</v>
      </c>
      <c r="AA42" s="48">
        <f t="shared" si="34"/>
        <v>2.1351351351351351</v>
      </c>
      <c r="AB42" s="48">
        <f t="shared" si="34"/>
        <v>2.3125</v>
      </c>
      <c r="AC42" s="48">
        <f t="shared" si="34"/>
        <v>1.2306401440733463</v>
      </c>
      <c r="AD42" s="48">
        <f t="shared" si="34"/>
        <v>1</v>
      </c>
      <c r="AE42" s="53">
        <f t="shared" si="34"/>
        <v>1.1950289201621351</v>
      </c>
      <c r="AF42" s="53">
        <f t="shared" si="34"/>
        <v>1.2077590495420361</v>
      </c>
    </row>
    <row r="43" spans="2:32" ht="23.1" customHeight="1" x14ac:dyDescent="0.25">
      <c r="B43" s="23" t="s">
        <v>70</v>
      </c>
      <c r="C43" s="49">
        <f>AVERAGE('29.07 Naguru-Nakawa'!C43,'30.07 Naguru-Nakawa'!C43,'31.07 Naguru-Nakawa'!C43,'02.08 Naguru-Nakawa'!C43,'01.08 Naguru-Nakawa-24h'!C43,'03.08 Naguru-Nakawa-24h'!C43,'04.08 Naguru-Nakawa'!C43)</f>
        <v>85.571428571428569</v>
      </c>
      <c r="D43" s="49">
        <f>AVERAGE('29.07 Naguru-Nakawa'!D43,'30.07 Naguru-Nakawa'!D43,'31.07 Naguru-Nakawa'!D43,'02.08 Naguru-Nakawa'!D43,'01.08 Naguru-Nakawa-24h'!D43,'03.08 Naguru-Nakawa-24h'!D43,'04.08 Naguru-Nakawa'!D43)</f>
        <v>15.857142857142858</v>
      </c>
      <c r="E43" s="49">
        <f>AVERAGE('29.07 Naguru-Nakawa'!E43,'30.07 Naguru-Nakawa'!E43,'31.07 Naguru-Nakawa'!E43,'02.08 Naguru-Nakawa'!E43,'01.08 Naguru-Nakawa-24h'!E43,'03.08 Naguru-Nakawa-24h'!E43,'04.08 Naguru-Nakawa'!E43)</f>
        <v>7.7142857142857144</v>
      </c>
      <c r="F43" s="49">
        <f>AVERAGE('29.07 Naguru-Nakawa'!F43,'30.07 Naguru-Nakawa'!F43,'31.07 Naguru-Nakawa'!F43,'02.08 Naguru-Nakawa'!F43,'01.08 Naguru-Nakawa-24h'!F43,'03.08 Naguru-Nakawa-24h'!F43,'04.08 Naguru-Nakawa'!F43)</f>
        <v>8.4285714285714288</v>
      </c>
      <c r="G43" s="49">
        <f>AVERAGE('29.07 Naguru-Nakawa'!G43,'30.07 Naguru-Nakawa'!G43,'31.07 Naguru-Nakawa'!G43,'02.08 Naguru-Nakawa'!G43,'01.08 Naguru-Nakawa-24h'!G43,'03.08 Naguru-Nakawa-24h'!G43,'04.08 Naguru-Nakawa'!G43)</f>
        <v>0</v>
      </c>
      <c r="H43" s="49">
        <f>AVERAGE('29.07 Naguru-Nakawa'!H43,'30.07 Naguru-Nakawa'!H43,'31.07 Naguru-Nakawa'!H43,'02.08 Naguru-Nakawa'!H43,'01.08 Naguru-Nakawa-24h'!H43,'03.08 Naguru-Nakawa-24h'!H43,'04.08 Naguru-Nakawa'!H43)</f>
        <v>0</v>
      </c>
      <c r="I43" s="49">
        <f>AVERAGE('29.07 Naguru-Nakawa'!I43,'30.07 Naguru-Nakawa'!I43,'31.07 Naguru-Nakawa'!I43,'02.08 Naguru-Nakawa'!I43,'01.08 Naguru-Nakawa-24h'!I43,'03.08 Naguru-Nakawa-24h'!I43,'04.08 Naguru-Nakawa'!I43)</f>
        <v>4.2857142857142856</v>
      </c>
      <c r="J43" s="49">
        <f>AVERAGE('29.07 Naguru-Nakawa'!J43,'30.07 Naguru-Nakawa'!J43,'31.07 Naguru-Nakawa'!J43,'02.08 Naguru-Nakawa'!J43,'01.08 Naguru-Nakawa-24h'!J43,'03.08 Naguru-Nakawa-24h'!J43,'04.08 Naguru-Nakawa'!J43)</f>
        <v>0.42857142857142855</v>
      </c>
      <c r="K43" s="49">
        <f>AVERAGE('29.07 Naguru-Nakawa'!K43,'30.07 Naguru-Nakawa'!K43,'31.07 Naguru-Nakawa'!K43,'02.08 Naguru-Nakawa'!K43,'01.08 Naguru-Nakawa-24h'!K43,'03.08 Naguru-Nakawa-24h'!K43,'04.08 Naguru-Nakawa'!K43)</f>
        <v>0.2857142857142857</v>
      </c>
      <c r="L43" s="49">
        <f>AVERAGE('29.07 Naguru-Nakawa'!L43,'30.07 Naguru-Nakawa'!L43,'31.07 Naguru-Nakawa'!L43,'02.08 Naguru-Nakawa'!L43,'01.08 Naguru-Nakawa-24h'!L43,'03.08 Naguru-Nakawa-24h'!L43,'04.08 Naguru-Nakawa'!L43)</f>
        <v>0</v>
      </c>
      <c r="M43" s="49">
        <f>AVERAGE('29.07 Naguru-Nakawa'!M43,'30.07 Naguru-Nakawa'!M43,'31.07 Naguru-Nakawa'!M43,'02.08 Naguru-Nakawa'!M43,'01.08 Naguru-Nakawa-24h'!M43,'03.08 Naguru-Nakawa-24h'!M43,'04.08 Naguru-Nakawa'!M43)</f>
        <v>67.571428571428569</v>
      </c>
      <c r="N43" s="49">
        <f>AVERAGE('29.07 Naguru-Nakawa'!N43,'30.07 Naguru-Nakawa'!N43,'31.07 Naguru-Nakawa'!N43,'02.08 Naguru-Nakawa'!N43,'01.08 Naguru-Nakawa-24h'!N43,'03.08 Naguru-Nakawa-24h'!N43,'04.08 Naguru-Nakawa'!N43)</f>
        <v>0</v>
      </c>
      <c r="O43" s="15">
        <f t="shared" si="0"/>
        <v>122.57142857142858</v>
      </c>
      <c r="P43" s="15">
        <f t="shared" si="1"/>
        <v>190.14285714285717</v>
      </c>
    </row>
    <row r="44" spans="2:32" ht="23.1" customHeight="1" x14ac:dyDescent="0.25">
      <c r="B44" s="25" t="s">
        <v>71</v>
      </c>
      <c r="C44" s="49">
        <f>AVERAGE('29.07 Naguru-Nakawa'!C44,'30.07 Naguru-Nakawa'!C44,'31.07 Naguru-Nakawa'!C44,'02.08 Naguru-Nakawa'!C44,'01.08 Naguru-Nakawa-24h'!C44,'03.08 Naguru-Nakawa-24h'!C44,'04.08 Naguru-Nakawa'!C44)</f>
        <v>86.428571428571431</v>
      </c>
      <c r="D44" s="49">
        <f>AVERAGE('29.07 Naguru-Nakawa'!D44,'30.07 Naguru-Nakawa'!D44,'31.07 Naguru-Nakawa'!D44,'02.08 Naguru-Nakawa'!D44,'01.08 Naguru-Nakawa-24h'!D44,'03.08 Naguru-Nakawa-24h'!D44,'04.08 Naguru-Nakawa'!D44)</f>
        <v>16.571428571428573</v>
      </c>
      <c r="E44" s="49">
        <f>AVERAGE('29.07 Naguru-Nakawa'!E44,'30.07 Naguru-Nakawa'!E44,'31.07 Naguru-Nakawa'!E44,'02.08 Naguru-Nakawa'!E44,'01.08 Naguru-Nakawa-24h'!E44,'03.08 Naguru-Nakawa-24h'!E44,'04.08 Naguru-Nakawa'!E44)</f>
        <v>10</v>
      </c>
      <c r="F44" s="49">
        <f>AVERAGE('29.07 Naguru-Nakawa'!F44,'30.07 Naguru-Nakawa'!F44,'31.07 Naguru-Nakawa'!F44,'02.08 Naguru-Nakawa'!F44,'01.08 Naguru-Nakawa-24h'!F44,'03.08 Naguru-Nakawa-24h'!F44,'04.08 Naguru-Nakawa'!F44)</f>
        <v>10</v>
      </c>
      <c r="G44" s="49">
        <f>AVERAGE('29.07 Naguru-Nakawa'!G44,'30.07 Naguru-Nakawa'!G44,'31.07 Naguru-Nakawa'!G44,'02.08 Naguru-Nakawa'!G44,'01.08 Naguru-Nakawa-24h'!G44,'03.08 Naguru-Nakawa-24h'!G44,'04.08 Naguru-Nakawa'!G44)</f>
        <v>0.2857142857142857</v>
      </c>
      <c r="H44" s="49">
        <f>AVERAGE('29.07 Naguru-Nakawa'!H44,'30.07 Naguru-Nakawa'!H44,'31.07 Naguru-Nakawa'!H44,'02.08 Naguru-Nakawa'!H44,'01.08 Naguru-Nakawa-24h'!H44,'03.08 Naguru-Nakawa-24h'!H44,'04.08 Naguru-Nakawa'!H44)</f>
        <v>0</v>
      </c>
      <c r="I44" s="49">
        <f>AVERAGE('29.07 Naguru-Nakawa'!I44,'30.07 Naguru-Nakawa'!I44,'31.07 Naguru-Nakawa'!I44,'02.08 Naguru-Nakawa'!I44,'01.08 Naguru-Nakawa-24h'!I44,'03.08 Naguru-Nakawa-24h'!I44,'04.08 Naguru-Nakawa'!I44)</f>
        <v>4.1428571428571432</v>
      </c>
      <c r="J44" s="49">
        <f>AVERAGE('29.07 Naguru-Nakawa'!J44,'30.07 Naguru-Nakawa'!J44,'31.07 Naguru-Nakawa'!J44,'02.08 Naguru-Nakawa'!J44,'01.08 Naguru-Nakawa-24h'!J44,'03.08 Naguru-Nakawa-24h'!J44,'04.08 Naguru-Nakawa'!J44)</f>
        <v>1.2857142857142858</v>
      </c>
      <c r="K44" s="49">
        <f>AVERAGE('29.07 Naguru-Nakawa'!K44,'30.07 Naguru-Nakawa'!K44,'31.07 Naguru-Nakawa'!K44,'02.08 Naguru-Nakawa'!K44,'01.08 Naguru-Nakawa-24h'!K44,'03.08 Naguru-Nakawa-24h'!K44,'04.08 Naguru-Nakawa'!K44)</f>
        <v>0.2857142857142857</v>
      </c>
      <c r="L44" s="49">
        <f>AVERAGE('29.07 Naguru-Nakawa'!L44,'30.07 Naguru-Nakawa'!L44,'31.07 Naguru-Nakawa'!L44,'02.08 Naguru-Nakawa'!L44,'01.08 Naguru-Nakawa-24h'!L44,'03.08 Naguru-Nakawa-24h'!L44,'04.08 Naguru-Nakawa'!L44)</f>
        <v>0.14285714285714285</v>
      </c>
      <c r="M44" s="49">
        <f>AVERAGE('29.07 Naguru-Nakawa'!M44,'30.07 Naguru-Nakawa'!M44,'31.07 Naguru-Nakawa'!M44,'02.08 Naguru-Nakawa'!M44,'01.08 Naguru-Nakawa-24h'!M44,'03.08 Naguru-Nakawa-24h'!M44,'04.08 Naguru-Nakawa'!M44)</f>
        <v>70.714285714285708</v>
      </c>
      <c r="N44" s="49">
        <f>AVERAGE('29.07 Naguru-Nakawa'!N44,'30.07 Naguru-Nakawa'!N44,'31.07 Naguru-Nakawa'!N44,'02.08 Naguru-Nakawa'!N44,'01.08 Naguru-Nakawa-24h'!N44,'03.08 Naguru-Nakawa-24h'!N44,'04.08 Naguru-Nakawa'!N44)</f>
        <v>0</v>
      </c>
      <c r="O44" s="15">
        <f t="shared" si="0"/>
        <v>129.14285714285714</v>
      </c>
      <c r="P44" s="15">
        <f t="shared" si="1"/>
        <v>199.85714285714283</v>
      </c>
    </row>
    <row r="45" spans="2:32" ht="23.1" customHeight="1" x14ac:dyDescent="0.25">
      <c r="B45" s="23" t="s">
        <v>72</v>
      </c>
      <c r="C45" s="49">
        <f>AVERAGE('29.07 Naguru-Nakawa'!C45,'30.07 Naguru-Nakawa'!C45,'31.07 Naguru-Nakawa'!C45,'02.08 Naguru-Nakawa'!C45,'01.08 Naguru-Nakawa-24h'!C45,'03.08 Naguru-Nakawa-24h'!C45,'04.08 Naguru-Nakawa'!C45)</f>
        <v>80</v>
      </c>
      <c r="D45" s="49">
        <f>AVERAGE('29.07 Naguru-Nakawa'!D45,'30.07 Naguru-Nakawa'!D45,'31.07 Naguru-Nakawa'!D45,'02.08 Naguru-Nakawa'!D45,'01.08 Naguru-Nakawa-24h'!D45,'03.08 Naguru-Nakawa-24h'!D45,'04.08 Naguru-Nakawa'!D45)</f>
        <v>19</v>
      </c>
      <c r="E45" s="49">
        <f>AVERAGE('29.07 Naguru-Nakawa'!E45,'30.07 Naguru-Nakawa'!E45,'31.07 Naguru-Nakawa'!E45,'02.08 Naguru-Nakawa'!E45,'01.08 Naguru-Nakawa-24h'!E45,'03.08 Naguru-Nakawa-24h'!E45,'04.08 Naguru-Nakawa'!E45)</f>
        <v>10</v>
      </c>
      <c r="F45" s="49">
        <f>AVERAGE('29.07 Naguru-Nakawa'!F45,'30.07 Naguru-Nakawa'!F45,'31.07 Naguru-Nakawa'!F45,'02.08 Naguru-Nakawa'!F45,'01.08 Naguru-Nakawa-24h'!F45,'03.08 Naguru-Nakawa-24h'!F45,'04.08 Naguru-Nakawa'!F45)</f>
        <v>7.4285714285714288</v>
      </c>
      <c r="G45" s="49">
        <f>AVERAGE('29.07 Naguru-Nakawa'!G45,'30.07 Naguru-Nakawa'!G45,'31.07 Naguru-Nakawa'!G45,'02.08 Naguru-Nakawa'!G45,'01.08 Naguru-Nakawa-24h'!G45,'03.08 Naguru-Nakawa-24h'!G45,'04.08 Naguru-Nakawa'!G45)</f>
        <v>0</v>
      </c>
      <c r="H45" s="49">
        <f>AVERAGE('29.07 Naguru-Nakawa'!H45,'30.07 Naguru-Nakawa'!H45,'31.07 Naguru-Nakawa'!H45,'02.08 Naguru-Nakawa'!H45,'01.08 Naguru-Nakawa-24h'!H45,'03.08 Naguru-Nakawa-24h'!H45,'04.08 Naguru-Nakawa'!H45)</f>
        <v>0</v>
      </c>
      <c r="I45" s="49">
        <f>AVERAGE('29.07 Naguru-Nakawa'!I45,'30.07 Naguru-Nakawa'!I45,'31.07 Naguru-Nakawa'!I45,'02.08 Naguru-Nakawa'!I45,'01.08 Naguru-Nakawa-24h'!I45,'03.08 Naguru-Nakawa-24h'!I45,'04.08 Naguru-Nakawa'!I45)</f>
        <v>4.7142857142857144</v>
      </c>
      <c r="J45" s="49">
        <f>AVERAGE('29.07 Naguru-Nakawa'!J45,'30.07 Naguru-Nakawa'!J45,'31.07 Naguru-Nakawa'!J45,'02.08 Naguru-Nakawa'!J45,'01.08 Naguru-Nakawa-24h'!J45,'03.08 Naguru-Nakawa-24h'!J45,'04.08 Naguru-Nakawa'!J45)</f>
        <v>0.42857142857142855</v>
      </c>
      <c r="K45" s="49">
        <f>AVERAGE('29.07 Naguru-Nakawa'!K45,'30.07 Naguru-Nakawa'!K45,'31.07 Naguru-Nakawa'!K45,'02.08 Naguru-Nakawa'!K45,'01.08 Naguru-Nakawa-24h'!K45,'03.08 Naguru-Nakawa-24h'!K45,'04.08 Naguru-Nakawa'!K45)</f>
        <v>0.14285714285714285</v>
      </c>
      <c r="L45" s="49">
        <f>AVERAGE('29.07 Naguru-Nakawa'!L45,'30.07 Naguru-Nakawa'!L45,'31.07 Naguru-Nakawa'!L45,'02.08 Naguru-Nakawa'!L45,'01.08 Naguru-Nakawa-24h'!L45,'03.08 Naguru-Nakawa-24h'!L45,'04.08 Naguru-Nakawa'!L45)</f>
        <v>0</v>
      </c>
      <c r="M45" s="49">
        <f>AVERAGE('29.07 Naguru-Nakawa'!M45,'30.07 Naguru-Nakawa'!M45,'31.07 Naguru-Nakawa'!M45,'02.08 Naguru-Nakawa'!M45,'01.08 Naguru-Nakawa-24h'!M45,'03.08 Naguru-Nakawa-24h'!M45,'04.08 Naguru-Nakawa'!M45)</f>
        <v>67.285714285714292</v>
      </c>
      <c r="N45" s="49">
        <f>AVERAGE('29.07 Naguru-Nakawa'!N45,'30.07 Naguru-Nakawa'!N45,'31.07 Naguru-Nakawa'!N45,'02.08 Naguru-Nakawa'!N45,'01.08 Naguru-Nakawa-24h'!N45,'03.08 Naguru-Nakawa-24h'!N45,'04.08 Naguru-Nakawa'!N45)</f>
        <v>0</v>
      </c>
      <c r="O45" s="15">
        <f t="shared" si="0"/>
        <v>121.71428571428571</v>
      </c>
      <c r="P45" s="15">
        <f t="shared" si="1"/>
        <v>189</v>
      </c>
    </row>
    <row r="46" spans="2:32" ht="23.1" customHeight="1" x14ac:dyDescent="0.25">
      <c r="B46" s="24" t="s">
        <v>73</v>
      </c>
      <c r="C46" s="49">
        <f>AVERAGE('29.07 Naguru-Nakawa'!C46,'30.07 Naguru-Nakawa'!C46,'31.07 Naguru-Nakawa'!C46,'02.08 Naguru-Nakawa'!C46,'01.08 Naguru-Nakawa-24h'!C46,'03.08 Naguru-Nakawa-24h'!C46,'04.08 Naguru-Nakawa'!C46)</f>
        <v>81.428571428571431</v>
      </c>
      <c r="D46" s="49">
        <f>AVERAGE('29.07 Naguru-Nakawa'!D46,'30.07 Naguru-Nakawa'!D46,'31.07 Naguru-Nakawa'!D46,'02.08 Naguru-Nakawa'!D46,'01.08 Naguru-Nakawa-24h'!D46,'03.08 Naguru-Nakawa-24h'!D46,'04.08 Naguru-Nakawa'!D46)</f>
        <v>24.285714285714285</v>
      </c>
      <c r="E46" s="49">
        <f>AVERAGE('29.07 Naguru-Nakawa'!E46,'30.07 Naguru-Nakawa'!E46,'31.07 Naguru-Nakawa'!E46,'02.08 Naguru-Nakawa'!E46,'01.08 Naguru-Nakawa-24h'!E46,'03.08 Naguru-Nakawa-24h'!E46,'04.08 Naguru-Nakawa'!E46)</f>
        <v>8.2857142857142865</v>
      </c>
      <c r="F46" s="49">
        <f>AVERAGE('29.07 Naguru-Nakawa'!F46,'30.07 Naguru-Nakawa'!F46,'31.07 Naguru-Nakawa'!F46,'02.08 Naguru-Nakawa'!F46,'01.08 Naguru-Nakawa-24h'!F46,'03.08 Naguru-Nakawa-24h'!F46,'04.08 Naguru-Nakawa'!F46)</f>
        <v>9.7142857142857135</v>
      </c>
      <c r="G46" s="49">
        <f>AVERAGE('29.07 Naguru-Nakawa'!G46,'30.07 Naguru-Nakawa'!G46,'31.07 Naguru-Nakawa'!G46,'02.08 Naguru-Nakawa'!G46,'01.08 Naguru-Nakawa-24h'!G46,'03.08 Naguru-Nakawa-24h'!G46,'04.08 Naguru-Nakawa'!G46)</f>
        <v>0.2857142857142857</v>
      </c>
      <c r="H46" s="49">
        <f>AVERAGE('29.07 Naguru-Nakawa'!H46,'30.07 Naguru-Nakawa'!H46,'31.07 Naguru-Nakawa'!H46,'02.08 Naguru-Nakawa'!H46,'01.08 Naguru-Nakawa-24h'!H46,'03.08 Naguru-Nakawa-24h'!H46,'04.08 Naguru-Nakawa'!H46)</f>
        <v>0</v>
      </c>
      <c r="I46" s="49">
        <f>AVERAGE('29.07 Naguru-Nakawa'!I46,'30.07 Naguru-Nakawa'!I46,'31.07 Naguru-Nakawa'!I46,'02.08 Naguru-Nakawa'!I46,'01.08 Naguru-Nakawa-24h'!I46,'03.08 Naguru-Nakawa-24h'!I46,'04.08 Naguru-Nakawa'!I46)</f>
        <v>4.1428571428571432</v>
      </c>
      <c r="J46" s="49">
        <f>AVERAGE('29.07 Naguru-Nakawa'!J46,'30.07 Naguru-Nakawa'!J46,'31.07 Naguru-Nakawa'!J46,'02.08 Naguru-Nakawa'!J46,'01.08 Naguru-Nakawa-24h'!J46,'03.08 Naguru-Nakawa-24h'!J46,'04.08 Naguru-Nakawa'!J46)</f>
        <v>1.1428571428571428</v>
      </c>
      <c r="K46" s="49">
        <f>AVERAGE('29.07 Naguru-Nakawa'!K46,'30.07 Naguru-Nakawa'!K46,'31.07 Naguru-Nakawa'!K46,'02.08 Naguru-Nakawa'!K46,'01.08 Naguru-Nakawa-24h'!K46,'03.08 Naguru-Nakawa-24h'!K46,'04.08 Naguru-Nakawa'!K46)</f>
        <v>0</v>
      </c>
      <c r="L46" s="49">
        <f>AVERAGE('29.07 Naguru-Nakawa'!L46,'30.07 Naguru-Nakawa'!L46,'31.07 Naguru-Nakawa'!L46,'02.08 Naguru-Nakawa'!L46,'01.08 Naguru-Nakawa-24h'!L46,'03.08 Naguru-Nakawa-24h'!L46,'04.08 Naguru-Nakawa'!L46)</f>
        <v>0</v>
      </c>
      <c r="M46" s="49">
        <f>AVERAGE('29.07 Naguru-Nakawa'!M46,'30.07 Naguru-Nakawa'!M46,'31.07 Naguru-Nakawa'!M46,'02.08 Naguru-Nakawa'!M46,'01.08 Naguru-Nakawa-24h'!M46,'03.08 Naguru-Nakawa-24h'!M46,'04.08 Naguru-Nakawa'!M46)</f>
        <v>64.428571428571431</v>
      </c>
      <c r="N46" s="49">
        <f>AVERAGE('29.07 Naguru-Nakawa'!N46,'30.07 Naguru-Nakawa'!N46,'31.07 Naguru-Nakawa'!N46,'02.08 Naguru-Nakawa'!N46,'01.08 Naguru-Nakawa-24h'!N46,'03.08 Naguru-Nakawa-24h'!N46,'04.08 Naguru-Nakawa'!N46)</f>
        <v>0</v>
      </c>
      <c r="O46" s="15">
        <f t="shared" si="0"/>
        <v>129.28571428571431</v>
      </c>
      <c r="P46" s="15">
        <f t="shared" si="1"/>
        <v>193.71428571428572</v>
      </c>
      <c r="R46" s="8"/>
      <c r="T46"/>
    </row>
    <row r="47" spans="2:32" ht="23.1" customHeight="1" x14ac:dyDescent="0.25">
      <c r="B47" s="24" t="s">
        <v>74</v>
      </c>
      <c r="C47" s="49">
        <f>AVERAGE('29.07 Naguru-Nakawa'!C47,'30.07 Naguru-Nakawa'!C47,'31.07 Naguru-Nakawa'!C47,'02.08 Naguru-Nakawa'!C47,'01.08 Naguru-Nakawa-24h'!C47,'03.08 Naguru-Nakawa-24h'!C47,'04.08 Naguru-Nakawa'!C47)</f>
        <v>73.285714285714292</v>
      </c>
      <c r="D47" s="49">
        <f>AVERAGE('29.07 Naguru-Nakawa'!D47,'30.07 Naguru-Nakawa'!D47,'31.07 Naguru-Nakawa'!D47,'02.08 Naguru-Nakawa'!D47,'01.08 Naguru-Nakawa-24h'!D47,'03.08 Naguru-Nakawa-24h'!D47,'04.08 Naguru-Nakawa'!D47)</f>
        <v>17.142857142857142</v>
      </c>
      <c r="E47" s="49">
        <f>AVERAGE('29.07 Naguru-Nakawa'!E47,'30.07 Naguru-Nakawa'!E47,'31.07 Naguru-Nakawa'!E47,'02.08 Naguru-Nakawa'!E47,'01.08 Naguru-Nakawa-24h'!E47,'03.08 Naguru-Nakawa-24h'!E47,'04.08 Naguru-Nakawa'!E47)</f>
        <v>7.8571428571428568</v>
      </c>
      <c r="F47" s="49">
        <f>AVERAGE('29.07 Naguru-Nakawa'!F47,'30.07 Naguru-Nakawa'!F47,'31.07 Naguru-Nakawa'!F47,'02.08 Naguru-Nakawa'!F47,'01.08 Naguru-Nakawa-24h'!F47,'03.08 Naguru-Nakawa-24h'!F47,'04.08 Naguru-Nakawa'!F47)</f>
        <v>8.5714285714285712</v>
      </c>
      <c r="G47" s="49">
        <f>AVERAGE('29.07 Naguru-Nakawa'!G47,'30.07 Naguru-Nakawa'!G47,'31.07 Naguru-Nakawa'!G47,'02.08 Naguru-Nakawa'!G47,'01.08 Naguru-Nakawa-24h'!G47,'03.08 Naguru-Nakawa-24h'!G47,'04.08 Naguru-Nakawa'!G47)</f>
        <v>0.14285714285714285</v>
      </c>
      <c r="H47" s="49">
        <f>AVERAGE('29.07 Naguru-Nakawa'!H47,'30.07 Naguru-Nakawa'!H47,'31.07 Naguru-Nakawa'!H47,'02.08 Naguru-Nakawa'!H47,'01.08 Naguru-Nakawa-24h'!H47,'03.08 Naguru-Nakawa-24h'!H47,'04.08 Naguru-Nakawa'!H47)</f>
        <v>0</v>
      </c>
      <c r="I47" s="49">
        <f>AVERAGE('29.07 Naguru-Nakawa'!I47,'30.07 Naguru-Nakawa'!I47,'31.07 Naguru-Nakawa'!I47,'02.08 Naguru-Nakawa'!I47,'01.08 Naguru-Nakawa-24h'!I47,'03.08 Naguru-Nakawa-24h'!I47,'04.08 Naguru-Nakawa'!I47)</f>
        <v>2.8571428571428572</v>
      </c>
      <c r="J47" s="49">
        <f>AVERAGE('29.07 Naguru-Nakawa'!J47,'30.07 Naguru-Nakawa'!J47,'31.07 Naguru-Nakawa'!J47,'02.08 Naguru-Nakawa'!J47,'01.08 Naguru-Nakawa-24h'!J47,'03.08 Naguru-Nakawa-24h'!J47,'04.08 Naguru-Nakawa'!J47)</f>
        <v>0.7142857142857143</v>
      </c>
      <c r="K47" s="49">
        <f>AVERAGE('29.07 Naguru-Nakawa'!K47,'30.07 Naguru-Nakawa'!K47,'31.07 Naguru-Nakawa'!K47,'02.08 Naguru-Nakawa'!K47,'01.08 Naguru-Nakawa-24h'!K47,'03.08 Naguru-Nakawa-24h'!K47,'04.08 Naguru-Nakawa'!K47)</f>
        <v>0.2857142857142857</v>
      </c>
      <c r="L47" s="49">
        <f>AVERAGE('29.07 Naguru-Nakawa'!L47,'30.07 Naguru-Nakawa'!L47,'31.07 Naguru-Nakawa'!L47,'02.08 Naguru-Nakawa'!L47,'01.08 Naguru-Nakawa-24h'!L47,'03.08 Naguru-Nakawa-24h'!L47,'04.08 Naguru-Nakawa'!L47)</f>
        <v>0</v>
      </c>
      <c r="M47" s="49">
        <f>AVERAGE('29.07 Naguru-Nakawa'!M47,'30.07 Naguru-Nakawa'!M47,'31.07 Naguru-Nakawa'!M47,'02.08 Naguru-Nakawa'!M47,'01.08 Naguru-Nakawa-24h'!M47,'03.08 Naguru-Nakawa-24h'!M47,'04.08 Naguru-Nakawa'!M47)</f>
        <v>71.714285714285708</v>
      </c>
      <c r="N47" s="49">
        <f>AVERAGE('29.07 Naguru-Nakawa'!N47,'30.07 Naguru-Nakawa'!N47,'31.07 Naguru-Nakawa'!N47,'02.08 Naguru-Nakawa'!N47,'01.08 Naguru-Nakawa-24h'!N47,'03.08 Naguru-Nakawa-24h'!N47,'04.08 Naguru-Nakawa'!N47)</f>
        <v>0.14285714285714285</v>
      </c>
      <c r="O47" s="15">
        <f t="shared" si="0"/>
        <v>111</v>
      </c>
      <c r="P47" s="15">
        <f t="shared" si="1"/>
        <v>182.71428571428569</v>
      </c>
      <c r="R47" s="8"/>
      <c r="T47"/>
    </row>
    <row r="48" spans="2:32" ht="23.1" customHeight="1" x14ac:dyDescent="0.25">
      <c r="B48" s="24" t="s">
        <v>75</v>
      </c>
      <c r="C48" s="49">
        <f>AVERAGE('29.07 Naguru-Nakawa'!C48,'30.07 Naguru-Nakawa'!C48,'31.07 Naguru-Nakawa'!C48,'02.08 Naguru-Nakawa'!C48,'01.08 Naguru-Nakawa-24h'!C48,'03.08 Naguru-Nakawa-24h'!C48,'04.08 Naguru-Nakawa'!C48)</f>
        <v>71.571428571428569</v>
      </c>
      <c r="D48" s="49">
        <f>AVERAGE('29.07 Naguru-Nakawa'!D48,'30.07 Naguru-Nakawa'!D48,'31.07 Naguru-Nakawa'!D48,'02.08 Naguru-Nakawa'!D48,'01.08 Naguru-Nakawa-24h'!D48,'03.08 Naguru-Nakawa-24h'!D48,'04.08 Naguru-Nakawa'!D48)</f>
        <v>14.714285714285714</v>
      </c>
      <c r="E48" s="49">
        <f>AVERAGE('29.07 Naguru-Nakawa'!E48,'30.07 Naguru-Nakawa'!E48,'31.07 Naguru-Nakawa'!E48,'02.08 Naguru-Nakawa'!E48,'01.08 Naguru-Nakawa-24h'!E48,'03.08 Naguru-Nakawa-24h'!E48,'04.08 Naguru-Nakawa'!E48)</f>
        <v>10.857142857142858</v>
      </c>
      <c r="F48" s="49">
        <f>AVERAGE('29.07 Naguru-Nakawa'!F48,'30.07 Naguru-Nakawa'!F48,'31.07 Naguru-Nakawa'!F48,'02.08 Naguru-Nakawa'!F48,'01.08 Naguru-Nakawa-24h'!F48,'03.08 Naguru-Nakawa-24h'!F48,'04.08 Naguru-Nakawa'!F48)</f>
        <v>6.2857142857142856</v>
      </c>
      <c r="G48" s="49">
        <f>AVERAGE('29.07 Naguru-Nakawa'!G48,'30.07 Naguru-Nakawa'!G48,'31.07 Naguru-Nakawa'!G48,'02.08 Naguru-Nakawa'!G48,'01.08 Naguru-Nakawa-24h'!G48,'03.08 Naguru-Nakawa-24h'!G48,'04.08 Naguru-Nakawa'!G48)</f>
        <v>0</v>
      </c>
      <c r="H48" s="49">
        <f>AVERAGE('29.07 Naguru-Nakawa'!H48,'30.07 Naguru-Nakawa'!H48,'31.07 Naguru-Nakawa'!H48,'02.08 Naguru-Nakawa'!H48,'01.08 Naguru-Nakawa-24h'!H48,'03.08 Naguru-Nakawa-24h'!H48,'04.08 Naguru-Nakawa'!H48)</f>
        <v>0</v>
      </c>
      <c r="I48" s="49">
        <f>AVERAGE('29.07 Naguru-Nakawa'!I48,'30.07 Naguru-Nakawa'!I48,'31.07 Naguru-Nakawa'!I48,'02.08 Naguru-Nakawa'!I48,'01.08 Naguru-Nakawa-24h'!I48,'03.08 Naguru-Nakawa-24h'!I48,'04.08 Naguru-Nakawa'!I48)</f>
        <v>4.2857142857142856</v>
      </c>
      <c r="J48" s="49">
        <f>AVERAGE('29.07 Naguru-Nakawa'!J48,'30.07 Naguru-Nakawa'!J48,'31.07 Naguru-Nakawa'!J48,'02.08 Naguru-Nakawa'!J48,'01.08 Naguru-Nakawa-24h'!J48,'03.08 Naguru-Nakawa-24h'!J48,'04.08 Naguru-Nakawa'!J48)</f>
        <v>0.8571428571428571</v>
      </c>
      <c r="K48" s="49">
        <f>AVERAGE('29.07 Naguru-Nakawa'!K48,'30.07 Naguru-Nakawa'!K48,'31.07 Naguru-Nakawa'!K48,'02.08 Naguru-Nakawa'!K48,'01.08 Naguru-Nakawa-24h'!K48,'03.08 Naguru-Nakawa-24h'!K48,'04.08 Naguru-Nakawa'!K48)</f>
        <v>0.42857142857142855</v>
      </c>
      <c r="L48" s="49">
        <f>AVERAGE('29.07 Naguru-Nakawa'!L48,'30.07 Naguru-Nakawa'!L48,'31.07 Naguru-Nakawa'!L48,'02.08 Naguru-Nakawa'!L48,'01.08 Naguru-Nakawa-24h'!L48,'03.08 Naguru-Nakawa-24h'!L48,'04.08 Naguru-Nakawa'!L48)</f>
        <v>0</v>
      </c>
      <c r="M48" s="49">
        <f>AVERAGE('29.07 Naguru-Nakawa'!M48,'30.07 Naguru-Nakawa'!M48,'31.07 Naguru-Nakawa'!M48,'02.08 Naguru-Nakawa'!M48,'01.08 Naguru-Nakawa-24h'!M48,'03.08 Naguru-Nakawa-24h'!M48,'04.08 Naguru-Nakawa'!M48)</f>
        <v>65.857142857142861</v>
      </c>
      <c r="N48" s="49">
        <f>AVERAGE('29.07 Naguru-Nakawa'!N48,'30.07 Naguru-Nakawa'!N48,'31.07 Naguru-Nakawa'!N48,'02.08 Naguru-Nakawa'!N48,'01.08 Naguru-Nakawa-24h'!N48,'03.08 Naguru-Nakawa-24h'!N48,'04.08 Naguru-Nakawa'!N48)</f>
        <v>0.2857142857142857</v>
      </c>
      <c r="O48" s="15">
        <f t="shared" si="0"/>
        <v>109.28571428571431</v>
      </c>
      <c r="P48" s="15">
        <f t="shared" si="1"/>
        <v>175.14285714285717</v>
      </c>
      <c r="R48" s="8"/>
      <c r="T48"/>
    </row>
    <row r="49" spans="2:20" ht="23.1" customHeight="1" x14ac:dyDescent="0.25">
      <c r="B49" s="23" t="s">
        <v>76</v>
      </c>
      <c r="C49" s="49">
        <f>AVERAGE('29.07 Naguru-Nakawa'!C49,'30.07 Naguru-Nakawa'!C49,'31.07 Naguru-Nakawa'!C49,'02.08 Naguru-Nakawa'!C49,'01.08 Naguru-Nakawa-24h'!C49,'03.08 Naguru-Nakawa-24h'!C49,'04.08 Naguru-Nakawa'!C49)</f>
        <v>70.428571428571431</v>
      </c>
      <c r="D49" s="49">
        <f>AVERAGE('29.07 Naguru-Nakawa'!D49,'30.07 Naguru-Nakawa'!D49,'31.07 Naguru-Nakawa'!D49,'02.08 Naguru-Nakawa'!D49,'01.08 Naguru-Nakawa-24h'!D49,'03.08 Naguru-Nakawa-24h'!D49,'04.08 Naguru-Nakawa'!D49)</f>
        <v>13.285714285714286</v>
      </c>
      <c r="E49" s="49">
        <f>AVERAGE('29.07 Naguru-Nakawa'!E49,'30.07 Naguru-Nakawa'!E49,'31.07 Naguru-Nakawa'!E49,'02.08 Naguru-Nakawa'!E49,'01.08 Naguru-Nakawa-24h'!E49,'03.08 Naguru-Nakawa-24h'!E49,'04.08 Naguru-Nakawa'!E49)</f>
        <v>7.5714285714285712</v>
      </c>
      <c r="F49" s="49">
        <f>AVERAGE('29.07 Naguru-Nakawa'!F49,'30.07 Naguru-Nakawa'!F49,'31.07 Naguru-Nakawa'!F49,'02.08 Naguru-Nakawa'!F49,'01.08 Naguru-Nakawa-24h'!F49,'03.08 Naguru-Nakawa-24h'!F49,'04.08 Naguru-Nakawa'!F49)</f>
        <v>5.4285714285714288</v>
      </c>
      <c r="G49" s="49">
        <f>AVERAGE('29.07 Naguru-Nakawa'!G49,'30.07 Naguru-Nakawa'!G49,'31.07 Naguru-Nakawa'!G49,'02.08 Naguru-Nakawa'!G49,'01.08 Naguru-Nakawa-24h'!G49,'03.08 Naguru-Nakawa-24h'!G49,'04.08 Naguru-Nakawa'!G49)</f>
        <v>0</v>
      </c>
      <c r="H49" s="49">
        <f>AVERAGE('29.07 Naguru-Nakawa'!H49,'30.07 Naguru-Nakawa'!H49,'31.07 Naguru-Nakawa'!H49,'02.08 Naguru-Nakawa'!H49,'01.08 Naguru-Nakawa-24h'!H49,'03.08 Naguru-Nakawa-24h'!H49,'04.08 Naguru-Nakawa'!H49)</f>
        <v>0</v>
      </c>
      <c r="I49" s="49">
        <f>AVERAGE('29.07 Naguru-Nakawa'!I49,'30.07 Naguru-Nakawa'!I49,'31.07 Naguru-Nakawa'!I49,'02.08 Naguru-Nakawa'!I49,'01.08 Naguru-Nakawa-24h'!I49,'03.08 Naguru-Nakawa-24h'!I49,'04.08 Naguru-Nakawa'!I49)</f>
        <v>2.4285714285714284</v>
      </c>
      <c r="J49" s="49">
        <f>AVERAGE('29.07 Naguru-Nakawa'!J49,'30.07 Naguru-Nakawa'!J49,'31.07 Naguru-Nakawa'!J49,'02.08 Naguru-Nakawa'!J49,'01.08 Naguru-Nakawa-24h'!J49,'03.08 Naguru-Nakawa-24h'!J49,'04.08 Naguru-Nakawa'!J49)</f>
        <v>0.8571428571428571</v>
      </c>
      <c r="K49" s="49">
        <f>AVERAGE('29.07 Naguru-Nakawa'!K49,'30.07 Naguru-Nakawa'!K49,'31.07 Naguru-Nakawa'!K49,'02.08 Naguru-Nakawa'!K49,'01.08 Naguru-Nakawa-24h'!K49,'03.08 Naguru-Nakawa-24h'!K49,'04.08 Naguru-Nakawa'!K49)</f>
        <v>0.42857142857142855</v>
      </c>
      <c r="L49" s="49">
        <f>AVERAGE('29.07 Naguru-Nakawa'!L49,'30.07 Naguru-Nakawa'!L49,'31.07 Naguru-Nakawa'!L49,'02.08 Naguru-Nakawa'!L49,'01.08 Naguru-Nakawa-24h'!L49,'03.08 Naguru-Nakawa-24h'!L49,'04.08 Naguru-Nakawa'!L49)</f>
        <v>0</v>
      </c>
      <c r="M49" s="49">
        <f>AVERAGE('29.07 Naguru-Nakawa'!M49,'30.07 Naguru-Nakawa'!M49,'31.07 Naguru-Nakawa'!M49,'02.08 Naguru-Nakawa'!M49,'01.08 Naguru-Nakawa-24h'!M49,'03.08 Naguru-Nakawa-24h'!M49,'04.08 Naguru-Nakawa'!M49)</f>
        <v>72.714285714285708</v>
      </c>
      <c r="N49" s="49">
        <f>AVERAGE('29.07 Naguru-Nakawa'!N49,'30.07 Naguru-Nakawa'!N49,'31.07 Naguru-Nakawa'!N49,'02.08 Naguru-Nakawa'!N49,'01.08 Naguru-Nakawa-24h'!N49,'03.08 Naguru-Nakawa-24h'!N49,'04.08 Naguru-Nakawa'!N49)</f>
        <v>0</v>
      </c>
      <c r="O49" s="15">
        <f t="shared" si="0"/>
        <v>100.42857142857144</v>
      </c>
      <c r="P49" s="15">
        <f t="shared" si="1"/>
        <v>173.14285714285717</v>
      </c>
      <c r="R49" s="8"/>
      <c r="T49"/>
    </row>
    <row r="50" spans="2:20" ht="23.1" customHeight="1" x14ac:dyDescent="0.25">
      <c r="B50" s="24" t="s">
        <v>77</v>
      </c>
      <c r="C50" s="49">
        <f>AVERAGE('29.07 Naguru-Nakawa'!C50,'30.07 Naguru-Nakawa'!C50,'31.07 Naguru-Nakawa'!C50,'02.08 Naguru-Nakawa'!C50,'01.08 Naguru-Nakawa-24h'!C50,'03.08 Naguru-Nakawa-24h'!C50,'04.08 Naguru-Nakawa'!C50)</f>
        <v>73.142857142857139</v>
      </c>
      <c r="D50" s="49">
        <f>AVERAGE('29.07 Naguru-Nakawa'!D50,'30.07 Naguru-Nakawa'!D50,'31.07 Naguru-Nakawa'!D50,'02.08 Naguru-Nakawa'!D50,'01.08 Naguru-Nakawa-24h'!D50,'03.08 Naguru-Nakawa-24h'!D50,'04.08 Naguru-Nakawa'!D50)</f>
        <v>15</v>
      </c>
      <c r="E50" s="49">
        <f>AVERAGE('29.07 Naguru-Nakawa'!E50,'30.07 Naguru-Nakawa'!E50,'31.07 Naguru-Nakawa'!E50,'02.08 Naguru-Nakawa'!E50,'01.08 Naguru-Nakawa-24h'!E50,'03.08 Naguru-Nakawa-24h'!E50,'04.08 Naguru-Nakawa'!E50)</f>
        <v>6.1428571428571432</v>
      </c>
      <c r="F50" s="49">
        <f>AVERAGE('29.07 Naguru-Nakawa'!F50,'30.07 Naguru-Nakawa'!F50,'31.07 Naguru-Nakawa'!F50,'02.08 Naguru-Nakawa'!F50,'01.08 Naguru-Nakawa-24h'!F50,'03.08 Naguru-Nakawa-24h'!F50,'04.08 Naguru-Nakawa'!F50)</f>
        <v>5.5714285714285712</v>
      </c>
      <c r="G50" s="49">
        <f>AVERAGE('29.07 Naguru-Nakawa'!G50,'30.07 Naguru-Nakawa'!G50,'31.07 Naguru-Nakawa'!G50,'02.08 Naguru-Nakawa'!G50,'01.08 Naguru-Nakawa-24h'!G50,'03.08 Naguru-Nakawa-24h'!G50,'04.08 Naguru-Nakawa'!G50)</f>
        <v>0.14285714285714285</v>
      </c>
      <c r="H50" s="49">
        <f>AVERAGE('29.07 Naguru-Nakawa'!H50,'30.07 Naguru-Nakawa'!H50,'31.07 Naguru-Nakawa'!H50,'02.08 Naguru-Nakawa'!H50,'01.08 Naguru-Nakawa-24h'!H50,'03.08 Naguru-Nakawa-24h'!H50,'04.08 Naguru-Nakawa'!H50)</f>
        <v>0</v>
      </c>
      <c r="I50" s="49">
        <f>AVERAGE('29.07 Naguru-Nakawa'!I50,'30.07 Naguru-Nakawa'!I50,'31.07 Naguru-Nakawa'!I50,'02.08 Naguru-Nakawa'!I50,'01.08 Naguru-Nakawa-24h'!I50,'03.08 Naguru-Nakawa-24h'!I50,'04.08 Naguru-Nakawa'!I50)</f>
        <v>4.1428571428571432</v>
      </c>
      <c r="J50" s="49">
        <f>AVERAGE('29.07 Naguru-Nakawa'!J50,'30.07 Naguru-Nakawa'!J50,'31.07 Naguru-Nakawa'!J50,'02.08 Naguru-Nakawa'!J50,'01.08 Naguru-Nakawa-24h'!J50,'03.08 Naguru-Nakawa-24h'!J50,'04.08 Naguru-Nakawa'!J50)</f>
        <v>0.7142857142857143</v>
      </c>
      <c r="K50" s="49">
        <f>AVERAGE('29.07 Naguru-Nakawa'!K50,'30.07 Naguru-Nakawa'!K50,'31.07 Naguru-Nakawa'!K50,'02.08 Naguru-Nakawa'!K50,'01.08 Naguru-Nakawa-24h'!K50,'03.08 Naguru-Nakawa-24h'!K50,'04.08 Naguru-Nakawa'!K50)</f>
        <v>0.2857142857142857</v>
      </c>
      <c r="L50" s="49">
        <f>AVERAGE('29.07 Naguru-Nakawa'!L50,'30.07 Naguru-Nakawa'!L50,'31.07 Naguru-Nakawa'!L50,'02.08 Naguru-Nakawa'!L50,'01.08 Naguru-Nakawa-24h'!L50,'03.08 Naguru-Nakawa-24h'!L50,'04.08 Naguru-Nakawa'!L50)</f>
        <v>0</v>
      </c>
      <c r="M50" s="49">
        <f>AVERAGE('29.07 Naguru-Nakawa'!M50,'30.07 Naguru-Nakawa'!M50,'31.07 Naguru-Nakawa'!M50,'02.08 Naguru-Nakawa'!M50,'01.08 Naguru-Nakawa-24h'!M50,'03.08 Naguru-Nakawa-24h'!M50,'04.08 Naguru-Nakawa'!M50)</f>
        <v>84.285714285714292</v>
      </c>
      <c r="N50" s="49">
        <f>AVERAGE('29.07 Naguru-Nakawa'!N50,'30.07 Naguru-Nakawa'!N50,'31.07 Naguru-Nakawa'!N50,'02.08 Naguru-Nakawa'!N50,'01.08 Naguru-Nakawa-24h'!N50,'03.08 Naguru-Nakawa-24h'!N50,'04.08 Naguru-Nakawa'!N50)</f>
        <v>0.14285714285714285</v>
      </c>
      <c r="O50" s="15">
        <f t="shared" si="0"/>
        <v>105.28571428571426</v>
      </c>
      <c r="P50" s="15">
        <f t="shared" si="1"/>
        <v>189.57142857142856</v>
      </c>
      <c r="R50" s="8"/>
      <c r="T50"/>
    </row>
    <row r="51" spans="2:20" ht="23.1" customHeight="1" x14ac:dyDescent="0.25">
      <c r="B51" s="24" t="s">
        <v>78</v>
      </c>
      <c r="C51" s="49">
        <f>AVERAGE('29.07 Naguru-Nakawa'!C51,'30.07 Naguru-Nakawa'!C51,'31.07 Naguru-Nakawa'!C51,'02.08 Naguru-Nakawa'!C51,'01.08 Naguru-Nakawa-24h'!C51,'03.08 Naguru-Nakawa-24h'!C51,'04.08 Naguru-Nakawa'!C51)</f>
        <v>64.857142857142861</v>
      </c>
      <c r="D51" s="49">
        <f>AVERAGE('29.07 Naguru-Nakawa'!D51,'30.07 Naguru-Nakawa'!D51,'31.07 Naguru-Nakawa'!D51,'02.08 Naguru-Nakawa'!D51,'01.08 Naguru-Nakawa-24h'!D51,'03.08 Naguru-Nakawa-24h'!D51,'04.08 Naguru-Nakawa'!D51)</f>
        <v>16.428571428571427</v>
      </c>
      <c r="E51" s="49">
        <f>AVERAGE('29.07 Naguru-Nakawa'!E51,'30.07 Naguru-Nakawa'!E51,'31.07 Naguru-Nakawa'!E51,'02.08 Naguru-Nakawa'!E51,'01.08 Naguru-Nakawa-24h'!E51,'03.08 Naguru-Nakawa-24h'!E51,'04.08 Naguru-Nakawa'!E51)</f>
        <v>7</v>
      </c>
      <c r="F51" s="49">
        <f>AVERAGE('29.07 Naguru-Nakawa'!F51,'30.07 Naguru-Nakawa'!F51,'31.07 Naguru-Nakawa'!F51,'02.08 Naguru-Nakawa'!F51,'01.08 Naguru-Nakawa-24h'!F51,'03.08 Naguru-Nakawa-24h'!F51,'04.08 Naguru-Nakawa'!F51)</f>
        <v>7.2857142857142856</v>
      </c>
      <c r="G51" s="49">
        <f>AVERAGE('29.07 Naguru-Nakawa'!G51,'30.07 Naguru-Nakawa'!G51,'31.07 Naguru-Nakawa'!G51,'02.08 Naguru-Nakawa'!G51,'01.08 Naguru-Nakawa-24h'!G51,'03.08 Naguru-Nakawa-24h'!G51,'04.08 Naguru-Nakawa'!G51)</f>
        <v>0</v>
      </c>
      <c r="H51" s="49">
        <f>AVERAGE('29.07 Naguru-Nakawa'!H51,'30.07 Naguru-Nakawa'!H51,'31.07 Naguru-Nakawa'!H51,'02.08 Naguru-Nakawa'!H51,'01.08 Naguru-Nakawa-24h'!H51,'03.08 Naguru-Nakawa-24h'!H51,'04.08 Naguru-Nakawa'!H51)</f>
        <v>0</v>
      </c>
      <c r="I51" s="49">
        <f>AVERAGE('29.07 Naguru-Nakawa'!I51,'30.07 Naguru-Nakawa'!I51,'31.07 Naguru-Nakawa'!I51,'02.08 Naguru-Nakawa'!I51,'01.08 Naguru-Nakawa-24h'!I51,'03.08 Naguru-Nakawa-24h'!I51,'04.08 Naguru-Nakawa'!I51)</f>
        <v>5.4285714285714288</v>
      </c>
      <c r="J51" s="49">
        <f>AVERAGE('29.07 Naguru-Nakawa'!J51,'30.07 Naguru-Nakawa'!J51,'31.07 Naguru-Nakawa'!J51,'02.08 Naguru-Nakawa'!J51,'01.08 Naguru-Nakawa-24h'!J51,'03.08 Naguru-Nakawa-24h'!J51,'04.08 Naguru-Nakawa'!J51)</f>
        <v>1.7142857142857142</v>
      </c>
      <c r="K51" s="49">
        <f>AVERAGE('29.07 Naguru-Nakawa'!K51,'30.07 Naguru-Nakawa'!K51,'31.07 Naguru-Nakawa'!K51,'02.08 Naguru-Nakawa'!K51,'01.08 Naguru-Nakawa-24h'!K51,'03.08 Naguru-Nakawa-24h'!K51,'04.08 Naguru-Nakawa'!K51)</f>
        <v>0</v>
      </c>
      <c r="L51" s="49">
        <f>AVERAGE('29.07 Naguru-Nakawa'!L51,'30.07 Naguru-Nakawa'!L51,'31.07 Naguru-Nakawa'!L51,'02.08 Naguru-Nakawa'!L51,'01.08 Naguru-Nakawa-24h'!L51,'03.08 Naguru-Nakawa-24h'!L51,'04.08 Naguru-Nakawa'!L51)</f>
        <v>0</v>
      </c>
      <c r="M51" s="49">
        <f>AVERAGE('29.07 Naguru-Nakawa'!M51,'30.07 Naguru-Nakawa'!M51,'31.07 Naguru-Nakawa'!M51,'02.08 Naguru-Nakawa'!M51,'01.08 Naguru-Nakawa-24h'!M51,'03.08 Naguru-Nakawa-24h'!M51,'04.08 Naguru-Nakawa'!M51)</f>
        <v>92.571428571428569</v>
      </c>
      <c r="N51" s="49">
        <f>AVERAGE('29.07 Naguru-Nakawa'!N51,'30.07 Naguru-Nakawa'!N51,'31.07 Naguru-Nakawa'!N51,'02.08 Naguru-Nakawa'!N51,'01.08 Naguru-Nakawa-24h'!N51,'03.08 Naguru-Nakawa-24h'!N51,'04.08 Naguru-Nakawa'!N51)</f>
        <v>0.14285714285714285</v>
      </c>
      <c r="O51" s="15">
        <f t="shared" si="0"/>
        <v>102.85714285714286</v>
      </c>
      <c r="P51" s="15">
        <f t="shared" si="1"/>
        <v>195.42857142857142</v>
      </c>
      <c r="R51" s="8"/>
      <c r="T51"/>
    </row>
    <row r="52" spans="2:20" ht="23.1" customHeight="1" x14ac:dyDescent="0.25">
      <c r="B52" s="24" t="s">
        <v>79</v>
      </c>
      <c r="C52" s="49">
        <f>AVERAGE('29.07 Naguru-Nakawa'!C52,'30.07 Naguru-Nakawa'!C52,'31.07 Naguru-Nakawa'!C52,'02.08 Naguru-Nakawa'!C52,'01.08 Naguru-Nakawa-24h'!C52,'03.08 Naguru-Nakawa-24h'!C52,'04.08 Naguru-Nakawa'!C52)</f>
        <v>70.285714285714292</v>
      </c>
      <c r="D52" s="49">
        <f>AVERAGE('29.07 Naguru-Nakawa'!D52,'30.07 Naguru-Nakawa'!D52,'31.07 Naguru-Nakawa'!D52,'02.08 Naguru-Nakawa'!D52,'01.08 Naguru-Nakawa-24h'!D52,'03.08 Naguru-Nakawa-24h'!D52,'04.08 Naguru-Nakawa'!D52)</f>
        <v>15.285714285714286</v>
      </c>
      <c r="E52" s="49">
        <f>AVERAGE('29.07 Naguru-Nakawa'!E52,'30.07 Naguru-Nakawa'!E52,'31.07 Naguru-Nakawa'!E52,'02.08 Naguru-Nakawa'!E52,'01.08 Naguru-Nakawa-24h'!E52,'03.08 Naguru-Nakawa-24h'!E52,'04.08 Naguru-Nakawa'!E52)</f>
        <v>6.5714285714285712</v>
      </c>
      <c r="F52" s="49">
        <f>AVERAGE('29.07 Naguru-Nakawa'!F52,'30.07 Naguru-Nakawa'!F52,'31.07 Naguru-Nakawa'!F52,'02.08 Naguru-Nakawa'!F52,'01.08 Naguru-Nakawa-24h'!F52,'03.08 Naguru-Nakawa-24h'!F52,'04.08 Naguru-Nakawa'!F52)</f>
        <v>8.7142857142857135</v>
      </c>
      <c r="G52" s="49">
        <f>AVERAGE('29.07 Naguru-Nakawa'!G52,'30.07 Naguru-Nakawa'!G52,'31.07 Naguru-Nakawa'!G52,'02.08 Naguru-Nakawa'!G52,'01.08 Naguru-Nakawa-24h'!G52,'03.08 Naguru-Nakawa-24h'!G52,'04.08 Naguru-Nakawa'!G52)</f>
        <v>0.14285714285714285</v>
      </c>
      <c r="H52" s="49">
        <f>AVERAGE('29.07 Naguru-Nakawa'!H52,'30.07 Naguru-Nakawa'!H52,'31.07 Naguru-Nakawa'!H52,'02.08 Naguru-Nakawa'!H52,'01.08 Naguru-Nakawa-24h'!H52,'03.08 Naguru-Nakawa-24h'!H52,'04.08 Naguru-Nakawa'!H52)</f>
        <v>0</v>
      </c>
      <c r="I52" s="49">
        <f>AVERAGE('29.07 Naguru-Nakawa'!I52,'30.07 Naguru-Nakawa'!I52,'31.07 Naguru-Nakawa'!I52,'02.08 Naguru-Nakawa'!I52,'01.08 Naguru-Nakawa-24h'!I52,'03.08 Naguru-Nakawa-24h'!I52,'04.08 Naguru-Nakawa'!I52)</f>
        <v>2.8571428571428572</v>
      </c>
      <c r="J52" s="49">
        <f>AVERAGE('29.07 Naguru-Nakawa'!J52,'30.07 Naguru-Nakawa'!J52,'31.07 Naguru-Nakawa'!J52,'02.08 Naguru-Nakawa'!J52,'01.08 Naguru-Nakawa-24h'!J52,'03.08 Naguru-Nakawa-24h'!J52,'04.08 Naguru-Nakawa'!J52)</f>
        <v>0.8571428571428571</v>
      </c>
      <c r="K52" s="49">
        <f>AVERAGE('29.07 Naguru-Nakawa'!K52,'30.07 Naguru-Nakawa'!K52,'31.07 Naguru-Nakawa'!K52,'02.08 Naguru-Nakawa'!K52,'01.08 Naguru-Nakawa-24h'!K52,'03.08 Naguru-Nakawa-24h'!K52,'04.08 Naguru-Nakawa'!K52)</f>
        <v>0.14285714285714285</v>
      </c>
      <c r="L52" s="49">
        <f>AVERAGE('29.07 Naguru-Nakawa'!L52,'30.07 Naguru-Nakawa'!L52,'31.07 Naguru-Nakawa'!L52,'02.08 Naguru-Nakawa'!L52,'01.08 Naguru-Nakawa-24h'!L52,'03.08 Naguru-Nakawa-24h'!L52,'04.08 Naguru-Nakawa'!L52)</f>
        <v>0</v>
      </c>
      <c r="M52" s="49">
        <f>AVERAGE('29.07 Naguru-Nakawa'!M52,'30.07 Naguru-Nakawa'!M52,'31.07 Naguru-Nakawa'!M52,'02.08 Naguru-Nakawa'!M52,'01.08 Naguru-Nakawa-24h'!M52,'03.08 Naguru-Nakawa-24h'!M52,'04.08 Naguru-Nakawa'!M52)</f>
        <v>93.142857142857139</v>
      </c>
      <c r="N52" s="49">
        <f>AVERAGE('29.07 Naguru-Nakawa'!N52,'30.07 Naguru-Nakawa'!N52,'31.07 Naguru-Nakawa'!N52,'02.08 Naguru-Nakawa'!N52,'01.08 Naguru-Nakawa-24h'!N52,'03.08 Naguru-Nakawa-24h'!N52,'04.08 Naguru-Nakawa'!N52)</f>
        <v>0</v>
      </c>
      <c r="O52" s="15">
        <f t="shared" si="0"/>
        <v>104.85714285714286</v>
      </c>
      <c r="P52" s="15">
        <f t="shared" si="1"/>
        <v>198</v>
      </c>
      <c r="R52" s="8"/>
      <c r="T52"/>
    </row>
    <row r="53" spans="2:20" ht="23.1" customHeight="1" x14ac:dyDescent="0.25">
      <c r="B53" s="23" t="s">
        <v>80</v>
      </c>
      <c r="C53" s="49">
        <f>AVERAGE('29.07 Naguru-Nakawa'!C53,'30.07 Naguru-Nakawa'!C53,'31.07 Naguru-Nakawa'!C53,'02.08 Naguru-Nakawa'!C53,'01.08 Naguru-Nakawa-24h'!C53,'03.08 Naguru-Nakawa-24h'!C53,'04.08 Naguru-Nakawa'!C53)</f>
        <v>65.714285714285708</v>
      </c>
      <c r="D53" s="49">
        <f>AVERAGE('29.07 Naguru-Nakawa'!D53,'30.07 Naguru-Nakawa'!D53,'31.07 Naguru-Nakawa'!D53,'02.08 Naguru-Nakawa'!D53,'01.08 Naguru-Nakawa-24h'!D53,'03.08 Naguru-Nakawa-24h'!D53,'04.08 Naguru-Nakawa'!D53)</f>
        <v>14.285714285714286</v>
      </c>
      <c r="E53" s="49">
        <f>AVERAGE('29.07 Naguru-Nakawa'!E53,'30.07 Naguru-Nakawa'!E53,'31.07 Naguru-Nakawa'!E53,'02.08 Naguru-Nakawa'!E53,'01.08 Naguru-Nakawa-24h'!E53,'03.08 Naguru-Nakawa-24h'!E53,'04.08 Naguru-Nakawa'!E53)</f>
        <v>6.2857142857142856</v>
      </c>
      <c r="F53" s="49">
        <f>AVERAGE('29.07 Naguru-Nakawa'!F53,'30.07 Naguru-Nakawa'!F53,'31.07 Naguru-Nakawa'!F53,'02.08 Naguru-Nakawa'!F53,'01.08 Naguru-Nakawa-24h'!F53,'03.08 Naguru-Nakawa-24h'!F53,'04.08 Naguru-Nakawa'!F53)</f>
        <v>6.5714285714285712</v>
      </c>
      <c r="G53" s="49">
        <f>AVERAGE('29.07 Naguru-Nakawa'!G53,'30.07 Naguru-Nakawa'!G53,'31.07 Naguru-Nakawa'!G53,'02.08 Naguru-Nakawa'!G53,'01.08 Naguru-Nakawa-24h'!G53,'03.08 Naguru-Nakawa-24h'!G53,'04.08 Naguru-Nakawa'!G53)</f>
        <v>0</v>
      </c>
      <c r="H53" s="49">
        <f>AVERAGE('29.07 Naguru-Nakawa'!H53,'30.07 Naguru-Nakawa'!H53,'31.07 Naguru-Nakawa'!H53,'02.08 Naguru-Nakawa'!H53,'01.08 Naguru-Nakawa-24h'!H53,'03.08 Naguru-Nakawa-24h'!H53,'04.08 Naguru-Nakawa'!H53)</f>
        <v>0</v>
      </c>
      <c r="I53" s="49">
        <f>AVERAGE('29.07 Naguru-Nakawa'!I53,'30.07 Naguru-Nakawa'!I53,'31.07 Naguru-Nakawa'!I53,'02.08 Naguru-Nakawa'!I53,'01.08 Naguru-Nakawa-24h'!I53,'03.08 Naguru-Nakawa-24h'!I53,'04.08 Naguru-Nakawa'!I53)</f>
        <v>2.1428571428571428</v>
      </c>
      <c r="J53" s="49">
        <f>AVERAGE('29.07 Naguru-Nakawa'!J53,'30.07 Naguru-Nakawa'!J53,'31.07 Naguru-Nakawa'!J53,'02.08 Naguru-Nakawa'!J53,'01.08 Naguru-Nakawa-24h'!J53,'03.08 Naguru-Nakawa-24h'!J53,'04.08 Naguru-Nakawa'!J53)</f>
        <v>0.5714285714285714</v>
      </c>
      <c r="K53" s="49">
        <f>AVERAGE('29.07 Naguru-Nakawa'!K53,'30.07 Naguru-Nakawa'!K53,'31.07 Naguru-Nakawa'!K53,'02.08 Naguru-Nakawa'!K53,'01.08 Naguru-Nakawa-24h'!K53,'03.08 Naguru-Nakawa-24h'!K53,'04.08 Naguru-Nakawa'!K53)</f>
        <v>0.5714285714285714</v>
      </c>
      <c r="L53" s="49">
        <f>AVERAGE('29.07 Naguru-Nakawa'!L53,'30.07 Naguru-Nakawa'!L53,'31.07 Naguru-Nakawa'!L53,'02.08 Naguru-Nakawa'!L53,'01.08 Naguru-Nakawa-24h'!L53,'03.08 Naguru-Nakawa-24h'!L53,'04.08 Naguru-Nakawa'!L53)</f>
        <v>0</v>
      </c>
      <c r="M53" s="49">
        <f>AVERAGE('29.07 Naguru-Nakawa'!M53,'30.07 Naguru-Nakawa'!M53,'31.07 Naguru-Nakawa'!M53,'02.08 Naguru-Nakawa'!M53,'01.08 Naguru-Nakawa-24h'!M53,'03.08 Naguru-Nakawa-24h'!M53,'04.08 Naguru-Nakawa'!M53)</f>
        <v>78.142857142857139</v>
      </c>
      <c r="N53" s="49">
        <f>AVERAGE('29.07 Naguru-Nakawa'!N53,'30.07 Naguru-Nakawa'!N53,'31.07 Naguru-Nakawa'!N53,'02.08 Naguru-Nakawa'!N53,'01.08 Naguru-Nakawa-24h'!N53,'03.08 Naguru-Nakawa-24h'!N53,'04.08 Naguru-Nakawa'!N53)</f>
        <v>0.14285714285714285</v>
      </c>
      <c r="O53" s="15">
        <f t="shared" si="0"/>
        <v>96.285714285714278</v>
      </c>
      <c r="P53" s="15">
        <f t="shared" si="1"/>
        <v>174.42857142857142</v>
      </c>
      <c r="R53" s="8"/>
      <c r="T53"/>
    </row>
    <row r="54" spans="2:20" ht="23.1" customHeight="1" x14ac:dyDescent="0.25">
      <c r="B54" s="23" t="s">
        <v>81</v>
      </c>
      <c r="C54" s="49">
        <f>AVERAGE('29.07 Naguru-Nakawa'!C54,'30.07 Naguru-Nakawa'!C54,'31.07 Naguru-Nakawa'!C54,'02.08 Naguru-Nakawa'!C54,'01.08 Naguru-Nakawa-24h'!C54,'03.08 Naguru-Nakawa-24h'!C54,'04.08 Naguru-Nakawa'!C54)</f>
        <v>69.428571428571431</v>
      </c>
      <c r="D54" s="49">
        <f>AVERAGE('29.07 Naguru-Nakawa'!D54,'30.07 Naguru-Nakawa'!D54,'31.07 Naguru-Nakawa'!D54,'02.08 Naguru-Nakawa'!D54,'01.08 Naguru-Nakawa-24h'!D54,'03.08 Naguru-Nakawa-24h'!D54,'04.08 Naguru-Nakawa'!D54)</f>
        <v>15.428571428571429</v>
      </c>
      <c r="E54" s="49">
        <f>AVERAGE('29.07 Naguru-Nakawa'!E54,'30.07 Naguru-Nakawa'!E54,'31.07 Naguru-Nakawa'!E54,'02.08 Naguru-Nakawa'!E54,'01.08 Naguru-Nakawa-24h'!E54,'03.08 Naguru-Nakawa-24h'!E54,'04.08 Naguru-Nakawa'!E54)</f>
        <v>8.5714285714285712</v>
      </c>
      <c r="F54" s="49">
        <f>AVERAGE('29.07 Naguru-Nakawa'!F54,'30.07 Naguru-Nakawa'!F54,'31.07 Naguru-Nakawa'!F54,'02.08 Naguru-Nakawa'!F54,'01.08 Naguru-Nakawa-24h'!F54,'03.08 Naguru-Nakawa-24h'!F54,'04.08 Naguru-Nakawa'!F54)</f>
        <v>5.4285714285714288</v>
      </c>
      <c r="G54" s="49">
        <f>AVERAGE('29.07 Naguru-Nakawa'!G54,'30.07 Naguru-Nakawa'!G54,'31.07 Naguru-Nakawa'!G54,'02.08 Naguru-Nakawa'!G54,'01.08 Naguru-Nakawa-24h'!G54,'03.08 Naguru-Nakawa-24h'!G54,'04.08 Naguru-Nakawa'!G54)</f>
        <v>0</v>
      </c>
      <c r="H54" s="49">
        <f>AVERAGE('29.07 Naguru-Nakawa'!H54,'30.07 Naguru-Nakawa'!H54,'31.07 Naguru-Nakawa'!H54,'02.08 Naguru-Nakawa'!H54,'01.08 Naguru-Nakawa-24h'!H54,'03.08 Naguru-Nakawa-24h'!H54,'04.08 Naguru-Nakawa'!H54)</f>
        <v>0</v>
      </c>
      <c r="I54" s="49">
        <f>AVERAGE('29.07 Naguru-Nakawa'!I54,'30.07 Naguru-Nakawa'!I54,'31.07 Naguru-Nakawa'!I54,'02.08 Naguru-Nakawa'!I54,'01.08 Naguru-Nakawa-24h'!I54,'03.08 Naguru-Nakawa-24h'!I54,'04.08 Naguru-Nakawa'!I54)</f>
        <v>3.2857142857142856</v>
      </c>
      <c r="J54" s="49">
        <f>AVERAGE('29.07 Naguru-Nakawa'!J54,'30.07 Naguru-Nakawa'!J54,'31.07 Naguru-Nakawa'!J54,'02.08 Naguru-Nakawa'!J54,'01.08 Naguru-Nakawa-24h'!J54,'03.08 Naguru-Nakawa-24h'!J54,'04.08 Naguru-Nakawa'!J54)</f>
        <v>0.8571428571428571</v>
      </c>
      <c r="K54" s="49">
        <f>AVERAGE('29.07 Naguru-Nakawa'!K54,'30.07 Naguru-Nakawa'!K54,'31.07 Naguru-Nakawa'!K54,'02.08 Naguru-Nakawa'!K54,'01.08 Naguru-Nakawa-24h'!K54,'03.08 Naguru-Nakawa-24h'!K54,'04.08 Naguru-Nakawa'!K54)</f>
        <v>0.2857142857142857</v>
      </c>
      <c r="L54" s="49">
        <f>AVERAGE('29.07 Naguru-Nakawa'!L54,'30.07 Naguru-Nakawa'!L54,'31.07 Naguru-Nakawa'!L54,'02.08 Naguru-Nakawa'!L54,'01.08 Naguru-Nakawa-24h'!L54,'03.08 Naguru-Nakawa-24h'!L54,'04.08 Naguru-Nakawa'!L54)</f>
        <v>0</v>
      </c>
      <c r="M54" s="49">
        <f>AVERAGE('29.07 Naguru-Nakawa'!M54,'30.07 Naguru-Nakawa'!M54,'31.07 Naguru-Nakawa'!M54,'02.08 Naguru-Nakawa'!M54,'01.08 Naguru-Nakawa-24h'!M54,'03.08 Naguru-Nakawa-24h'!M54,'04.08 Naguru-Nakawa'!M54)</f>
        <v>77.714285714285708</v>
      </c>
      <c r="N54" s="49">
        <f>AVERAGE('29.07 Naguru-Nakawa'!N54,'30.07 Naguru-Nakawa'!N54,'31.07 Naguru-Nakawa'!N54,'02.08 Naguru-Nakawa'!N54,'01.08 Naguru-Nakawa-24h'!N54,'03.08 Naguru-Nakawa-24h'!N54,'04.08 Naguru-Nakawa'!N54)</f>
        <v>0</v>
      </c>
      <c r="O54" s="15">
        <f t="shared" si="0"/>
        <v>103.28571428571431</v>
      </c>
      <c r="P54" s="15">
        <f t="shared" si="1"/>
        <v>181</v>
      </c>
      <c r="R54" s="8"/>
      <c r="T54"/>
    </row>
    <row r="55" spans="2:20" ht="23.1" customHeight="1" x14ac:dyDescent="0.25">
      <c r="B55" s="23" t="s">
        <v>82</v>
      </c>
      <c r="C55" s="49">
        <f>AVERAGE('29.07 Naguru-Nakawa'!C55,'30.07 Naguru-Nakawa'!C55,'31.07 Naguru-Nakawa'!C55,'02.08 Naguru-Nakawa'!C55,'01.08 Naguru-Nakawa-24h'!C55,'03.08 Naguru-Nakawa-24h'!C55,'04.08 Naguru-Nakawa'!C55)</f>
        <v>67.142857142857139</v>
      </c>
      <c r="D55" s="49">
        <f>AVERAGE('29.07 Naguru-Nakawa'!D55,'30.07 Naguru-Nakawa'!D55,'31.07 Naguru-Nakawa'!D55,'02.08 Naguru-Nakawa'!D55,'01.08 Naguru-Nakawa-24h'!D55,'03.08 Naguru-Nakawa-24h'!D55,'04.08 Naguru-Nakawa'!D55)</f>
        <v>14</v>
      </c>
      <c r="E55" s="49">
        <f>AVERAGE('29.07 Naguru-Nakawa'!E55,'30.07 Naguru-Nakawa'!E55,'31.07 Naguru-Nakawa'!E55,'02.08 Naguru-Nakawa'!E55,'01.08 Naguru-Nakawa-24h'!E55,'03.08 Naguru-Nakawa-24h'!E55,'04.08 Naguru-Nakawa'!E55)</f>
        <v>5.4285714285714288</v>
      </c>
      <c r="F55" s="49">
        <f>AVERAGE('29.07 Naguru-Nakawa'!F55,'30.07 Naguru-Nakawa'!F55,'31.07 Naguru-Nakawa'!F55,'02.08 Naguru-Nakawa'!F55,'01.08 Naguru-Nakawa-24h'!F55,'03.08 Naguru-Nakawa-24h'!F55,'04.08 Naguru-Nakawa'!F55)</f>
        <v>6.1428571428571432</v>
      </c>
      <c r="G55" s="49">
        <f>AVERAGE('29.07 Naguru-Nakawa'!G55,'30.07 Naguru-Nakawa'!G55,'31.07 Naguru-Nakawa'!G55,'02.08 Naguru-Nakawa'!G55,'01.08 Naguru-Nakawa-24h'!G55,'03.08 Naguru-Nakawa-24h'!G55,'04.08 Naguru-Nakawa'!G55)</f>
        <v>0.2857142857142857</v>
      </c>
      <c r="H55" s="49">
        <f>AVERAGE('29.07 Naguru-Nakawa'!H55,'30.07 Naguru-Nakawa'!H55,'31.07 Naguru-Nakawa'!H55,'02.08 Naguru-Nakawa'!H55,'01.08 Naguru-Nakawa-24h'!H55,'03.08 Naguru-Nakawa-24h'!H55,'04.08 Naguru-Nakawa'!H55)</f>
        <v>0</v>
      </c>
      <c r="I55" s="49">
        <f>AVERAGE('29.07 Naguru-Nakawa'!I55,'30.07 Naguru-Nakawa'!I55,'31.07 Naguru-Nakawa'!I55,'02.08 Naguru-Nakawa'!I55,'01.08 Naguru-Nakawa-24h'!I55,'03.08 Naguru-Nakawa-24h'!I55,'04.08 Naguru-Nakawa'!I55)</f>
        <v>3.8571428571428572</v>
      </c>
      <c r="J55" s="49">
        <f>AVERAGE('29.07 Naguru-Nakawa'!J55,'30.07 Naguru-Nakawa'!J55,'31.07 Naguru-Nakawa'!J55,'02.08 Naguru-Nakawa'!J55,'01.08 Naguru-Nakawa-24h'!J55,'03.08 Naguru-Nakawa-24h'!J55,'04.08 Naguru-Nakawa'!J55)</f>
        <v>0.42857142857142855</v>
      </c>
      <c r="K55" s="49">
        <f>AVERAGE('29.07 Naguru-Nakawa'!K55,'30.07 Naguru-Nakawa'!K55,'31.07 Naguru-Nakawa'!K55,'02.08 Naguru-Nakawa'!K55,'01.08 Naguru-Nakawa-24h'!K55,'03.08 Naguru-Nakawa-24h'!K55,'04.08 Naguru-Nakawa'!K55)</f>
        <v>0.2857142857142857</v>
      </c>
      <c r="L55" s="49">
        <f>AVERAGE('29.07 Naguru-Nakawa'!L55,'30.07 Naguru-Nakawa'!L55,'31.07 Naguru-Nakawa'!L55,'02.08 Naguru-Nakawa'!L55,'01.08 Naguru-Nakawa-24h'!L55,'03.08 Naguru-Nakawa-24h'!L55,'04.08 Naguru-Nakawa'!L55)</f>
        <v>0.14285714285714285</v>
      </c>
      <c r="M55" s="49">
        <f>AVERAGE('29.07 Naguru-Nakawa'!M55,'30.07 Naguru-Nakawa'!M55,'31.07 Naguru-Nakawa'!M55,'02.08 Naguru-Nakawa'!M55,'01.08 Naguru-Nakawa-24h'!M55,'03.08 Naguru-Nakawa-24h'!M55,'04.08 Naguru-Nakawa'!M55)</f>
        <v>80</v>
      </c>
      <c r="N55" s="49">
        <f>AVERAGE('29.07 Naguru-Nakawa'!N55,'30.07 Naguru-Nakawa'!N55,'31.07 Naguru-Nakawa'!N55,'02.08 Naguru-Nakawa'!N55,'01.08 Naguru-Nakawa-24h'!N55,'03.08 Naguru-Nakawa-24h'!N55,'04.08 Naguru-Nakawa'!N55)</f>
        <v>0</v>
      </c>
      <c r="O55" s="15">
        <f t="shared" si="0"/>
        <v>97.714285714285722</v>
      </c>
      <c r="P55" s="15">
        <f t="shared" si="1"/>
        <v>177.71428571428572</v>
      </c>
      <c r="R55" s="8"/>
      <c r="T55"/>
    </row>
    <row r="56" spans="2:20" ht="23.1" customHeight="1" x14ac:dyDescent="0.25">
      <c r="B56" s="23" t="s">
        <v>83</v>
      </c>
      <c r="C56" s="49">
        <f>AVERAGE('29.07 Naguru-Nakawa'!C56,'30.07 Naguru-Nakawa'!C56,'31.07 Naguru-Nakawa'!C56,'02.08 Naguru-Nakawa'!C56,'01.08 Naguru-Nakawa-24h'!C56,'03.08 Naguru-Nakawa-24h'!C56,'04.08 Naguru-Nakawa'!C56)</f>
        <v>75.285714285714292</v>
      </c>
      <c r="D56" s="49">
        <f>AVERAGE('29.07 Naguru-Nakawa'!D56,'30.07 Naguru-Nakawa'!D56,'31.07 Naguru-Nakawa'!D56,'02.08 Naguru-Nakawa'!D56,'01.08 Naguru-Nakawa-24h'!D56,'03.08 Naguru-Nakawa-24h'!D56,'04.08 Naguru-Nakawa'!D56)</f>
        <v>16.142857142857142</v>
      </c>
      <c r="E56" s="49">
        <f>AVERAGE('29.07 Naguru-Nakawa'!E56,'30.07 Naguru-Nakawa'!E56,'31.07 Naguru-Nakawa'!E56,'02.08 Naguru-Nakawa'!E56,'01.08 Naguru-Nakawa-24h'!E56,'03.08 Naguru-Nakawa-24h'!E56,'04.08 Naguru-Nakawa'!E56)</f>
        <v>5.4285714285714288</v>
      </c>
      <c r="F56" s="49">
        <f>AVERAGE('29.07 Naguru-Nakawa'!F56,'30.07 Naguru-Nakawa'!F56,'31.07 Naguru-Nakawa'!F56,'02.08 Naguru-Nakawa'!F56,'01.08 Naguru-Nakawa-24h'!F56,'03.08 Naguru-Nakawa-24h'!F56,'04.08 Naguru-Nakawa'!F56)</f>
        <v>6.4285714285714288</v>
      </c>
      <c r="G56" s="49">
        <f>AVERAGE('29.07 Naguru-Nakawa'!G56,'30.07 Naguru-Nakawa'!G56,'31.07 Naguru-Nakawa'!G56,'02.08 Naguru-Nakawa'!G56,'01.08 Naguru-Nakawa-24h'!G56,'03.08 Naguru-Nakawa-24h'!G56,'04.08 Naguru-Nakawa'!G56)</f>
        <v>0.14285714285714285</v>
      </c>
      <c r="H56" s="49">
        <f>AVERAGE('29.07 Naguru-Nakawa'!H56,'30.07 Naguru-Nakawa'!H56,'31.07 Naguru-Nakawa'!H56,'02.08 Naguru-Nakawa'!H56,'01.08 Naguru-Nakawa-24h'!H56,'03.08 Naguru-Nakawa-24h'!H56,'04.08 Naguru-Nakawa'!H56)</f>
        <v>0</v>
      </c>
      <c r="I56" s="49">
        <f>AVERAGE('29.07 Naguru-Nakawa'!I56,'30.07 Naguru-Nakawa'!I56,'31.07 Naguru-Nakawa'!I56,'02.08 Naguru-Nakawa'!I56,'01.08 Naguru-Nakawa-24h'!I56,'03.08 Naguru-Nakawa-24h'!I56,'04.08 Naguru-Nakawa'!I56)</f>
        <v>3.8571428571428572</v>
      </c>
      <c r="J56" s="49">
        <f>AVERAGE('29.07 Naguru-Nakawa'!J56,'30.07 Naguru-Nakawa'!J56,'31.07 Naguru-Nakawa'!J56,'02.08 Naguru-Nakawa'!J56,'01.08 Naguru-Nakawa-24h'!J56,'03.08 Naguru-Nakawa-24h'!J56,'04.08 Naguru-Nakawa'!J56)</f>
        <v>1.1428571428571428</v>
      </c>
      <c r="K56" s="49">
        <f>AVERAGE('29.07 Naguru-Nakawa'!K56,'30.07 Naguru-Nakawa'!K56,'31.07 Naguru-Nakawa'!K56,'02.08 Naguru-Nakawa'!K56,'01.08 Naguru-Nakawa-24h'!K56,'03.08 Naguru-Nakawa-24h'!K56,'04.08 Naguru-Nakawa'!K56)</f>
        <v>0.2857142857142857</v>
      </c>
      <c r="L56" s="49">
        <f>AVERAGE('29.07 Naguru-Nakawa'!L56,'30.07 Naguru-Nakawa'!L56,'31.07 Naguru-Nakawa'!L56,'02.08 Naguru-Nakawa'!L56,'01.08 Naguru-Nakawa-24h'!L56,'03.08 Naguru-Nakawa-24h'!L56,'04.08 Naguru-Nakawa'!L56)</f>
        <v>0</v>
      </c>
      <c r="M56" s="49">
        <f>AVERAGE('29.07 Naguru-Nakawa'!M56,'30.07 Naguru-Nakawa'!M56,'31.07 Naguru-Nakawa'!M56,'02.08 Naguru-Nakawa'!M56,'01.08 Naguru-Nakawa-24h'!M56,'03.08 Naguru-Nakawa-24h'!M56,'04.08 Naguru-Nakawa'!M56)</f>
        <v>74.857142857142861</v>
      </c>
      <c r="N56" s="49">
        <f>AVERAGE('29.07 Naguru-Nakawa'!N56,'30.07 Naguru-Nakawa'!N56,'31.07 Naguru-Nakawa'!N56,'02.08 Naguru-Nakawa'!N56,'01.08 Naguru-Nakawa-24h'!N56,'03.08 Naguru-Nakawa-24h'!N56,'04.08 Naguru-Nakawa'!N56)</f>
        <v>0</v>
      </c>
      <c r="O56" s="15">
        <f t="shared" si="0"/>
        <v>108.71428571428572</v>
      </c>
      <c r="P56" s="15">
        <f t="shared" si="1"/>
        <v>183.57142857142858</v>
      </c>
      <c r="R56" s="8"/>
      <c r="T56"/>
    </row>
    <row r="57" spans="2:20" ht="23.1" customHeight="1" x14ac:dyDescent="0.25">
      <c r="B57" s="23" t="s">
        <v>84</v>
      </c>
      <c r="C57" s="49">
        <f>AVERAGE('29.07 Naguru-Nakawa'!C57,'30.07 Naguru-Nakawa'!C57,'31.07 Naguru-Nakawa'!C57,'02.08 Naguru-Nakawa'!C57,'01.08 Naguru-Nakawa-24h'!C57,'03.08 Naguru-Nakawa-24h'!C57,'04.08 Naguru-Nakawa'!C57)</f>
        <v>59.714285714285715</v>
      </c>
      <c r="D57" s="49">
        <f>AVERAGE('29.07 Naguru-Nakawa'!D57,'30.07 Naguru-Nakawa'!D57,'31.07 Naguru-Nakawa'!D57,'02.08 Naguru-Nakawa'!D57,'01.08 Naguru-Nakawa-24h'!D57,'03.08 Naguru-Nakawa-24h'!D57,'04.08 Naguru-Nakawa'!D57)</f>
        <v>16.428571428571427</v>
      </c>
      <c r="E57" s="49">
        <f>AVERAGE('29.07 Naguru-Nakawa'!E57,'30.07 Naguru-Nakawa'!E57,'31.07 Naguru-Nakawa'!E57,'02.08 Naguru-Nakawa'!E57,'01.08 Naguru-Nakawa-24h'!E57,'03.08 Naguru-Nakawa-24h'!E57,'04.08 Naguru-Nakawa'!E57)</f>
        <v>8.1428571428571423</v>
      </c>
      <c r="F57" s="49">
        <f>AVERAGE('29.07 Naguru-Nakawa'!F57,'30.07 Naguru-Nakawa'!F57,'31.07 Naguru-Nakawa'!F57,'02.08 Naguru-Nakawa'!F57,'01.08 Naguru-Nakawa-24h'!F57,'03.08 Naguru-Nakawa-24h'!F57,'04.08 Naguru-Nakawa'!F57)</f>
        <v>6.2857142857142856</v>
      </c>
      <c r="G57" s="49">
        <f>AVERAGE('29.07 Naguru-Nakawa'!G57,'30.07 Naguru-Nakawa'!G57,'31.07 Naguru-Nakawa'!G57,'02.08 Naguru-Nakawa'!G57,'01.08 Naguru-Nakawa-24h'!G57,'03.08 Naguru-Nakawa-24h'!G57,'04.08 Naguru-Nakawa'!G57)</f>
        <v>0.14285714285714285</v>
      </c>
      <c r="H57" s="49">
        <f>AVERAGE('29.07 Naguru-Nakawa'!H57,'30.07 Naguru-Nakawa'!H57,'31.07 Naguru-Nakawa'!H57,'02.08 Naguru-Nakawa'!H57,'01.08 Naguru-Nakawa-24h'!H57,'03.08 Naguru-Nakawa-24h'!H57,'04.08 Naguru-Nakawa'!H57)</f>
        <v>0</v>
      </c>
      <c r="I57" s="49">
        <f>AVERAGE('29.07 Naguru-Nakawa'!I57,'30.07 Naguru-Nakawa'!I57,'31.07 Naguru-Nakawa'!I57,'02.08 Naguru-Nakawa'!I57,'01.08 Naguru-Nakawa-24h'!I57,'03.08 Naguru-Nakawa-24h'!I57,'04.08 Naguru-Nakawa'!I57)</f>
        <v>2</v>
      </c>
      <c r="J57" s="49">
        <f>AVERAGE('29.07 Naguru-Nakawa'!J57,'30.07 Naguru-Nakawa'!J57,'31.07 Naguru-Nakawa'!J57,'02.08 Naguru-Nakawa'!J57,'01.08 Naguru-Nakawa-24h'!J57,'03.08 Naguru-Nakawa-24h'!J57,'04.08 Naguru-Nakawa'!J57)</f>
        <v>0.7142857142857143</v>
      </c>
      <c r="K57" s="49">
        <f>AVERAGE('29.07 Naguru-Nakawa'!K57,'30.07 Naguru-Nakawa'!K57,'31.07 Naguru-Nakawa'!K57,'02.08 Naguru-Nakawa'!K57,'01.08 Naguru-Nakawa-24h'!K57,'03.08 Naguru-Nakawa-24h'!K57,'04.08 Naguru-Nakawa'!K57)</f>
        <v>0.14285714285714285</v>
      </c>
      <c r="L57" s="49">
        <f>AVERAGE('29.07 Naguru-Nakawa'!L57,'30.07 Naguru-Nakawa'!L57,'31.07 Naguru-Nakawa'!L57,'02.08 Naguru-Nakawa'!L57,'01.08 Naguru-Nakawa-24h'!L57,'03.08 Naguru-Nakawa-24h'!L57,'04.08 Naguru-Nakawa'!L57)</f>
        <v>0</v>
      </c>
      <c r="M57" s="49">
        <f>AVERAGE('29.07 Naguru-Nakawa'!M57,'30.07 Naguru-Nakawa'!M57,'31.07 Naguru-Nakawa'!M57,'02.08 Naguru-Nakawa'!M57,'01.08 Naguru-Nakawa-24h'!M57,'03.08 Naguru-Nakawa-24h'!M57,'04.08 Naguru-Nakawa'!M57)</f>
        <v>68.857142857142861</v>
      </c>
      <c r="N57" s="49">
        <f>AVERAGE('29.07 Naguru-Nakawa'!N57,'30.07 Naguru-Nakawa'!N57,'31.07 Naguru-Nakawa'!N57,'02.08 Naguru-Nakawa'!N57,'01.08 Naguru-Nakawa-24h'!N57,'03.08 Naguru-Nakawa-24h'!N57,'04.08 Naguru-Nakawa'!N57)</f>
        <v>0</v>
      </c>
      <c r="O57" s="15">
        <f t="shared" si="0"/>
        <v>93.571428571428555</v>
      </c>
      <c r="P57" s="15">
        <f t="shared" si="1"/>
        <v>162.42857142857142</v>
      </c>
      <c r="R57" s="8"/>
      <c r="T57"/>
    </row>
    <row r="58" spans="2:20" ht="23.1" customHeight="1" x14ac:dyDescent="0.25">
      <c r="B58" s="23" t="s">
        <v>99</v>
      </c>
      <c r="C58" s="49">
        <f>AVERAGE('01.08 Naguru-Nakawa-24h'!C58,'03.08 Naguru-Nakawa-24h'!C58)</f>
        <v>59.5</v>
      </c>
      <c r="D58" s="49">
        <f>AVERAGE('01.08 Naguru-Nakawa-24h'!D58,'03.08 Naguru-Nakawa-24h'!D58)</f>
        <v>142.5</v>
      </c>
      <c r="E58" s="49">
        <f>AVERAGE('01.08 Naguru-Nakawa-24h'!E58,'03.08 Naguru-Nakawa-24h'!E58)</f>
        <v>15</v>
      </c>
      <c r="F58" s="49">
        <f>AVERAGE('01.08 Naguru-Nakawa-24h'!F58,'03.08 Naguru-Nakawa-24h'!F58)</f>
        <v>9.5</v>
      </c>
      <c r="G58" s="49">
        <f>AVERAGE('01.08 Naguru-Nakawa-24h'!G58,'03.08 Naguru-Nakawa-24h'!G58)</f>
        <v>1</v>
      </c>
      <c r="H58" s="49">
        <f>AVERAGE('01.08 Naguru-Nakawa-24h'!H58,'03.08 Naguru-Nakawa-24h'!H58)</f>
        <v>0</v>
      </c>
      <c r="I58" s="49">
        <f>AVERAGE('01.08 Naguru-Nakawa-24h'!I58,'03.08 Naguru-Nakawa-24h'!I58)</f>
        <v>2</v>
      </c>
      <c r="J58" s="49">
        <f>AVERAGE('01.08 Naguru-Nakawa-24h'!J58,'03.08 Naguru-Nakawa-24h'!J58)</f>
        <v>0</v>
      </c>
      <c r="K58" s="49">
        <f>AVERAGE('01.08 Naguru-Nakawa-24h'!K58,'03.08 Naguru-Nakawa-24h'!K58)</f>
        <v>0.5</v>
      </c>
      <c r="L58" s="49">
        <f>AVERAGE('01.08 Naguru-Nakawa-24h'!L58,'03.08 Naguru-Nakawa-24h'!L58)</f>
        <v>0.5</v>
      </c>
      <c r="M58" s="49">
        <f>AVERAGE('01.08 Naguru-Nakawa-24h'!M58,'03.08 Naguru-Nakawa-24h'!M58)</f>
        <v>70</v>
      </c>
      <c r="N58" s="49">
        <f>AVERAGE('01.08 Naguru-Nakawa-24h'!N58,'03.08 Naguru-Nakawa-24h'!N58)</f>
        <v>0</v>
      </c>
      <c r="O58" s="15">
        <f t="shared" si="0"/>
        <v>230.5</v>
      </c>
      <c r="P58" s="15">
        <f t="shared" si="1"/>
        <v>300.5</v>
      </c>
      <c r="R58" s="8"/>
      <c r="T58"/>
    </row>
    <row r="59" spans="2:20" ht="23.1" customHeight="1" x14ac:dyDescent="0.25">
      <c r="B59" s="23" t="s">
        <v>100</v>
      </c>
      <c r="C59" s="49">
        <f>AVERAGE('01.08 Naguru-Nakawa-24h'!C59,'03.08 Naguru-Nakawa-24h'!C59)</f>
        <v>66.5</v>
      </c>
      <c r="D59" s="49">
        <f>AVERAGE('01.08 Naguru-Nakawa-24h'!D59,'03.08 Naguru-Nakawa-24h'!D59)</f>
        <v>24</v>
      </c>
      <c r="E59" s="49">
        <f>AVERAGE('01.08 Naguru-Nakawa-24h'!E59,'03.08 Naguru-Nakawa-24h'!E59)</f>
        <v>12.5</v>
      </c>
      <c r="F59" s="49">
        <f>AVERAGE('01.08 Naguru-Nakawa-24h'!F59,'03.08 Naguru-Nakawa-24h'!F59)</f>
        <v>8</v>
      </c>
      <c r="G59" s="49">
        <f>AVERAGE('01.08 Naguru-Nakawa-24h'!G59,'03.08 Naguru-Nakawa-24h'!G59)</f>
        <v>0.5</v>
      </c>
      <c r="H59" s="49">
        <f>AVERAGE('01.08 Naguru-Nakawa-24h'!H59,'03.08 Naguru-Nakawa-24h'!H59)</f>
        <v>0</v>
      </c>
      <c r="I59" s="49">
        <f>AVERAGE('01.08 Naguru-Nakawa-24h'!I59,'03.08 Naguru-Nakawa-24h'!I59)</f>
        <v>1.5</v>
      </c>
      <c r="J59" s="49">
        <f>AVERAGE('01.08 Naguru-Nakawa-24h'!J59,'03.08 Naguru-Nakawa-24h'!J59)</f>
        <v>0.5</v>
      </c>
      <c r="K59" s="49">
        <f>AVERAGE('01.08 Naguru-Nakawa-24h'!K59,'03.08 Naguru-Nakawa-24h'!K59)</f>
        <v>0.5</v>
      </c>
      <c r="L59" s="49">
        <f>AVERAGE('01.08 Naguru-Nakawa-24h'!L59,'03.08 Naguru-Nakawa-24h'!L59)</f>
        <v>0</v>
      </c>
      <c r="M59" s="49">
        <f>AVERAGE('01.08 Naguru-Nakawa-24h'!M59,'03.08 Naguru-Nakawa-24h'!M59)</f>
        <v>50</v>
      </c>
      <c r="N59" s="49">
        <f>AVERAGE('01.08 Naguru-Nakawa-24h'!N59,'03.08 Naguru-Nakawa-24h'!N59)</f>
        <v>0</v>
      </c>
      <c r="O59" s="15">
        <f t="shared" si="0"/>
        <v>114</v>
      </c>
      <c r="P59" s="15">
        <f t="shared" si="1"/>
        <v>164</v>
      </c>
      <c r="R59" s="8"/>
      <c r="T59"/>
    </row>
    <row r="60" spans="2:20" ht="23.1" customHeight="1" x14ac:dyDescent="0.25">
      <c r="B60" s="23" t="s">
        <v>101</v>
      </c>
      <c r="C60" s="49">
        <f>AVERAGE('01.08 Naguru-Nakawa-24h'!C60,'03.08 Naguru-Nakawa-24h'!C60)</f>
        <v>37.5</v>
      </c>
      <c r="D60" s="49">
        <f>AVERAGE('01.08 Naguru-Nakawa-24h'!D60,'03.08 Naguru-Nakawa-24h'!D60)</f>
        <v>16.5</v>
      </c>
      <c r="E60" s="49">
        <f>AVERAGE('01.08 Naguru-Nakawa-24h'!E60,'03.08 Naguru-Nakawa-24h'!E60)</f>
        <v>10.5</v>
      </c>
      <c r="F60" s="49">
        <f>AVERAGE('01.08 Naguru-Nakawa-24h'!F60,'03.08 Naguru-Nakawa-24h'!F60)</f>
        <v>7.5</v>
      </c>
      <c r="G60" s="49">
        <f>AVERAGE('01.08 Naguru-Nakawa-24h'!G60,'03.08 Naguru-Nakawa-24h'!G60)</f>
        <v>0</v>
      </c>
      <c r="H60" s="49">
        <f>AVERAGE('01.08 Naguru-Nakawa-24h'!H60,'03.08 Naguru-Nakawa-24h'!H60)</f>
        <v>0</v>
      </c>
      <c r="I60" s="49">
        <f>AVERAGE('01.08 Naguru-Nakawa-24h'!I60,'03.08 Naguru-Nakawa-24h'!I60)</f>
        <v>0.5</v>
      </c>
      <c r="J60" s="49">
        <f>AVERAGE('01.08 Naguru-Nakawa-24h'!J60,'03.08 Naguru-Nakawa-24h'!J60)</f>
        <v>0</v>
      </c>
      <c r="K60" s="49">
        <f>AVERAGE('01.08 Naguru-Nakawa-24h'!K60,'03.08 Naguru-Nakawa-24h'!K60)</f>
        <v>0</v>
      </c>
      <c r="L60" s="49">
        <f>AVERAGE('01.08 Naguru-Nakawa-24h'!L60,'03.08 Naguru-Nakawa-24h'!L60)</f>
        <v>0</v>
      </c>
      <c r="M60" s="49">
        <f>AVERAGE('01.08 Naguru-Nakawa-24h'!M60,'03.08 Naguru-Nakawa-24h'!M60)</f>
        <v>59.5</v>
      </c>
      <c r="N60" s="49">
        <f>AVERAGE('01.08 Naguru-Nakawa-24h'!N60,'03.08 Naguru-Nakawa-24h'!N60)</f>
        <v>0</v>
      </c>
      <c r="O60" s="15">
        <f t="shared" si="0"/>
        <v>72.5</v>
      </c>
      <c r="P60" s="15">
        <f t="shared" si="1"/>
        <v>132</v>
      </c>
      <c r="R60" s="8"/>
      <c r="T60"/>
    </row>
    <row r="61" spans="2:20" ht="23.1" customHeight="1" x14ac:dyDescent="0.25">
      <c r="B61" s="23" t="s">
        <v>102</v>
      </c>
      <c r="C61" s="49">
        <f>AVERAGE('01.08 Naguru-Nakawa-24h'!C61,'03.08 Naguru-Nakawa-24h'!C61)</f>
        <v>49</v>
      </c>
      <c r="D61" s="49">
        <f>AVERAGE('01.08 Naguru-Nakawa-24h'!D61,'03.08 Naguru-Nakawa-24h'!D61)</f>
        <v>14.5</v>
      </c>
      <c r="E61" s="49">
        <f>AVERAGE('01.08 Naguru-Nakawa-24h'!E61,'03.08 Naguru-Nakawa-24h'!E61)</f>
        <v>8.5</v>
      </c>
      <c r="F61" s="49">
        <f>AVERAGE('01.08 Naguru-Nakawa-24h'!F61,'03.08 Naguru-Nakawa-24h'!F61)</f>
        <v>7</v>
      </c>
      <c r="G61" s="49">
        <f>AVERAGE('01.08 Naguru-Nakawa-24h'!G61,'03.08 Naguru-Nakawa-24h'!G61)</f>
        <v>0</v>
      </c>
      <c r="H61" s="49">
        <f>AVERAGE('01.08 Naguru-Nakawa-24h'!H61,'03.08 Naguru-Nakawa-24h'!H61)</f>
        <v>0</v>
      </c>
      <c r="I61" s="49">
        <f>AVERAGE('01.08 Naguru-Nakawa-24h'!I61,'03.08 Naguru-Nakawa-24h'!I61)</f>
        <v>0</v>
      </c>
      <c r="J61" s="49">
        <f>AVERAGE('01.08 Naguru-Nakawa-24h'!J61,'03.08 Naguru-Nakawa-24h'!J61)</f>
        <v>0</v>
      </c>
      <c r="K61" s="49">
        <f>AVERAGE('01.08 Naguru-Nakawa-24h'!K61,'03.08 Naguru-Nakawa-24h'!K61)</f>
        <v>0.5</v>
      </c>
      <c r="L61" s="49">
        <f>AVERAGE('01.08 Naguru-Nakawa-24h'!L61,'03.08 Naguru-Nakawa-24h'!L61)</f>
        <v>0</v>
      </c>
      <c r="M61" s="49">
        <f>AVERAGE('01.08 Naguru-Nakawa-24h'!M61,'03.08 Naguru-Nakawa-24h'!M61)</f>
        <v>38.5</v>
      </c>
      <c r="N61" s="49">
        <f>AVERAGE('01.08 Naguru-Nakawa-24h'!N61,'03.08 Naguru-Nakawa-24h'!N61)</f>
        <v>0</v>
      </c>
      <c r="O61" s="15">
        <f t="shared" si="0"/>
        <v>79.5</v>
      </c>
      <c r="P61" s="15">
        <f t="shared" si="1"/>
        <v>118</v>
      </c>
      <c r="R61" s="8"/>
      <c r="T61"/>
    </row>
    <row r="62" spans="2:20" ht="23.1" customHeight="1" x14ac:dyDescent="0.25">
      <c r="B62" s="23" t="s">
        <v>107</v>
      </c>
      <c r="C62" s="49">
        <f>AVERAGE('01.08 Naguru-Nakawa-24h'!C62,'03.08 Naguru-Nakawa-24h'!C62)</f>
        <v>37.5</v>
      </c>
      <c r="D62" s="49">
        <f>AVERAGE('01.08 Naguru-Nakawa-24h'!D62,'03.08 Naguru-Nakawa-24h'!D62)</f>
        <v>11</v>
      </c>
      <c r="E62" s="49">
        <f>AVERAGE('01.08 Naguru-Nakawa-24h'!E62,'03.08 Naguru-Nakawa-24h'!E62)</f>
        <v>6</v>
      </c>
      <c r="F62" s="49">
        <f>AVERAGE('01.08 Naguru-Nakawa-24h'!F62,'03.08 Naguru-Nakawa-24h'!F62)</f>
        <v>2</v>
      </c>
      <c r="G62" s="49">
        <f>AVERAGE('01.08 Naguru-Nakawa-24h'!G62,'03.08 Naguru-Nakawa-24h'!G62)</f>
        <v>0</v>
      </c>
      <c r="H62" s="49">
        <f>AVERAGE('01.08 Naguru-Nakawa-24h'!H62,'03.08 Naguru-Nakawa-24h'!H62)</f>
        <v>0</v>
      </c>
      <c r="I62" s="49">
        <f>AVERAGE('01.08 Naguru-Nakawa-24h'!I62,'03.08 Naguru-Nakawa-24h'!I62)</f>
        <v>4</v>
      </c>
      <c r="J62" s="49">
        <f>AVERAGE('01.08 Naguru-Nakawa-24h'!J62,'03.08 Naguru-Nakawa-24h'!J62)</f>
        <v>0</v>
      </c>
      <c r="K62" s="49">
        <f>AVERAGE('01.08 Naguru-Nakawa-24h'!K62,'03.08 Naguru-Nakawa-24h'!K62)</f>
        <v>0</v>
      </c>
      <c r="L62" s="49">
        <f>AVERAGE('01.08 Naguru-Nakawa-24h'!L62,'03.08 Naguru-Nakawa-24h'!L62)</f>
        <v>0</v>
      </c>
      <c r="M62" s="49">
        <f>AVERAGE('01.08 Naguru-Nakawa-24h'!M62,'03.08 Naguru-Nakawa-24h'!M62)</f>
        <v>43.5</v>
      </c>
      <c r="N62" s="49">
        <f>AVERAGE('01.08 Naguru-Nakawa-24h'!N62,'03.08 Naguru-Nakawa-24h'!N62)</f>
        <v>0</v>
      </c>
      <c r="O62" s="15">
        <f t="shared" si="0"/>
        <v>60.5</v>
      </c>
      <c r="P62" s="15">
        <f t="shared" si="1"/>
        <v>104</v>
      </c>
      <c r="R62" s="8"/>
      <c r="T62"/>
    </row>
    <row r="63" spans="2:20" ht="23.1" customHeight="1" x14ac:dyDescent="0.25">
      <c r="B63" s="23" t="s">
        <v>108</v>
      </c>
      <c r="C63" s="49">
        <f>AVERAGE('01.08 Naguru-Nakawa-24h'!C63,'03.08 Naguru-Nakawa-24h'!C63)</f>
        <v>37.5</v>
      </c>
      <c r="D63" s="49">
        <f>AVERAGE('01.08 Naguru-Nakawa-24h'!D63,'03.08 Naguru-Nakawa-24h'!D63)</f>
        <v>16.5</v>
      </c>
      <c r="E63" s="49">
        <f>AVERAGE('01.08 Naguru-Nakawa-24h'!E63,'03.08 Naguru-Nakawa-24h'!E63)</f>
        <v>4</v>
      </c>
      <c r="F63" s="49">
        <f>AVERAGE('01.08 Naguru-Nakawa-24h'!F63,'03.08 Naguru-Nakawa-24h'!F63)</f>
        <v>1</v>
      </c>
      <c r="G63" s="49">
        <f>AVERAGE('01.08 Naguru-Nakawa-24h'!G63,'03.08 Naguru-Nakawa-24h'!G63)</f>
        <v>0</v>
      </c>
      <c r="H63" s="49">
        <f>AVERAGE('01.08 Naguru-Nakawa-24h'!H63,'03.08 Naguru-Nakawa-24h'!H63)</f>
        <v>0</v>
      </c>
      <c r="I63" s="49">
        <f>AVERAGE('01.08 Naguru-Nakawa-24h'!I63,'03.08 Naguru-Nakawa-24h'!I63)</f>
        <v>0.5</v>
      </c>
      <c r="J63" s="49">
        <f>AVERAGE('01.08 Naguru-Nakawa-24h'!J63,'03.08 Naguru-Nakawa-24h'!J63)</f>
        <v>0</v>
      </c>
      <c r="K63" s="49">
        <f>AVERAGE('01.08 Naguru-Nakawa-24h'!K63,'03.08 Naguru-Nakawa-24h'!K63)</f>
        <v>0</v>
      </c>
      <c r="L63" s="49">
        <f>AVERAGE('01.08 Naguru-Nakawa-24h'!L63,'03.08 Naguru-Nakawa-24h'!L63)</f>
        <v>0</v>
      </c>
      <c r="M63" s="49">
        <f>AVERAGE('01.08 Naguru-Nakawa-24h'!M63,'03.08 Naguru-Nakawa-24h'!M63)</f>
        <v>44</v>
      </c>
      <c r="N63" s="49">
        <f>AVERAGE('01.08 Naguru-Nakawa-24h'!N63,'03.08 Naguru-Nakawa-24h'!N63)</f>
        <v>0</v>
      </c>
      <c r="O63" s="15">
        <f t="shared" si="0"/>
        <v>59.5</v>
      </c>
      <c r="P63" s="15">
        <f t="shared" si="1"/>
        <v>103.5</v>
      </c>
      <c r="R63" s="8"/>
      <c r="T63"/>
    </row>
    <row r="64" spans="2:20" ht="23.1" customHeight="1" x14ac:dyDescent="0.25">
      <c r="B64" s="23" t="s">
        <v>109</v>
      </c>
      <c r="C64" s="49">
        <f>AVERAGE('01.08 Naguru-Nakawa-24h'!C64,'03.08 Naguru-Nakawa-24h'!C64)</f>
        <v>45.5</v>
      </c>
      <c r="D64" s="49">
        <f>AVERAGE('01.08 Naguru-Nakawa-24h'!D64,'03.08 Naguru-Nakawa-24h'!D64)</f>
        <v>11</v>
      </c>
      <c r="E64" s="49">
        <f>AVERAGE('01.08 Naguru-Nakawa-24h'!E64,'03.08 Naguru-Nakawa-24h'!E64)</f>
        <v>5</v>
      </c>
      <c r="F64" s="49">
        <f>AVERAGE('01.08 Naguru-Nakawa-24h'!F64,'03.08 Naguru-Nakawa-24h'!F64)</f>
        <v>7.5</v>
      </c>
      <c r="G64" s="49">
        <f>AVERAGE('01.08 Naguru-Nakawa-24h'!G64,'03.08 Naguru-Nakawa-24h'!G64)</f>
        <v>0</v>
      </c>
      <c r="H64" s="49">
        <f>AVERAGE('01.08 Naguru-Nakawa-24h'!H64,'03.08 Naguru-Nakawa-24h'!H64)</f>
        <v>0</v>
      </c>
      <c r="I64" s="49">
        <f>AVERAGE('01.08 Naguru-Nakawa-24h'!I64,'03.08 Naguru-Nakawa-24h'!I64)</f>
        <v>0</v>
      </c>
      <c r="J64" s="49">
        <f>AVERAGE('01.08 Naguru-Nakawa-24h'!J64,'03.08 Naguru-Nakawa-24h'!J64)</f>
        <v>0</v>
      </c>
      <c r="K64" s="49">
        <f>AVERAGE('01.08 Naguru-Nakawa-24h'!K64,'03.08 Naguru-Nakawa-24h'!K64)</f>
        <v>0</v>
      </c>
      <c r="L64" s="49">
        <f>AVERAGE('01.08 Naguru-Nakawa-24h'!L64,'03.08 Naguru-Nakawa-24h'!L64)</f>
        <v>0</v>
      </c>
      <c r="M64" s="49">
        <f>AVERAGE('01.08 Naguru-Nakawa-24h'!M64,'03.08 Naguru-Nakawa-24h'!M64)</f>
        <v>39.5</v>
      </c>
      <c r="N64" s="49">
        <f>AVERAGE('01.08 Naguru-Nakawa-24h'!N64,'03.08 Naguru-Nakawa-24h'!N64)</f>
        <v>0</v>
      </c>
      <c r="O64" s="15">
        <f t="shared" si="0"/>
        <v>69</v>
      </c>
      <c r="P64" s="15">
        <f t="shared" si="1"/>
        <v>108.5</v>
      </c>
      <c r="R64" s="8"/>
      <c r="T64"/>
    </row>
    <row r="65" spans="2:20" ht="23.1" customHeight="1" x14ac:dyDescent="0.25">
      <c r="B65" s="23" t="s">
        <v>158</v>
      </c>
      <c r="C65" s="49">
        <f>AVERAGE('01.08 Naguru-Nakawa-24h'!C65,'03.08 Naguru-Nakawa-24h'!C65)</f>
        <v>27.5</v>
      </c>
      <c r="D65" s="49">
        <f>AVERAGE('01.08 Naguru-Nakawa-24h'!D65,'03.08 Naguru-Nakawa-24h'!D65)</f>
        <v>8.5</v>
      </c>
      <c r="E65" s="49">
        <f>AVERAGE('01.08 Naguru-Nakawa-24h'!E65,'03.08 Naguru-Nakawa-24h'!E65)</f>
        <v>2.5</v>
      </c>
      <c r="F65" s="49">
        <f>AVERAGE('01.08 Naguru-Nakawa-24h'!F65,'03.08 Naguru-Nakawa-24h'!F65)</f>
        <v>1</v>
      </c>
      <c r="G65" s="49">
        <f>AVERAGE('01.08 Naguru-Nakawa-24h'!G65,'03.08 Naguru-Nakawa-24h'!G65)</f>
        <v>0</v>
      </c>
      <c r="H65" s="49">
        <f>AVERAGE('01.08 Naguru-Nakawa-24h'!H65,'03.08 Naguru-Nakawa-24h'!H65)</f>
        <v>0</v>
      </c>
      <c r="I65" s="49">
        <f>AVERAGE('01.08 Naguru-Nakawa-24h'!I65,'03.08 Naguru-Nakawa-24h'!I65)</f>
        <v>0</v>
      </c>
      <c r="J65" s="49">
        <f>AVERAGE('01.08 Naguru-Nakawa-24h'!J65,'03.08 Naguru-Nakawa-24h'!J65)</f>
        <v>0</v>
      </c>
      <c r="K65" s="49">
        <f>AVERAGE('01.08 Naguru-Nakawa-24h'!K65,'03.08 Naguru-Nakawa-24h'!K65)</f>
        <v>0</v>
      </c>
      <c r="L65" s="49">
        <f>AVERAGE('01.08 Naguru-Nakawa-24h'!L65,'03.08 Naguru-Nakawa-24h'!L65)</f>
        <v>0</v>
      </c>
      <c r="M65" s="49">
        <f>AVERAGE('01.08 Naguru-Nakawa-24h'!M65,'03.08 Naguru-Nakawa-24h'!M65)</f>
        <v>43</v>
      </c>
      <c r="N65" s="49">
        <f>AVERAGE('01.08 Naguru-Nakawa-24h'!N65,'03.08 Naguru-Nakawa-24h'!N65)</f>
        <v>0</v>
      </c>
      <c r="O65" s="15">
        <f t="shared" si="0"/>
        <v>39.5</v>
      </c>
      <c r="P65" s="15">
        <f t="shared" si="1"/>
        <v>82.5</v>
      </c>
      <c r="R65" s="8"/>
      <c r="T65"/>
    </row>
    <row r="66" spans="2:20" ht="23.1" customHeight="1" x14ac:dyDescent="0.25">
      <c r="B66" s="23" t="s">
        <v>103</v>
      </c>
      <c r="C66" s="49">
        <f>AVERAGE('01.08 Naguru-Nakawa-24h'!C66,'03.08 Naguru-Nakawa-24h'!C66)</f>
        <v>39</v>
      </c>
      <c r="D66" s="49">
        <f>AVERAGE('01.08 Naguru-Nakawa-24h'!D66,'03.08 Naguru-Nakawa-24h'!D66)</f>
        <v>9.5</v>
      </c>
      <c r="E66" s="49">
        <f>AVERAGE('01.08 Naguru-Nakawa-24h'!E66,'03.08 Naguru-Nakawa-24h'!E66)</f>
        <v>4.5</v>
      </c>
      <c r="F66" s="49">
        <f>AVERAGE('01.08 Naguru-Nakawa-24h'!F66,'03.08 Naguru-Nakawa-24h'!F66)</f>
        <v>3.5</v>
      </c>
      <c r="G66" s="49">
        <f>AVERAGE('01.08 Naguru-Nakawa-24h'!G66,'03.08 Naguru-Nakawa-24h'!G66)</f>
        <v>0</v>
      </c>
      <c r="H66" s="49">
        <f>AVERAGE('01.08 Naguru-Nakawa-24h'!H66,'03.08 Naguru-Nakawa-24h'!H66)</f>
        <v>0</v>
      </c>
      <c r="I66" s="49">
        <f>AVERAGE('01.08 Naguru-Nakawa-24h'!I66,'03.08 Naguru-Nakawa-24h'!I66)</f>
        <v>1</v>
      </c>
      <c r="J66" s="49">
        <f>AVERAGE('01.08 Naguru-Nakawa-24h'!J66,'03.08 Naguru-Nakawa-24h'!J66)</f>
        <v>0</v>
      </c>
      <c r="K66" s="49">
        <f>AVERAGE('01.08 Naguru-Nakawa-24h'!K66,'03.08 Naguru-Nakawa-24h'!K66)</f>
        <v>0.5</v>
      </c>
      <c r="L66" s="49">
        <f>AVERAGE('01.08 Naguru-Nakawa-24h'!L66,'03.08 Naguru-Nakawa-24h'!L66)</f>
        <v>0</v>
      </c>
      <c r="M66" s="49">
        <f>AVERAGE('01.08 Naguru-Nakawa-24h'!M66,'03.08 Naguru-Nakawa-24h'!M66)</f>
        <v>32.5</v>
      </c>
      <c r="N66" s="49">
        <f>AVERAGE('01.08 Naguru-Nakawa-24h'!N66,'03.08 Naguru-Nakawa-24h'!N66)</f>
        <v>0</v>
      </c>
      <c r="O66" s="15">
        <f t="shared" si="0"/>
        <v>58</v>
      </c>
      <c r="P66" s="15">
        <f t="shared" si="1"/>
        <v>90.5</v>
      </c>
      <c r="R66" s="8"/>
      <c r="T66"/>
    </row>
    <row r="67" spans="2:20" ht="23.1" customHeight="1" x14ac:dyDescent="0.25">
      <c r="B67" s="23" t="s">
        <v>104</v>
      </c>
      <c r="C67" s="49">
        <f>AVERAGE('01.08 Naguru-Nakawa-24h'!C67,'03.08 Naguru-Nakawa-24h'!C67)</f>
        <v>27</v>
      </c>
      <c r="D67" s="49">
        <f>AVERAGE('01.08 Naguru-Nakawa-24h'!D67,'03.08 Naguru-Nakawa-24h'!D67)</f>
        <v>6</v>
      </c>
      <c r="E67" s="49">
        <f>AVERAGE('01.08 Naguru-Nakawa-24h'!E67,'03.08 Naguru-Nakawa-24h'!E67)</f>
        <v>4.5</v>
      </c>
      <c r="F67" s="49">
        <f>AVERAGE('01.08 Naguru-Nakawa-24h'!F67,'03.08 Naguru-Nakawa-24h'!F67)</f>
        <v>1.5</v>
      </c>
      <c r="G67" s="49">
        <f>AVERAGE('01.08 Naguru-Nakawa-24h'!G67,'03.08 Naguru-Nakawa-24h'!G67)</f>
        <v>0</v>
      </c>
      <c r="H67" s="49">
        <f>AVERAGE('01.08 Naguru-Nakawa-24h'!H67,'03.08 Naguru-Nakawa-24h'!H67)</f>
        <v>0</v>
      </c>
      <c r="I67" s="49">
        <f>AVERAGE('01.08 Naguru-Nakawa-24h'!I67,'03.08 Naguru-Nakawa-24h'!I67)</f>
        <v>1.5</v>
      </c>
      <c r="J67" s="49">
        <f>AVERAGE('01.08 Naguru-Nakawa-24h'!J67,'03.08 Naguru-Nakawa-24h'!J67)</f>
        <v>0</v>
      </c>
      <c r="K67" s="49">
        <f>AVERAGE('01.08 Naguru-Nakawa-24h'!K67,'03.08 Naguru-Nakawa-24h'!K67)</f>
        <v>0</v>
      </c>
      <c r="L67" s="49">
        <f>AVERAGE('01.08 Naguru-Nakawa-24h'!L67,'03.08 Naguru-Nakawa-24h'!L67)</f>
        <v>0.5</v>
      </c>
      <c r="M67" s="49">
        <f>AVERAGE('01.08 Naguru-Nakawa-24h'!M67,'03.08 Naguru-Nakawa-24h'!M67)</f>
        <v>34.5</v>
      </c>
      <c r="N67" s="49">
        <f>AVERAGE('01.08 Naguru-Nakawa-24h'!N67,'03.08 Naguru-Nakawa-24h'!N67)</f>
        <v>0</v>
      </c>
      <c r="O67" s="15">
        <f t="shared" si="0"/>
        <v>41</v>
      </c>
      <c r="P67" s="15">
        <f t="shared" si="1"/>
        <v>75.5</v>
      </c>
      <c r="R67" s="8"/>
      <c r="T67"/>
    </row>
    <row r="68" spans="2:20" ht="23.1" customHeight="1" x14ac:dyDescent="0.25">
      <c r="B68" s="23" t="s">
        <v>105</v>
      </c>
      <c r="C68" s="49">
        <f>AVERAGE('01.08 Naguru-Nakawa-24h'!C68,'03.08 Naguru-Nakawa-24h'!C68)</f>
        <v>18</v>
      </c>
      <c r="D68" s="49">
        <f>AVERAGE('01.08 Naguru-Nakawa-24h'!D68,'03.08 Naguru-Nakawa-24h'!D68)</f>
        <v>3.5</v>
      </c>
      <c r="E68" s="49">
        <f>AVERAGE('01.08 Naguru-Nakawa-24h'!E68,'03.08 Naguru-Nakawa-24h'!E68)</f>
        <v>1.5</v>
      </c>
      <c r="F68" s="49">
        <f>AVERAGE('01.08 Naguru-Nakawa-24h'!F68,'03.08 Naguru-Nakawa-24h'!F68)</f>
        <v>1.5</v>
      </c>
      <c r="G68" s="49">
        <f>AVERAGE('01.08 Naguru-Nakawa-24h'!G68,'03.08 Naguru-Nakawa-24h'!G68)</f>
        <v>0</v>
      </c>
      <c r="H68" s="49">
        <f>AVERAGE('01.08 Naguru-Nakawa-24h'!H68,'03.08 Naguru-Nakawa-24h'!H68)</f>
        <v>0</v>
      </c>
      <c r="I68" s="49">
        <f>AVERAGE('01.08 Naguru-Nakawa-24h'!I68,'03.08 Naguru-Nakawa-24h'!I68)</f>
        <v>0.5</v>
      </c>
      <c r="J68" s="49">
        <f>AVERAGE('01.08 Naguru-Nakawa-24h'!J68,'03.08 Naguru-Nakawa-24h'!J68)</f>
        <v>0</v>
      </c>
      <c r="K68" s="49">
        <f>AVERAGE('01.08 Naguru-Nakawa-24h'!K68,'03.08 Naguru-Nakawa-24h'!K68)</f>
        <v>0</v>
      </c>
      <c r="L68" s="49">
        <f>AVERAGE('01.08 Naguru-Nakawa-24h'!L68,'03.08 Naguru-Nakawa-24h'!L68)</f>
        <v>0</v>
      </c>
      <c r="M68" s="49">
        <f>AVERAGE('01.08 Naguru-Nakawa-24h'!M68,'03.08 Naguru-Nakawa-24h'!M68)</f>
        <v>32</v>
      </c>
      <c r="N68" s="49">
        <f>AVERAGE('01.08 Naguru-Nakawa-24h'!N68,'03.08 Naguru-Nakawa-24h'!N68)</f>
        <v>0</v>
      </c>
      <c r="O68" s="15">
        <f t="shared" si="0"/>
        <v>25</v>
      </c>
      <c r="P68" s="15">
        <f t="shared" si="1"/>
        <v>57</v>
      </c>
      <c r="R68" s="8"/>
      <c r="T68"/>
    </row>
    <row r="69" spans="2:20" ht="23.1" customHeight="1" x14ac:dyDescent="0.25">
      <c r="B69" s="23" t="s">
        <v>106</v>
      </c>
      <c r="C69" s="49">
        <f>AVERAGE('01.08 Naguru-Nakawa-24h'!C69,'03.08 Naguru-Nakawa-24h'!C69)</f>
        <v>19</v>
      </c>
      <c r="D69" s="49">
        <f>AVERAGE('01.08 Naguru-Nakawa-24h'!D69,'03.08 Naguru-Nakawa-24h'!D69)</f>
        <v>8.5</v>
      </c>
      <c r="E69" s="49">
        <f>AVERAGE('01.08 Naguru-Nakawa-24h'!E69,'03.08 Naguru-Nakawa-24h'!E69)</f>
        <v>1.5</v>
      </c>
      <c r="F69" s="49">
        <f>AVERAGE('01.08 Naguru-Nakawa-24h'!F69,'03.08 Naguru-Nakawa-24h'!F69)</f>
        <v>1.5</v>
      </c>
      <c r="G69" s="49">
        <f>AVERAGE('01.08 Naguru-Nakawa-24h'!G69,'03.08 Naguru-Nakawa-24h'!G69)</f>
        <v>0</v>
      </c>
      <c r="H69" s="49">
        <f>AVERAGE('01.08 Naguru-Nakawa-24h'!H69,'03.08 Naguru-Nakawa-24h'!H69)</f>
        <v>0</v>
      </c>
      <c r="I69" s="49">
        <f>AVERAGE('01.08 Naguru-Nakawa-24h'!I69,'03.08 Naguru-Nakawa-24h'!I69)</f>
        <v>0</v>
      </c>
      <c r="J69" s="49">
        <f>AVERAGE('01.08 Naguru-Nakawa-24h'!J69,'03.08 Naguru-Nakawa-24h'!J69)</f>
        <v>0</v>
      </c>
      <c r="K69" s="49">
        <f>AVERAGE('01.08 Naguru-Nakawa-24h'!K69,'03.08 Naguru-Nakawa-24h'!K69)</f>
        <v>0</v>
      </c>
      <c r="L69" s="49">
        <f>AVERAGE('01.08 Naguru-Nakawa-24h'!L69,'03.08 Naguru-Nakawa-24h'!L69)</f>
        <v>0</v>
      </c>
      <c r="M69" s="49">
        <f>AVERAGE('01.08 Naguru-Nakawa-24h'!M69,'03.08 Naguru-Nakawa-24h'!M69)</f>
        <v>31</v>
      </c>
      <c r="N69" s="49">
        <f>AVERAGE('01.08 Naguru-Nakawa-24h'!N69,'03.08 Naguru-Nakawa-24h'!N69)</f>
        <v>0</v>
      </c>
      <c r="O69" s="15">
        <f t="shared" si="0"/>
        <v>30.5</v>
      </c>
      <c r="P69" s="15">
        <f t="shared" si="1"/>
        <v>61.5</v>
      </c>
      <c r="R69" s="8"/>
      <c r="T69"/>
    </row>
    <row r="70" spans="2:20" ht="23.1" customHeight="1" x14ac:dyDescent="0.25">
      <c r="B70" s="23" t="s">
        <v>110</v>
      </c>
      <c r="C70" s="49">
        <f>AVERAGE('01.08 Naguru-Nakawa-24h'!C70,'03.08 Naguru-Nakawa-24h'!C70)</f>
        <v>13.5</v>
      </c>
      <c r="D70" s="49">
        <f>AVERAGE('01.08 Naguru-Nakawa-24h'!D70,'03.08 Naguru-Nakawa-24h'!D70)</f>
        <v>5</v>
      </c>
      <c r="E70" s="49">
        <f>AVERAGE('01.08 Naguru-Nakawa-24h'!E70,'03.08 Naguru-Nakawa-24h'!E70)</f>
        <v>2.5</v>
      </c>
      <c r="F70" s="49">
        <f>AVERAGE('01.08 Naguru-Nakawa-24h'!F70,'03.08 Naguru-Nakawa-24h'!F70)</f>
        <v>2.5</v>
      </c>
      <c r="G70" s="49">
        <f>AVERAGE('01.08 Naguru-Nakawa-24h'!G70,'03.08 Naguru-Nakawa-24h'!G70)</f>
        <v>0</v>
      </c>
      <c r="H70" s="49">
        <f>AVERAGE('01.08 Naguru-Nakawa-24h'!H70,'03.08 Naguru-Nakawa-24h'!H70)</f>
        <v>0</v>
      </c>
      <c r="I70" s="49">
        <f>AVERAGE('01.08 Naguru-Nakawa-24h'!I70,'03.08 Naguru-Nakawa-24h'!I70)</f>
        <v>0.5</v>
      </c>
      <c r="J70" s="49">
        <f>AVERAGE('01.08 Naguru-Nakawa-24h'!J70,'03.08 Naguru-Nakawa-24h'!J70)</f>
        <v>0.5</v>
      </c>
      <c r="K70" s="49">
        <f>AVERAGE('01.08 Naguru-Nakawa-24h'!K70,'03.08 Naguru-Nakawa-24h'!K70)</f>
        <v>0</v>
      </c>
      <c r="L70" s="49">
        <f>AVERAGE('01.08 Naguru-Nakawa-24h'!L70,'03.08 Naguru-Nakawa-24h'!L70)</f>
        <v>0</v>
      </c>
      <c r="M70" s="49">
        <f>AVERAGE('01.08 Naguru-Nakawa-24h'!M70,'03.08 Naguru-Nakawa-24h'!M70)</f>
        <v>26.5</v>
      </c>
      <c r="N70" s="49">
        <f>AVERAGE('01.08 Naguru-Nakawa-24h'!N70,'03.08 Naguru-Nakawa-24h'!N70)</f>
        <v>0</v>
      </c>
      <c r="O70" s="15">
        <f t="shared" si="0"/>
        <v>24.5</v>
      </c>
      <c r="P70" s="15">
        <f t="shared" si="1"/>
        <v>51</v>
      </c>
      <c r="R70" s="8"/>
      <c r="T70"/>
    </row>
    <row r="71" spans="2:20" ht="23.1" customHeight="1" x14ac:dyDescent="0.25">
      <c r="B71" s="23" t="s">
        <v>111</v>
      </c>
      <c r="C71" s="49">
        <f>AVERAGE('01.08 Naguru-Nakawa-24h'!C71,'03.08 Naguru-Nakawa-24h'!C71)</f>
        <v>10.5</v>
      </c>
      <c r="D71" s="49">
        <f>AVERAGE('01.08 Naguru-Nakawa-24h'!D71,'03.08 Naguru-Nakawa-24h'!D71)</f>
        <v>2.5</v>
      </c>
      <c r="E71" s="49">
        <f>AVERAGE('01.08 Naguru-Nakawa-24h'!E71,'03.08 Naguru-Nakawa-24h'!E71)</f>
        <v>2</v>
      </c>
      <c r="F71" s="49">
        <f>AVERAGE('01.08 Naguru-Nakawa-24h'!F71,'03.08 Naguru-Nakawa-24h'!F71)</f>
        <v>0</v>
      </c>
      <c r="G71" s="49">
        <f>AVERAGE('01.08 Naguru-Nakawa-24h'!G71,'03.08 Naguru-Nakawa-24h'!G71)</f>
        <v>0</v>
      </c>
      <c r="H71" s="49">
        <f>AVERAGE('01.08 Naguru-Nakawa-24h'!H71,'03.08 Naguru-Nakawa-24h'!H71)</f>
        <v>0</v>
      </c>
      <c r="I71" s="49">
        <f>AVERAGE('01.08 Naguru-Nakawa-24h'!I71,'03.08 Naguru-Nakawa-24h'!I71)</f>
        <v>2.5</v>
      </c>
      <c r="J71" s="49">
        <f>AVERAGE('01.08 Naguru-Nakawa-24h'!J71,'03.08 Naguru-Nakawa-24h'!J71)</f>
        <v>0</v>
      </c>
      <c r="K71" s="49">
        <f>AVERAGE('01.08 Naguru-Nakawa-24h'!K71,'03.08 Naguru-Nakawa-24h'!K71)</f>
        <v>0</v>
      </c>
      <c r="L71" s="49">
        <f>AVERAGE('01.08 Naguru-Nakawa-24h'!L71,'03.08 Naguru-Nakawa-24h'!L71)</f>
        <v>0.5</v>
      </c>
      <c r="M71" s="49">
        <f>AVERAGE('01.08 Naguru-Nakawa-24h'!M71,'03.08 Naguru-Nakawa-24h'!M71)</f>
        <v>27.5</v>
      </c>
      <c r="N71" s="49">
        <f>AVERAGE('01.08 Naguru-Nakawa-24h'!N71,'03.08 Naguru-Nakawa-24h'!N71)</f>
        <v>0</v>
      </c>
      <c r="O71" s="15">
        <f t="shared" si="0"/>
        <v>18</v>
      </c>
      <c r="P71" s="15">
        <f t="shared" si="1"/>
        <v>45.5</v>
      </c>
      <c r="R71" s="8"/>
      <c r="T71"/>
    </row>
    <row r="72" spans="2:20" ht="23.1" customHeight="1" x14ac:dyDescent="0.25">
      <c r="B72" s="23" t="s">
        <v>112</v>
      </c>
      <c r="C72" s="49">
        <f>AVERAGE('01.08 Naguru-Nakawa-24h'!C72,'03.08 Naguru-Nakawa-24h'!C72)</f>
        <v>19</v>
      </c>
      <c r="D72" s="49">
        <f>AVERAGE('01.08 Naguru-Nakawa-24h'!D72,'03.08 Naguru-Nakawa-24h'!D72)</f>
        <v>6.5</v>
      </c>
      <c r="E72" s="49">
        <f>AVERAGE('01.08 Naguru-Nakawa-24h'!E72,'03.08 Naguru-Nakawa-24h'!E72)</f>
        <v>2</v>
      </c>
      <c r="F72" s="49">
        <f>AVERAGE('01.08 Naguru-Nakawa-24h'!F72,'03.08 Naguru-Nakawa-24h'!F72)</f>
        <v>0</v>
      </c>
      <c r="G72" s="49">
        <f>AVERAGE('01.08 Naguru-Nakawa-24h'!G72,'03.08 Naguru-Nakawa-24h'!G72)</f>
        <v>0</v>
      </c>
      <c r="H72" s="49">
        <f>AVERAGE('01.08 Naguru-Nakawa-24h'!H72,'03.08 Naguru-Nakawa-24h'!H72)</f>
        <v>0</v>
      </c>
      <c r="I72" s="49">
        <f>AVERAGE('01.08 Naguru-Nakawa-24h'!I72,'03.08 Naguru-Nakawa-24h'!I72)</f>
        <v>1</v>
      </c>
      <c r="J72" s="49">
        <f>AVERAGE('01.08 Naguru-Nakawa-24h'!J72,'03.08 Naguru-Nakawa-24h'!J72)</f>
        <v>1</v>
      </c>
      <c r="K72" s="49">
        <f>AVERAGE('01.08 Naguru-Nakawa-24h'!K72,'03.08 Naguru-Nakawa-24h'!K72)</f>
        <v>1</v>
      </c>
      <c r="L72" s="49">
        <f>AVERAGE('01.08 Naguru-Nakawa-24h'!L72,'03.08 Naguru-Nakawa-24h'!L72)</f>
        <v>0</v>
      </c>
      <c r="M72" s="49">
        <f>AVERAGE('01.08 Naguru-Nakawa-24h'!M72,'03.08 Naguru-Nakawa-24h'!M72)</f>
        <v>23</v>
      </c>
      <c r="N72" s="49">
        <f>AVERAGE('01.08 Naguru-Nakawa-24h'!N72,'03.08 Naguru-Nakawa-24h'!N72)</f>
        <v>0</v>
      </c>
      <c r="O72" s="15">
        <f t="shared" si="0"/>
        <v>30.5</v>
      </c>
      <c r="P72" s="15">
        <f t="shared" si="1"/>
        <v>53.5</v>
      </c>
      <c r="R72" s="8"/>
      <c r="T72"/>
    </row>
    <row r="73" spans="2:20" ht="23.1" customHeight="1" x14ac:dyDescent="0.25">
      <c r="B73" s="23" t="s">
        <v>113</v>
      </c>
      <c r="C73" s="49">
        <f>AVERAGE('01.08 Naguru-Nakawa-24h'!C73,'03.08 Naguru-Nakawa-24h'!C73)</f>
        <v>7.5</v>
      </c>
      <c r="D73" s="49">
        <f>AVERAGE('01.08 Naguru-Nakawa-24h'!D73,'03.08 Naguru-Nakawa-24h'!D73)</f>
        <v>4.5</v>
      </c>
      <c r="E73" s="49">
        <f>AVERAGE('01.08 Naguru-Nakawa-24h'!E73,'03.08 Naguru-Nakawa-24h'!E73)</f>
        <v>1</v>
      </c>
      <c r="F73" s="49">
        <f>AVERAGE('01.08 Naguru-Nakawa-24h'!F73,'03.08 Naguru-Nakawa-24h'!F73)</f>
        <v>0</v>
      </c>
      <c r="G73" s="49">
        <f>AVERAGE('01.08 Naguru-Nakawa-24h'!G73,'03.08 Naguru-Nakawa-24h'!G73)</f>
        <v>0</v>
      </c>
      <c r="H73" s="49">
        <f>AVERAGE('01.08 Naguru-Nakawa-24h'!H73,'03.08 Naguru-Nakawa-24h'!H73)</f>
        <v>0</v>
      </c>
      <c r="I73" s="49">
        <f>AVERAGE('01.08 Naguru-Nakawa-24h'!I73,'03.08 Naguru-Nakawa-24h'!I73)</f>
        <v>1.5</v>
      </c>
      <c r="J73" s="49">
        <f>AVERAGE('01.08 Naguru-Nakawa-24h'!J73,'03.08 Naguru-Nakawa-24h'!J73)</f>
        <v>0.5</v>
      </c>
      <c r="K73" s="49">
        <f>AVERAGE('01.08 Naguru-Nakawa-24h'!K73,'03.08 Naguru-Nakawa-24h'!K73)</f>
        <v>0</v>
      </c>
      <c r="L73" s="49">
        <f>AVERAGE('01.08 Naguru-Nakawa-24h'!L73,'03.08 Naguru-Nakawa-24h'!L73)</f>
        <v>0</v>
      </c>
      <c r="M73" s="49">
        <f>AVERAGE('01.08 Naguru-Nakawa-24h'!M73,'03.08 Naguru-Nakawa-24h'!M73)</f>
        <v>21</v>
      </c>
      <c r="N73" s="49">
        <f>AVERAGE('01.08 Naguru-Nakawa-24h'!N73,'03.08 Naguru-Nakawa-24h'!N73)</f>
        <v>0</v>
      </c>
      <c r="O73" s="15">
        <f t="shared" si="0"/>
        <v>15</v>
      </c>
      <c r="P73" s="15">
        <f t="shared" si="1"/>
        <v>36</v>
      </c>
      <c r="R73" s="8"/>
      <c r="T73"/>
    </row>
    <row r="74" spans="2:20" ht="23.1" customHeight="1" x14ac:dyDescent="0.25">
      <c r="B74" s="23" t="s">
        <v>114</v>
      </c>
      <c r="C74" s="49">
        <f>AVERAGE('01.08 Naguru-Nakawa-24h'!C74,'03.08 Naguru-Nakawa-24h'!C74)</f>
        <v>19.5</v>
      </c>
      <c r="D74" s="49">
        <f>AVERAGE('01.08 Naguru-Nakawa-24h'!D74,'03.08 Naguru-Nakawa-24h'!D74)</f>
        <v>6</v>
      </c>
      <c r="E74" s="49">
        <f>AVERAGE('01.08 Naguru-Nakawa-24h'!E74,'03.08 Naguru-Nakawa-24h'!E74)</f>
        <v>1</v>
      </c>
      <c r="F74" s="49">
        <f>AVERAGE('01.08 Naguru-Nakawa-24h'!F74,'03.08 Naguru-Nakawa-24h'!F74)</f>
        <v>0.5</v>
      </c>
      <c r="G74" s="49">
        <f>AVERAGE('01.08 Naguru-Nakawa-24h'!G74,'03.08 Naguru-Nakawa-24h'!G74)</f>
        <v>0</v>
      </c>
      <c r="H74" s="49">
        <f>AVERAGE('01.08 Naguru-Nakawa-24h'!H74,'03.08 Naguru-Nakawa-24h'!H74)</f>
        <v>0</v>
      </c>
      <c r="I74" s="49">
        <f>AVERAGE('01.08 Naguru-Nakawa-24h'!I74,'03.08 Naguru-Nakawa-24h'!I74)</f>
        <v>0</v>
      </c>
      <c r="J74" s="49">
        <f>AVERAGE('01.08 Naguru-Nakawa-24h'!J74,'03.08 Naguru-Nakawa-24h'!J74)</f>
        <v>0.5</v>
      </c>
      <c r="K74" s="49">
        <f>AVERAGE('01.08 Naguru-Nakawa-24h'!K74,'03.08 Naguru-Nakawa-24h'!K74)</f>
        <v>0.5</v>
      </c>
      <c r="L74" s="49">
        <f>AVERAGE('01.08 Naguru-Nakawa-24h'!L74,'03.08 Naguru-Nakawa-24h'!L74)</f>
        <v>0</v>
      </c>
      <c r="M74" s="49">
        <f>AVERAGE('01.08 Naguru-Nakawa-24h'!M74,'03.08 Naguru-Nakawa-24h'!M74)</f>
        <v>20</v>
      </c>
      <c r="N74" s="49">
        <f>AVERAGE('01.08 Naguru-Nakawa-24h'!N74,'03.08 Naguru-Nakawa-24h'!N74)</f>
        <v>0</v>
      </c>
      <c r="O74" s="15">
        <f t="shared" ref="O74:O105" si="35">SUM(C74:L74,N74)</f>
        <v>28</v>
      </c>
      <c r="P74" s="15">
        <f t="shared" ref="P74:P105" si="36">SUM(C74:N74)</f>
        <v>48</v>
      </c>
      <c r="R74" s="8"/>
      <c r="T74"/>
    </row>
    <row r="75" spans="2:20" ht="23.1" customHeight="1" x14ac:dyDescent="0.25">
      <c r="B75" s="23" t="s">
        <v>115</v>
      </c>
      <c r="C75" s="49">
        <f>AVERAGE('01.08 Naguru-Nakawa-24h'!C75,'03.08 Naguru-Nakawa-24h'!C75)</f>
        <v>10</v>
      </c>
      <c r="D75" s="49">
        <f>AVERAGE('01.08 Naguru-Nakawa-24h'!D75,'03.08 Naguru-Nakawa-24h'!D75)</f>
        <v>1</v>
      </c>
      <c r="E75" s="49">
        <f>AVERAGE('01.08 Naguru-Nakawa-24h'!E75,'03.08 Naguru-Nakawa-24h'!E75)</f>
        <v>0.5</v>
      </c>
      <c r="F75" s="49">
        <f>AVERAGE('01.08 Naguru-Nakawa-24h'!F75,'03.08 Naguru-Nakawa-24h'!F75)</f>
        <v>0</v>
      </c>
      <c r="G75" s="49">
        <f>AVERAGE('01.08 Naguru-Nakawa-24h'!G75,'03.08 Naguru-Nakawa-24h'!G75)</f>
        <v>0</v>
      </c>
      <c r="H75" s="49">
        <f>AVERAGE('01.08 Naguru-Nakawa-24h'!H75,'03.08 Naguru-Nakawa-24h'!H75)</f>
        <v>0</v>
      </c>
      <c r="I75" s="49">
        <f>AVERAGE('01.08 Naguru-Nakawa-24h'!I75,'03.08 Naguru-Nakawa-24h'!I75)</f>
        <v>0.5</v>
      </c>
      <c r="J75" s="49">
        <f>AVERAGE('01.08 Naguru-Nakawa-24h'!J75,'03.08 Naguru-Nakawa-24h'!J75)</f>
        <v>0</v>
      </c>
      <c r="K75" s="49">
        <f>AVERAGE('01.08 Naguru-Nakawa-24h'!K75,'03.08 Naguru-Nakawa-24h'!K75)</f>
        <v>0.5</v>
      </c>
      <c r="L75" s="49">
        <f>AVERAGE('01.08 Naguru-Nakawa-24h'!L75,'03.08 Naguru-Nakawa-24h'!L75)</f>
        <v>0</v>
      </c>
      <c r="M75" s="49">
        <f>AVERAGE('01.08 Naguru-Nakawa-24h'!M75,'03.08 Naguru-Nakawa-24h'!M75)</f>
        <v>14</v>
      </c>
      <c r="N75" s="49">
        <f>AVERAGE('01.08 Naguru-Nakawa-24h'!N75,'03.08 Naguru-Nakawa-24h'!N75)</f>
        <v>0</v>
      </c>
      <c r="O75" s="15">
        <f t="shared" si="35"/>
        <v>12.5</v>
      </c>
      <c r="P75" s="15">
        <f t="shared" si="36"/>
        <v>26.5</v>
      </c>
      <c r="R75" s="8"/>
      <c r="T75"/>
    </row>
    <row r="76" spans="2:20" ht="23.1" customHeight="1" x14ac:dyDescent="0.25">
      <c r="B76" s="23" t="s">
        <v>116</v>
      </c>
      <c r="C76" s="49">
        <f>AVERAGE('01.08 Naguru-Nakawa-24h'!C76,'03.08 Naguru-Nakawa-24h'!C76)</f>
        <v>8</v>
      </c>
      <c r="D76" s="49">
        <f>AVERAGE('01.08 Naguru-Nakawa-24h'!D76,'03.08 Naguru-Nakawa-24h'!D76)</f>
        <v>1</v>
      </c>
      <c r="E76" s="49">
        <f>AVERAGE('01.08 Naguru-Nakawa-24h'!E76,'03.08 Naguru-Nakawa-24h'!E76)</f>
        <v>0.5</v>
      </c>
      <c r="F76" s="49">
        <f>AVERAGE('01.08 Naguru-Nakawa-24h'!F76,'03.08 Naguru-Nakawa-24h'!F76)</f>
        <v>0</v>
      </c>
      <c r="G76" s="49">
        <f>AVERAGE('01.08 Naguru-Nakawa-24h'!G76,'03.08 Naguru-Nakawa-24h'!G76)</f>
        <v>0</v>
      </c>
      <c r="H76" s="49">
        <f>AVERAGE('01.08 Naguru-Nakawa-24h'!H76,'03.08 Naguru-Nakawa-24h'!H76)</f>
        <v>0</v>
      </c>
      <c r="I76" s="49">
        <f>AVERAGE('01.08 Naguru-Nakawa-24h'!I76,'03.08 Naguru-Nakawa-24h'!I76)</f>
        <v>1</v>
      </c>
      <c r="J76" s="49">
        <f>AVERAGE('01.08 Naguru-Nakawa-24h'!J76,'03.08 Naguru-Nakawa-24h'!J76)</f>
        <v>0.5</v>
      </c>
      <c r="K76" s="49">
        <f>AVERAGE('01.08 Naguru-Nakawa-24h'!K76,'03.08 Naguru-Nakawa-24h'!K76)</f>
        <v>1.5</v>
      </c>
      <c r="L76" s="49">
        <f>AVERAGE('01.08 Naguru-Nakawa-24h'!L76,'03.08 Naguru-Nakawa-24h'!L76)</f>
        <v>0</v>
      </c>
      <c r="M76" s="49">
        <f>AVERAGE('01.08 Naguru-Nakawa-24h'!M76,'03.08 Naguru-Nakawa-24h'!M76)</f>
        <v>11</v>
      </c>
      <c r="N76" s="49">
        <f>AVERAGE('01.08 Naguru-Nakawa-24h'!N76,'03.08 Naguru-Nakawa-24h'!N76)</f>
        <v>0</v>
      </c>
      <c r="O76" s="15">
        <f t="shared" si="35"/>
        <v>12.5</v>
      </c>
      <c r="P76" s="15">
        <f t="shared" si="36"/>
        <v>23.5</v>
      </c>
      <c r="R76" s="8"/>
      <c r="T76"/>
    </row>
    <row r="77" spans="2:20" ht="23.1" customHeight="1" x14ac:dyDescent="0.25">
      <c r="B77" s="23" t="s">
        <v>117</v>
      </c>
      <c r="C77" s="49">
        <f>AVERAGE('01.08 Naguru-Nakawa-24h'!C77,'03.08 Naguru-Nakawa-24h'!C77)</f>
        <v>2.5</v>
      </c>
      <c r="D77" s="49">
        <f>AVERAGE('01.08 Naguru-Nakawa-24h'!D77,'03.08 Naguru-Nakawa-24h'!D77)</f>
        <v>2</v>
      </c>
      <c r="E77" s="49">
        <f>AVERAGE('01.08 Naguru-Nakawa-24h'!E77,'03.08 Naguru-Nakawa-24h'!E77)</f>
        <v>0.5</v>
      </c>
      <c r="F77" s="49">
        <f>AVERAGE('01.08 Naguru-Nakawa-24h'!F77,'03.08 Naguru-Nakawa-24h'!F77)</f>
        <v>0</v>
      </c>
      <c r="G77" s="49">
        <f>AVERAGE('01.08 Naguru-Nakawa-24h'!G77,'03.08 Naguru-Nakawa-24h'!G77)</f>
        <v>0</v>
      </c>
      <c r="H77" s="49">
        <f>AVERAGE('01.08 Naguru-Nakawa-24h'!H77,'03.08 Naguru-Nakawa-24h'!H77)</f>
        <v>0</v>
      </c>
      <c r="I77" s="49">
        <f>AVERAGE('01.08 Naguru-Nakawa-24h'!I77,'03.08 Naguru-Nakawa-24h'!I77)</f>
        <v>2.5</v>
      </c>
      <c r="J77" s="49">
        <f>AVERAGE('01.08 Naguru-Nakawa-24h'!J77,'03.08 Naguru-Nakawa-24h'!J77)</f>
        <v>0</v>
      </c>
      <c r="K77" s="49">
        <f>AVERAGE('01.08 Naguru-Nakawa-24h'!K77,'03.08 Naguru-Nakawa-24h'!K77)</f>
        <v>1</v>
      </c>
      <c r="L77" s="49">
        <f>AVERAGE('01.08 Naguru-Nakawa-24h'!L77,'03.08 Naguru-Nakawa-24h'!L77)</f>
        <v>0</v>
      </c>
      <c r="M77" s="49">
        <f>AVERAGE('01.08 Naguru-Nakawa-24h'!M77,'03.08 Naguru-Nakawa-24h'!M77)</f>
        <v>10.5</v>
      </c>
      <c r="N77" s="49">
        <f>AVERAGE('01.08 Naguru-Nakawa-24h'!N77,'03.08 Naguru-Nakawa-24h'!N77)</f>
        <v>0</v>
      </c>
      <c r="O77" s="15">
        <f t="shared" si="35"/>
        <v>8.5</v>
      </c>
      <c r="P77" s="15">
        <f t="shared" si="36"/>
        <v>19</v>
      </c>
      <c r="R77" s="8"/>
      <c r="T77"/>
    </row>
    <row r="78" spans="2:20" ht="23.1" customHeight="1" x14ac:dyDescent="0.25">
      <c r="B78" s="24" t="s">
        <v>118</v>
      </c>
      <c r="C78" s="49">
        <f>AVERAGE('01.08 Naguru-Nakawa-24h'!C78,'03.08 Naguru-Nakawa-24h'!C78)</f>
        <v>3.5</v>
      </c>
      <c r="D78" s="49">
        <f>AVERAGE('01.08 Naguru-Nakawa-24h'!D78,'03.08 Naguru-Nakawa-24h'!D78)</f>
        <v>0.5</v>
      </c>
      <c r="E78" s="49">
        <f>AVERAGE('01.08 Naguru-Nakawa-24h'!E78,'03.08 Naguru-Nakawa-24h'!E78)</f>
        <v>0.5</v>
      </c>
      <c r="F78" s="49">
        <f>AVERAGE('01.08 Naguru-Nakawa-24h'!F78,'03.08 Naguru-Nakawa-24h'!F78)</f>
        <v>0</v>
      </c>
      <c r="G78" s="49">
        <f>AVERAGE('01.08 Naguru-Nakawa-24h'!G78,'03.08 Naguru-Nakawa-24h'!G78)</f>
        <v>0</v>
      </c>
      <c r="H78" s="49">
        <f>AVERAGE('01.08 Naguru-Nakawa-24h'!H78,'03.08 Naguru-Nakawa-24h'!H78)</f>
        <v>0</v>
      </c>
      <c r="I78" s="49">
        <f>AVERAGE('01.08 Naguru-Nakawa-24h'!I78,'03.08 Naguru-Nakawa-24h'!I78)</f>
        <v>1.5</v>
      </c>
      <c r="J78" s="49">
        <f>AVERAGE('01.08 Naguru-Nakawa-24h'!J78,'03.08 Naguru-Nakawa-24h'!J78)</f>
        <v>0</v>
      </c>
      <c r="K78" s="49">
        <f>AVERAGE('01.08 Naguru-Nakawa-24h'!K78,'03.08 Naguru-Nakawa-24h'!K78)</f>
        <v>0.5</v>
      </c>
      <c r="L78" s="49">
        <f>AVERAGE('01.08 Naguru-Nakawa-24h'!L78,'03.08 Naguru-Nakawa-24h'!L78)</f>
        <v>0</v>
      </c>
      <c r="M78" s="49">
        <f>AVERAGE('01.08 Naguru-Nakawa-24h'!M78,'03.08 Naguru-Nakawa-24h'!M78)</f>
        <v>7.5</v>
      </c>
      <c r="N78" s="49">
        <f>AVERAGE('01.08 Naguru-Nakawa-24h'!N78,'03.08 Naguru-Nakawa-24h'!N78)</f>
        <v>0</v>
      </c>
      <c r="O78" s="15">
        <f t="shared" si="35"/>
        <v>6.5</v>
      </c>
      <c r="P78" s="15">
        <f t="shared" si="36"/>
        <v>14</v>
      </c>
      <c r="R78" s="8"/>
      <c r="T78"/>
    </row>
    <row r="79" spans="2:20" ht="23.1" customHeight="1" x14ac:dyDescent="0.25">
      <c r="B79" s="23" t="s">
        <v>119</v>
      </c>
      <c r="C79" s="49">
        <f>AVERAGE('01.08 Naguru-Nakawa-24h'!C79,'03.08 Naguru-Nakawa-24h'!C79)</f>
        <v>3</v>
      </c>
      <c r="D79" s="49">
        <f>AVERAGE('01.08 Naguru-Nakawa-24h'!D79,'03.08 Naguru-Nakawa-24h'!D79)</f>
        <v>1</v>
      </c>
      <c r="E79" s="49">
        <f>AVERAGE('01.08 Naguru-Nakawa-24h'!E79,'03.08 Naguru-Nakawa-24h'!E79)</f>
        <v>1</v>
      </c>
      <c r="F79" s="49">
        <f>AVERAGE('01.08 Naguru-Nakawa-24h'!F79,'03.08 Naguru-Nakawa-24h'!F79)</f>
        <v>1</v>
      </c>
      <c r="G79" s="49">
        <f>AVERAGE('01.08 Naguru-Nakawa-24h'!G79,'03.08 Naguru-Nakawa-24h'!G79)</f>
        <v>0</v>
      </c>
      <c r="H79" s="49">
        <f>AVERAGE('01.08 Naguru-Nakawa-24h'!H79,'03.08 Naguru-Nakawa-24h'!H79)</f>
        <v>0</v>
      </c>
      <c r="I79" s="49">
        <f>AVERAGE('01.08 Naguru-Nakawa-24h'!I79,'03.08 Naguru-Nakawa-24h'!I79)</f>
        <v>0</v>
      </c>
      <c r="J79" s="49">
        <f>AVERAGE('01.08 Naguru-Nakawa-24h'!J79,'03.08 Naguru-Nakawa-24h'!J79)</f>
        <v>0</v>
      </c>
      <c r="K79" s="49">
        <f>AVERAGE('01.08 Naguru-Nakawa-24h'!K79,'03.08 Naguru-Nakawa-24h'!K79)</f>
        <v>0</v>
      </c>
      <c r="L79" s="49">
        <f>AVERAGE('01.08 Naguru-Nakawa-24h'!L79,'03.08 Naguru-Nakawa-24h'!L79)</f>
        <v>0</v>
      </c>
      <c r="M79" s="49">
        <f>AVERAGE('01.08 Naguru-Nakawa-24h'!M79,'03.08 Naguru-Nakawa-24h'!M79)</f>
        <v>1.5</v>
      </c>
      <c r="N79" s="49">
        <f>AVERAGE('01.08 Naguru-Nakawa-24h'!N79,'03.08 Naguru-Nakawa-24h'!N79)</f>
        <v>0</v>
      </c>
      <c r="O79" s="15">
        <f t="shared" si="35"/>
        <v>6</v>
      </c>
      <c r="P79" s="15">
        <f t="shared" si="36"/>
        <v>7.5</v>
      </c>
      <c r="R79" s="8"/>
      <c r="T79"/>
    </row>
    <row r="80" spans="2:20" ht="23.1" customHeight="1" x14ac:dyDescent="0.25">
      <c r="B80" s="25" t="s">
        <v>120</v>
      </c>
      <c r="C80" s="49">
        <f>AVERAGE('01.08 Naguru-Nakawa-24h'!C80,'03.08 Naguru-Nakawa-24h'!C80)</f>
        <v>2.5</v>
      </c>
      <c r="D80" s="49">
        <f>AVERAGE('01.08 Naguru-Nakawa-24h'!D80,'03.08 Naguru-Nakawa-24h'!D80)</f>
        <v>0.5</v>
      </c>
      <c r="E80" s="49">
        <f>AVERAGE('01.08 Naguru-Nakawa-24h'!E80,'03.08 Naguru-Nakawa-24h'!E80)</f>
        <v>0</v>
      </c>
      <c r="F80" s="49">
        <f>AVERAGE('01.08 Naguru-Nakawa-24h'!F80,'03.08 Naguru-Nakawa-24h'!F80)</f>
        <v>0</v>
      </c>
      <c r="G80" s="49">
        <f>AVERAGE('01.08 Naguru-Nakawa-24h'!G80,'03.08 Naguru-Nakawa-24h'!G80)</f>
        <v>0</v>
      </c>
      <c r="H80" s="49">
        <f>AVERAGE('01.08 Naguru-Nakawa-24h'!H80,'03.08 Naguru-Nakawa-24h'!H80)</f>
        <v>0</v>
      </c>
      <c r="I80" s="49">
        <f>AVERAGE('01.08 Naguru-Nakawa-24h'!I80,'03.08 Naguru-Nakawa-24h'!I80)</f>
        <v>0</v>
      </c>
      <c r="J80" s="49">
        <f>AVERAGE('01.08 Naguru-Nakawa-24h'!J80,'03.08 Naguru-Nakawa-24h'!J80)</f>
        <v>0</v>
      </c>
      <c r="K80" s="49">
        <f>AVERAGE('01.08 Naguru-Nakawa-24h'!K80,'03.08 Naguru-Nakawa-24h'!K80)</f>
        <v>0</v>
      </c>
      <c r="L80" s="49">
        <f>AVERAGE('01.08 Naguru-Nakawa-24h'!L80,'03.08 Naguru-Nakawa-24h'!L80)</f>
        <v>0</v>
      </c>
      <c r="M80" s="49">
        <f>AVERAGE('01.08 Naguru-Nakawa-24h'!M80,'03.08 Naguru-Nakawa-24h'!M80)</f>
        <v>4.5</v>
      </c>
      <c r="N80" s="49">
        <f>AVERAGE('01.08 Naguru-Nakawa-24h'!N80,'03.08 Naguru-Nakawa-24h'!N80)</f>
        <v>0</v>
      </c>
      <c r="O80" s="15">
        <f t="shared" si="35"/>
        <v>3</v>
      </c>
      <c r="P80" s="15">
        <f t="shared" si="36"/>
        <v>7.5</v>
      </c>
      <c r="R80" s="8"/>
      <c r="T80"/>
    </row>
    <row r="81" spans="2:20" ht="23.1" customHeight="1" x14ac:dyDescent="0.25">
      <c r="B81" s="23" t="s">
        <v>121</v>
      </c>
      <c r="C81" s="49">
        <f>AVERAGE('01.08 Naguru-Nakawa-24h'!C81,'03.08 Naguru-Nakawa-24h'!C81)</f>
        <v>1.5</v>
      </c>
      <c r="D81" s="49">
        <f>AVERAGE('01.08 Naguru-Nakawa-24h'!D81,'03.08 Naguru-Nakawa-24h'!D81)</f>
        <v>0.5</v>
      </c>
      <c r="E81" s="49">
        <f>AVERAGE('01.08 Naguru-Nakawa-24h'!E81,'03.08 Naguru-Nakawa-24h'!E81)</f>
        <v>0</v>
      </c>
      <c r="F81" s="49">
        <f>AVERAGE('01.08 Naguru-Nakawa-24h'!F81,'03.08 Naguru-Nakawa-24h'!F81)</f>
        <v>0.5</v>
      </c>
      <c r="G81" s="49">
        <f>AVERAGE('01.08 Naguru-Nakawa-24h'!G81,'03.08 Naguru-Nakawa-24h'!G81)</f>
        <v>0</v>
      </c>
      <c r="H81" s="49">
        <f>AVERAGE('01.08 Naguru-Nakawa-24h'!H81,'03.08 Naguru-Nakawa-24h'!H81)</f>
        <v>0</v>
      </c>
      <c r="I81" s="49">
        <f>AVERAGE('01.08 Naguru-Nakawa-24h'!I81,'03.08 Naguru-Nakawa-24h'!I81)</f>
        <v>0</v>
      </c>
      <c r="J81" s="49">
        <f>AVERAGE('01.08 Naguru-Nakawa-24h'!J81,'03.08 Naguru-Nakawa-24h'!J81)</f>
        <v>0</v>
      </c>
      <c r="K81" s="49">
        <f>AVERAGE('01.08 Naguru-Nakawa-24h'!K81,'03.08 Naguru-Nakawa-24h'!K81)</f>
        <v>0</v>
      </c>
      <c r="L81" s="49">
        <f>AVERAGE('01.08 Naguru-Nakawa-24h'!L81,'03.08 Naguru-Nakawa-24h'!L81)</f>
        <v>0</v>
      </c>
      <c r="M81" s="49">
        <f>AVERAGE('01.08 Naguru-Nakawa-24h'!M81,'03.08 Naguru-Nakawa-24h'!M81)</f>
        <v>2</v>
      </c>
      <c r="N81" s="49">
        <f>AVERAGE('01.08 Naguru-Nakawa-24h'!N81,'03.08 Naguru-Nakawa-24h'!N81)</f>
        <v>0</v>
      </c>
      <c r="O81" s="15">
        <f t="shared" si="35"/>
        <v>2.5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AVERAGE('01.08 Naguru-Nakawa-24h'!C82,'03.08 Naguru-Nakawa-24h'!C82)</f>
        <v>4.5</v>
      </c>
      <c r="D82" s="49">
        <f>AVERAGE('01.08 Naguru-Nakawa-24h'!D82,'03.08 Naguru-Nakawa-24h'!D82)</f>
        <v>1</v>
      </c>
      <c r="E82" s="49">
        <f>AVERAGE('01.08 Naguru-Nakawa-24h'!E82,'03.08 Naguru-Nakawa-24h'!E82)</f>
        <v>0.5</v>
      </c>
      <c r="F82" s="49">
        <f>AVERAGE('01.08 Naguru-Nakawa-24h'!F82,'03.08 Naguru-Nakawa-24h'!F82)</f>
        <v>0.5</v>
      </c>
      <c r="G82" s="49">
        <f>AVERAGE('01.08 Naguru-Nakawa-24h'!G82,'03.08 Naguru-Nakawa-24h'!G82)</f>
        <v>0</v>
      </c>
      <c r="H82" s="49">
        <f>AVERAGE('01.08 Naguru-Nakawa-24h'!H82,'03.08 Naguru-Nakawa-24h'!H82)</f>
        <v>0</v>
      </c>
      <c r="I82" s="49">
        <f>AVERAGE('01.08 Naguru-Nakawa-24h'!I82,'03.08 Naguru-Nakawa-24h'!I82)</f>
        <v>0</v>
      </c>
      <c r="J82" s="49">
        <f>AVERAGE('01.08 Naguru-Nakawa-24h'!J82,'03.08 Naguru-Nakawa-24h'!J82)</f>
        <v>0</v>
      </c>
      <c r="K82" s="49">
        <f>AVERAGE('01.08 Naguru-Nakawa-24h'!K82,'03.08 Naguru-Nakawa-24h'!K82)</f>
        <v>0</v>
      </c>
      <c r="L82" s="49">
        <f>AVERAGE('01.08 Naguru-Nakawa-24h'!L82,'03.08 Naguru-Nakawa-24h'!L82)</f>
        <v>0</v>
      </c>
      <c r="M82" s="49">
        <f>AVERAGE('01.08 Naguru-Nakawa-24h'!M82,'03.08 Naguru-Nakawa-24h'!M82)</f>
        <v>1.5</v>
      </c>
      <c r="N82" s="49">
        <f>AVERAGE('01.08 Naguru-Nakawa-24h'!N82,'03.08 Naguru-Nakawa-24h'!N82)</f>
        <v>0</v>
      </c>
      <c r="O82" s="15">
        <f t="shared" si="35"/>
        <v>6.5</v>
      </c>
      <c r="P82" s="15">
        <f t="shared" si="36"/>
        <v>8</v>
      </c>
      <c r="R82" s="8"/>
      <c r="T82"/>
    </row>
    <row r="83" spans="2:20" ht="23.1" customHeight="1" x14ac:dyDescent="0.25">
      <c r="B83" s="23" t="s">
        <v>123</v>
      </c>
      <c r="C83" s="49">
        <f>AVERAGE('01.08 Naguru-Nakawa-24h'!C83,'03.08 Naguru-Nakawa-24h'!C83)</f>
        <v>2.5</v>
      </c>
      <c r="D83" s="49">
        <f>AVERAGE('01.08 Naguru-Nakawa-24h'!D83,'03.08 Naguru-Nakawa-24h'!D83)</f>
        <v>1</v>
      </c>
      <c r="E83" s="49">
        <f>AVERAGE('01.08 Naguru-Nakawa-24h'!E83,'03.08 Naguru-Nakawa-24h'!E83)</f>
        <v>0</v>
      </c>
      <c r="F83" s="49">
        <f>AVERAGE('01.08 Naguru-Nakawa-24h'!F83,'03.08 Naguru-Nakawa-24h'!F83)</f>
        <v>0</v>
      </c>
      <c r="G83" s="49">
        <f>AVERAGE('01.08 Naguru-Nakawa-24h'!G83,'03.08 Naguru-Nakawa-24h'!G83)</f>
        <v>0</v>
      </c>
      <c r="H83" s="49">
        <f>AVERAGE('01.08 Naguru-Nakawa-24h'!H83,'03.08 Naguru-Nakawa-24h'!H83)</f>
        <v>0</v>
      </c>
      <c r="I83" s="49">
        <f>AVERAGE('01.08 Naguru-Nakawa-24h'!I83,'03.08 Naguru-Nakawa-24h'!I83)</f>
        <v>0.5</v>
      </c>
      <c r="J83" s="49">
        <f>AVERAGE('01.08 Naguru-Nakawa-24h'!J83,'03.08 Naguru-Nakawa-24h'!J83)</f>
        <v>0</v>
      </c>
      <c r="K83" s="49">
        <f>AVERAGE('01.08 Naguru-Nakawa-24h'!K83,'03.08 Naguru-Nakawa-24h'!K83)</f>
        <v>0</v>
      </c>
      <c r="L83" s="49">
        <f>AVERAGE('01.08 Naguru-Nakawa-24h'!L83,'03.08 Naguru-Nakawa-24h'!L83)</f>
        <v>0</v>
      </c>
      <c r="M83" s="49">
        <f>AVERAGE('01.08 Naguru-Nakawa-24h'!M83,'03.08 Naguru-Nakawa-24h'!M83)</f>
        <v>3</v>
      </c>
      <c r="N83" s="49">
        <f>AVERAGE('01.08 Naguru-Nakawa-24h'!N83,'03.08 Naguru-Nakawa-24h'!N83)</f>
        <v>0</v>
      </c>
      <c r="O83" s="15">
        <f t="shared" si="35"/>
        <v>4</v>
      </c>
      <c r="P83" s="15">
        <f t="shared" si="36"/>
        <v>7</v>
      </c>
      <c r="R83" s="8"/>
      <c r="T83"/>
    </row>
    <row r="84" spans="2:20" ht="23.1" customHeight="1" x14ac:dyDescent="0.25">
      <c r="B84" s="25" t="s">
        <v>124</v>
      </c>
      <c r="C84" s="49">
        <f>AVERAGE('01.08 Naguru-Nakawa-24h'!C84,'03.08 Naguru-Nakawa-24h'!C84)</f>
        <v>0.5</v>
      </c>
      <c r="D84" s="49">
        <f>AVERAGE('01.08 Naguru-Nakawa-24h'!D84,'03.08 Naguru-Nakawa-24h'!D84)</f>
        <v>0</v>
      </c>
      <c r="E84" s="49">
        <f>AVERAGE('01.08 Naguru-Nakawa-24h'!E84,'03.08 Naguru-Nakawa-24h'!E84)</f>
        <v>0.5</v>
      </c>
      <c r="F84" s="49">
        <f>AVERAGE('01.08 Naguru-Nakawa-24h'!F84,'03.08 Naguru-Nakawa-24h'!F84)</f>
        <v>0</v>
      </c>
      <c r="G84" s="49">
        <f>AVERAGE('01.08 Naguru-Nakawa-24h'!G84,'03.08 Naguru-Nakawa-24h'!G84)</f>
        <v>0</v>
      </c>
      <c r="H84" s="49">
        <f>AVERAGE('01.08 Naguru-Nakawa-24h'!H84,'03.08 Naguru-Nakawa-24h'!H84)</f>
        <v>0</v>
      </c>
      <c r="I84" s="49">
        <f>AVERAGE('01.08 Naguru-Nakawa-24h'!I84,'03.08 Naguru-Nakawa-24h'!I84)</f>
        <v>0</v>
      </c>
      <c r="J84" s="49">
        <f>AVERAGE('01.08 Naguru-Nakawa-24h'!J84,'03.08 Naguru-Nakawa-24h'!J84)</f>
        <v>0</v>
      </c>
      <c r="K84" s="49">
        <f>AVERAGE('01.08 Naguru-Nakawa-24h'!K84,'03.08 Naguru-Nakawa-24h'!K84)</f>
        <v>0</v>
      </c>
      <c r="L84" s="49">
        <f>AVERAGE('01.08 Naguru-Nakawa-24h'!L84,'03.08 Naguru-Nakawa-24h'!L84)</f>
        <v>0</v>
      </c>
      <c r="M84" s="49">
        <f>AVERAGE('01.08 Naguru-Nakawa-24h'!M84,'03.08 Naguru-Nakawa-24h'!M84)</f>
        <v>2.5</v>
      </c>
      <c r="N84" s="49">
        <f>AVERAGE('01.08 Naguru-Nakawa-24h'!N84,'03.08 Naguru-Nakawa-24h'!N84)</f>
        <v>0</v>
      </c>
      <c r="O84" s="15">
        <f t="shared" si="35"/>
        <v>1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AVERAGE('01.08 Naguru-Nakawa-24h'!C85,'03.08 Naguru-Nakawa-24h'!C85)</f>
        <v>0.5</v>
      </c>
      <c r="D85" s="49">
        <f>AVERAGE('01.08 Naguru-Nakawa-24h'!D85,'03.08 Naguru-Nakawa-24h'!D85)</f>
        <v>1</v>
      </c>
      <c r="E85" s="49">
        <f>AVERAGE('01.08 Naguru-Nakawa-24h'!E85,'03.08 Naguru-Nakawa-24h'!E85)</f>
        <v>0</v>
      </c>
      <c r="F85" s="49">
        <f>AVERAGE('01.08 Naguru-Nakawa-24h'!F85,'03.08 Naguru-Nakawa-24h'!F85)</f>
        <v>0</v>
      </c>
      <c r="G85" s="49">
        <f>AVERAGE('01.08 Naguru-Nakawa-24h'!G85,'03.08 Naguru-Nakawa-24h'!G85)</f>
        <v>0</v>
      </c>
      <c r="H85" s="49">
        <f>AVERAGE('01.08 Naguru-Nakawa-24h'!H85,'03.08 Naguru-Nakawa-24h'!H85)</f>
        <v>0</v>
      </c>
      <c r="I85" s="49">
        <f>AVERAGE('01.08 Naguru-Nakawa-24h'!I85,'03.08 Naguru-Nakawa-24h'!I85)</f>
        <v>0.5</v>
      </c>
      <c r="J85" s="49">
        <f>AVERAGE('01.08 Naguru-Nakawa-24h'!J85,'03.08 Naguru-Nakawa-24h'!J85)</f>
        <v>0</v>
      </c>
      <c r="K85" s="49">
        <f>AVERAGE('01.08 Naguru-Nakawa-24h'!K85,'03.08 Naguru-Nakawa-24h'!K85)</f>
        <v>0</v>
      </c>
      <c r="L85" s="49">
        <f>AVERAGE('01.08 Naguru-Nakawa-24h'!L85,'03.08 Naguru-Nakawa-24h'!L85)</f>
        <v>0</v>
      </c>
      <c r="M85" s="49">
        <f>AVERAGE('01.08 Naguru-Nakawa-24h'!M85,'03.08 Naguru-Nakawa-24h'!M85)</f>
        <v>2</v>
      </c>
      <c r="N85" s="49">
        <f>AVERAGE('01.08 Naguru-Nakawa-24h'!N85,'03.08 Naguru-Nakawa-24h'!N85)</f>
        <v>0</v>
      </c>
      <c r="O85" s="15">
        <f t="shared" si="35"/>
        <v>2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AVERAGE('01.08 Naguru-Nakawa-24h'!C86,'03.08 Naguru-Nakawa-24h'!C86)</f>
        <v>3</v>
      </c>
      <c r="D86" s="49">
        <f>AVERAGE('01.08 Naguru-Nakawa-24h'!D86,'03.08 Naguru-Nakawa-24h'!D86)</f>
        <v>0</v>
      </c>
      <c r="E86" s="49">
        <f>AVERAGE('01.08 Naguru-Nakawa-24h'!E86,'03.08 Naguru-Nakawa-24h'!E86)</f>
        <v>0</v>
      </c>
      <c r="F86" s="49">
        <f>AVERAGE('01.08 Naguru-Nakawa-24h'!F86,'03.08 Naguru-Nakawa-24h'!F86)</f>
        <v>0.5</v>
      </c>
      <c r="G86" s="49">
        <f>AVERAGE('01.08 Naguru-Nakawa-24h'!G86,'03.08 Naguru-Nakawa-24h'!G86)</f>
        <v>0</v>
      </c>
      <c r="H86" s="49">
        <f>AVERAGE('01.08 Naguru-Nakawa-24h'!H86,'03.08 Naguru-Nakawa-24h'!H86)</f>
        <v>0</v>
      </c>
      <c r="I86" s="49">
        <f>AVERAGE('01.08 Naguru-Nakawa-24h'!I86,'03.08 Naguru-Nakawa-24h'!I86)</f>
        <v>0</v>
      </c>
      <c r="J86" s="49">
        <f>AVERAGE('01.08 Naguru-Nakawa-24h'!J86,'03.08 Naguru-Nakawa-24h'!J86)</f>
        <v>0</v>
      </c>
      <c r="K86" s="49">
        <f>AVERAGE('01.08 Naguru-Nakawa-24h'!K86,'03.08 Naguru-Nakawa-24h'!K86)</f>
        <v>0</v>
      </c>
      <c r="L86" s="49">
        <f>AVERAGE('01.08 Naguru-Nakawa-24h'!L86,'03.08 Naguru-Nakawa-24h'!L86)</f>
        <v>0</v>
      </c>
      <c r="M86" s="49">
        <f>AVERAGE('01.08 Naguru-Nakawa-24h'!M86,'03.08 Naguru-Nakawa-24h'!M86)</f>
        <v>1</v>
      </c>
      <c r="N86" s="49">
        <f>AVERAGE('01.08 Naguru-Nakawa-24h'!N86,'03.08 Naguru-Nakawa-24h'!N86)</f>
        <v>0</v>
      </c>
      <c r="O86" s="15">
        <f t="shared" si="35"/>
        <v>3.5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AVERAGE('01.08 Naguru-Nakawa-24h'!C87,'03.08 Naguru-Nakawa-24h'!C87)</f>
        <v>2</v>
      </c>
      <c r="D87" s="49">
        <f>AVERAGE('01.08 Naguru-Nakawa-24h'!D87,'03.08 Naguru-Nakawa-24h'!D87)</f>
        <v>0.5</v>
      </c>
      <c r="E87" s="49">
        <f>AVERAGE('01.08 Naguru-Nakawa-24h'!E87,'03.08 Naguru-Nakawa-24h'!E87)</f>
        <v>0</v>
      </c>
      <c r="F87" s="49">
        <f>AVERAGE('01.08 Naguru-Nakawa-24h'!F87,'03.08 Naguru-Nakawa-24h'!F87)</f>
        <v>0</v>
      </c>
      <c r="G87" s="49">
        <f>AVERAGE('01.08 Naguru-Nakawa-24h'!G87,'03.08 Naguru-Nakawa-24h'!G87)</f>
        <v>0</v>
      </c>
      <c r="H87" s="49">
        <f>AVERAGE('01.08 Naguru-Nakawa-24h'!H87,'03.08 Naguru-Nakawa-24h'!H87)</f>
        <v>0</v>
      </c>
      <c r="I87" s="49">
        <f>AVERAGE('01.08 Naguru-Nakawa-24h'!I87,'03.08 Naguru-Nakawa-24h'!I87)</f>
        <v>0</v>
      </c>
      <c r="J87" s="49">
        <f>AVERAGE('01.08 Naguru-Nakawa-24h'!J87,'03.08 Naguru-Nakawa-24h'!J87)</f>
        <v>0</v>
      </c>
      <c r="K87" s="49">
        <f>AVERAGE('01.08 Naguru-Nakawa-24h'!K87,'03.08 Naguru-Nakawa-24h'!K87)</f>
        <v>0</v>
      </c>
      <c r="L87" s="49">
        <f>AVERAGE('01.08 Naguru-Nakawa-24h'!L87,'03.08 Naguru-Nakawa-24h'!L87)</f>
        <v>0</v>
      </c>
      <c r="M87" s="49">
        <f>AVERAGE('01.08 Naguru-Nakawa-24h'!M87,'03.08 Naguru-Nakawa-24h'!M87)</f>
        <v>1.5</v>
      </c>
      <c r="N87" s="49">
        <f>AVERAGE('01.08 Naguru-Nakawa-24h'!N87,'03.08 Naguru-Nakawa-24h'!N87)</f>
        <v>0</v>
      </c>
      <c r="O87" s="15">
        <f t="shared" si="35"/>
        <v>2.5</v>
      </c>
      <c r="P87" s="15">
        <f t="shared" si="36"/>
        <v>4</v>
      </c>
      <c r="R87" s="8"/>
      <c r="T87"/>
    </row>
    <row r="88" spans="2:20" ht="23.1" customHeight="1" x14ac:dyDescent="0.25">
      <c r="B88" s="25" t="s">
        <v>128</v>
      </c>
      <c r="C88" s="49">
        <f>AVERAGE('01.08 Naguru-Nakawa-24h'!C88,'03.08 Naguru-Nakawa-24h'!C88)</f>
        <v>3</v>
      </c>
      <c r="D88" s="49">
        <f>AVERAGE('01.08 Naguru-Nakawa-24h'!D88,'03.08 Naguru-Nakawa-24h'!D88)</f>
        <v>0</v>
      </c>
      <c r="E88" s="49">
        <f>AVERAGE('01.08 Naguru-Nakawa-24h'!E88,'03.08 Naguru-Nakawa-24h'!E88)</f>
        <v>0</v>
      </c>
      <c r="F88" s="49">
        <f>AVERAGE('01.08 Naguru-Nakawa-24h'!F88,'03.08 Naguru-Nakawa-24h'!F88)</f>
        <v>0</v>
      </c>
      <c r="G88" s="49">
        <f>AVERAGE('01.08 Naguru-Nakawa-24h'!G88,'03.08 Naguru-Nakawa-24h'!G88)</f>
        <v>0</v>
      </c>
      <c r="H88" s="49">
        <f>AVERAGE('01.08 Naguru-Nakawa-24h'!H88,'03.08 Naguru-Nakawa-24h'!H88)</f>
        <v>0</v>
      </c>
      <c r="I88" s="49">
        <f>AVERAGE('01.08 Naguru-Nakawa-24h'!I88,'03.08 Naguru-Nakawa-24h'!I88)</f>
        <v>0</v>
      </c>
      <c r="J88" s="49">
        <f>AVERAGE('01.08 Naguru-Nakawa-24h'!J88,'03.08 Naguru-Nakawa-24h'!J88)</f>
        <v>0</v>
      </c>
      <c r="K88" s="49">
        <f>AVERAGE('01.08 Naguru-Nakawa-24h'!K88,'03.08 Naguru-Nakawa-24h'!K88)</f>
        <v>0</v>
      </c>
      <c r="L88" s="49">
        <f>AVERAGE('01.08 Naguru-Nakawa-24h'!L88,'03.08 Naguru-Nakawa-24h'!L88)</f>
        <v>0</v>
      </c>
      <c r="M88" s="49">
        <f>AVERAGE('01.08 Naguru-Nakawa-24h'!M88,'03.08 Naguru-Nakawa-24h'!M88)</f>
        <v>1.5</v>
      </c>
      <c r="N88" s="49">
        <f>AVERAGE('01.08 Naguru-Nakawa-24h'!N88,'03.08 Naguru-Nakawa-24h'!N88)</f>
        <v>0</v>
      </c>
      <c r="O88" s="15">
        <f t="shared" si="35"/>
        <v>3</v>
      </c>
      <c r="P88" s="15">
        <f t="shared" si="36"/>
        <v>4.5</v>
      </c>
      <c r="R88" s="8"/>
      <c r="T88"/>
    </row>
    <row r="89" spans="2:20" ht="23.1" customHeight="1" x14ac:dyDescent="0.25">
      <c r="B89" s="23" t="s">
        <v>129</v>
      </c>
      <c r="C89" s="49">
        <f>AVERAGE('01.08 Naguru-Nakawa-24h'!C89,'03.08 Naguru-Nakawa-24h'!C89)</f>
        <v>3</v>
      </c>
      <c r="D89" s="49">
        <f>AVERAGE('01.08 Naguru-Nakawa-24h'!D89,'03.08 Naguru-Nakawa-24h'!D89)</f>
        <v>0</v>
      </c>
      <c r="E89" s="49">
        <f>AVERAGE('01.08 Naguru-Nakawa-24h'!E89,'03.08 Naguru-Nakawa-24h'!E89)</f>
        <v>0.5</v>
      </c>
      <c r="F89" s="49">
        <f>AVERAGE('01.08 Naguru-Nakawa-24h'!F89,'03.08 Naguru-Nakawa-24h'!F89)</f>
        <v>0.5</v>
      </c>
      <c r="G89" s="49">
        <f>AVERAGE('01.08 Naguru-Nakawa-24h'!G89,'03.08 Naguru-Nakawa-24h'!G89)</f>
        <v>0</v>
      </c>
      <c r="H89" s="49">
        <f>AVERAGE('01.08 Naguru-Nakawa-24h'!H89,'03.08 Naguru-Nakawa-24h'!H89)</f>
        <v>0</v>
      </c>
      <c r="I89" s="49">
        <f>AVERAGE('01.08 Naguru-Nakawa-24h'!I89,'03.08 Naguru-Nakawa-24h'!I89)</f>
        <v>0.5</v>
      </c>
      <c r="J89" s="49">
        <f>AVERAGE('01.08 Naguru-Nakawa-24h'!J89,'03.08 Naguru-Nakawa-24h'!J89)</f>
        <v>0</v>
      </c>
      <c r="K89" s="49">
        <f>AVERAGE('01.08 Naguru-Nakawa-24h'!K89,'03.08 Naguru-Nakawa-24h'!K89)</f>
        <v>0</v>
      </c>
      <c r="L89" s="49">
        <f>AVERAGE('01.08 Naguru-Nakawa-24h'!L89,'03.08 Naguru-Nakawa-24h'!L89)</f>
        <v>0</v>
      </c>
      <c r="M89" s="49">
        <f>AVERAGE('01.08 Naguru-Nakawa-24h'!M89,'03.08 Naguru-Nakawa-24h'!M89)</f>
        <v>1</v>
      </c>
      <c r="N89" s="49">
        <f>AVERAGE('01.08 Naguru-Nakawa-24h'!N89,'03.08 Naguru-Nakawa-24h'!N89)</f>
        <v>0</v>
      </c>
      <c r="O89" s="15">
        <f t="shared" si="35"/>
        <v>4.5</v>
      </c>
      <c r="P89" s="15">
        <f t="shared" si="36"/>
        <v>5.5</v>
      </c>
      <c r="R89" s="8"/>
      <c r="T89"/>
    </row>
    <row r="90" spans="2:20" ht="23.1" customHeight="1" x14ac:dyDescent="0.25">
      <c r="B90" s="24" t="s">
        <v>130</v>
      </c>
      <c r="C90" s="49">
        <f>AVERAGE('01.08 Naguru-Nakawa-24h'!C90,'03.08 Naguru-Nakawa-24h'!C90)</f>
        <v>0</v>
      </c>
      <c r="D90" s="49">
        <f>AVERAGE('01.08 Naguru-Nakawa-24h'!D90,'03.08 Naguru-Nakawa-24h'!D90)</f>
        <v>0</v>
      </c>
      <c r="E90" s="49">
        <f>AVERAGE('01.08 Naguru-Nakawa-24h'!E90,'03.08 Naguru-Nakawa-24h'!E90)</f>
        <v>0</v>
      </c>
      <c r="F90" s="49">
        <f>AVERAGE('01.08 Naguru-Nakawa-24h'!F90,'03.08 Naguru-Nakawa-24h'!F90)</f>
        <v>0</v>
      </c>
      <c r="G90" s="49">
        <f>AVERAGE('01.08 Naguru-Nakawa-24h'!G90,'03.08 Naguru-Nakawa-24h'!G90)</f>
        <v>0</v>
      </c>
      <c r="H90" s="49">
        <f>AVERAGE('01.08 Naguru-Nakawa-24h'!H90,'03.08 Naguru-Nakawa-24h'!H90)</f>
        <v>0</v>
      </c>
      <c r="I90" s="49">
        <f>AVERAGE('01.08 Naguru-Nakawa-24h'!I90,'03.08 Naguru-Nakawa-24h'!I90)</f>
        <v>0</v>
      </c>
      <c r="J90" s="49">
        <f>AVERAGE('01.08 Naguru-Nakawa-24h'!J90,'03.08 Naguru-Nakawa-24h'!J90)</f>
        <v>0</v>
      </c>
      <c r="K90" s="49">
        <f>AVERAGE('01.08 Naguru-Nakawa-24h'!K90,'03.08 Naguru-Nakawa-24h'!K90)</f>
        <v>0</v>
      </c>
      <c r="L90" s="49">
        <f>AVERAGE('01.08 Naguru-Nakawa-24h'!L90,'03.08 Naguru-Nakawa-24h'!L90)</f>
        <v>0</v>
      </c>
      <c r="M90" s="49">
        <f>AVERAGE('01.08 Naguru-Nakawa-24h'!M90,'03.08 Naguru-Nakawa-24h'!M90)</f>
        <v>1.5</v>
      </c>
      <c r="N90" s="49">
        <f>AVERAGE('01.08 Naguru-Nakawa-24h'!N90,'03.08 Naguru-Nakawa-24h'!N90)</f>
        <v>0</v>
      </c>
      <c r="O90" s="15">
        <f t="shared" si="35"/>
        <v>0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AVERAGE('01.08 Naguru-Nakawa-24h'!C91,'03.08 Naguru-Nakawa-24h'!C91)</f>
        <v>0</v>
      </c>
      <c r="D91" s="49">
        <f>AVERAGE('01.08 Naguru-Nakawa-24h'!D91,'03.08 Naguru-Nakawa-24h'!D91)</f>
        <v>0</v>
      </c>
      <c r="E91" s="49">
        <f>AVERAGE('01.08 Naguru-Nakawa-24h'!E91,'03.08 Naguru-Nakawa-24h'!E91)</f>
        <v>0</v>
      </c>
      <c r="F91" s="49">
        <f>AVERAGE('01.08 Naguru-Nakawa-24h'!F91,'03.08 Naguru-Nakawa-24h'!F91)</f>
        <v>0</v>
      </c>
      <c r="G91" s="49">
        <f>AVERAGE('01.08 Naguru-Nakawa-24h'!G91,'03.08 Naguru-Nakawa-24h'!G91)</f>
        <v>0</v>
      </c>
      <c r="H91" s="49">
        <f>AVERAGE('01.08 Naguru-Nakawa-24h'!H91,'03.08 Naguru-Nakawa-24h'!H91)</f>
        <v>0</v>
      </c>
      <c r="I91" s="49">
        <f>AVERAGE('01.08 Naguru-Nakawa-24h'!I91,'03.08 Naguru-Nakawa-24h'!I91)</f>
        <v>0</v>
      </c>
      <c r="J91" s="49">
        <f>AVERAGE('01.08 Naguru-Nakawa-24h'!J91,'03.08 Naguru-Nakawa-24h'!J91)</f>
        <v>0</v>
      </c>
      <c r="K91" s="49">
        <f>AVERAGE('01.08 Naguru-Nakawa-24h'!K91,'03.08 Naguru-Nakawa-24h'!K91)</f>
        <v>0</v>
      </c>
      <c r="L91" s="49">
        <f>AVERAGE('01.08 Naguru-Nakawa-24h'!L91,'03.08 Naguru-Nakawa-24h'!L91)</f>
        <v>0</v>
      </c>
      <c r="M91" s="49">
        <f>AVERAGE('01.08 Naguru-Nakawa-24h'!M91,'03.08 Naguru-Nakawa-24h'!M91)</f>
        <v>2</v>
      </c>
      <c r="N91" s="49">
        <f>AVERAGE('01.08 Naguru-Nakawa-24h'!N91,'03.08 Naguru-Nakawa-24h'!N91)</f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AVERAGE('01.08 Naguru-Nakawa-24h'!C92,'03.08 Naguru-Nakawa-24h'!C92)</f>
        <v>2</v>
      </c>
      <c r="D92" s="49">
        <f>AVERAGE('01.08 Naguru-Nakawa-24h'!D92,'03.08 Naguru-Nakawa-24h'!D92)</f>
        <v>0</v>
      </c>
      <c r="E92" s="49">
        <f>AVERAGE('01.08 Naguru-Nakawa-24h'!E92,'03.08 Naguru-Nakawa-24h'!E92)</f>
        <v>0</v>
      </c>
      <c r="F92" s="49">
        <f>AVERAGE('01.08 Naguru-Nakawa-24h'!F92,'03.08 Naguru-Nakawa-24h'!F92)</f>
        <v>0</v>
      </c>
      <c r="G92" s="49">
        <f>AVERAGE('01.08 Naguru-Nakawa-24h'!G92,'03.08 Naguru-Nakawa-24h'!G92)</f>
        <v>0</v>
      </c>
      <c r="H92" s="49">
        <f>AVERAGE('01.08 Naguru-Nakawa-24h'!H92,'03.08 Naguru-Nakawa-24h'!H92)</f>
        <v>0</v>
      </c>
      <c r="I92" s="49">
        <f>AVERAGE('01.08 Naguru-Nakawa-24h'!I92,'03.08 Naguru-Nakawa-24h'!I92)</f>
        <v>0</v>
      </c>
      <c r="J92" s="49">
        <f>AVERAGE('01.08 Naguru-Nakawa-24h'!J92,'03.08 Naguru-Nakawa-24h'!J92)</f>
        <v>0</v>
      </c>
      <c r="K92" s="49">
        <f>AVERAGE('01.08 Naguru-Nakawa-24h'!K92,'03.08 Naguru-Nakawa-24h'!K92)</f>
        <v>0</v>
      </c>
      <c r="L92" s="49">
        <f>AVERAGE('01.08 Naguru-Nakawa-24h'!L92,'03.08 Naguru-Nakawa-24h'!L92)</f>
        <v>0</v>
      </c>
      <c r="M92" s="49">
        <f>AVERAGE('01.08 Naguru-Nakawa-24h'!M92,'03.08 Naguru-Nakawa-24h'!M92)</f>
        <v>1.5</v>
      </c>
      <c r="N92" s="49">
        <f>AVERAGE('01.08 Naguru-Nakawa-24h'!N92,'03.08 Naguru-Nakawa-24h'!N92)</f>
        <v>0</v>
      </c>
      <c r="O92" s="15">
        <f t="shared" si="35"/>
        <v>2</v>
      </c>
      <c r="P92" s="15">
        <f t="shared" si="36"/>
        <v>3.5</v>
      </c>
      <c r="R92" s="8"/>
      <c r="T92"/>
    </row>
    <row r="93" spans="2:20" ht="23.1" customHeight="1" x14ac:dyDescent="0.25">
      <c r="B93" s="23" t="s">
        <v>133</v>
      </c>
      <c r="C93" s="49">
        <f>AVERAGE('01.08 Naguru-Nakawa-24h'!C93,'03.08 Naguru-Nakawa-24h'!C93)</f>
        <v>1</v>
      </c>
      <c r="D93" s="49">
        <f>AVERAGE('01.08 Naguru-Nakawa-24h'!D93,'03.08 Naguru-Nakawa-24h'!D93)</f>
        <v>0</v>
      </c>
      <c r="E93" s="49">
        <f>AVERAGE('01.08 Naguru-Nakawa-24h'!E93,'03.08 Naguru-Nakawa-24h'!E93)</f>
        <v>0</v>
      </c>
      <c r="F93" s="49">
        <f>AVERAGE('01.08 Naguru-Nakawa-24h'!F93,'03.08 Naguru-Nakawa-24h'!F93)</f>
        <v>0.5</v>
      </c>
      <c r="G93" s="49">
        <f>AVERAGE('01.08 Naguru-Nakawa-24h'!G93,'03.08 Naguru-Nakawa-24h'!G93)</f>
        <v>0</v>
      </c>
      <c r="H93" s="49">
        <f>AVERAGE('01.08 Naguru-Nakawa-24h'!H93,'03.08 Naguru-Nakawa-24h'!H93)</f>
        <v>0</v>
      </c>
      <c r="I93" s="49">
        <f>AVERAGE('01.08 Naguru-Nakawa-24h'!I93,'03.08 Naguru-Nakawa-24h'!I93)</f>
        <v>0</v>
      </c>
      <c r="J93" s="49">
        <f>AVERAGE('01.08 Naguru-Nakawa-24h'!J93,'03.08 Naguru-Nakawa-24h'!J93)</f>
        <v>0</v>
      </c>
      <c r="K93" s="49">
        <f>AVERAGE('01.08 Naguru-Nakawa-24h'!K93,'03.08 Naguru-Nakawa-24h'!K93)</f>
        <v>0</v>
      </c>
      <c r="L93" s="49">
        <f>AVERAGE('01.08 Naguru-Nakawa-24h'!L93,'03.08 Naguru-Nakawa-24h'!L93)</f>
        <v>0</v>
      </c>
      <c r="M93" s="49">
        <f>AVERAGE('01.08 Naguru-Nakawa-24h'!M93,'03.08 Naguru-Nakawa-24h'!M93)</f>
        <v>2</v>
      </c>
      <c r="N93" s="49">
        <f>AVERAGE('01.08 Naguru-Nakawa-24h'!N93,'03.08 Naguru-Nakawa-24h'!N93)</f>
        <v>0</v>
      </c>
      <c r="O93" s="15">
        <f t="shared" si="35"/>
        <v>1.5</v>
      </c>
      <c r="P93" s="15">
        <f t="shared" si="36"/>
        <v>3.5</v>
      </c>
      <c r="R93" s="8"/>
      <c r="T93"/>
    </row>
    <row r="94" spans="2:20" ht="23.1" customHeight="1" x14ac:dyDescent="0.25">
      <c r="B94" s="24" t="s">
        <v>134</v>
      </c>
      <c r="C94" s="49">
        <f>AVERAGE('01.08 Naguru-Nakawa-24h'!C94,'03.08 Naguru-Nakawa-24h'!C94)</f>
        <v>1</v>
      </c>
      <c r="D94" s="49">
        <f>AVERAGE('01.08 Naguru-Nakawa-24h'!D94,'03.08 Naguru-Nakawa-24h'!D94)</f>
        <v>0</v>
      </c>
      <c r="E94" s="49">
        <f>AVERAGE('01.08 Naguru-Nakawa-24h'!E94,'03.08 Naguru-Nakawa-24h'!E94)</f>
        <v>0</v>
      </c>
      <c r="F94" s="49">
        <f>AVERAGE('01.08 Naguru-Nakawa-24h'!F94,'03.08 Naguru-Nakawa-24h'!F94)</f>
        <v>0.5</v>
      </c>
      <c r="G94" s="49">
        <f>AVERAGE('01.08 Naguru-Nakawa-24h'!G94,'03.08 Naguru-Nakawa-24h'!G94)</f>
        <v>0</v>
      </c>
      <c r="H94" s="49">
        <f>AVERAGE('01.08 Naguru-Nakawa-24h'!H94,'03.08 Naguru-Nakawa-24h'!H94)</f>
        <v>0</v>
      </c>
      <c r="I94" s="49">
        <f>AVERAGE('01.08 Naguru-Nakawa-24h'!I94,'03.08 Naguru-Nakawa-24h'!I94)</f>
        <v>0</v>
      </c>
      <c r="J94" s="49">
        <f>AVERAGE('01.08 Naguru-Nakawa-24h'!J94,'03.08 Naguru-Nakawa-24h'!J94)</f>
        <v>0</v>
      </c>
      <c r="K94" s="49">
        <f>AVERAGE('01.08 Naguru-Nakawa-24h'!K94,'03.08 Naguru-Nakawa-24h'!K94)</f>
        <v>0</v>
      </c>
      <c r="L94" s="49">
        <f>AVERAGE('01.08 Naguru-Nakawa-24h'!L94,'03.08 Naguru-Nakawa-24h'!L94)</f>
        <v>0</v>
      </c>
      <c r="M94" s="49">
        <f>AVERAGE('01.08 Naguru-Nakawa-24h'!M94,'03.08 Naguru-Nakawa-24h'!M94)</f>
        <v>1</v>
      </c>
      <c r="N94" s="49">
        <f>AVERAGE('01.08 Naguru-Nakawa-24h'!N94,'03.08 Naguru-Nakawa-24h'!N94)</f>
        <v>0</v>
      </c>
      <c r="O94" s="15">
        <f t="shared" si="35"/>
        <v>1.5</v>
      </c>
      <c r="P94" s="15">
        <f t="shared" si="36"/>
        <v>2.5</v>
      </c>
      <c r="R94" s="8"/>
      <c r="T94"/>
    </row>
    <row r="95" spans="2:20" ht="23.1" customHeight="1" x14ac:dyDescent="0.25">
      <c r="B95" s="23" t="s">
        <v>135</v>
      </c>
      <c r="C95" s="49">
        <f>AVERAGE('01.08 Naguru-Nakawa-24h'!C95,'03.08 Naguru-Nakawa-24h'!C95)</f>
        <v>1</v>
      </c>
      <c r="D95" s="49">
        <f>AVERAGE('01.08 Naguru-Nakawa-24h'!D95,'03.08 Naguru-Nakawa-24h'!D95)</f>
        <v>1</v>
      </c>
      <c r="E95" s="49">
        <f>AVERAGE('01.08 Naguru-Nakawa-24h'!E95,'03.08 Naguru-Nakawa-24h'!E95)</f>
        <v>0</v>
      </c>
      <c r="F95" s="49">
        <f>AVERAGE('01.08 Naguru-Nakawa-24h'!F95,'03.08 Naguru-Nakawa-24h'!F95)</f>
        <v>0</v>
      </c>
      <c r="G95" s="49">
        <f>AVERAGE('01.08 Naguru-Nakawa-24h'!G95,'03.08 Naguru-Nakawa-24h'!G95)</f>
        <v>0</v>
      </c>
      <c r="H95" s="49">
        <f>AVERAGE('01.08 Naguru-Nakawa-24h'!H95,'03.08 Naguru-Nakawa-24h'!H95)</f>
        <v>0</v>
      </c>
      <c r="I95" s="49">
        <f>AVERAGE('01.08 Naguru-Nakawa-24h'!I95,'03.08 Naguru-Nakawa-24h'!I95)</f>
        <v>0</v>
      </c>
      <c r="J95" s="49">
        <f>AVERAGE('01.08 Naguru-Nakawa-24h'!J95,'03.08 Naguru-Nakawa-24h'!J95)</f>
        <v>0</v>
      </c>
      <c r="K95" s="49">
        <f>AVERAGE('01.08 Naguru-Nakawa-24h'!K95,'03.08 Naguru-Nakawa-24h'!K95)</f>
        <v>0</v>
      </c>
      <c r="L95" s="49">
        <f>AVERAGE('01.08 Naguru-Nakawa-24h'!L95,'03.08 Naguru-Nakawa-24h'!L95)</f>
        <v>0</v>
      </c>
      <c r="M95" s="49">
        <f>AVERAGE('01.08 Naguru-Nakawa-24h'!M95,'03.08 Naguru-Nakawa-24h'!M95)</f>
        <v>1.5</v>
      </c>
      <c r="N95" s="49">
        <f>AVERAGE('01.08 Naguru-Nakawa-24h'!N95,'03.08 Naguru-Nakawa-24h'!N95)</f>
        <v>0</v>
      </c>
      <c r="O95" s="15">
        <f t="shared" si="35"/>
        <v>2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AVERAGE('01.08 Naguru-Nakawa-24h'!C96,'03.08 Naguru-Nakawa-24h'!C96)</f>
        <v>1</v>
      </c>
      <c r="D96" s="49">
        <f>AVERAGE('01.08 Naguru-Nakawa-24h'!D96,'03.08 Naguru-Nakawa-24h'!D96)</f>
        <v>1</v>
      </c>
      <c r="E96" s="49">
        <f>AVERAGE('01.08 Naguru-Nakawa-24h'!E96,'03.08 Naguru-Nakawa-24h'!E96)</f>
        <v>0</v>
      </c>
      <c r="F96" s="49">
        <f>AVERAGE('01.08 Naguru-Nakawa-24h'!F96,'03.08 Naguru-Nakawa-24h'!F96)</f>
        <v>0.5</v>
      </c>
      <c r="G96" s="49">
        <f>AVERAGE('01.08 Naguru-Nakawa-24h'!G96,'03.08 Naguru-Nakawa-24h'!G96)</f>
        <v>0</v>
      </c>
      <c r="H96" s="49">
        <f>AVERAGE('01.08 Naguru-Nakawa-24h'!H96,'03.08 Naguru-Nakawa-24h'!H96)</f>
        <v>0</v>
      </c>
      <c r="I96" s="49">
        <f>AVERAGE('01.08 Naguru-Nakawa-24h'!I96,'03.08 Naguru-Nakawa-24h'!I96)</f>
        <v>0</v>
      </c>
      <c r="J96" s="49">
        <f>AVERAGE('01.08 Naguru-Nakawa-24h'!J96,'03.08 Naguru-Nakawa-24h'!J96)</f>
        <v>0</v>
      </c>
      <c r="K96" s="49">
        <f>AVERAGE('01.08 Naguru-Nakawa-24h'!K96,'03.08 Naguru-Nakawa-24h'!K96)</f>
        <v>0</v>
      </c>
      <c r="L96" s="49">
        <f>AVERAGE('01.08 Naguru-Nakawa-24h'!L96,'03.08 Naguru-Nakawa-24h'!L96)</f>
        <v>0</v>
      </c>
      <c r="M96" s="49">
        <f>AVERAGE('01.08 Naguru-Nakawa-24h'!M96,'03.08 Naguru-Nakawa-24h'!M96)</f>
        <v>3.5</v>
      </c>
      <c r="N96" s="49">
        <f>AVERAGE('01.08 Naguru-Nakawa-24h'!N96,'03.08 Naguru-Nakawa-24h'!N96)</f>
        <v>0</v>
      </c>
      <c r="O96" s="15">
        <f t="shared" si="35"/>
        <v>2.5</v>
      </c>
      <c r="P96" s="15">
        <f t="shared" si="36"/>
        <v>6</v>
      </c>
      <c r="R96" s="8"/>
      <c r="T96"/>
    </row>
    <row r="97" spans="2:20" ht="23.1" customHeight="1" x14ac:dyDescent="0.25">
      <c r="B97" s="23" t="s">
        <v>137</v>
      </c>
      <c r="C97" s="49">
        <f>AVERAGE('01.08 Naguru-Nakawa-24h'!C97,'03.08 Naguru-Nakawa-24h'!C97)</f>
        <v>1</v>
      </c>
      <c r="D97" s="49">
        <f>AVERAGE('01.08 Naguru-Nakawa-24h'!D97,'03.08 Naguru-Nakawa-24h'!D97)</f>
        <v>1.5</v>
      </c>
      <c r="E97" s="49">
        <f>AVERAGE('01.08 Naguru-Nakawa-24h'!E97,'03.08 Naguru-Nakawa-24h'!E97)</f>
        <v>0.5</v>
      </c>
      <c r="F97" s="49">
        <f>AVERAGE('01.08 Naguru-Nakawa-24h'!F97,'03.08 Naguru-Nakawa-24h'!F97)</f>
        <v>0</v>
      </c>
      <c r="G97" s="49">
        <f>AVERAGE('01.08 Naguru-Nakawa-24h'!G97,'03.08 Naguru-Nakawa-24h'!G97)</f>
        <v>0</v>
      </c>
      <c r="H97" s="49">
        <f>AVERAGE('01.08 Naguru-Nakawa-24h'!H97,'03.08 Naguru-Nakawa-24h'!H97)</f>
        <v>0</v>
      </c>
      <c r="I97" s="49">
        <f>AVERAGE('01.08 Naguru-Nakawa-24h'!I97,'03.08 Naguru-Nakawa-24h'!I97)</f>
        <v>0</v>
      </c>
      <c r="J97" s="49">
        <f>AVERAGE('01.08 Naguru-Nakawa-24h'!J97,'03.08 Naguru-Nakawa-24h'!J97)</f>
        <v>0</v>
      </c>
      <c r="K97" s="49">
        <f>AVERAGE('01.08 Naguru-Nakawa-24h'!K97,'03.08 Naguru-Nakawa-24h'!K97)</f>
        <v>0</v>
      </c>
      <c r="L97" s="49">
        <f>AVERAGE('01.08 Naguru-Nakawa-24h'!L97,'03.08 Naguru-Nakawa-24h'!L97)</f>
        <v>0</v>
      </c>
      <c r="M97" s="49">
        <f>AVERAGE('01.08 Naguru-Nakawa-24h'!M97,'03.08 Naguru-Nakawa-24h'!M97)</f>
        <v>8.5</v>
      </c>
      <c r="N97" s="49">
        <f>AVERAGE('01.08 Naguru-Nakawa-24h'!N97,'03.08 Naguru-Nakawa-24h'!N97)</f>
        <v>0</v>
      </c>
      <c r="O97" s="15">
        <f t="shared" si="35"/>
        <v>3</v>
      </c>
      <c r="P97" s="15">
        <f t="shared" si="36"/>
        <v>11.5</v>
      </c>
      <c r="R97" s="8"/>
      <c r="T97"/>
    </row>
    <row r="98" spans="2:20" ht="23.1" customHeight="1" x14ac:dyDescent="0.25">
      <c r="B98" s="24" t="s">
        <v>138</v>
      </c>
      <c r="C98" s="49">
        <f>AVERAGE('01.08 Naguru-Nakawa-24h'!C98,'03.08 Naguru-Nakawa-24h'!C98)</f>
        <v>1.5</v>
      </c>
      <c r="D98" s="49">
        <f>AVERAGE('01.08 Naguru-Nakawa-24h'!D98,'03.08 Naguru-Nakawa-24h'!D98)</f>
        <v>0</v>
      </c>
      <c r="E98" s="49">
        <f>AVERAGE('01.08 Naguru-Nakawa-24h'!E98,'03.08 Naguru-Nakawa-24h'!E98)</f>
        <v>0.5</v>
      </c>
      <c r="F98" s="49">
        <f>AVERAGE('01.08 Naguru-Nakawa-24h'!F98,'03.08 Naguru-Nakawa-24h'!F98)</f>
        <v>0.5</v>
      </c>
      <c r="G98" s="49">
        <f>AVERAGE('01.08 Naguru-Nakawa-24h'!G98,'03.08 Naguru-Nakawa-24h'!G98)</f>
        <v>0</v>
      </c>
      <c r="H98" s="49">
        <f>AVERAGE('01.08 Naguru-Nakawa-24h'!H98,'03.08 Naguru-Nakawa-24h'!H98)</f>
        <v>0</v>
      </c>
      <c r="I98" s="49">
        <f>AVERAGE('01.08 Naguru-Nakawa-24h'!I98,'03.08 Naguru-Nakawa-24h'!I98)</f>
        <v>0</v>
      </c>
      <c r="J98" s="49">
        <f>AVERAGE('01.08 Naguru-Nakawa-24h'!J98,'03.08 Naguru-Nakawa-24h'!J98)</f>
        <v>0</v>
      </c>
      <c r="K98" s="49">
        <f>AVERAGE('01.08 Naguru-Nakawa-24h'!K98,'03.08 Naguru-Nakawa-24h'!K98)</f>
        <v>0</v>
      </c>
      <c r="L98" s="49">
        <f>AVERAGE('01.08 Naguru-Nakawa-24h'!L98,'03.08 Naguru-Nakawa-24h'!L98)</f>
        <v>0</v>
      </c>
      <c r="M98" s="49">
        <f>AVERAGE('01.08 Naguru-Nakawa-24h'!M98,'03.08 Naguru-Nakawa-24h'!M98)</f>
        <v>5.5</v>
      </c>
      <c r="N98" s="49">
        <f>AVERAGE('01.08 Naguru-Nakawa-24h'!N98,'03.08 Naguru-Nakawa-24h'!N98)</f>
        <v>0</v>
      </c>
      <c r="O98" s="15">
        <f t="shared" si="35"/>
        <v>2.5</v>
      </c>
      <c r="P98" s="15">
        <f t="shared" si="36"/>
        <v>8</v>
      </c>
      <c r="R98" s="8"/>
      <c r="T98"/>
    </row>
    <row r="99" spans="2:20" ht="23.1" customHeight="1" x14ac:dyDescent="0.25">
      <c r="B99" s="23" t="s">
        <v>139</v>
      </c>
      <c r="C99" s="49">
        <f>AVERAGE('01.08 Naguru-Nakawa-24h'!C99,'03.08 Naguru-Nakawa-24h'!C99)</f>
        <v>1</v>
      </c>
      <c r="D99" s="49">
        <f>AVERAGE('01.08 Naguru-Nakawa-24h'!D99,'03.08 Naguru-Nakawa-24h'!D99)</f>
        <v>0</v>
      </c>
      <c r="E99" s="49">
        <f>AVERAGE('01.08 Naguru-Nakawa-24h'!E99,'03.08 Naguru-Nakawa-24h'!E99)</f>
        <v>2</v>
      </c>
      <c r="F99" s="49">
        <f>AVERAGE('01.08 Naguru-Nakawa-24h'!F99,'03.08 Naguru-Nakawa-24h'!F99)</f>
        <v>0.5</v>
      </c>
      <c r="G99" s="49">
        <f>AVERAGE('01.08 Naguru-Nakawa-24h'!G99,'03.08 Naguru-Nakawa-24h'!G99)</f>
        <v>0</v>
      </c>
      <c r="H99" s="49">
        <f>AVERAGE('01.08 Naguru-Nakawa-24h'!H99,'03.08 Naguru-Nakawa-24h'!H99)</f>
        <v>0.5</v>
      </c>
      <c r="I99" s="49">
        <f>AVERAGE('01.08 Naguru-Nakawa-24h'!I99,'03.08 Naguru-Nakawa-24h'!I99)</f>
        <v>0.5</v>
      </c>
      <c r="J99" s="49">
        <f>AVERAGE('01.08 Naguru-Nakawa-24h'!J99,'03.08 Naguru-Nakawa-24h'!J99)</f>
        <v>0</v>
      </c>
      <c r="K99" s="49">
        <f>AVERAGE('01.08 Naguru-Nakawa-24h'!K99,'03.08 Naguru-Nakawa-24h'!K99)</f>
        <v>0.5</v>
      </c>
      <c r="L99" s="49">
        <f>AVERAGE('01.08 Naguru-Nakawa-24h'!L99,'03.08 Naguru-Nakawa-24h'!L99)</f>
        <v>0</v>
      </c>
      <c r="M99" s="49">
        <f>AVERAGE('01.08 Naguru-Nakawa-24h'!M99,'03.08 Naguru-Nakawa-24h'!M99)</f>
        <v>4.5</v>
      </c>
      <c r="N99" s="49">
        <f>AVERAGE('01.08 Naguru-Nakawa-24h'!N99,'03.08 Naguru-Nakawa-24h'!N99)</f>
        <v>0</v>
      </c>
      <c r="O99" s="15">
        <f t="shared" si="35"/>
        <v>5</v>
      </c>
      <c r="P99" s="15">
        <f t="shared" si="36"/>
        <v>9.5</v>
      </c>
      <c r="R99" s="8"/>
      <c r="T99"/>
    </row>
    <row r="100" spans="2:20" ht="23.1" customHeight="1" x14ac:dyDescent="0.25">
      <c r="B100" s="25" t="s">
        <v>140</v>
      </c>
      <c r="C100" s="49">
        <f>AVERAGE('01.08 Naguru-Nakawa-24h'!C100,'03.08 Naguru-Nakawa-24h'!C100)</f>
        <v>0</v>
      </c>
      <c r="D100" s="49">
        <f>AVERAGE('01.08 Naguru-Nakawa-24h'!D100,'03.08 Naguru-Nakawa-24h'!D100)</f>
        <v>1</v>
      </c>
      <c r="E100" s="49">
        <f>AVERAGE('01.08 Naguru-Nakawa-24h'!E100,'03.08 Naguru-Nakawa-24h'!E100)</f>
        <v>1</v>
      </c>
      <c r="F100" s="49">
        <f>AVERAGE('01.08 Naguru-Nakawa-24h'!F100,'03.08 Naguru-Nakawa-24h'!F100)</f>
        <v>0</v>
      </c>
      <c r="G100" s="49">
        <f>AVERAGE('01.08 Naguru-Nakawa-24h'!G100,'03.08 Naguru-Nakawa-24h'!G100)</f>
        <v>0</v>
      </c>
      <c r="H100" s="49">
        <f>AVERAGE('01.08 Naguru-Nakawa-24h'!H100,'03.08 Naguru-Nakawa-24h'!H100)</f>
        <v>0.5</v>
      </c>
      <c r="I100" s="49">
        <f>AVERAGE('01.08 Naguru-Nakawa-24h'!I100,'03.08 Naguru-Nakawa-24h'!I100)</f>
        <v>0.5</v>
      </c>
      <c r="J100" s="49">
        <f>AVERAGE('01.08 Naguru-Nakawa-24h'!J100,'03.08 Naguru-Nakawa-24h'!J100)</f>
        <v>0</v>
      </c>
      <c r="K100" s="49">
        <f>AVERAGE('01.08 Naguru-Nakawa-24h'!K100,'03.08 Naguru-Nakawa-24h'!K100)</f>
        <v>0.5</v>
      </c>
      <c r="L100" s="49">
        <f>AVERAGE('01.08 Naguru-Nakawa-24h'!L100,'03.08 Naguru-Nakawa-24h'!L100)</f>
        <v>0</v>
      </c>
      <c r="M100" s="49">
        <f>AVERAGE('01.08 Naguru-Nakawa-24h'!M100,'03.08 Naguru-Nakawa-24h'!M100)</f>
        <v>4</v>
      </c>
      <c r="N100" s="49">
        <f>AVERAGE('01.08 Naguru-Nakawa-24h'!N100,'03.08 Naguru-Nakawa-24h'!N100)</f>
        <v>0</v>
      </c>
      <c r="O100" s="15">
        <f t="shared" si="35"/>
        <v>3.5</v>
      </c>
      <c r="P100" s="15">
        <f t="shared" si="36"/>
        <v>7.5</v>
      </c>
      <c r="R100" s="8"/>
      <c r="T100"/>
    </row>
    <row r="101" spans="2:20" ht="23.1" customHeight="1" x14ac:dyDescent="0.25">
      <c r="B101" s="23" t="s">
        <v>141</v>
      </c>
      <c r="C101" s="49">
        <f>AVERAGE('01.08 Naguru-Nakawa-24h'!C101,'03.08 Naguru-Nakawa-24h'!C101)</f>
        <v>2.5</v>
      </c>
      <c r="D101" s="49">
        <f>AVERAGE('01.08 Naguru-Nakawa-24h'!D101,'03.08 Naguru-Nakawa-24h'!D101)</f>
        <v>2</v>
      </c>
      <c r="E101" s="49">
        <f>AVERAGE('01.08 Naguru-Nakawa-24h'!E101,'03.08 Naguru-Nakawa-24h'!E101)</f>
        <v>0</v>
      </c>
      <c r="F101" s="49">
        <f>AVERAGE('01.08 Naguru-Nakawa-24h'!F101,'03.08 Naguru-Nakawa-24h'!F101)</f>
        <v>1</v>
      </c>
      <c r="G101" s="49">
        <f>AVERAGE('01.08 Naguru-Nakawa-24h'!G101,'03.08 Naguru-Nakawa-24h'!G101)</f>
        <v>0</v>
      </c>
      <c r="H101" s="49">
        <f>AVERAGE('01.08 Naguru-Nakawa-24h'!H101,'03.08 Naguru-Nakawa-24h'!H101)</f>
        <v>0</v>
      </c>
      <c r="I101" s="49">
        <f>AVERAGE('01.08 Naguru-Nakawa-24h'!I101,'03.08 Naguru-Nakawa-24h'!I101)</f>
        <v>0</v>
      </c>
      <c r="J101" s="49">
        <f>AVERAGE('01.08 Naguru-Nakawa-24h'!J101,'03.08 Naguru-Nakawa-24h'!J101)</f>
        <v>0</v>
      </c>
      <c r="K101" s="49">
        <f>AVERAGE('01.08 Naguru-Nakawa-24h'!K101,'03.08 Naguru-Nakawa-24h'!K101)</f>
        <v>0</v>
      </c>
      <c r="L101" s="49">
        <f>AVERAGE('01.08 Naguru-Nakawa-24h'!L101,'03.08 Naguru-Nakawa-24h'!L101)</f>
        <v>0</v>
      </c>
      <c r="M101" s="49">
        <f>AVERAGE('01.08 Naguru-Nakawa-24h'!M101,'03.08 Naguru-Nakawa-24h'!M101)</f>
        <v>7.5</v>
      </c>
      <c r="N101" s="49">
        <f>AVERAGE('01.08 Naguru-Nakawa-24h'!N101,'03.08 Naguru-Nakawa-24h'!N101)</f>
        <v>0</v>
      </c>
      <c r="O101" s="15">
        <f t="shared" si="35"/>
        <v>5.5</v>
      </c>
      <c r="P101" s="15">
        <f t="shared" si="36"/>
        <v>13</v>
      </c>
      <c r="R101" s="8"/>
      <c r="T101"/>
    </row>
    <row r="102" spans="2:20" ht="23.1" customHeight="1" x14ac:dyDescent="0.25">
      <c r="B102" s="24" t="s">
        <v>142</v>
      </c>
      <c r="C102" s="49">
        <f>AVERAGE('01.08 Naguru-Nakawa-24h'!C102,'03.08 Naguru-Nakawa-24h'!C102)</f>
        <v>6</v>
      </c>
      <c r="D102" s="49">
        <f>AVERAGE('01.08 Naguru-Nakawa-24h'!D102,'03.08 Naguru-Nakawa-24h'!D102)</f>
        <v>2</v>
      </c>
      <c r="E102" s="49">
        <f>AVERAGE('01.08 Naguru-Nakawa-24h'!E102,'03.08 Naguru-Nakawa-24h'!E102)</f>
        <v>1.5</v>
      </c>
      <c r="F102" s="49">
        <f>AVERAGE('01.08 Naguru-Nakawa-24h'!F102,'03.08 Naguru-Nakawa-24h'!F102)</f>
        <v>1.5</v>
      </c>
      <c r="G102" s="49">
        <f>AVERAGE('01.08 Naguru-Nakawa-24h'!G102,'03.08 Naguru-Nakawa-24h'!G102)</f>
        <v>0.5</v>
      </c>
      <c r="H102" s="49">
        <f>AVERAGE('01.08 Naguru-Nakawa-24h'!H102,'03.08 Naguru-Nakawa-24h'!H102)</f>
        <v>0</v>
      </c>
      <c r="I102" s="49">
        <f>AVERAGE('01.08 Naguru-Nakawa-24h'!I102,'03.08 Naguru-Nakawa-24h'!I102)</f>
        <v>0.5</v>
      </c>
      <c r="J102" s="49">
        <f>AVERAGE('01.08 Naguru-Nakawa-24h'!J102,'03.08 Naguru-Nakawa-24h'!J102)</f>
        <v>0</v>
      </c>
      <c r="K102" s="49">
        <f>AVERAGE('01.08 Naguru-Nakawa-24h'!K102,'03.08 Naguru-Nakawa-24h'!K102)</f>
        <v>0.5</v>
      </c>
      <c r="L102" s="49">
        <f>AVERAGE('01.08 Naguru-Nakawa-24h'!L102,'03.08 Naguru-Nakawa-24h'!L102)</f>
        <v>0</v>
      </c>
      <c r="M102" s="49">
        <f>AVERAGE('01.08 Naguru-Nakawa-24h'!M102,'03.08 Naguru-Nakawa-24h'!M102)</f>
        <v>6.5</v>
      </c>
      <c r="N102" s="49">
        <f>AVERAGE('01.08 Naguru-Nakawa-24h'!N102,'03.08 Naguru-Nakawa-24h'!N102)</f>
        <v>0</v>
      </c>
      <c r="O102" s="15">
        <f t="shared" si="35"/>
        <v>12.5</v>
      </c>
      <c r="P102" s="15">
        <f t="shared" si="36"/>
        <v>19</v>
      </c>
      <c r="R102" s="8"/>
      <c r="T102"/>
    </row>
    <row r="103" spans="2:20" ht="23.1" customHeight="1" x14ac:dyDescent="0.25">
      <c r="B103" s="23" t="s">
        <v>143</v>
      </c>
      <c r="C103" s="49">
        <f>AVERAGE('01.08 Naguru-Nakawa-24h'!C103,'03.08 Naguru-Nakawa-24h'!C103)</f>
        <v>7.5</v>
      </c>
      <c r="D103" s="49">
        <f>AVERAGE('01.08 Naguru-Nakawa-24h'!D103,'03.08 Naguru-Nakawa-24h'!D103)</f>
        <v>2</v>
      </c>
      <c r="E103" s="49">
        <f>AVERAGE('01.08 Naguru-Nakawa-24h'!E103,'03.08 Naguru-Nakawa-24h'!E103)</f>
        <v>4.5</v>
      </c>
      <c r="F103" s="49">
        <f>AVERAGE('01.08 Naguru-Nakawa-24h'!F103,'03.08 Naguru-Nakawa-24h'!F103)</f>
        <v>2.5</v>
      </c>
      <c r="G103" s="49">
        <f>AVERAGE('01.08 Naguru-Nakawa-24h'!G103,'03.08 Naguru-Nakawa-24h'!G103)</f>
        <v>0</v>
      </c>
      <c r="H103" s="49">
        <f>AVERAGE('01.08 Naguru-Nakawa-24h'!H103,'03.08 Naguru-Nakawa-24h'!H103)</f>
        <v>0</v>
      </c>
      <c r="I103" s="49">
        <f>AVERAGE('01.08 Naguru-Nakawa-24h'!I103,'03.08 Naguru-Nakawa-24h'!I103)</f>
        <v>1.5</v>
      </c>
      <c r="J103" s="49">
        <f>AVERAGE('01.08 Naguru-Nakawa-24h'!J103,'03.08 Naguru-Nakawa-24h'!J103)</f>
        <v>0</v>
      </c>
      <c r="K103" s="49">
        <f>AVERAGE('01.08 Naguru-Nakawa-24h'!K103,'03.08 Naguru-Nakawa-24h'!K103)</f>
        <v>3</v>
      </c>
      <c r="L103" s="49">
        <f>AVERAGE('01.08 Naguru-Nakawa-24h'!L103,'03.08 Naguru-Nakawa-24h'!L103)</f>
        <v>0</v>
      </c>
      <c r="M103" s="49">
        <f>AVERAGE('01.08 Naguru-Nakawa-24h'!M103,'03.08 Naguru-Nakawa-24h'!M103)</f>
        <v>9.5</v>
      </c>
      <c r="N103" s="49">
        <f>AVERAGE('01.08 Naguru-Nakawa-24h'!N103,'03.08 Naguru-Nakawa-24h'!N103)</f>
        <v>0</v>
      </c>
      <c r="O103" s="15">
        <f t="shared" si="35"/>
        <v>21</v>
      </c>
      <c r="P103" s="15">
        <f t="shared" si="36"/>
        <v>30.5</v>
      </c>
      <c r="R103" s="8"/>
      <c r="T103"/>
    </row>
    <row r="104" spans="2:20" ht="23.1" customHeight="1" x14ac:dyDescent="0.25">
      <c r="B104" s="25" t="s">
        <v>144</v>
      </c>
      <c r="C104" s="49">
        <f>AVERAGE('01.08 Naguru-Nakawa-24h'!C104,'03.08 Naguru-Nakawa-24h'!C104)</f>
        <v>19.5</v>
      </c>
      <c r="D104" s="49">
        <f>AVERAGE('01.08 Naguru-Nakawa-24h'!D104,'03.08 Naguru-Nakawa-24h'!D104)</f>
        <v>7.5</v>
      </c>
      <c r="E104" s="49">
        <f>AVERAGE('01.08 Naguru-Nakawa-24h'!E104,'03.08 Naguru-Nakawa-24h'!E104)</f>
        <v>6</v>
      </c>
      <c r="F104" s="49">
        <f>AVERAGE('01.08 Naguru-Nakawa-24h'!F104,'03.08 Naguru-Nakawa-24h'!F104)</f>
        <v>6</v>
      </c>
      <c r="G104" s="49">
        <f>AVERAGE('01.08 Naguru-Nakawa-24h'!G104,'03.08 Naguru-Nakawa-24h'!G104)</f>
        <v>0</v>
      </c>
      <c r="H104" s="49">
        <f>AVERAGE('01.08 Naguru-Nakawa-24h'!H104,'03.08 Naguru-Nakawa-24h'!H104)</f>
        <v>0</v>
      </c>
      <c r="I104" s="49">
        <f>AVERAGE('01.08 Naguru-Nakawa-24h'!I104,'03.08 Naguru-Nakawa-24h'!I104)</f>
        <v>0.5</v>
      </c>
      <c r="J104" s="49">
        <f>AVERAGE('01.08 Naguru-Nakawa-24h'!J104,'03.08 Naguru-Nakawa-24h'!J104)</f>
        <v>0</v>
      </c>
      <c r="K104" s="49">
        <f>AVERAGE('01.08 Naguru-Nakawa-24h'!K104,'03.08 Naguru-Nakawa-24h'!K104)</f>
        <v>0</v>
      </c>
      <c r="L104" s="49">
        <f>AVERAGE('01.08 Naguru-Nakawa-24h'!L104,'03.08 Naguru-Nakawa-24h'!L104)</f>
        <v>0</v>
      </c>
      <c r="M104" s="49">
        <f>AVERAGE('01.08 Naguru-Nakawa-24h'!M104,'03.08 Naguru-Nakawa-24h'!M104)</f>
        <v>17</v>
      </c>
      <c r="N104" s="49">
        <f>AVERAGE('01.08 Naguru-Nakawa-24h'!N104,'03.08 Naguru-Nakawa-24h'!N104)</f>
        <v>0</v>
      </c>
      <c r="O104" s="15">
        <f t="shared" si="35"/>
        <v>39.5</v>
      </c>
      <c r="P104" s="15">
        <f t="shared" si="36"/>
        <v>56.5</v>
      </c>
      <c r="R104" s="8"/>
      <c r="T104"/>
    </row>
    <row r="105" spans="2:20" ht="23.1" customHeight="1" x14ac:dyDescent="0.25">
      <c r="B105" s="23" t="s">
        <v>145</v>
      </c>
      <c r="C105" s="49">
        <f>AVERAGE('01.08 Naguru-Nakawa-24h'!C105,'03.08 Naguru-Nakawa-24h'!C105)</f>
        <v>22</v>
      </c>
      <c r="D105" s="49">
        <f>AVERAGE('01.08 Naguru-Nakawa-24h'!D105,'03.08 Naguru-Nakawa-24h'!D105)</f>
        <v>10</v>
      </c>
      <c r="E105" s="49">
        <f>AVERAGE('01.08 Naguru-Nakawa-24h'!E105,'03.08 Naguru-Nakawa-24h'!E105)</f>
        <v>6</v>
      </c>
      <c r="F105" s="49">
        <f>AVERAGE('01.08 Naguru-Nakawa-24h'!F105,'03.08 Naguru-Nakawa-24h'!F105)</f>
        <v>8.5</v>
      </c>
      <c r="G105" s="49">
        <f>AVERAGE('01.08 Naguru-Nakawa-24h'!G105,'03.08 Naguru-Nakawa-24h'!G105)</f>
        <v>0</v>
      </c>
      <c r="H105" s="49">
        <f>AVERAGE('01.08 Naguru-Nakawa-24h'!H105,'03.08 Naguru-Nakawa-24h'!H105)</f>
        <v>0</v>
      </c>
      <c r="I105" s="49">
        <f>AVERAGE('01.08 Naguru-Nakawa-24h'!I105,'03.08 Naguru-Nakawa-24h'!I105)</f>
        <v>0.5</v>
      </c>
      <c r="J105" s="49">
        <f>AVERAGE('01.08 Naguru-Nakawa-24h'!J105,'03.08 Naguru-Nakawa-24h'!J105)</f>
        <v>0</v>
      </c>
      <c r="K105" s="49">
        <f>AVERAGE('01.08 Naguru-Nakawa-24h'!K105,'03.08 Naguru-Nakawa-24h'!K105)</f>
        <v>0.5</v>
      </c>
      <c r="L105" s="49">
        <f>AVERAGE('01.08 Naguru-Nakawa-24h'!L105,'03.08 Naguru-Nakawa-24h'!L105)</f>
        <v>0</v>
      </c>
      <c r="M105" s="49">
        <f>AVERAGE('01.08 Naguru-Nakawa-24h'!M105,'03.08 Naguru-Nakawa-24h'!M105)</f>
        <v>28</v>
      </c>
      <c r="N105" s="49">
        <f>AVERAGE('01.08 Naguru-Nakawa-24h'!N105,'03.08 Naguru-Nakawa-24h'!N105)</f>
        <v>0</v>
      </c>
      <c r="O105" s="15">
        <f t="shared" si="35"/>
        <v>47.5</v>
      </c>
      <c r="P105" s="15">
        <f t="shared" si="36"/>
        <v>75.5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4884.0714285714284</v>
      </c>
      <c r="D106" s="16">
        <f t="shared" ref="D106:P106" si="37">SUM(D10:D105)</f>
        <v>1312.3571428571429</v>
      </c>
      <c r="E106" s="16">
        <f t="shared" si="37"/>
        <v>551.99999999999989</v>
      </c>
      <c r="F106" s="16">
        <f t="shared" si="37"/>
        <v>474.21428571428572</v>
      </c>
      <c r="G106" s="16">
        <f t="shared" si="37"/>
        <v>5.428571428571427</v>
      </c>
      <c r="H106" s="16">
        <f t="shared" si="37"/>
        <v>2.7142857142857144</v>
      </c>
      <c r="I106" s="16">
        <f t="shared" si="37"/>
        <v>184.85714285714283</v>
      </c>
      <c r="J106" s="16">
        <f t="shared" si="37"/>
        <v>44.35714285714284</v>
      </c>
      <c r="K106" s="16">
        <f t="shared" si="37"/>
        <v>22.571428571428573</v>
      </c>
      <c r="L106" s="16">
        <f t="shared" si="37"/>
        <v>2.6428571428571423</v>
      </c>
      <c r="M106" s="16">
        <f t="shared" si="37"/>
        <v>4295.2857142857138</v>
      </c>
      <c r="N106" s="16">
        <f t="shared" si="37"/>
        <v>11.714285714285712</v>
      </c>
      <c r="O106" s="16">
        <f t="shared" si="37"/>
        <v>7496.9285714285716</v>
      </c>
      <c r="P106" s="16">
        <f t="shared" si="37"/>
        <v>11792.214285714283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0.41417763536473834</v>
      </c>
      <c r="D107" s="43">
        <f t="shared" si="38"/>
        <v>0.11129013695477043</v>
      </c>
      <c r="E107" s="43">
        <f t="shared" si="38"/>
        <v>4.6810546910491795E-2</v>
      </c>
      <c r="F107" s="43">
        <f t="shared" si="38"/>
        <v>4.0214184904083211E-2</v>
      </c>
      <c r="G107" s="43">
        <f t="shared" si="38"/>
        <v>4.6035216940959836E-4</v>
      </c>
      <c r="H107" s="43">
        <f t="shared" si="38"/>
        <v>2.3017608470479923E-4</v>
      </c>
      <c r="I107" s="43">
        <f t="shared" si="38"/>
        <v>1.5676202821474219E-2</v>
      </c>
      <c r="J107" s="43">
        <f t="shared" si="38"/>
        <v>3.7615618053073755E-3</v>
      </c>
      <c r="K107" s="43">
        <f t="shared" si="38"/>
        <v>1.9140958622820149E-3</v>
      </c>
      <c r="L107" s="43">
        <f t="shared" si="38"/>
        <v>2.241188193178308E-4</v>
      </c>
      <c r="M107" s="43">
        <f t="shared" si="38"/>
        <v>0.36424759677995777</v>
      </c>
      <c r="N107" s="43">
        <f t="shared" si="38"/>
        <v>9.9339152346281752E-4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0.65147631887344337</v>
      </c>
      <c r="D108" s="44">
        <f t="shared" ref="D108:N108" si="39">D106/$O$106</f>
        <v>0.17505264060520023</v>
      </c>
      <c r="E108" s="44">
        <f t="shared" si="39"/>
        <v>7.3630153300875578E-2</v>
      </c>
      <c r="F108" s="44">
        <f t="shared" si="39"/>
        <v>6.3254475642405938E-2</v>
      </c>
      <c r="G108" s="44">
        <f t="shared" si="39"/>
        <v>7.2410606248273076E-4</v>
      </c>
      <c r="H108" s="44">
        <f t="shared" si="39"/>
        <v>3.6205303124136554E-4</v>
      </c>
      <c r="I108" s="44">
        <f t="shared" si="39"/>
        <v>2.4657716969806679E-2</v>
      </c>
      <c r="J108" s="44">
        <f t="shared" si="39"/>
        <v>5.916708747391787E-3</v>
      </c>
      <c r="K108" s="44">
        <f t="shared" si="39"/>
        <v>3.0107567861124081E-3</v>
      </c>
      <c r="L108" s="44">
        <f t="shared" si="39"/>
        <v>3.5252531989290846E-4</v>
      </c>
      <c r="M108" s="44"/>
      <c r="N108" s="44">
        <f t="shared" si="39"/>
        <v>1.5625446611469455E-3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52" zoomScale="60" workbookViewId="0">
      <selection activeCell="AI61" sqref="AI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Nakawa-Naguru'!G5:H5</f>
        <v>POLICE HEADQUATER</v>
      </c>
      <c r="H5" s="64"/>
      <c r="I5" s="14"/>
      <c r="J5" s="2" t="s">
        <v>5</v>
      </c>
      <c r="K5" s="63" t="str">
        <f>'04.08 Nakawa-Naguru'!K5:L5</f>
        <v>MBERE I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Nakawa-Naguru'!D6:E6</f>
        <v>NAKAWA</v>
      </c>
      <c r="E6" s="64"/>
      <c r="F6" s="2" t="s">
        <v>2</v>
      </c>
      <c r="G6" s="63" t="str">
        <f>'04.08 Nakawa-Naguru'!G6:H6</f>
        <v>NAGURU</v>
      </c>
      <c r="H6" s="64"/>
      <c r="J6" s="2" t="s">
        <v>21</v>
      </c>
      <c r="K6" s="63" t="str">
        <f>'04.08 Nakawa-Naguru'!K6:L6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Nakawa-Naguru'!C10,'30.07 Nakawa-Naguru'!C10,'31.07 Nakawa-Naguru'!C10,'02.08 Nakawa-Naguru'!C10,'01.08 Nakawa-Naguru-24h'!C10,'03.08 Nakawa-Naguru-24h'!C10,'04.08 Nakawa-Naguru'!C10)</f>
        <v>16.428571428571427</v>
      </c>
      <c r="D10" s="49">
        <f>AVERAGE('29.07 Nakawa-Naguru'!D10,'30.07 Nakawa-Naguru'!D10,'31.07 Nakawa-Naguru'!D10,'02.08 Nakawa-Naguru'!D10,'01.08 Nakawa-Naguru-24h'!D10,'03.08 Nakawa-Naguru-24h'!D10,'04.08 Nakawa-Naguru'!D10)</f>
        <v>14.428571428571429</v>
      </c>
      <c r="E10" s="49">
        <f>AVERAGE('29.07 Nakawa-Naguru'!E10,'30.07 Nakawa-Naguru'!E10,'31.07 Nakawa-Naguru'!E10,'02.08 Nakawa-Naguru'!E10,'01.08 Nakawa-Naguru-24h'!E10,'03.08 Nakawa-Naguru-24h'!E10,'04.08 Nakawa-Naguru'!E10)</f>
        <v>2.7142857142857144</v>
      </c>
      <c r="F10" s="49">
        <f>AVERAGE('29.07 Nakawa-Naguru'!F10,'30.07 Nakawa-Naguru'!F10,'31.07 Nakawa-Naguru'!F10,'02.08 Nakawa-Naguru'!F10,'01.08 Nakawa-Naguru-24h'!F10,'03.08 Nakawa-Naguru-24h'!F10,'04.08 Nakawa-Naguru'!F10)</f>
        <v>3.7142857142857144</v>
      </c>
      <c r="G10" s="49">
        <f>AVERAGE('29.07 Nakawa-Naguru'!G10,'30.07 Nakawa-Naguru'!G10,'31.07 Nakawa-Naguru'!G10,'02.08 Nakawa-Naguru'!G10,'01.08 Nakawa-Naguru-24h'!G10,'03.08 Nakawa-Naguru-24h'!G10,'04.08 Nakawa-Naguru'!G10)</f>
        <v>0.14285714285714285</v>
      </c>
      <c r="H10" s="49">
        <f>AVERAGE('29.07 Nakawa-Naguru'!H10,'30.07 Nakawa-Naguru'!H10,'31.07 Nakawa-Naguru'!H10,'02.08 Nakawa-Naguru'!H10,'01.08 Nakawa-Naguru-24h'!H10,'03.08 Nakawa-Naguru-24h'!H10,'04.08 Nakawa-Naguru'!H10)</f>
        <v>0</v>
      </c>
      <c r="I10" s="49">
        <f>AVERAGE('29.07 Nakawa-Naguru'!I10,'30.07 Nakawa-Naguru'!I10,'31.07 Nakawa-Naguru'!I10,'02.08 Nakawa-Naguru'!I10,'01.08 Nakawa-Naguru-24h'!I10,'03.08 Nakawa-Naguru-24h'!I10,'04.08 Nakawa-Naguru'!I10)</f>
        <v>1</v>
      </c>
      <c r="J10" s="49">
        <f>AVERAGE('29.07 Nakawa-Naguru'!J10,'30.07 Nakawa-Naguru'!J10,'31.07 Nakawa-Naguru'!J10,'02.08 Nakawa-Naguru'!J10,'01.08 Nakawa-Naguru-24h'!J10,'03.08 Nakawa-Naguru-24h'!J10,'04.08 Nakawa-Naguru'!J10)</f>
        <v>0.7142857142857143</v>
      </c>
      <c r="K10" s="49">
        <f>AVERAGE('29.07 Nakawa-Naguru'!K10,'30.07 Nakawa-Naguru'!K10,'31.07 Nakawa-Naguru'!K10,'02.08 Nakawa-Naguru'!K10,'01.08 Nakawa-Naguru-24h'!K10,'03.08 Nakawa-Naguru-24h'!K10,'04.08 Nakawa-Naguru'!K10)</f>
        <v>0</v>
      </c>
      <c r="L10" s="49">
        <f>AVERAGE('29.07 Nakawa-Naguru'!L10,'30.07 Nakawa-Naguru'!L10,'31.07 Nakawa-Naguru'!L10,'02.08 Nakawa-Naguru'!L10,'01.08 Nakawa-Naguru-24h'!L10,'03.08 Nakawa-Naguru-24h'!L10,'04.08 Nakawa-Naguru'!L10)</f>
        <v>0</v>
      </c>
      <c r="M10" s="49">
        <f>AVERAGE('29.07 Nakawa-Naguru'!M10,'30.07 Nakawa-Naguru'!M10,'31.07 Nakawa-Naguru'!M10,'02.08 Nakawa-Naguru'!M10,'01.08 Nakawa-Naguru-24h'!M10,'03.08 Nakawa-Naguru-24h'!M10,'04.08 Nakawa-Naguru'!M10)</f>
        <v>20.857142857142858</v>
      </c>
      <c r="N10" s="49">
        <f>AVERAGE('29.07 Nakawa-Naguru'!N10,'30.07 Nakawa-Naguru'!N10,'31.07 Nakawa-Naguru'!N10,'02.08 Nakawa-Naguru'!N10,'01.08 Nakawa-Naguru-24h'!N10,'03.08 Nakawa-Naguru-24h'!N10,'04.08 Nakawa-Naguru'!N10)</f>
        <v>0</v>
      </c>
      <c r="O10" s="15">
        <f t="shared" ref="O10:O73" si="0">SUM(C10:L10,N10)</f>
        <v>39.142857142857146</v>
      </c>
      <c r="P10" s="15">
        <f t="shared" ref="P10:P73" si="1">SUM(C10:N10)</f>
        <v>60</v>
      </c>
      <c r="R10" s="1" t="s">
        <v>6</v>
      </c>
      <c r="S10" s="17">
        <f t="shared" ref="S10:AF10" si="2">SUM(C10:C13)</f>
        <v>103.57142857142856</v>
      </c>
      <c r="T10" s="17">
        <f t="shared" si="2"/>
        <v>73.428571428571431</v>
      </c>
      <c r="U10" s="17">
        <f t="shared" si="2"/>
        <v>20.714285714285715</v>
      </c>
      <c r="V10" s="17">
        <f t="shared" si="2"/>
        <v>25.142857142857142</v>
      </c>
      <c r="W10" s="17">
        <f t="shared" si="2"/>
        <v>1.8571428571428572</v>
      </c>
      <c r="X10" s="17">
        <f t="shared" si="2"/>
        <v>0.14285714285714285</v>
      </c>
      <c r="Y10" s="17">
        <f t="shared" si="2"/>
        <v>3.8333333333333335</v>
      </c>
      <c r="Z10" s="17">
        <f t="shared" si="2"/>
        <v>2.2857142857142856</v>
      </c>
      <c r="AA10" s="17">
        <f t="shared" si="2"/>
        <v>0</v>
      </c>
      <c r="AB10" s="17">
        <f t="shared" si="2"/>
        <v>0</v>
      </c>
      <c r="AC10" s="17">
        <f t="shared" si="2"/>
        <v>157.71428571428572</v>
      </c>
      <c r="AD10" s="17">
        <f t="shared" si="2"/>
        <v>0</v>
      </c>
      <c r="AE10" s="31">
        <f t="shared" si="2"/>
        <v>230.97619047619051</v>
      </c>
      <c r="AF10" s="31">
        <f t="shared" si="2"/>
        <v>388.6904761904762</v>
      </c>
    </row>
    <row r="11" spans="2:32" s="6" customFormat="1" ht="23.1" customHeight="1" x14ac:dyDescent="0.25">
      <c r="B11" s="23" t="s">
        <v>38</v>
      </c>
      <c r="C11" s="49">
        <f>AVERAGE('29.07 Nakawa-Naguru'!C11,'30.07 Nakawa-Naguru'!C11,'31.07 Nakawa-Naguru'!C11,'02.08 Nakawa-Naguru'!C11,'01.08 Nakawa-Naguru-24h'!C11,'03.08 Nakawa-Naguru-24h'!C11,'04.08 Nakawa-Naguru'!C11)</f>
        <v>25.714285714285715</v>
      </c>
      <c r="D11" s="49">
        <f>AVERAGE('29.07 Nakawa-Naguru'!D11,'30.07 Nakawa-Naguru'!D11,'31.07 Nakawa-Naguru'!D11,'02.08 Nakawa-Naguru'!D11,'01.08 Nakawa-Naguru-24h'!D11,'03.08 Nakawa-Naguru-24h'!D11,'04.08 Nakawa-Naguru'!D11)</f>
        <v>20.571428571428573</v>
      </c>
      <c r="E11" s="49">
        <f>AVERAGE('29.07 Nakawa-Naguru'!E11,'30.07 Nakawa-Naguru'!E11,'31.07 Nakawa-Naguru'!E11,'02.08 Nakawa-Naguru'!E11,'01.08 Nakawa-Naguru-24h'!E11,'03.08 Nakawa-Naguru-24h'!E11,'04.08 Nakawa-Naguru'!E11)</f>
        <v>4.4285714285714288</v>
      </c>
      <c r="F11" s="49">
        <f>AVERAGE('29.07 Nakawa-Naguru'!F11,'30.07 Nakawa-Naguru'!F11,'31.07 Nakawa-Naguru'!F11,'02.08 Nakawa-Naguru'!F11,'01.08 Nakawa-Naguru-24h'!F11,'03.08 Nakawa-Naguru-24h'!F11,'04.08 Nakawa-Naguru'!F11)</f>
        <v>4.2857142857142856</v>
      </c>
      <c r="G11" s="49">
        <f>AVERAGE('29.07 Nakawa-Naguru'!G11,'30.07 Nakawa-Naguru'!G11,'31.07 Nakawa-Naguru'!G11,'02.08 Nakawa-Naguru'!G11,'01.08 Nakawa-Naguru-24h'!G11,'03.08 Nakawa-Naguru-24h'!G11,'04.08 Nakawa-Naguru'!G11)</f>
        <v>0.14285714285714285</v>
      </c>
      <c r="H11" s="49">
        <f>AVERAGE('29.07 Nakawa-Naguru'!H11,'30.07 Nakawa-Naguru'!H11,'31.07 Nakawa-Naguru'!H11,'02.08 Nakawa-Naguru'!H11,'01.08 Nakawa-Naguru-24h'!H11,'03.08 Nakawa-Naguru-24h'!H11,'04.08 Nakawa-Naguru'!H11)</f>
        <v>0.14285714285714285</v>
      </c>
      <c r="I11" s="49">
        <f>AVERAGE('29.07 Nakawa-Naguru'!I11,'30.07 Nakawa-Naguru'!I11,'31.07 Nakawa-Naguru'!I11,'02.08 Nakawa-Naguru'!I11,'01.08 Nakawa-Naguru-24h'!I11,'03.08 Nakawa-Naguru-24h'!I11,'04.08 Nakawa-Naguru'!I11)</f>
        <v>0.83333333333333337</v>
      </c>
      <c r="J11" s="49">
        <f>AVERAGE('29.07 Nakawa-Naguru'!J11,'30.07 Nakawa-Naguru'!J11,'31.07 Nakawa-Naguru'!J11,'02.08 Nakawa-Naguru'!J11,'01.08 Nakawa-Naguru-24h'!J11,'03.08 Nakawa-Naguru-24h'!J11,'04.08 Nakawa-Naguru'!J11)</f>
        <v>0.42857142857142855</v>
      </c>
      <c r="K11" s="49">
        <f>AVERAGE('29.07 Nakawa-Naguru'!K11,'30.07 Nakawa-Naguru'!K11,'31.07 Nakawa-Naguru'!K11,'02.08 Nakawa-Naguru'!K11,'01.08 Nakawa-Naguru-24h'!K11,'03.08 Nakawa-Naguru-24h'!K11,'04.08 Nakawa-Naguru'!K11)</f>
        <v>0</v>
      </c>
      <c r="L11" s="49">
        <f>AVERAGE('29.07 Nakawa-Naguru'!L11,'30.07 Nakawa-Naguru'!L11,'31.07 Nakawa-Naguru'!L11,'02.08 Nakawa-Naguru'!L11,'01.08 Nakawa-Naguru-24h'!L11,'03.08 Nakawa-Naguru-24h'!L11,'04.08 Nakawa-Naguru'!L11)</f>
        <v>0</v>
      </c>
      <c r="M11" s="49">
        <f>AVERAGE('29.07 Nakawa-Naguru'!M11,'30.07 Nakawa-Naguru'!M11,'31.07 Nakawa-Naguru'!M11,'02.08 Nakawa-Naguru'!M11,'01.08 Nakawa-Naguru-24h'!M11,'03.08 Nakawa-Naguru-24h'!M11,'04.08 Nakawa-Naguru'!M11)</f>
        <v>41.857142857142854</v>
      </c>
      <c r="N11" s="49">
        <f>AVERAGE('29.07 Nakawa-Naguru'!N11,'30.07 Nakawa-Naguru'!N11,'31.07 Nakawa-Naguru'!N11,'02.08 Nakawa-Naguru'!N11,'01.08 Nakawa-Naguru-24h'!N11,'03.08 Nakawa-Naguru-24h'!N11,'04.08 Nakawa-Naguru'!N11)</f>
        <v>0</v>
      </c>
      <c r="O11" s="15">
        <f t="shared" si="0"/>
        <v>56.547619047619065</v>
      </c>
      <c r="P11" s="15">
        <f t="shared" si="1"/>
        <v>98.404761904761926</v>
      </c>
      <c r="R11" s="1" t="s">
        <v>7</v>
      </c>
      <c r="S11" s="17">
        <f t="shared" ref="S11:AF11" si="3">SUM(C14:C17)</f>
        <v>139.85714285714286</v>
      </c>
      <c r="T11" s="17">
        <f t="shared" si="3"/>
        <v>110.71428571428572</v>
      </c>
      <c r="U11" s="17">
        <f t="shared" si="3"/>
        <v>31.571428571428569</v>
      </c>
      <c r="V11" s="17">
        <f t="shared" si="3"/>
        <v>46.428571428571423</v>
      </c>
      <c r="W11" s="17">
        <f t="shared" si="3"/>
        <v>0.2857142857142857</v>
      </c>
      <c r="X11" s="17">
        <f t="shared" si="3"/>
        <v>0</v>
      </c>
      <c r="Y11" s="17">
        <f t="shared" si="3"/>
        <v>5.4285714285714288</v>
      </c>
      <c r="Z11" s="17">
        <f t="shared" si="3"/>
        <v>2.4285714285714284</v>
      </c>
      <c r="AA11" s="17">
        <f t="shared" si="3"/>
        <v>0.5714285714285714</v>
      </c>
      <c r="AB11" s="17">
        <f t="shared" si="3"/>
        <v>0</v>
      </c>
      <c r="AC11" s="17">
        <f t="shared" si="3"/>
        <v>231.85714285714286</v>
      </c>
      <c r="AD11" s="17">
        <f t="shared" si="3"/>
        <v>0</v>
      </c>
      <c r="AE11" s="31">
        <f t="shared" si="3"/>
        <v>337.28571428571433</v>
      </c>
      <c r="AF11" s="31">
        <f t="shared" si="3"/>
        <v>569.14285714285722</v>
      </c>
    </row>
    <row r="12" spans="2:32" ht="23.1" customHeight="1" x14ac:dyDescent="0.25">
      <c r="B12" s="23" t="s">
        <v>39</v>
      </c>
      <c r="C12" s="49">
        <f>AVERAGE('29.07 Nakawa-Naguru'!C12,'30.07 Nakawa-Naguru'!C12,'31.07 Nakawa-Naguru'!C12,'02.08 Nakawa-Naguru'!C12,'01.08 Nakawa-Naguru-24h'!C12,'03.08 Nakawa-Naguru-24h'!C12,'04.08 Nakawa-Naguru'!C12)</f>
        <v>30.142857142857142</v>
      </c>
      <c r="D12" s="49">
        <f>AVERAGE('29.07 Nakawa-Naguru'!D12,'30.07 Nakawa-Naguru'!D12,'31.07 Nakawa-Naguru'!D12,'02.08 Nakawa-Naguru'!D12,'01.08 Nakawa-Naguru-24h'!D12,'03.08 Nakawa-Naguru-24h'!D12,'04.08 Nakawa-Naguru'!D12)</f>
        <v>19.714285714285715</v>
      </c>
      <c r="E12" s="49">
        <f>AVERAGE('29.07 Nakawa-Naguru'!E12,'30.07 Nakawa-Naguru'!E12,'31.07 Nakawa-Naguru'!E12,'02.08 Nakawa-Naguru'!E12,'01.08 Nakawa-Naguru-24h'!E12,'03.08 Nakawa-Naguru-24h'!E12,'04.08 Nakawa-Naguru'!E12)</f>
        <v>8.2857142857142865</v>
      </c>
      <c r="F12" s="49">
        <f>AVERAGE('29.07 Nakawa-Naguru'!F12,'30.07 Nakawa-Naguru'!F12,'31.07 Nakawa-Naguru'!F12,'02.08 Nakawa-Naguru'!F12,'01.08 Nakawa-Naguru-24h'!F12,'03.08 Nakawa-Naguru-24h'!F12,'04.08 Nakawa-Naguru'!F12)</f>
        <v>8.2857142857142865</v>
      </c>
      <c r="G12" s="49">
        <f>AVERAGE('29.07 Nakawa-Naguru'!G12,'30.07 Nakawa-Naguru'!G12,'31.07 Nakawa-Naguru'!G12,'02.08 Nakawa-Naguru'!G12,'01.08 Nakawa-Naguru-24h'!G12,'03.08 Nakawa-Naguru-24h'!G12,'04.08 Nakawa-Naguru'!G12)</f>
        <v>0.2857142857142857</v>
      </c>
      <c r="H12" s="49">
        <f>AVERAGE('29.07 Nakawa-Naguru'!H12,'30.07 Nakawa-Naguru'!H12,'31.07 Nakawa-Naguru'!H12,'02.08 Nakawa-Naguru'!H12,'01.08 Nakawa-Naguru-24h'!H12,'03.08 Nakawa-Naguru-24h'!H12,'04.08 Nakawa-Naguru'!H12)</f>
        <v>0</v>
      </c>
      <c r="I12" s="49">
        <f>AVERAGE('29.07 Nakawa-Naguru'!I12,'30.07 Nakawa-Naguru'!I12,'31.07 Nakawa-Naguru'!I12,'02.08 Nakawa-Naguru'!I12,'01.08 Nakawa-Naguru-24h'!I12,'03.08 Nakawa-Naguru-24h'!I12,'04.08 Nakawa-Naguru'!I12)</f>
        <v>1</v>
      </c>
      <c r="J12" s="49">
        <f>AVERAGE('29.07 Nakawa-Naguru'!J12,'30.07 Nakawa-Naguru'!J12,'31.07 Nakawa-Naguru'!J12,'02.08 Nakawa-Naguru'!J12,'01.08 Nakawa-Naguru-24h'!J12,'03.08 Nakawa-Naguru-24h'!J12,'04.08 Nakawa-Naguru'!J12)</f>
        <v>0.42857142857142855</v>
      </c>
      <c r="K12" s="49">
        <f>AVERAGE('29.07 Nakawa-Naguru'!K12,'30.07 Nakawa-Naguru'!K12,'31.07 Nakawa-Naguru'!K12,'02.08 Nakawa-Naguru'!K12,'01.08 Nakawa-Naguru-24h'!K12,'03.08 Nakawa-Naguru-24h'!K12,'04.08 Nakawa-Naguru'!K12)</f>
        <v>0</v>
      </c>
      <c r="L12" s="49">
        <f>AVERAGE('29.07 Nakawa-Naguru'!L12,'30.07 Nakawa-Naguru'!L12,'31.07 Nakawa-Naguru'!L12,'02.08 Nakawa-Naguru'!L12,'01.08 Nakawa-Naguru-24h'!L12,'03.08 Nakawa-Naguru-24h'!L12,'04.08 Nakawa-Naguru'!L12)</f>
        <v>0</v>
      </c>
      <c r="M12" s="49">
        <f>AVERAGE('29.07 Nakawa-Naguru'!M12,'30.07 Nakawa-Naguru'!M12,'31.07 Nakawa-Naguru'!M12,'02.08 Nakawa-Naguru'!M12,'01.08 Nakawa-Naguru-24h'!M12,'03.08 Nakawa-Naguru-24h'!M12,'04.08 Nakawa-Naguru'!M12)</f>
        <v>47.571428571428569</v>
      </c>
      <c r="N12" s="49">
        <f>AVERAGE('29.07 Nakawa-Naguru'!N12,'30.07 Nakawa-Naguru'!N12,'31.07 Nakawa-Naguru'!N12,'02.08 Nakawa-Naguru'!N12,'01.08 Nakawa-Naguru-24h'!N12,'03.08 Nakawa-Naguru-24h'!N12,'04.08 Nakawa-Naguru'!N12)</f>
        <v>0</v>
      </c>
      <c r="O12" s="15">
        <f t="shared" si="0"/>
        <v>68.142857142857153</v>
      </c>
      <c r="P12" s="15">
        <f t="shared" si="1"/>
        <v>115.71428571428572</v>
      </c>
      <c r="R12" s="1" t="s">
        <v>8</v>
      </c>
      <c r="S12" s="17">
        <f t="shared" ref="S12:AF12" si="4">SUM(C18:C21)</f>
        <v>128.14285714285714</v>
      </c>
      <c r="T12" s="17">
        <f t="shared" si="4"/>
        <v>117.57142857142857</v>
      </c>
      <c r="U12" s="17">
        <f t="shared" si="4"/>
        <v>38.142857142857146</v>
      </c>
      <c r="V12" s="17">
        <f t="shared" si="4"/>
        <v>30.142857142857142</v>
      </c>
      <c r="W12" s="17">
        <f t="shared" si="4"/>
        <v>0.85714285714285721</v>
      </c>
      <c r="X12" s="17">
        <f t="shared" si="4"/>
        <v>0.14285714285714285</v>
      </c>
      <c r="Y12" s="17">
        <f t="shared" si="4"/>
        <v>6.8571428571428568</v>
      </c>
      <c r="Z12" s="17">
        <f t="shared" si="4"/>
        <v>3.1428571428571428</v>
      </c>
      <c r="AA12" s="17">
        <f t="shared" si="4"/>
        <v>0.42857142857142855</v>
      </c>
      <c r="AB12" s="17">
        <f t="shared" si="4"/>
        <v>0.14285714285714285</v>
      </c>
      <c r="AC12" s="17">
        <f t="shared" si="4"/>
        <v>190.28571428571428</v>
      </c>
      <c r="AD12" s="17">
        <f t="shared" si="4"/>
        <v>0</v>
      </c>
      <c r="AE12" s="31">
        <f t="shared" si="4"/>
        <v>325.57142857142856</v>
      </c>
      <c r="AF12" s="31">
        <f t="shared" si="4"/>
        <v>515.85714285714278</v>
      </c>
    </row>
    <row r="13" spans="2:32" ht="23.1" customHeight="1" x14ac:dyDescent="0.25">
      <c r="B13" s="23" t="s">
        <v>40</v>
      </c>
      <c r="C13" s="49">
        <f>AVERAGE('29.07 Nakawa-Naguru'!C13,'30.07 Nakawa-Naguru'!C13,'31.07 Nakawa-Naguru'!C13,'02.08 Nakawa-Naguru'!C13,'01.08 Nakawa-Naguru-24h'!C13,'03.08 Nakawa-Naguru-24h'!C13,'04.08 Nakawa-Naguru'!C13)</f>
        <v>31.285714285714285</v>
      </c>
      <c r="D13" s="49">
        <f>AVERAGE('29.07 Nakawa-Naguru'!D13,'30.07 Nakawa-Naguru'!D13,'31.07 Nakawa-Naguru'!D13,'02.08 Nakawa-Naguru'!D13,'01.08 Nakawa-Naguru-24h'!D13,'03.08 Nakawa-Naguru-24h'!D13,'04.08 Nakawa-Naguru'!D13)</f>
        <v>18.714285714285715</v>
      </c>
      <c r="E13" s="49">
        <f>AVERAGE('29.07 Nakawa-Naguru'!E13,'30.07 Nakawa-Naguru'!E13,'31.07 Nakawa-Naguru'!E13,'02.08 Nakawa-Naguru'!E13,'01.08 Nakawa-Naguru-24h'!E13,'03.08 Nakawa-Naguru-24h'!E13,'04.08 Nakawa-Naguru'!E13)</f>
        <v>5.2857142857142856</v>
      </c>
      <c r="F13" s="49">
        <f>AVERAGE('29.07 Nakawa-Naguru'!F13,'30.07 Nakawa-Naguru'!F13,'31.07 Nakawa-Naguru'!F13,'02.08 Nakawa-Naguru'!F13,'01.08 Nakawa-Naguru-24h'!F13,'03.08 Nakawa-Naguru-24h'!F13,'04.08 Nakawa-Naguru'!F13)</f>
        <v>8.8571428571428577</v>
      </c>
      <c r="G13" s="49">
        <f>AVERAGE('29.07 Nakawa-Naguru'!G13,'30.07 Nakawa-Naguru'!G13,'31.07 Nakawa-Naguru'!G13,'02.08 Nakawa-Naguru'!G13,'01.08 Nakawa-Naguru-24h'!G13,'03.08 Nakawa-Naguru-24h'!G13,'04.08 Nakawa-Naguru'!G13)</f>
        <v>1.2857142857142858</v>
      </c>
      <c r="H13" s="49">
        <f>AVERAGE('29.07 Nakawa-Naguru'!H13,'30.07 Nakawa-Naguru'!H13,'31.07 Nakawa-Naguru'!H13,'02.08 Nakawa-Naguru'!H13,'01.08 Nakawa-Naguru-24h'!H13,'03.08 Nakawa-Naguru-24h'!H13,'04.08 Nakawa-Naguru'!H13)</f>
        <v>0</v>
      </c>
      <c r="I13" s="49">
        <f>AVERAGE('29.07 Nakawa-Naguru'!I13,'30.07 Nakawa-Naguru'!I13,'31.07 Nakawa-Naguru'!I13,'02.08 Nakawa-Naguru'!I13,'01.08 Nakawa-Naguru-24h'!I13,'03.08 Nakawa-Naguru-24h'!I13,'04.08 Nakawa-Naguru'!I13)</f>
        <v>1</v>
      </c>
      <c r="J13" s="49">
        <f>AVERAGE('29.07 Nakawa-Naguru'!J13,'30.07 Nakawa-Naguru'!J13,'31.07 Nakawa-Naguru'!J13,'02.08 Nakawa-Naguru'!J13,'01.08 Nakawa-Naguru-24h'!J13,'03.08 Nakawa-Naguru-24h'!J13,'04.08 Nakawa-Naguru'!J13)</f>
        <v>0.7142857142857143</v>
      </c>
      <c r="K13" s="49">
        <f>AVERAGE('29.07 Nakawa-Naguru'!K13,'30.07 Nakawa-Naguru'!K13,'31.07 Nakawa-Naguru'!K13,'02.08 Nakawa-Naguru'!K13,'01.08 Nakawa-Naguru-24h'!K13,'03.08 Nakawa-Naguru-24h'!K13,'04.08 Nakawa-Naguru'!K13)</f>
        <v>0</v>
      </c>
      <c r="L13" s="49">
        <f>AVERAGE('29.07 Nakawa-Naguru'!L13,'30.07 Nakawa-Naguru'!L13,'31.07 Nakawa-Naguru'!L13,'02.08 Nakawa-Naguru'!L13,'01.08 Nakawa-Naguru-24h'!L13,'03.08 Nakawa-Naguru-24h'!L13,'04.08 Nakawa-Naguru'!L13)</f>
        <v>0</v>
      </c>
      <c r="M13" s="49">
        <f>AVERAGE('29.07 Nakawa-Naguru'!M13,'30.07 Nakawa-Naguru'!M13,'31.07 Nakawa-Naguru'!M13,'02.08 Nakawa-Naguru'!M13,'01.08 Nakawa-Naguru-24h'!M13,'03.08 Nakawa-Naguru-24h'!M13,'04.08 Nakawa-Naguru'!M13)</f>
        <v>47.428571428571431</v>
      </c>
      <c r="N13" s="49">
        <f>AVERAGE('29.07 Nakawa-Naguru'!N13,'30.07 Nakawa-Naguru'!N13,'31.07 Nakawa-Naguru'!N13,'02.08 Nakawa-Naguru'!N13,'01.08 Nakawa-Naguru-24h'!N13,'03.08 Nakawa-Naguru-24h'!N13,'04.08 Nakawa-Naguru'!N13)</f>
        <v>0</v>
      </c>
      <c r="O13" s="15">
        <f t="shared" si="0"/>
        <v>67.142857142857139</v>
      </c>
      <c r="P13" s="15">
        <f t="shared" si="1"/>
        <v>114.57142857142857</v>
      </c>
      <c r="R13" s="1" t="s">
        <v>9</v>
      </c>
      <c r="S13" s="17">
        <f t="shared" ref="S13:AF13" si="5">SUM(C22:C25)</f>
        <v>152.71428571428572</v>
      </c>
      <c r="T13" s="17">
        <f t="shared" si="5"/>
        <v>128</v>
      </c>
      <c r="U13" s="17">
        <f t="shared" si="5"/>
        <v>38.285714285714285</v>
      </c>
      <c r="V13" s="17">
        <f t="shared" si="5"/>
        <v>25.285714285714285</v>
      </c>
      <c r="W13" s="17">
        <f t="shared" si="5"/>
        <v>0.71428571428571419</v>
      </c>
      <c r="X13" s="17">
        <f t="shared" si="5"/>
        <v>0.14285714285714285</v>
      </c>
      <c r="Y13" s="17">
        <f t="shared" si="5"/>
        <v>8.9999999999999982</v>
      </c>
      <c r="Z13" s="17">
        <f t="shared" si="5"/>
        <v>3.5714285714285716</v>
      </c>
      <c r="AA13" s="17">
        <f t="shared" si="5"/>
        <v>0.71428571428571419</v>
      </c>
      <c r="AB13" s="17">
        <f t="shared" si="5"/>
        <v>0.85714285714285698</v>
      </c>
      <c r="AC13" s="17">
        <f t="shared" si="5"/>
        <v>190</v>
      </c>
      <c r="AD13" s="17">
        <f t="shared" si="5"/>
        <v>0.2857142857142857</v>
      </c>
      <c r="AE13" s="31">
        <f t="shared" si="5"/>
        <v>359.57142857142856</v>
      </c>
      <c r="AF13" s="31">
        <f t="shared" si="5"/>
        <v>549.57142857142856</v>
      </c>
    </row>
    <row r="14" spans="2:32" ht="23.1" customHeight="1" x14ac:dyDescent="0.25">
      <c r="B14" s="23" t="s">
        <v>41</v>
      </c>
      <c r="C14" s="49">
        <f>AVERAGE('29.07 Nakawa-Naguru'!C14,'30.07 Nakawa-Naguru'!C14,'31.07 Nakawa-Naguru'!C14,'02.08 Nakawa-Naguru'!C14,'01.08 Nakawa-Naguru-24h'!C14,'03.08 Nakawa-Naguru-24h'!C14,'04.08 Nakawa-Naguru'!C14)</f>
        <v>31.857142857142858</v>
      </c>
      <c r="D14" s="49">
        <f>AVERAGE('29.07 Nakawa-Naguru'!D14,'30.07 Nakawa-Naguru'!D14,'31.07 Nakawa-Naguru'!D14,'02.08 Nakawa-Naguru'!D14,'01.08 Nakawa-Naguru-24h'!D14,'03.08 Nakawa-Naguru-24h'!D14,'04.08 Nakawa-Naguru'!D14)</f>
        <v>23.571428571428573</v>
      </c>
      <c r="E14" s="49">
        <f>AVERAGE('29.07 Nakawa-Naguru'!E14,'30.07 Nakawa-Naguru'!E14,'31.07 Nakawa-Naguru'!E14,'02.08 Nakawa-Naguru'!E14,'01.08 Nakawa-Naguru-24h'!E14,'03.08 Nakawa-Naguru-24h'!E14,'04.08 Nakawa-Naguru'!E14)</f>
        <v>5.7142857142857144</v>
      </c>
      <c r="F14" s="49">
        <f>AVERAGE('29.07 Nakawa-Naguru'!F14,'30.07 Nakawa-Naguru'!F14,'31.07 Nakawa-Naguru'!F14,'02.08 Nakawa-Naguru'!F14,'01.08 Nakawa-Naguru-24h'!F14,'03.08 Nakawa-Naguru-24h'!F14,'04.08 Nakawa-Naguru'!F14)</f>
        <v>10</v>
      </c>
      <c r="G14" s="49">
        <f>AVERAGE('29.07 Nakawa-Naguru'!G14,'30.07 Nakawa-Naguru'!G14,'31.07 Nakawa-Naguru'!G14,'02.08 Nakawa-Naguru'!G14,'01.08 Nakawa-Naguru-24h'!G14,'03.08 Nakawa-Naguru-24h'!G14,'04.08 Nakawa-Naguru'!G14)</f>
        <v>0</v>
      </c>
      <c r="H14" s="49">
        <f>AVERAGE('29.07 Nakawa-Naguru'!H14,'30.07 Nakawa-Naguru'!H14,'31.07 Nakawa-Naguru'!H14,'02.08 Nakawa-Naguru'!H14,'01.08 Nakawa-Naguru-24h'!H14,'03.08 Nakawa-Naguru-24h'!H14,'04.08 Nakawa-Naguru'!H14)</f>
        <v>0</v>
      </c>
      <c r="I14" s="49">
        <f>AVERAGE('29.07 Nakawa-Naguru'!I14,'30.07 Nakawa-Naguru'!I14,'31.07 Nakawa-Naguru'!I14,'02.08 Nakawa-Naguru'!I14,'01.08 Nakawa-Naguru-24h'!I14,'03.08 Nakawa-Naguru-24h'!I14,'04.08 Nakawa-Naguru'!I14)</f>
        <v>1.5714285714285714</v>
      </c>
      <c r="J14" s="49">
        <f>AVERAGE('29.07 Nakawa-Naguru'!J14,'30.07 Nakawa-Naguru'!J14,'31.07 Nakawa-Naguru'!J14,'02.08 Nakawa-Naguru'!J14,'01.08 Nakawa-Naguru-24h'!J14,'03.08 Nakawa-Naguru-24h'!J14,'04.08 Nakawa-Naguru'!J14)</f>
        <v>0.5714285714285714</v>
      </c>
      <c r="K14" s="49">
        <f>AVERAGE('29.07 Nakawa-Naguru'!K14,'30.07 Nakawa-Naguru'!K14,'31.07 Nakawa-Naguru'!K14,'02.08 Nakawa-Naguru'!K14,'01.08 Nakawa-Naguru-24h'!K14,'03.08 Nakawa-Naguru-24h'!K14,'04.08 Nakawa-Naguru'!K14)</f>
        <v>0</v>
      </c>
      <c r="L14" s="49">
        <f>AVERAGE('29.07 Nakawa-Naguru'!L14,'30.07 Nakawa-Naguru'!L14,'31.07 Nakawa-Naguru'!L14,'02.08 Nakawa-Naguru'!L14,'01.08 Nakawa-Naguru-24h'!L14,'03.08 Nakawa-Naguru-24h'!L14,'04.08 Nakawa-Naguru'!L14)</f>
        <v>0</v>
      </c>
      <c r="M14" s="49">
        <f>AVERAGE('29.07 Nakawa-Naguru'!M14,'30.07 Nakawa-Naguru'!M14,'31.07 Nakawa-Naguru'!M14,'02.08 Nakawa-Naguru'!M14,'01.08 Nakawa-Naguru-24h'!M14,'03.08 Nakawa-Naguru-24h'!M14,'04.08 Nakawa-Naguru'!M14)</f>
        <v>58</v>
      </c>
      <c r="N14" s="49">
        <f>AVERAGE('29.07 Nakawa-Naguru'!N14,'30.07 Nakawa-Naguru'!N14,'31.07 Nakawa-Naguru'!N14,'02.08 Nakawa-Naguru'!N14,'01.08 Nakawa-Naguru-24h'!N14,'03.08 Nakawa-Naguru-24h'!N14,'04.08 Nakawa-Naguru'!N14)</f>
        <v>0</v>
      </c>
      <c r="O14" s="15">
        <f t="shared" si="0"/>
        <v>73.285714285714278</v>
      </c>
      <c r="P14" s="15">
        <f t="shared" si="1"/>
        <v>131.28571428571428</v>
      </c>
      <c r="R14" s="1" t="s">
        <v>10</v>
      </c>
      <c r="S14" s="17">
        <f t="shared" ref="S14:AF14" si="6">SUM(C26:C29)</f>
        <v>225.57142857142856</v>
      </c>
      <c r="T14" s="17">
        <f t="shared" si="6"/>
        <v>147.57142857142856</v>
      </c>
      <c r="U14" s="17">
        <f t="shared" si="6"/>
        <v>46.142857142857139</v>
      </c>
      <c r="V14" s="17">
        <f t="shared" si="6"/>
        <v>23.714285714285715</v>
      </c>
      <c r="W14" s="17">
        <f t="shared" si="6"/>
        <v>0.71428571428571419</v>
      </c>
      <c r="X14" s="17">
        <f t="shared" si="6"/>
        <v>0.2857142857142857</v>
      </c>
      <c r="Y14" s="17">
        <f t="shared" si="6"/>
        <v>8.1428571428571423</v>
      </c>
      <c r="Z14" s="17">
        <f t="shared" si="6"/>
        <v>4</v>
      </c>
      <c r="AA14" s="17">
        <f t="shared" si="6"/>
        <v>1</v>
      </c>
      <c r="AB14" s="17">
        <f t="shared" si="6"/>
        <v>0.2857142857142857</v>
      </c>
      <c r="AC14" s="17">
        <f t="shared" si="6"/>
        <v>210.71428571428572</v>
      </c>
      <c r="AD14" s="17">
        <f t="shared" si="6"/>
        <v>0.14285714285714285</v>
      </c>
      <c r="AE14" s="31">
        <f t="shared" si="6"/>
        <v>457.57142857142856</v>
      </c>
      <c r="AF14" s="31">
        <f t="shared" si="6"/>
        <v>668.28571428571433</v>
      </c>
    </row>
    <row r="15" spans="2:32" ht="23.1" customHeight="1" x14ac:dyDescent="0.25">
      <c r="B15" s="23" t="s">
        <v>42</v>
      </c>
      <c r="C15" s="49">
        <f>AVERAGE('29.07 Nakawa-Naguru'!C15,'30.07 Nakawa-Naguru'!C15,'31.07 Nakawa-Naguru'!C15,'02.08 Nakawa-Naguru'!C15,'01.08 Nakawa-Naguru-24h'!C15,'03.08 Nakawa-Naguru-24h'!C15,'04.08 Nakawa-Naguru'!C15)</f>
        <v>40</v>
      </c>
      <c r="D15" s="49">
        <f>AVERAGE('29.07 Nakawa-Naguru'!D15,'30.07 Nakawa-Naguru'!D15,'31.07 Nakawa-Naguru'!D15,'02.08 Nakawa-Naguru'!D15,'01.08 Nakawa-Naguru-24h'!D15,'03.08 Nakawa-Naguru-24h'!D15,'04.08 Nakawa-Naguru'!D15)</f>
        <v>27.714285714285715</v>
      </c>
      <c r="E15" s="49">
        <f>AVERAGE('29.07 Nakawa-Naguru'!E15,'30.07 Nakawa-Naguru'!E15,'31.07 Nakawa-Naguru'!E15,'02.08 Nakawa-Naguru'!E15,'01.08 Nakawa-Naguru-24h'!E15,'03.08 Nakawa-Naguru-24h'!E15,'04.08 Nakawa-Naguru'!E15)</f>
        <v>8.2857142857142865</v>
      </c>
      <c r="F15" s="49">
        <f>AVERAGE('29.07 Nakawa-Naguru'!F15,'30.07 Nakawa-Naguru'!F15,'31.07 Nakawa-Naguru'!F15,'02.08 Nakawa-Naguru'!F15,'01.08 Nakawa-Naguru-24h'!F15,'03.08 Nakawa-Naguru-24h'!F15,'04.08 Nakawa-Naguru'!F15)</f>
        <v>15</v>
      </c>
      <c r="G15" s="49">
        <f>AVERAGE('29.07 Nakawa-Naguru'!G15,'30.07 Nakawa-Naguru'!G15,'31.07 Nakawa-Naguru'!G15,'02.08 Nakawa-Naguru'!G15,'01.08 Nakawa-Naguru-24h'!G15,'03.08 Nakawa-Naguru-24h'!G15,'04.08 Nakawa-Naguru'!G15)</f>
        <v>0.2857142857142857</v>
      </c>
      <c r="H15" s="49">
        <f>AVERAGE('29.07 Nakawa-Naguru'!H15,'30.07 Nakawa-Naguru'!H15,'31.07 Nakawa-Naguru'!H15,'02.08 Nakawa-Naguru'!H15,'01.08 Nakawa-Naguru-24h'!H15,'03.08 Nakawa-Naguru-24h'!H15,'04.08 Nakawa-Naguru'!H15)</f>
        <v>0</v>
      </c>
      <c r="I15" s="49">
        <f>AVERAGE('29.07 Nakawa-Naguru'!I15,'30.07 Nakawa-Naguru'!I15,'31.07 Nakawa-Naguru'!I15,'02.08 Nakawa-Naguru'!I15,'01.08 Nakawa-Naguru-24h'!I15,'03.08 Nakawa-Naguru-24h'!I15,'04.08 Nakawa-Naguru'!I15)</f>
        <v>1.5714285714285714</v>
      </c>
      <c r="J15" s="49">
        <f>AVERAGE('29.07 Nakawa-Naguru'!J15,'30.07 Nakawa-Naguru'!J15,'31.07 Nakawa-Naguru'!J15,'02.08 Nakawa-Naguru'!J15,'01.08 Nakawa-Naguru-24h'!J15,'03.08 Nakawa-Naguru-24h'!J15,'04.08 Nakawa-Naguru'!J15)</f>
        <v>0.8571428571428571</v>
      </c>
      <c r="K15" s="49">
        <f>AVERAGE('29.07 Nakawa-Naguru'!K15,'30.07 Nakawa-Naguru'!K15,'31.07 Nakawa-Naguru'!K15,'02.08 Nakawa-Naguru'!K15,'01.08 Nakawa-Naguru-24h'!K15,'03.08 Nakawa-Naguru-24h'!K15,'04.08 Nakawa-Naguru'!K15)</f>
        <v>0.2857142857142857</v>
      </c>
      <c r="L15" s="49">
        <f>AVERAGE('29.07 Nakawa-Naguru'!L15,'30.07 Nakawa-Naguru'!L15,'31.07 Nakawa-Naguru'!L15,'02.08 Nakawa-Naguru'!L15,'01.08 Nakawa-Naguru-24h'!L15,'03.08 Nakawa-Naguru-24h'!L15,'04.08 Nakawa-Naguru'!L15)</f>
        <v>0</v>
      </c>
      <c r="M15" s="49">
        <f>AVERAGE('29.07 Nakawa-Naguru'!M15,'30.07 Nakawa-Naguru'!M15,'31.07 Nakawa-Naguru'!M15,'02.08 Nakawa-Naguru'!M15,'01.08 Nakawa-Naguru-24h'!M15,'03.08 Nakawa-Naguru-24h'!M15,'04.08 Nakawa-Naguru'!M15)</f>
        <v>56</v>
      </c>
      <c r="N15" s="49">
        <f>AVERAGE('29.07 Nakawa-Naguru'!N15,'30.07 Nakawa-Naguru'!N15,'31.07 Nakawa-Naguru'!N15,'02.08 Nakawa-Naguru'!N15,'01.08 Nakawa-Naguru-24h'!N15,'03.08 Nakawa-Naguru-24h'!N15,'04.08 Nakawa-Naguru'!N15)</f>
        <v>0</v>
      </c>
      <c r="O15" s="15">
        <f t="shared" si="0"/>
        <v>94.000000000000028</v>
      </c>
      <c r="P15" s="15">
        <f t="shared" si="1"/>
        <v>150.00000000000003</v>
      </c>
      <c r="R15" s="1" t="s">
        <v>11</v>
      </c>
      <c r="S15" s="17">
        <f t="shared" ref="S15:AF15" si="7">SUM(C30:C33)</f>
        <v>225.14285714285717</v>
      </c>
      <c r="T15" s="17">
        <f t="shared" si="7"/>
        <v>194.57142857142858</v>
      </c>
      <c r="U15" s="17">
        <f t="shared" si="7"/>
        <v>48.428571428571431</v>
      </c>
      <c r="V15" s="17">
        <f t="shared" si="7"/>
        <v>26.142857142857142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11.285714285714286</v>
      </c>
      <c r="Z15" s="17">
        <f t="shared" si="7"/>
        <v>1.8571428571428572</v>
      </c>
      <c r="AA15" s="17">
        <f t="shared" si="7"/>
        <v>0.71428571428571419</v>
      </c>
      <c r="AB15" s="17">
        <f t="shared" si="7"/>
        <v>0.2857142857142857</v>
      </c>
      <c r="AC15" s="17">
        <f t="shared" si="7"/>
        <v>213</v>
      </c>
      <c r="AD15" s="17">
        <f t="shared" si="7"/>
        <v>0.2857142857142857</v>
      </c>
      <c r="AE15" s="31">
        <f t="shared" si="7"/>
        <v>508.99999999999994</v>
      </c>
      <c r="AF15" s="31">
        <f t="shared" si="7"/>
        <v>721.99999999999989</v>
      </c>
    </row>
    <row r="16" spans="2:32" ht="23.1" customHeight="1" x14ac:dyDescent="0.25">
      <c r="B16" s="23" t="s">
        <v>43</v>
      </c>
      <c r="C16" s="49">
        <f>AVERAGE('29.07 Nakawa-Naguru'!C16,'30.07 Nakawa-Naguru'!C16,'31.07 Nakawa-Naguru'!C16,'02.08 Nakawa-Naguru'!C16,'01.08 Nakawa-Naguru-24h'!C16,'03.08 Nakawa-Naguru-24h'!C16,'04.08 Nakawa-Naguru'!C16)</f>
        <v>28.571428571428573</v>
      </c>
      <c r="D16" s="49">
        <f>AVERAGE('29.07 Nakawa-Naguru'!D16,'30.07 Nakawa-Naguru'!D16,'31.07 Nakawa-Naguru'!D16,'02.08 Nakawa-Naguru'!D16,'01.08 Nakawa-Naguru-24h'!D16,'03.08 Nakawa-Naguru-24h'!D16,'04.08 Nakawa-Naguru'!D16)</f>
        <v>27.714285714285715</v>
      </c>
      <c r="E16" s="49">
        <f>AVERAGE('29.07 Nakawa-Naguru'!E16,'30.07 Nakawa-Naguru'!E16,'31.07 Nakawa-Naguru'!E16,'02.08 Nakawa-Naguru'!E16,'01.08 Nakawa-Naguru-24h'!E16,'03.08 Nakawa-Naguru-24h'!E16,'04.08 Nakawa-Naguru'!E16)</f>
        <v>5.5714285714285712</v>
      </c>
      <c r="F16" s="49">
        <f>AVERAGE('29.07 Nakawa-Naguru'!F16,'30.07 Nakawa-Naguru'!F16,'31.07 Nakawa-Naguru'!F16,'02.08 Nakawa-Naguru'!F16,'01.08 Nakawa-Naguru-24h'!F16,'03.08 Nakawa-Naguru-24h'!F16,'04.08 Nakawa-Naguru'!F16)</f>
        <v>10.142857142857142</v>
      </c>
      <c r="G16" s="49">
        <f>AVERAGE('29.07 Nakawa-Naguru'!G16,'30.07 Nakawa-Naguru'!G16,'31.07 Nakawa-Naguru'!G16,'02.08 Nakawa-Naguru'!G16,'01.08 Nakawa-Naguru-24h'!G16,'03.08 Nakawa-Naguru-24h'!G16,'04.08 Nakawa-Naguru'!G16)</f>
        <v>0</v>
      </c>
      <c r="H16" s="49">
        <f>AVERAGE('29.07 Nakawa-Naguru'!H16,'30.07 Nakawa-Naguru'!H16,'31.07 Nakawa-Naguru'!H16,'02.08 Nakawa-Naguru'!H16,'01.08 Nakawa-Naguru-24h'!H16,'03.08 Nakawa-Naguru-24h'!H16,'04.08 Nakawa-Naguru'!H16)</f>
        <v>0</v>
      </c>
      <c r="I16" s="49">
        <f>AVERAGE('29.07 Nakawa-Naguru'!I16,'30.07 Nakawa-Naguru'!I16,'31.07 Nakawa-Naguru'!I16,'02.08 Nakawa-Naguru'!I16,'01.08 Nakawa-Naguru-24h'!I16,'03.08 Nakawa-Naguru-24h'!I16,'04.08 Nakawa-Naguru'!I16)</f>
        <v>0.7142857142857143</v>
      </c>
      <c r="J16" s="49">
        <f>AVERAGE('29.07 Nakawa-Naguru'!J16,'30.07 Nakawa-Naguru'!J16,'31.07 Nakawa-Naguru'!J16,'02.08 Nakawa-Naguru'!J16,'01.08 Nakawa-Naguru-24h'!J16,'03.08 Nakawa-Naguru-24h'!J16,'04.08 Nakawa-Naguru'!J16)</f>
        <v>0.7142857142857143</v>
      </c>
      <c r="K16" s="49">
        <f>AVERAGE('29.07 Nakawa-Naguru'!K16,'30.07 Nakawa-Naguru'!K16,'31.07 Nakawa-Naguru'!K16,'02.08 Nakawa-Naguru'!K16,'01.08 Nakawa-Naguru-24h'!K16,'03.08 Nakawa-Naguru-24h'!K16,'04.08 Nakawa-Naguru'!K16)</f>
        <v>0</v>
      </c>
      <c r="L16" s="49">
        <f>AVERAGE('29.07 Nakawa-Naguru'!L16,'30.07 Nakawa-Naguru'!L16,'31.07 Nakawa-Naguru'!L16,'02.08 Nakawa-Naguru'!L16,'01.08 Nakawa-Naguru-24h'!L16,'03.08 Nakawa-Naguru-24h'!L16,'04.08 Nakawa-Naguru'!L16)</f>
        <v>0</v>
      </c>
      <c r="M16" s="49">
        <f>AVERAGE('29.07 Nakawa-Naguru'!M16,'30.07 Nakawa-Naguru'!M16,'31.07 Nakawa-Naguru'!M16,'02.08 Nakawa-Naguru'!M16,'01.08 Nakawa-Naguru-24h'!M16,'03.08 Nakawa-Naguru-24h'!M16,'04.08 Nakawa-Naguru'!M16)</f>
        <v>58.857142857142854</v>
      </c>
      <c r="N16" s="49">
        <f>AVERAGE('29.07 Nakawa-Naguru'!N16,'30.07 Nakawa-Naguru'!N16,'31.07 Nakawa-Naguru'!N16,'02.08 Nakawa-Naguru'!N16,'01.08 Nakawa-Naguru-24h'!N16,'03.08 Nakawa-Naguru-24h'!N16,'04.08 Nakawa-Naguru'!N16)</f>
        <v>0</v>
      </c>
      <c r="O16" s="15">
        <f t="shared" si="0"/>
        <v>73.428571428571416</v>
      </c>
      <c r="P16" s="15">
        <f t="shared" si="1"/>
        <v>132.28571428571428</v>
      </c>
      <c r="R16" s="1" t="s">
        <v>12</v>
      </c>
      <c r="S16" s="17">
        <f t="shared" ref="S16:AF16" si="8">SUM(C34:C37)</f>
        <v>251.71428571428572</v>
      </c>
      <c r="T16" s="17">
        <f t="shared" si="8"/>
        <v>221.57142857142858</v>
      </c>
      <c r="U16" s="17">
        <f t="shared" si="8"/>
        <v>41.714285714285715</v>
      </c>
      <c r="V16" s="17">
        <f t="shared" si="8"/>
        <v>21.428571428571431</v>
      </c>
      <c r="W16" s="17">
        <f t="shared" si="8"/>
        <v>0.8571428571428571</v>
      </c>
      <c r="X16" s="17">
        <f t="shared" si="8"/>
        <v>0.2857142857142857</v>
      </c>
      <c r="Y16" s="17">
        <f t="shared" si="8"/>
        <v>7.5714285714285712</v>
      </c>
      <c r="Z16" s="17">
        <f t="shared" si="8"/>
        <v>4.4285714285714288</v>
      </c>
      <c r="AA16" s="17">
        <f t="shared" si="8"/>
        <v>0.8571428571428571</v>
      </c>
      <c r="AB16" s="17">
        <f t="shared" si="8"/>
        <v>0.2857142857142857</v>
      </c>
      <c r="AC16" s="17">
        <f t="shared" si="8"/>
        <v>201.42857142857144</v>
      </c>
      <c r="AD16" s="17">
        <f t="shared" si="8"/>
        <v>0.2857142857142857</v>
      </c>
      <c r="AE16" s="31">
        <f t="shared" si="8"/>
        <v>551</v>
      </c>
      <c r="AF16" s="31">
        <f t="shared" si="8"/>
        <v>752.42857142857133</v>
      </c>
    </row>
    <row r="17" spans="2:32" ht="23.1" customHeight="1" x14ac:dyDescent="0.25">
      <c r="B17" s="23" t="s">
        <v>44</v>
      </c>
      <c r="C17" s="49">
        <f>AVERAGE('29.07 Nakawa-Naguru'!C17,'30.07 Nakawa-Naguru'!C17,'31.07 Nakawa-Naguru'!C17,'02.08 Nakawa-Naguru'!C17,'01.08 Nakawa-Naguru-24h'!C17,'03.08 Nakawa-Naguru-24h'!C17,'04.08 Nakawa-Naguru'!C17)</f>
        <v>39.428571428571431</v>
      </c>
      <c r="D17" s="49">
        <f>AVERAGE('29.07 Nakawa-Naguru'!D17,'30.07 Nakawa-Naguru'!D17,'31.07 Nakawa-Naguru'!D17,'02.08 Nakawa-Naguru'!D17,'01.08 Nakawa-Naguru-24h'!D17,'03.08 Nakawa-Naguru-24h'!D17,'04.08 Nakawa-Naguru'!D17)</f>
        <v>31.714285714285715</v>
      </c>
      <c r="E17" s="49">
        <f>AVERAGE('29.07 Nakawa-Naguru'!E17,'30.07 Nakawa-Naguru'!E17,'31.07 Nakawa-Naguru'!E17,'02.08 Nakawa-Naguru'!E17,'01.08 Nakawa-Naguru-24h'!E17,'03.08 Nakawa-Naguru-24h'!E17,'04.08 Nakawa-Naguru'!E17)</f>
        <v>12</v>
      </c>
      <c r="F17" s="49">
        <f>AVERAGE('29.07 Nakawa-Naguru'!F17,'30.07 Nakawa-Naguru'!F17,'31.07 Nakawa-Naguru'!F17,'02.08 Nakawa-Naguru'!F17,'01.08 Nakawa-Naguru-24h'!F17,'03.08 Nakawa-Naguru-24h'!F17,'04.08 Nakawa-Naguru'!F17)</f>
        <v>11.285714285714286</v>
      </c>
      <c r="G17" s="49">
        <f>AVERAGE('29.07 Nakawa-Naguru'!G17,'30.07 Nakawa-Naguru'!G17,'31.07 Nakawa-Naguru'!G17,'02.08 Nakawa-Naguru'!G17,'01.08 Nakawa-Naguru-24h'!G17,'03.08 Nakawa-Naguru-24h'!G17,'04.08 Nakawa-Naguru'!G17)</f>
        <v>0</v>
      </c>
      <c r="H17" s="49">
        <f>AVERAGE('29.07 Nakawa-Naguru'!H17,'30.07 Nakawa-Naguru'!H17,'31.07 Nakawa-Naguru'!H17,'02.08 Nakawa-Naguru'!H17,'01.08 Nakawa-Naguru-24h'!H17,'03.08 Nakawa-Naguru-24h'!H17,'04.08 Nakawa-Naguru'!H17)</f>
        <v>0</v>
      </c>
      <c r="I17" s="49">
        <f>AVERAGE('29.07 Nakawa-Naguru'!I17,'30.07 Nakawa-Naguru'!I17,'31.07 Nakawa-Naguru'!I17,'02.08 Nakawa-Naguru'!I17,'01.08 Nakawa-Naguru-24h'!I17,'03.08 Nakawa-Naguru-24h'!I17,'04.08 Nakawa-Naguru'!I17)</f>
        <v>1.5714285714285714</v>
      </c>
      <c r="J17" s="49">
        <f>AVERAGE('29.07 Nakawa-Naguru'!J17,'30.07 Nakawa-Naguru'!J17,'31.07 Nakawa-Naguru'!J17,'02.08 Nakawa-Naguru'!J17,'01.08 Nakawa-Naguru-24h'!J17,'03.08 Nakawa-Naguru-24h'!J17,'04.08 Nakawa-Naguru'!J17)</f>
        <v>0.2857142857142857</v>
      </c>
      <c r="K17" s="49">
        <f>AVERAGE('29.07 Nakawa-Naguru'!K17,'30.07 Nakawa-Naguru'!K17,'31.07 Nakawa-Naguru'!K17,'02.08 Nakawa-Naguru'!K17,'01.08 Nakawa-Naguru-24h'!K17,'03.08 Nakawa-Naguru-24h'!K17,'04.08 Nakawa-Naguru'!K17)</f>
        <v>0.2857142857142857</v>
      </c>
      <c r="L17" s="49">
        <f>AVERAGE('29.07 Nakawa-Naguru'!L17,'30.07 Nakawa-Naguru'!L17,'31.07 Nakawa-Naguru'!L17,'02.08 Nakawa-Naguru'!L17,'01.08 Nakawa-Naguru-24h'!L17,'03.08 Nakawa-Naguru-24h'!L17,'04.08 Nakawa-Naguru'!L17)</f>
        <v>0</v>
      </c>
      <c r="M17" s="49">
        <f>AVERAGE('29.07 Nakawa-Naguru'!M17,'30.07 Nakawa-Naguru'!M17,'31.07 Nakawa-Naguru'!M17,'02.08 Nakawa-Naguru'!M17,'01.08 Nakawa-Naguru-24h'!M17,'03.08 Nakawa-Naguru-24h'!M17,'04.08 Nakawa-Naguru'!M17)</f>
        <v>59</v>
      </c>
      <c r="N17" s="49">
        <f>AVERAGE('29.07 Nakawa-Naguru'!N17,'30.07 Nakawa-Naguru'!N17,'31.07 Nakawa-Naguru'!N17,'02.08 Nakawa-Naguru'!N17,'01.08 Nakawa-Naguru-24h'!N17,'03.08 Nakawa-Naguru-24h'!N17,'04.08 Nakawa-Naguru'!N17)</f>
        <v>0</v>
      </c>
      <c r="O17" s="15">
        <f t="shared" si="0"/>
        <v>96.571428571428584</v>
      </c>
      <c r="P17" s="15">
        <f t="shared" si="1"/>
        <v>155.57142857142858</v>
      </c>
      <c r="R17" s="1" t="s">
        <v>13</v>
      </c>
      <c r="S17" s="17">
        <f t="shared" ref="S17:AF17" si="9">SUM(C38:C41)</f>
        <v>256.28571428571428</v>
      </c>
      <c r="T17" s="17">
        <f t="shared" si="9"/>
        <v>245.71428571428572</v>
      </c>
      <c r="U17" s="17">
        <f t="shared" si="9"/>
        <v>58.714285714285708</v>
      </c>
      <c r="V17" s="17">
        <f t="shared" si="9"/>
        <v>26.714285714285712</v>
      </c>
      <c r="W17" s="17">
        <f t="shared" si="9"/>
        <v>0.71428571428571419</v>
      </c>
      <c r="X17" s="17">
        <f t="shared" si="9"/>
        <v>0</v>
      </c>
      <c r="Y17" s="17">
        <f t="shared" si="9"/>
        <v>6</v>
      </c>
      <c r="Z17" s="17">
        <f t="shared" si="9"/>
        <v>1</v>
      </c>
      <c r="AA17" s="17">
        <f t="shared" si="9"/>
        <v>0.5714285714285714</v>
      </c>
      <c r="AB17" s="17">
        <f t="shared" si="9"/>
        <v>0.42857142857142855</v>
      </c>
      <c r="AC17" s="17">
        <f t="shared" si="9"/>
        <v>160.71428571428572</v>
      </c>
      <c r="AD17" s="17">
        <f t="shared" si="9"/>
        <v>0</v>
      </c>
      <c r="AE17" s="31">
        <f t="shared" si="9"/>
        <v>596.14285714285711</v>
      </c>
      <c r="AF17" s="31">
        <f t="shared" si="9"/>
        <v>756.85714285714289</v>
      </c>
    </row>
    <row r="18" spans="2:32" ht="23.1" customHeight="1" x14ac:dyDescent="0.25">
      <c r="B18" s="23" t="s">
        <v>45</v>
      </c>
      <c r="C18" s="49">
        <f>AVERAGE('29.07 Nakawa-Naguru'!C18,'30.07 Nakawa-Naguru'!C18,'31.07 Nakawa-Naguru'!C18,'02.08 Nakawa-Naguru'!C18,'01.08 Nakawa-Naguru-24h'!C18,'03.08 Nakawa-Naguru-24h'!C18,'04.08 Nakawa-Naguru'!C18)</f>
        <v>36.142857142857146</v>
      </c>
      <c r="D18" s="49">
        <f>AVERAGE('29.07 Nakawa-Naguru'!D18,'30.07 Nakawa-Naguru'!D18,'31.07 Nakawa-Naguru'!D18,'02.08 Nakawa-Naguru'!D18,'01.08 Nakawa-Naguru-24h'!D18,'03.08 Nakawa-Naguru-24h'!D18,'04.08 Nakawa-Naguru'!D18)</f>
        <v>29.285714285714285</v>
      </c>
      <c r="E18" s="49">
        <f>AVERAGE('29.07 Nakawa-Naguru'!E18,'30.07 Nakawa-Naguru'!E18,'31.07 Nakawa-Naguru'!E18,'02.08 Nakawa-Naguru'!E18,'01.08 Nakawa-Naguru-24h'!E18,'03.08 Nakawa-Naguru-24h'!E18,'04.08 Nakawa-Naguru'!E18)</f>
        <v>9.8571428571428577</v>
      </c>
      <c r="F18" s="49">
        <f>AVERAGE('29.07 Nakawa-Naguru'!F18,'30.07 Nakawa-Naguru'!F18,'31.07 Nakawa-Naguru'!F18,'02.08 Nakawa-Naguru'!F18,'01.08 Nakawa-Naguru-24h'!F18,'03.08 Nakawa-Naguru-24h'!F18,'04.08 Nakawa-Naguru'!F18)</f>
        <v>8.1428571428571423</v>
      </c>
      <c r="G18" s="49">
        <f>AVERAGE('29.07 Nakawa-Naguru'!G18,'30.07 Nakawa-Naguru'!G18,'31.07 Nakawa-Naguru'!G18,'02.08 Nakawa-Naguru'!G18,'01.08 Nakawa-Naguru-24h'!G18,'03.08 Nakawa-Naguru-24h'!G18,'04.08 Nakawa-Naguru'!G18)</f>
        <v>0.14285714285714285</v>
      </c>
      <c r="H18" s="49">
        <f>AVERAGE('29.07 Nakawa-Naguru'!H18,'30.07 Nakawa-Naguru'!H18,'31.07 Nakawa-Naguru'!H18,'02.08 Nakawa-Naguru'!H18,'01.08 Nakawa-Naguru-24h'!H18,'03.08 Nakawa-Naguru-24h'!H18,'04.08 Nakawa-Naguru'!H18)</f>
        <v>0</v>
      </c>
      <c r="I18" s="49">
        <f>AVERAGE('29.07 Nakawa-Naguru'!I18,'30.07 Nakawa-Naguru'!I18,'31.07 Nakawa-Naguru'!I18,'02.08 Nakawa-Naguru'!I18,'01.08 Nakawa-Naguru-24h'!I18,'03.08 Nakawa-Naguru-24h'!I18,'04.08 Nakawa-Naguru'!I18)</f>
        <v>2</v>
      </c>
      <c r="J18" s="49">
        <f>AVERAGE('29.07 Nakawa-Naguru'!J18,'30.07 Nakawa-Naguru'!J18,'31.07 Nakawa-Naguru'!J18,'02.08 Nakawa-Naguru'!J18,'01.08 Nakawa-Naguru-24h'!J18,'03.08 Nakawa-Naguru-24h'!J18,'04.08 Nakawa-Naguru'!J18)</f>
        <v>1</v>
      </c>
      <c r="K18" s="49">
        <f>AVERAGE('29.07 Nakawa-Naguru'!K18,'30.07 Nakawa-Naguru'!K18,'31.07 Nakawa-Naguru'!K18,'02.08 Nakawa-Naguru'!K18,'01.08 Nakawa-Naguru-24h'!K18,'03.08 Nakawa-Naguru-24h'!K18,'04.08 Nakawa-Naguru'!K18)</f>
        <v>0.14285714285714285</v>
      </c>
      <c r="L18" s="49">
        <f>AVERAGE('29.07 Nakawa-Naguru'!L18,'30.07 Nakawa-Naguru'!L18,'31.07 Nakawa-Naguru'!L18,'02.08 Nakawa-Naguru'!L18,'01.08 Nakawa-Naguru-24h'!L18,'03.08 Nakawa-Naguru-24h'!L18,'04.08 Nakawa-Naguru'!L18)</f>
        <v>0</v>
      </c>
      <c r="M18" s="49">
        <f>AVERAGE('29.07 Nakawa-Naguru'!M18,'30.07 Nakawa-Naguru'!M18,'31.07 Nakawa-Naguru'!M18,'02.08 Nakawa-Naguru'!M18,'01.08 Nakawa-Naguru-24h'!M18,'03.08 Nakawa-Naguru-24h'!M18,'04.08 Nakawa-Naguru'!M18)</f>
        <v>56.857142857142854</v>
      </c>
      <c r="N18" s="49">
        <f>AVERAGE('29.07 Nakawa-Naguru'!N18,'30.07 Nakawa-Naguru'!N18,'31.07 Nakawa-Naguru'!N18,'02.08 Nakawa-Naguru'!N18,'01.08 Nakawa-Naguru-24h'!N18,'03.08 Nakawa-Naguru-24h'!N18,'04.08 Nakawa-Naguru'!N18)</f>
        <v>0</v>
      </c>
      <c r="O18" s="15">
        <f t="shared" si="0"/>
        <v>86.714285714285708</v>
      </c>
      <c r="P18" s="15">
        <f t="shared" si="1"/>
        <v>143.57142857142856</v>
      </c>
      <c r="R18" s="1" t="s">
        <v>14</v>
      </c>
      <c r="S18" s="17">
        <f t="shared" ref="S18:AF18" si="10">SUM(C42:C45)</f>
        <v>315.57142857142856</v>
      </c>
      <c r="T18" s="17">
        <f t="shared" si="10"/>
        <v>310.71428571428567</v>
      </c>
      <c r="U18" s="17">
        <f t="shared" si="10"/>
        <v>56.571428571428569</v>
      </c>
      <c r="V18" s="17">
        <f t="shared" si="10"/>
        <v>22.142857142857142</v>
      </c>
      <c r="W18" s="17">
        <f t="shared" si="10"/>
        <v>0.2857142857142857</v>
      </c>
      <c r="X18" s="17">
        <f t="shared" si="10"/>
        <v>0</v>
      </c>
      <c r="Y18" s="17">
        <f t="shared" si="10"/>
        <v>8.4285714285714288</v>
      </c>
      <c r="Z18" s="17">
        <f t="shared" si="10"/>
        <v>2.2857142857142856</v>
      </c>
      <c r="AA18" s="17">
        <f t="shared" si="10"/>
        <v>0.99999999999999978</v>
      </c>
      <c r="AB18" s="17">
        <f t="shared" si="10"/>
        <v>0.14285714285714285</v>
      </c>
      <c r="AC18" s="17">
        <f t="shared" si="10"/>
        <v>181.28571428571428</v>
      </c>
      <c r="AD18" s="17">
        <f t="shared" si="10"/>
        <v>0.14285714285714285</v>
      </c>
      <c r="AE18" s="31">
        <f t="shared" si="10"/>
        <v>717.28571428571422</v>
      </c>
      <c r="AF18" s="31">
        <f t="shared" si="10"/>
        <v>898.57142857142844</v>
      </c>
    </row>
    <row r="19" spans="2:32" ht="23.1" customHeight="1" x14ac:dyDescent="0.25">
      <c r="B19" s="23" t="s">
        <v>46</v>
      </c>
      <c r="C19" s="49">
        <f>AVERAGE('29.07 Nakawa-Naguru'!C19,'30.07 Nakawa-Naguru'!C19,'31.07 Nakawa-Naguru'!C19,'02.08 Nakawa-Naguru'!C19,'01.08 Nakawa-Naguru-24h'!C19,'03.08 Nakawa-Naguru-24h'!C19,'04.08 Nakawa-Naguru'!C19)</f>
        <v>32.285714285714285</v>
      </c>
      <c r="D19" s="49">
        <f>AVERAGE('29.07 Nakawa-Naguru'!D19,'30.07 Nakawa-Naguru'!D19,'31.07 Nakawa-Naguru'!D19,'02.08 Nakawa-Naguru'!D19,'01.08 Nakawa-Naguru-24h'!D19,'03.08 Nakawa-Naguru-24h'!D19,'04.08 Nakawa-Naguru'!D19)</f>
        <v>25.285714285714285</v>
      </c>
      <c r="E19" s="49">
        <f>AVERAGE('29.07 Nakawa-Naguru'!E19,'30.07 Nakawa-Naguru'!E19,'31.07 Nakawa-Naguru'!E19,'02.08 Nakawa-Naguru'!E19,'01.08 Nakawa-Naguru-24h'!E19,'03.08 Nakawa-Naguru-24h'!E19,'04.08 Nakawa-Naguru'!E19)</f>
        <v>8</v>
      </c>
      <c r="F19" s="49">
        <f>AVERAGE('29.07 Nakawa-Naguru'!F19,'30.07 Nakawa-Naguru'!F19,'31.07 Nakawa-Naguru'!F19,'02.08 Nakawa-Naguru'!F19,'01.08 Nakawa-Naguru-24h'!F19,'03.08 Nakawa-Naguru-24h'!F19,'04.08 Nakawa-Naguru'!F19)</f>
        <v>10</v>
      </c>
      <c r="G19" s="49">
        <f>AVERAGE('29.07 Nakawa-Naguru'!G19,'30.07 Nakawa-Naguru'!G19,'31.07 Nakawa-Naguru'!G19,'02.08 Nakawa-Naguru'!G19,'01.08 Nakawa-Naguru-24h'!G19,'03.08 Nakawa-Naguru-24h'!G19,'04.08 Nakawa-Naguru'!G19)</f>
        <v>0</v>
      </c>
      <c r="H19" s="49">
        <f>AVERAGE('29.07 Nakawa-Naguru'!H19,'30.07 Nakawa-Naguru'!H19,'31.07 Nakawa-Naguru'!H19,'02.08 Nakawa-Naguru'!H19,'01.08 Nakawa-Naguru-24h'!H19,'03.08 Nakawa-Naguru-24h'!H19,'04.08 Nakawa-Naguru'!H19)</f>
        <v>0</v>
      </c>
      <c r="I19" s="49">
        <f>AVERAGE('29.07 Nakawa-Naguru'!I19,'30.07 Nakawa-Naguru'!I19,'31.07 Nakawa-Naguru'!I19,'02.08 Nakawa-Naguru'!I19,'01.08 Nakawa-Naguru-24h'!I19,'03.08 Nakawa-Naguru-24h'!I19,'04.08 Nakawa-Naguru'!I19)</f>
        <v>1.8571428571428572</v>
      </c>
      <c r="J19" s="49">
        <f>AVERAGE('29.07 Nakawa-Naguru'!J19,'30.07 Nakawa-Naguru'!J19,'31.07 Nakawa-Naguru'!J19,'02.08 Nakawa-Naguru'!J19,'01.08 Nakawa-Naguru-24h'!J19,'03.08 Nakawa-Naguru-24h'!J19,'04.08 Nakawa-Naguru'!J19)</f>
        <v>0.7142857142857143</v>
      </c>
      <c r="K19" s="49">
        <f>AVERAGE('29.07 Nakawa-Naguru'!K19,'30.07 Nakawa-Naguru'!K19,'31.07 Nakawa-Naguru'!K19,'02.08 Nakawa-Naguru'!K19,'01.08 Nakawa-Naguru-24h'!K19,'03.08 Nakawa-Naguru-24h'!K19,'04.08 Nakawa-Naguru'!K19)</f>
        <v>0.14285714285714285</v>
      </c>
      <c r="L19" s="49">
        <f>AVERAGE('29.07 Nakawa-Naguru'!L19,'30.07 Nakawa-Naguru'!L19,'31.07 Nakawa-Naguru'!L19,'02.08 Nakawa-Naguru'!L19,'01.08 Nakawa-Naguru-24h'!L19,'03.08 Nakawa-Naguru-24h'!L19,'04.08 Nakawa-Naguru'!L19)</f>
        <v>0</v>
      </c>
      <c r="M19" s="49">
        <f>AVERAGE('29.07 Nakawa-Naguru'!M19,'30.07 Nakawa-Naguru'!M19,'31.07 Nakawa-Naguru'!M19,'02.08 Nakawa-Naguru'!M19,'01.08 Nakawa-Naguru-24h'!M19,'03.08 Nakawa-Naguru-24h'!M19,'04.08 Nakawa-Naguru'!M19)</f>
        <v>47.857142857142854</v>
      </c>
      <c r="N19" s="49">
        <f>AVERAGE('29.07 Nakawa-Naguru'!N19,'30.07 Nakawa-Naguru'!N19,'31.07 Nakawa-Naguru'!N19,'02.08 Nakawa-Naguru'!N19,'01.08 Nakawa-Naguru-24h'!N19,'03.08 Nakawa-Naguru-24h'!N19,'04.08 Nakawa-Naguru'!N19)</f>
        <v>0</v>
      </c>
      <c r="O19" s="15">
        <f t="shared" si="0"/>
        <v>78.285714285714278</v>
      </c>
      <c r="P19" s="15">
        <f t="shared" si="1"/>
        <v>126.14285714285714</v>
      </c>
      <c r="R19" s="1" t="s">
        <v>15</v>
      </c>
      <c r="S19" s="17">
        <f t="shared" ref="S19:AF19" si="11">SUM(C46:C49)</f>
        <v>380.42857142857144</v>
      </c>
      <c r="T19" s="17">
        <f t="shared" si="11"/>
        <v>352.28571428571428</v>
      </c>
      <c r="U19" s="17">
        <f t="shared" si="11"/>
        <v>62.285714285714292</v>
      </c>
      <c r="V19" s="17">
        <f t="shared" si="11"/>
        <v>26</v>
      </c>
      <c r="W19" s="17">
        <f t="shared" si="11"/>
        <v>0</v>
      </c>
      <c r="X19" s="17">
        <f t="shared" si="11"/>
        <v>0.71428571428571419</v>
      </c>
      <c r="Y19" s="17">
        <f t="shared" si="11"/>
        <v>4.4285714285714279</v>
      </c>
      <c r="Z19" s="17">
        <f t="shared" si="11"/>
        <v>1.4285714285714286</v>
      </c>
      <c r="AA19" s="17">
        <f t="shared" si="11"/>
        <v>1.2857142857142856</v>
      </c>
      <c r="AB19" s="17">
        <f t="shared" si="11"/>
        <v>0.5714285714285714</v>
      </c>
      <c r="AC19" s="17">
        <f t="shared" si="11"/>
        <v>191.42857142857142</v>
      </c>
      <c r="AD19" s="17">
        <f t="shared" si="11"/>
        <v>0</v>
      </c>
      <c r="AE19" s="31">
        <f t="shared" si="11"/>
        <v>829.42857142857133</v>
      </c>
      <c r="AF19" s="31">
        <f t="shared" si="11"/>
        <v>1020.8571428571428</v>
      </c>
    </row>
    <row r="20" spans="2:32" ht="23.1" customHeight="1" x14ac:dyDescent="0.25">
      <c r="B20" s="23" t="s">
        <v>47</v>
      </c>
      <c r="C20" s="49">
        <f>AVERAGE('29.07 Nakawa-Naguru'!C20,'30.07 Nakawa-Naguru'!C20,'31.07 Nakawa-Naguru'!C20,'02.08 Nakawa-Naguru'!C20,'01.08 Nakawa-Naguru-24h'!C20,'03.08 Nakawa-Naguru-24h'!C20,'04.08 Nakawa-Naguru'!C20)</f>
        <v>29.142857142857142</v>
      </c>
      <c r="D20" s="49">
        <f>AVERAGE('29.07 Nakawa-Naguru'!D20,'30.07 Nakawa-Naguru'!D20,'31.07 Nakawa-Naguru'!D20,'02.08 Nakawa-Naguru'!D20,'01.08 Nakawa-Naguru-24h'!D20,'03.08 Nakawa-Naguru-24h'!D20,'04.08 Nakawa-Naguru'!D20)</f>
        <v>40.571428571428569</v>
      </c>
      <c r="E20" s="49">
        <f>AVERAGE('29.07 Nakawa-Naguru'!E20,'30.07 Nakawa-Naguru'!E20,'31.07 Nakawa-Naguru'!E20,'02.08 Nakawa-Naguru'!E20,'01.08 Nakawa-Naguru-24h'!E20,'03.08 Nakawa-Naguru-24h'!E20,'04.08 Nakawa-Naguru'!E20)</f>
        <v>10.571428571428571</v>
      </c>
      <c r="F20" s="49">
        <f>AVERAGE('29.07 Nakawa-Naguru'!F20,'30.07 Nakawa-Naguru'!F20,'31.07 Nakawa-Naguru'!F20,'02.08 Nakawa-Naguru'!F20,'01.08 Nakawa-Naguru-24h'!F20,'03.08 Nakawa-Naguru-24h'!F20,'04.08 Nakawa-Naguru'!F20)</f>
        <v>6.8571428571428568</v>
      </c>
      <c r="G20" s="49">
        <f>AVERAGE('29.07 Nakawa-Naguru'!G20,'30.07 Nakawa-Naguru'!G20,'31.07 Nakawa-Naguru'!G20,'02.08 Nakawa-Naguru'!G20,'01.08 Nakawa-Naguru-24h'!G20,'03.08 Nakawa-Naguru-24h'!G20,'04.08 Nakawa-Naguru'!G20)</f>
        <v>0.7142857142857143</v>
      </c>
      <c r="H20" s="49">
        <f>AVERAGE('29.07 Nakawa-Naguru'!H20,'30.07 Nakawa-Naguru'!H20,'31.07 Nakawa-Naguru'!H20,'02.08 Nakawa-Naguru'!H20,'01.08 Nakawa-Naguru-24h'!H20,'03.08 Nakawa-Naguru-24h'!H20,'04.08 Nakawa-Naguru'!H20)</f>
        <v>0.14285714285714285</v>
      </c>
      <c r="I20" s="49">
        <f>AVERAGE('29.07 Nakawa-Naguru'!I20,'30.07 Nakawa-Naguru'!I20,'31.07 Nakawa-Naguru'!I20,'02.08 Nakawa-Naguru'!I20,'01.08 Nakawa-Naguru-24h'!I20,'03.08 Nakawa-Naguru-24h'!I20,'04.08 Nakawa-Naguru'!I20)</f>
        <v>2.1428571428571428</v>
      </c>
      <c r="J20" s="49">
        <f>AVERAGE('29.07 Nakawa-Naguru'!J20,'30.07 Nakawa-Naguru'!J20,'31.07 Nakawa-Naguru'!J20,'02.08 Nakawa-Naguru'!J20,'01.08 Nakawa-Naguru-24h'!J20,'03.08 Nakawa-Naguru-24h'!J20,'04.08 Nakawa-Naguru'!J20)</f>
        <v>0.5714285714285714</v>
      </c>
      <c r="K20" s="49">
        <f>AVERAGE('29.07 Nakawa-Naguru'!K20,'30.07 Nakawa-Naguru'!K20,'31.07 Nakawa-Naguru'!K20,'02.08 Nakawa-Naguru'!K20,'01.08 Nakawa-Naguru-24h'!K20,'03.08 Nakawa-Naguru-24h'!K20,'04.08 Nakawa-Naguru'!K20)</f>
        <v>0</v>
      </c>
      <c r="L20" s="49">
        <f>AVERAGE('29.07 Nakawa-Naguru'!L20,'30.07 Nakawa-Naguru'!L20,'31.07 Nakawa-Naguru'!L20,'02.08 Nakawa-Naguru'!L20,'01.08 Nakawa-Naguru-24h'!L20,'03.08 Nakawa-Naguru-24h'!L20,'04.08 Nakawa-Naguru'!L20)</f>
        <v>0.14285714285714285</v>
      </c>
      <c r="M20" s="49">
        <f>AVERAGE('29.07 Nakawa-Naguru'!M20,'30.07 Nakawa-Naguru'!M20,'31.07 Nakawa-Naguru'!M20,'02.08 Nakawa-Naguru'!M20,'01.08 Nakawa-Naguru-24h'!M20,'03.08 Nakawa-Naguru-24h'!M20,'04.08 Nakawa-Naguru'!M20)</f>
        <v>49.714285714285715</v>
      </c>
      <c r="N20" s="49">
        <f>AVERAGE('29.07 Nakawa-Naguru'!N20,'30.07 Nakawa-Naguru'!N20,'31.07 Nakawa-Naguru'!N20,'02.08 Nakawa-Naguru'!N20,'01.08 Nakawa-Naguru-24h'!N20,'03.08 Nakawa-Naguru-24h'!N20,'04.08 Nakawa-Naguru'!N20)</f>
        <v>0</v>
      </c>
      <c r="O20" s="15">
        <f t="shared" si="0"/>
        <v>90.857142857142833</v>
      </c>
      <c r="P20" s="15">
        <f t="shared" si="1"/>
        <v>140.57142857142856</v>
      </c>
      <c r="R20" s="1" t="s">
        <v>16</v>
      </c>
      <c r="S20" s="17">
        <f t="shared" ref="S20:AF20" si="12">SUM(C50:C53)</f>
        <v>575.42857142857133</v>
      </c>
      <c r="T20" s="17">
        <f t="shared" si="12"/>
        <v>477.28571428571428</v>
      </c>
      <c r="U20" s="17">
        <f t="shared" si="12"/>
        <v>87.142857142857125</v>
      </c>
      <c r="V20" s="17">
        <f t="shared" si="12"/>
        <v>35</v>
      </c>
      <c r="W20" s="17">
        <f t="shared" si="12"/>
        <v>0.85714285714285698</v>
      </c>
      <c r="X20" s="17">
        <f t="shared" si="12"/>
        <v>0.71428571428571419</v>
      </c>
      <c r="Y20" s="17">
        <f t="shared" si="12"/>
        <v>6.2857142857142856</v>
      </c>
      <c r="Z20" s="17">
        <f t="shared" si="12"/>
        <v>2.7142857142857144</v>
      </c>
      <c r="AA20" s="17">
        <f t="shared" si="12"/>
        <v>1.1428571428571428</v>
      </c>
      <c r="AB20" s="17">
        <f t="shared" si="12"/>
        <v>0.42857142857142855</v>
      </c>
      <c r="AC20" s="17">
        <f t="shared" si="12"/>
        <v>207.85714285714289</v>
      </c>
      <c r="AD20" s="17">
        <f t="shared" si="12"/>
        <v>0</v>
      </c>
      <c r="AE20" s="31">
        <f t="shared" si="12"/>
        <v>1187</v>
      </c>
      <c r="AF20" s="31">
        <f t="shared" si="12"/>
        <v>1394.8571428571431</v>
      </c>
    </row>
    <row r="21" spans="2:32" ht="23.1" customHeight="1" x14ac:dyDescent="0.25">
      <c r="B21" s="23" t="s">
        <v>48</v>
      </c>
      <c r="C21" s="49">
        <f>AVERAGE('29.07 Nakawa-Naguru'!C21,'30.07 Nakawa-Naguru'!C21,'31.07 Nakawa-Naguru'!C21,'02.08 Nakawa-Naguru'!C21,'01.08 Nakawa-Naguru-24h'!C21,'03.08 Nakawa-Naguru-24h'!C21,'04.08 Nakawa-Naguru'!C21)</f>
        <v>30.571428571428573</v>
      </c>
      <c r="D21" s="49">
        <f>AVERAGE('29.07 Nakawa-Naguru'!D21,'30.07 Nakawa-Naguru'!D21,'31.07 Nakawa-Naguru'!D21,'02.08 Nakawa-Naguru'!D21,'01.08 Nakawa-Naguru-24h'!D21,'03.08 Nakawa-Naguru-24h'!D21,'04.08 Nakawa-Naguru'!D21)</f>
        <v>22.428571428571427</v>
      </c>
      <c r="E21" s="49">
        <f>AVERAGE('29.07 Nakawa-Naguru'!E21,'30.07 Nakawa-Naguru'!E21,'31.07 Nakawa-Naguru'!E21,'02.08 Nakawa-Naguru'!E21,'01.08 Nakawa-Naguru-24h'!E21,'03.08 Nakawa-Naguru-24h'!E21,'04.08 Nakawa-Naguru'!E21)</f>
        <v>9.7142857142857135</v>
      </c>
      <c r="F21" s="49">
        <f>AVERAGE('29.07 Nakawa-Naguru'!F21,'30.07 Nakawa-Naguru'!F21,'31.07 Nakawa-Naguru'!F21,'02.08 Nakawa-Naguru'!F21,'01.08 Nakawa-Naguru-24h'!F21,'03.08 Nakawa-Naguru-24h'!F21,'04.08 Nakawa-Naguru'!F21)</f>
        <v>5.1428571428571432</v>
      </c>
      <c r="G21" s="49">
        <f>AVERAGE('29.07 Nakawa-Naguru'!G21,'30.07 Nakawa-Naguru'!G21,'31.07 Nakawa-Naguru'!G21,'02.08 Nakawa-Naguru'!G21,'01.08 Nakawa-Naguru-24h'!G21,'03.08 Nakawa-Naguru-24h'!G21,'04.08 Nakawa-Naguru'!G21)</f>
        <v>0</v>
      </c>
      <c r="H21" s="49">
        <f>AVERAGE('29.07 Nakawa-Naguru'!H21,'30.07 Nakawa-Naguru'!H21,'31.07 Nakawa-Naguru'!H21,'02.08 Nakawa-Naguru'!H21,'01.08 Nakawa-Naguru-24h'!H21,'03.08 Nakawa-Naguru-24h'!H21,'04.08 Nakawa-Naguru'!H21)</f>
        <v>0</v>
      </c>
      <c r="I21" s="49">
        <f>AVERAGE('29.07 Nakawa-Naguru'!I21,'30.07 Nakawa-Naguru'!I21,'31.07 Nakawa-Naguru'!I21,'02.08 Nakawa-Naguru'!I21,'01.08 Nakawa-Naguru-24h'!I21,'03.08 Nakawa-Naguru-24h'!I21,'04.08 Nakawa-Naguru'!I21)</f>
        <v>0.8571428571428571</v>
      </c>
      <c r="J21" s="49">
        <f>AVERAGE('29.07 Nakawa-Naguru'!J21,'30.07 Nakawa-Naguru'!J21,'31.07 Nakawa-Naguru'!J21,'02.08 Nakawa-Naguru'!J21,'01.08 Nakawa-Naguru-24h'!J21,'03.08 Nakawa-Naguru-24h'!J21,'04.08 Nakawa-Naguru'!J21)</f>
        <v>0.8571428571428571</v>
      </c>
      <c r="K21" s="49">
        <f>AVERAGE('29.07 Nakawa-Naguru'!K21,'30.07 Nakawa-Naguru'!K21,'31.07 Nakawa-Naguru'!K21,'02.08 Nakawa-Naguru'!K21,'01.08 Nakawa-Naguru-24h'!K21,'03.08 Nakawa-Naguru-24h'!K21,'04.08 Nakawa-Naguru'!K21)</f>
        <v>0.14285714285714285</v>
      </c>
      <c r="L21" s="49">
        <f>AVERAGE('29.07 Nakawa-Naguru'!L21,'30.07 Nakawa-Naguru'!L21,'31.07 Nakawa-Naguru'!L21,'02.08 Nakawa-Naguru'!L21,'01.08 Nakawa-Naguru-24h'!L21,'03.08 Nakawa-Naguru-24h'!L21,'04.08 Nakawa-Naguru'!L21)</f>
        <v>0</v>
      </c>
      <c r="M21" s="49">
        <f>AVERAGE('29.07 Nakawa-Naguru'!M21,'30.07 Nakawa-Naguru'!M21,'31.07 Nakawa-Naguru'!M21,'02.08 Nakawa-Naguru'!M21,'01.08 Nakawa-Naguru-24h'!M21,'03.08 Nakawa-Naguru-24h'!M21,'04.08 Nakawa-Naguru'!M21)</f>
        <v>35.857142857142854</v>
      </c>
      <c r="N21" s="49">
        <f>AVERAGE('29.07 Nakawa-Naguru'!N21,'30.07 Nakawa-Naguru'!N21,'31.07 Nakawa-Naguru'!N21,'02.08 Nakawa-Naguru'!N21,'01.08 Nakawa-Naguru-24h'!N21,'03.08 Nakawa-Naguru-24h'!N21,'04.08 Nakawa-Naguru'!N21)</f>
        <v>0</v>
      </c>
      <c r="O21" s="15">
        <f t="shared" si="0"/>
        <v>69.714285714285722</v>
      </c>
      <c r="P21" s="15">
        <f t="shared" si="1"/>
        <v>105.57142857142858</v>
      </c>
      <c r="R21" s="36" t="s">
        <v>20</v>
      </c>
      <c r="S21" s="34">
        <f t="shared" ref="S21:AF21" si="13">SUM(C54:C57)</f>
        <v>650.57142857142856</v>
      </c>
      <c r="T21" s="17">
        <f t="shared" si="13"/>
        <v>413.57142857142856</v>
      </c>
      <c r="U21" s="17">
        <f t="shared" si="13"/>
        <v>46.857142857142861</v>
      </c>
      <c r="V21" s="17">
        <f t="shared" si="13"/>
        <v>45.571428571428577</v>
      </c>
      <c r="W21" s="17">
        <f t="shared" si="13"/>
        <v>0.2857142857142857</v>
      </c>
      <c r="X21" s="17">
        <f t="shared" si="13"/>
        <v>0.42857142857142855</v>
      </c>
      <c r="Y21" s="17">
        <f t="shared" si="13"/>
        <v>4.2857142857142856</v>
      </c>
      <c r="Z21" s="17">
        <f t="shared" si="13"/>
        <v>1.7142857142857142</v>
      </c>
      <c r="AA21" s="17">
        <f t="shared" si="13"/>
        <v>0.8571428571428571</v>
      </c>
      <c r="AB21" s="17">
        <f t="shared" si="13"/>
        <v>0.42857142857142855</v>
      </c>
      <c r="AC21" s="17">
        <f t="shared" si="13"/>
        <v>269.14285714285717</v>
      </c>
      <c r="AD21" s="17">
        <f t="shared" si="13"/>
        <v>0</v>
      </c>
      <c r="AE21" s="31">
        <f t="shared" si="13"/>
        <v>1164.5714285714287</v>
      </c>
      <c r="AF21" s="31">
        <f t="shared" si="13"/>
        <v>1433.7142857142858</v>
      </c>
    </row>
    <row r="22" spans="2:32" ht="23.1" customHeight="1" x14ac:dyDescent="0.25">
      <c r="B22" s="23" t="s">
        <v>49</v>
      </c>
      <c r="C22" s="49">
        <f>AVERAGE('29.07 Nakawa-Naguru'!C22,'30.07 Nakawa-Naguru'!C22,'31.07 Nakawa-Naguru'!C22,'02.08 Nakawa-Naguru'!C22,'01.08 Nakawa-Naguru-24h'!C22,'03.08 Nakawa-Naguru-24h'!C22,'04.08 Nakawa-Naguru'!C22)</f>
        <v>36.714285714285715</v>
      </c>
      <c r="D22" s="49">
        <f>AVERAGE('29.07 Nakawa-Naguru'!D22,'30.07 Nakawa-Naguru'!D22,'31.07 Nakawa-Naguru'!D22,'02.08 Nakawa-Naguru'!D22,'01.08 Nakawa-Naguru-24h'!D22,'03.08 Nakawa-Naguru-24h'!D22,'04.08 Nakawa-Naguru'!D22)</f>
        <v>30.857142857142858</v>
      </c>
      <c r="E22" s="49">
        <f>AVERAGE('29.07 Nakawa-Naguru'!E22,'30.07 Nakawa-Naguru'!E22,'31.07 Nakawa-Naguru'!E22,'02.08 Nakawa-Naguru'!E22,'01.08 Nakawa-Naguru-24h'!E22,'03.08 Nakawa-Naguru-24h'!E22,'04.08 Nakawa-Naguru'!E22)</f>
        <v>6.8571428571428568</v>
      </c>
      <c r="F22" s="49">
        <f>AVERAGE('29.07 Nakawa-Naguru'!F22,'30.07 Nakawa-Naguru'!F22,'31.07 Nakawa-Naguru'!F22,'02.08 Nakawa-Naguru'!F22,'01.08 Nakawa-Naguru-24h'!F22,'03.08 Nakawa-Naguru-24h'!F22,'04.08 Nakawa-Naguru'!F22)</f>
        <v>5.5714285714285712</v>
      </c>
      <c r="G22" s="49">
        <f>AVERAGE('29.07 Nakawa-Naguru'!G22,'30.07 Nakawa-Naguru'!G22,'31.07 Nakawa-Naguru'!G22,'02.08 Nakawa-Naguru'!G22,'01.08 Nakawa-Naguru-24h'!G22,'03.08 Nakawa-Naguru-24h'!G22,'04.08 Nakawa-Naguru'!G22)</f>
        <v>0.14285714285714285</v>
      </c>
      <c r="H22" s="49">
        <f>AVERAGE('29.07 Nakawa-Naguru'!H22,'30.07 Nakawa-Naguru'!H22,'31.07 Nakawa-Naguru'!H22,'02.08 Nakawa-Naguru'!H22,'01.08 Nakawa-Naguru-24h'!H22,'03.08 Nakawa-Naguru-24h'!H22,'04.08 Nakawa-Naguru'!H22)</f>
        <v>0</v>
      </c>
      <c r="I22" s="49">
        <f>AVERAGE('29.07 Nakawa-Naguru'!I22,'30.07 Nakawa-Naguru'!I22,'31.07 Nakawa-Naguru'!I22,'02.08 Nakawa-Naguru'!I22,'01.08 Nakawa-Naguru-24h'!I22,'03.08 Nakawa-Naguru-24h'!I22,'04.08 Nakawa-Naguru'!I22)</f>
        <v>2.4285714285714284</v>
      </c>
      <c r="J22" s="49">
        <f>AVERAGE('29.07 Nakawa-Naguru'!J22,'30.07 Nakawa-Naguru'!J22,'31.07 Nakawa-Naguru'!J22,'02.08 Nakawa-Naguru'!J22,'01.08 Nakawa-Naguru-24h'!J22,'03.08 Nakawa-Naguru-24h'!J22,'04.08 Nakawa-Naguru'!J22)</f>
        <v>0.2857142857142857</v>
      </c>
      <c r="K22" s="49">
        <f>AVERAGE('29.07 Nakawa-Naguru'!K22,'30.07 Nakawa-Naguru'!K22,'31.07 Nakawa-Naguru'!K22,'02.08 Nakawa-Naguru'!K22,'01.08 Nakawa-Naguru-24h'!K22,'03.08 Nakawa-Naguru-24h'!K22,'04.08 Nakawa-Naguru'!K22)</f>
        <v>0</v>
      </c>
      <c r="L22" s="49">
        <f>AVERAGE('29.07 Nakawa-Naguru'!L22,'30.07 Nakawa-Naguru'!L22,'31.07 Nakawa-Naguru'!L22,'02.08 Nakawa-Naguru'!L22,'01.08 Nakawa-Naguru-24h'!L22,'03.08 Nakawa-Naguru-24h'!L22,'04.08 Nakawa-Naguru'!L22)</f>
        <v>0.5714285714285714</v>
      </c>
      <c r="M22" s="49">
        <f>AVERAGE('29.07 Nakawa-Naguru'!M22,'30.07 Nakawa-Naguru'!M22,'31.07 Nakawa-Naguru'!M22,'02.08 Nakawa-Naguru'!M22,'01.08 Nakawa-Naguru-24h'!M22,'03.08 Nakawa-Naguru-24h'!M22,'04.08 Nakawa-Naguru'!M22)</f>
        <v>32</v>
      </c>
      <c r="N22" s="49">
        <f>AVERAGE('29.07 Nakawa-Naguru'!N22,'30.07 Nakawa-Naguru'!N22,'31.07 Nakawa-Naguru'!N22,'02.08 Nakawa-Naguru'!N22,'01.08 Nakawa-Naguru-24h'!N22,'03.08 Nakawa-Naguru-24h'!N22,'04.08 Nakawa-Naguru'!N22)</f>
        <v>0.14285714285714285</v>
      </c>
      <c r="O22" s="15">
        <f t="shared" si="0"/>
        <v>83.571428571428569</v>
      </c>
      <c r="P22" s="15">
        <f t="shared" si="1"/>
        <v>115.57142857142857</v>
      </c>
      <c r="R22" s="1" t="s">
        <v>146</v>
      </c>
      <c r="S22" s="34">
        <f>SUM(C58:C61)</f>
        <v>299.5</v>
      </c>
      <c r="T22" s="34">
        <f t="shared" ref="T22:AF22" si="14">SUM(D58:D61)</f>
        <v>212</v>
      </c>
      <c r="U22" s="34">
        <f t="shared" si="14"/>
        <v>38.5</v>
      </c>
      <c r="V22" s="34">
        <f t="shared" si="14"/>
        <v>34</v>
      </c>
      <c r="W22" s="34">
        <f t="shared" si="14"/>
        <v>2</v>
      </c>
      <c r="X22" s="34">
        <f t="shared" si="14"/>
        <v>0</v>
      </c>
      <c r="Y22" s="34">
        <f t="shared" si="14"/>
        <v>10</v>
      </c>
      <c r="Z22" s="34">
        <f t="shared" si="14"/>
        <v>11</v>
      </c>
      <c r="AA22" s="34">
        <f t="shared" si="14"/>
        <v>11.5</v>
      </c>
      <c r="AB22" s="34">
        <f t="shared" si="14"/>
        <v>1.5</v>
      </c>
      <c r="AC22" s="34">
        <f t="shared" si="14"/>
        <v>221.5</v>
      </c>
      <c r="AD22" s="34">
        <f t="shared" si="14"/>
        <v>0</v>
      </c>
      <c r="AE22" s="31">
        <f t="shared" si="14"/>
        <v>620</v>
      </c>
      <c r="AF22" s="31">
        <f t="shared" si="14"/>
        <v>841.5</v>
      </c>
    </row>
    <row r="23" spans="2:32" ht="23.1" customHeight="1" x14ac:dyDescent="0.25">
      <c r="B23" s="23" t="s">
        <v>50</v>
      </c>
      <c r="C23" s="49">
        <f>AVERAGE('29.07 Nakawa-Naguru'!C23,'30.07 Nakawa-Naguru'!C23,'31.07 Nakawa-Naguru'!C23,'02.08 Nakawa-Naguru'!C23,'01.08 Nakawa-Naguru-24h'!C23,'03.08 Nakawa-Naguru-24h'!C23,'04.08 Nakawa-Naguru'!C23)</f>
        <v>34.857142857142854</v>
      </c>
      <c r="D23" s="49">
        <f>AVERAGE('29.07 Nakawa-Naguru'!D23,'30.07 Nakawa-Naguru'!D23,'31.07 Nakawa-Naguru'!D23,'02.08 Nakawa-Naguru'!D23,'01.08 Nakawa-Naguru-24h'!D23,'03.08 Nakawa-Naguru-24h'!D23,'04.08 Nakawa-Naguru'!D23)</f>
        <v>26.285714285714285</v>
      </c>
      <c r="E23" s="49">
        <f>AVERAGE('29.07 Nakawa-Naguru'!E23,'30.07 Nakawa-Naguru'!E23,'31.07 Nakawa-Naguru'!E23,'02.08 Nakawa-Naguru'!E23,'01.08 Nakawa-Naguru-24h'!E23,'03.08 Nakawa-Naguru-24h'!E23,'04.08 Nakawa-Naguru'!E23)</f>
        <v>10.285714285714286</v>
      </c>
      <c r="F23" s="49">
        <f>AVERAGE('29.07 Nakawa-Naguru'!F23,'30.07 Nakawa-Naguru'!F23,'31.07 Nakawa-Naguru'!F23,'02.08 Nakawa-Naguru'!F23,'01.08 Nakawa-Naguru-24h'!F23,'03.08 Nakawa-Naguru-24h'!F23,'04.08 Nakawa-Naguru'!F23)</f>
        <v>5.7142857142857144</v>
      </c>
      <c r="G23" s="49">
        <f>AVERAGE('29.07 Nakawa-Naguru'!G23,'30.07 Nakawa-Naguru'!G23,'31.07 Nakawa-Naguru'!G23,'02.08 Nakawa-Naguru'!G23,'01.08 Nakawa-Naguru-24h'!G23,'03.08 Nakawa-Naguru-24h'!G23,'04.08 Nakawa-Naguru'!G23)</f>
        <v>0.2857142857142857</v>
      </c>
      <c r="H23" s="49">
        <f>AVERAGE('29.07 Nakawa-Naguru'!H23,'30.07 Nakawa-Naguru'!H23,'31.07 Nakawa-Naguru'!H23,'02.08 Nakawa-Naguru'!H23,'01.08 Nakawa-Naguru-24h'!H23,'03.08 Nakawa-Naguru-24h'!H23,'04.08 Nakawa-Naguru'!H23)</f>
        <v>0</v>
      </c>
      <c r="I23" s="49">
        <f>AVERAGE('29.07 Nakawa-Naguru'!I23,'30.07 Nakawa-Naguru'!I23,'31.07 Nakawa-Naguru'!I23,'02.08 Nakawa-Naguru'!I23,'01.08 Nakawa-Naguru-24h'!I23,'03.08 Nakawa-Naguru-24h'!I23,'04.08 Nakawa-Naguru'!I23)</f>
        <v>2.2857142857142856</v>
      </c>
      <c r="J23" s="49">
        <f>AVERAGE('29.07 Nakawa-Naguru'!J23,'30.07 Nakawa-Naguru'!J23,'31.07 Nakawa-Naguru'!J23,'02.08 Nakawa-Naguru'!J23,'01.08 Nakawa-Naguru-24h'!J23,'03.08 Nakawa-Naguru-24h'!J23,'04.08 Nakawa-Naguru'!J23)</f>
        <v>0.7142857142857143</v>
      </c>
      <c r="K23" s="49">
        <f>AVERAGE('29.07 Nakawa-Naguru'!K23,'30.07 Nakawa-Naguru'!K23,'31.07 Nakawa-Naguru'!K23,'02.08 Nakawa-Naguru'!K23,'01.08 Nakawa-Naguru-24h'!K23,'03.08 Nakawa-Naguru-24h'!K23,'04.08 Nakawa-Naguru'!K23)</f>
        <v>0.42857142857142855</v>
      </c>
      <c r="L23" s="49">
        <f>AVERAGE('29.07 Nakawa-Naguru'!L23,'30.07 Nakawa-Naguru'!L23,'31.07 Nakawa-Naguru'!L23,'02.08 Nakawa-Naguru'!L23,'01.08 Nakawa-Naguru-24h'!L23,'03.08 Nakawa-Naguru-24h'!L23,'04.08 Nakawa-Naguru'!L23)</f>
        <v>0</v>
      </c>
      <c r="M23" s="49">
        <f>AVERAGE('29.07 Nakawa-Naguru'!M23,'30.07 Nakawa-Naguru'!M23,'31.07 Nakawa-Naguru'!M23,'02.08 Nakawa-Naguru'!M23,'01.08 Nakawa-Naguru-24h'!M23,'03.08 Nakawa-Naguru-24h'!M23,'04.08 Nakawa-Naguru'!M23)</f>
        <v>44.714285714285715</v>
      </c>
      <c r="N23" s="49">
        <f>AVERAGE('29.07 Nakawa-Naguru'!N23,'30.07 Nakawa-Naguru'!N23,'31.07 Nakawa-Naguru'!N23,'02.08 Nakawa-Naguru'!N23,'01.08 Nakawa-Naguru-24h'!N23,'03.08 Nakawa-Naguru-24h'!N23,'04.08 Nakawa-Naguru'!N23)</f>
        <v>0</v>
      </c>
      <c r="O23" s="15">
        <f t="shared" si="0"/>
        <v>80.857142857142861</v>
      </c>
      <c r="P23" s="15">
        <f t="shared" si="1"/>
        <v>125.57142857142858</v>
      </c>
      <c r="R23" s="1" t="s">
        <v>147</v>
      </c>
      <c r="S23" s="34">
        <f>SUM(C62:C65)</f>
        <v>286.5</v>
      </c>
      <c r="T23" s="34">
        <f t="shared" ref="T23:AF23" si="15">SUM(D62:D65)</f>
        <v>189.5</v>
      </c>
      <c r="U23" s="34">
        <f t="shared" si="15"/>
        <v>55</v>
      </c>
      <c r="V23" s="34">
        <f t="shared" si="15"/>
        <v>28.5</v>
      </c>
      <c r="W23" s="34">
        <f t="shared" si="15"/>
        <v>7.5</v>
      </c>
      <c r="X23" s="34">
        <f t="shared" si="15"/>
        <v>9</v>
      </c>
      <c r="Y23" s="34">
        <f t="shared" si="15"/>
        <v>16</v>
      </c>
      <c r="Z23" s="34">
        <f t="shared" si="15"/>
        <v>3.5</v>
      </c>
      <c r="AA23" s="34">
        <f t="shared" si="15"/>
        <v>3.5</v>
      </c>
      <c r="AB23" s="34">
        <f t="shared" si="15"/>
        <v>0</v>
      </c>
      <c r="AC23" s="34">
        <f t="shared" si="15"/>
        <v>97</v>
      </c>
      <c r="AD23" s="34">
        <f t="shared" si="15"/>
        <v>0</v>
      </c>
      <c r="AE23" s="31">
        <f t="shared" si="15"/>
        <v>599</v>
      </c>
      <c r="AF23" s="31">
        <f t="shared" si="15"/>
        <v>696</v>
      </c>
    </row>
    <row r="24" spans="2:32" ht="23.1" customHeight="1" x14ac:dyDescent="0.25">
      <c r="B24" s="23" t="s">
        <v>51</v>
      </c>
      <c r="C24" s="49">
        <f>AVERAGE('29.07 Nakawa-Naguru'!C24,'30.07 Nakawa-Naguru'!C24,'31.07 Nakawa-Naguru'!C24,'02.08 Nakawa-Naguru'!C24,'01.08 Nakawa-Naguru-24h'!C24,'03.08 Nakawa-Naguru-24h'!C24,'04.08 Nakawa-Naguru'!C24)</f>
        <v>41.285714285714285</v>
      </c>
      <c r="D24" s="49">
        <f>AVERAGE('29.07 Nakawa-Naguru'!D24,'30.07 Nakawa-Naguru'!D24,'31.07 Nakawa-Naguru'!D24,'02.08 Nakawa-Naguru'!D24,'01.08 Nakawa-Naguru-24h'!D24,'03.08 Nakawa-Naguru-24h'!D24,'04.08 Nakawa-Naguru'!D24)</f>
        <v>32.714285714285715</v>
      </c>
      <c r="E24" s="49">
        <f>AVERAGE('29.07 Nakawa-Naguru'!E24,'30.07 Nakawa-Naguru'!E24,'31.07 Nakawa-Naguru'!E24,'02.08 Nakawa-Naguru'!E24,'01.08 Nakawa-Naguru-24h'!E24,'03.08 Nakawa-Naguru-24h'!E24,'04.08 Nakawa-Naguru'!E24)</f>
        <v>9.7142857142857135</v>
      </c>
      <c r="F24" s="49">
        <f>AVERAGE('29.07 Nakawa-Naguru'!F24,'30.07 Nakawa-Naguru'!F24,'31.07 Nakawa-Naguru'!F24,'02.08 Nakawa-Naguru'!F24,'01.08 Nakawa-Naguru-24h'!F24,'03.08 Nakawa-Naguru-24h'!F24,'04.08 Nakawa-Naguru'!F24)</f>
        <v>6.4285714285714288</v>
      </c>
      <c r="G24" s="49">
        <f>AVERAGE('29.07 Nakawa-Naguru'!G24,'30.07 Nakawa-Naguru'!G24,'31.07 Nakawa-Naguru'!G24,'02.08 Nakawa-Naguru'!G24,'01.08 Nakawa-Naguru-24h'!G24,'03.08 Nakawa-Naguru-24h'!G24,'04.08 Nakawa-Naguru'!G24)</f>
        <v>0.14285714285714285</v>
      </c>
      <c r="H24" s="49">
        <f>AVERAGE('29.07 Nakawa-Naguru'!H24,'30.07 Nakawa-Naguru'!H24,'31.07 Nakawa-Naguru'!H24,'02.08 Nakawa-Naguru'!H24,'01.08 Nakawa-Naguru-24h'!H24,'03.08 Nakawa-Naguru-24h'!H24,'04.08 Nakawa-Naguru'!H24)</f>
        <v>0</v>
      </c>
      <c r="I24" s="49">
        <f>AVERAGE('29.07 Nakawa-Naguru'!I24,'30.07 Nakawa-Naguru'!I24,'31.07 Nakawa-Naguru'!I24,'02.08 Nakawa-Naguru'!I24,'01.08 Nakawa-Naguru-24h'!I24,'03.08 Nakawa-Naguru-24h'!I24,'04.08 Nakawa-Naguru'!I24)</f>
        <v>2.1428571428571428</v>
      </c>
      <c r="J24" s="49">
        <f>AVERAGE('29.07 Nakawa-Naguru'!J24,'30.07 Nakawa-Naguru'!J24,'31.07 Nakawa-Naguru'!J24,'02.08 Nakawa-Naguru'!J24,'01.08 Nakawa-Naguru-24h'!J24,'03.08 Nakawa-Naguru-24h'!J24,'04.08 Nakawa-Naguru'!J24)</f>
        <v>1.4285714285714286</v>
      </c>
      <c r="K24" s="49">
        <f>AVERAGE('29.07 Nakawa-Naguru'!K24,'30.07 Nakawa-Naguru'!K24,'31.07 Nakawa-Naguru'!K24,'02.08 Nakawa-Naguru'!K24,'01.08 Nakawa-Naguru-24h'!K24,'03.08 Nakawa-Naguru-24h'!K24,'04.08 Nakawa-Naguru'!K24)</f>
        <v>0.14285714285714285</v>
      </c>
      <c r="L24" s="49">
        <f>AVERAGE('29.07 Nakawa-Naguru'!L24,'30.07 Nakawa-Naguru'!L24,'31.07 Nakawa-Naguru'!L24,'02.08 Nakawa-Naguru'!L24,'01.08 Nakawa-Naguru-24h'!L24,'03.08 Nakawa-Naguru-24h'!L24,'04.08 Nakawa-Naguru'!L24)</f>
        <v>0.14285714285714285</v>
      </c>
      <c r="M24" s="49">
        <f>AVERAGE('29.07 Nakawa-Naguru'!M24,'30.07 Nakawa-Naguru'!M24,'31.07 Nakawa-Naguru'!M24,'02.08 Nakawa-Naguru'!M24,'01.08 Nakawa-Naguru-24h'!M24,'03.08 Nakawa-Naguru-24h'!M24,'04.08 Nakawa-Naguru'!M24)</f>
        <v>55.571428571428569</v>
      </c>
      <c r="N24" s="49">
        <f>AVERAGE('29.07 Nakawa-Naguru'!N24,'30.07 Nakawa-Naguru'!N24,'31.07 Nakawa-Naguru'!N24,'02.08 Nakawa-Naguru'!N24,'01.08 Nakawa-Naguru-24h'!N24,'03.08 Nakawa-Naguru-24h'!N24,'04.08 Nakawa-Naguru'!N24)</f>
        <v>0</v>
      </c>
      <c r="O24" s="15">
        <f t="shared" si="0"/>
        <v>94.142857142857125</v>
      </c>
      <c r="P24" s="15">
        <f t="shared" si="1"/>
        <v>149.71428571428569</v>
      </c>
      <c r="R24" s="1" t="s">
        <v>148</v>
      </c>
      <c r="S24" s="34">
        <f>SUM(C66:C69)</f>
        <v>279</v>
      </c>
      <c r="T24" s="34">
        <f t="shared" ref="T24:AF24" si="16">SUM(D66:D69)</f>
        <v>156</v>
      </c>
      <c r="U24" s="34">
        <f t="shared" si="16"/>
        <v>23</v>
      </c>
      <c r="V24" s="34">
        <f t="shared" si="16"/>
        <v>8.5</v>
      </c>
      <c r="W24" s="34">
        <f t="shared" si="16"/>
        <v>0</v>
      </c>
      <c r="X24" s="34">
        <f t="shared" si="16"/>
        <v>4</v>
      </c>
      <c r="Y24" s="34">
        <f t="shared" si="16"/>
        <v>8.5</v>
      </c>
      <c r="Z24" s="34">
        <f t="shared" si="16"/>
        <v>1.5</v>
      </c>
      <c r="AA24" s="34">
        <f t="shared" si="16"/>
        <v>2</v>
      </c>
      <c r="AB24" s="34">
        <f t="shared" si="16"/>
        <v>0</v>
      </c>
      <c r="AC24" s="34">
        <f t="shared" si="16"/>
        <v>46</v>
      </c>
      <c r="AD24" s="34">
        <f t="shared" si="16"/>
        <v>0</v>
      </c>
      <c r="AE24" s="31">
        <f t="shared" si="16"/>
        <v>482.5</v>
      </c>
      <c r="AF24" s="31">
        <f t="shared" si="16"/>
        <v>528.5</v>
      </c>
    </row>
    <row r="25" spans="2:32" ht="23.1" customHeight="1" x14ac:dyDescent="0.25">
      <c r="B25" s="23" t="s">
        <v>52</v>
      </c>
      <c r="C25" s="49">
        <f>AVERAGE('29.07 Nakawa-Naguru'!C25,'30.07 Nakawa-Naguru'!C25,'31.07 Nakawa-Naguru'!C25,'02.08 Nakawa-Naguru'!C25,'01.08 Nakawa-Naguru-24h'!C25,'03.08 Nakawa-Naguru-24h'!C25,'04.08 Nakawa-Naguru'!C25)</f>
        <v>39.857142857142854</v>
      </c>
      <c r="D25" s="49">
        <f>AVERAGE('29.07 Nakawa-Naguru'!D25,'30.07 Nakawa-Naguru'!D25,'31.07 Nakawa-Naguru'!D25,'02.08 Nakawa-Naguru'!D25,'01.08 Nakawa-Naguru-24h'!D25,'03.08 Nakawa-Naguru-24h'!D25,'04.08 Nakawa-Naguru'!D25)</f>
        <v>38.142857142857146</v>
      </c>
      <c r="E25" s="49">
        <f>AVERAGE('29.07 Nakawa-Naguru'!E25,'30.07 Nakawa-Naguru'!E25,'31.07 Nakawa-Naguru'!E25,'02.08 Nakawa-Naguru'!E25,'01.08 Nakawa-Naguru-24h'!E25,'03.08 Nakawa-Naguru-24h'!E25,'04.08 Nakawa-Naguru'!E25)</f>
        <v>11.428571428571429</v>
      </c>
      <c r="F25" s="49">
        <f>AVERAGE('29.07 Nakawa-Naguru'!F25,'30.07 Nakawa-Naguru'!F25,'31.07 Nakawa-Naguru'!F25,'02.08 Nakawa-Naguru'!F25,'01.08 Nakawa-Naguru-24h'!F25,'03.08 Nakawa-Naguru-24h'!F25,'04.08 Nakawa-Naguru'!F25)</f>
        <v>7.5714285714285712</v>
      </c>
      <c r="G25" s="49">
        <f>AVERAGE('29.07 Nakawa-Naguru'!G25,'30.07 Nakawa-Naguru'!G25,'31.07 Nakawa-Naguru'!G25,'02.08 Nakawa-Naguru'!G25,'01.08 Nakawa-Naguru-24h'!G25,'03.08 Nakawa-Naguru-24h'!G25,'04.08 Nakawa-Naguru'!G25)</f>
        <v>0.14285714285714285</v>
      </c>
      <c r="H25" s="49">
        <f>AVERAGE('29.07 Nakawa-Naguru'!H25,'30.07 Nakawa-Naguru'!H25,'31.07 Nakawa-Naguru'!H25,'02.08 Nakawa-Naguru'!H25,'01.08 Nakawa-Naguru-24h'!H25,'03.08 Nakawa-Naguru-24h'!H25,'04.08 Nakawa-Naguru'!H25)</f>
        <v>0.14285714285714285</v>
      </c>
      <c r="I25" s="49">
        <f>AVERAGE('29.07 Nakawa-Naguru'!I25,'30.07 Nakawa-Naguru'!I25,'31.07 Nakawa-Naguru'!I25,'02.08 Nakawa-Naguru'!I25,'01.08 Nakawa-Naguru-24h'!I25,'03.08 Nakawa-Naguru-24h'!I25,'04.08 Nakawa-Naguru'!I25)</f>
        <v>2.1428571428571428</v>
      </c>
      <c r="J25" s="49">
        <f>AVERAGE('29.07 Nakawa-Naguru'!J25,'30.07 Nakawa-Naguru'!J25,'31.07 Nakawa-Naguru'!J25,'02.08 Nakawa-Naguru'!J25,'01.08 Nakawa-Naguru-24h'!J25,'03.08 Nakawa-Naguru-24h'!J25,'04.08 Nakawa-Naguru'!J25)</f>
        <v>1.1428571428571428</v>
      </c>
      <c r="K25" s="49">
        <f>AVERAGE('29.07 Nakawa-Naguru'!K25,'30.07 Nakawa-Naguru'!K25,'31.07 Nakawa-Naguru'!K25,'02.08 Nakawa-Naguru'!K25,'01.08 Nakawa-Naguru-24h'!K25,'03.08 Nakawa-Naguru-24h'!K25,'04.08 Nakawa-Naguru'!K25)</f>
        <v>0.14285714285714285</v>
      </c>
      <c r="L25" s="49">
        <f>AVERAGE('29.07 Nakawa-Naguru'!L25,'30.07 Nakawa-Naguru'!L25,'31.07 Nakawa-Naguru'!L25,'02.08 Nakawa-Naguru'!L25,'01.08 Nakawa-Naguru-24h'!L25,'03.08 Nakawa-Naguru-24h'!L25,'04.08 Nakawa-Naguru'!L25)</f>
        <v>0.14285714285714285</v>
      </c>
      <c r="M25" s="49">
        <f>AVERAGE('29.07 Nakawa-Naguru'!M25,'30.07 Nakawa-Naguru'!M25,'31.07 Nakawa-Naguru'!M25,'02.08 Nakawa-Naguru'!M25,'01.08 Nakawa-Naguru-24h'!M25,'03.08 Nakawa-Naguru-24h'!M25,'04.08 Nakawa-Naguru'!M25)</f>
        <v>57.714285714285715</v>
      </c>
      <c r="N25" s="49">
        <f>AVERAGE('29.07 Nakawa-Naguru'!N25,'30.07 Nakawa-Naguru'!N25,'31.07 Nakawa-Naguru'!N25,'02.08 Nakawa-Naguru'!N25,'01.08 Nakawa-Naguru-24h'!N25,'03.08 Nakawa-Naguru-24h'!N25,'04.08 Nakawa-Naguru'!N25)</f>
        <v>0.14285714285714285</v>
      </c>
      <c r="O25" s="15">
        <f t="shared" si="0"/>
        <v>100.99999999999997</v>
      </c>
      <c r="P25" s="15">
        <f t="shared" si="1"/>
        <v>158.71428571428569</v>
      </c>
      <c r="R25" s="1" t="s">
        <v>149</v>
      </c>
      <c r="S25" s="34">
        <f>SUM(C70:C73)</f>
        <v>230</v>
      </c>
      <c r="T25" s="34">
        <f t="shared" ref="T25:AF25" si="17">SUM(D70:D73)</f>
        <v>79</v>
      </c>
      <c r="U25" s="34">
        <f t="shared" si="17"/>
        <v>13</v>
      </c>
      <c r="V25" s="34">
        <f t="shared" si="17"/>
        <v>10</v>
      </c>
      <c r="W25" s="34">
        <f t="shared" si="17"/>
        <v>4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29</v>
      </c>
      <c r="AD25" s="34">
        <f t="shared" si="17"/>
        <v>0</v>
      </c>
      <c r="AE25" s="31">
        <f t="shared" si="17"/>
        <v>340</v>
      </c>
      <c r="AF25" s="31">
        <f t="shared" si="17"/>
        <v>369</v>
      </c>
    </row>
    <row r="26" spans="2:32" ht="23.1" customHeight="1" x14ac:dyDescent="0.25">
      <c r="B26" s="23" t="s">
        <v>53</v>
      </c>
      <c r="C26" s="49">
        <f>AVERAGE('29.07 Nakawa-Naguru'!C26,'30.07 Nakawa-Naguru'!C26,'31.07 Nakawa-Naguru'!C26,'02.08 Nakawa-Naguru'!C26,'01.08 Nakawa-Naguru-24h'!C26,'03.08 Nakawa-Naguru-24h'!C26,'04.08 Nakawa-Naguru'!C26)</f>
        <v>38.857142857142854</v>
      </c>
      <c r="D26" s="49">
        <f>AVERAGE('29.07 Nakawa-Naguru'!D26,'30.07 Nakawa-Naguru'!D26,'31.07 Nakawa-Naguru'!D26,'02.08 Nakawa-Naguru'!D26,'01.08 Nakawa-Naguru-24h'!D26,'03.08 Nakawa-Naguru-24h'!D26,'04.08 Nakawa-Naguru'!D26)</f>
        <v>36.428571428571431</v>
      </c>
      <c r="E26" s="49">
        <f>AVERAGE('29.07 Nakawa-Naguru'!E26,'30.07 Nakawa-Naguru'!E26,'31.07 Nakawa-Naguru'!E26,'02.08 Nakawa-Naguru'!E26,'01.08 Nakawa-Naguru-24h'!E26,'03.08 Nakawa-Naguru-24h'!E26,'04.08 Nakawa-Naguru'!E26)</f>
        <v>9.8571428571428577</v>
      </c>
      <c r="F26" s="49">
        <f>AVERAGE('29.07 Nakawa-Naguru'!F26,'30.07 Nakawa-Naguru'!F26,'31.07 Nakawa-Naguru'!F26,'02.08 Nakawa-Naguru'!F26,'01.08 Nakawa-Naguru-24h'!F26,'03.08 Nakawa-Naguru-24h'!F26,'04.08 Nakawa-Naguru'!F26)</f>
        <v>6.4285714285714288</v>
      </c>
      <c r="G26" s="49">
        <f>AVERAGE('29.07 Nakawa-Naguru'!G26,'30.07 Nakawa-Naguru'!G26,'31.07 Nakawa-Naguru'!G26,'02.08 Nakawa-Naguru'!G26,'01.08 Nakawa-Naguru-24h'!G26,'03.08 Nakawa-Naguru-24h'!G26,'04.08 Nakawa-Naguru'!G26)</f>
        <v>0.14285714285714285</v>
      </c>
      <c r="H26" s="49">
        <f>AVERAGE('29.07 Nakawa-Naguru'!H26,'30.07 Nakawa-Naguru'!H26,'31.07 Nakawa-Naguru'!H26,'02.08 Nakawa-Naguru'!H26,'01.08 Nakawa-Naguru-24h'!H26,'03.08 Nakawa-Naguru-24h'!H26,'04.08 Nakawa-Naguru'!H26)</f>
        <v>0</v>
      </c>
      <c r="I26" s="49">
        <f>AVERAGE('29.07 Nakawa-Naguru'!I26,'30.07 Nakawa-Naguru'!I26,'31.07 Nakawa-Naguru'!I26,'02.08 Nakawa-Naguru'!I26,'01.08 Nakawa-Naguru-24h'!I26,'03.08 Nakawa-Naguru-24h'!I26,'04.08 Nakawa-Naguru'!I26)</f>
        <v>2.1428571428571428</v>
      </c>
      <c r="J26" s="49">
        <f>AVERAGE('29.07 Nakawa-Naguru'!J26,'30.07 Nakawa-Naguru'!J26,'31.07 Nakawa-Naguru'!J26,'02.08 Nakawa-Naguru'!J26,'01.08 Nakawa-Naguru-24h'!J26,'03.08 Nakawa-Naguru-24h'!J26,'04.08 Nakawa-Naguru'!J26)</f>
        <v>1.8571428571428572</v>
      </c>
      <c r="K26" s="49">
        <f>AVERAGE('29.07 Nakawa-Naguru'!K26,'30.07 Nakawa-Naguru'!K26,'31.07 Nakawa-Naguru'!K26,'02.08 Nakawa-Naguru'!K26,'01.08 Nakawa-Naguru-24h'!K26,'03.08 Nakawa-Naguru-24h'!K26,'04.08 Nakawa-Naguru'!K26)</f>
        <v>0.2857142857142857</v>
      </c>
      <c r="L26" s="49">
        <f>AVERAGE('29.07 Nakawa-Naguru'!L26,'30.07 Nakawa-Naguru'!L26,'31.07 Nakawa-Naguru'!L26,'02.08 Nakawa-Naguru'!L26,'01.08 Nakawa-Naguru-24h'!L26,'03.08 Nakawa-Naguru-24h'!L26,'04.08 Nakawa-Naguru'!L26)</f>
        <v>0</v>
      </c>
      <c r="M26" s="49">
        <f>AVERAGE('29.07 Nakawa-Naguru'!M26,'30.07 Nakawa-Naguru'!M26,'31.07 Nakawa-Naguru'!M26,'02.08 Nakawa-Naguru'!M26,'01.08 Nakawa-Naguru-24h'!M26,'03.08 Nakawa-Naguru-24h'!M26,'04.08 Nakawa-Naguru'!M26)</f>
        <v>57.428571428571431</v>
      </c>
      <c r="N26" s="49">
        <f>AVERAGE('29.07 Nakawa-Naguru'!N26,'30.07 Nakawa-Naguru'!N26,'31.07 Nakawa-Naguru'!N26,'02.08 Nakawa-Naguru'!N26,'01.08 Nakawa-Naguru-24h'!N26,'03.08 Nakawa-Naguru-24h'!N26,'04.08 Nakawa-Naguru'!N26)</f>
        <v>0</v>
      </c>
      <c r="O26" s="15">
        <f t="shared" si="0"/>
        <v>96</v>
      </c>
      <c r="P26" s="15">
        <f t="shared" si="1"/>
        <v>153.42857142857144</v>
      </c>
      <c r="R26" s="1" t="s">
        <v>150</v>
      </c>
      <c r="S26" s="34">
        <f>SUM(C74:C77)</f>
        <v>242</v>
      </c>
      <c r="T26" s="34">
        <f t="shared" ref="T26:AF26" si="18">SUM(D74:D77)</f>
        <v>69.5</v>
      </c>
      <c r="U26" s="34">
        <f t="shared" si="18"/>
        <v>12.5</v>
      </c>
      <c r="V26" s="34">
        <f t="shared" si="18"/>
        <v>2.5</v>
      </c>
      <c r="W26" s="34">
        <f t="shared" si="18"/>
        <v>0</v>
      </c>
      <c r="X26" s="34">
        <f t="shared" si="18"/>
        <v>1</v>
      </c>
      <c r="Y26" s="34">
        <f t="shared" si="18"/>
        <v>1.5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25</v>
      </c>
      <c r="AD26" s="34">
        <f t="shared" si="18"/>
        <v>0</v>
      </c>
      <c r="AE26" s="31">
        <f t="shared" si="18"/>
        <v>329.5</v>
      </c>
      <c r="AF26" s="31">
        <f t="shared" si="18"/>
        <v>354.5</v>
      </c>
    </row>
    <row r="27" spans="2:32" ht="23.1" customHeight="1" x14ac:dyDescent="0.25">
      <c r="B27" s="23" t="s">
        <v>54</v>
      </c>
      <c r="C27" s="49">
        <f>AVERAGE('29.07 Nakawa-Naguru'!C27,'30.07 Nakawa-Naguru'!C27,'31.07 Nakawa-Naguru'!C27,'02.08 Nakawa-Naguru'!C27,'01.08 Nakawa-Naguru-24h'!C27,'03.08 Nakawa-Naguru-24h'!C27,'04.08 Nakawa-Naguru'!C27)</f>
        <v>41.571428571428569</v>
      </c>
      <c r="D27" s="49">
        <f>AVERAGE('29.07 Nakawa-Naguru'!D27,'30.07 Nakawa-Naguru'!D27,'31.07 Nakawa-Naguru'!D27,'02.08 Nakawa-Naguru'!D27,'01.08 Nakawa-Naguru-24h'!D27,'03.08 Nakawa-Naguru-24h'!D27,'04.08 Nakawa-Naguru'!D27)</f>
        <v>33.428571428571431</v>
      </c>
      <c r="E27" s="49">
        <f>AVERAGE('29.07 Nakawa-Naguru'!E27,'30.07 Nakawa-Naguru'!E27,'31.07 Nakawa-Naguru'!E27,'02.08 Nakawa-Naguru'!E27,'01.08 Nakawa-Naguru-24h'!E27,'03.08 Nakawa-Naguru-24h'!E27,'04.08 Nakawa-Naguru'!E27)</f>
        <v>12.714285714285714</v>
      </c>
      <c r="F27" s="49">
        <f>AVERAGE('29.07 Nakawa-Naguru'!F27,'30.07 Nakawa-Naguru'!F27,'31.07 Nakawa-Naguru'!F27,'02.08 Nakawa-Naguru'!F27,'01.08 Nakawa-Naguru-24h'!F27,'03.08 Nakawa-Naguru-24h'!F27,'04.08 Nakawa-Naguru'!F27)</f>
        <v>5.2857142857142856</v>
      </c>
      <c r="G27" s="49">
        <f>AVERAGE('29.07 Nakawa-Naguru'!G27,'30.07 Nakawa-Naguru'!G27,'31.07 Nakawa-Naguru'!G27,'02.08 Nakawa-Naguru'!G27,'01.08 Nakawa-Naguru-24h'!G27,'03.08 Nakawa-Naguru-24h'!G27,'04.08 Nakawa-Naguru'!G27)</f>
        <v>0</v>
      </c>
      <c r="H27" s="49">
        <f>AVERAGE('29.07 Nakawa-Naguru'!H27,'30.07 Nakawa-Naguru'!H27,'31.07 Nakawa-Naguru'!H27,'02.08 Nakawa-Naguru'!H27,'01.08 Nakawa-Naguru-24h'!H27,'03.08 Nakawa-Naguru-24h'!H27,'04.08 Nakawa-Naguru'!H27)</f>
        <v>0</v>
      </c>
      <c r="I27" s="49">
        <f>AVERAGE('29.07 Nakawa-Naguru'!I27,'30.07 Nakawa-Naguru'!I27,'31.07 Nakawa-Naguru'!I27,'02.08 Nakawa-Naguru'!I27,'01.08 Nakawa-Naguru-24h'!I27,'03.08 Nakawa-Naguru-24h'!I27,'04.08 Nakawa-Naguru'!I27)</f>
        <v>2.1428571428571428</v>
      </c>
      <c r="J27" s="49">
        <f>AVERAGE('29.07 Nakawa-Naguru'!J27,'30.07 Nakawa-Naguru'!J27,'31.07 Nakawa-Naguru'!J27,'02.08 Nakawa-Naguru'!J27,'01.08 Nakawa-Naguru-24h'!J27,'03.08 Nakawa-Naguru-24h'!J27,'04.08 Nakawa-Naguru'!J27)</f>
        <v>0.42857142857142855</v>
      </c>
      <c r="K27" s="49">
        <f>AVERAGE('29.07 Nakawa-Naguru'!K27,'30.07 Nakawa-Naguru'!K27,'31.07 Nakawa-Naguru'!K27,'02.08 Nakawa-Naguru'!K27,'01.08 Nakawa-Naguru-24h'!K27,'03.08 Nakawa-Naguru-24h'!K27,'04.08 Nakawa-Naguru'!K27)</f>
        <v>0</v>
      </c>
      <c r="L27" s="49">
        <f>AVERAGE('29.07 Nakawa-Naguru'!L27,'30.07 Nakawa-Naguru'!L27,'31.07 Nakawa-Naguru'!L27,'02.08 Nakawa-Naguru'!L27,'01.08 Nakawa-Naguru-24h'!L27,'03.08 Nakawa-Naguru-24h'!L27,'04.08 Nakawa-Naguru'!L27)</f>
        <v>0</v>
      </c>
      <c r="M27" s="49">
        <f>AVERAGE('29.07 Nakawa-Naguru'!M27,'30.07 Nakawa-Naguru'!M27,'31.07 Nakawa-Naguru'!M27,'02.08 Nakawa-Naguru'!M27,'01.08 Nakawa-Naguru-24h'!M27,'03.08 Nakawa-Naguru-24h'!M27,'04.08 Nakawa-Naguru'!M27)</f>
        <v>51.142857142857146</v>
      </c>
      <c r="N27" s="49">
        <f>AVERAGE('29.07 Nakawa-Naguru'!N27,'30.07 Nakawa-Naguru'!N27,'31.07 Nakawa-Naguru'!N27,'02.08 Nakawa-Naguru'!N27,'01.08 Nakawa-Naguru-24h'!N27,'03.08 Nakawa-Naguru-24h'!N27,'04.08 Nakawa-Naguru'!N27)</f>
        <v>0</v>
      </c>
      <c r="O27" s="15">
        <f t="shared" si="0"/>
        <v>95.571428571428569</v>
      </c>
      <c r="P27" s="15">
        <f t="shared" si="1"/>
        <v>146.71428571428572</v>
      </c>
      <c r="R27" s="1" t="s">
        <v>151</v>
      </c>
      <c r="S27" s="34">
        <f>SUM(C78:C81)</f>
        <v>149</v>
      </c>
      <c r="T27" s="34">
        <f t="shared" ref="T27:AF27" si="19">SUM(D78:D81)</f>
        <v>39</v>
      </c>
      <c r="U27" s="34">
        <f t="shared" si="19"/>
        <v>13</v>
      </c>
      <c r="V27" s="34">
        <f t="shared" si="19"/>
        <v>10.5</v>
      </c>
      <c r="W27" s="34">
        <f t="shared" si="19"/>
        <v>0.5</v>
      </c>
      <c r="X27" s="34">
        <f t="shared" si="19"/>
        <v>0</v>
      </c>
      <c r="Y27" s="34">
        <f t="shared" si="19"/>
        <v>0.5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17.5</v>
      </c>
      <c r="AD27" s="34">
        <f t="shared" si="19"/>
        <v>0</v>
      </c>
      <c r="AE27" s="31">
        <f t="shared" si="19"/>
        <v>213.5</v>
      </c>
      <c r="AF27" s="31">
        <f t="shared" si="19"/>
        <v>231</v>
      </c>
    </row>
    <row r="28" spans="2:32" ht="23.1" customHeight="1" x14ac:dyDescent="0.25">
      <c r="B28" s="23" t="s">
        <v>55</v>
      </c>
      <c r="C28" s="49">
        <f>AVERAGE('29.07 Nakawa-Naguru'!C28,'30.07 Nakawa-Naguru'!C28,'31.07 Nakawa-Naguru'!C28,'02.08 Nakawa-Naguru'!C28,'01.08 Nakawa-Naguru-24h'!C28,'03.08 Nakawa-Naguru-24h'!C28,'04.08 Nakawa-Naguru'!C28)</f>
        <v>51.714285714285715</v>
      </c>
      <c r="D28" s="49">
        <f>AVERAGE('29.07 Nakawa-Naguru'!D28,'30.07 Nakawa-Naguru'!D28,'31.07 Nakawa-Naguru'!D28,'02.08 Nakawa-Naguru'!D28,'01.08 Nakawa-Naguru-24h'!D28,'03.08 Nakawa-Naguru-24h'!D28,'04.08 Nakawa-Naguru'!D28)</f>
        <v>35.142857142857146</v>
      </c>
      <c r="E28" s="49">
        <f>AVERAGE('29.07 Nakawa-Naguru'!E28,'30.07 Nakawa-Naguru'!E28,'31.07 Nakawa-Naguru'!E28,'02.08 Nakawa-Naguru'!E28,'01.08 Nakawa-Naguru-24h'!E28,'03.08 Nakawa-Naguru-24h'!E28,'04.08 Nakawa-Naguru'!E28)</f>
        <v>12.714285714285714</v>
      </c>
      <c r="F28" s="49">
        <f>AVERAGE('29.07 Nakawa-Naguru'!F28,'30.07 Nakawa-Naguru'!F28,'31.07 Nakawa-Naguru'!F28,'02.08 Nakawa-Naguru'!F28,'01.08 Nakawa-Naguru-24h'!F28,'03.08 Nakawa-Naguru-24h'!F28,'04.08 Nakawa-Naguru'!F28)</f>
        <v>6.8571428571428568</v>
      </c>
      <c r="G28" s="49">
        <f>AVERAGE('29.07 Nakawa-Naguru'!G28,'30.07 Nakawa-Naguru'!G28,'31.07 Nakawa-Naguru'!G28,'02.08 Nakawa-Naguru'!G28,'01.08 Nakawa-Naguru-24h'!G28,'03.08 Nakawa-Naguru-24h'!G28,'04.08 Nakawa-Naguru'!G28)</f>
        <v>0.2857142857142857</v>
      </c>
      <c r="H28" s="49">
        <f>AVERAGE('29.07 Nakawa-Naguru'!H28,'30.07 Nakawa-Naguru'!H28,'31.07 Nakawa-Naguru'!H28,'02.08 Nakawa-Naguru'!H28,'01.08 Nakawa-Naguru-24h'!H28,'03.08 Nakawa-Naguru-24h'!H28,'04.08 Nakawa-Naguru'!H28)</f>
        <v>0.14285714285714285</v>
      </c>
      <c r="I28" s="49">
        <f>AVERAGE('29.07 Nakawa-Naguru'!I28,'30.07 Nakawa-Naguru'!I28,'31.07 Nakawa-Naguru'!I28,'02.08 Nakawa-Naguru'!I28,'01.08 Nakawa-Naguru-24h'!I28,'03.08 Nakawa-Naguru-24h'!I28,'04.08 Nakawa-Naguru'!I28)</f>
        <v>2</v>
      </c>
      <c r="J28" s="49">
        <f>AVERAGE('29.07 Nakawa-Naguru'!J28,'30.07 Nakawa-Naguru'!J28,'31.07 Nakawa-Naguru'!J28,'02.08 Nakawa-Naguru'!J28,'01.08 Nakawa-Naguru-24h'!J28,'03.08 Nakawa-Naguru-24h'!J28,'04.08 Nakawa-Naguru'!J28)</f>
        <v>1.1428571428571428</v>
      </c>
      <c r="K28" s="49">
        <f>AVERAGE('29.07 Nakawa-Naguru'!K28,'30.07 Nakawa-Naguru'!K28,'31.07 Nakawa-Naguru'!K28,'02.08 Nakawa-Naguru'!K28,'01.08 Nakawa-Naguru-24h'!K28,'03.08 Nakawa-Naguru-24h'!K28,'04.08 Nakawa-Naguru'!K28)</f>
        <v>0.7142857142857143</v>
      </c>
      <c r="L28" s="49">
        <f>AVERAGE('29.07 Nakawa-Naguru'!L28,'30.07 Nakawa-Naguru'!L28,'31.07 Nakawa-Naguru'!L28,'02.08 Nakawa-Naguru'!L28,'01.08 Nakawa-Naguru-24h'!L28,'03.08 Nakawa-Naguru-24h'!L28,'04.08 Nakawa-Naguru'!L28)</f>
        <v>0.14285714285714285</v>
      </c>
      <c r="M28" s="49">
        <f>AVERAGE('29.07 Nakawa-Naguru'!M28,'30.07 Nakawa-Naguru'!M28,'31.07 Nakawa-Naguru'!M28,'02.08 Nakawa-Naguru'!M28,'01.08 Nakawa-Naguru-24h'!M28,'03.08 Nakawa-Naguru-24h'!M28,'04.08 Nakawa-Naguru'!M28)</f>
        <v>44.714285714285715</v>
      </c>
      <c r="N28" s="49">
        <f>AVERAGE('29.07 Nakawa-Naguru'!N28,'30.07 Nakawa-Naguru'!N28,'31.07 Nakawa-Naguru'!N28,'02.08 Nakawa-Naguru'!N28,'01.08 Nakawa-Naguru-24h'!N28,'03.08 Nakawa-Naguru-24h'!N28,'04.08 Nakawa-Naguru'!N28)</f>
        <v>0.14285714285714285</v>
      </c>
      <c r="O28" s="15">
        <f t="shared" si="0"/>
        <v>110.99999999999999</v>
      </c>
      <c r="P28" s="15">
        <f t="shared" si="1"/>
        <v>155.71428571428569</v>
      </c>
      <c r="R28" s="1" t="s">
        <v>152</v>
      </c>
      <c r="S28" s="34">
        <f>SUM(C82:C85)</f>
        <v>64</v>
      </c>
      <c r="T28" s="34">
        <f t="shared" ref="T28:AF28" si="20">SUM(D82:D85)</f>
        <v>17</v>
      </c>
      <c r="U28" s="34">
        <f t="shared" si="20"/>
        <v>4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86.5</v>
      </c>
      <c r="AF28" s="31">
        <f t="shared" si="20"/>
        <v>94.5</v>
      </c>
    </row>
    <row r="29" spans="2:32" ht="23.1" customHeight="1" x14ac:dyDescent="0.25">
      <c r="B29" s="23" t="s">
        <v>56</v>
      </c>
      <c r="C29" s="49">
        <f>AVERAGE('29.07 Nakawa-Naguru'!C29,'30.07 Nakawa-Naguru'!C29,'31.07 Nakawa-Naguru'!C29,'02.08 Nakawa-Naguru'!C29,'01.08 Nakawa-Naguru-24h'!C29,'03.08 Nakawa-Naguru-24h'!C29,'04.08 Nakawa-Naguru'!C29)</f>
        <v>93.428571428571431</v>
      </c>
      <c r="D29" s="49">
        <f>AVERAGE('29.07 Nakawa-Naguru'!D29,'30.07 Nakawa-Naguru'!D29,'31.07 Nakawa-Naguru'!D29,'02.08 Nakawa-Naguru'!D29,'01.08 Nakawa-Naguru-24h'!D29,'03.08 Nakawa-Naguru-24h'!D29,'04.08 Nakawa-Naguru'!D29)</f>
        <v>42.571428571428569</v>
      </c>
      <c r="E29" s="49">
        <f>AVERAGE('29.07 Nakawa-Naguru'!E29,'30.07 Nakawa-Naguru'!E29,'31.07 Nakawa-Naguru'!E29,'02.08 Nakawa-Naguru'!E29,'01.08 Nakawa-Naguru-24h'!E29,'03.08 Nakawa-Naguru-24h'!E29,'04.08 Nakawa-Naguru'!E29)</f>
        <v>10.857142857142858</v>
      </c>
      <c r="F29" s="49">
        <f>AVERAGE('29.07 Nakawa-Naguru'!F29,'30.07 Nakawa-Naguru'!F29,'31.07 Nakawa-Naguru'!F29,'02.08 Nakawa-Naguru'!F29,'01.08 Nakawa-Naguru-24h'!F29,'03.08 Nakawa-Naguru-24h'!F29,'04.08 Nakawa-Naguru'!F29)</f>
        <v>5.1428571428571432</v>
      </c>
      <c r="G29" s="49">
        <f>AVERAGE('29.07 Nakawa-Naguru'!G29,'30.07 Nakawa-Naguru'!G29,'31.07 Nakawa-Naguru'!G29,'02.08 Nakawa-Naguru'!G29,'01.08 Nakawa-Naguru-24h'!G29,'03.08 Nakawa-Naguru-24h'!G29,'04.08 Nakawa-Naguru'!G29)</f>
        <v>0.2857142857142857</v>
      </c>
      <c r="H29" s="49">
        <f>AVERAGE('29.07 Nakawa-Naguru'!H29,'30.07 Nakawa-Naguru'!H29,'31.07 Nakawa-Naguru'!H29,'02.08 Nakawa-Naguru'!H29,'01.08 Nakawa-Naguru-24h'!H29,'03.08 Nakawa-Naguru-24h'!H29,'04.08 Nakawa-Naguru'!H29)</f>
        <v>0.14285714285714285</v>
      </c>
      <c r="I29" s="49">
        <f>AVERAGE('29.07 Nakawa-Naguru'!I29,'30.07 Nakawa-Naguru'!I29,'31.07 Nakawa-Naguru'!I29,'02.08 Nakawa-Naguru'!I29,'01.08 Nakawa-Naguru-24h'!I29,'03.08 Nakawa-Naguru-24h'!I29,'04.08 Nakawa-Naguru'!I29)</f>
        <v>1.8571428571428572</v>
      </c>
      <c r="J29" s="49">
        <f>AVERAGE('29.07 Nakawa-Naguru'!J29,'30.07 Nakawa-Naguru'!J29,'31.07 Nakawa-Naguru'!J29,'02.08 Nakawa-Naguru'!J29,'01.08 Nakawa-Naguru-24h'!J29,'03.08 Nakawa-Naguru-24h'!J29,'04.08 Nakawa-Naguru'!J29)</f>
        <v>0.5714285714285714</v>
      </c>
      <c r="K29" s="49">
        <f>AVERAGE('29.07 Nakawa-Naguru'!K29,'30.07 Nakawa-Naguru'!K29,'31.07 Nakawa-Naguru'!K29,'02.08 Nakawa-Naguru'!K29,'01.08 Nakawa-Naguru-24h'!K29,'03.08 Nakawa-Naguru-24h'!K29,'04.08 Nakawa-Naguru'!K29)</f>
        <v>0</v>
      </c>
      <c r="L29" s="49">
        <f>AVERAGE('29.07 Nakawa-Naguru'!L29,'30.07 Nakawa-Naguru'!L29,'31.07 Nakawa-Naguru'!L29,'02.08 Nakawa-Naguru'!L29,'01.08 Nakawa-Naguru-24h'!L29,'03.08 Nakawa-Naguru-24h'!L29,'04.08 Nakawa-Naguru'!L29)</f>
        <v>0.14285714285714285</v>
      </c>
      <c r="M29" s="49">
        <f>AVERAGE('29.07 Nakawa-Naguru'!M29,'30.07 Nakawa-Naguru'!M29,'31.07 Nakawa-Naguru'!M29,'02.08 Nakawa-Naguru'!M29,'01.08 Nakawa-Naguru-24h'!M29,'03.08 Nakawa-Naguru-24h'!M29,'04.08 Nakawa-Naguru'!M29)</f>
        <v>57.428571428571431</v>
      </c>
      <c r="N29" s="49">
        <f>AVERAGE('29.07 Nakawa-Naguru'!N29,'30.07 Nakawa-Naguru'!N29,'31.07 Nakawa-Naguru'!N29,'02.08 Nakawa-Naguru'!N29,'01.08 Nakawa-Naguru-24h'!N29,'03.08 Nakawa-Naguru-24h'!N29,'04.08 Nakawa-Naguru'!N29)</f>
        <v>0</v>
      </c>
      <c r="O29" s="15">
        <f t="shared" si="0"/>
        <v>155</v>
      </c>
      <c r="P29" s="15">
        <f t="shared" si="1"/>
        <v>212.42857142857144</v>
      </c>
      <c r="R29" s="1" t="s">
        <v>153</v>
      </c>
      <c r="S29" s="34">
        <f>SUM(C86:C89)</f>
        <v>38.5</v>
      </c>
      <c r="T29" s="34">
        <f t="shared" ref="T29:AF29" si="21">SUM(D86:D89)</f>
        <v>20.5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0.5</v>
      </c>
      <c r="AC29" s="34">
        <f t="shared" si="21"/>
        <v>7.5</v>
      </c>
      <c r="AD29" s="34">
        <f t="shared" si="21"/>
        <v>0</v>
      </c>
      <c r="AE29" s="31">
        <f t="shared" si="21"/>
        <v>62</v>
      </c>
      <c r="AF29" s="31">
        <f t="shared" si="21"/>
        <v>69.5</v>
      </c>
    </row>
    <row r="30" spans="2:32" ht="23.1" customHeight="1" x14ac:dyDescent="0.25">
      <c r="B30" s="23" t="s">
        <v>57</v>
      </c>
      <c r="C30" s="49">
        <f>AVERAGE('29.07 Nakawa-Naguru'!C30,'30.07 Nakawa-Naguru'!C30,'31.07 Nakawa-Naguru'!C30,'02.08 Nakawa-Naguru'!C30,'01.08 Nakawa-Naguru-24h'!C30,'03.08 Nakawa-Naguru-24h'!C30,'04.08 Nakawa-Naguru'!C30)</f>
        <v>52</v>
      </c>
      <c r="D30" s="49">
        <f>AVERAGE('29.07 Nakawa-Naguru'!D30,'30.07 Nakawa-Naguru'!D30,'31.07 Nakawa-Naguru'!D30,'02.08 Nakawa-Naguru'!D30,'01.08 Nakawa-Naguru-24h'!D30,'03.08 Nakawa-Naguru-24h'!D30,'04.08 Nakawa-Naguru'!D30)</f>
        <v>47.142857142857146</v>
      </c>
      <c r="E30" s="49">
        <f>AVERAGE('29.07 Nakawa-Naguru'!E30,'30.07 Nakawa-Naguru'!E30,'31.07 Nakawa-Naguru'!E30,'02.08 Nakawa-Naguru'!E30,'01.08 Nakawa-Naguru-24h'!E30,'03.08 Nakawa-Naguru-24h'!E30,'04.08 Nakawa-Naguru'!E30)</f>
        <v>9.5714285714285712</v>
      </c>
      <c r="F30" s="49">
        <f>AVERAGE('29.07 Nakawa-Naguru'!F30,'30.07 Nakawa-Naguru'!F30,'31.07 Nakawa-Naguru'!F30,'02.08 Nakawa-Naguru'!F30,'01.08 Nakawa-Naguru-24h'!F30,'03.08 Nakawa-Naguru-24h'!F30,'04.08 Nakawa-Naguru'!F30)</f>
        <v>6.8571428571428568</v>
      </c>
      <c r="G30" s="49">
        <f>AVERAGE('29.07 Nakawa-Naguru'!G30,'30.07 Nakawa-Naguru'!G30,'31.07 Nakawa-Naguru'!G30,'02.08 Nakawa-Naguru'!G30,'01.08 Nakawa-Naguru-24h'!G30,'03.08 Nakawa-Naguru-24h'!G30,'04.08 Nakawa-Naguru'!G30)</f>
        <v>0.14285714285714285</v>
      </c>
      <c r="H30" s="49">
        <f>AVERAGE('29.07 Nakawa-Naguru'!H30,'30.07 Nakawa-Naguru'!H30,'31.07 Nakawa-Naguru'!H30,'02.08 Nakawa-Naguru'!H30,'01.08 Nakawa-Naguru-24h'!H30,'03.08 Nakawa-Naguru-24h'!H30,'04.08 Nakawa-Naguru'!H30)</f>
        <v>0.14285714285714285</v>
      </c>
      <c r="I30" s="49">
        <f>AVERAGE('29.07 Nakawa-Naguru'!I30,'30.07 Nakawa-Naguru'!I30,'31.07 Nakawa-Naguru'!I30,'02.08 Nakawa-Naguru'!I30,'01.08 Nakawa-Naguru-24h'!I30,'03.08 Nakawa-Naguru-24h'!I30,'04.08 Nakawa-Naguru'!I30)</f>
        <v>2.8571428571428572</v>
      </c>
      <c r="J30" s="49">
        <f>AVERAGE('29.07 Nakawa-Naguru'!J30,'30.07 Nakawa-Naguru'!J30,'31.07 Nakawa-Naguru'!J30,'02.08 Nakawa-Naguru'!J30,'01.08 Nakawa-Naguru-24h'!J30,'03.08 Nakawa-Naguru-24h'!J30,'04.08 Nakawa-Naguru'!J30)</f>
        <v>0.2857142857142857</v>
      </c>
      <c r="K30" s="49">
        <f>AVERAGE('29.07 Nakawa-Naguru'!K30,'30.07 Nakawa-Naguru'!K30,'31.07 Nakawa-Naguru'!K30,'02.08 Nakawa-Naguru'!K30,'01.08 Nakawa-Naguru-24h'!K30,'03.08 Nakawa-Naguru-24h'!K30,'04.08 Nakawa-Naguru'!K30)</f>
        <v>0.2857142857142857</v>
      </c>
      <c r="L30" s="49">
        <f>AVERAGE('29.07 Nakawa-Naguru'!L30,'30.07 Nakawa-Naguru'!L30,'31.07 Nakawa-Naguru'!L30,'02.08 Nakawa-Naguru'!L30,'01.08 Nakawa-Naguru-24h'!L30,'03.08 Nakawa-Naguru-24h'!L30,'04.08 Nakawa-Naguru'!L30)</f>
        <v>0.14285714285714285</v>
      </c>
      <c r="M30" s="49">
        <f>AVERAGE('29.07 Nakawa-Naguru'!M30,'30.07 Nakawa-Naguru'!M30,'31.07 Nakawa-Naguru'!M30,'02.08 Nakawa-Naguru'!M30,'01.08 Nakawa-Naguru-24h'!M30,'03.08 Nakawa-Naguru-24h'!M30,'04.08 Nakawa-Naguru'!M30)</f>
        <v>44.714285714285715</v>
      </c>
      <c r="N30" s="49">
        <f>AVERAGE('29.07 Nakawa-Naguru'!N30,'30.07 Nakawa-Naguru'!N30,'31.07 Nakawa-Naguru'!N30,'02.08 Nakawa-Naguru'!N30,'01.08 Nakawa-Naguru-24h'!N30,'03.08 Nakawa-Naguru-24h'!N30,'04.08 Nakawa-Naguru'!N30)</f>
        <v>0.14285714285714285</v>
      </c>
      <c r="O30" s="15">
        <f t="shared" si="0"/>
        <v>119.57142857142857</v>
      </c>
      <c r="P30" s="15">
        <f t="shared" si="1"/>
        <v>164.28571428571428</v>
      </c>
      <c r="R30" s="1" t="s">
        <v>154</v>
      </c>
      <c r="S30" s="34">
        <f>SUM(C90:C93)</f>
        <v>31</v>
      </c>
      <c r="T30" s="34">
        <f t="shared" ref="T30:AF30" si="22">SUM(D90:D93)</f>
        <v>20</v>
      </c>
      <c r="U30" s="34">
        <f t="shared" si="22"/>
        <v>1.5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53</v>
      </c>
      <c r="AF30" s="31">
        <f t="shared" si="22"/>
        <v>58</v>
      </c>
    </row>
    <row r="31" spans="2:32" ht="23.1" customHeight="1" x14ac:dyDescent="0.25">
      <c r="B31" s="24" t="s">
        <v>58</v>
      </c>
      <c r="C31" s="49">
        <f>AVERAGE('29.07 Nakawa-Naguru'!C31,'30.07 Nakawa-Naguru'!C31,'31.07 Nakawa-Naguru'!C31,'02.08 Nakawa-Naguru'!C31,'01.08 Nakawa-Naguru-24h'!C31,'03.08 Nakawa-Naguru-24h'!C31,'04.08 Nakawa-Naguru'!C31)</f>
        <v>61.428571428571431</v>
      </c>
      <c r="D31" s="49">
        <f>AVERAGE('29.07 Nakawa-Naguru'!D31,'30.07 Nakawa-Naguru'!D31,'31.07 Nakawa-Naguru'!D31,'02.08 Nakawa-Naguru'!D31,'01.08 Nakawa-Naguru-24h'!D31,'03.08 Nakawa-Naguru-24h'!D31,'04.08 Nakawa-Naguru'!D31)</f>
        <v>47.285714285714285</v>
      </c>
      <c r="E31" s="49">
        <f>AVERAGE('29.07 Nakawa-Naguru'!E31,'30.07 Nakawa-Naguru'!E31,'31.07 Nakawa-Naguru'!E31,'02.08 Nakawa-Naguru'!E31,'01.08 Nakawa-Naguru-24h'!E31,'03.08 Nakawa-Naguru-24h'!E31,'04.08 Nakawa-Naguru'!E31)</f>
        <v>13</v>
      </c>
      <c r="F31" s="49">
        <f>AVERAGE('29.07 Nakawa-Naguru'!F31,'30.07 Nakawa-Naguru'!F31,'31.07 Nakawa-Naguru'!F31,'02.08 Nakawa-Naguru'!F31,'01.08 Nakawa-Naguru-24h'!F31,'03.08 Nakawa-Naguru-24h'!F31,'04.08 Nakawa-Naguru'!F31)</f>
        <v>5.8571428571428568</v>
      </c>
      <c r="G31" s="49">
        <f>AVERAGE('29.07 Nakawa-Naguru'!G31,'30.07 Nakawa-Naguru'!G31,'31.07 Nakawa-Naguru'!G31,'02.08 Nakawa-Naguru'!G31,'01.08 Nakawa-Naguru-24h'!G31,'03.08 Nakawa-Naguru-24h'!G31,'04.08 Nakawa-Naguru'!G31)</f>
        <v>0</v>
      </c>
      <c r="H31" s="49">
        <f>AVERAGE('29.07 Nakawa-Naguru'!H31,'30.07 Nakawa-Naguru'!H31,'31.07 Nakawa-Naguru'!H31,'02.08 Nakawa-Naguru'!H31,'01.08 Nakawa-Naguru-24h'!H31,'03.08 Nakawa-Naguru-24h'!H31,'04.08 Nakawa-Naguru'!H31)</f>
        <v>0</v>
      </c>
      <c r="I31" s="49">
        <f>AVERAGE('29.07 Nakawa-Naguru'!I31,'30.07 Nakawa-Naguru'!I31,'31.07 Nakawa-Naguru'!I31,'02.08 Nakawa-Naguru'!I31,'01.08 Nakawa-Naguru-24h'!I31,'03.08 Nakawa-Naguru-24h'!I31,'04.08 Nakawa-Naguru'!I31)</f>
        <v>4</v>
      </c>
      <c r="J31" s="49">
        <f>AVERAGE('29.07 Nakawa-Naguru'!J31,'30.07 Nakawa-Naguru'!J31,'31.07 Nakawa-Naguru'!J31,'02.08 Nakawa-Naguru'!J31,'01.08 Nakawa-Naguru-24h'!J31,'03.08 Nakawa-Naguru-24h'!J31,'04.08 Nakawa-Naguru'!J31)</f>
        <v>0.42857142857142855</v>
      </c>
      <c r="K31" s="49">
        <f>AVERAGE('29.07 Nakawa-Naguru'!K31,'30.07 Nakawa-Naguru'!K31,'31.07 Nakawa-Naguru'!K31,'02.08 Nakawa-Naguru'!K31,'01.08 Nakawa-Naguru-24h'!K31,'03.08 Nakawa-Naguru-24h'!K31,'04.08 Nakawa-Naguru'!K31)</f>
        <v>0.2857142857142857</v>
      </c>
      <c r="L31" s="49">
        <f>AVERAGE('29.07 Nakawa-Naguru'!L31,'30.07 Nakawa-Naguru'!L31,'31.07 Nakawa-Naguru'!L31,'02.08 Nakawa-Naguru'!L31,'01.08 Nakawa-Naguru-24h'!L31,'03.08 Nakawa-Naguru-24h'!L31,'04.08 Nakawa-Naguru'!L31)</f>
        <v>0</v>
      </c>
      <c r="M31" s="49">
        <f>AVERAGE('29.07 Nakawa-Naguru'!M31,'30.07 Nakawa-Naguru'!M31,'31.07 Nakawa-Naguru'!M31,'02.08 Nakawa-Naguru'!M31,'01.08 Nakawa-Naguru-24h'!M31,'03.08 Nakawa-Naguru-24h'!M31,'04.08 Nakawa-Naguru'!M31)</f>
        <v>60.571428571428569</v>
      </c>
      <c r="N31" s="49">
        <f>AVERAGE('29.07 Nakawa-Naguru'!N31,'30.07 Nakawa-Naguru'!N31,'31.07 Nakawa-Naguru'!N31,'02.08 Nakawa-Naguru'!N31,'01.08 Nakawa-Naguru-24h'!N31,'03.08 Nakawa-Naguru-24h'!N31,'04.08 Nakawa-Naguru'!N31)</f>
        <v>0</v>
      </c>
      <c r="O31" s="15">
        <f t="shared" si="0"/>
        <v>132.28571428571428</v>
      </c>
      <c r="P31" s="15">
        <f t="shared" si="1"/>
        <v>192.85714285714283</v>
      </c>
      <c r="R31" s="1" t="s">
        <v>155</v>
      </c>
      <c r="S31" s="34">
        <f>SUM(C94:C97)</f>
        <v>32.5</v>
      </c>
      <c r="T31" s="34">
        <f t="shared" ref="T31:AF31" si="23">SUM(D94:D97)</f>
        <v>8.5</v>
      </c>
      <c r="U31" s="34">
        <f t="shared" si="23"/>
        <v>2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44.5</v>
      </c>
      <c r="AF31" s="31">
        <f t="shared" si="23"/>
        <v>50.5</v>
      </c>
    </row>
    <row r="32" spans="2:32" ht="23.1" customHeight="1" x14ac:dyDescent="0.25">
      <c r="B32" s="24" t="s">
        <v>59</v>
      </c>
      <c r="C32" s="49">
        <f>AVERAGE('29.07 Nakawa-Naguru'!C32,'30.07 Nakawa-Naguru'!C32,'31.07 Nakawa-Naguru'!C32,'02.08 Nakawa-Naguru'!C32,'01.08 Nakawa-Naguru-24h'!C32,'03.08 Nakawa-Naguru-24h'!C32,'04.08 Nakawa-Naguru'!C32)</f>
        <v>57</v>
      </c>
      <c r="D32" s="49">
        <f>AVERAGE('29.07 Nakawa-Naguru'!D32,'30.07 Nakawa-Naguru'!D32,'31.07 Nakawa-Naguru'!D32,'02.08 Nakawa-Naguru'!D32,'01.08 Nakawa-Naguru-24h'!D32,'03.08 Nakawa-Naguru-24h'!D32,'04.08 Nakawa-Naguru'!D32)</f>
        <v>51.428571428571431</v>
      </c>
      <c r="E32" s="49">
        <f>AVERAGE('29.07 Nakawa-Naguru'!E32,'30.07 Nakawa-Naguru'!E32,'31.07 Nakawa-Naguru'!E32,'02.08 Nakawa-Naguru'!E32,'01.08 Nakawa-Naguru-24h'!E32,'03.08 Nakawa-Naguru-24h'!E32,'04.08 Nakawa-Naguru'!E32)</f>
        <v>12.857142857142858</v>
      </c>
      <c r="F32" s="49">
        <f>AVERAGE('29.07 Nakawa-Naguru'!F32,'30.07 Nakawa-Naguru'!F32,'31.07 Nakawa-Naguru'!F32,'02.08 Nakawa-Naguru'!F32,'01.08 Nakawa-Naguru-24h'!F32,'03.08 Nakawa-Naguru-24h'!F32,'04.08 Nakawa-Naguru'!F32)</f>
        <v>6.5714285714285712</v>
      </c>
      <c r="G32" s="49">
        <f>AVERAGE('29.07 Nakawa-Naguru'!G32,'30.07 Nakawa-Naguru'!G32,'31.07 Nakawa-Naguru'!G32,'02.08 Nakawa-Naguru'!G32,'01.08 Nakawa-Naguru-24h'!G32,'03.08 Nakawa-Naguru-24h'!G32,'04.08 Nakawa-Naguru'!G32)</f>
        <v>0</v>
      </c>
      <c r="H32" s="49">
        <f>AVERAGE('29.07 Nakawa-Naguru'!H32,'30.07 Nakawa-Naguru'!H32,'31.07 Nakawa-Naguru'!H32,'02.08 Nakawa-Naguru'!H32,'01.08 Nakawa-Naguru-24h'!H32,'03.08 Nakawa-Naguru-24h'!H32,'04.08 Nakawa-Naguru'!H32)</f>
        <v>0</v>
      </c>
      <c r="I32" s="49">
        <f>AVERAGE('29.07 Nakawa-Naguru'!I32,'30.07 Nakawa-Naguru'!I32,'31.07 Nakawa-Naguru'!I32,'02.08 Nakawa-Naguru'!I32,'01.08 Nakawa-Naguru-24h'!I32,'03.08 Nakawa-Naguru-24h'!I32,'04.08 Nakawa-Naguru'!I32)</f>
        <v>3</v>
      </c>
      <c r="J32" s="49">
        <f>AVERAGE('29.07 Nakawa-Naguru'!J32,'30.07 Nakawa-Naguru'!J32,'31.07 Nakawa-Naguru'!J32,'02.08 Nakawa-Naguru'!J32,'01.08 Nakawa-Naguru-24h'!J32,'03.08 Nakawa-Naguru-24h'!J32,'04.08 Nakawa-Naguru'!J32)</f>
        <v>0.42857142857142855</v>
      </c>
      <c r="K32" s="49">
        <f>AVERAGE('29.07 Nakawa-Naguru'!K32,'30.07 Nakawa-Naguru'!K32,'31.07 Nakawa-Naguru'!K32,'02.08 Nakawa-Naguru'!K32,'01.08 Nakawa-Naguru-24h'!K32,'03.08 Nakawa-Naguru-24h'!K32,'04.08 Nakawa-Naguru'!K32)</f>
        <v>0.14285714285714285</v>
      </c>
      <c r="L32" s="49">
        <f>AVERAGE('29.07 Nakawa-Naguru'!L32,'30.07 Nakawa-Naguru'!L32,'31.07 Nakawa-Naguru'!L32,'02.08 Nakawa-Naguru'!L32,'01.08 Nakawa-Naguru-24h'!L32,'03.08 Nakawa-Naguru-24h'!L32,'04.08 Nakawa-Naguru'!L32)</f>
        <v>0</v>
      </c>
      <c r="M32" s="49">
        <f>AVERAGE('29.07 Nakawa-Naguru'!M32,'30.07 Nakawa-Naguru'!M32,'31.07 Nakawa-Naguru'!M32,'02.08 Nakawa-Naguru'!M32,'01.08 Nakawa-Naguru-24h'!M32,'03.08 Nakawa-Naguru-24h'!M32,'04.08 Nakawa-Naguru'!M32)</f>
        <v>56.285714285714285</v>
      </c>
      <c r="N32" s="49">
        <f>AVERAGE('29.07 Nakawa-Naguru'!N32,'30.07 Nakawa-Naguru'!N32,'31.07 Nakawa-Naguru'!N32,'02.08 Nakawa-Naguru'!N32,'01.08 Nakawa-Naguru-24h'!N32,'03.08 Nakawa-Naguru-24h'!N32,'04.08 Nakawa-Naguru'!N32)</f>
        <v>0</v>
      </c>
      <c r="O32" s="15">
        <f t="shared" si="0"/>
        <v>131.42857142857142</v>
      </c>
      <c r="P32" s="15">
        <f t="shared" si="1"/>
        <v>187.71428571428569</v>
      </c>
      <c r="R32" s="1" t="s">
        <v>156</v>
      </c>
      <c r="S32" s="34">
        <f>SUM(C98:C101)</f>
        <v>25</v>
      </c>
      <c r="T32" s="34">
        <f t="shared" ref="T32:AF32" si="24">SUM(D98:D101)</f>
        <v>8</v>
      </c>
      <c r="U32" s="34">
        <f t="shared" si="24"/>
        <v>5</v>
      </c>
      <c r="V32" s="34">
        <f t="shared" si="24"/>
        <v>2.5</v>
      </c>
      <c r="W32" s="34">
        <f t="shared" si="24"/>
        <v>0.5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1</v>
      </c>
      <c r="AB32" s="34">
        <f t="shared" si="24"/>
        <v>1</v>
      </c>
      <c r="AC32" s="34">
        <f t="shared" si="24"/>
        <v>6</v>
      </c>
      <c r="AD32" s="34">
        <f t="shared" si="24"/>
        <v>0</v>
      </c>
      <c r="AE32" s="31">
        <f t="shared" si="24"/>
        <v>43.5</v>
      </c>
      <c r="AF32" s="31">
        <f t="shared" si="24"/>
        <v>49.5</v>
      </c>
    </row>
    <row r="33" spans="2:32" ht="23.1" customHeight="1" x14ac:dyDescent="0.25">
      <c r="B33" s="23" t="s">
        <v>60</v>
      </c>
      <c r="C33" s="49">
        <f>AVERAGE('29.07 Nakawa-Naguru'!C33,'30.07 Nakawa-Naguru'!C33,'31.07 Nakawa-Naguru'!C33,'02.08 Nakawa-Naguru'!C33,'01.08 Nakawa-Naguru-24h'!C33,'03.08 Nakawa-Naguru-24h'!C33,'04.08 Nakawa-Naguru'!C33)</f>
        <v>54.714285714285715</v>
      </c>
      <c r="D33" s="49">
        <f>AVERAGE('29.07 Nakawa-Naguru'!D33,'30.07 Nakawa-Naguru'!D33,'31.07 Nakawa-Naguru'!D33,'02.08 Nakawa-Naguru'!D33,'01.08 Nakawa-Naguru-24h'!D33,'03.08 Nakawa-Naguru-24h'!D33,'04.08 Nakawa-Naguru'!D33)</f>
        <v>48.714285714285715</v>
      </c>
      <c r="E33" s="49">
        <f>AVERAGE('29.07 Nakawa-Naguru'!E33,'30.07 Nakawa-Naguru'!E33,'31.07 Nakawa-Naguru'!E33,'02.08 Nakawa-Naguru'!E33,'01.08 Nakawa-Naguru-24h'!E33,'03.08 Nakawa-Naguru-24h'!E33,'04.08 Nakawa-Naguru'!E33)</f>
        <v>13</v>
      </c>
      <c r="F33" s="49">
        <f>AVERAGE('29.07 Nakawa-Naguru'!F33,'30.07 Nakawa-Naguru'!F33,'31.07 Nakawa-Naguru'!F33,'02.08 Nakawa-Naguru'!F33,'01.08 Nakawa-Naguru-24h'!F33,'03.08 Nakawa-Naguru-24h'!F33,'04.08 Nakawa-Naguru'!F33)</f>
        <v>6.8571428571428568</v>
      </c>
      <c r="G33" s="49">
        <f>AVERAGE('29.07 Nakawa-Naguru'!G33,'30.07 Nakawa-Naguru'!G33,'31.07 Nakawa-Naguru'!G33,'02.08 Nakawa-Naguru'!G33,'01.08 Nakawa-Naguru-24h'!G33,'03.08 Nakawa-Naguru-24h'!G33,'04.08 Nakawa-Naguru'!G33)</f>
        <v>0</v>
      </c>
      <c r="H33" s="49">
        <f>AVERAGE('29.07 Nakawa-Naguru'!H33,'30.07 Nakawa-Naguru'!H33,'31.07 Nakawa-Naguru'!H33,'02.08 Nakawa-Naguru'!H33,'01.08 Nakawa-Naguru-24h'!H33,'03.08 Nakawa-Naguru-24h'!H33,'04.08 Nakawa-Naguru'!H33)</f>
        <v>0</v>
      </c>
      <c r="I33" s="49">
        <f>AVERAGE('29.07 Nakawa-Naguru'!I33,'30.07 Nakawa-Naguru'!I33,'31.07 Nakawa-Naguru'!I33,'02.08 Nakawa-Naguru'!I33,'01.08 Nakawa-Naguru-24h'!I33,'03.08 Nakawa-Naguru-24h'!I33,'04.08 Nakawa-Naguru'!I33)</f>
        <v>1.4285714285714286</v>
      </c>
      <c r="J33" s="49">
        <f>AVERAGE('29.07 Nakawa-Naguru'!J33,'30.07 Nakawa-Naguru'!J33,'31.07 Nakawa-Naguru'!J33,'02.08 Nakawa-Naguru'!J33,'01.08 Nakawa-Naguru-24h'!J33,'03.08 Nakawa-Naguru-24h'!J33,'04.08 Nakawa-Naguru'!J33)</f>
        <v>0.7142857142857143</v>
      </c>
      <c r="K33" s="49">
        <f>AVERAGE('29.07 Nakawa-Naguru'!K33,'30.07 Nakawa-Naguru'!K33,'31.07 Nakawa-Naguru'!K33,'02.08 Nakawa-Naguru'!K33,'01.08 Nakawa-Naguru-24h'!K33,'03.08 Nakawa-Naguru-24h'!K33,'04.08 Nakawa-Naguru'!K33)</f>
        <v>0</v>
      </c>
      <c r="L33" s="49">
        <f>AVERAGE('29.07 Nakawa-Naguru'!L33,'30.07 Nakawa-Naguru'!L33,'31.07 Nakawa-Naguru'!L33,'02.08 Nakawa-Naguru'!L33,'01.08 Nakawa-Naguru-24h'!L33,'03.08 Nakawa-Naguru-24h'!L33,'04.08 Nakawa-Naguru'!L33)</f>
        <v>0.14285714285714285</v>
      </c>
      <c r="M33" s="49">
        <f>AVERAGE('29.07 Nakawa-Naguru'!M33,'30.07 Nakawa-Naguru'!M33,'31.07 Nakawa-Naguru'!M33,'02.08 Nakawa-Naguru'!M33,'01.08 Nakawa-Naguru-24h'!M33,'03.08 Nakawa-Naguru-24h'!M33,'04.08 Nakawa-Naguru'!M33)</f>
        <v>51.428571428571431</v>
      </c>
      <c r="N33" s="49">
        <f>AVERAGE('29.07 Nakawa-Naguru'!N33,'30.07 Nakawa-Naguru'!N33,'31.07 Nakawa-Naguru'!N33,'02.08 Nakawa-Naguru'!N33,'01.08 Nakawa-Naguru-24h'!N33,'03.08 Nakawa-Naguru-24h'!N33,'04.08 Nakawa-Naguru'!N33)</f>
        <v>0.14285714285714285</v>
      </c>
      <c r="O33" s="15">
        <f t="shared" si="0"/>
        <v>125.71428571428571</v>
      </c>
      <c r="P33" s="15">
        <f t="shared" si="1"/>
        <v>177.14285714285714</v>
      </c>
      <c r="R33" s="1" t="s">
        <v>157</v>
      </c>
      <c r="S33" s="34">
        <f>SUM(C102:C105)</f>
        <v>66</v>
      </c>
      <c r="T33" s="34">
        <f t="shared" ref="T33:AF33" si="25">SUM(D102:D105)</f>
        <v>19.5</v>
      </c>
      <c r="U33" s="34">
        <f t="shared" si="25"/>
        <v>17.5</v>
      </c>
      <c r="V33" s="34">
        <f t="shared" si="25"/>
        <v>9.5</v>
      </c>
      <c r="W33" s="34">
        <f t="shared" si="25"/>
        <v>0.5</v>
      </c>
      <c r="X33" s="34">
        <f t="shared" si="25"/>
        <v>0</v>
      </c>
      <c r="Y33" s="34">
        <f t="shared" si="25"/>
        <v>3</v>
      </c>
      <c r="Z33" s="34">
        <f t="shared" si="25"/>
        <v>0.5</v>
      </c>
      <c r="AA33" s="34">
        <f t="shared" si="25"/>
        <v>0.5</v>
      </c>
      <c r="AB33" s="34">
        <f t="shared" si="25"/>
        <v>0</v>
      </c>
      <c r="AC33" s="34">
        <f t="shared" si="25"/>
        <v>42</v>
      </c>
      <c r="AD33" s="34">
        <f t="shared" si="25"/>
        <v>0</v>
      </c>
      <c r="AE33" s="31">
        <f t="shared" si="25"/>
        <v>117</v>
      </c>
      <c r="AF33" s="31">
        <f t="shared" si="25"/>
        <v>159</v>
      </c>
    </row>
    <row r="34" spans="2:32" ht="23.1" customHeight="1" x14ac:dyDescent="0.25">
      <c r="B34" s="24" t="s">
        <v>61</v>
      </c>
      <c r="C34" s="49">
        <f>AVERAGE('29.07 Nakawa-Naguru'!C34,'30.07 Nakawa-Naguru'!C34,'31.07 Nakawa-Naguru'!C34,'02.08 Nakawa-Naguru'!C34,'01.08 Nakawa-Naguru-24h'!C34,'03.08 Nakawa-Naguru-24h'!C34,'04.08 Nakawa-Naguru'!C34)</f>
        <v>51</v>
      </c>
      <c r="D34" s="49">
        <f>AVERAGE('29.07 Nakawa-Naguru'!D34,'30.07 Nakawa-Naguru'!D34,'31.07 Nakawa-Naguru'!D34,'02.08 Nakawa-Naguru'!D34,'01.08 Nakawa-Naguru-24h'!D34,'03.08 Nakawa-Naguru-24h'!D34,'04.08 Nakawa-Naguru'!D34)</f>
        <v>50.428571428571431</v>
      </c>
      <c r="E34" s="49">
        <f>AVERAGE('29.07 Nakawa-Naguru'!E34,'30.07 Nakawa-Naguru'!E34,'31.07 Nakawa-Naguru'!E34,'02.08 Nakawa-Naguru'!E34,'01.08 Nakawa-Naguru-24h'!E34,'03.08 Nakawa-Naguru-24h'!E34,'04.08 Nakawa-Naguru'!E34)</f>
        <v>9</v>
      </c>
      <c r="F34" s="49">
        <f>AVERAGE('29.07 Nakawa-Naguru'!F34,'30.07 Nakawa-Naguru'!F34,'31.07 Nakawa-Naguru'!F34,'02.08 Nakawa-Naguru'!F34,'01.08 Nakawa-Naguru-24h'!F34,'03.08 Nakawa-Naguru-24h'!F34,'04.08 Nakawa-Naguru'!F34)</f>
        <v>5.8571428571428568</v>
      </c>
      <c r="G34" s="49">
        <f>AVERAGE('29.07 Nakawa-Naguru'!G34,'30.07 Nakawa-Naguru'!G34,'31.07 Nakawa-Naguru'!G34,'02.08 Nakawa-Naguru'!G34,'01.08 Nakawa-Naguru-24h'!G34,'03.08 Nakawa-Naguru-24h'!G34,'04.08 Nakawa-Naguru'!G34)</f>
        <v>0.14285714285714285</v>
      </c>
      <c r="H34" s="49">
        <f>AVERAGE('29.07 Nakawa-Naguru'!H34,'30.07 Nakawa-Naguru'!H34,'31.07 Nakawa-Naguru'!H34,'02.08 Nakawa-Naguru'!H34,'01.08 Nakawa-Naguru-24h'!H34,'03.08 Nakawa-Naguru-24h'!H34,'04.08 Nakawa-Naguru'!H34)</f>
        <v>0.14285714285714285</v>
      </c>
      <c r="I34" s="49">
        <f>AVERAGE('29.07 Nakawa-Naguru'!I34,'30.07 Nakawa-Naguru'!I34,'31.07 Nakawa-Naguru'!I34,'02.08 Nakawa-Naguru'!I34,'01.08 Nakawa-Naguru-24h'!I34,'03.08 Nakawa-Naguru-24h'!I34,'04.08 Nakawa-Naguru'!I34)</f>
        <v>1.5714285714285714</v>
      </c>
      <c r="J34" s="49">
        <f>AVERAGE('29.07 Nakawa-Naguru'!J34,'30.07 Nakawa-Naguru'!J34,'31.07 Nakawa-Naguru'!J34,'02.08 Nakawa-Naguru'!J34,'01.08 Nakawa-Naguru-24h'!J34,'03.08 Nakawa-Naguru-24h'!J34,'04.08 Nakawa-Naguru'!J34)</f>
        <v>1.1428571428571428</v>
      </c>
      <c r="K34" s="49">
        <f>AVERAGE('29.07 Nakawa-Naguru'!K34,'30.07 Nakawa-Naguru'!K34,'31.07 Nakawa-Naguru'!K34,'02.08 Nakawa-Naguru'!K34,'01.08 Nakawa-Naguru-24h'!K34,'03.08 Nakawa-Naguru-24h'!K34,'04.08 Nakawa-Naguru'!K34)</f>
        <v>0.42857142857142855</v>
      </c>
      <c r="L34" s="49">
        <f>AVERAGE('29.07 Nakawa-Naguru'!L34,'30.07 Nakawa-Naguru'!L34,'31.07 Nakawa-Naguru'!L34,'02.08 Nakawa-Naguru'!L34,'01.08 Nakawa-Naguru-24h'!L34,'03.08 Nakawa-Naguru-24h'!L34,'04.08 Nakawa-Naguru'!L34)</f>
        <v>0</v>
      </c>
      <c r="M34" s="49">
        <f>AVERAGE('29.07 Nakawa-Naguru'!M34,'30.07 Nakawa-Naguru'!M34,'31.07 Nakawa-Naguru'!M34,'02.08 Nakawa-Naguru'!M34,'01.08 Nakawa-Naguru-24h'!M34,'03.08 Nakawa-Naguru-24h'!M34,'04.08 Nakawa-Naguru'!M34)</f>
        <v>50.428571428571431</v>
      </c>
      <c r="N34" s="49">
        <f>AVERAGE('29.07 Nakawa-Naguru'!N34,'30.07 Nakawa-Naguru'!N34,'31.07 Nakawa-Naguru'!N34,'02.08 Nakawa-Naguru'!N34,'01.08 Nakawa-Naguru-24h'!N34,'03.08 Nakawa-Naguru-24h'!N34,'04.08 Nakawa-Naguru'!N34)</f>
        <v>0.14285714285714285</v>
      </c>
      <c r="O34" s="15">
        <f t="shared" si="0"/>
        <v>119.85714285714285</v>
      </c>
      <c r="P34" s="15">
        <f t="shared" si="1"/>
        <v>170.28571428571428</v>
      </c>
      <c r="R34" s="38" t="s">
        <v>90</v>
      </c>
      <c r="S34" s="39">
        <f t="shared" ref="S34:AF34" si="26">MAX(S10:S12)</f>
        <v>139.85714285714286</v>
      </c>
      <c r="T34" s="39">
        <f t="shared" si="26"/>
        <v>117.57142857142857</v>
      </c>
      <c r="U34" s="39">
        <f t="shared" si="26"/>
        <v>38.142857142857146</v>
      </c>
      <c r="V34" s="39">
        <f t="shared" si="26"/>
        <v>46.428571428571423</v>
      </c>
      <c r="W34" s="39">
        <f t="shared" si="26"/>
        <v>1.8571428571428572</v>
      </c>
      <c r="X34" s="39">
        <f t="shared" si="26"/>
        <v>0.14285714285714285</v>
      </c>
      <c r="Y34" s="39">
        <f t="shared" si="26"/>
        <v>6.8571428571428568</v>
      </c>
      <c r="Z34" s="39">
        <f t="shared" si="26"/>
        <v>3.1428571428571428</v>
      </c>
      <c r="AA34" s="39">
        <f t="shared" si="26"/>
        <v>0.5714285714285714</v>
      </c>
      <c r="AB34" s="39">
        <f t="shared" si="26"/>
        <v>0.14285714285714285</v>
      </c>
      <c r="AC34" s="39">
        <f t="shared" si="26"/>
        <v>231.85714285714286</v>
      </c>
      <c r="AD34" s="39">
        <f t="shared" si="26"/>
        <v>0</v>
      </c>
      <c r="AE34" s="40">
        <f t="shared" si="26"/>
        <v>337.28571428571433</v>
      </c>
      <c r="AF34" s="40">
        <f t="shared" si="26"/>
        <v>569.14285714285722</v>
      </c>
    </row>
    <row r="35" spans="2:32" ht="23.1" customHeight="1" x14ac:dyDescent="0.25">
      <c r="B35" s="24" t="s">
        <v>62</v>
      </c>
      <c r="C35" s="49">
        <f>AVERAGE('29.07 Nakawa-Naguru'!C35,'30.07 Nakawa-Naguru'!C35,'31.07 Nakawa-Naguru'!C35,'02.08 Nakawa-Naguru'!C35,'01.08 Nakawa-Naguru-24h'!C35,'03.08 Nakawa-Naguru-24h'!C35,'04.08 Nakawa-Naguru'!C35)</f>
        <v>67.142857142857139</v>
      </c>
      <c r="D35" s="49">
        <f>AVERAGE('29.07 Nakawa-Naguru'!D35,'30.07 Nakawa-Naguru'!D35,'31.07 Nakawa-Naguru'!D35,'02.08 Nakawa-Naguru'!D35,'01.08 Nakawa-Naguru-24h'!D35,'03.08 Nakawa-Naguru-24h'!D35,'04.08 Nakawa-Naguru'!D35)</f>
        <v>53.428571428571431</v>
      </c>
      <c r="E35" s="49">
        <f>AVERAGE('29.07 Nakawa-Naguru'!E35,'30.07 Nakawa-Naguru'!E35,'31.07 Nakawa-Naguru'!E35,'02.08 Nakawa-Naguru'!E35,'01.08 Nakawa-Naguru-24h'!E35,'03.08 Nakawa-Naguru-24h'!E35,'04.08 Nakawa-Naguru'!E35)</f>
        <v>13.428571428571429</v>
      </c>
      <c r="F35" s="49">
        <f>AVERAGE('29.07 Nakawa-Naguru'!F35,'30.07 Nakawa-Naguru'!F35,'31.07 Nakawa-Naguru'!F35,'02.08 Nakawa-Naguru'!F35,'01.08 Nakawa-Naguru-24h'!F35,'03.08 Nakawa-Naguru-24h'!F35,'04.08 Nakawa-Naguru'!F35)</f>
        <v>4.8571428571428568</v>
      </c>
      <c r="G35" s="49">
        <f>AVERAGE('29.07 Nakawa-Naguru'!G35,'30.07 Nakawa-Naguru'!G35,'31.07 Nakawa-Naguru'!G35,'02.08 Nakawa-Naguru'!G35,'01.08 Nakawa-Naguru-24h'!G35,'03.08 Nakawa-Naguru-24h'!G35,'04.08 Nakawa-Naguru'!G35)</f>
        <v>0.2857142857142857</v>
      </c>
      <c r="H35" s="49">
        <f>AVERAGE('29.07 Nakawa-Naguru'!H35,'30.07 Nakawa-Naguru'!H35,'31.07 Nakawa-Naguru'!H35,'02.08 Nakawa-Naguru'!H35,'01.08 Nakawa-Naguru-24h'!H35,'03.08 Nakawa-Naguru-24h'!H35,'04.08 Nakawa-Naguru'!H35)</f>
        <v>0</v>
      </c>
      <c r="I35" s="49">
        <f>AVERAGE('29.07 Nakawa-Naguru'!I35,'30.07 Nakawa-Naguru'!I35,'31.07 Nakawa-Naguru'!I35,'02.08 Nakawa-Naguru'!I35,'01.08 Nakawa-Naguru-24h'!I35,'03.08 Nakawa-Naguru-24h'!I35,'04.08 Nakawa-Naguru'!I35)</f>
        <v>2.2857142857142856</v>
      </c>
      <c r="J35" s="49">
        <f>AVERAGE('29.07 Nakawa-Naguru'!J35,'30.07 Nakawa-Naguru'!J35,'31.07 Nakawa-Naguru'!J35,'02.08 Nakawa-Naguru'!J35,'01.08 Nakawa-Naguru-24h'!J35,'03.08 Nakawa-Naguru-24h'!J35,'04.08 Nakawa-Naguru'!J35)</f>
        <v>1</v>
      </c>
      <c r="K35" s="49">
        <f>AVERAGE('29.07 Nakawa-Naguru'!K35,'30.07 Nakawa-Naguru'!K35,'31.07 Nakawa-Naguru'!K35,'02.08 Nakawa-Naguru'!K35,'01.08 Nakawa-Naguru-24h'!K35,'03.08 Nakawa-Naguru-24h'!K35,'04.08 Nakawa-Naguru'!K35)</f>
        <v>0</v>
      </c>
      <c r="L35" s="49">
        <f>AVERAGE('29.07 Nakawa-Naguru'!L35,'30.07 Nakawa-Naguru'!L35,'31.07 Nakawa-Naguru'!L35,'02.08 Nakawa-Naguru'!L35,'01.08 Nakawa-Naguru-24h'!L35,'03.08 Nakawa-Naguru-24h'!L35,'04.08 Nakawa-Naguru'!L35)</f>
        <v>0</v>
      </c>
      <c r="M35" s="49">
        <f>AVERAGE('29.07 Nakawa-Naguru'!M35,'30.07 Nakawa-Naguru'!M35,'31.07 Nakawa-Naguru'!M35,'02.08 Nakawa-Naguru'!M35,'01.08 Nakawa-Naguru-24h'!M35,'03.08 Nakawa-Naguru-24h'!M35,'04.08 Nakawa-Naguru'!M35)</f>
        <v>48.571428571428569</v>
      </c>
      <c r="N35" s="49">
        <f>AVERAGE('29.07 Nakawa-Naguru'!N35,'30.07 Nakawa-Naguru'!N35,'31.07 Nakawa-Naguru'!N35,'02.08 Nakawa-Naguru'!N35,'01.08 Nakawa-Naguru-24h'!N35,'03.08 Nakawa-Naguru-24h'!N35,'04.08 Nakawa-Naguru'!N35)</f>
        <v>0</v>
      </c>
      <c r="O35" s="15">
        <f t="shared" si="0"/>
        <v>142.42857142857142</v>
      </c>
      <c r="P35" s="15">
        <f t="shared" si="1"/>
        <v>191</v>
      </c>
      <c r="R35" s="38" t="s">
        <v>91</v>
      </c>
      <c r="S35" s="39">
        <f t="shared" ref="S35:AF35" si="27">MAX(S13:S18)</f>
        <v>315.57142857142856</v>
      </c>
      <c r="T35" s="39">
        <f t="shared" si="27"/>
        <v>310.71428571428567</v>
      </c>
      <c r="U35" s="39">
        <f t="shared" si="27"/>
        <v>58.714285714285708</v>
      </c>
      <c r="V35" s="39">
        <f t="shared" si="27"/>
        <v>26.714285714285712</v>
      </c>
      <c r="W35" s="39">
        <f t="shared" si="27"/>
        <v>0.8571428571428571</v>
      </c>
      <c r="X35" s="39">
        <f t="shared" si="27"/>
        <v>0.2857142857142857</v>
      </c>
      <c r="Y35" s="39">
        <f t="shared" si="27"/>
        <v>11.285714285714286</v>
      </c>
      <c r="Z35" s="39">
        <f t="shared" si="27"/>
        <v>4.4285714285714288</v>
      </c>
      <c r="AA35" s="39">
        <f t="shared" si="27"/>
        <v>1</v>
      </c>
      <c r="AB35" s="39">
        <f t="shared" si="27"/>
        <v>0.85714285714285698</v>
      </c>
      <c r="AC35" s="39">
        <f t="shared" si="27"/>
        <v>213</v>
      </c>
      <c r="AD35" s="39">
        <f t="shared" si="27"/>
        <v>0.2857142857142857</v>
      </c>
      <c r="AE35" s="40">
        <f t="shared" si="27"/>
        <v>717.28571428571422</v>
      </c>
      <c r="AF35" s="40">
        <f t="shared" si="27"/>
        <v>898.57142857142844</v>
      </c>
    </row>
    <row r="36" spans="2:32" ht="23.1" customHeight="1" x14ac:dyDescent="0.25">
      <c r="B36" s="24" t="s">
        <v>63</v>
      </c>
      <c r="C36" s="49">
        <f>AVERAGE('29.07 Nakawa-Naguru'!C36,'30.07 Nakawa-Naguru'!C36,'31.07 Nakawa-Naguru'!C36,'02.08 Nakawa-Naguru'!C36,'01.08 Nakawa-Naguru-24h'!C36,'03.08 Nakawa-Naguru-24h'!C36,'04.08 Nakawa-Naguru'!C36)</f>
        <v>68.142857142857139</v>
      </c>
      <c r="D36" s="49">
        <f>AVERAGE('29.07 Nakawa-Naguru'!D36,'30.07 Nakawa-Naguru'!D36,'31.07 Nakawa-Naguru'!D36,'02.08 Nakawa-Naguru'!D36,'01.08 Nakawa-Naguru-24h'!D36,'03.08 Nakawa-Naguru-24h'!D36,'04.08 Nakawa-Naguru'!D36)</f>
        <v>55.857142857142854</v>
      </c>
      <c r="E36" s="49">
        <f>AVERAGE('29.07 Nakawa-Naguru'!E36,'30.07 Nakawa-Naguru'!E36,'31.07 Nakawa-Naguru'!E36,'02.08 Nakawa-Naguru'!E36,'01.08 Nakawa-Naguru-24h'!E36,'03.08 Nakawa-Naguru-24h'!E36,'04.08 Nakawa-Naguru'!E36)</f>
        <v>11.428571428571429</v>
      </c>
      <c r="F36" s="49">
        <f>AVERAGE('29.07 Nakawa-Naguru'!F36,'30.07 Nakawa-Naguru'!F36,'31.07 Nakawa-Naguru'!F36,'02.08 Nakawa-Naguru'!F36,'01.08 Nakawa-Naguru-24h'!F36,'03.08 Nakawa-Naguru-24h'!F36,'04.08 Nakawa-Naguru'!F36)</f>
        <v>6</v>
      </c>
      <c r="G36" s="49">
        <f>AVERAGE('29.07 Nakawa-Naguru'!G36,'30.07 Nakawa-Naguru'!G36,'31.07 Nakawa-Naguru'!G36,'02.08 Nakawa-Naguru'!G36,'01.08 Nakawa-Naguru-24h'!G36,'03.08 Nakawa-Naguru-24h'!G36,'04.08 Nakawa-Naguru'!G36)</f>
        <v>0.14285714285714285</v>
      </c>
      <c r="H36" s="49">
        <f>AVERAGE('29.07 Nakawa-Naguru'!H36,'30.07 Nakawa-Naguru'!H36,'31.07 Nakawa-Naguru'!H36,'02.08 Nakawa-Naguru'!H36,'01.08 Nakawa-Naguru-24h'!H36,'03.08 Nakawa-Naguru-24h'!H36,'04.08 Nakawa-Naguru'!H36)</f>
        <v>0</v>
      </c>
      <c r="I36" s="49">
        <f>AVERAGE('29.07 Nakawa-Naguru'!I36,'30.07 Nakawa-Naguru'!I36,'31.07 Nakawa-Naguru'!I36,'02.08 Nakawa-Naguru'!I36,'01.08 Nakawa-Naguru-24h'!I36,'03.08 Nakawa-Naguru-24h'!I36,'04.08 Nakawa-Naguru'!I36)</f>
        <v>1.1428571428571428</v>
      </c>
      <c r="J36" s="49">
        <f>AVERAGE('29.07 Nakawa-Naguru'!J36,'30.07 Nakawa-Naguru'!J36,'31.07 Nakawa-Naguru'!J36,'02.08 Nakawa-Naguru'!J36,'01.08 Nakawa-Naguru-24h'!J36,'03.08 Nakawa-Naguru-24h'!J36,'04.08 Nakawa-Naguru'!J36)</f>
        <v>1.2857142857142858</v>
      </c>
      <c r="K36" s="49">
        <f>AVERAGE('29.07 Nakawa-Naguru'!K36,'30.07 Nakawa-Naguru'!K36,'31.07 Nakawa-Naguru'!K36,'02.08 Nakawa-Naguru'!K36,'01.08 Nakawa-Naguru-24h'!K36,'03.08 Nakawa-Naguru-24h'!K36,'04.08 Nakawa-Naguru'!K36)</f>
        <v>0.14285714285714285</v>
      </c>
      <c r="L36" s="49">
        <f>AVERAGE('29.07 Nakawa-Naguru'!L36,'30.07 Nakawa-Naguru'!L36,'31.07 Nakawa-Naguru'!L36,'02.08 Nakawa-Naguru'!L36,'01.08 Nakawa-Naguru-24h'!L36,'03.08 Nakawa-Naguru-24h'!L36,'04.08 Nakawa-Naguru'!L36)</f>
        <v>0.14285714285714285</v>
      </c>
      <c r="M36" s="49">
        <f>AVERAGE('29.07 Nakawa-Naguru'!M36,'30.07 Nakawa-Naguru'!M36,'31.07 Nakawa-Naguru'!M36,'02.08 Nakawa-Naguru'!M36,'01.08 Nakawa-Naguru-24h'!M36,'03.08 Nakawa-Naguru-24h'!M36,'04.08 Nakawa-Naguru'!M36)</f>
        <v>42.857142857142854</v>
      </c>
      <c r="N36" s="49">
        <f>AVERAGE('29.07 Nakawa-Naguru'!N36,'30.07 Nakawa-Naguru'!N36,'31.07 Nakawa-Naguru'!N36,'02.08 Nakawa-Naguru'!N36,'01.08 Nakawa-Naguru-24h'!N36,'03.08 Nakawa-Naguru-24h'!N36,'04.08 Nakawa-Naguru'!N36)</f>
        <v>0.14285714285714285</v>
      </c>
      <c r="O36" s="15">
        <f t="shared" si="0"/>
        <v>144.42857142857139</v>
      </c>
      <c r="P36" s="15">
        <f t="shared" si="1"/>
        <v>187.28571428571425</v>
      </c>
      <c r="R36" s="38" t="s">
        <v>92</v>
      </c>
      <c r="S36" s="39">
        <f t="shared" ref="S36:AF36" si="28">MAX(S19:S21)</f>
        <v>650.57142857142856</v>
      </c>
      <c r="T36" s="39">
        <f t="shared" si="28"/>
        <v>477.28571428571428</v>
      </c>
      <c r="U36" s="39">
        <f t="shared" si="28"/>
        <v>87.142857142857125</v>
      </c>
      <c r="V36" s="39">
        <f t="shared" si="28"/>
        <v>45.571428571428577</v>
      </c>
      <c r="W36" s="39">
        <f t="shared" si="28"/>
        <v>0.85714285714285698</v>
      </c>
      <c r="X36" s="39">
        <f t="shared" si="28"/>
        <v>0.71428571428571419</v>
      </c>
      <c r="Y36" s="39">
        <f t="shared" si="28"/>
        <v>6.2857142857142856</v>
      </c>
      <c r="Z36" s="39">
        <f t="shared" si="28"/>
        <v>2.7142857142857144</v>
      </c>
      <c r="AA36" s="39">
        <f t="shared" si="28"/>
        <v>1.2857142857142856</v>
      </c>
      <c r="AB36" s="39">
        <f t="shared" si="28"/>
        <v>0.5714285714285714</v>
      </c>
      <c r="AC36" s="39">
        <f t="shared" si="28"/>
        <v>269.14285714285717</v>
      </c>
      <c r="AD36" s="39">
        <f t="shared" si="28"/>
        <v>0</v>
      </c>
      <c r="AE36" s="40">
        <f t="shared" si="28"/>
        <v>1187</v>
      </c>
      <c r="AF36" s="40">
        <f t="shared" si="28"/>
        <v>1433.7142857142858</v>
      </c>
    </row>
    <row r="37" spans="2:32" ht="23.1" customHeight="1" x14ac:dyDescent="0.25">
      <c r="B37" s="23" t="s">
        <v>64</v>
      </c>
      <c r="C37" s="49">
        <f>AVERAGE('29.07 Nakawa-Naguru'!C37,'30.07 Nakawa-Naguru'!C37,'31.07 Nakawa-Naguru'!C37,'02.08 Nakawa-Naguru'!C37,'01.08 Nakawa-Naguru-24h'!C37,'03.08 Nakawa-Naguru-24h'!C37,'04.08 Nakawa-Naguru'!C37)</f>
        <v>65.428571428571431</v>
      </c>
      <c r="D37" s="49">
        <f>AVERAGE('29.07 Nakawa-Naguru'!D37,'30.07 Nakawa-Naguru'!D37,'31.07 Nakawa-Naguru'!D37,'02.08 Nakawa-Naguru'!D37,'01.08 Nakawa-Naguru-24h'!D37,'03.08 Nakawa-Naguru-24h'!D37,'04.08 Nakawa-Naguru'!D37)</f>
        <v>61.857142857142854</v>
      </c>
      <c r="E37" s="49">
        <f>AVERAGE('29.07 Nakawa-Naguru'!E37,'30.07 Nakawa-Naguru'!E37,'31.07 Nakawa-Naguru'!E37,'02.08 Nakawa-Naguru'!E37,'01.08 Nakawa-Naguru-24h'!E37,'03.08 Nakawa-Naguru-24h'!E37,'04.08 Nakawa-Naguru'!E37)</f>
        <v>7.8571428571428568</v>
      </c>
      <c r="F37" s="49">
        <f>AVERAGE('29.07 Nakawa-Naguru'!F37,'30.07 Nakawa-Naguru'!F37,'31.07 Nakawa-Naguru'!F37,'02.08 Nakawa-Naguru'!F37,'01.08 Nakawa-Naguru-24h'!F37,'03.08 Nakawa-Naguru-24h'!F37,'04.08 Nakawa-Naguru'!F37)</f>
        <v>4.7142857142857144</v>
      </c>
      <c r="G37" s="49">
        <f>AVERAGE('29.07 Nakawa-Naguru'!G37,'30.07 Nakawa-Naguru'!G37,'31.07 Nakawa-Naguru'!G37,'02.08 Nakawa-Naguru'!G37,'01.08 Nakawa-Naguru-24h'!G37,'03.08 Nakawa-Naguru-24h'!G37,'04.08 Nakawa-Naguru'!G37)</f>
        <v>0.2857142857142857</v>
      </c>
      <c r="H37" s="49">
        <f>AVERAGE('29.07 Nakawa-Naguru'!H37,'30.07 Nakawa-Naguru'!H37,'31.07 Nakawa-Naguru'!H37,'02.08 Nakawa-Naguru'!H37,'01.08 Nakawa-Naguru-24h'!H37,'03.08 Nakawa-Naguru-24h'!H37,'04.08 Nakawa-Naguru'!H37)</f>
        <v>0.14285714285714285</v>
      </c>
      <c r="I37" s="49">
        <f>AVERAGE('29.07 Nakawa-Naguru'!I37,'30.07 Nakawa-Naguru'!I37,'31.07 Nakawa-Naguru'!I37,'02.08 Nakawa-Naguru'!I37,'01.08 Nakawa-Naguru-24h'!I37,'03.08 Nakawa-Naguru-24h'!I37,'04.08 Nakawa-Naguru'!I37)</f>
        <v>2.5714285714285716</v>
      </c>
      <c r="J37" s="49">
        <f>AVERAGE('29.07 Nakawa-Naguru'!J37,'30.07 Nakawa-Naguru'!J37,'31.07 Nakawa-Naguru'!J37,'02.08 Nakawa-Naguru'!J37,'01.08 Nakawa-Naguru-24h'!J37,'03.08 Nakawa-Naguru-24h'!J37,'04.08 Nakawa-Naguru'!J37)</f>
        <v>1</v>
      </c>
      <c r="K37" s="49">
        <f>AVERAGE('29.07 Nakawa-Naguru'!K37,'30.07 Nakawa-Naguru'!K37,'31.07 Nakawa-Naguru'!K37,'02.08 Nakawa-Naguru'!K37,'01.08 Nakawa-Naguru-24h'!K37,'03.08 Nakawa-Naguru-24h'!K37,'04.08 Nakawa-Naguru'!K37)</f>
        <v>0.2857142857142857</v>
      </c>
      <c r="L37" s="49">
        <f>AVERAGE('29.07 Nakawa-Naguru'!L37,'30.07 Nakawa-Naguru'!L37,'31.07 Nakawa-Naguru'!L37,'02.08 Nakawa-Naguru'!L37,'01.08 Nakawa-Naguru-24h'!L37,'03.08 Nakawa-Naguru-24h'!L37,'04.08 Nakawa-Naguru'!L37)</f>
        <v>0.14285714285714285</v>
      </c>
      <c r="M37" s="49">
        <f>AVERAGE('29.07 Nakawa-Naguru'!M37,'30.07 Nakawa-Naguru'!M37,'31.07 Nakawa-Naguru'!M37,'02.08 Nakawa-Naguru'!M37,'01.08 Nakawa-Naguru-24h'!M37,'03.08 Nakawa-Naguru-24h'!M37,'04.08 Nakawa-Naguru'!M37)</f>
        <v>59.571428571428569</v>
      </c>
      <c r="N37" s="49">
        <f>AVERAGE('29.07 Nakawa-Naguru'!N37,'30.07 Nakawa-Naguru'!N37,'31.07 Nakawa-Naguru'!N37,'02.08 Nakawa-Naguru'!N37,'01.08 Nakawa-Naguru-24h'!N37,'03.08 Nakawa-Naguru-24h'!N37,'04.08 Nakawa-Naguru'!N37)</f>
        <v>0</v>
      </c>
      <c r="O37" s="15">
        <f t="shared" si="0"/>
        <v>144.28571428571428</v>
      </c>
      <c r="P37" s="15">
        <f t="shared" si="1"/>
        <v>203.85714285714283</v>
      </c>
      <c r="R37" s="37" t="s">
        <v>85</v>
      </c>
      <c r="S37" s="35">
        <f t="shared" ref="S37:AF37" si="29">SUM(S10:S12)</f>
        <v>371.57142857142856</v>
      </c>
      <c r="T37" s="16">
        <f t="shared" si="29"/>
        <v>301.71428571428572</v>
      </c>
      <c r="U37" s="16">
        <f t="shared" si="29"/>
        <v>90.428571428571431</v>
      </c>
      <c r="V37" s="16">
        <f t="shared" si="29"/>
        <v>101.71428571428571</v>
      </c>
      <c r="W37" s="16">
        <f t="shared" si="29"/>
        <v>3</v>
      </c>
      <c r="X37" s="16">
        <f t="shared" si="29"/>
        <v>0.2857142857142857</v>
      </c>
      <c r="Y37" s="16">
        <f t="shared" si="29"/>
        <v>16.11904761904762</v>
      </c>
      <c r="Z37" s="16">
        <f t="shared" si="29"/>
        <v>7.8571428571428559</v>
      </c>
      <c r="AA37" s="16">
        <f t="shared" si="29"/>
        <v>1</v>
      </c>
      <c r="AB37" s="16">
        <f t="shared" si="29"/>
        <v>0.14285714285714285</v>
      </c>
      <c r="AC37" s="16">
        <f t="shared" si="29"/>
        <v>579.85714285714289</v>
      </c>
      <c r="AD37" s="16">
        <f t="shared" si="29"/>
        <v>0</v>
      </c>
      <c r="AE37" s="32">
        <f t="shared" si="29"/>
        <v>893.83333333333337</v>
      </c>
      <c r="AF37" s="32">
        <f t="shared" si="29"/>
        <v>1473.6904761904761</v>
      </c>
    </row>
    <row r="38" spans="2:32" ht="23.1" customHeight="1" x14ac:dyDescent="0.25">
      <c r="B38" s="24" t="s">
        <v>65</v>
      </c>
      <c r="C38" s="49">
        <f>AVERAGE('29.07 Nakawa-Naguru'!C38,'30.07 Nakawa-Naguru'!C38,'31.07 Nakawa-Naguru'!C38,'02.08 Nakawa-Naguru'!C38,'01.08 Nakawa-Naguru-24h'!C38,'03.08 Nakawa-Naguru-24h'!C38,'04.08 Nakawa-Naguru'!C38)</f>
        <v>61.571428571428569</v>
      </c>
      <c r="D38" s="49">
        <f>AVERAGE('29.07 Nakawa-Naguru'!D38,'30.07 Nakawa-Naguru'!D38,'31.07 Nakawa-Naguru'!D38,'02.08 Nakawa-Naguru'!D38,'01.08 Nakawa-Naguru-24h'!D38,'03.08 Nakawa-Naguru-24h'!D38,'04.08 Nakawa-Naguru'!D38)</f>
        <v>52.142857142857146</v>
      </c>
      <c r="E38" s="49">
        <f>AVERAGE('29.07 Nakawa-Naguru'!E38,'30.07 Nakawa-Naguru'!E38,'31.07 Nakawa-Naguru'!E38,'02.08 Nakawa-Naguru'!E38,'01.08 Nakawa-Naguru-24h'!E38,'03.08 Nakawa-Naguru-24h'!E38,'04.08 Nakawa-Naguru'!E38)</f>
        <v>15.571428571428571</v>
      </c>
      <c r="F38" s="49">
        <f>AVERAGE('29.07 Nakawa-Naguru'!F38,'30.07 Nakawa-Naguru'!F38,'31.07 Nakawa-Naguru'!F38,'02.08 Nakawa-Naguru'!F38,'01.08 Nakawa-Naguru-24h'!F38,'03.08 Nakawa-Naguru-24h'!F38,'04.08 Nakawa-Naguru'!F38)</f>
        <v>9.7142857142857135</v>
      </c>
      <c r="G38" s="49">
        <f>AVERAGE('29.07 Nakawa-Naguru'!G38,'30.07 Nakawa-Naguru'!G38,'31.07 Nakawa-Naguru'!G38,'02.08 Nakawa-Naguru'!G38,'01.08 Nakawa-Naguru-24h'!G38,'03.08 Nakawa-Naguru-24h'!G38,'04.08 Nakawa-Naguru'!G38)</f>
        <v>0</v>
      </c>
      <c r="H38" s="49">
        <f>AVERAGE('29.07 Nakawa-Naguru'!H38,'30.07 Nakawa-Naguru'!H38,'31.07 Nakawa-Naguru'!H38,'02.08 Nakawa-Naguru'!H38,'01.08 Nakawa-Naguru-24h'!H38,'03.08 Nakawa-Naguru-24h'!H38,'04.08 Nakawa-Naguru'!H38)</f>
        <v>0</v>
      </c>
      <c r="I38" s="49">
        <f>AVERAGE('29.07 Nakawa-Naguru'!I38,'30.07 Nakawa-Naguru'!I38,'31.07 Nakawa-Naguru'!I38,'02.08 Nakawa-Naguru'!I38,'01.08 Nakawa-Naguru-24h'!I38,'03.08 Nakawa-Naguru-24h'!I38,'04.08 Nakawa-Naguru'!I38)</f>
        <v>1.8571428571428572</v>
      </c>
      <c r="J38" s="49">
        <f>AVERAGE('29.07 Nakawa-Naguru'!J38,'30.07 Nakawa-Naguru'!J38,'31.07 Nakawa-Naguru'!J38,'02.08 Nakawa-Naguru'!J38,'01.08 Nakawa-Naguru-24h'!J38,'03.08 Nakawa-Naguru-24h'!J38,'04.08 Nakawa-Naguru'!J38)</f>
        <v>0.2857142857142857</v>
      </c>
      <c r="K38" s="49">
        <f>AVERAGE('29.07 Nakawa-Naguru'!K38,'30.07 Nakawa-Naguru'!K38,'31.07 Nakawa-Naguru'!K38,'02.08 Nakawa-Naguru'!K38,'01.08 Nakawa-Naguru-24h'!K38,'03.08 Nakawa-Naguru-24h'!K38,'04.08 Nakawa-Naguru'!K38)</f>
        <v>0</v>
      </c>
      <c r="L38" s="49">
        <f>AVERAGE('29.07 Nakawa-Naguru'!L38,'30.07 Nakawa-Naguru'!L38,'31.07 Nakawa-Naguru'!L38,'02.08 Nakawa-Naguru'!L38,'01.08 Nakawa-Naguru-24h'!L38,'03.08 Nakawa-Naguru-24h'!L38,'04.08 Nakawa-Naguru'!L38)</f>
        <v>0.14285714285714285</v>
      </c>
      <c r="M38" s="49">
        <f>AVERAGE('29.07 Nakawa-Naguru'!M38,'30.07 Nakawa-Naguru'!M38,'31.07 Nakawa-Naguru'!M38,'02.08 Nakawa-Naguru'!M38,'01.08 Nakawa-Naguru-24h'!M38,'03.08 Nakawa-Naguru-24h'!M38,'04.08 Nakawa-Naguru'!M38)</f>
        <v>35.428571428571431</v>
      </c>
      <c r="N38" s="49">
        <f>AVERAGE('29.07 Nakawa-Naguru'!N38,'30.07 Nakawa-Naguru'!N38,'31.07 Nakawa-Naguru'!N38,'02.08 Nakawa-Naguru'!N38,'01.08 Nakawa-Naguru-24h'!N38,'03.08 Nakawa-Naguru-24h'!N38,'04.08 Nakawa-Naguru'!N38)</f>
        <v>0</v>
      </c>
      <c r="O38" s="15">
        <f t="shared" si="0"/>
        <v>141.28571428571431</v>
      </c>
      <c r="P38" s="15">
        <f t="shared" si="1"/>
        <v>176.71428571428572</v>
      </c>
      <c r="R38" s="28" t="s">
        <v>86</v>
      </c>
      <c r="S38" s="16">
        <f t="shared" ref="S38:AF38" si="30">SUM(S13:S18)</f>
        <v>1427</v>
      </c>
      <c r="T38" s="16">
        <f t="shared" si="30"/>
        <v>1248.1428571428569</v>
      </c>
      <c r="U38" s="16">
        <f t="shared" si="30"/>
        <v>289.85714285714283</v>
      </c>
      <c r="V38" s="16">
        <f t="shared" si="30"/>
        <v>145.42857142857142</v>
      </c>
      <c r="W38" s="16">
        <f t="shared" si="30"/>
        <v>3.4285714285714279</v>
      </c>
      <c r="X38" s="16">
        <f t="shared" si="30"/>
        <v>0.8571428571428571</v>
      </c>
      <c r="Y38" s="16">
        <f t="shared" si="30"/>
        <v>50.428571428571423</v>
      </c>
      <c r="Z38" s="16">
        <f t="shared" si="30"/>
        <v>17.142857142857142</v>
      </c>
      <c r="AA38" s="16">
        <f t="shared" si="30"/>
        <v>4.8571428571428568</v>
      </c>
      <c r="AB38" s="16">
        <f t="shared" si="30"/>
        <v>2.2857142857142851</v>
      </c>
      <c r="AC38" s="16">
        <f t="shared" si="30"/>
        <v>1157.1428571428571</v>
      </c>
      <c r="AD38" s="16">
        <f t="shared" si="30"/>
        <v>1.1428571428571428</v>
      </c>
      <c r="AE38" s="32">
        <f t="shared" si="30"/>
        <v>3190.5714285714284</v>
      </c>
      <c r="AF38" s="32">
        <f t="shared" si="30"/>
        <v>4347.7142857142853</v>
      </c>
    </row>
    <row r="39" spans="2:32" ht="23.1" customHeight="1" x14ac:dyDescent="0.25">
      <c r="B39" s="24" t="s">
        <v>66</v>
      </c>
      <c r="C39" s="49">
        <f>AVERAGE('29.07 Nakawa-Naguru'!C39,'30.07 Nakawa-Naguru'!C39,'31.07 Nakawa-Naguru'!C39,'02.08 Nakawa-Naguru'!C39,'01.08 Nakawa-Naguru-24h'!C39,'03.08 Nakawa-Naguru-24h'!C39,'04.08 Nakawa-Naguru'!C39)</f>
        <v>52.857142857142854</v>
      </c>
      <c r="D39" s="49">
        <f>AVERAGE('29.07 Nakawa-Naguru'!D39,'30.07 Nakawa-Naguru'!D39,'31.07 Nakawa-Naguru'!D39,'02.08 Nakawa-Naguru'!D39,'01.08 Nakawa-Naguru-24h'!D39,'03.08 Nakawa-Naguru-24h'!D39,'04.08 Nakawa-Naguru'!D39)</f>
        <v>61.571428571428569</v>
      </c>
      <c r="E39" s="49">
        <f>AVERAGE('29.07 Nakawa-Naguru'!E39,'30.07 Nakawa-Naguru'!E39,'31.07 Nakawa-Naguru'!E39,'02.08 Nakawa-Naguru'!E39,'01.08 Nakawa-Naguru-24h'!E39,'03.08 Nakawa-Naguru-24h'!E39,'04.08 Nakawa-Naguru'!E39)</f>
        <v>17.714285714285715</v>
      </c>
      <c r="F39" s="49">
        <f>AVERAGE('29.07 Nakawa-Naguru'!F39,'30.07 Nakawa-Naguru'!F39,'31.07 Nakawa-Naguru'!F39,'02.08 Nakawa-Naguru'!F39,'01.08 Nakawa-Naguru-24h'!F39,'03.08 Nakawa-Naguru-24h'!F39,'04.08 Nakawa-Naguru'!F39)</f>
        <v>6.7142857142857144</v>
      </c>
      <c r="G39" s="49">
        <f>AVERAGE('29.07 Nakawa-Naguru'!G39,'30.07 Nakawa-Naguru'!G39,'31.07 Nakawa-Naguru'!G39,'02.08 Nakawa-Naguru'!G39,'01.08 Nakawa-Naguru-24h'!G39,'03.08 Nakawa-Naguru-24h'!G39,'04.08 Nakawa-Naguru'!G39)</f>
        <v>0.42857142857142855</v>
      </c>
      <c r="H39" s="49">
        <f>AVERAGE('29.07 Nakawa-Naguru'!H39,'30.07 Nakawa-Naguru'!H39,'31.07 Nakawa-Naguru'!H39,'02.08 Nakawa-Naguru'!H39,'01.08 Nakawa-Naguru-24h'!H39,'03.08 Nakawa-Naguru-24h'!H39,'04.08 Nakawa-Naguru'!H39)</f>
        <v>0</v>
      </c>
      <c r="I39" s="49">
        <f>AVERAGE('29.07 Nakawa-Naguru'!I39,'30.07 Nakawa-Naguru'!I39,'31.07 Nakawa-Naguru'!I39,'02.08 Nakawa-Naguru'!I39,'01.08 Nakawa-Naguru-24h'!I39,'03.08 Nakawa-Naguru-24h'!I39,'04.08 Nakawa-Naguru'!I39)</f>
        <v>1.5714285714285714</v>
      </c>
      <c r="J39" s="49">
        <f>AVERAGE('29.07 Nakawa-Naguru'!J39,'30.07 Nakawa-Naguru'!J39,'31.07 Nakawa-Naguru'!J39,'02.08 Nakawa-Naguru'!J39,'01.08 Nakawa-Naguru-24h'!J39,'03.08 Nakawa-Naguru-24h'!J39,'04.08 Nakawa-Naguru'!J39)</f>
        <v>0.14285714285714285</v>
      </c>
      <c r="K39" s="49">
        <f>AVERAGE('29.07 Nakawa-Naguru'!K39,'30.07 Nakawa-Naguru'!K39,'31.07 Nakawa-Naguru'!K39,'02.08 Nakawa-Naguru'!K39,'01.08 Nakawa-Naguru-24h'!K39,'03.08 Nakawa-Naguru-24h'!K39,'04.08 Nakawa-Naguru'!K39)</f>
        <v>0</v>
      </c>
      <c r="L39" s="49">
        <f>AVERAGE('29.07 Nakawa-Naguru'!L39,'30.07 Nakawa-Naguru'!L39,'31.07 Nakawa-Naguru'!L39,'02.08 Nakawa-Naguru'!L39,'01.08 Nakawa-Naguru-24h'!L39,'03.08 Nakawa-Naguru-24h'!L39,'04.08 Nakawa-Naguru'!L39)</f>
        <v>0.14285714285714285</v>
      </c>
      <c r="M39" s="49">
        <f>AVERAGE('29.07 Nakawa-Naguru'!M39,'30.07 Nakawa-Naguru'!M39,'31.07 Nakawa-Naguru'!M39,'02.08 Nakawa-Naguru'!M39,'01.08 Nakawa-Naguru-24h'!M39,'03.08 Nakawa-Naguru-24h'!M39,'04.08 Nakawa-Naguru'!M39)</f>
        <v>47.857142857142854</v>
      </c>
      <c r="N39" s="49">
        <f>AVERAGE('29.07 Nakawa-Naguru'!N39,'30.07 Nakawa-Naguru'!N39,'31.07 Nakawa-Naguru'!N39,'02.08 Nakawa-Naguru'!N39,'01.08 Nakawa-Naguru-24h'!N39,'03.08 Nakawa-Naguru-24h'!N39,'04.08 Nakawa-Naguru'!N39)</f>
        <v>0</v>
      </c>
      <c r="O39" s="15">
        <f t="shared" si="0"/>
        <v>141.14285714285714</v>
      </c>
      <c r="P39" s="15">
        <f t="shared" si="1"/>
        <v>189</v>
      </c>
      <c r="R39" s="29" t="s">
        <v>87</v>
      </c>
      <c r="S39" s="16">
        <f t="shared" ref="S39:AF39" si="31">SUM(S19:S21)</f>
        <v>1606.4285714285713</v>
      </c>
      <c r="T39" s="16">
        <f t="shared" si="31"/>
        <v>1243.1428571428571</v>
      </c>
      <c r="U39" s="16">
        <f t="shared" si="31"/>
        <v>196.28571428571428</v>
      </c>
      <c r="V39" s="16">
        <f t="shared" si="31"/>
        <v>106.57142857142858</v>
      </c>
      <c r="W39" s="16">
        <f t="shared" si="31"/>
        <v>1.1428571428571428</v>
      </c>
      <c r="X39" s="16">
        <f t="shared" si="31"/>
        <v>1.857142857142857</v>
      </c>
      <c r="Y39" s="16">
        <f t="shared" si="31"/>
        <v>15</v>
      </c>
      <c r="Z39" s="16">
        <f t="shared" si="31"/>
        <v>5.8571428571428577</v>
      </c>
      <c r="AA39" s="16">
        <f t="shared" si="31"/>
        <v>3.2857142857142856</v>
      </c>
      <c r="AB39" s="16">
        <f t="shared" si="31"/>
        <v>1.4285714285714286</v>
      </c>
      <c r="AC39" s="16">
        <f t="shared" si="31"/>
        <v>668.42857142857156</v>
      </c>
      <c r="AD39" s="16">
        <f t="shared" si="31"/>
        <v>0</v>
      </c>
      <c r="AE39" s="32">
        <f t="shared" si="31"/>
        <v>3181</v>
      </c>
      <c r="AF39" s="32">
        <f t="shared" si="31"/>
        <v>3849.4285714285716</v>
      </c>
    </row>
    <row r="40" spans="2:32" ht="23.1" customHeight="1" x14ac:dyDescent="0.25">
      <c r="B40" s="24" t="s">
        <v>67</v>
      </c>
      <c r="C40" s="49">
        <f>AVERAGE('29.07 Nakawa-Naguru'!C40,'30.07 Nakawa-Naguru'!C40,'31.07 Nakawa-Naguru'!C40,'02.08 Nakawa-Naguru'!C40,'01.08 Nakawa-Naguru-24h'!C40,'03.08 Nakawa-Naguru-24h'!C40,'04.08 Nakawa-Naguru'!C40)</f>
        <v>74.571428571428569</v>
      </c>
      <c r="D40" s="49">
        <f>AVERAGE('29.07 Nakawa-Naguru'!D40,'30.07 Nakawa-Naguru'!D40,'31.07 Nakawa-Naguru'!D40,'02.08 Nakawa-Naguru'!D40,'01.08 Nakawa-Naguru-24h'!D40,'03.08 Nakawa-Naguru-24h'!D40,'04.08 Nakawa-Naguru'!D40)</f>
        <v>65.142857142857139</v>
      </c>
      <c r="E40" s="49">
        <f>AVERAGE('29.07 Nakawa-Naguru'!E40,'30.07 Nakawa-Naguru'!E40,'31.07 Nakawa-Naguru'!E40,'02.08 Nakawa-Naguru'!E40,'01.08 Nakawa-Naguru-24h'!E40,'03.08 Nakawa-Naguru-24h'!E40,'04.08 Nakawa-Naguru'!E40)</f>
        <v>13.857142857142858</v>
      </c>
      <c r="F40" s="49">
        <f>AVERAGE('29.07 Nakawa-Naguru'!F40,'30.07 Nakawa-Naguru'!F40,'31.07 Nakawa-Naguru'!F40,'02.08 Nakawa-Naguru'!F40,'01.08 Nakawa-Naguru-24h'!F40,'03.08 Nakawa-Naguru-24h'!F40,'04.08 Nakawa-Naguru'!F40)</f>
        <v>5</v>
      </c>
      <c r="G40" s="49">
        <f>AVERAGE('29.07 Nakawa-Naguru'!G40,'30.07 Nakawa-Naguru'!G40,'31.07 Nakawa-Naguru'!G40,'02.08 Nakawa-Naguru'!G40,'01.08 Nakawa-Naguru-24h'!G40,'03.08 Nakawa-Naguru-24h'!G40,'04.08 Nakawa-Naguru'!G40)</f>
        <v>0</v>
      </c>
      <c r="H40" s="49">
        <f>AVERAGE('29.07 Nakawa-Naguru'!H40,'30.07 Nakawa-Naguru'!H40,'31.07 Nakawa-Naguru'!H40,'02.08 Nakawa-Naguru'!H40,'01.08 Nakawa-Naguru-24h'!H40,'03.08 Nakawa-Naguru-24h'!H40,'04.08 Nakawa-Naguru'!H40)</f>
        <v>0</v>
      </c>
      <c r="I40" s="49">
        <f>AVERAGE('29.07 Nakawa-Naguru'!I40,'30.07 Nakawa-Naguru'!I40,'31.07 Nakawa-Naguru'!I40,'02.08 Nakawa-Naguru'!I40,'01.08 Nakawa-Naguru-24h'!I40,'03.08 Nakawa-Naguru-24h'!I40,'04.08 Nakawa-Naguru'!I40)</f>
        <v>1.4285714285714286</v>
      </c>
      <c r="J40" s="49">
        <f>AVERAGE('29.07 Nakawa-Naguru'!J40,'30.07 Nakawa-Naguru'!J40,'31.07 Nakawa-Naguru'!J40,'02.08 Nakawa-Naguru'!J40,'01.08 Nakawa-Naguru-24h'!J40,'03.08 Nakawa-Naguru-24h'!J40,'04.08 Nakawa-Naguru'!J40)</f>
        <v>0.14285714285714285</v>
      </c>
      <c r="K40" s="49">
        <f>AVERAGE('29.07 Nakawa-Naguru'!K40,'30.07 Nakawa-Naguru'!K40,'31.07 Nakawa-Naguru'!K40,'02.08 Nakawa-Naguru'!K40,'01.08 Nakawa-Naguru-24h'!K40,'03.08 Nakawa-Naguru-24h'!K40,'04.08 Nakawa-Naguru'!K40)</f>
        <v>0.2857142857142857</v>
      </c>
      <c r="L40" s="49">
        <f>AVERAGE('29.07 Nakawa-Naguru'!L40,'30.07 Nakawa-Naguru'!L40,'31.07 Nakawa-Naguru'!L40,'02.08 Nakawa-Naguru'!L40,'01.08 Nakawa-Naguru-24h'!L40,'03.08 Nakawa-Naguru-24h'!L40,'04.08 Nakawa-Naguru'!L40)</f>
        <v>0.14285714285714285</v>
      </c>
      <c r="M40" s="49">
        <f>AVERAGE('29.07 Nakawa-Naguru'!M40,'30.07 Nakawa-Naguru'!M40,'31.07 Nakawa-Naguru'!M40,'02.08 Nakawa-Naguru'!M40,'01.08 Nakawa-Naguru-24h'!M40,'03.08 Nakawa-Naguru-24h'!M40,'04.08 Nakawa-Naguru'!M40)</f>
        <v>42.857142857142854</v>
      </c>
      <c r="N40" s="49">
        <f>AVERAGE('29.07 Nakawa-Naguru'!N40,'30.07 Nakawa-Naguru'!N40,'31.07 Nakawa-Naguru'!N40,'02.08 Nakawa-Naguru'!N40,'01.08 Nakawa-Naguru-24h'!N40,'03.08 Nakawa-Naguru-24h'!N40,'04.08 Nakawa-Naguru'!N40)</f>
        <v>0</v>
      </c>
      <c r="O40" s="15">
        <f t="shared" si="0"/>
        <v>160.57142857142856</v>
      </c>
      <c r="P40" s="15">
        <f t="shared" si="1"/>
        <v>203.42857142857142</v>
      </c>
      <c r="R40" s="5" t="s">
        <v>17</v>
      </c>
      <c r="S40" s="16">
        <f t="shared" ref="S40:AF40" si="32">SUM(S10:S21)</f>
        <v>3405</v>
      </c>
      <c r="T40" s="16">
        <f t="shared" si="32"/>
        <v>2792.9999999999995</v>
      </c>
      <c r="U40" s="16">
        <f t="shared" si="32"/>
        <v>576.57142857142856</v>
      </c>
      <c r="V40" s="16">
        <f t="shared" si="32"/>
        <v>353.71428571428567</v>
      </c>
      <c r="W40" s="16">
        <f t="shared" si="32"/>
        <v>7.5714285714285712</v>
      </c>
      <c r="X40" s="16">
        <f t="shared" si="32"/>
        <v>2.9999999999999996</v>
      </c>
      <c r="Y40" s="16">
        <f t="shared" si="32"/>
        <v>81.547619047619051</v>
      </c>
      <c r="Z40" s="16">
        <f t="shared" si="32"/>
        <v>30.857142857142858</v>
      </c>
      <c r="AA40" s="16">
        <f t="shared" si="32"/>
        <v>9.1428571428571423</v>
      </c>
      <c r="AB40" s="16">
        <f t="shared" si="32"/>
        <v>3.8571428571428559</v>
      </c>
      <c r="AC40" s="16">
        <f t="shared" si="32"/>
        <v>2405.4285714285716</v>
      </c>
      <c r="AD40" s="16">
        <f t="shared" si="32"/>
        <v>1.1428571428571428</v>
      </c>
      <c r="AE40" s="32">
        <f t="shared" si="32"/>
        <v>7265.4047619047615</v>
      </c>
      <c r="AF40" s="32">
        <f t="shared" si="32"/>
        <v>9670.8333333333339</v>
      </c>
    </row>
    <row r="41" spans="2:32" ht="23.1" customHeight="1" x14ac:dyDescent="0.25">
      <c r="B41" s="23" t="s">
        <v>68</v>
      </c>
      <c r="C41" s="49">
        <f>AVERAGE('29.07 Nakawa-Naguru'!C41,'30.07 Nakawa-Naguru'!C41,'31.07 Nakawa-Naguru'!C41,'02.08 Nakawa-Naguru'!C41,'01.08 Nakawa-Naguru-24h'!C41,'03.08 Nakawa-Naguru-24h'!C41,'04.08 Nakawa-Naguru'!C41)</f>
        <v>67.285714285714292</v>
      </c>
      <c r="D41" s="49">
        <f>AVERAGE('29.07 Nakawa-Naguru'!D41,'30.07 Nakawa-Naguru'!D41,'31.07 Nakawa-Naguru'!D41,'02.08 Nakawa-Naguru'!D41,'01.08 Nakawa-Naguru-24h'!D41,'03.08 Nakawa-Naguru-24h'!D41,'04.08 Nakawa-Naguru'!D41)</f>
        <v>66.857142857142861</v>
      </c>
      <c r="E41" s="49">
        <f>AVERAGE('29.07 Nakawa-Naguru'!E41,'30.07 Nakawa-Naguru'!E41,'31.07 Nakawa-Naguru'!E41,'02.08 Nakawa-Naguru'!E41,'01.08 Nakawa-Naguru-24h'!E41,'03.08 Nakawa-Naguru-24h'!E41,'04.08 Nakawa-Naguru'!E41)</f>
        <v>11.571428571428571</v>
      </c>
      <c r="F41" s="49">
        <f>AVERAGE('29.07 Nakawa-Naguru'!F41,'30.07 Nakawa-Naguru'!F41,'31.07 Nakawa-Naguru'!F41,'02.08 Nakawa-Naguru'!F41,'01.08 Nakawa-Naguru-24h'!F41,'03.08 Nakawa-Naguru-24h'!F41,'04.08 Nakawa-Naguru'!F41)</f>
        <v>5.2857142857142856</v>
      </c>
      <c r="G41" s="49">
        <f>AVERAGE('29.07 Nakawa-Naguru'!G41,'30.07 Nakawa-Naguru'!G41,'31.07 Nakawa-Naguru'!G41,'02.08 Nakawa-Naguru'!G41,'01.08 Nakawa-Naguru-24h'!G41,'03.08 Nakawa-Naguru-24h'!G41,'04.08 Nakawa-Naguru'!G41)</f>
        <v>0.2857142857142857</v>
      </c>
      <c r="H41" s="49">
        <f>AVERAGE('29.07 Nakawa-Naguru'!H41,'30.07 Nakawa-Naguru'!H41,'31.07 Nakawa-Naguru'!H41,'02.08 Nakawa-Naguru'!H41,'01.08 Nakawa-Naguru-24h'!H41,'03.08 Nakawa-Naguru-24h'!H41,'04.08 Nakawa-Naguru'!H41)</f>
        <v>0</v>
      </c>
      <c r="I41" s="49">
        <f>AVERAGE('29.07 Nakawa-Naguru'!I41,'30.07 Nakawa-Naguru'!I41,'31.07 Nakawa-Naguru'!I41,'02.08 Nakawa-Naguru'!I41,'01.08 Nakawa-Naguru-24h'!I41,'03.08 Nakawa-Naguru-24h'!I41,'04.08 Nakawa-Naguru'!I41)</f>
        <v>1.1428571428571428</v>
      </c>
      <c r="J41" s="49">
        <f>AVERAGE('29.07 Nakawa-Naguru'!J41,'30.07 Nakawa-Naguru'!J41,'31.07 Nakawa-Naguru'!J41,'02.08 Nakawa-Naguru'!J41,'01.08 Nakawa-Naguru-24h'!J41,'03.08 Nakawa-Naguru-24h'!J41,'04.08 Nakawa-Naguru'!J41)</f>
        <v>0.42857142857142855</v>
      </c>
      <c r="K41" s="49">
        <f>AVERAGE('29.07 Nakawa-Naguru'!K41,'30.07 Nakawa-Naguru'!K41,'31.07 Nakawa-Naguru'!K41,'02.08 Nakawa-Naguru'!K41,'01.08 Nakawa-Naguru-24h'!K41,'03.08 Nakawa-Naguru-24h'!K41,'04.08 Nakawa-Naguru'!K41)</f>
        <v>0.2857142857142857</v>
      </c>
      <c r="L41" s="49">
        <f>AVERAGE('29.07 Nakawa-Naguru'!L41,'30.07 Nakawa-Naguru'!L41,'31.07 Nakawa-Naguru'!L41,'02.08 Nakawa-Naguru'!L41,'01.08 Nakawa-Naguru-24h'!L41,'03.08 Nakawa-Naguru-24h'!L41,'04.08 Nakawa-Naguru'!L41)</f>
        <v>0</v>
      </c>
      <c r="M41" s="49">
        <f>AVERAGE('29.07 Nakawa-Naguru'!M41,'30.07 Nakawa-Naguru'!M41,'31.07 Nakawa-Naguru'!M41,'02.08 Nakawa-Naguru'!M41,'01.08 Nakawa-Naguru-24h'!M41,'03.08 Nakawa-Naguru-24h'!M41,'04.08 Nakawa-Naguru'!M41)</f>
        <v>34.571428571428569</v>
      </c>
      <c r="N41" s="49">
        <f>AVERAGE('29.07 Nakawa-Naguru'!N41,'30.07 Nakawa-Naguru'!N41,'31.07 Nakawa-Naguru'!N41,'02.08 Nakawa-Naguru'!N41,'01.08 Nakawa-Naguru-24h'!N41,'03.08 Nakawa-Naguru-24h'!N41,'04.08 Nakawa-Naguru'!N41)</f>
        <v>0</v>
      </c>
      <c r="O41" s="15">
        <f t="shared" si="0"/>
        <v>153.14285714285714</v>
      </c>
      <c r="P41" s="15">
        <f t="shared" si="1"/>
        <v>187.71428571428572</v>
      </c>
      <c r="R41" s="5" t="s">
        <v>194</v>
      </c>
      <c r="S41" s="51">
        <f>SUM(S10:S33)</f>
        <v>5148</v>
      </c>
      <c r="T41" s="51">
        <f t="shared" ref="T41:AD41" si="33">SUM(T10:T33)</f>
        <v>3631.4999999999995</v>
      </c>
      <c r="U41" s="51">
        <f t="shared" si="33"/>
        <v>763.57142857142856</v>
      </c>
      <c r="V41" s="51">
        <f t="shared" si="33"/>
        <v>462.21428571428567</v>
      </c>
      <c r="W41" s="51">
        <f t="shared" si="33"/>
        <v>22.571428571428569</v>
      </c>
      <c r="X41" s="51">
        <f t="shared" si="33"/>
        <v>17</v>
      </c>
      <c r="Y41" s="51">
        <f t="shared" si="33"/>
        <v>126.04761904761905</v>
      </c>
      <c r="Z41" s="51">
        <f t="shared" si="33"/>
        <v>48.857142857142861</v>
      </c>
      <c r="AA41" s="51">
        <f t="shared" si="33"/>
        <v>28.642857142857142</v>
      </c>
      <c r="AB41" s="51">
        <f t="shared" si="33"/>
        <v>6.8571428571428559</v>
      </c>
      <c r="AC41" s="51">
        <f t="shared" si="33"/>
        <v>2915.9285714285716</v>
      </c>
      <c r="AD41" s="51">
        <f t="shared" si="33"/>
        <v>1.1428571428571428</v>
      </c>
      <c r="AE41" s="52">
        <f>SUM(AE10:AE33)</f>
        <v>10256.404761904761</v>
      </c>
      <c r="AF41" s="52">
        <f>SUM(AF10:AF33)</f>
        <v>13172.333333333334</v>
      </c>
    </row>
    <row r="42" spans="2:32" ht="23.1" customHeight="1" x14ac:dyDescent="0.25">
      <c r="B42" s="24" t="s">
        <v>69</v>
      </c>
      <c r="C42" s="49">
        <f>AVERAGE('29.07 Nakawa-Naguru'!C42,'30.07 Nakawa-Naguru'!C42,'31.07 Nakawa-Naguru'!C42,'02.08 Nakawa-Naguru'!C42,'01.08 Nakawa-Naguru-24h'!C42,'03.08 Nakawa-Naguru-24h'!C42,'04.08 Nakawa-Naguru'!C42)</f>
        <v>70.714285714285708</v>
      </c>
      <c r="D42" s="49">
        <f>AVERAGE('29.07 Nakawa-Naguru'!D42,'30.07 Nakawa-Naguru'!D42,'31.07 Nakawa-Naguru'!D42,'02.08 Nakawa-Naguru'!D42,'01.08 Nakawa-Naguru-24h'!D42,'03.08 Nakawa-Naguru-24h'!D42,'04.08 Nakawa-Naguru'!D42)</f>
        <v>69.428571428571431</v>
      </c>
      <c r="E42" s="49">
        <f>AVERAGE('29.07 Nakawa-Naguru'!E42,'30.07 Nakawa-Naguru'!E42,'31.07 Nakawa-Naguru'!E42,'02.08 Nakawa-Naguru'!E42,'01.08 Nakawa-Naguru-24h'!E42,'03.08 Nakawa-Naguru-24h'!E42,'04.08 Nakawa-Naguru'!E42)</f>
        <v>15.428571428571429</v>
      </c>
      <c r="F42" s="49">
        <f>AVERAGE('29.07 Nakawa-Naguru'!F42,'30.07 Nakawa-Naguru'!F42,'31.07 Nakawa-Naguru'!F42,'02.08 Nakawa-Naguru'!F42,'01.08 Nakawa-Naguru-24h'!F42,'03.08 Nakawa-Naguru-24h'!F42,'04.08 Nakawa-Naguru'!F42)</f>
        <v>6.1428571428571432</v>
      </c>
      <c r="G42" s="49">
        <f>AVERAGE('29.07 Nakawa-Naguru'!G42,'30.07 Nakawa-Naguru'!G42,'31.07 Nakawa-Naguru'!G42,'02.08 Nakawa-Naguru'!G42,'01.08 Nakawa-Naguru-24h'!G42,'03.08 Nakawa-Naguru-24h'!G42,'04.08 Nakawa-Naguru'!G42)</f>
        <v>0.14285714285714285</v>
      </c>
      <c r="H42" s="49">
        <f>AVERAGE('29.07 Nakawa-Naguru'!H42,'30.07 Nakawa-Naguru'!H42,'31.07 Nakawa-Naguru'!H42,'02.08 Nakawa-Naguru'!H42,'01.08 Nakawa-Naguru-24h'!H42,'03.08 Nakawa-Naguru-24h'!H42,'04.08 Nakawa-Naguru'!H42)</f>
        <v>0</v>
      </c>
      <c r="I42" s="49">
        <f>AVERAGE('29.07 Nakawa-Naguru'!I42,'30.07 Nakawa-Naguru'!I42,'31.07 Nakawa-Naguru'!I42,'02.08 Nakawa-Naguru'!I42,'01.08 Nakawa-Naguru-24h'!I42,'03.08 Nakawa-Naguru-24h'!I42,'04.08 Nakawa-Naguru'!I42)</f>
        <v>3</v>
      </c>
      <c r="J42" s="49">
        <f>AVERAGE('29.07 Nakawa-Naguru'!J42,'30.07 Nakawa-Naguru'!J42,'31.07 Nakawa-Naguru'!J42,'02.08 Nakawa-Naguru'!J42,'01.08 Nakawa-Naguru-24h'!J42,'03.08 Nakawa-Naguru-24h'!J42,'04.08 Nakawa-Naguru'!J42)</f>
        <v>0.5714285714285714</v>
      </c>
      <c r="K42" s="49">
        <f>AVERAGE('29.07 Nakawa-Naguru'!K42,'30.07 Nakawa-Naguru'!K42,'31.07 Nakawa-Naguru'!K42,'02.08 Nakawa-Naguru'!K42,'01.08 Nakawa-Naguru-24h'!K42,'03.08 Nakawa-Naguru-24h'!K42,'04.08 Nakawa-Naguru'!K42)</f>
        <v>0.2857142857142857</v>
      </c>
      <c r="L42" s="49">
        <f>AVERAGE('29.07 Nakawa-Naguru'!L42,'30.07 Nakawa-Naguru'!L42,'31.07 Nakawa-Naguru'!L42,'02.08 Nakawa-Naguru'!L42,'01.08 Nakawa-Naguru-24h'!L42,'03.08 Nakawa-Naguru-24h'!L42,'04.08 Nakawa-Naguru'!L42)</f>
        <v>0.14285714285714285</v>
      </c>
      <c r="M42" s="49">
        <f>AVERAGE('29.07 Nakawa-Naguru'!M42,'30.07 Nakawa-Naguru'!M42,'31.07 Nakawa-Naguru'!M42,'02.08 Nakawa-Naguru'!M42,'01.08 Nakawa-Naguru-24h'!M42,'03.08 Nakawa-Naguru-24h'!M42,'04.08 Nakawa-Naguru'!M42)</f>
        <v>45</v>
      </c>
      <c r="N42" s="49">
        <f>AVERAGE('29.07 Nakawa-Naguru'!N42,'30.07 Nakawa-Naguru'!N42,'31.07 Nakawa-Naguru'!N42,'02.08 Nakawa-Naguru'!N42,'01.08 Nakawa-Naguru-24h'!N42,'03.08 Nakawa-Naguru-24h'!N42,'04.08 Nakawa-Naguru'!N42)</f>
        <v>0.14285714285714285</v>
      </c>
      <c r="O42" s="15">
        <f t="shared" si="0"/>
        <v>165.99999999999997</v>
      </c>
      <c r="P42" s="15">
        <f t="shared" si="1"/>
        <v>210.99999999999997</v>
      </c>
      <c r="R42" s="5" t="s">
        <v>160</v>
      </c>
      <c r="S42" s="48">
        <f>S41/S40</f>
        <v>1.5118942731277534</v>
      </c>
      <c r="T42" s="48">
        <f t="shared" ref="T42:AF42" si="34">T41/T40</f>
        <v>1.3002148227712138</v>
      </c>
      <c r="U42" s="48">
        <f t="shared" si="34"/>
        <v>1.3243310208126859</v>
      </c>
      <c r="V42" s="48">
        <f t="shared" si="34"/>
        <v>1.3067447495961229</v>
      </c>
      <c r="W42" s="48">
        <f t="shared" si="34"/>
        <v>2.9811320754716979</v>
      </c>
      <c r="X42" s="48">
        <f t="shared" si="34"/>
        <v>5.6666666666666679</v>
      </c>
      <c r="Y42" s="48">
        <f t="shared" si="34"/>
        <v>1.5456934306569343</v>
      </c>
      <c r="Z42" s="48">
        <f t="shared" si="34"/>
        <v>1.5833333333333335</v>
      </c>
      <c r="AA42" s="48">
        <f t="shared" si="34"/>
        <v>3.1328125</v>
      </c>
      <c r="AB42" s="48">
        <f t="shared" si="34"/>
        <v>1.7777777777777781</v>
      </c>
      <c r="AC42" s="48">
        <f t="shared" si="34"/>
        <v>1.2122282931464545</v>
      </c>
      <c r="AD42" s="48">
        <f t="shared" si="34"/>
        <v>1</v>
      </c>
      <c r="AE42" s="53">
        <f t="shared" si="34"/>
        <v>1.4116769950220713</v>
      </c>
      <c r="AF42" s="53">
        <f t="shared" si="34"/>
        <v>1.3620680741059887</v>
      </c>
    </row>
    <row r="43" spans="2:32" ht="23.1" customHeight="1" x14ac:dyDescent="0.25">
      <c r="B43" s="23" t="s">
        <v>70</v>
      </c>
      <c r="C43" s="49">
        <f>AVERAGE('29.07 Nakawa-Naguru'!C43,'30.07 Nakawa-Naguru'!C43,'31.07 Nakawa-Naguru'!C43,'02.08 Nakawa-Naguru'!C43,'01.08 Nakawa-Naguru-24h'!C43,'03.08 Nakawa-Naguru-24h'!C43,'04.08 Nakawa-Naguru'!C43)</f>
        <v>67.428571428571431</v>
      </c>
      <c r="D43" s="49">
        <f>AVERAGE('29.07 Nakawa-Naguru'!D43,'30.07 Nakawa-Naguru'!D43,'31.07 Nakawa-Naguru'!D43,'02.08 Nakawa-Naguru'!D43,'01.08 Nakawa-Naguru-24h'!D43,'03.08 Nakawa-Naguru-24h'!D43,'04.08 Nakawa-Naguru'!D43)</f>
        <v>73.714285714285708</v>
      </c>
      <c r="E43" s="49">
        <f>AVERAGE('29.07 Nakawa-Naguru'!E43,'30.07 Nakawa-Naguru'!E43,'31.07 Nakawa-Naguru'!E43,'02.08 Nakawa-Naguru'!E43,'01.08 Nakawa-Naguru-24h'!E43,'03.08 Nakawa-Naguru-24h'!E43,'04.08 Nakawa-Naguru'!E43)</f>
        <v>9.7142857142857135</v>
      </c>
      <c r="F43" s="49">
        <f>AVERAGE('29.07 Nakawa-Naguru'!F43,'30.07 Nakawa-Naguru'!F43,'31.07 Nakawa-Naguru'!F43,'02.08 Nakawa-Naguru'!F43,'01.08 Nakawa-Naguru-24h'!F43,'03.08 Nakawa-Naguru-24h'!F43,'04.08 Nakawa-Naguru'!F43)</f>
        <v>4.5714285714285712</v>
      </c>
      <c r="G43" s="49">
        <f>AVERAGE('29.07 Nakawa-Naguru'!G43,'30.07 Nakawa-Naguru'!G43,'31.07 Nakawa-Naguru'!G43,'02.08 Nakawa-Naguru'!G43,'01.08 Nakawa-Naguru-24h'!G43,'03.08 Nakawa-Naguru-24h'!G43,'04.08 Nakawa-Naguru'!G43)</f>
        <v>0</v>
      </c>
      <c r="H43" s="49">
        <f>AVERAGE('29.07 Nakawa-Naguru'!H43,'30.07 Nakawa-Naguru'!H43,'31.07 Nakawa-Naguru'!H43,'02.08 Nakawa-Naguru'!H43,'01.08 Nakawa-Naguru-24h'!H43,'03.08 Nakawa-Naguru-24h'!H43,'04.08 Nakawa-Naguru'!H43)</f>
        <v>0</v>
      </c>
      <c r="I43" s="49">
        <f>AVERAGE('29.07 Nakawa-Naguru'!I43,'30.07 Nakawa-Naguru'!I43,'31.07 Nakawa-Naguru'!I43,'02.08 Nakawa-Naguru'!I43,'01.08 Nakawa-Naguru-24h'!I43,'03.08 Nakawa-Naguru-24h'!I43,'04.08 Nakawa-Naguru'!I43)</f>
        <v>2.2857142857142856</v>
      </c>
      <c r="J43" s="49">
        <f>AVERAGE('29.07 Nakawa-Naguru'!J43,'30.07 Nakawa-Naguru'!J43,'31.07 Nakawa-Naguru'!J43,'02.08 Nakawa-Naguru'!J43,'01.08 Nakawa-Naguru-24h'!J43,'03.08 Nakawa-Naguru-24h'!J43,'04.08 Nakawa-Naguru'!J43)</f>
        <v>0.7142857142857143</v>
      </c>
      <c r="K43" s="49">
        <f>AVERAGE('29.07 Nakawa-Naguru'!K43,'30.07 Nakawa-Naguru'!K43,'31.07 Nakawa-Naguru'!K43,'02.08 Nakawa-Naguru'!K43,'01.08 Nakawa-Naguru-24h'!K43,'03.08 Nakawa-Naguru-24h'!K43,'04.08 Nakawa-Naguru'!K43)</f>
        <v>0.42857142857142855</v>
      </c>
      <c r="L43" s="49">
        <f>AVERAGE('29.07 Nakawa-Naguru'!L43,'30.07 Nakawa-Naguru'!L43,'31.07 Nakawa-Naguru'!L43,'02.08 Nakawa-Naguru'!L43,'01.08 Nakawa-Naguru-24h'!L43,'03.08 Nakawa-Naguru-24h'!L43,'04.08 Nakawa-Naguru'!L43)</f>
        <v>0</v>
      </c>
      <c r="M43" s="49">
        <f>AVERAGE('29.07 Nakawa-Naguru'!M43,'30.07 Nakawa-Naguru'!M43,'31.07 Nakawa-Naguru'!M43,'02.08 Nakawa-Naguru'!M43,'01.08 Nakawa-Naguru-24h'!M43,'03.08 Nakawa-Naguru-24h'!M43,'04.08 Nakawa-Naguru'!M43)</f>
        <v>42.857142857142854</v>
      </c>
      <c r="N43" s="49">
        <f>AVERAGE('29.07 Nakawa-Naguru'!N43,'30.07 Nakawa-Naguru'!N43,'31.07 Nakawa-Naguru'!N43,'02.08 Nakawa-Naguru'!N43,'01.08 Nakawa-Naguru-24h'!N43,'03.08 Nakawa-Naguru-24h'!N43,'04.08 Nakawa-Naguru'!N43)</f>
        <v>0</v>
      </c>
      <c r="O43" s="15">
        <f t="shared" si="0"/>
        <v>158.85714285714286</v>
      </c>
      <c r="P43" s="15">
        <f t="shared" si="1"/>
        <v>201.71428571428572</v>
      </c>
    </row>
    <row r="44" spans="2:32" ht="23.1" customHeight="1" x14ac:dyDescent="0.25">
      <c r="B44" s="25" t="s">
        <v>71</v>
      </c>
      <c r="C44" s="49">
        <f>AVERAGE('29.07 Nakawa-Naguru'!C44,'30.07 Nakawa-Naguru'!C44,'31.07 Nakawa-Naguru'!C44,'02.08 Nakawa-Naguru'!C44,'01.08 Nakawa-Naguru-24h'!C44,'03.08 Nakawa-Naguru-24h'!C44,'04.08 Nakawa-Naguru'!C44)</f>
        <v>89.714285714285708</v>
      </c>
      <c r="D44" s="49">
        <f>AVERAGE('29.07 Nakawa-Naguru'!D44,'30.07 Nakawa-Naguru'!D44,'31.07 Nakawa-Naguru'!D44,'02.08 Nakawa-Naguru'!D44,'01.08 Nakawa-Naguru-24h'!D44,'03.08 Nakawa-Naguru-24h'!D44,'04.08 Nakawa-Naguru'!D44)</f>
        <v>83.428571428571431</v>
      </c>
      <c r="E44" s="49">
        <f>AVERAGE('29.07 Nakawa-Naguru'!E44,'30.07 Nakawa-Naguru'!E44,'31.07 Nakawa-Naguru'!E44,'02.08 Nakawa-Naguru'!E44,'01.08 Nakawa-Naguru-24h'!E44,'03.08 Nakawa-Naguru-24h'!E44,'04.08 Nakawa-Naguru'!E44)</f>
        <v>14.857142857142858</v>
      </c>
      <c r="F44" s="49">
        <f>AVERAGE('29.07 Nakawa-Naguru'!F44,'30.07 Nakawa-Naguru'!F44,'31.07 Nakawa-Naguru'!F44,'02.08 Nakawa-Naguru'!F44,'01.08 Nakawa-Naguru-24h'!F44,'03.08 Nakawa-Naguru-24h'!F44,'04.08 Nakawa-Naguru'!F44)</f>
        <v>6.5714285714285712</v>
      </c>
      <c r="G44" s="49">
        <f>AVERAGE('29.07 Nakawa-Naguru'!G44,'30.07 Nakawa-Naguru'!G44,'31.07 Nakawa-Naguru'!G44,'02.08 Nakawa-Naguru'!G44,'01.08 Nakawa-Naguru-24h'!G44,'03.08 Nakawa-Naguru-24h'!G44,'04.08 Nakawa-Naguru'!G44)</f>
        <v>0</v>
      </c>
      <c r="H44" s="49">
        <f>AVERAGE('29.07 Nakawa-Naguru'!H44,'30.07 Nakawa-Naguru'!H44,'31.07 Nakawa-Naguru'!H44,'02.08 Nakawa-Naguru'!H44,'01.08 Nakawa-Naguru-24h'!H44,'03.08 Nakawa-Naguru-24h'!H44,'04.08 Nakawa-Naguru'!H44)</f>
        <v>0</v>
      </c>
      <c r="I44" s="49">
        <f>AVERAGE('29.07 Nakawa-Naguru'!I44,'30.07 Nakawa-Naguru'!I44,'31.07 Nakawa-Naguru'!I44,'02.08 Nakawa-Naguru'!I44,'01.08 Nakawa-Naguru-24h'!I44,'03.08 Nakawa-Naguru-24h'!I44,'04.08 Nakawa-Naguru'!I44)</f>
        <v>1</v>
      </c>
      <c r="J44" s="49">
        <f>AVERAGE('29.07 Nakawa-Naguru'!J44,'30.07 Nakawa-Naguru'!J44,'31.07 Nakawa-Naguru'!J44,'02.08 Nakawa-Naguru'!J44,'01.08 Nakawa-Naguru-24h'!J44,'03.08 Nakawa-Naguru-24h'!J44,'04.08 Nakawa-Naguru'!J44)</f>
        <v>0.5714285714285714</v>
      </c>
      <c r="K44" s="49">
        <f>AVERAGE('29.07 Nakawa-Naguru'!K44,'30.07 Nakawa-Naguru'!K44,'31.07 Nakawa-Naguru'!K44,'02.08 Nakawa-Naguru'!K44,'01.08 Nakawa-Naguru-24h'!K44,'03.08 Nakawa-Naguru-24h'!K44,'04.08 Nakawa-Naguru'!K44)</f>
        <v>0.14285714285714285</v>
      </c>
      <c r="L44" s="49">
        <f>AVERAGE('29.07 Nakawa-Naguru'!L44,'30.07 Nakawa-Naguru'!L44,'31.07 Nakawa-Naguru'!L44,'02.08 Nakawa-Naguru'!L44,'01.08 Nakawa-Naguru-24h'!L44,'03.08 Nakawa-Naguru-24h'!L44,'04.08 Nakawa-Naguru'!L44)</f>
        <v>0</v>
      </c>
      <c r="M44" s="49">
        <f>AVERAGE('29.07 Nakawa-Naguru'!M44,'30.07 Nakawa-Naguru'!M44,'31.07 Nakawa-Naguru'!M44,'02.08 Nakawa-Naguru'!M44,'01.08 Nakawa-Naguru-24h'!M44,'03.08 Nakawa-Naguru-24h'!M44,'04.08 Nakawa-Naguru'!M44)</f>
        <v>43.285714285714285</v>
      </c>
      <c r="N44" s="49">
        <f>AVERAGE('29.07 Nakawa-Naguru'!N44,'30.07 Nakawa-Naguru'!N44,'31.07 Nakawa-Naguru'!N44,'02.08 Nakawa-Naguru'!N44,'01.08 Nakawa-Naguru-24h'!N44,'03.08 Nakawa-Naguru-24h'!N44,'04.08 Nakawa-Naguru'!N44)</f>
        <v>0</v>
      </c>
      <c r="O44" s="15">
        <f t="shared" si="0"/>
        <v>196.28571428571431</v>
      </c>
      <c r="P44" s="15">
        <f t="shared" si="1"/>
        <v>239.57142857142858</v>
      </c>
    </row>
    <row r="45" spans="2:32" ht="23.1" customHeight="1" x14ac:dyDescent="0.25">
      <c r="B45" s="23" t="s">
        <v>72</v>
      </c>
      <c r="C45" s="49">
        <f>AVERAGE('29.07 Nakawa-Naguru'!C45,'30.07 Nakawa-Naguru'!C45,'31.07 Nakawa-Naguru'!C45,'02.08 Nakawa-Naguru'!C45,'01.08 Nakawa-Naguru-24h'!C45,'03.08 Nakawa-Naguru-24h'!C45,'04.08 Nakawa-Naguru'!C45)</f>
        <v>87.714285714285708</v>
      </c>
      <c r="D45" s="49">
        <f>AVERAGE('29.07 Nakawa-Naguru'!D45,'30.07 Nakawa-Naguru'!D45,'31.07 Nakawa-Naguru'!D45,'02.08 Nakawa-Naguru'!D45,'01.08 Nakawa-Naguru-24h'!D45,'03.08 Nakawa-Naguru-24h'!D45,'04.08 Nakawa-Naguru'!D45)</f>
        <v>84.142857142857139</v>
      </c>
      <c r="E45" s="49">
        <f>AVERAGE('29.07 Nakawa-Naguru'!E45,'30.07 Nakawa-Naguru'!E45,'31.07 Nakawa-Naguru'!E45,'02.08 Nakawa-Naguru'!E45,'01.08 Nakawa-Naguru-24h'!E45,'03.08 Nakawa-Naguru-24h'!E45,'04.08 Nakawa-Naguru'!E45)</f>
        <v>16.571428571428573</v>
      </c>
      <c r="F45" s="49">
        <f>AVERAGE('29.07 Nakawa-Naguru'!F45,'30.07 Nakawa-Naguru'!F45,'31.07 Nakawa-Naguru'!F45,'02.08 Nakawa-Naguru'!F45,'01.08 Nakawa-Naguru-24h'!F45,'03.08 Nakawa-Naguru-24h'!F45,'04.08 Nakawa-Naguru'!F45)</f>
        <v>4.8571428571428568</v>
      </c>
      <c r="G45" s="49">
        <f>AVERAGE('29.07 Nakawa-Naguru'!G45,'30.07 Nakawa-Naguru'!G45,'31.07 Nakawa-Naguru'!G45,'02.08 Nakawa-Naguru'!G45,'01.08 Nakawa-Naguru-24h'!G45,'03.08 Nakawa-Naguru-24h'!G45,'04.08 Nakawa-Naguru'!G45)</f>
        <v>0.14285714285714285</v>
      </c>
      <c r="H45" s="49">
        <f>AVERAGE('29.07 Nakawa-Naguru'!H45,'30.07 Nakawa-Naguru'!H45,'31.07 Nakawa-Naguru'!H45,'02.08 Nakawa-Naguru'!H45,'01.08 Nakawa-Naguru-24h'!H45,'03.08 Nakawa-Naguru-24h'!H45,'04.08 Nakawa-Naguru'!H45)</f>
        <v>0</v>
      </c>
      <c r="I45" s="49">
        <f>AVERAGE('29.07 Nakawa-Naguru'!I45,'30.07 Nakawa-Naguru'!I45,'31.07 Nakawa-Naguru'!I45,'02.08 Nakawa-Naguru'!I45,'01.08 Nakawa-Naguru-24h'!I45,'03.08 Nakawa-Naguru-24h'!I45,'04.08 Nakawa-Naguru'!I45)</f>
        <v>2.1428571428571428</v>
      </c>
      <c r="J45" s="49">
        <f>AVERAGE('29.07 Nakawa-Naguru'!J45,'30.07 Nakawa-Naguru'!J45,'31.07 Nakawa-Naguru'!J45,'02.08 Nakawa-Naguru'!J45,'01.08 Nakawa-Naguru-24h'!J45,'03.08 Nakawa-Naguru-24h'!J45,'04.08 Nakawa-Naguru'!J45)</f>
        <v>0.42857142857142855</v>
      </c>
      <c r="K45" s="49">
        <f>AVERAGE('29.07 Nakawa-Naguru'!K45,'30.07 Nakawa-Naguru'!K45,'31.07 Nakawa-Naguru'!K45,'02.08 Nakawa-Naguru'!K45,'01.08 Nakawa-Naguru-24h'!K45,'03.08 Nakawa-Naguru-24h'!K45,'04.08 Nakawa-Naguru'!K45)</f>
        <v>0.14285714285714285</v>
      </c>
      <c r="L45" s="49">
        <f>AVERAGE('29.07 Nakawa-Naguru'!L45,'30.07 Nakawa-Naguru'!L45,'31.07 Nakawa-Naguru'!L45,'02.08 Nakawa-Naguru'!L45,'01.08 Nakawa-Naguru-24h'!L45,'03.08 Nakawa-Naguru-24h'!L45,'04.08 Nakawa-Naguru'!L45)</f>
        <v>0</v>
      </c>
      <c r="M45" s="49">
        <f>AVERAGE('29.07 Nakawa-Naguru'!M45,'30.07 Nakawa-Naguru'!M45,'31.07 Nakawa-Naguru'!M45,'02.08 Nakawa-Naguru'!M45,'01.08 Nakawa-Naguru-24h'!M45,'03.08 Nakawa-Naguru-24h'!M45,'04.08 Nakawa-Naguru'!M45)</f>
        <v>50.142857142857146</v>
      </c>
      <c r="N45" s="49">
        <f>AVERAGE('29.07 Nakawa-Naguru'!N45,'30.07 Nakawa-Naguru'!N45,'31.07 Nakawa-Naguru'!N45,'02.08 Nakawa-Naguru'!N45,'01.08 Nakawa-Naguru-24h'!N45,'03.08 Nakawa-Naguru-24h'!N45,'04.08 Nakawa-Naguru'!N45)</f>
        <v>0</v>
      </c>
      <c r="O45" s="15">
        <f t="shared" si="0"/>
        <v>196.14285714285711</v>
      </c>
      <c r="P45" s="15">
        <f t="shared" si="1"/>
        <v>246.28571428571425</v>
      </c>
    </row>
    <row r="46" spans="2:32" ht="23.1" customHeight="1" x14ac:dyDescent="0.25">
      <c r="B46" s="24" t="s">
        <v>73</v>
      </c>
      <c r="C46" s="49">
        <f>AVERAGE('29.07 Nakawa-Naguru'!C46,'30.07 Nakawa-Naguru'!C46,'31.07 Nakawa-Naguru'!C46,'02.08 Nakawa-Naguru'!C46,'01.08 Nakawa-Naguru-24h'!C46,'03.08 Nakawa-Naguru-24h'!C46,'04.08 Nakawa-Naguru'!C46)</f>
        <v>88.571428571428569</v>
      </c>
      <c r="D46" s="49">
        <f>AVERAGE('29.07 Nakawa-Naguru'!D46,'30.07 Nakawa-Naguru'!D46,'31.07 Nakawa-Naguru'!D46,'02.08 Nakawa-Naguru'!D46,'01.08 Nakawa-Naguru-24h'!D46,'03.08 Nakawa-Naguru-24h'!D46,'04.08 Nakawa-Naguru'!D46)</f>
        <v>86</v>
      </c>
      <c r="E46" s="49">
        <f>AVERAGE('29.07 Nakawa-Naguru'!E46,'30.07 Nakawa-Naguru'!E46,'31.07 Nakawa-Naguru'!E46,'02.08 Nakawa-Naguru'!E46,'01.08 Nakawa-Naguru-24h'!E46,'03.08 Nakawa-Naguru-24h'!E46,'04.08 Nakawa-Naguru'!E46)</f>
        <v>15.142857142857142</v>
      </c>
      <c r="F46" s="49">
        <f>AVERAGE('29.07 Nakawa-Naguru'!F46,'30.07 Nakawa-Naguru'!F46,'31.07 Nakawa-Naguru'!F46,'02.08 Nakawa-Naguru'!F46,'01.08 Nakawa-Naguru-24h'!F46,'03.08 Nakawa-Naguru-24h'!F46,'04.08 Nakawa-Naguru'!F46)</f>
        <v>7.1428571428571432</v>
      </c>
      <c r="G46" s="49">
        <f>AVERAGE('29.07 Nakawa-Naguru'!G46,'30.07 Nakawa-Naguru'!G46,'31.07 Nakawa-Naguru'!G46,'02.08 Nakawa-Naguru'!G46,'01.08 Nakawa-Naguru-24h'!G46,'03.08 Nakawa-Naguru-24h'!G46,'04.08 Nakawa-Naguru'!G46)</f>
        <v>0</v>
      </c>
      <c r="H46" s="49">
        <f>AVERAGE('29.07 Nakawa-Naguru'!H46,'30.07 Nakawa-Naguru'!H46,'31.07 Nakawa-Naguru'!H46,'02.08 Nakawa-Naguru'!H46,'01.08 Nakawa-Naguru-24h'!H46,'03.08 Nakawa-Naguru-24h'!H46,'04.08 Nakawa-Naguru'!H46)</f>
        <v>0.2857142857142857</v>
      </c>
      <c r="I46" s="49">
        <f>AVERAGE('29.07 Nakawa-Naguru'!I46,'30.07 Nakawa-Naguru'!I46,'31.07 Nakawa-Naguru'!I46,'02.08 Nakawa-Naguru'!I46,'01.08 Nakawa-Naguru-24h'!I46,'03.08 Nakawa-Naguru-24h'!I46,'04.08 Nakawa-Naguru'!I46)</f>
        <v>1.7142857142857142</v>
      </c>
      <c r="J46" s="49">
        <f>AVERAGE('29.07 Nakawa-Naguru'!J46,'30.07 Nakawa-Naguru'!J46,'31.07 Nakawa-Naguru'!J46,'02.08 Nakawa-Naguru'!J46,'01.08 Nakawa-Naguru-24h'!J46,'03.08 Nakawa-Naguru-24h'!J46,'04.08 Nakawa-Naguru'!J46)</f>
        <v>0.2857142857142857</v>
      </c>
      <c r="K46" s="49">
        <f>AVERAGE('29.07 Nakawa-Naguru'!K46,'30.07 Nakawa-Naguru'!K46,'31.07 Nakawa-Naguru'!K46,'02.08 Nakawa-Naguru'!K46,'01.08 Nakawa-Naguru-24h'!K46,'03.08 Nakawa-Naguru-24h'!K46,'04.08 Nakawa-Naguru'!K46)</f>
        <v>0.5714285714285714</v>
      </c>
      <c r="L46" s="49">
        <f>AVERAGE('29.07 Nakawa-Naguru'!L46,'30.07 Nakawa-Naguru'!L46,'31.07 Nakawa-Naguru'!L46,'02.08 Nakawa-Naguru'!L46,'01.08 Nakawa-Naguru-24h'!L46,'03.08 Nakawa-Naguru-24h'!L46,'04.08 Nakawa-Naguru'!L46)</f>
        <v>0.14285714285714285</v>
      </c>
      <c r="M46" s="49">
        <f>AVERAGE('29.07 Nakawa-Naguru'!M46,'30.07 Nakawa-Naguru'!M46,'31.07 Nakawa-Naguru'!M46,'02.08 Nakawa-Naguru'!M46,'01.08 Nakawa-Naguru-24h'!M46,'03.08 Nakawa-Naguru-24h'!M46,'04.08 Nakawa-Naguru'!M46)</f>
        <v>48</v>
      </c>
      <c r="N46" s="49">
        <f>AVERAGE('29.07 Nakawa-Naguru'!N46,'30.07 Nakawa-Naguru'!N46,'31.07 Nakawa-Naguru'!N46,'02.08 Nakawa-Naguru'!N46,'01.08 Nakawa-Naguru-24h'!N46,'03.08 Nakawa-Naguru-24h'!N46,'04.08 Nakawa-Naguru'!N46)</f>
        <v>0</v>
      </c>
      <c r="O46" s="15">
        <f t="shared" si="0"/>
        <v>199.85714285714283</v>
      </c>
      <c r="P46" s="15">
        <f t="shared" si="1"/>
        <v>247.85714285714283</v>
      </c>
      <c r="R46" s="8"/>
      <c r="T46"/>
    </row>
    <row r="47" spans="2:32" ht="23.1" customHeight="1" x14ac:dyDescent="0.25">
      <c r="B47" s="24" t="s">
        <v>74</v>
      </c>
      <c r="C47" s="49">
        <f>AVERAGE('29.07 Nakawa-Naguru'!C47,'30.07 Nakawa-Naguru'!C47,'31.07 Nakawa-Naguru'!C47,'02.08 Nakawa-Naguru'!C47,'01.08 Nakawa-Naguru-24h'!C47,'03.08 Nakawa-Naguru-24h'!C47,'04.08 Nakawa-Naguru'!C47)</f>
        <v>93.714285714285708</v>
      </c>
      <c r="D47" s="49">
        <f>AVERAGE('29.07 Nakawa-Naguru'!D47,'30.07 Nakawa-Naguru'!D47,'31.07 Nakawa-Naguru'!D47,'02.08 Nakawa-Naguru'!D47,'01.08 Nakawa-Naguru-24h'!D47,'03.08 Nakawa-Naguru-24h'!D47,'04.08 Nakawa-Naguru'!D47)</f>
        <v>87</v>
      </c>
      <c r="E47" s="49">
        <f>AVERAGE('29.07 Nakawa-Naguru'!E47,'30.07 Nakawa-Naguru'!E47,'31.07 Nakawa-Naguru'!E47,'02.08 Nakawa-Naguru'!E47,'01.08 Nakawa-Naguru-24h'!E47,'03.08 Nakawa-Naguru-24h'!E47,'04.08 Nakawa-Naguru'!E47)</f>
        <v>16.714285714285715</v>
      </c>
      <c r="F47" s="49">
        <f>AVERAGE('29.07 Nakawa-Naguru'!F47,'30.07 Nakawa-Naguru'!F47,'31.07 Nakawa-Naguru'!F47,'02.08 Nakawa-Naguru'!F47,'01.08 Nakawa-Naguru-24h'!F47,'03.08 Nakawa-Naguru-24h'!F47,'04.08 Nakawa-Naguru'!F47)</f>
        <v>7.1428571428571432</v>
      </c>
      <c r="G47" s="49">
        <f>AVERAGE('29.07 Nakawa-Naguru'!G47,'30.07 Nakawa-Naguru'!G47,'31.07 Nakawa-Naguru'!G47,'02.08 Nakawa-Naguru'!G47,'01.08 Nakawa-Naguru-24h'!G47,'03.08 Nakawa-Naguru-24h'!G47,'04.08 Nakawa-Naguru'!G47)</f>
        <v>0</v>
      </c>
      <c r="H47" s="49">
        <f>AVERAGE('29.07 Nakawa-Naguru'!H47,'30.07 Nakawa-Naguru'!H47,'31.07 Nakawa-Naguru'!H47,'02.08 Nakawa-Naguru'!H47,'01.08 Nakawa-Naguru-24h'!H47,'03.08 Nakawa-Naguru-24h'!H47,'04.08 Nakawa-Naguru'!H47)</f>
        <v>0.2857142857142857</v>
      </c>
      <c r="I47" s="49">
        <f>AVERAGE('29.07 Nakawa-Naguru'!I47,'30.07 Nakawa-Naguru'!I47,'31.07 Nakawa-Naguru'!I47,'02.08 Nakawa-Naguru'!I47,'01.08 Nakawa-Naguru-24h'!I47,'03.08 Nakawa-Naguru-24h'!I47,'04.08 Nakawa-Naguru'!I47)</f>
        <v>0.8571428571428571</v>
      </c>
      <c r="J47" s="49">
        <f>AVERAGE('29.07 Nakawa-Naguru'!J47,'30.07 Nakawa-Naguru'!J47,'31.07 Nakawa-Naguru'!J47,'02.08 Nakawa-Naguru'!J47,'01.08 Nakawa-Naguru-24h'!J47,'03.08 Nakawa-Naguru-24h'!J47,'04.08 Nakawa-Naguru'!J47)</f>
        <v>0.2857142857142857</v>
      </c>
      <c r="K47" s="49">
        <f>AVERAGE('29.07 Nakawa-Naguru'!K47,'30.07 Nakawa-Naguru'!K47,'31.07 Nakawa-Naguru'!K47,'02.08 Nakawa-Naguru'!K47,'01.08 Nakawa-Naguru-24h'!K47,'03.08 Nakawa-Naguru-24h'!K47,'04.08 Nakawa-Naguru'!K47)</f>
        <v>0.14285714285714285</v>
      </c>
      <c r="L47" s="49">
        <f>AVERAGE('29.07 Nakawa-Naguru'!L47,'30.07 Nakawa-Naguru'!L47,'31.07 Nakawa-Naguru'!L47,'02.08 Nakawa-Naguru'!L47,'01.08 Nakawa-Naguru-24h'!L47,'03.08 Nakawa-Naguru-24h'!L47,'04.08 Nakawa-Naguru'!L47)</f>
        <v>0.14285714285714285</v>
      </c>
      <c r="M47" s="49">
        <f>AVERAGE('29.07 Nakawa-Naguru'!M47,'30.07 Nakawa-Naguru'!M47,'31.07 Nakawa-Naguru'!M47,'02.08 Nakawa-Naguru'!M47,'01.08 Nakawa-Naguru-24h'!M47,'03.08 Nakawa-Naguru-24h'!M47,'04.08 Nakawa-Naguru'!M47)</f>
        <v>49.428571428571431</v>
      </c>
      <c r="N47" s="49">
        <f>AVERAGE('29.07 Nakawa-Naguru'!N47,'30.07 Nakawa-Naguru'!N47,'31.07 Nakawa-Naguru'!N47,'02.08 Nakawa-Naguru'!N47,'01.08 Nakawa-Naguru-24h'!N47,'03.08 Nakawa-Naguru-24h'!N47,'04.08 Nakawa-Naguru'!N47)</f>
        <v>0</v>
      </c>
      <c r="O47" s="15">
        <f t="shared" si="0"/>
        <v>206.28571428571428</v>
      </c>
      <c r="P47" s="15">
        <f t="shared" si="1"/>
        <v>255.71428571428572</v>
      </c>
      <c r="R47" s="8"/>
      <c r="T47"/>
    </row>
    <row r="48" spans="2:32" ht="23.1" customHeight="1" x14ac:dyDescent="0.25">
      <c r="B48" s="24" t="s">
        <v>75</v>
      </c>
      <c r="C48" s="49">
        <f>AVERAGE('29.07 Nakawa-Naguru'!C48,'30.07 Nakawa-Naguru'!C48,'31.07 Nakawa-Naguru'!C48,'02.08 Nakawa-Naguru'!C48,'01.08 Nakawa-Naguru-24h'!C48,'03.08 Nakawa-Naguru-24h'!C48,'04.08 Nakawa-Naguru'!C48)</f>
        <v>94.714285714285708</v>
      </c>
      <c r="D48" s="49">
        <f>AVERAGE('29.07 Nakawa-Naguru'!D48,'30.07 Nakawa-Naguru'!D48,'31.07 Nakawa-Naguru'!D48,'02.08 Nakawa-Naguru'!D48,'01.08 Nakawa-Naguru-24h'!D48,'03.08 Nakawa-Naguru-24h'!D48,'04.08 Nakawa-Naguru'!D48)</f>
        <v>86.285714285714292</v>
      </c>
      <c r="E48" s="49">
        <f>AVERAGE('29.07 Nakawa-Naguru'!E48,'30.07 Nakawa-Naguru'!E48,'31.07 Nakawa-Naguru'!E48,'02.08 Nakawa-Naguru'!E48,'01.08 Nakawa-Naguru-24h'!E48,'03.08 Nakawa-Naguru-24h'!E48,'04.08 Nakawa-Naguru'!E48)</f>
        <v>16.571428571428573</v>
      </c>
      <c r="F48" s="49">
        <f>AVERAGE('29.07 Nakawa-Naguru'!F48,'30.07 Nakawa-Naguru'!F48,'31.07 Nakawa-Naguru'!F48,'02.08 Nakawa-Naguru'!F48,'01.08 Nakawa-Naguru-24h'!F48,'03.08 Nakawa-Naguru-24h'!F48,'04.08 Nakawa-Naguru'!F48)</f>
        <v>6.5714285714285712</v>
      </c>
      <c r="G48" s="49">
        <f>AVERAGE('29.07 Nakawa-Naguru'!G48,'30.07 Nakawa-Naguru'!G48,'31.07 Nakawa-Naguru'!G48,'02.08 Nakawa-Naguru'!G48,'01.08 Nakawa-Naguru-24h'!G48,'03.08 Nakawa-Naguru-24h'!G48,'04.08 Nakawa-Naguru'!G48)</f>
        <v>0</v>
      </c>
      <c r="H48" s="49">
        <f>AVERAGE('29.07 Nakawa-Naguru'!H48,'30.07 Nakawa-Naguru'!H48,'31.07 Nakawa-Naguru'!H48,'02.08 Nakawa-Naguru'!H48,'01.08 Nakawa-Naguru-24h'!H48,'03.08 Nakawa-Naguru-24h'!H48,'04.08 Nakawa-Naguru'!H48)</f>
        <v>0.14285714285714285</v>
      </c>
      <c r="I48" s="49">
        <f>AVERAGE('29.07 Nakawa-Naguru'!I48,'30.07 Nakawa-Naguru'!I48,'31.07 Nakawa-Naguru'!I48,'02.08 Nakawa-Naguru'!I48,'01.08 Nakawa-Naguru-24h'!I48,'03.08 Nakawa-Naguru-24h'!I48,'04.08 Nakawa-Naguru'!I48)</f>
        <v>1.5714285714285714</v>
      </c>
      <c r="J48" s="49">
        <f>AVERAGE('29.07 Nakawa-Naguru'!J48,'30.07 Nakawa-Naguru'!J48,'31.07 Nakawa-Naguru'!J48,'02.08 Nakawa-Naguru'!J48,'01.08 Nakawa-Naguru-24h'!J48,'03.08 Nakawa-Naguru-24h'!J48,'04.08 Nakawa-Naguru'!J48)</f>
        <v>0.42857142857142855</v>
      </c>
      <c r="K48" s="49">
        <f>AVERAGE('29.07 Nakawa-Naguru'!K48,'30.07 Nakawa-Naguru'!K48,'31.07 Nakawa-Naguru'!K48,'02.08 Nakawa-Naguru'!K48,'01.08 Nakawa-Naguru-24h'!K48,'03.08 Nakawa-Naguru-24h'!K48,'04.08 Nakawa-Naguru'!K48)</f>
        <v>0.42857142857142855</v>
      </c>
      <c r="L48" s="49">
        <f>AVERAGE('29.07 Nakawa-Naguru'!L48,'30.07 Nakawa-Naguru'!L48,'31.07 Nakawa-Naguru'!L48,'02.08 Nakawa-Naguru'!L48,'01.08 Nakawa-Naguru-24h'!L48,'03.08 Nakawa-Naguru-24h'!L48,'04.08 Nakawa-Naguru'!L48)</f>
        <v>0.2857142857142857</v>
      </c>
      <c r="M48" s="49">
        <f>AVERAGE('29.07 Nakawa-Naguru'!M48,'30.07 Nakawa-Naguru'!M48,'31.07 Nakawa-Naguru'!M48,'02.08 Nakawa-Naguru'!M48,'01.08 Nakawa-Naguru-24h'!M48,'03.08 Nakawa-Naguru-24h'!M48,'04.08 Nakawa-Naguru'!M48)</f>
        <v>49.714285714285715</v>
      </c>
      <c r="N48" s="49">
        <f>AVERAGE('29.07 Nakawa-Naguru'!N48,'30.07 Nakawa-Naguru'!N48,'31.07 Nakawa-Naguru'!N48,'02.08 Nakawa-Naguru'!N48,'01.08 Nakawa-Naguru-24h'!N48,'03.08 Nakawa-Naguru-24h'!N48,'04.08 Nakawa-Naguru'!N48)</f>
        <v>0</v>
      </c>
      <c r="O48" s="15">
        <f t="shared" si="0"/>
        <v>207</v>
      </c>
      <c r="P48" s="15">
        <f t="shared" si="1"/>
        <v>256.71428571428572</v>
      </c>
      <c r="R48" s="8"/>
      <c r="T48"/>
    </row>
    <row r="49" spans="2:20" ht="23.1" customHeight="1" x14ac:dyDescent="0.25">
      <c r="B49" s="23" t="s">
        <v>76</v>
      </c>
      <c r="C49" s="49">
        <f>AVERAGE('29.07 Nakawa-Naguru'!C49,'30.07 Nakawa-Naguru'!C49,'31.07 Nakawa-Naguru'!C49,'02.08 Nakawa-Naguru'!C49,'01.08 Nakawa-Naguru-24h'!C49,'03.08 Nakawa-Naguru-24h'!C49,'04.08 Nakawa-Naguru'!C49)</f>
        <v>103.42857142857143</v>
      </c>
      <c r="D49" s="49">
        <f>AVERAGE('29.07 Nakawa-Naguru'!D49,'30.07 Nakawa-Naguru'!D49,'31.07 Nakawa-Naguru'!D49,'02.08 Nakawa-Naguru'!D49,'01.08 Nakawa-Naguru-24h'!D49,'03.08 Nakawa-Naguru-24h'!D49,'04.08 Nakawa-Naguru'!D49)</f>
        <v>93</v>
      </c>
      <c r="E49" s="49">
        <f>AVERAGE('29.07 Nakawa-Naguru'!E49,'30.07 Nakawa-Naguru'!E49,'31.07 Nakawa-Naguru'!E49,'02.08 Nakawa-Naguru'!E49,'01.08 Nakawa-Naguru-24h'!E49,'03.08 Nakawa-Naguru-24h'!E49,'04.08 Nakawa-Naguru'!E49)</f>
        <v>13.857142857142858</v>
      </c>
      <c r="F49" s="49">
        <f>AVERAGE('29.07 Nakawa-Naguru'!F49,'30.07 Nakawa-Naguru'!F49,'31.07 Nakawa-Naguru'!F49,'02.08 Nakawa-Naguru'!F49,'01.08 Nakawa-Naguru-24h'!F49,'03.08 Nakawa-Naguru-24h'!F49,'04.08 Nakawa-Naguru'!F49)</f>
        <v>5.1428571428571432</v>
      </c>
      <c r="G49" s="49">
        <f>AVERAGE('29.07 Nakawa-Naguru'!G49,'30.07 Nakawa-Naguru'!G49,'31.07 Nakawa-Naguru'!G49,'02.08 Nakawa-Naguru'!G49,'01.08 Nakawa-Naguru-24h'!G49,'03.08 Nakawa-Naguru-24h'!G49,'04.08 Nakawa-Naguru'!G49)</f>
        <v>0</v>
      </c>
      <c r="H49" s="49">
        <f>AVERAGE('29.07 Nakawa-Naguru'!H49,'30.07 Nakawa-Naguru'!H49,'31.07 Nakawa-Naguru'!H49,'02.08 Nakawa-Naguru'!H49,'01.08 Nakawa-Naguru-24h'!H49,'03.08 Nakawa-Naguru-24h'!H49,'04.08 Nakawa-Naguru'!H49)</f>
        <v>0</v>
      </c>
      <c r="I49" s="49">
        <f>AVERAGE('29.07 Nakawa-Naguru'!I49,'30.07 Nakawa-Naguru'!I49,'31.07 Nakawa-Naguru'!I49,'02.08 Nakawa-Naguru'!I49,'01.08 Nakawa-Naguru-24h'!I49,'03.08 Nakawa-Naguru-24h'!I49,'04.08 Nakawa-Naguru'!I49)</f>
        <v>0.2857142857142857</v>
      </c>
      <c r="J49" s="49">
        <f>AVERAGE('29.07 Nakawa-Naguru'!J49,'30.07 Nakawa-Naguru'!J49,'31.07 Nakawa-Naguru'!J49,'02.08 Nakawa-Naguru'!J49,'01.08 Nakawa-Naguru-24h'!J49,'03.08 Nakawa-Naguru-24h'!J49,'04.08 Nakawa-Naguru'!J49)</f>
        <v>0.42857142857142855</v>
      </c>
      <c r="K49" s="49">
        <f>AVERAGE('29.07 Nakawa-Naguru'!K49,'30.07 Nakawa-Naguru'!K49,'31.07 Nakawa-Naguru'!K49,'02.08 Nakawa-Naguru'!K49,'01.08 Nakawa-Naguru-24h'!K49,'03.08 Nakawa-Naguru-24h'!K49,'04.08 Nakawa-Naguru'!K49)</f>
        <v>0.14285714285714285</v>
      </c>
      <c r="L49" s="49">
        <f>AVERAGE('29.07 Nakawa-Naguru'!L49,'30.07 Nakawa-Naguru'!L49,'31.07 Nakawa-Naguru'!L49,'02.08 Nakawa-Naguru'!L49,'01.08 Nakawa-Naguru-24h'!L49,'03.08 Nakawa-Naguru-24h'!L49,'04.08 Nakawa-Naguru'!L49)</f>
        <v>0</v>
      </c>
      <c r="M49" s="49">
        <f>AVERAGE('29.07 Nakawa-Naguru'!M49,'30.07 Nakawa-Naguru'!M49,'31.07 Nakawa-Naguru'!M49,'02.08 Nakawa-Naguru'!M49,'01.08 Nakawa-Naguru-24h'!M49,'03.08 Nakawa-Naguru-24h'!M49,'04.08 Nakawa-Naguru'!M49)</f>
        <v>44.285714285714285</v>
      </c>
      <c r="N49" s="49">
        <f>AVERAGE('29.07 Nakawa-Naguru'!N49,'30.07 Nakawa-Naguru'!N49,'31.07 Nakawa-Naguru'!N49,'02.08 Nakawa-Naguru'!N49,'01.08 Nakawa-Naguru-24h'!N49,'03.08 Nakawa-Naguru-24h'!N49,'04.08 Nakawa-Naguru'!N49)</f>
        <v>0</v>
      </c>
      <c r="O49" s="15">
        <f t="shared" si="0"/>
        <v>216.28571428571428</v>
      </c>
      <c r="P49" s="15">
        <f t="shared" si="1"/>
        <v>260.57142857142856</v>
      </c>
      <c r="R49" s="8"/>
      <c r="T49"/>
    </row>
    <row r="50" spans="2:20" ht="23.1" customHeight="1" x14ac:dyDescent="0.25">
      <c r="B50" s="24" t="s">
        <v>77</v>
      </c>
      <c r="C50" s="49">
        <f>AVERAGE('29.07 Nakawa-Naguru'!C50,'30.07 Nakawa-Naguru'!C50,'31.07 Nakawa-Naguru'!C50,'02.08 Nakawa-Naguru'!C50,'01.08 Nakawa-Naguru-24h'!C50,'03.08 Nakawa-Naguru-24h'!C50,'04.08 Nakawa-Naguru'!C50)</f>
        <v>132.85714285714286</v>
      </c>
      <c r="D50" s="49">
        <f>AVERAGE('29.07 Nakawa-Naguru'!D50,'30.07 Nakawa-Naguru'!D50,'31.07 Nakawa-Naguru'!D50,'02.08 Nakawa-Naguru'!D50,'01.08 Nakawa-Naguru-24h'!D50,'03.08 Nakawa-Naguru-24h'!D50,'04.08 Nakawa-Naguru'!D50)</f>
        <v>105</v>
      </c>
      <c r="E50" s="49">
        <f>AVERAGE('29.07 Nakawa-Naguru'!E50,'30.07 Nakawa-Naguru'!E50,'31.07 Nakawa-Naguru'!E50,'02.08 Nakawa-Naguru'!E50,'01.08 Nakawa-Naguru-24h'!E50,'03.08 Nakawa-Naguru-24h'!E50,'04.08 Nakawa-Naguru'!E50)</f>
        <v>18.285714285714285</v>
      </c>
      <c r="F50" s="49">
        <f>AVERAGE('29.07 Nakawa-Naguru'!F50,'30.07 Nakawa-Naguru'!F50,'31.07 Nakawa-Naguru'!F50,'02.08 Nakawa-Naguru'!F50,'01.08 Nakawa-Naguru-24h'!F50,'03.08 Nakawa-Naguru-24h'!F50,'04.08 Nakawa-Naguru'!F50)</f>
        <v>9.2857142857142865</v>
      </c>
      <c r="G50" s="49">
        <f>AVERAGE('29.07 Nakawa-Naguru'!G50,'30.07 Nakawa-Naguru'!G50,'31.07 Nakawa-Naguru'!G50,'02.08 Nakawa-Naguru'!G50,'01.08 Nakawa-Naguru-24h'!G50,'03.08 Nakawa-Naguru-24h'!G50,'04.08 Nakawa-Naguru'!G50)</f>
        <v>0.42857142857142855</v>
      </c>
      <c r="H50" s="49">
        <f>AVERAGE('29.07 Nakawa-Naguru'!H50,'30.07 Nakawa-Naguru'!H50,'31.07 Nakawa-Naguru'!H50,'02.08 Nakawa-Naguru'!H50,'01.08 Nakawa-Naguru-24h'!H50,'03.08 Nakawa-Naguru-24h'!H50,'04.08 Nakawa-Naguru'!H50)</f>
        <v>0</v>
      </c>
      <c r="I50" s="49">
        <f>AVERAGE('29.07 Nakawa-Naguru'!I50,'30.07 Nakawa-Naguru'!I50,'31.07 Nakawa-Naguru'!I50,'02.08 Nakawa-Naguru'!I50,'01.08 Nakawa-Naguru-24h'!I50,'03.08 Nakawa-Naguru-24h'!I50,'04.08 Nakawa-Naguru'!I50)</f>
        <v>2.1428571428571428</v>
      </c>
      <c r="J50" s="49">
        <f>AVERAGE('29.07 Nakawa-Naguru'!J50,'30.07 Nakawa-Naguru'!J50,'31.07 Nakawa-Naguru'!J50,'02.08 Nakawa-Naguru'!J50,'01.08 Nakawa-Naguru-24h'!J50,'03.08 Nakawa-Naguru-24h'!J50,'04.08 Nakawa-Naguru'!J50)</f>
        <v>0.42857142857142855</v>
      </c>
      <c r="K50" s="49">
        <f>AVERAGE('29.07 Nakawa-Naguru'!K50,'30.07 Nakawa-Naguru'!K50,'31.07 Nakawa-Naguru'!K50,'02.08 Nakawa-Naguru'!K50,'01.08 Nakawa-Naguru-24h'!K50,'03.08 Nakawa-Naguru-24h'!K50,'04.08 Nakawa-Naguru'!K50)</f>
        <v>0.2857142857142857</v>
      </c>
      <c r="L50" s="49">
        <f>AVERAGE('29.07 Nakawa-Naguru'!L50,'30.07 Nakawa-Naguru'!L50,'31.07 Nakawa-Naguru'!L50,'02.08 Nakawa-Naguru'!L50,'01.08 Nakawa-Naguru-24h'!L50,'03.08 Nakawa-Naguru-24h'!L50,'04.08 Nakawa-Naguru'!L50)</f>
        <v>0.14285714285714285</v>
      </c>
      <c r="M50" s="49">
        <f>AVERAGE('29.07 Nakawa-Naguru'!M50,'30.07 Nakawa-Naguru'!M50,'31.07 Nakawa-Naguru'!M50,'02.08 Nakawa-Naguru'!M50,'01.08 Nakawa-Naguru-24h'!M50,'03.08 Nakawa-Naguru-24h'!M50,'04.08 Nakawa-Naguru'!M50)</f>
        <v>49.142857142857146</v>
      </c>
      <c r="N50" s="49">
        <f>AVERAGE('29.07 Nakawa-Naguru'!N50,'30.07 Nakawa-Naguru'!N50,'31.07 Nakawa-Naguru'!N50,'02.08 Nakawa-Naguru'!N50,'01.08 Nakawa-Naguru-24h'!N50,'03.08 Nakawa-Naguru-24h'!N50,'04.08 Nakawa-Naguru'!N50)</f>
        <v>0</v>
      </c>
      <c r="O50" s="15">
        <f t="shared" si="0"/>
        <v>268.85714285714295</v>
      </c>
      <c r="P50" s="15">
        <f t="shared" si="1"/>
        <v>318.00000000000011</v>
      </c>
      <c r="R50" s="8"/>
      <c r="T50"/>
    </row>
    <row r="51" spans="2:20" ht="23.1" customHeight="1" x14ac:dyDescent="0.25">
      <c r="B51" s="24" t="s">
        <v>78</v>
      </c>
      <c r="C51" s="49">
        <f>AVERAGE('29.07 Nakawa-Naguru'!C51,'30.07 Nakawa-Naguru'!C51,'31.07 Nakawa-Naguru'!C51,'02.08 Nakawa-Naguru'!C51,'01.08 Nakawa-Naguru-24h'!C51,'03.08 Nakawa-Naguru-24h'!C51,'04.08 Nakawa-Naguru'!C51)</f>
        <v>133.71428571428572</v>
      </c>
      <c r="D51" s="49">
        <f>AVERAGE('29.07 Nakawa-Naguru'!D51,'30.07 Nakawa-Naguru'!D51,'31.07 Nakawa-Naguru'!D51,'02.08 Nakawa-Naguru'!D51,'01.08 Nakawa-Naguru-24h'!D51,'03.08 Nakawa-Naguru-24h'!D51,'04.08 Nakawa-Naguru'!D51)</f>
        <v>123.57142857142857</v>
      </c>
      <c r="E51" s="49">
        <f>AVERAGE('29.07 Nakawa-Naguru'!E51,'30.07 Nakawa-Naguru'!E51,'31.07 Nakawa-Naguru'!E51,'02.08 Nakawa-Naguru'!E51,'01.08 Nakawa-Naguru-24h'!E51,'03.08 Nakawa-Naguru-24h'!E51,'04.08 Nakawa-Naguru'!E51)</f>
        <v>17.285714285714285</v>
      </c>
      <c r="F51" s="49">
        <f>AVERAGE('29.07 Nakawa-Naguru'!F51,'30.07 Nakawa-Naguru'!F51,'31.07 Nakawa-Naguru'!F51,'02.08 Nakawa-Naguru'!F51,'01.08 Nakawa-Naguru-24h'!F51,'03.08 Nakawa-Naguru-24h'!F51,'04.08 Nakawa-Naguru'!F51)</f>
        <v>6</v>
      </c>
      <c r="G51" s="49">
        <f>AVERAGE('29.07 Nakawa-Naguru'!G51,'30.07 Nakawa-Naguru'!G51,'31.07 Nakawa-Naguru'!G51,'02.08 Nakawa-Naguru'!G51,'01.08 Nakawa-Naguru-24h'!G51,'03.08 Nakawa-Naguru-24h'!G51,'04.08 Nakawa-Naguru'!G51)</f>
        <v>0</v>
      </c>
      <c r="H51" s="49">
        <f>AVERAGE('29.07 Nakawa-Naguru'!H51,'30.07 Nakawa-Naguru'!H51,'31.07 Nakawa-Naguru'!H51,'02.08 Nakawa-Naguru'!H51,'01.08 Nakawa-Naguru-24h'!H51,'03.08 Nakawa-Naguru-24h'!H51,'04.08 Nakawa-Naguru'!H51)</f>
        <v>0.42857142857142855</v>
      </c>
      <c r="I51" s="49">
        <f>AVERAGE('29.07 Nakawa-Naguru'!I51,'30.07 Nakawa-Naguru'!I51,'31.07 Nakawa-Naguru'!I51,'02.08 Nakawa-Naguru'!I51,'01.08 Nakawa-Naguru-24h'!I51,'03.08 Nakawa-Naguru-24h'!I51,'04.08 Nakawa-Naguru'!I51)</f>
        <v>1.5714285714285714</v>
      </c>
      <c r="J51" s="49">
        <f>AVERAGE('29.07 Nakawa-Naguru'!J51,'30.07 Nakawa-Naguru'!J51,'31.07 Nakawa-Naguru'!J51,'02.08 Nakawa-Naguru'!J51,'01.08 Nakawa-Naguru-24h'!J51,'03.08 Nakawa-Naguru-24h'!J51,'04.08 Nakawa-Naguru'!J51)</f>
        <v>0.7142857142857143</v>
      </c>
      <c r="K51" s="49">
        <f>AVERAGE('29.07 Nakawa-Naguru'!K51,'30.07 Nakawa-Naguru'!K51,'31.07 Nakawa-Naguru'!K51,'02.08 Nakawa-Naguru'!K51,'01.08 Nakawa-Naguru-24h'!K51,'03.08 Nakawa-Naguru-24h'!K51,'04.08 Nakawa-Naguru'!K51)</f>
        <v>0.42857142857142855</v>
      </c>
      <c r="L51" s="49">
        <f>AVERAGE('29.07 Nakawa-Naguru'!L51,'30.07 Nakawa-Naguru'!L51,'31.07 Nakawa-Naguru'!L51,'02.08 Nakawa-Naguru'!L51,'01.08 Nakawa-Naguru-24h'!L51,'03.08 Nakawa-Naguru-24h'!L51,'04.08 Nakawa-Naguru'!L51)</f>
        <v>0.14285714285714285</v>
      </c>
      <c r="M51" s="49">
        <f>AVERAGE('29.07 Nakawa-Naguru'!M51,'30.07 Nakawa-Naguru'!M51,'31.07 Nakawa-Naguru'!M51,'02.08 Nakawa-Naguru'!M51,'01.08 Nakawa-Naguru-24h'!M51,'03.08 Nakawa-Naguru-24h'!M51,'04.08 Nakawa-Naguru'!M51)</f>
        <v>44.285714285714285</v>
      </c>
      <c r="N51" s="49">
        <f>AVERAGE('29.07 Nakawa-Naguru'!N51,'30.07 Nakawa-Naguru'!N51,'31.07 Nakawa-Naguru'!N51,'02.08 Nakawa-Naguru'!N51,'01.08 Nakawa-Naguru-24h'!N51,'03.08 Nakawa-Naguru-24h'!N51,'04.08 Nakawa-Naguru'!N51)</f>
        <v>0</v>
      </c>
      <c r="O51" s="15">
        <f t="shared" si="0"/>
        <v>283.85714285714289</v>
      </c>
      <c r="P51" s="15">
        <f t="shared" si="1"/>
        <v>328.14285714285717</v>
      </c>
      <c r="R51" s="8"/>
      <c r="T51"/>
    </row>
    <row r="52" spans="2:20" ht="23.1" customHeight="1" x14ac:dyDescent="0.25">
      <c r="B52" s="24" t="s">
        <v>79</v>
      </c>
      <c r="C52" s="49">
        <f>AVERAGE('29.07 Nakawa-Naguru'!C52,'30.07 Nakawa-Naguru'!C52,'31.07 Nakawa-Naguru'!C52,'02.08 Nakawa-Naguru'!C52,'01.08 Nakawa-Naguru-24h'!C52,'03.08 Nakawa-Naguru-24h'!C52,'04.08 Nakawa-Naguru'!C52)</f>
        <v>141.14285714285714</v>
      </c>
      <c r="D52" s="49">
        <f>AVERAGE('29.07 Nakawa-Naguru'!D52,'30.07 Nakawa-Naguru'!D52,'31.07 Nakawa-Naguru'!D52,'02.08 Nakawa-Naguru'!D52,'01.08 Nakawa-Naguru-24h'!D52,'03.08 Nakawa-Naguru-24h'!D52,'04.08 Nakawa-Naguru'!D52)</f>
        <v>124.42857142857143</v>
      </c>
      <c r="E52" s="49">
        <f>AVERAGE('29.07 Nakawa-Naguru'!E52,'30.07 Nakawa-Naguru'!E52,'31.07 Nakawa-Naguru'!E52,'02.08 Nakawa-Naguru'!E52,'01.08 Nakawa-Naguru-24h'!E52,'03.08 Nakawa-Naguru-24h'!E52,'04.08 Nakawa-Naguru'!E52)</f>
        <v>35.857142857142854</v>
      </c>
      <c r="F52" s="49">
        <f>AVERAGE('29.07 Nakawa-Naguru'!F52,'30.07 Nakawa-Naguru'!F52,'31.07 Nakawa-Naguru'!F52,'02.08 Nakawa-Naguru'!F52,'01.08 Nakawa-Naguru-24h'!F52,'03.08 Nakawa-Naguru-24h'!F52,'04.08 Nakawa-Naguru'!F52)</f>
        <v>12.142857142857142</v>
      </c>
      <c r="G52" s="49">
        <f>AVERAGE('29.07 Nakawa-Naguru'!G52,'30.07 Nakawa-Naguru'!G52,'31.07 Nakawa-Naguru'!G52,'02.08 Nakawa-Naguru'!G52,'01.08 Nakawa-Naguru-24h'!G52,'03.08 Nakawa-Naguru-24h'!G52,'04.08 Nakawa-Naguru'!G52)</f>
        <v>0.2857142857142857</v>
      </c>
      <c r="H52" s="49">
        <f>AVERAGE('29.07 Nakawa-Naguru'!H52,'30.07 Nakawa-Naguru'!H52,'31.07 Nakawa-Naguru'!H52,'02.08 Nakawa-Naguru'!H52,'01.08 Nakawa-Naguru-24h'!H52,'03.08 Nakawa-Naguru-24h'!H52,'04.08 Nakawa-Naguru'!H52)</f>
        <v>0.14285714285714285</v>
      </c>
      <c r="I52" s="49">
        <f>AVERAGE('29.07 Nakawa-Naguru'!I52,'30.07 Nakawa-Naguru'!I52,'31.07 Nakawa-Naguru'!I52,'02.08 Nakawa-Naguru'!I52,'01.08 Nakawa-Naguru-24h'!I52,'03.08 Nakawa-Naguru-24h'!I52,'04.08 Nakawa-Naguru'!I52)</f>
        <v>1.7142857142857142</v>
      </c>
      <c r="J52" s="49">
        <f>AVERAGE('29.07 Nakawa-Naguru'!J52,'30.07 Nakawa-Naguru'!J52,'31.07 Nakawa-Naguru'!J52,'02.08 Nakawa-Naguru'!J52,'01.08 Nakawa-Naguru-24h'!J52,'03.08 Nakawa-Naguru-24h'!J52,'04.08 Nakawa-Naguru'!J52)</f>
        <v>1</v>
      </c>
      <c r="K52" s="49">
        <f>AVERAGE('29.07 Nakawa-Naguru'!K52,'30.07 Nakawa-Naguru'!K52,'31.07 Nakawa-Naguru'!K52,'02.08 Nakawa-Naguru'!K52,'01.08 Nakawa-Naguru-24h'!K52,'03.08 Nakawa-Naguru-24h'!K52,'04.08 Nakawa-Naguru'!K52)</f>
        <v>0.14285714285714285</v>
      </c>
      <c r="L52" s="49">
        <f>AVERAGE('29.07 Nakawa-Naguru'!L52,'30.07 Nakawa-Naguru'!L52,'31.07 Nakawa-Naguru'!L52,'02.08 Nakawa-Naguru'!L52,'01.08 Nakawa-Naguru-24h'!L52,'03.08 Nakawa-Naguru-24h'!L52,'04.08 Nakawa-Naguru'!L52)</f>
        <v>0</v>
      </c>
      <c r="M52" s="49">
        <f>AVERAGE('29.07 Nakawa-Naguru'!M52,'30.07 Nakawa-Naguru'!M52,'31.07 Nakawa-Naguru'!M52,'02.08 Nakawa-Naguru'!M52,'01.08 Nakawa-Naguru-24h'!M52,'03.08 Nakawa-Naguru-24h'!M52,'04.08 Nakawa-Naguru'!M52)</f>
        <v>65</v>
      </c>
      <c r="N52" s="49">
        <f>AVERAGE('29.07 Nakawa-Naguru'!N52,'30.07 Nakawa-Naguru'!N52,'31.07 Nakawa-Naguru'!N52,'02.08 Nakawa-Naguru'!N52,'01.08 Nakawa-Naguru-24h'!N52,'03.08 Nakawa-Naguru-24h'!N52,'04.08 Nakawa-Naguru'!N52)</f>
        <v>0</v>
      </c>
      <c r="O52" s="15">
        <f t="shared" si="0"/>
        <v>316.85714285714289</v>
      </c>
      <c r="P52" s="15">
        <f t="shared" si="1"/>
        <v>381.85714285714289</v>
      </c>
      <c r="R52" s="8"/>
      <c r="T52"/>
    </row>
    <row r="53" spans="2:20" ht="23.1" customHeight="1" x14ac:dyDescent="0.25">
      <c r="B53" s="23" t="s">
        <v>80</v>
      </c>
      <c r="C53" s="49">
        <f>AVERAGE('29.07 Nakawa-Naguru'!C53,'30.07 Nakawa-Naguru'!C53,'31.07 Nakawa-Naguru'!C53,'02.08 Nakawa-Naguru'!C53,'01.08 Nakawa-Naguru-24h'!C53,'03.08 Nakawa-Naguru-24h'!C53,'04.08 Nakawa-Naguru'!C53)</f>
        <v>167.71428571428572</v>
      </c>
      <c r="D53" s="49">
        <f>AVERAGE('29.07 Nakawa-Naguru'!D53,'30.07 Nakawa-Naguru'!D53,'31.07 Nakawa-Naguru'!D53,'02.08 Nakawa-Naguru'!D53,'01.08 Nakawa-Naguru-24h'!D53,'03.08 Nakawa-Naguru-24h'!D53,'04.08 Nakawa-Naguru'!D53)</f>
        <v>124.28571428571429</v>
      </c>
      <c r="E53" s="49">
        <f>AVERAGE('29.07 Nakawa-Naguru'!E53,'30.07 Nakawa-Naguru'!E53,'31.07 Nakawa-Naguru'!E53,'02.08 Nakawa-Naguru'!E53,'01.08 Nakawa-Naguru-24h'!E53,'03.08 Nakawa-Naguru-24h'!E53,'04.08 Nakawa-Naguru'!E53)</f>
        <v>15.714285714285714</v>
      </c>
      <c r="F53" s="49">
        <f>AVERAGE('29.07 Nakawa-Naguru'!F53,'30.07 Nakawa-Naguru'!F53,'31.07 Nakawa-Naguru'!F53,'02.08 Nakawa-Naguru'!F53,'01.08 Nakawa-Naguru-24h'!F53,'03.08 Nakawa-Naguru-24h'!F53,'04.08 Nakawa-Naguru'!F53)</f>
        <v>7.5714285714285712</v>
      </c>
      <c r="G53" s="49">
        <f>AVERAGE('29.07 Nakawa-Naguru'!G53,'30.07 Nakawa-Naguru'!G53,'31.07 Nakawa-Naguru'!G53,'02.08 Nakawa-Naguru'!G53,'01.08 Nakawa-Naguru-24h'!G53,'03.08 Nakawa-Naguru-24h'!G53,'04.08 Nakawa-Naguru'!G53)</f>
        <v>0.14285714285714285</v>
      </c>
      <c r="H53" s="49">
        <f>AVERAGE('29.07 Nakawa-Naguru'!H53,'30.07 Nakawa-Naguru'!H53,'31.07 Nakawa-Naguru'!H53,'02.08 Nakawa-Naguru'!H53,'01.08 Nakawa-Naguru-24h'!H53,'03.08 Nakawa-Naguru-24h'!H53,'04.08 Nakawa-Naguru'!H53)</f>
        <v>0.14285714285714285</v>
      </c>
      <c r="I53" s="49">
        <f>AVERAGE('29.07 Nakawa-Naguru'!I53,'30.07 Nakawa-Naguru'!I53,'31.07 Nakawa-Naguru'!I53,'02.08 Nakawa-Naguru'!I53,'01.08 Nakawa-Naguru-24h'!I53,'03.08 Nakawa-Naguru-24h'!I53,'04.08 Nakawa-Naguru'!I53)</f>
        <v>0.8571428571428571</v>
      </c>
      <c r="J53" s="49">
        <f>AVERAGE('29.07 Nakawa-Naguru'!J53,'30.07 Nakawa-Naguru'!J53,'31.07 Nakawa-Naguru'!J53,'02.08 Nakawa-Naguru'!J53,'01.08 Nakawa-Naguru-24h'!J53,'03.08 Nakawa-Naguru-24h'!J53,'04.08 Nakawa-Naguru'!J53)</f>
        <v>0.5714285714285714</v>
      </c>
      <c r="K53" s="49">
        <f>AVERAGE('29.07 Nakawa-Naguru'!K53,'30.07 Nakawa-Naguru'!K53,'31.07 Nakawa-Naguru'!K53,'02.08 Nakawa-Naguru'!K53,'01.08 Nakawa-Naguru-24h'!K53,'03.08 Nakawa-Naguru-24h'!K53,'04.08 Nakawa-Naguru'!K53)</f>
        <v>0.2857142857142857</v>
      </c>
      <c r="L53" s="49">
        <f>AVERAGE('29.07 Nakawa-Naguru'!L53,'30.07 Nakawa-Naguru'!L53,'31.07 Nakawa-Naguru'!L53,'02.08 Nakawa-Naguru'!L53,'01.08 Nakawa-Naguru-24h'!L53,'03.08 Nakawa-Naguru-24h'!L53,'04.08 Nakawa-Naguru'!L53)</f>
        <v>0.14285714285714285</v>
      </c>
      <c r="M53" s="49">
        <f>AVERAGE('29.07 Nakawa-Naguru'!M53,'30.07 Nakawa-Naguru'!M53,'31.07 Nakawa-Naguru'!M53,'02.08 Nakawa-Naguru'!M53,'01.08 Nakawa-Naguru-24h'!M53,'03.08 Nakawa-Naguru-24h'!M53,'04.08 Nakawa-Naguru'!M53)</f>
        <v>49.428571428571431</v>
      </c>
      <c r="N53" s="49">
        <f>AVERAGE('29.07 Nakawa-Naguru'!N53,'30.07 Nakawa-Naguru'!N53,'31.07 Nakawa-Naguru'!N53,'02.08 Nakawa-Naguru'!N53,'01.08 Nakawa-Naguru-24h'!N53,'03.08 Nakawa-Naguru-24h'!N53,'04.08 Nakawa-Naguru'!N53)</f>
        <v>0</v>
      </c>
      <c r="O53" s="15">
        <f t="shared" si="0"/>
        <v>317.42857142857144</v>
      </c>
      <c r="P53" s="15">
        <f t="shared" si="1"/>
        <v>366.85714285714289</v>
      </c>
      <c r="R53" s="8"/>
      <c r="T53"/>
    </row>
    <row r="54" spans="2:20" ht="23.1" customHeight="1" x14ac:dyDescent="0.25">
      <c r="B54" s="23" t="s">
        <v>81</v>
      </c>
      <c r="C54" s="49">
        <f>AVERAGE('29.07 Nakawa-Naguru'!C54,'30.07 Nakawa-Naguru'!C54,'31.07 Nakawa-Naguru'!C54,'02.08 Nakawa-Naguru'!C54,'01.08 Nakawa-Naguru-24h'!C54,'03.08 Nakawa-Naguru-24h'!C54,'04.08 Nakawa-Naguru'!C54)</f>
        <v>117.71428571428571</v>
      </c>
      <c r="D54" s="49">
        <f>AVERAGE('29.07 Nakawa-Naguru'!D54,'30.07 Nakawa-Naguru'!D54,'31.07 Nakawa-Naguru'!D54,'02.08 Nakawa-Naguru'!D54,'01.08 Nakawa-Naguru-24h'!D54,'03.08 Nakawa-Naguru-24h'!D54,'04.08 Nakawa-Naguru'!D54)</f>
        <v>96.857142857142861</v>
      </c>
      <c r="E54" s="49">
        <f>AVERAGE('29.07 Nakawa-Naguru'!E54,'30.07 Nakawa-Naguru'!E54,'31.07 Nakawa-Naguru'!E54,'02.08 Nakawa-Naguru'!E54,'01.08 Nakawa-Naguru-24h'!E54,'03.08 Nakawa-Naguru-24h'!E54,'04.08 Nakawa-Naguru'!E54)</f>
        <v>13.285714285714286</v>
      </c>
      <c r="F54" s="49">
        <f>AVERAGE('29.07 Nakawa-Naguru'!F54,'30.07 Nakawa-Naguru'!F54,'31.07 Nakawa-Naguru'!F54,'02.08 Nakawa-Naguru'!F54,'01.08 Nakawa-Naguru-24h'!F54,'03.08 Nakawa-Naguru-24h'!F54,'04.08 Nakawa-Naguru'!F54)</f>
        <v>16</v>
      </c>
      <c r="G54" s="49">
        <f>AVERAGE('29.07 Nakawa-Naguru'!G54,'30.07 Nakawa-Naguru'!G54,'31.07 Nakawa-Naguru'!G54,'02.08 Nakawa-Naguru'!G54,'01.08 Nakawa-Naguru-24h'!G54,'03.08 Nakawa-Naguru-24h'!G54,'04.08 Nakawa-Naguru'!G54)</f>
        <v>0.14285714285714285</v>
      </c>
      <c r="H54" s="49">
        <f>AVERAGE('29.07 Nakawa-Naguru'!H54,'30.07 Nakawa-Naguru'!H54,'31.07 Nakawa-Naguru'!H54,'02.08 Nakawa-Naguru'!H54,'01.08 Nakawa-Naguru-24h'!H54,'03.08 Nakawa-Naguru-24h'!H54,'04.08 Nakawa-Naguru'!H54)</f>
        <v>0.14285714285714285</v>
      </c>
      <c r="I54" s="49">
        <f>AVERAGE('29.07 Nakawa-Naguru'!I54,'30.07 Nakawa-Naguru'!I54,'31.07 Nakawa-Naguru'!I54,'02.08 Nakawa-Naguru'!I54,'01.08 Nakawa-Naguru-24h'!I54,'03.08 Nakawa-Naguru-24h'!I54,'04.08 Nakawa-Naguru'!I54)</f>
        <v>1</v>
      </c>
      <c r="J54" s="49">
        <f>AVERAGE('29.07 Nakawa-Naguru'!J54,'30.07 Nakawa-Naguru'!J54,'31.07 Nakawa-Naguru'!J54,'02.08 Nakawa-Naguru'!J54,'01.08 Nakawa-Naguru-24h'!J54,'03.08 Nakawa-Naguru-24h'!J54,'04.08 Nakawa-Naguru'!J54)</f>
        <v>0.5714285714285714</v>
      </c>
      <c r="K54" s="49">
        <f>AVERAGE('29.07 Nakawa-Naguru'!K54,'30.07 Nakawa-Naguru'!K54,'31.07 Nakawa-Naguru'!K54,'02.08 Nakawa-Naguru'!K54,'01.08 Nakawa-Naguru-24h'!K54,'03.08 Nakawa-Naguru-24h'!K54,'04.08 Nakawa-Naguru'!K54)</f>
        <v>0.2857142857142857</v>
      </c>
      <c r="L54" s="49">
        <f>AVERAGE('29.07 Nakawa-Naguru'!L54,'30.07 Nakawa-Naguru'!L54,'31.07 Nakawa-Naguru'!L54,'02.08 Nakawa-Naguru'!L54,'01.08 Nakawa-Naguru-24h'!L54,'03.08 Nakawa-Naguru-24h'!L54,'04.08 Nakawa-Naguru'!L54)</f>
        <v>0.42857142857142855</v>
      </c>
      <c r="M54" s="49">
        <f>AVERAGE('29.07 Nakawa-Naguru'!M54,'30.07 Nakawa-Naguru'!M54,'31.07 Nakawa-Naguru'!M54,'02.08 Nakawa-Naguru'!M54,'01.08 Nakawa-Naguru-24h'!M54,'03.08 Nakawa-Naguru-24h'!M54,'04.08 Nakawa-Naguru'!M54)</f>
        <v>75.857142857142861</v>
      </c>
      <c r="N54" s="49">
        <f>AVERAGE('29.07 Nakawa-Naguru'!N54,'30.07 Nakawa-Naguru'!N54,'31.07 Nakawa-Naguru'!N54,'02.08 Nakawa-Naguru'!N54,'01.08 Nakawa-Naguru-24h'!N54,'03.08 Nakawa-Naguru-24h'!N54,'04.08 Nakawa-Naguru'!N54)</f>
        <v>0</v>
      </c>
      <c r="O54" s="15">
        <f t="shared" si="0"/>
        <v>246.42857142857139</v>
      </c>
      <c r="P54" s="15">
        <f t="shared" si="1"/>
        <v>322.28571428571422</v>
      </c>
      <c r="R54" s="8"/>
      <c r="T54"/>
    </row>
    <row r="55" spans="2:20" ht="23.1" customHeight="1" x14ac:dyDescent="0.25">
      <c r="B55" s="23" t="s">
        <v>82</v>
      </c>
      <c r="C55" s="49">
        <f>AVERAGE('29.07 Nakawa-Naguru'!C55,'30.07 Nakawa-Naguru'!C55,'31.07 Nakawa-Naguru'!C55,'02.08 Nakawa-Naguru'!C55,'01.08 Nakawa-Naguru-24h'!C55,'03.08 Nakawa-Naguru-24h'!C55,'04.08 Nakawa-Naguru'!C55)</f>
        <v>107.85714285714286</v>
      </c>
      <c r="D55" s="49">
        <f>AVERAGE('29.07 Nakawa-Naguru'!D55,'30.07 Nakawa-Naguru'!D55,'31.07 Nakawa-Naguru'!D55,'02.08 Nakawa-Naguru'!D55,'01.08 Nakawa-Naguru-24h'!D55,'03.08 Nakawa-Naguru-24h'!D55,'04.08 Nakawa-Naguru'!D55)</f>
        <v>104.57142857142857</v>
      </c>
      <c r="E55" s="49">
        <f>AVERAGE('29.07 Nakawa-Naguru'!E55,'30.07 Nakawa-Naguru'!E55,'31.07 Nakawa-Naguru'!E55,'02.08 Nakawa-Naguru'!E55,'01.08 Nakawa-Naguru-24h'!E55,'03.08 Nakawa-Naguru-24h'!E55,'04.08 Nakawa-Naguru'!E55)</f>
        <v>13.142857142857142</v>
      </c>
      <c r="F55" s="49">
        <f>AVERAGE('29.07 Nakawa-Naguru'!F55,'30.07 Nakawa-Naguru'!F55,'31.07 Nakawa-Naguru'!F55,'02.08 Nakawa-Naguru'!F55,'01.08 Nakawa-Naguru-24h'!F55,'03.08 Nakawa-Naguru-24h'!F55,'04.08 Nakawa-Naguru'!F55)</f>
        <v>11.857142857142858</v>
      </c>
      <c r="G55" s="49">
        <f>AVERAGE('29.07 Nakawa-Naguru'!G55,'30.07 Nakawa-Naguru'!G55,'31.07 Nakawa-Naguru'!G55,'02.08 Nakawa-Naguru'!G55,'01.08 Nakawa-Naguru-24h'!G55,'03.08 Nakawa-Naguru-24h'!G55,'04.08 Nakawa-Naguru'!G55)</f>
        <v>0</v>
      </c>
      <c r="H55" s="49">
        <f>AVERAGE('29.07 Nakawa-Naguru'!H55,'30.07 Nakawa-Naguru'!H55,'31.07 Nakawa-Naguru'!H55,'02.08 Nakawa-Naguru'!H55,'01.08 Nakawa-Naguru-24h'!H55,'03.08 Nakawa-Naguru-24h'!H55,'04.08 Nakawa-Naguru'!H55)</f>
        <v>0.14285714285714285</v>
      </c>
      <c r="I55" s="49">
        <f>AVERAGE('29.07 Nakawa-Naguru'!I55,'30.07 Nakawa-Naguru'!I55,'31.07 Nakawa-Naguru'!I55,'02.08 Nakawa-Naguru'!I55,'01.08 Nakawa-Naguru-24h'!I55,'03.08 Nakawa-Naguru-24h'!I55,'04.08 Nakawa-Naguru'!I55)</f>
        <v>1.2857142857142858</v>
      </c>
      <c r="J55" s="49">
        <f>AVERAGE('29.07 Nakawa-Naguru'!J55,'30.07 Nakawa-Naguru'!J55,'31.07 Nakawa-Naguru'!J55,'02.08 Nakawa-Naguru'!J55,'01.08 Nakawa-Naguru-24h'!J55,'03.08 Nakawa-Naguru-24h'!J55,'04.08 Nakawa-Naguru'!J55)</f>
        <v>0.5714285714285714</v>
      </c>
      <c r="K55" s="49">
        <f>AVERAGE('29.07 Nakawa-Naguru'!K55,'30.07 Nakawa-Naguru'!K55,'31.07 Nakawa-Naguru'!K55,'02.08 Nakawa-Naguru'!K55,'01.08 Nakawa-Naguru-24h'!K55,'03.08 Nakawa-Naguru-24h'!K55,'04.08 Nakawa-Naguru'!K55)</f>
        <v>0</v>
      </c>
      <c r="L55" s="49">
        <f>AVERAGE('29.07 Nakawa-Naguru'!L55,'30.07 Nakawa-Naguru'!L55,'31.07 Nakawa-Naguru'!L55,'02.08 Nakawa-Naguru'!L55,'01.08 Nakawa-Naguru-24h'!L55,'03.08 Nakawa-Naguru-24h'!L55,'04.08 Nakawa-Naguru'!L55)</f>
        <v>0</v>
      </c>
      <c r="M55" s="49">
        <f>AVERAGE('29.07 Nakawa-Naguru'!M55,'30.07 Nakawa-Naguru'!M55,'31.07 Nakawa-Naguru'!M55,'02.08 Nakawa-Naguru'!M55,'01.08 Nakawa-Naguru-24h'!M55,'03.08 Nakawa-Naguru-24h'!M55,'04.08 Nakawa-Naguru'!M55)</f>
        <v>70.142857142857139</v>
      </c>
      <c r="N55" s="49">
        <f>AVERAGE('29.07 Nakawa-Naguru'!N55,'30.07 Nakawa-Naguru'!N55,'31.07 Nakawa-Naguru'!N55,'02.08 Nakawa-Naguru'!N55,'01.08 Nakawa-Naguru-24h'!N55,'03.08 Nakawa-Naguru-24h'!N55,'04.08 Nakawa-Naguru'!N55)</f>
        <v>0</v>
      </c>
      <c r="O55" s="15">
        <f t="shared" si="0"/>
        <v>239.42857142857144</v>
      </c>
      <c r="P55" s="15">
        <f t="shared" si="1"/>
        <v>309.57142857142856</v>
      </c>
      <c r="R55" s="8"/>
      <c r="T55"/>
    </row>
    <row r="56" spans="2:20" ht="23.1" customHeight="1" x14ac:dyDescent="0.25">
      <c r="B56" s="23" t="s">
        <v>83</v>
      </c>
      <c r="C56" s="49">
        <f>AVERAGE('29.07 Nakawa-Naguru'!C56,'30.07 Nakawa-Naguru'!C56,'31.07 Nakawa-Naguru'!C56,'02.08 Nakawa-Naguru'!C56,'01.08 Nakawa-Naguru-24h'!C56,'03.08 Nakawa-Naguru-24h'!C56,'04.08 Nakawa-Naguru'!C56)</f>
        <v>116.57142857142857</v>
      </c>
      <c r="D56" s="49">
        <f>AVERAGE('29.07 Nakawa-Naguru'!D56,'30.07 Nakawa-Naguru'!D56,'31.07 Nakawa-Naguru'!D56,'02.08 Nakawa-Naguru'!D56,'01.08 Nakawa-Naguru-24h'!D56,'03.08 Nakawa-Naguru-24h'!D56,'04.08 Nakawa-Naguru'!D56)</f>
        <v>102</v>
      </c>
      <c r="E56" s="49">
        <f>AVERAGE('29.07 Nakawa-Naguru'!E56,'30.07 Nakawa-Naguru'!E56,'31.07 Nakawa-Naguru'!E56,'02.08 Nakawa-Naguru'!E56,'01.08 Nakawa-Naguru-24h'!E56,'03.08 Nakawa-Naguru-24h'!E56,'04.08 Nakawa-Naguru'!E56)</f>
        <v>11.285714285714286</v>
      </c>
      <c r="F56" s="49">
        <f>AVERAGE('29.07 Nakawa-Naguru'!F56,'30.07 Nakawa-Naguru'!F56,'31.07 Nakawa-Naguru'!F56,'02.08 Nakawa-Naguru'!F56,'01.08 Nakawa-Naguru-24h'!F56,'03.08 Nakawa-Naguru-24h'!F56,'04.08 Nakawa-Naguru'!F56)</f>
        <v>8.2857142857142865</v>
      </c>
      <c r="G56" s="49">
        <f>AVERAGE('29.07 Nakawa-Naguru'!G56,'30.07 Nakawa-Naguru'!G56,'31.07 Nakawa-Naguru'!G56,'02.08 Nakawa-Naguru'!G56,'01.08 Nakawa-Naguru-24h'!G56,'03.08 Nakawa-Naguru-24h'!G56,'04.08 Nakawa-Naguru'!G56)</f>
        <v>0</v>
      </c>
      <c r="H56" s="49">
        <f>AVERAGE('29.07 Nakawa-Naguru'!H56,'30.07 Nakawa-Naguru'!H56,'31.07 Nakawa-Naguru'!H56,'02.08 Nakawa-Naguru'!H56,'01.08 Nakawa-Naguru-24h'!H56,'03.08 Nakawa-Naguru-24h'!H56,'04.08 Nakawa-Naguru'!H56)</f>
        <v>0.14285714285714285</v>
      </c>
      <c r="I56" s="49">
        <f>AVERAGE('29.07 Nakawa-Naguru'!I56,'30.07 Nakawa-Naguru'!I56,'31.07 Nakawa-Naguru'!I56,'02.08 Nakawa-Naguru'!I56,'01.08 Nakawa-Naguru-24h'!I56,'03.08 Nakawa-Naguru-24h'!I56,'04.08 Nakawa-Naguru'!I56)</f>
        <v>1.2857142857142858</v>
      </c>
      <c r="J56" s="49">
        <f>AVERAGE('29.07 Nakawa-Naguru'!J56,'30.07 Nakawa-Naguru'!J56,'31.07 Nakawa-Naguru'!J56,'02.08 Nakawa-Naguru'!J56,'01.08 Nakawa-Naguru-24h'!J56,'03.08 Nakawa-Naguru-24h'!J56,'04.08 Nakawa-Naguru'!J56)</f>
        <v>0.42857142857142855</v>
      </c>
      <c r="K56" s="49">
        <f>AVERAGE('29.07 Nakawa-Naguru'!K56,'30.07 Nakawa-Naguru'!K56,'31.07 Nakawa-Naguru'!K56,'02.08 Nakawa-Naguru'!K56,'01.08 Nakawa-Naguru-24h'!K56,'03.08 Nakawa-Naguru-24h'!K56,'04.08 Nakawa-Naguru'!K56)</f>
        <v>0.2857142857142857</v>
      </c>
      <c r="L56" s="49">
        <f>AVERAGE('29.07 Nakawa-Naguru'!L56,'30.07 Nakawa-Naguru'!L56,'31.07 Nakawa-Naguru'!L56,'02.08 Nakawa-Naguru'!L56,'01.08 Nakawa-Naguru-24h'!L56,'03.08 Nakawa-Naguru-24h'!L56,'04.08 Nakawa-Naguru'!L56)</f>
        <v>0</v>
      </c>
      <c r="M56" s="49">
        <f>AVERAGE('29.07 Nakawa-Naguru'!M56,'30.07 Nakawa-Naguru'!M56,'31.07 Nakawa-Naguru'!M56,'02.08 Nakawa-Naguru'!M56,'01.08 Nakawa-Naguru-24h'!M56,'03.08 Nakawa-Naguru-24h'!M56,'04.08 Nakawa-Naguru'!M56)</f>
        <v>75.428571428571431</v>
      </c>
      <c r="N56" s="49">
        <f>AVERAGE('29.07 Nakawa-Naguru'!N56,'30.07 Nakawa-Naguru'!N56,'31.07 Nakawa-Naguru'!N56,'02.08 Nakawa-Naguru'!N56,'01.08 Nakawa-Naguru-24h'!N56,'03.08 Nakawa-Naguru-24h'!N56,'04.08 Nakawa-Naguru'!N56)</f>
        <v>0</v>
      </c>
      <c r="O56" s="15">
        <f t="shared" si="0"/>
        <v>240.28571428571422</v>
      </c>
      <c r="P56" s="15">
        <f t="shared" si="1"/>
        <v>315.71428571428567</v>
      </c>
      <c r="R56" s="8"/>
      <c r="T56"/>
    </row>
    <row r="57" spans="2:20" ht="23.1" customHeight="1" x14ac:dyDescent="0.25">
      <c r="B57" s="23" t="s">
        <v>84</v>
      </c>
      <c r="C57" s="49">
        <f>AVERAGE('29.07 Nakawa-Naguru'!C57,'30.07 Nakawa-Naguru'!C57,'31.07 Nakawa-Naguru'!C57,'02.08 Nakawa-Naguru'!C57,'01.08 Nakawa-Naguru-24h'!C57,'03.08 Nakawa-Naguru-24h'!C57,'04.08 Nakawa-Naguru'!C57)</f>
        <v>308.42857142857144</v>
      </c>
      <c r="D57" s="49">
        <f>AVERAGE('29.07 Nakawa-Naguru'!D57,'30.07 Nakawa-Naguru'!D57,'31.07 Nakawa-Naguru'!D57,'02.08 Nakawa-Naguru'!D57,'01.08 Nakawa-Naguru-24h'!D57,'03.08 Nakawa-Naguru-24h'!D57,'04.08 Nakawa-Naguru'!D57)</f>
        <v>110.14285714285714</v>
      </c>
      <c r="E57" s="49">
        <f>AVERAGE('29.07 Nakawa-Naguru'!E57,'30.07 Nakawa-Naguru'!E57,'31.07 Nakawa-Naguru'!E57,'02.08 Nakawa-Naguru'!E57,'01.08 Nakawa-Naguru-24h'!E57,'03.08 Nakawa-Naguru-24h'!E57,'04.08 Nakawa-Naguru'!E57)</f>
        <v>9.1428571428571423</v>
      </c>
      <c r="F57" s="49">
        <f>AVERAGE('29.07 Nakawa-Naguru'!F57,'30.07 Nakawa-Naguru'!F57,'31.07 Nakawa-Naguru'!F57,'02.08 Nakawa-Naguru'!F57,'01.08 Nakawa-Naguru-24h'!F57,'03.08 Nakawa-Naguru-24h'!F57,'04.08 Nakawa-Naguru'!F57)</f>
        <v>9.4285714285714288</v>
      </c>
      <c r="G57" s="49">
        <f>AVERAGE('29.07 Nakawa-Naguru'!G57,'30.07 Nakawa-Naguru'!G57,'31.07 Nakawa-Naguru'!G57,'02.08 Nakawa-Naguru'!G57,'01.08 Nakawa-Naguru-24h'!G57,'03.08 Nakawa-Naguru-24h'!G57,'04.08 Nakawa-Naguru'!G57)</f>
        <v>0.14285714285714285</v>
      </c>
      <c r="H57" s="49">
        <f>AVERAGE('29.07 Nakawa-Naguru'!H57,'30.07 Nakawa-Naguru'!H57,'31.07 Nakawa-Naguru'!H57,'02.08 Nakawa-Naguru'!H57,'01.08 Nakawa-Naguru-24h'!H57,'03.08 Nakawa-Naguru-24h'!H57,'04.08 Nakawa-Naguru'!H57)</f>
        <v>0</v>
      </c>
      <c r="I57" s="49">
        <f>AVERAGE('29.07 Nakawa-Naguru'!I57,'30.07 Nakawa-Naguru'!I57,'31.07 Nakawa-Naguru'!I57,'02.08 Nakawa-Naguru'!I57,'01.08 Nakawa-Naguru-24h'!I57,'03.08 Nakawa-Naguru-24h'!I57,'04.08 Nakawa-Naguru'!I57)</f>
        <v>0.7142857142857143</v>
      </c>
      <c r="J57" s="49">
        <f>AVERAGE('29.07 Nakawa-Naguru'!J57,'30.07 Nakawa-Naguru'!J57,'31.07 Nakawa-Naguru'!J57,'02.08 Nakawa-Naguru'!J57,'01.08 Nakawa-Naguru-24h'!J57,'03.08 Nakawa-Naguru-24h'!J57,'04.08 Nakawa-Naguru'!J57)</f>
        <v>0.14285714285714285</v>
      </c>
      <c r="K57" s="49">
        <f>AVERAGE('29.07 Nakawa-Naguru'!K57,'30.07 Nakawa-Naguru'!K57,'31.07 Nakawa-Naguru'!K57,'02.08 Nakawa-Naguru'!K57,'01.08 Nakawa-Naguru-24h'!K57,'03.08 Nakawa-Naguru-24h'!K57,'04.08 Nakawa-Naguru'!K57)</f>
        <v>0.2857142857142857</v>
      </c>
      <c r="L57" s="49">
        <f>AVERAGE('29.07 Nakawa-Naguru'!L57,'30.07 Nakawa-Naguru'!L57,'31.07 Nakawa-Naguru'!L57,'02.08 Nakawa-Naguru'!L57,'01.08 Nakawa-Naguru-24h'!L57,'03.08 Nakawa-Naguru-24h'!L57,'04.08 Nakawa-Naguru'!L57)</f>
        <v>0</v>
      </c>
      <c r="M57" s="49">
        <f>AVERAGE('29.07 Nakawa-Naguru'!M57,'30.07 Nakawa-Naguru'!M57,'31.07 Nakawa-Naguru'!M57,'02.08 Nakawa-Naguru'!M57,'01.08 Nakawa-Naguru-24h'!M57,'03.08 Nakawa-Naguru-24h'!M57,'04.08 Nakawa-Naguru'!M57)</f>
        <v>47.714285714285715</v>
      </c>
      <c r="N57" s="49">
        <f>AVERAGE('29.07 Nakawa-Naguru'!N57,'30.07 Nakawa-Naguru'!N57,'31.07 Nakawa-Naguru'!N57,'02.08 Nakawa-Naguru'!N57,'01.08 Nakawa-Naguru-24h'!N57,'03.08 Nakawa-Naguru-24h'!N57,'04.08 Nakawa-Naguru'!N57)</f>
        <v>0</v>
      </c>
      <c r="O57" s="15">
        <f t="shared" si="0"/>
        <v>438.4285714285715</v>
      </c>
      <c r="P57" s="15">
        <f t="shared" si="1"/>
        <v>486.14285714285722</v>
      </c>
      <c r="R57" s="8"/>
      <c r="T57"/>
    </row>
    <row r="58" spans="2:20" ht="23.1" customHeight="1" x14ac:dyDescent="0.25">
      <c r="B58" s="23" t="s">
        <v>99</v>
      </c>
      <c r="C58" s="49">
        <f>AVERAGE('01.08 Nakawa-Naguru-24h'!C58,'03.08 Nakawa-Naguru-24h'!C58)</f>
        <v>81.5</v>
      </c>
      <c r="D58" s="49">
        <f>AVERAGE('01.08 Nakawa-Naguru-24h'!D58,'03.08 Nakawa-Naguru-24h'!D58)</f>
        <v>56</v>
      </c>
      <c r="E58" s="49">
        <f>AVERAGE('01.08 Nakawa-Naguru-24h'!E58,'03.08 Nakawa-Naguru-24h'!E58)</f>
        <v>2.5</v>
      </c>
      <c r="F58" s="49">
        <f>AVERAGE('01.08 Nakawa-Naguru-24h'!F58,'03.08 Nakawa-Naguru-24h'!F58)</f>
        <v>19.5</v>
      </c>
      <c r="G58" s="49">
        <f>AVERAGE('01.08 Nakawa-Naguru-24h'!G58,'03.08 Nakawa-Naguru-24h'!G58)</f>
        <v>0</v>
      </c>
      <c r="H58" s="49">
        <f>AVERAGE('01.08 Nakawa-Naguru-24h'!H58,'03.08 Nakawa-Naguru-24h'!H58)</f>
        <v>0</v>
      </c>
      <c r="I58" s="49">
        <f>AVERAGE('01.08 Nakawa-Naguru-24h'!I58,'03.08 Nakawa-Naguru-24h'!I58)</f>
        <v>4.5</v>
      </c>
      <c r="J58" s="49">
        <f>AVERAGE('01.08 Nakawa-Naguru-24h'!J58,'03.08 Nakawa-Naguru-24h'!J58)</f>
        <v>4.5</v>
      </c>
      <c r="K58" s="49">
        <f>AVERAGE('01.08 Nakawa-Naguru-24h'!K58,'03.08 Nakawa-Naguru-24h'!K58)</f>
        <v>4.5</v>
      </c>
      <c r="L58" s="49">
        <f>AVERAGE('01.08 Nakawa-Naguru-24h'!L58,'03.08 Nakawa-Naguru-24h'!L58)</f>
        <v>0</v>
      </c>
      <c r="M58" s="49">
        <f>AVERAGE('01.08 Nakawa-Naguru-24h'!M58,'03.08 Nakawa-Naguru-24h'!M58)</f>
        <v>76</v>
      </c>
      <c r="N58" s="49">
        <f>AVERAGE('01.08 Nakawa-Naguru-24h'!N58,'03.08 Nakawa-Naguru-24h'!N58)</f>
        <v>0</v>
      </c>
      <c r="O58" s="15">
        <f t="shared" si="0"/>
        <v>173</v>
      </c>
      <c r="P58" s="15">
        <f t="shared" si="1"/>
        <v>249</v>
      </c>
      <c r="R58" s="8"/>
      <c r="T58"/>
    </row>
    <row r="59" spans="2:20" ht="23.1" customHeight="1" x14ac:dyDescent="0.25">
      <c r="B59" s="23" t="s">
        <v>100</v>
      </c>
      <c r="C59" s="49">
        <f>AVERAGE('01.08 Nakawa-Naguru-24h'!C59,'03.08 Nakawa-Naguru-24h'!C59)</f>
        <v>87.5</v>
      </c>
      <c r="D59" s="49">
        <f>AVERAGE('01.08 Nakawa-Naguru-24h'!D59,'03.08 Nakawa-Naguru-24h'!D59)</f>
        <v>69.5</v>
      </c>
      <c r="E59" s="49">
        <f>AVERAGE('01.08 Nakawa-Naguru-24h'!E59,'03.08 Nakawa-Naguru-24h'!E59)</f>
        <v>19.5</v>
      </c>
      <c r="F59" s="49">
        <f>AVERAGE('01.08 Nakawa-Naguru-24h'!F59,'03.08 Nakawa-Naguru-24h'!F59)</f>
        <v>0.5</v>
      </c>
      <c r="G59" s="49">
        <f>AVERAGE('01.08 Nakawa-Naguru-24h'!G59,'03.08 Nakawa-Naguru-24h'!G59)</f>
        <v>0</v>
      </c>
      <c r="H59" s="49">
        <f>AVERAGE('01.08 Nakawa-Naguru-24h'!H59,'03.08 Nakawa-Naguru-24h'!H59)</f>
        <v>0</v>
      </c>
      <c r="I59" s="49">
        <f>AVERAGE('01.08 Nakawa-Naguru-24h'!I59,'03.08 Nakawa-Naguru-24h'!I59)</f>
        <v>2</v>
      </c>
      <c r="J59" s="49">
        <f>AVERAGE('01.08 Nakawa-Naguru-24h'!J59,'03.08 Nakawa-Naguru-24h'!J59)</f>
        <v>2.5</v>
      </c>
      <c r="K59" s="49">
        <f>AVERAGE('01.08 Nakawa-Naguru-24h'!K59,'03.08 Nakawa-Naguru-24h'!K59)</f>
        <v>6</v>
      </c>
      <c r="L59" s="49">
        <f>AVERAGE('01.08 Nakawa-Naguru-24h'!L59,'03.08 Nakawa-Naguru-24h'!L59)</f>
        <v>1</v>
      </c>
      <c r="M59" s="49">
        <f>AVERAGE('01.08 Nakawa-Naguru-24h'!M59,'03.08 Nakawa-Naguru-24h'!M59)</f>
        <v>61.5</v>
      </c>
      <c r="N59" s="49">
        <f>AVERAGE('01.08 Nakawa-Naguru-24h'!N59,'03.08 Nakawa-Naguru-24h'!N59)</f>
        <v>0</v>
      </c>
      <c r="O59" s="15">
        <f t="shared" si="0"/>
        <v>188.5</v>
      </c>
      <c r="P59" s="15">
        <f t="shared" si="1"/>
        <v>250</v>
      </c>
      <c r="R59" s="8"/>
      <c r="T59"/>
    </row>
    <row r="60" spans="2:20" ht="23.1" customHeight="1" x14ac:dyDescent="0.25">
      <c r="B60" s="23" t="s">
        <v>101</v>
      </c>
      <c r="C60" s="49">
        <f>AVERAGE('01.08 Nakawa-Naguru-24h'!C60,'03.08 Nakawa-Naguru-24h'!C60)</f>
        <v>86.5</v>
      </c>
      <c r="D60" s="49">
        <f>AVERAGE('01.08 Nakawa-Naguru-24h'!D60,'03.08 Nakawa-Naguru-24h'!D60)</f>
        <v>33</v>
      </c>
      <c r="E60" s="49">
        <f>AVERAGE('01.08 Nakawa-Naguru-24h'!E60,'03.08 Nakawa-Naguru-24h'!E60)</f>
        <v>10</v>
      </c>
      <c r="F60" s="49">
        <f>AVERAGE('01.08 Nakawa-Naguru-24h'!F60,'03.08 Nakawa-Naguru-24h'!F60)</f>
        <v>2</v>
      </c>
      <c r="G60" s="49">
        <f>AVERAGE('01.08 Nakawa-Naguru-24h'!G60,'03.08 Nakawa-Naguru-24h'!G60)</f>
        <v>0</v>
      </c>
      <c r="H60" s="49">
        <f>AVERAGE('01.08 Nakawa-Naguru-24h'!H60,'03.08 Nakawa-Naguru-24h'!H60)</f>
        <v>0</v>
      </c>
      <c r="I60" s="49">
        <f>AVERAGE('01.08 Nakawa-Naguru-24h'!I60,'03.08 Nakawa-Naguru-24h'!I60)</f>
        <v>2.5</v>
      </c>
      <c r="J60" s="49">
        <f>AVERAGE('01.08 Nakawa-Naguru-24h'!J60,'03.08 Nakawa-Naguru-24h'!J60)</f>
        <v>1.5</v>
      </c>
      <c r="K60" s="49">
        <f>AVERAGE('01.08 Nakawa-Naguru-24h'!K60,'03.08 Nakawa-Naguru-24h'!K60)</f>
        <v>0</v>
      </c>
      <c r="L60" s="49">
        <f>AVERAGE('01.08 Nakawa-Naguru-24h'!L60,'03.08 Nakawa-Naguru-24h'!L60)</f>
        <v>0.5</v>
      </c>
      <c r="M60" s="49">
        <f>AVERAGE('01.08 Nakawa-Naguru-24h'!M60,'03.08 Nakawa-Naguru-24h'!M60)</f>
        <v>40.5</v>
      </c>
      <c r="N60" s="49">
        <f>AVERAGE('01.08 Nakawa-Naguru-24h'!N60,'03.08 Nakawa-Naguru-24h'!N60)</f>
        <v>0</v>
      </c>
      <c r="O60" s="15">
        <f t="shared" si="0"/>
        <v>136</v>
      </c>
      <c r="P60" s="15">
        <f t="shared" si="1"/>
        <v>176.5</v>
      </c>
      <c r="R60" s="8"/>
      <c r="T60"/>
    </row>
    <row r="61" spans="2:20" ht="23.1" customHeight="1" x14ac:dyDescent="0.25">
      <c r="B61" s="23" t="s">
        <v>102</v>
      </c>
      <c r="C61" s="49">
        <f>AVERAGE('01.08 Nakawa-Naguru-24h'!C61,'03.08 Nakawa-Naguru-24h'!C61)</f>
        <v>44</v>
      </c>
      <c r="D61" s="49">
        <f>AVERAGE('01.08 Nakawa-Naguru-24h'!D61,'03.08 Nakawa-Naguru-24h'!D61)</f>
        <v>53.5</v>
      </c>
      <c r="E61" s="49">
        <f>AVERAGE('01.08 Nakawa-Naguru-24h'!E61,'03.08 Nakawa-Naguru-24h'!E61)</f>
        <v>6.5</v>
      </c>
      <c r="F61" s="49">
        <f>AVERAGE('01.08 Nakawa-Naguru-24h'!F61,'03.08 Nakawa-Naguru-24h'!F61)</f>
        <v>12</v>
      </c>
      <c r="G61" s="49">
        <f>AVERAGE('01.08 Nakawa-Naguru-24h'!G61,'03.08 Nakawa-Naguru-24h'!G61)</f>
        <v>2</v>
      </c>
      <c r="H61" s="49">
        <f>AVERAGE('01.08 Nakawa-Naguru-24h'!H61,'03.08 Nakawa-Naguru-24h'!H61)</f>
        <v>0</v>
      </c>
      <c r="I61" s="49">
        <f>AVERAGE('01.08 Nakawa-Naguru-24h'!I61,'03.08 Nakawa-Naguru-24h'!I61)</f>
        <v>1</v>
      </c>
      <c r="J61" s="49">
        <f>AVERAGE('01.08 Nakawa-Naguru-24h'!J61,'03.08 Nakawa-Naguru-24h'!J61)</f>
        <v>2.5</v>
      </c>
      <c r="K61" s="49">
        <f>AVERAGE('01.08 Nakawa-Naguru-24h'!K61,'03.08 Nakawa-Naguru-24h'!K61)</f>
        <v>1</v>
      </c>
      <c r="L61" s="49">
        <f>AVERAGE('01.08 Nakawa-Naguru-24h'!L61,'03.08 Nakawa-Naguru-24h'!L61)</f>
        <v>0</v>
      </c>
      <c r="M61" s="49">
        <f>AVERAGE('01.08 Nakawa-Naguru-24h'!M61,'03.08 Nakawa-Naguru-24h'!M61)</f>
        <v>43.5</v>
      </c>
      <c r="N61" s="49">
        <f>AVERAGE('01.08 Nakawa-Naguru-24h'!N61,'03.08 Nakawa-Naguru-24h'!N61)</f>
        <v>0</v>
      </c>
      <c r="O61" s="15">
        <f t="shared" si="0"/>
        <v>122.5</v>
      </c>
      <c r="P61" s="15">
        <f t="shared" si="1"/>
        <v>166</v>
      </c>
      <c r="R61" s="8"/>
      <c r="T61"/>
    </row>
    <row r="62" spans="2:20" ht="23.1" customHeight="1" x14ac:dyDescent="0.25">
      <c r="B62" s="23" t="s">
        <v>107</v>
      </c>
      <c r="C62" s="49">
        <f>AVERAGE('01.08 Nakawa-Naguru-24h'!C62,'03.08 Nakawa-Naguru-24h'!C62)</f>
        <v>47.5</v>
      </c>
      <c r="D62" s="49">
        <f>AVERAGE('01.08 Nakawa-Naguru-24h'!D62,'03.08 Nakawa-Naguru-24h'!D62)</f>
        <v>33</v>
      </c>
      <c r="E62" s="49">
        <f>AVERAGE('01.08 Nakawa-Naguru-24h'!E62,'03.08 Nakawa-Naguru-24h'!E62)</f>
        <v>16</v>
      </c>
      <c r="F62" s="49">
        <f>AVERAGE('01.08 Nakawa-Naguru-24h'!F62,'03.08 Nakawa-Naguru-24h'!F62)</f>
        <v>0.5</v>
      </c>
      <c r="G62" s="49">
        <f>AVERAGE('01.08 Nakawa-Naguru-24h'!G62,'03.08 Nakawa-Naguru-24h'!G62)</f>
        <v>0</v>
      </c>
      <c r="H62" s="49">
        <f>AVERAGE('01.08 Nakawa-Naguru-24h'!H62,'03.08 Nakawa-Naguru-24h'!H62)</f>
        <v>1.5</v>
      </c>
      <c r="I62" s="49">
        <f>AVERAGE('01.08 Nakawa-Naguru-24h'!I62,'03.08 Nakawa-Naguru-24h'!I62)</f>
        <v>4</v>
      </c>
      <c r="J62" s="49">
        <f>AVERAGE('01.08 Nakawa-Naguru-24h'!J62,'03.08 Nakawa-Naguru-24h'!J62)</f>
        <v>1.5</v>
      </c>
      <c r="K62" s="49">
        <f>AVERAGE('01.08 Nakawa-Naguru-24h'!K62,'03.08 Nakawa-Naguru-24h'!K62)</f>
        <v>1</v>
      </c>
      <c r="L62" s="49">
        <f>AVERAGE('01.08 Nakawa-Naguru-24h'!L62,'03.08 Nakawa-Naguru-24h'!L62)</f>
        <v>0</v>
      </c>
      <c r="M62" s="49">
        <f>AVERAGE('01.08 Nakawa-Naguru-24h'!M62,'03.08 Nakawa-Naguru-24h'!M62)</f>
        <v>27.5</v>
      </c>
      <c r="N62" s="49">
        <f>AVERAGE('01.08 Nakawa-Naguru-24h'!N62,'03.08 Nakawa-Naguru-24h'!N62)</f>
        <v>0</v>
      </c>
      <c r="O62" s="15">
        <f t="shared" si="0"/>
        <v>105</v>
      </c>
      <c r="P62" s="15">
        <f t="shared" si="1"/>
        <v>132.5</v>
      </c>
      <c r="R62" s="8"/>
      <c r="T62"/>
    </row>
    <row r="63" spans="2:20" ht="23.1" customHeight="1" x14ac:dyDescent="0.25">
      <c r="B63" s="23" t="s">
        <v>108</v>
      </c>
      <c r="C63" s="49">
        <f>AVERAGE('01.08 Nakawa-Naguru-24h'!C63,'03.08 Nakawa-Naguru-24h'!C63)</f>
        <v>54</v>
      </c>
      <c r="D63" s="49">
        <f>AVERAGE('01.08 Nakawa-Naguru-24h'!D63,'03.08 Nakawa-Naguru-24h'!D63)</f>
        <v>37</v>
      </c>
      <c r="E63" s="49">
        <f>AVERAGE('01.08 Nakawa-Naguru-24h'!E63,'03.08 Nakawa-Naguru-24h'!E63)</f>
        <v>0.5</v>
      </c>
      <c r="F63" s="49">
        <f>AVERAGE('01.08 Nakawa-Naguru-24h'!F63,'03.08 Nakawa-Naguru-24h'!F63)</f>
        <v>1</v>
      </c>
      <c r="G63" s="49">
        <f>AVERAGE('01.08 Nakawa-Naguru-24h'!G63,'03.08 Nakawa-Naguru-24h'!G63)</f>
        <v>0</v>
      </c>
      <c r="H63" s="49">
        <f>AVERAGE('01.08 Nakawa-Naguru-24h'!H63,'03.08 Nakawa-Naguru-24h'!H63)</f>
        <v>2.5</v>
      </c>
      <c r="I63" s="49">
        <f>AVERAGE('01.08 Nakawa-Naguru-24h'!I63,'03.08 Nakawa-Naguru-24h'!I63)</f>
        <v>4</v>
      </c>
      <c r="J63" s="49">
        <f>AVERAGE('01.08 Nakawa-Naguru-24h'!J63,'03.08 Nakawa-Naguru-24h'!J63)</f>
        <v>0.5</v>
      </c>
      <c r="K63" s="49">
        <f>AVERAGE('01.08 Nakawa-Naguru-24h'!K63,'03.08 Nakawa-Naguru-24h'!K63)</f>
        <v>1</v>
      </c>
      <c r="L63" s="49">
        <f>AVERAGE('01.08 Nakawa-Naguru-24h'!L63,'03.08 Nakawa-Naguru-24h'!L63)</f>
        <v>0</v>
      </c>
      <c r="M63" s="49">
        <f>AVERAGE('01.08 Nakawa-Naguru-24h'!M63,'03.08 Nakawa-Naguru-24h'!M63)</f>
        <v>28</v>
      </c>
      <c r="N63" s="49">
        <f>AVERAGE('01.08 Nakawa-Naguru-24h'!N63,'03.08 Nakawa-Naguru-24h'!N63)</f>
        <v>0</v>
      </c>
      <c r="O63" s="15">
        <f t="shared" si="0"/>
        <v>100.5</v>
      </c>
      <c r="P63" s="15">
        <f t="shared" si="1"/>
        <v>128.5</v>
      </c>
      <c r="R63" s="8"/>
      <c r="T63"/>
    </row>
    <row r="64" spans="2:20" ht="23.1" customHeight="1" x14ac:dyDescent="0.25">
      <c r="B64" s="23" t="s">
        <v>109</v>
      </c>
      <c r="C64" s="49">
        <f>AVERAGE('01.08 Nakawa-Naguru-24h'!C64,'03.08 Nakawa-Naguru-24h'!C64)</f>
        <v>117.5</v>
      </c>
      <c r="D64" s="49">
        <f>AVERAGE('01.08 Nakawa-Naguru-24h'!D64,'03.08 Nakawa-Naguru-24h'!D64)</f>
        <v>50.5</v>
      </c>
      <c r="E64" s="49">
        <f>AVERAGE('01.08 Nakawa-Naguru-24h'!E64,'03.08 Nakawa-Naguru-24h'!E64)</f>
        <v>28</v>
      </c>
      <c r="F64" s="49">
        <f>AVERAGE('01.08 Nakawa-Naguru-24h'!F64,'03.08 Nakawa-Naguru-24h'!F64)</f>
        <v>25.5</v>
      </c>
      <c r="G64" s="49">
        <f>AVERAGE('01.08 Nakawa-Naguru-24h'!G64,'03.08 Nakawa-Naguru-24h'!G64)</f>
        <v>0</v>
      </c>
      <c r="H64" s="49">
        <f>AVERAGE('01.08 Nakawa-Naguru-24h'!H64,'03.08 Nakawa-Naguru-24h'!H64)</f>
        <v>5</v>
      </c>
      <c r="I64" s="49">
        <f>AVERAGE('01.08 Nakawa-Naguru-24h'!I64,'03.08 Nakawa-Naguru-24h'!I64)</f>
        <v>2.5</v>
      </c>
      <c r="J64" s="49">
        <f>AVERAGE('01.08 Nakawa-Naguru-24h'!J64,'03.08 Nakawa-Naguru-24h'!J64)</f>
        <v>0.5</v>
      </c>
      <c r="K64" s="49">
        <f>AVERAGE('01.08 Nakawa-Naguru-24h'!K64,'03.08 Nakawa-Naguru-24h'!K64)</f>
        <v>1</v>
      </c>
      <c r="L64" s="49">
        <f>AVERAGE('01.08 Nakawa-Naguru-24h'!L64,'03.08 Nakawa-Naguru-24h'!L64)</f>
        <v>0</v>
      </c>
      <c r="M64" s="49">
        <f>AVERAGE('01.08 Nakawa-Naguru-24h'!M64,'03.08 Nakawa-Naguru-24h'!M64)</f>
        <v>18.5</v>
      </c>
      <c r="N64" s="49">
        <f>AVERAGE('01.08 Nakawa-Naguru-24h'!N64,'03.08 Nakawa-Naguru-24h'!N64)</f>
        <v>0</v>
      </c>
      <c r="O64" s="15">
        <f t="shared" si="0"/>
        <v>230.5</v>
      </c>
      <c r="P64" s="15">
        <f t="shared" si="1"/>
        <v>249</v>
      </c>
      <c r="R64" s="8"/>
      <c r="T64"/>
    </row>
    <row r="65" spans="2:20" ht="23.1" customHeight="1" x14ac:dyDescent="0.25">
      <c r="B65" s="23" t="s">
        <v>158</v>
      </c>
      <c r="C65" s="49">
        <f>AVERAGE('01.08 Nakawa-Naguru-24h'!C65,'03.08 Nakawa-Naguru-24h'!C65)</f>
        <v>67.5</v>
      </c>
      <c r="D65" s="49">
        <f>AVERAGE('01.08 Nakawa-Naguru-24h'!D65,'03.08 Nakawa-Naguru-24h'!D65)</f>
        <v>69</v>
      </c>
      <c r="E65" s="49">
        <f>AVERAGE('01.08 Nakawa-Naguru-24h'!E65,'03.08 Nakawa-Naguru-24h'!E65)</f>
        <v>10.5</v>
      </c>
      <c r="F65" s="49">
        <f>AVERAGE('01.08 Nakawa-Naguru-24h'!F65,'03.08 Nakawa-Naguru-24h'!F65)</f>
        <v>1.5</v>
      </c>
      <c r="G65" s="49">
        <f>AVERAGE('01.08 Nakawa-Naguru-24h'!G65,'03.08 Nakawa-Naguru-24h'!G65)</f>
        <v>7.5</v>
      </c>
      <c r="H65" s="49">
        <f>AVERAGE('01.08 Nakawa-Naguru-24h'!H65,'03.08 Nakawa-Naguru-24h'!H65)</f>
        <v>0</v>
      </c>
      <c r="I65" s="49">
        <f>AVERAGE('01.08 Nakawa-Naguru-24h'!I65,'03.08 Nakawa-Naguru-24h'!I65)</f>
        <v>5.5</v>
      </c>
      <c r="J65" s="49">
        <f>AVERAGE('01.08 Nakawa-Naguru-24h'!J65,'03.08 Nakawa-Naguru-24h'!J65)</f>
        <v>1</v>
      </c>
      <c r="K65" s="49">
        <f>AVERAGE('01.08 Nakawa-Naguru-24h'!K65,'03.08 Nakawa-Naguru-24h'!K65)</f>
        <v>0.5</v>
      </c>
      <c r="L65" s="49">
        <f>AVERAGE('01.08 Nakawa-Naguru-24h'!L65,'03.08 Nakawa-Naguru-24h'!L65)</f>
        <v>0</v>
      </c>
      <c r="M65" s="49">
        <f>AVERAGE('01.08 Nakawa-Naguru-24h'!M65,'03.08 Nakawa-Naguru-24h'!M65)</f>
        <v>23</v>
      </c>
      <c r="N65" s="49">
        <f>AVERAGE('01.08 Nakawa-Naguru-24h'!N65,'03.08 Nakawa-Naguru-24h'!N65)</f>
        <v>0</v>
      </c>
      <c r="O65" s="15">
        <f t="shared" si="0"/>
        <v>163</v>
      </c>
      <c r="P65" s="15">
        <f t="shared" si="1"/>
        <v>186</v>
      </c>
      <c r="R65" s="8"/>
      <c r="T65"/>
    </row>
    <row r="66" spans="2:20" ht="23.1" customHeight="1" x14ac:dyDescent="0.25">
      <c r="B66" s="23" t="s">
        <v>103</v>
      </c>
      <c r="C66" s="49">
        <f>AVERAGE('01.08 Nakawa-Naguru-24h'!C66,'03.08 Nakawa-Naguru-24h'!C66)</f>
        <v>76</v>
      </c>
      <c r="D66" s="49">
        <f>AVERAGE('01.08 Nakawa-Naguru-24h'!D66,'03.08 Nakawa-Naguru-24h'!D66)</f>
        <v>60</v>
      </c>
      <c r="E66" s="49">
        <f>AVERAGE('01.08 Nakawa-Naguru-24h'!E66,'03.08 Nakawa-Naguru-24h'!E66)</f>
        <v>7</v>
      </c>
      <c r="F66" s="49">
        <f>AVERAGE('01.08 Nakawa-Naguru-24h'!F66,'03.08 Nakawa-Naguru-24h'!F66)</f>
        <v>2.5</v>
      </c>
      <c r="G66" s="49">
        <f>AVERAGE('01.08 Nakawa-Naguru-24h'!G66,'03.08 Nakawa-Naguru-24h'!G66)</f>
        <v>0</v>
      </c>
      <c r="H66" s="49">
        <f>AVERAGE('01.08 Nakawa-Naguru-24h'!H66,'03.08 Nakawa-Naguru-24h'!H66)</f>
        <v>0</v>
      </c>
      <c r="I66" s="49">
        <f>AVERAGE('01.08 Nakawa-Naguru-24h'!I66,'03.08 Nakawa-Naguru-24h'!I66)</f>
        <v>1.5</v>
      </c>
      <c r="J66" s="49">
        <f>AVERAGE('01.08 Nakawa-Naguru-24h'!J66,'03.08 Nakawa-Naguru-24h'!J66)</f>
        <v>0</v>
      </c>
      <c r="K66" s="49">
        <f>AVERAGE('01.08 Nakawa-Naguru-24h'!K66,'03.08 Nakawa-Naguru-24h'!K66)</f>
        <v>0</v>
      </c>
      <c r="L66" s="49">
        <f>AVERAGE('01.08 Nakawa-Naguru-24h'!L66,'03.08 Nakawa-Naguru-24h'!L66)</f>
        <v>0</v>
      </c>
      <c r="M66" s="49">
        <f>AVERAGE('01.08 Nakawa-Naguru-24h'!M66,'03.08 Nakawa-Naguru-24h'!M66)</f>
        <v>12.5</v>
      </c>
      <c r="N66" s="49">
        <f>AVERAGE('01.08 Nakawa-Naguru-24h'!N66,'03.08 Nakawa-Naguru-24h'!N66)</f>
        <v>0</v>
      </c>
      <c r="O66" s="15">
        <f t="shared" si="0"/>
        <v>147</v>
      </c>
      <c r="P66" s="15">
        <f t="shared" si="1"/>
        <v>159.5</v>
      </c>
      <c r="R66" s="8"/>
      <c r="T66"/>
    </row>
    <row r="67" spans="2:20" ht="23.1" customHeight="1" x14ac:dyDescent="0.25">
      <c r="B67" s="23" t="s">
        <v>104</v>
      </c>
      <c r="C67" s="49">
        <f>AVERAGE('01.08 Nakawa-Naguru-24h'!C67,'03.08 Nakawa-Naguru-24h'!C67)</f>
        <v>70.5</v>
      </c>
      <c r="D67" s="49">
        <f>AVERAGE('01.08 Nakawa-Naguru-24h'!D67,'03.08 Nakawa-Naguru-24h'!D67)</f>
        <v>25</v>
      </c>
      <c r="E67" s="49">
        <f>AVERAGE('01.08 Nakawa-Naguru-24h'!E67,'03.08 Nakawa-Naguru-24h'!E67)</f>
        <v>5</v>
      </c>
      <c r="F67" s="49">
        <f>AVERAGE('01.08 Nakawa-Naguru-24h'!F67,'03.08 Nakawa-Naguru-24h'!F67)</f>
        <v>5.5</v>
      </c>
      <c r="G67" s="49">
        <f>AVERAGE('01.08 Nakawa-Naguru-24h'!G67,'03.08 Nakawa-Naguru-24h'!G67)</f>
        <v>0</v>
      </c>
      <c r="H67" s="49">
        <f>AVERAGE('01.08 Nakawa-Naguru-24h'!H67,'03.08 Nakawa-Naguru-24h'!H67)</f>
        <v>3</v>
      </c>
      <c r="I67" s="49">
        <f>AVERAGE('01.08 Nakawa-Naguru-24h'!I67,'03.08 Nakawa-Naguru-24h'!I67)</f>
        <v>2.5</v>
      </c>
      <c r="J67" s="49">
        <f>AVERAGE('01.08 Nakawa-Naguru-24h'!J67,'03.08 Nakawa-Naguru-24h'!J67)</f>
        <v>0</v>
      </c>
      <c r="K67" s="49">
        <f>AVERAGE('01.08 Nakawa-Naguru-24h'!K67,'03.08 Nakawa-Naguru-24h'!K67)</f>
        <v>1.5</v>
      </c>
      <c r="L67" s="49">
        <f>AVERAGE('01.08 Nakawa-Naguru-24h'!L67,'03.08 Nakawa-Naguru-24h'!L67)</f>
        <v>0</v>
      </c>
      <c r="M67" s="49">
        <f>AVERAGE('01.08 Nakawa-Naguru-24h'!M67,'03.08 Nakawa-Naguru-24h'!M67)</f>
        <v>17</v>
      </c>
      <c r="N67" s="49">
        <f>AVERAGE('01.08 Nakawa-Naguru-24h'!N67,'03.08 Nakawa-Naguru-24h'!N67)</f>
        <v>0</v>
      </c>
      <c r="O67" s="15">
        <f t="shared" si="0"/>
        <v>113</v>
      </c>
      <c r="P67" s="15">
        <f t="shared" si="1"/>
        <v>130</v>
      </c>
      <c r="R67" s="8"/>
      <c r="T67"/>
    </row>
    <row r="68" spans="2:20" ht="23.1" customHeight="1" x14ac:dyDescent="0.25">
      <c r="B68" s="23" t="s">
        <v>105</v>
      </c>
      <c r="C68" s="49">
        <f>AVERAGE('01.08 Nakawa-Naguru-24h'!C68,'03.08 Nakawa-Naguru-24h'!C68)</f>
        <v>77.5</v>
      </c>
      <c r="D68" s="49">
        <f>AVERAGE('01.08 Nakawa-Naguru-24h'!D68,'03.08 Nakawa-Naguru-24h'!D68)</f>
        <v>20</v>
      </c>
      <c r="E68" s="49">
        <f>AVERAGE('01.08 Nakawa-Naguru-24h'!E68,'03.08 Nakawa-Naguru-24h'!E68)</f>
        <v>9.5</v>
      </c>
      <c r="F68" s="49">
        <f>AVERAGE('01.08 Nakawa-Naguru-24h'!F68,'03.08 Nakawa-Naguru-24h'!F68)</f>
        <v>0</v>
      </c>
      <c r="G68" s="49">
        <f>AVERAGE('01.08 Nakawa-Naguru-24h'!G68,'03.08 Nakawa-Naguru-24h'!G68)</f>
        <v>0</v>
      </c>
      <c r="H68" s="49">
        <f>AVERAGE('01.08 Nakawa-Naguru-24h'!H68,'03.08 Nakawa-Naguru-24h'!H68)</f>
        <v>1</v>
      </c>
      <c r="I68" s="49">
        <f>AVERAGE('01.08 Nakawa-Naguru-24h'!I68,'03.08 Nakawa-Naguru-24h'!I68)</f>
        <v>2.5</v>
      </c>
      <c r="J68" s="49">
        <f>AVERAGE('01.08 Nakawa-Naguru-24h'!J68,'03.08 Nakawa-Naguru-24h'!J68)</f>
        <v>0.5</v>
      </c>
      <c r="K68" s="49">
        <f>AVERAGE('01.08 Nakawa-Naguru-24h'!K68,'03.08 Nakawa-Naguru-24h'!K68)</f>
        <v>0</v>
      </c>
      <c r="L68" s="49">
        <f>AVERAGE('01.08 Nakawa-Naguru-24h'!L68,'03.08 Nakawa-Naguru-24h'!L68)</f>
        <v>0</v>
      </c>
      <c r="M68" s="49">
        <f>AVERAGE('01.08 Nakawa-Naguru-24h'!M68,'03.08 Nakawa-Naguru-24h'!M68)</f>
        <v>9</v>
      </c>
      <c r="N68" s="49">
        <f>AVERAGE('01.08 Nakawa-Naguru-24h'!N68,'03.08 Nakawa-Naguru-24h'!N68)</f>
        <v>0</v>
      </c>
      <c r="O68" s="15">
        <f t="shared" si="0"/>
        <v>111</v>
      </c>
      <c r="P68" s="15">
        <f t="shared" si="1"/>
        <v>120</v>
      </c>
      <c r="R68" s="8"/>
      <c r="T68"/>
    </row>
    <row r="69" spans="2:20" ht="23.1" customHeight="1" x14ac:dyDescent="0.25">
      <c r="B69" s="23" t="s">
        <v>106</v>
      </c>
      <c r="C69" s="49">
        <f>AVERAGE('01.08 Nakawa-Naguru-24h'!C69,'03.08 Nakawa-Naguru-24h'!C69)</f>
        <v>55</v>
      </c>
      <c r="D69" s="49">
        <f>AVERAGE('01.08 Nakawa-Naguru-24h'!D69,'03.08 Nakawa-Naguru-24h'!D69)</f>
        <v>51</v>
      </c>
      <c r="E69" s="49">
        <f>AVERAGE('01.08 Nakawa-Naguru-24h'!E69,'03.08 Nakawa-Naguru-24h'!E69)</f>
        <v>1.5</v>
      </c>
      <c r="F69" s="49">
        <f>AVERAGE('01.08 Nakawa-Naguru-24h'!F69,'03.08 Nakawa-Naguru-24h'!F69)</f>
        <v>0.5</v>
      </c>
      <c r="G69" s="49">
        <f>AVERAGE('01.08 Nakawa-Naguru-24h'!G69,'03.08 Nakawa-Naguru-24h'!G69)</f>
        <v>0</v>
      </c>
      <c r="H69" s="49">
        <f>AVERAGE('01.08 Nakawa-Naguru-24h'!H69,'03.08 Nakawa-Naguru-24h'!H69)</f>
        <v>0</v>
      </c>
      <c r="I69" s="49">
        <f>AVERAGE('01.08 Nakawa-Naguru-24h'!I69,'03.08 Nakawa-Naguru-24h'!I69)</f>
        <v>2</v>
      </c>
      <c r="J69" s="49">
        <f>AVERAGE('01.08 Nakawa-Naguru-24h'!J69,'03.08 Nakawa-Naguru-24h'!J69)</f>
        <v>1</v>
      </c>
      <c r="K69" s="49">
        <f>AVERAGE('01.08 Nakawa-Naguru-24h'!K69,'03.08 Nakawa-Naguru-24h'!K69)</f>
        <v>0.5</v>
      </c>
      <c r="L69" s="49">
        <f>AVERAGE('01.08 Nakawa-Naguru-24h'!L69,'03.08 Nakawa-Naguru-24h'!L69)</f>
        <v>0</v>
      </c>
      <c r="M69" s="49">
        <f>AVERAGE('01.08 Nakawa-Naguru-24h'!M69,'03.08 Nakawa-Naguru-24h'!M69)</f>
        <v>7.5</v>
      </c>
      <c r="N69" s="49">
        <f>AVERAGE('01.08 Nakawa-Naguru-24h'!N69,'03.08 Nakawa-Naguru-24h'!N69)</f>
        <v>0</v>
      </c>
      <c r="O69" s="15">
        <f t="shared" si="0"/>
        <v>111.5</v>
      </c>
      <c r="P69" s="15">
        <f t="shared" si="1"/>
        <v>119</v>
      </c>
      <c r="R69" s="8"/>
      <c r="T69"/>
    </row>
    <row r="70" spans="2:20" ht="23.1" customHeight="1" x14ac:dyDescent="0.25">
      <c r="B70" s="23" t="s">
        <v>110</v>
      </c>
      <c r="C70" s="49">
        <f>AVERAGE('01.08 Nakawa-Naguru-24h'!C70,'03.08 Nakawa-Naguru-24h'!C70)</f>
        <v>39.5</v>
      </c>
      <c r="D70" s="49">
        <f>AVERAGE('01.08 Nakawa-Naguru-24h'!D70,'03.08 Nakawa-Naguru-24h'!D70)</f>
        <v>28.5</v>
      </c>
      <c r="E70" s="49">
        <f>AVERAGE('01.08 Nakawa-Naguru-24h'!E70,'03.08 Nakawa-Naguru-24h'!E70)</f>
        <v>5.5</v>
      </c>
      <c r="F70" s="49">
        <f>AVERAGE('01.08 Nakawa-Naguru-24h'!F70,'03.08 Nakawa-Naguru-24h'!F70)</f>
        <v>4.5</v>
      </c>
      <c r="G70" s="49">
        <f>AVERAGE('01.08 Nakawa-Naguru-24h'!G70,'03.08 Nakawa-Naguru-24h'!G70)</f>
        <v>0</v>
      </c>
      <c r="H70" s="49">
        <f>AVERAGE('01.08 Nakawa-Naguru-24h'!H70,'03.08 Nakawa-Naguru-24h'!H70)</f>
        <v>0</v>
      </c>
      <c r="I70" s="49">
        <f>AVERAGE('01.08 Nakawa-Naguru-24h'!I70,'03.08 Nakawa-Naguru-24h'!I70)</f>
        <v>1</v>
      </c>
      <c r="J70" s="49">
        <f>AVERAGE('01.08 Nakawa-Naguru-24h'!J70,'03.08 Nakawa-Naguru-24h'!J70)</f>
        <v>0</v>
      </c>
      <c r="K70" s="49">
        <f>AVERAGE('01.08 Nakawa-Naguru-24h'!K70,'03.08 Nakawa-Naguru-24h'!K70)</f>
        <v>0.5</v>
      </c>
      <c r="L70" s="49">
        <f>AVERAGE('01.08 Nakawa-Naguru-24h'!L70,'03.08 Nakawa-Naguru-24h'!L70)</f>
        <v>0</v>
      </c>
      <c r="M70" s="49">
        <f>AVERAGE('01.08 Nakawa-Naguru-24h'!M70,'03.08 Nakawa-Naguru-24h'!M70)</f>
        <v>8</v>
      </c>
      <c r="N70" s="49">
        <f>AVERAGE('01.08 Nakawa-Naguru-24h'!N70,'03.08 Nakawa-Naguru-24h'!N70)</f>
        <v>0</v>
      </c>
      <c r="O70" s="15">
        <f t="shared" si="0"/>
        <v>79.5</v>
      </c>
      <c r="P70" s="15">
        <f t="shared" si="1"/>
        <v>87.5</v>
      </c>
      <c r="R70" s="8"/>
      <c r="T70"/>
    </row>
    <row r="71" spans="2:20" ht="23.1" customHeight="1" x14ac:dyDescent="0.25">
      <c r="B71" s="23" t="s">
        <v>111</v>
      </c>
      <c r="C71" s="49">
        <f>AVERAGE('01.08 Nakawa-Naguru-24h'!C71,'03.08 Nakawa-Naguru-24h'!C71)</f>
        <v>50</v>
      </c>
      <c r="D71" s="49">
        <f>AVERAGE('01.08 Nakawa-Naguru-24h'!D71,'03.08 Nakawa-Naguru-24h'!D71)</f>
        <v>12</v>
      </c>
      <c r="E71" s="49">
        <f>AVERAGE('01.08 Nakawa-Naguru-24h'!E71,'03.08 Nakawa-Naguru-24h'!E71)</f>
        <v>2</v>
      </c>
      <c r="F71" s="49">
        <f>AVERAGE('01.08 Nakawa-Naguru-24h'!F71,'03.08 Nakawa-Naguru-24h'!F71)</f>
        <v>0.5</v>
      </c>
      <c r="G71" s="49">
        <f>AVERAGE('01.08 Nakawa-Naguru-24h'!G71,'03.08 Nakawa-Naguru-24h'!G71)</f>
        <v>0</v>
      </c>
      <c r="H71" s="49">
        <f>AVERAGE('01.08 Nakawa-Naguru-24h'!H71,'03.08 Nakawa-Naguru-24h'!H71)</f>
        <v>0</v>
      </c>
      <c r="I71" s="49">
        <f>AVERAGE('01.08 Nakawa-Naguru-24h'!I71,'03.08 Nakawa-Naguru-24h'!I71)</f>
        <v>0</v>
      </c>
      <c r="J71" s="49">
        <f>AVERAGE('01.08 Nakawa-Naguru-24h'!J71,'03.08 Nakawa-Naguru-24h'!J71)</f>
        <v>0</v>
      </c>
      <c r="K71" s="49">
        <f>AVERAGE('01.08 Nakawa-Naguru-24h'!K71,'03.08 Nakawa-Naguru-24h'!K71)</f>
        <v>0</v>
      </c>
      <c r="L71" s="49">
        <f>AVERAGE('01.08 Nakawa-Naguru-24h'!L71,'03.08 Nakawa-Naguru-24h'!L71)</f>
        <v>0</v>
      </c>
      <c r="M71" s="49">
        <f>AVERAGE('01.08 Nakawa-Naguru-24h'!M71,'03.08 Nakawa-Naguru-24h'!M71)</f>
        <v>3.5</v>
      </c>
      <c r="N71" s="49">
        <f>AVERAGE('01.08 Nakawa-Naguru-24h'!N71,'03.08 Nakawa-Naguru-24h'!N71)</f>
        <v>0</v>
      </c>
      <c r="O71" s="15">
        <f t="shared" si="0"/>
        <v>64.5</v>
      </c>
      <c r="P71" s="15">
        <f t="shared" si="1"/>
        <v>68</v>
      </c>
      <c r="R71" s="8"/>
      <c r="T71"/>
    </row>
    <row r="72" spans="2:20" ht="23.1" customHeight="1" x14ac:dyDescent="0.25">
      <c r="B72" s="23" t="s">
        <v>112</v>
      </c>
      <c r="C72" s="49">
        <f>AVERAGE('01.08 Nakawa-Naguru-24h'!C72,'03.08 Nakawa-Naguru-24h'!C72)</f>
        <v>70.5</v>
      </c>
      <c r="D72" s="49">
        <f>AVERAGE('01.08 Nakawa-Naguru-24h'!D72,'03.08 Nakawa-Naguru-24h'!D72)</f>
        <v>17</v>
      </c>
      <c r="E72" s="49">
        <f>AVERAGE('01.08 Nakawa-Naguru-24h'!E72,'03.08 Nakawa-Naguru-24h'!E72)</f>
        <v>1.5</v>
      </c>
      <c r="F72" s="49">
        <f>AVERAGE('01.08 Nakawa-Naguru-24h'!F72,'03.08 Nakawa-Naguru-24h'!F72)</f>
        <v>0</v>
      </c>
      <c r="G72" s="49">
        <f>AVERAGE('01.08 Nakawa-Naguru-24h'!G72,'03.08 Nakawa-Naguru-24h'!G72)</f>
        <v>0</v>
      </c>
      <c r="H72" s="49">
        <f>AVERAGE('01.08 Nakawa-Naguru-24h'!H72,'03.08 Nakawa-Naguru-24h'!H72)</f>
        <v>0</v>
      </c>
      <c r="I72" s="49">
        <f>AVERAGE('01.08 Nakawa-Naguru-24h'!I72,'03.08 Nakawa-Naguru-24h'!I72)</f>
        <v>1</v>
      </c>
      <c r="J72" s="49">
        <f>AVERAGE('01.08 Nakawa-Naguru-24h'!J72,'03.08 Nakawa-Naguru-24h'!J72)</f>
        <v>0</v>
      </c>
      <c r="K72" s="49">
        <f>AVERAGE('01.08 Nakawa-Naguru-24h'!K72,'03.08 Nakawa-Naguru-24h'!K72)</f>
        <v>0.5</v>
      </c>
      <c r="L72" s="49">
        <f>AVERAGE('01.08 Nakawa-Naguru-24h'!L72,'03.08 Nakawa-Naguru-24h'!L72)</f>
        <v>0</v>
      </c>
      <c r="M72" s="49">
        <f>AVERAGE('01.08 Nakawa-Naguru-24h'!M72,'03.08 Nakawa-Naguru-24h'!M72)</f>
        <v>10</v>
      </c>
      <c r="N72" s="49">
        <f>AVERAGE('01.08 Nakawa-Naguru-24h'!N72,'03.08 Nakawa-Naguru-24h'!N72)</f>
        <v>0</v>
      </c>
      <c r="O72" s="15">
        <f t="shared" si="0"/>
        <v>90.5</v>
      </c>
      <c r="P72" s="15">
        <f t="shared" si="1"/>
        <v>100.5</v>
      </c>
      <c r="R72" s="8"/>
      <c r="T72"/>
    </row>
    <row r="73" spans="2:20" ht="23.1" customHeight="1" x14ac:dyDescent="0.25">
      <c r="B73" s="23" t="s">
        <v>113</v>
      </c>
      <c r="C73" s="49">
        <f>AVERAGE('01.08 Nakawa-Naguru-24h'!C73,'03.08 Nakawa-Naguru-24h'!C73)</f>
        <v>70</v>
      </c>
      <c r="D73" s="49">
        <f>AVERAGE('01.08 Nakawa-Naguru-24h'!D73,'03.08 Nakawa-Naguru-24h'!D73)</f>
        <v>21.5</v>
      </c>
      <c r="E73" s="49">
        <f>AVERAGE('01.08 Nakawa-Naguru-24h'!E73,'03.08 Nakawa-Naguru-24h'!E73)</f>
        <v>4</v>
      </c>
      <c r="F73" s="49">
        <f>AVERAGE('01.08 Nakawa-Naguru-24h'!F73,'03.08 Nakawa-Naguru-24h'!F73)</f>
        <v>5</v>
      </c>
      <c r="G73" s="49">
        <f>AVERAGE('01.08 Nakawa-Naguru-24h'!G73,'03.08 Nakawa-Naguru-24h'!G73)</f>
        <v>4</v>
      </c>
      <c r="H73" s="49">
        <f>AVERAGE('01.08 Nakawa-Naguru-24h'!H73,'03.08 Nakawa-Naguru-24h'!H73)</f>
        <v>0</v>
      </c>
      <c r="I73" s="49">
        <f>AVERAGE('01.08 Nakawa-Naguru-24h'!I73,'03.08 Nakawa-Naguru-24h'!I73)</f>
        <v>1</v>
      </c>
      <c r="J73" s="49">
        <f>AVERAGE('01.08 Nakawa-Naguru-24h'!J73,'03.08 Nakawa-Naguru-24h'!J73)</f>
        <v>0</v>
      </c>
      <c r="K73" s="49">
        <f>AVERAGE('01.08 Nakawa-Naguru-24h'!K73,'03.08 Nakawa-Naguru-24h'!K73)</f>
        <v>0</v>
      </c>
      <c r="L73" s="49">
        <f>AVERAGE('01.08 Nakawa-Naguru-24h'!L73,'03.08 Nakawa-Naguru-24h'!L73)</f>
        <v>0</v>
      </c>
      <c r="M73" s="49">
        <f>AVERAGE('01.08 Nakawa-Naguru-24h'!M73,'03.08 Nakawa-Naguru-24h'!M73)</f>
        <v>7.5</v>
      </c>
      <c r="N73" s="49">
        <f>AVERAGE('01.08 Nakawa-Naguru-24h'!N73,'03.08 Nakawa-Naguru-24h'!N73)</f>
        <v>0</v>
      </c>
      <c r="O73" s="15">
        <f t="shared" si="0"/>
        <v>105.5</v>
      </c>
      <c r="P73" s="15">
        <f t="shared" si="1"/>
        <v>113</v>
      </c>
      <c r="R73" s="8"/>
      <c r="T73"/>
    </row>
    <row r="74" spans="2:20" ht="23.1" customHeight="1" x14ac:dyDescent="0.25">
      <c r="B74" s="23" t="s">
        <v>114</v>
      </c>
      <c r="C74" s="49">
        <f>AVERAGE('01.08 Nakawa-Naguru-24h'!C74,'03.08 Nakawa-Naguru-24h'!C74)</f>
        <v>63</v>
      </c>
      <c r="D74" s="49">
        <f>AVERAGE('01.08 Nakawa-Naguru-24h'!D74,'03.08 Nakawa-Naguru-24h'!D74)</f>
        <v>27.5</v>
      </c>
      <c r="E74" s="49">
        <f>AVERAGE('01.08 Nakawa-Naguru-24h'!E74,'03.08 Nakawa-Naguru-24h'!E74)</f>
        <v>4</v>
      </c>
      <c r="F74" s="49">
        <f>AVERAGE('01.08 Nakawa-Naguru-24h'!F74,'03.08 Nakawa-Naguru-24h'!F74)</f>
        <v>0</v>
      </c>
      <c r="G74" s="49">
        <f>AVERAGE('01.08 Nakawa-Naguru-24h'!G74,'03.08 Nakawa-Naguru-24h'!G74)</f>
        <v>0</v>
      </c>
      <c r="H74" s="49">
        <f>AVERAGE('01.08 Nakawa-Naguru-24h'!H74,'03.08 Nakawa-Naguru-24h'!H74)</f>
        <v>0.5</v>
      </c>
      <c r="I74" s="49">
        <f>AVERAGE('01.08 Nakawa-Naguru-24h'!I74,'03.08 Nakawa-Naguru-24h'!I74)</f>
        <v>0.5</v>
      </c>
      <c r="J74" s="49">
        <f>AVERAGE('01.08 Nakawa-Naguru-24h'!J74,'03.08 Nakawa-Naguru-24h'!J74)</f>
        <v>0</v>
      </c>
      <c r="K74" s="49">
        <f>AVERAGE('01.08 Nakawa-Naguru-24h'!K74,'03.08 Nakawa-Naguru-24h'!K74)</f>
        <v>0</v>
      </c>
      <c r="L74" s="49">
        <f>AVERAGE('01.08 Nakawa-Naguru-24h'!L74,'03.08 Nakawa-Naguru-24h'!L74)</f>
        <v>0</v>
      </c>
      <c r="M74" s="49">
        <f>AVERAGE('01.08 Nakawa-Naguru-24h'!M74,'03.08 Nakawa-Naguru-24h'!M74)</f>
        <v>4</v>
      </c>
      <c r="N74" s="49">
        <f>AVERAGE('01.08 Nakawa-Naguru-24h'!N74,'03.08 Nakawa-Naguru-24h'!N74)</f>
        <v>0</v>
      </c>
      <c r="O74" s="15">
        <f t="shared" ref="O74:O105" si="35">SUM(C74:L74,N74)</f>
        <v>95.5</v>
      </c>
      <c r="P74" s="15">
        <f t="shared" ref="P74:P105" si="36">SUM(C74:N74)</f>
        <v>99.5</v>
      </c>
      <c r="R74" s="8"/>
      <c r="T74"/>
    </row>
    <row r="75" spans="2:20" ht="23.1" customHeight="1" x14ac:dyDescent="0.25">
      <c r="B75" s="23" t="s">
        <v>115</v>
      </c>
      <c r="C75" s="49">
        <f>AVERAGE('01.08 Nakawa-Naguru-24h'!C75,'03.08 Nakawa-Naguru-24h'!C75)</f>
        <v>74</v>
      </c>
      <c r="D75" s="49">
        <f>AVERAGE('01.08 Nakawa-Naguru-24h'!D75,'03.08 Nakawa-Naguru-24h'!D75)</f>
        <v>25.5</v>
      </c>
      <c r="E75" s="49">
        <f>AVERAGE('01.08 Nakawa-Naguru-24h'!E75,'03.08 Nakawa-Naguru-24h'!E75)</f>
        <v>4</v>
      </c>
      <c r="F75" s="49">
        <f>AVERAGE('01.08 Nakawa-Naguru-24h'!F75,'03.08 Nakawa-Naguru-24h'!F75)</f>
        <v>2.5</v>
      </c>
      <c r="G75" s="49">
        <f>AVERAGE('01.08 Nakawa-Naguru-24h'!G75,'03.08 Nakawa-Naguru-24h'!G75)</f>
        <v>0</v>
      </c>
      <c r="H75" s="49">
        <f>AVERAGE('01.08 Nakawa-Naguru-24h'!H75,'03.08 Nakawa-Naguru-24h'!H75)</f>
        <v>0.5</v>
      </c>
      <c r="I75" s="49">
        <f>AVERAGE('01.08 Nakawa-Naguru-24h'!I75,'03.08 Nakawa-Naguru-24h'!I75)</f>
        <v>0.5</v>
      </c>
      <c r="J75" s="49">
        <f>AVERAGE('01.08 Nakawa-Naguru-24h'!J75,'03.08 Nakawa-Naguru-24h'!J75)</f>
        <v>0</v>
      </c>
      <c r="K75" s="49">
        <f>AVERAGE('01.08 Nakawa-Naguru-24h'!K75,'03.08 Nakawa-Naguru-24h'!K75)</f>
        <v>0</v>
      </c>
      <c r="L75" s="49">
        <f>AVERAGE('01.08 Nakawa-Naguru-24h'!L75,'03.08 Nakawa-Naguru-24h'!L75)</f>
        <v>0</v>
      </c>
      <c r="M75" s="49">
        <f>AVERAGE('01.08 Nakawa-Naguru-24h'!M75,'03.08 Nakawa-Naguru-24h'!M75)</f>
        <v>7</v>
      </c>
      <c r="N75" s="49">
        <f>AVERAGE('01.08 Nakawa-Naguru-24h'!N75,'03.08 Nakawa-Naguru-24h'!N75)</f>
        <v>0</v>
      </c>
      <c r="O75" s="15">
        <f t="shared" si="35"/>
        <v>107</v>
      </c>
      <c r="P75" s="15">
        <f t="shared" si="36"/>
        <v>114</v>
      </c>
      <c r="R75" s="8"/>
      <c r="T75"/>
    </row>
    <row r="76" spans="2:20" ht="23.1" customHeight="1" x14ac:dyDescent="0.25">
      <c r="B76" s="23" t="s">
        <v>116</v>
      </c>
      <c r="C76" s="49">
        <f>AVERAGE('01.08 Nakawa-Naguru-24h'!C76,'03.08 Nakawa-Naguru-24h'!C76)</f>
        <v>41.5</v>
      </c>
      <c r="D76" s="49">
        <f>AVERAGE('01.08 Nakawa-Naguru-24h'!D76,'03.08 Nakawa-Naguru-24h'!D76)</f>
        <v>13.5</v>
      </c>
      <c r="E76" s="49">
        <f>AVERAGE('01.08 Nakawa-Naguru-24h'!E76,'03.08 Nakawa-Naguru-24h'!E76)</f>
        <v>3.5</v>
      </c>
      <c r="F76" s="49">
        <f>AVERAGE('01.08 Nakawa-Naguru-24h'!F76,'03.08 Nakawa-Naguru-24h'!F76)</f>
        <v>0</v>
      </c>
      <c r="G76" s="49">
        <f>AVERAGE('01.08 Nakawa-Naguru-24h'!G76,'03.08 Nakawa-Naguru-24h'!G76)</f>
        <v>0</v>
      </c>
      <c r="H76" s="49">
        <f>AVERAGE('01.08 Nakawa-Naguru-24h'!H76,'03.08 Nakawa-Naguru-24h'!H76)</f>
        <v>0</v>
      </c>
      <c r="I76" s="49">
        <f>AVERAGE('01.08 Nakawa-Naguru-24h'!I76,'03.08 Nakawa-Naguru-24h'!I76)</f>
        <v>0</v>
      </c>
      <c r="J76" s="49">
        <f>AVERAGE('01.08 Nakawa-Naguru-24h'!J76,'03.08 Nakawa-Naguru-24h'!J76)</f>
        <v>0.5</v>
      </c>
      <c r="K76" s="49">
        <f>AVERAGE('01.08 Nakawa-Naguru-24h'!K76,'03.08 Nakawa-Naguru-24h'!K76)</f>
        <v>0</v>
      </c>
      <c r="L76" s="49">
        <f>AVERAGE('01.08 Nakawa-Naguru-24h'!L76,'03.08 Nakawa-Naguru-24h'!L76)</f>
        <v>0</v>
      </c>
      <c r="M76" s="49">
        <f>AVERAGE('01.08 Nakawa-Naguru-24h'!M76,'03.08 Nakawa-Naguru-24h'!M76)</f>
        <v>7</v>
      </c>
      <c r="N76" s="49">
        <f>AVERAGE('01.08 Nakawa-Naguru-24h'!N76,'03.08 Nakawa-Naguru-24h'!N76)</f>
        <v>0</v>
      </c>
      <c r="O76" s="15">
        <f t="shared" si="35"/>
        <v>59</v>
      </c>
      <c r="P76" s="15">
        <f t="shared" si="36"/>
        <v>66</v>
      </c>
      <c r="R76" s="8"/>
      <c r="T76"/>
    </row>
    <row r="77" spans="2:20" ht="23.1" customHeight="1" x14ac:dyDescent="0.25">
      <c r="B77" s="23" t="s">
        <v>117</v>
      </c>
      <c r="C77" s="49">
        <f>AVERAGE('01.08 Nakawa-Naguru-24h'!C77,'03.08 Nakawa-Naguru-24h'!C77)</f>
        <v>63.5</v>
      </c>
      <c r="D77" s="49">
        <f>AVERAGE('01.08 Nakawa-Naguru-24h'!D77,'03.08 Nakawa-Naguru-24h'!D77)</f>
        <v>3</v>
      </c>
      <c r="E77" s="49">
        <f>AVERAGE('01.08 Nakawa-Naguru-24h'!E77,'03.08 Nakawa-Naguru-24h'!E77)</f>
        <v>1</v>
      </c>
      <c r="F77" s="49">
        <f>AVERAGE('01.08 Nakawa-Naguru-24h'!F77,'03.08 Nakawa-Naguru-24h'!F77)</f>
        <v>0</v>
      </c>
      <c r="G77" s="49">
        <f>AVERAGE('01.08 Nakawa-Naguru-24h'!G77,'03.08 Nakawa-Naguru-24h'!G77)</f>
        <v>0</v>
      </c>
      <c r="H77" s="49">
        <f>AVERAGE('01.08 Nakawa-Naguru-24h'!H77,'03.08 Nakawa-Naguru-24h'!H77)</f>
        <v>0</v>
      </c>
      <c r="I77" s="49">
        <f>AVERAGE('01.08 Nakawa-Naguru-24h'!I77,'03.08 Nakawa-Naguru-24h'!I77)</f>
        <v>0.5</v>
      </c>
      <c r="J77" s="49">
        <f>AVERAGE('01.08 Nakawa-Naguru-24h'!J77,'03.08 Nakawa-Naguru-24h'!J77)</f>
        <v>0</v>
      </c>
      <c r="K77" s="49">
        <f>AVERAGE('01.08 Nakawa-Naguru-24h'!K77,'03.08 Nakawa-Naguru-24h'!K77)</f>
        <v>0</v>
      </c>
      <c r="L77" s="49">
        <f>AVERAGE('01.08 Nakawa-Naguru-24h'!L77,'03.08 Nakawa-Naguru-24h'!L77)</f>
        <v>0</v>
      </c>
      <c r="M77" s="49">
        <f>AVERAGE('01.08 Nakawa-Naguru-24h'!M77,'03.08 Nakawa-Naguru-24h'!M77)</f>
        <v>7</v>
      </c>
      <c r="N77" s="49">
        <f>AVERAGE('01.08 Nakawa-Naguru-24h'!N77,'03.08 Nakawa-Naguru-24h'!N77)</f>
        <v>0</v>
      </c>
      <c r="O77" s="15">
        <f t="shared" si="35"/>
        <v>68</v>
      </c>
      <c r="P77" s="15">
        <f t="shared" si="36"/>
        <v>75</v>
      </c>
      <c r="R77" s="8"/>
      <c r="T77"/>
    </row>
    <row r="78" spans="2:20" ht="23.1" customHeight="1" x14ac:dyDescent="0.25">
      <c r="B78" s="24" t="s">
        <v>118</v>
      </c>
      <c r="C78" s="49">
        <f>AVERAGE('01.08 Nakawa-Naguru-24h'!C78,'03.08 Nakawa-Naguru-24h'!C78)</f>
        <v>42.5</v>
      </c>
      <c r="D78" s="49">
        <f>AVERAGE('01.08 Nakawa-Naguru-24h'!D78,'03.08 Nakawa-Naguru-24h'!D78)</f>
        <v>8</v>
      </c>
      <c r="E78" s="49">
        <f>AVERAGE('01.08 Nakawa-Naguru-24h'!E78,'03.08 Nakawa-Naguru-24h'!E78)</f>
        <v>1.5</v>
      </c>
      <c r="F78" s="49">
        <f>AVERAGE('01.08 Nakawa-Naguru-24h'!F78,'03.08 Nakawa-Naguru-24h'!F78)</f>
        <v>0</v>
      </c>
      <c r="G78" s="49">
        <f>AVERAGE('01.08 Nakawa-Naguru-24h'!G78,'03.08 Nakawa-Naguru-24h'!G78)</f>
        <v>0</v>
      </c>
      <c r="H78" s="49">
        <f>AVERAGE('01.08 Nakawa-Naguru-24h'!H78,'03.08 Nakawa-Naguru-24h'!H78)</f>
        <v>0</v>
      </c>
      <c r="I78" s="49">
        <f>AVERAGE('01.08 Nakawa-Naguru-24h'!I78,'03.08 Nakawa-Naguru-24h'!I78)</f>
        <v>0.5</v>
      </c>
      <c r="J78" s="49">
        <f>AVERAGE('01.08 Nakawa-Naguru-24h'!J78,'03.08 Nakawa-Naguru-24h'!J78)</f>
        <v>0.5</v>
      </c>
      <c r="K78" s="49">
        <f>AVERAGE('01.08 Nakawa-Naguru-24h'!K78,'03.08 Nakawa-Naguru-24h'!K78)</f>
        <v>0</v>
      </c>
      <c r="L78" s="49">
        <f>AVERAGE('01.08 Nakawa-Naguru-24h'!L78,'03.08 Nakawa-Naguru-24h'!L78)</f>
        <v>0</v>
      </c>
      <c r="M78" s="49">
        <f>AVERAGE('01.08 Nakawa-Naguru-24h'!M78,'03.08 Nakawa-Naguru-24h'!M78)</f>
        <v>4</v>
      </c>
      <c r="N78" s="49">
        <f>AVERAGE('01.08 Nakawa-Naguru-24h'!N78,'03.08 Nakawa-Naguru-24h'!N78)</f>
        <v>0</v>
      </c>
      <c r="O78" s="15">
        <f t="shared" si="35"/>
        <v>53</v>
      </c>
      <c r="P78" s="15">
        <f t="shared" si="36"/>
        <v>57</v>
      </c>
      <c r="R78" s="8"/>
      <c r="T78"/>
    </row>
    <row r="79" spans="2:20" ht="23.1" customHeight="1" x14ac:dyDescent="0.25">
      <c r="B79" s="23" t="s">
        <v>119</v>
      </c>
      <c r="C79" s="49">
        <f>AVERAGE('01.08 Nakawa-Naguru-24h'!C79,'03.08 Nakawa-Naguru-24h'!C79)</f>
        <v>37</v>
      </c>
      <c r="D79" s="49">
        <f>AVERAGE('01.08 Nakawa-Naguru-24h'!D79,'03.08 Nakawa-Naguru-24h'!D79)</f>
        <v>24</v>
      </c>
      <c r="E79" s="49">
        <f>AVERAGE('01.08 Nakawa-Naguru-24h'!E79,'03.08 Nakawa-Naguru-24h'!E79)</f>
        <v>9</v>
      </c>
      <c r="F79" s="49">
        <f>AVERAGE('01.08 Nakawa-Naguru-24h'!F79,'03.08 Nakawa-Naguru-24h'!F79)</f>
        <v>10.5</v>
      </c>
      <c r="G79" s="49">
        <f>AVERAGE('01.08 Nakawa-Naguru-24h'!G79,'03.08 Nakawa-Naguru-24h'!G79)</f>
        <v>0.5</v>
      </c>
      <c r="H79" s="49">
        <f>AVERAGE('01.08 Nakawa-Naguru-24h'!H79,'03.08 Nakawa-Naguru-24h'!H79)</f>
        <v>0</v>
      </c>
      <c r="I79" s="49">
        <f>AVERAGE('01.08 Nakawa-Naguru-24h'!I79,'03.08 Nakawa-Naguru-24h'!I79)</f>
        <v>0</v>
      </c>
      <c r="J79" s="49">
        <f>AVERAGE('01.08 Nakawa-Naguru-24h'!J79,'03.08 Nakawa-Naguru-24h'!J79)</f>
        <v>0.5</v>
      </c>
      <c r="K79" s="49">
        <f>AVERAGE('01.08 Nakawa-Naguru-24h'!K79,'03.08 Nakawa-Naguru-24h'!K79)</f>
        <v>0</v>
      </c>
      <c r="L79" s="49">
        <f>AVERAGE('01.08 Nakawa-Naguru-24h'!L79,'03.08 Nakawa-Naguru-24h'!L79)</f>
        <v>0</v>
      </c>
      <c r="M79" s="49">
        <f>AVERAGE('01.08 Nakawa-Naguru-24h'!M79,'03.08 Nakawa-Naguru-24h'!M79)</f>
        <v>4.5</v>
      </c>
      <c r="N79" s="49">
        <f>AVERAGE('01.08 Nakawa-Naguru-24h'!N79,'03.08 Nakawa-Naguru-24h'!N79)</f>
        <v>0</v>
      </c>
      <c r="O79" s="15">
        <f t="shared" si="35"/>
        <v>81.5</v>
      </c>
      <c r="P79" s="15">
        <f t="shared" si="36"/>
        <v>86</v>
      </c>
      <c r="R79" s="8"/>
      <c r="T79"/>
    </row>
    <row r="80" spans="2:20" ht="23.1" customHeight="1" x14ac:dyDescent="0.25">
      <c r="B80" s="25" t="s">
        <v>120</v>
      </c>
      <c r="C80" s="49">
        <f>AVERAGE('01.08 Nakawa-Naguru-24h'!C80,'03.08 Nakawa-Naguru-24h'!C80)</f>
        <v>35</v>
      </c>
      <c r="D80" s="49">
        <f>AVERAGE('01.08 Nakawa-Naguru-24h'!D80,'03.08 Nakawa-Naguru-24h'!D80)</f>
        <v>4.5</v>
      </c>
      <c r="E80" s="49">
        <f>AVERAGE('01.08 Nakawa-Naguru-24h'!E80,'03.08 Nakawa-Naguru-24h'!E80)</f>
        <v>2</v>
      </c>
      <c r="F80" s="49">
        <f>AVERAGE('01.08 Nakawa-Naguru-24h'!F80,'03.08 Nakawa-Naguru-24h'!F80)</f>
        <v>0</v>
      </c>
      <c r="G80" s="49">
        <f>AVERAGE('01.08 Nakawa-Naguru-24h'!G80,'03.08 Nakawa-Naguru-24h'!G80)</f>
        <v>0</v>
      </c>
      <c r="H80" s="49">
        <f>AVERAGE('01.08 Nakawa-Naguru-24h'!H80,'03.08 Nakawa-Naguru-24h'!H80)</f>
        <v>0</v>
      </c>
      <c r="I80" s="49">
        <f>AVERAGE('01.08 Nakawa-Naguru-24h'!I80,'03.08 Nakawa-Naguru-24h'!I80)</f>
        <v>0</v>
      </c>
      <c r="J80" s="49">
        <f>AVERAGE('01.08 Nakawa-Naguru-24h'!J80,'03.08 Nakawa-Naguru-24h'!J80)</f>
        <v>0</v>
      </c>
      <c r="K80" s="49">
        <f>AVERAGE('01.08 Nakawa-Naguru-24h'!K80,'03.08 Nakawa-Naguru-24h'!K80)</f>
        <v>0</v>
      </c>
      <c r="L80" s="49">
        <f>AVERAGE('01.08 Nakawa-Naguru-24h'!L80,'03.08 Nakawa-Naguru-24h'!L80)</f>
        <v>0</v>
      </c>
      <c r="M80" s="49">
        <f>AVERAGE('01.08 Nakawa-Naguru-24h'!M80,'03.08 Nakawa-Naguru-24h'!M80)</f>
        <v>6</v>
      </c>
      <c r="N80" s="49">
        <f>AVERAGE('01.08 Nakawa-Naguru-24h'!N80,'03.08 Nakawa-Naguru-24h'!N80)</f>
        <v>0</v>
      </c>
      <c r="O80" s="15">
        <f t="shared" si="35"/>
        <v>41.5</v>
      </c>
      <c r="P80" s="15">
        <f t="shared" si="36"/>
        <v>47.5</v>
      </c>
      <c r="R80" s="8"/>
      <c r="T80"/>
    </row>
    <row r="81" spans="2:20" ht="23.1" customHeight="1" x14ac:dyDescent="0.25">
      <c r="B81" s="23" t="s">
        <v>121</v>
      </c>
      <c r="C81" s="49">
        <f>AVERAGE('01.08 Nakawa-Naguru-24h'!C81,'03.08 Nakawa-Naguru-24h'!C81)</f>
        <v>34.5</v>
      </c>
      <c r="D81" s="49">
        <f>AVERAGE('01.08 Nakawa-Naguru-24h'!D81,'03.08 Nakawa-Naguru-24h'!D81)</f>
        <v>2.5</v>
      </c>
      <c r="E81" s="49">
        <f>AVERAGE('01.08 Nakawa-Naguru-24h'!E81,'03.08 Nakawa-Naguru-24h'!E81)</f>
        <v>0.5</v>
      </c>
      <c r="F81" s="49">
        <f>AVERAGE('01.08 Nakawa-Naguru-24h'!F81,'03.08 Nakawa-Naguru-24h'!F81)</f>
        <v>0</v>
      </c>
      <c r="G81" s="49">
        <f>AVERAGE('01.08 Nakawa-Naguru-24h'!G81,'03.08 Nakawa-Naguru-24h'!G81)</f>
        <v>0</v>
      </c>
      <c r="H81" s="49">
        <f>AVERAGE('01.08 Nakawa-Naguru-24h'!H81,'03.08 Nakawa-Naguru-24h'!H81)</f>
        <v>0</v>
      </c>
      <c r="I81" s="49">
        <f>AVERAGE('01.08 Nakawa-Naguru-24h'!I81,'03.08 Nakawa-Naguru-24h'!I81)</f>
        <v>0</v>
      </c>
      <c r="J81" s="49">
        <f>AVERAGE('01.08 Nakawa-Naguru-24h'!J81,'03.08 Nakawa-Naguru-24h'!J81)</f>
        <v>0</v>
      </c>
      <c r="K81" s="49">
        <f>AVERAGE('01.08 Nakawa-Naguru-24h'!K81,'03.08 Nakawa-Naguru-24h'!K81)</f>
        <v>0</v>
      </c>
      <c r="L81" s="49">
        <f>AVERAGE('01.08 Nakawa-Naguru-24h'!L81,'03.08 Nakawa-Naguru-24h'!L81)</f>
        <v>0</v>
      </c>
      <c r="M81" s="49">
        <f>AVERAGE('01.08 Nakawa-Naguru-24h'!M81,'03.08 Nakawa-Naguru-24h'!M81)</f>
        <v>3</v>
      </c>
      <c r="N81" s="49">
        <f>AVERAGE('01.08 Nakawa-Naguru-24h'!N81,'03.08 Nakawa-Naguru-24h'!N81)</f>
        <v>0</v>
      </c>
      <c r="O81" s="15">
        <f t="shared" si="35"/>
        <v>37.5</v>
      </c>
      <c r="P81" s="15">
        <f t="shared" si="36"/>
        <v>40.5</v>
      </c>
      <c r="R81" s="8"/>
      <c r="T81"/>
    </row>
    <row r="82" spans="2:20" ht="23.1" customHeight="1" x14ac:dyDescent="0.25">
      <c r="B82" s="24" t="s">
        <v>122</v>
      </c>
      <c r="C82" s="49">
        <f>AVERAGE('01.08 Nakawa-Naguru-24h'!C82,'03.08 Nakawa-Naguru-24h'!C82)</f>
        <v>15</v>
      </c>
      <c r="D82" s="49">
        <f>AVERAGE('01.08 Nakawa-Naguru-24h'!D82,'03.08 Nakawa-Naguru-24h'!D82)</f>
        <v>5.5</v>
      </c>
      <c r="E82" s="49">
        <f>AVERAGE('01.08 Nakawa-Naguru-24h'!E82,'03.08 Nakawa-Naguru-24h'!E82)</f>
        <v>1.5</v>
      </c>
      <c r="F82" s="49">
        <f>AVERAGE('01.08 Nakawa-Naguru-24h'!F82,'03.08 Nakawa-Naguru-24h'!F82)</f>
        <v>0.5</v>
      </c>
      <c r="G82" s="49">
        <f>AVERAGE('01.08 Nakawa-Naguru-24h'!G82,'03.08 Nakawa-Naguru-24h'!G82)</f>
        <v>0</v>
      </c>
      <c r="H82" s="49">
        <f>AVERAGE('01.08 Nakawa-Naguru-24h'!H82,'03.08 Nakawa-Naguru-24h'!H82)</f>
        <v>0</v>
      </c>
      <c r="I82" s="49">
        <f>AVERAGE('01.08 Nakawa-Naguru-24h'!I82,'03.08 Nakawa-Naguru-24h'!I82)</f>
        <v>0</v>
      </c>
      <c r="J82" s="49">
        <f>AVERAGE('01.08 Nakawa-Naguru-24h'!J82,'03.08 Nakawa-Naguru-24h'!J82)</f>
        <v>0</v>
      </c>
      <c r="K82" s="49">
        <f>AVERAGE('01.08 Nakawa-Naguru-24h'!K82,'03.08 Nakawa-Naguru-24h'!K82)</f>
        <v>0</v>
      </c>
      <c r="L82" s="49">
        <f>AVERAGE('01.08 Nakawa-Naguru-24h'!L82,'03.08 Nakawa-Naguru-24h'!L82)</f>
        <v>0</v>
      </c>
      <c r="M82" s="49">
        <f>AVERAGE('01.08 Nakawa-Naguru-24h'!M82,'03.08 Nakawa-Naguru-24h'!M82)</f>
        <v>4</v>
      </c>
      <c r="N82" s="49">
        <f>AVERAGE('01.08 Nakawa-Naguru-24h'!N82,'03.08 Nakawa-Naguru-24h'!N82)</f>
        <v>0</v>
      </c>
      <c r="O82" s="15">
        <f t="shared" si="35"/>
        <v>22.5</v>
      </c>
      <c r="P82" s="15">
        <f t="shared" si="36"/>
        <v>26.5</v>
      </c>
      <c r="R82" s="8"/>
      <c r="T82"/>
    </row>
    <row r="83" spans="2:20" ht="23.1" customHeight="1" x14ac:dyDescent="0.25">
      <c r="B83" s="23" t="s">
        <v>123</v>
      </c>
      <c r="C83" s="49">
        <f>AVERAGE('01.08 Nakawa-Naguru-24h'!C83,'03.08 Nakawa-Naguru-24h'!C83)</f>
        <v>22.5</v>
      </c>
      <c r="D83" s="49">
        <f>AVERAGE('01.08 Nakawa-Naguru-24h'!D83,'03.08 Nakawa-Naguru-24h'!D83)</f>
        <v>6.5</v>
      </c>
      <c r="E83" s="49">
        <f>AVERAGE('01.08 Nakawa-Naguru-24h'!E83,'03.08 Nakawa-Naguru-24h'!E83)</f>
        <v>1.5</v>
      </c>
      <c r="F83" s="49">
        <f>AVERAGE('01.08 Nakawa-Naguru-24h'!F83,'03.08 Nakawa-Naguru-24h'!F83)</f>
        <v>0.5</v>
      </c>
      <c r="G83" s="49">
        <f>AVERAGE('01.08 Nakawa-Naguru-24h'!G83,'03.08 Nakawa-Naguru-24h'!G83)</f>
        <v>0</v>
      </c>
      <c r="H83" s="49">
        <f>AVERAGE('01.08 Nakawa-Naguru-24h'!H83,'03.08 Nakawa-Naguru-24h'!H83)</f>
        <v>0</v>
      </c>
      <c r="I83" s="49">
        <f>AVERAGE('01.08 Nakawa-Naguru-24h'!I83,'03.08 Nakawa-Naguru-24h'!I83)</f>
        <v>0</v>
      </c>
      <c r="J83" s="49">
        <f>AVERAGE('01.08 Nakawa-Naguru-24h'!J83,'03.08 Nakawa-Naguru-24h'!J83)</f>
        <v>0</v>
      </c>
      <c r="K83" s="49">
        <f>AVERAGE('01.08 Nakawa-Naguru-24h'!K83,'03.08 Nakawa-Naguru-24h'!K83)</f>
        <v>0</v>
      </c>
      <c r="L83" s="49">
        <f>AVERAGE('01.08 Nakawa-Naguru-24h'!L83,'03.08 Nakawa-Naguru-24h'!L83)</f>
        <v>0</v>
      </c>
      <c r="M83" s="49">
        <f>AVERAGE('01.08 Nakawa-Naguru-24h'!M83,'03.08 Nakawa-Naguru-24h'!M83)</f>
        <v>1</v>
      </c>
      <c r="N83" s="49">
        <f>AVERAGE('01.08 Nakawa-Naguru-24h'!N83,'03.08 Nakawa-Naguru-24h'!N83)</f>
        <v>0</v>
      </c>
      <c r="O83" s="15">
        <f t="shared" si="35"/>
        <v>31</v>
      </c>
      <c r="P83" s="15">
        <f t="shared" si="36"/>
        <v>32</v>
      </c>
      <c r="R83" s="8"/>
      <c r="T83"/>
    </row>
    <row r="84" spans="2:20" ht="23.1" customHeight="1" x14ac:dyDescent="0.25">
      <c r="B84" s="25" t="s">
        <v>124</v>
      </c>
      <c r="C84" s="49">
        <f>AVERAGE('01.08 Nakawa-Naguru-24h'!C84,'03.08 Nakawa-Naguru-24h'!C84)</f>
        <v>17</v>
      </c>
      <c r="D84" s="49">
        <f>AVERAGE('01.08 Nakawa-Naguru-24h'!D84,'03.08 Nakawa-Naguru-24h'!D84)</f>
        <v>3</v>
      </c>
      <c r="E84" s="49">
        <f>AVERAGE('01.08 Nakawa-Naguru-24h'!E84,'03.08 Nakawa-Naguru-24h'!E84)</f>
        <v>0</v>
      </c>
      <c r="F84" s="49">
        <f>AVERAGE('01.08 Nakawa-Naguru-24h'!F84,'03.08 Nakawa-Naguru-24h'!F84)</f>
        <v>0.5</v>
      </c>
      <c r="G84" s="49">
        <f>AVERAGE('01.08 Nakawa-Naguru-24h'!G84,'03.08 Nakawa-Naguru-24h'!G84)</f>
        <v>0</v>
      </c>
      <c r="H84" s="49">
        <f>AVERAGE('01.08 Nakawa-Naguru-24h'!H84,'03.08 Nakawa-Naguru-24h'!H84)</f>
        <v>0</v>
      </c>
      <c r="I84" s="49">
        <f>AVERAGE('01.08 Nakawa-Naguru-24h'!I84,'03.08 Nakawa-Naguru-24h'!I84)</f>
        <v>0</v>
      </c>
      <c r="J84" s="49">
        <f>AVERAGE('01.08 Nakawa-Naguru-24h'!J84,'03.08 Nakawa-Naguru-24h'!J84)</f>
        <v>0</v>
      </c>
      <c r="K84" s="49">
        <f>AVERAGE('01.08 Nakawa-Naguru-24h'!K84,'03.08 Nakawa-Naguru-24h'!K84)</f>
        <v>0</v>
      </c>
      <c r="L84" s="49">
        <f>AVERAGE('01.08 Nakawa-Naguru-24h'!L84,'03.08 Nakawa-Naguru-24h'!L84)</f>
        <v>0</v>
      </c>
      <c r="M84" s="49">
        <f>AVERAGE('01.08 Nakawa-Naguru-24h'!M84,'03.08 Nakawa-Naguru-24h'!M84)</f>
        <v>2</v>
      </c>
      <c r="N84" s="49">
        <f>AVERAGE('01.08 Nakawa-Naguru-24h'!N84,'03.08 Nakawa-Naguru-24h'!N84)</f>
        <v>0</v>
      </c>
      <c r="O84" s="15">
        <f t="shared" si="35"/>
        <v>20.5</v>
      </c>
      <c r="P84" s="15">
        <f t="shared" si="36"/>
        <v>22.5</v>
      </c>
      <c r="R84" s="8"/>
      <c r="T84"/>
    </row>
    <row r="85" spans="2:20" ht="23.1" customHeight="1" x14ac:dyDescent="0.25">
      <c r="B85" s="23" t="s">
        <v>125</v>
      </c>
      <c r="C85" s="49">
        <f>AVERAGE('01.08 Nakawa-Naguru-24h'!C85,'03.08 Nakawa-Naguru-24h'!C85)</f>
        <v>9.5</v>
      </c>
      <c r="D85" s="49">
        <f>AVERAGE('01.08 Nakawa-Naguru-24h'!D85,'03.08 Nakawa-Naguru-24h'!D85)</f>
        <v>2</v>
      </c>
      <c r="E85" s="49">
        <f>AVERAGE('01.08 Nakawa-Naguru-24h'!E85,'03.08 Nakawa-Naguru-24h'!E85)</f>
        <v>1</v>
      </c>
      <c r="F85" s="49">
        <f>AVERAGE('01.08 Nakawa-Naguru-24h'!F85,'03.08 Nakawa-Naguru-24h'!F85)</f>
        <v>0</v>
      </c>
      <c r="G85" s="49">
        <f>AVERAGE('01.08 Nakawa-Naguru-24h'!G85,'03.08 Nakawa-Naguru-24h'!G85)</f>
        <v>0</v>
      </c>
      <c r="H85" s="49">
        <f>AVERAGE('01.08 Nakawa-Naguru-24h'!H85,'03.08 Nakawa-Naguru-24h'!H85)</f>
        <v>0</v>
      </c>
      <c r="I85" s="49">
        <f>AVERAGE('01.08 Nakawa-Naguru-24h'!I85,'03.08 Nakawa-Naguru-24h'!I85)</f>
        <v>0</v>
      </c>
      <c r="J85" s="49">
        <f>AVERAGE('01.08 Nakawa-Naguru-24h'!J85,'03.08 Nakawa-Naguru-24h'!J85)</f>
        <v>0</v>
      </c>
      <c r="K85" s="49">
        <f>AVERAGE('01.08 Nakawa-Naguru-24h'!K85,'03.08 Nakawa-Naguru-24h'!K85)</f>
        <v>0</v>
      </c>
      <c r="L85" s="49">
        <f>AVERAGE('01.08 Nakawa-Naguru-24h'!L85,'03.08 Nakawa-Naguru-24h'!L85)</f>
        <v>0</v>
      </c>
      <c r="M85" s="49">
        <f>AVERAGE('01.08 Nakawa-Naguru-24h'!M85,'03.08 Nakawa-Naguru-24h'!M85)</f>
        <v>1</v>
      </c>
      <c r="N85" s="49">
        <f>AVERAGE('01.08 Nakawa-Naguru-24h'!N85,'03.08 Nakawa-Naguru-24h'!N85)</f>
        <v>0</v>
      </c>
      <c r="O85" s="15">
        <f t="shared" si="35"/>
        <v>12.5</v>
      </c>
      <c r="P85" s="15">
        <f t="shared" si="36"/>
        <v>13.5</v>
      </c>
      <c r="R85" s="8"/>
      <c r="T85"/>
    </row>
    <row r="86" spans="2:20" ht="23.1" customHeight="1" x14ac:dyDescent="0.25">
      <c r="B86" s="24" t="s">
        <v>126</v>
      </c>
      <c r="C86" s="49">
        <f>AVERAGE('01.08 Nakawa-Naguru-24h'!C86,'03.08 Nakawa-Naguru-24h'!C86)</f>
        <v>9</v>
      </c>
      <c r="D86" s="49">
        <f>AVERAGE('01.08 Nakawa-Naguru-24h'!D86,'03.08 Nakawa-Naguru-24h'!D86)</f>
        <v>4</v>
      </c>
      <c r="E86" s="49">
        <f>AVERAGE('01.08 Nakawa-Naguru-24h'!E86,'03.08 Nakawa-Naguru-24h'!E86)</f>
        <v>1.5</v>
      </c>
      <c r="F86" s="49">
        <f>AVERAGE('01.08 Nakawa-Naguru-24h'!F86,'03.08 Nakawa-Naguru-24h'!F86)</f>
        <v>0</v>
      </c>
      <c r="G86" s="49">
        <f>AVERAGE('01.08 Nakawa-Naguru-24h'!G86,'03.08 Nakawa-Naguru-24h'!G86)</f>
        <v>0</v>
      </c>
      <c r="H86" s="49">
        <f>AVERAGE('01.08 Nakawa-Naguru-24h'!H86,'03.08 Nakawa-Naguru-24h'!H86)</f>
        <v>0</v>
      </c>
      <c r="I86" s="49">
        <f>AVERAGE('01.08 Nakawa-Naguru-24h'!I86,'03.08 Nakawa-Naguru-24h'!I86)</f>
        <v>0</v>
      </c>
      <c r="J86" s="49">
        <f>AVERAGE('01.08 Nakawa-Naguru-24h'!J86,'03.08 Nakawa-Naguru-24h'!J86)</f>
        <v>0</v>
      </c>
      <c r="K86" s="49">
        <f>AVERAGE('01.08 Nakawa-Naguru-24h'!K86,'03.08 Nakawa-Naguru-24h'!K86)</f>
        <v>0</v>
      </c>
      <c r="L86" s="49">
        <f>AVERAGE('01.08 Nakawa-Naguru-24h'!L86,'03.08 Nakawa-Naguru-24h'!L86)</f>
        <v>0</v>
      </c>
      <c r="M86" s="49">
        <f>AVERAGE('01.08 Nakawa-Naguru-24h'!M86,'03.08 Nakawa-Naguru-24h'!M86)</f>
        <v>3</v>
      </c>
      <c r="N86" s="49">
        <f>AVERAGE('01.08 Nakawa-Naguru-24h'!N86,'03.08 Nakawa-Naguru-24h'!N86)</f>
        <v>0</v>
      </c>
      <c r="O86" s="15">
        <f t="shared" si="35"/>
        <v>14.5</v>
      </c>
      <c r="P86" s="15">
        <f t="shared" si="36"/>
        <v>17.5</v>
      </c>
      <c r="R86" s="8"/>
      <c r="T86"/>
    </row>
    <row r="87" spans="2:20" ht="23.1" customHeight="1" x14ac:dyDescent="0.25">
      <c r="B87" s="23" t="s">
        <v>127</v>
      </c>
      <c r="C87" s="49">
        <f>AVERAGE('01.08 Nakawa-Naguru-24h'!C87,'03.08 Nakawa-Naguru-24h'!C87)</f>
        <v>9.5</v>
      </c>
      <c r="D87" s="49">
        <f>AVERAGE('01.08 Nakawa-Naguru-24h'!D87,'03.08 Nakawa-Naguru-24h'!D87)</f>
        <v>3</v>
      </c>
      <c r="E87" s="49">
        <f>AVERAGE('01.08 Nakawa-Naguru-24h'!E87,'03.08 Nakawa-Naguru-24h'!E87)</f>
        <v>0.5</v>
      </c>
      <c r="F87" s="49">
        <f>AVERAGE('01.08 Nakawa-Naguru-24h'!F87,'03.08 Nakawa-Naguru-24h'!F87)</f>
        <v>0</v>
      </c>
      <c r="G87" s="49">
        <f>AVERAGE('01.08 Nakawa-Naguru-24h'!G87,'03.08 Nakawa-Naguru-24h'!G87)</f>
        <v>0</v>
      </c>
      <c r="H87" s="49">
        <f>AVERAGE('01.08 Nakawa-Naguru-24h'!H87,'03.08 Nakawa-Naguru-24h'!H87)</f>
        <v>0</v>
      </c>
      <c r="I87" s="49">
        <f>AVERAGE('01.08 Nakawa-Naguru-24h'!I87,'03.08 Nakawa-Naguru-24h'!I87)</f>
        <v>0</v>
      </c>
      <c r="J87" s="49">
        <f>AVERAGE('01.08 Nakawa-Naguru-24h'!J87,'03.08 Nakawa-Naguru-24h'!J87)</f>
        <v>0</v>
      </c>
      <c r="K87" s="49">
        <f>AVERAGE('01.08 Nakawa-Naguru-24h'!K87,'03.08 Nakawa-Naguru-24h'!K87)</f>
        <v>0</v>
      </c>
      <c r="L87" s="49">
        <f>AVERAGE('01.08 Nakawa-Naguru-24h'!L87,'03.08 Nakawa-Naguru-24h'!L87)</f>
        <v>0</v>
      </c>
      <c r="M87" s="49">
        <f>AVERAGE('01.08 Nakawa-Naguru-24h'!M87,'03.08 Nakawa-Naguru-24h'!M87)</f>
        <v>1</v>
      </c>
      <c r="N87" s="49">
        <f>AVERAGE('01.08 Nakawa-Naguru-24h'!N87,'03.08 Nakawa-Naguru-24h'!N87)</f>
        <v>0</v>
      </c>
      <c r="O87" s="15">
        <f t="shared" si="35"/>
        <v>13</v>
      </c>
      <c r="P87" s="15">
        <f t="shared" si="36"/>
        <v>14</v>
      </c>
      <c r="R87" s="8"/>
      <c r="T87"/>
    </row>
    <row r="88" spans="2:20" ht="23.1" customHeight="1" x14ac:dyDescent="0.25">
      <c r="B88" s="25" t="s">
        <v>128</v>
      </c>
      <c r="C88" s="49">
        <f>AVERAGE('01.08 Nakawa-Naguru-24h'!C88,'03.08 Nakawa-Naguru-24h'!C88)</f>
        <v>10</v>
      </c>
      <c r="D88" s="49">
        <f>AVERAGE('01.08 Nakawa-Naguru-24h'!D88,'03.08 Nakawa-Naguru-24h'!D88)</f>
        <v>9</v>
      </c>
      <c r="E88" s="49">
        <f>AVERAGE('01.08 Nakawa-Naguru-24h'!E88,'03.08 Nakawa-Naguru-24h'!E88)</f>
        <v>0</v>
      </c>
      <c r="F88" s="49">
        <f>AVERAGE('01.08 Nakawa-Naguru-24h'!F88,'03.08 Nakawa-Naguru-24h'!F88)</f>
        <v>0</v>
      </c>
      <c r="G88" s="49">
        <f>AVERAGE('01.08 Nakawa-Naguru-24h'!G88,'03.08 Nakawa-Naguru-24h'!G88)</f>
        <v>0</v>
      </c>
      <c r="H88" s="49">
        <f>AVERAGE('01.08 Nakawa-Naguru-24h'!H88,'03.08 Nakawa-Naguru-24h'!H88)</f>
        <v>0</v>
      </c>
      <c r="I88" s="49">
        <f>AVERAGE('01.08 Nakawa-Naguru-24h'!I88,'03.08 Nakawa-Naguru-24h'!I88)</f>
        <v>0</v>
      </c>
      <c r="J88" s="49">
        <f>AVERAGE('01.08 Nakawa-Naguru-24h'!J88,'03.08 Nakawa-Naguru-24h'!J88)</f>
        <v>0</v>
      </c>
      <c r="K88" s="49">
        <f>AVERAGE('01.08 Nakawa-Naguru-24h'!K88,'03.08 Nakawa-Naguru-24h'!K88)</f>
        <v>0</v>
      </c>
      <c r="L88" s="49">
        <f>AVERAGE('01.08 Nakawa-Naguru-24h'!L88,'03.08 Nakawa-Naguru-24h'!L88)</f>
        <v>0.5</v>
      </c>
      <c r="M88" s="49">
        <f>AVERAGE('01.08 Nakawa-Naguru-24h'!M88,'03.08 Nakawa-Naguru-24h'!M88)</f>
        <v>1.5</v>
      </c>
      <c r="N88" s="49">
        <f>AVERAGE('01.08 Nakawa-Naguru-24h'!N88,'03.08 Nakawa-Naguru-24h'!N88)</f>
        <v>0</v>
      </c>
      <c r="O88" s="15">
        <f t="shared" si="35"/>
        <v>19.5</v>
      </c>
      <c r="P88" s="15">
        <f t="shared" si="36"/>
        <v>21</v>
      </c>
      <c r="R88" s="8"/>
      <c r="T88"/>
    </row>
    <row r="89" spans="2:20" ht="23.1" customHeight="1" x14ac:dyDescent="0.25">
      <c r="B89" s="23" t="s">
        <v>129</v>
      </c>
      <c r="C89" s="49">
        <f>AVERAGE('01.08 Nakawa-Naguru-24h'!C89,'03.08 Nakawa-Naguru-24h'!C89)</f>
        <v>10</v>
      </c>
      <c r="D89" s="49">
        <f>AVERAGE('01.08 Nakawa-Naguru-24h'!D89,'03.08 Nakawa-Naguru-24h'!D89)</f>
        <v>4.5</v>
      </c>
      <c r="E89" s="49">
        <f>AVERAGE('01.08 Nakawa-Naguru-24h'!E89,'03.08 Nakawa-Naguru-24h'!E89)</f>
        <v>0</v>
      </c>
      <c r="F89" s="49">
        <f>AVERAGE('01.08 Nakawa-Naguru-24h'!F89,'03.08 Nakawa-Naguru-24h'!F89)</f>
        <v>0</v>
      </c>
      <c r="G89" s="49">
        <f>AVERAGE('01.08 Nakawa-Naguru-24h'!G89,'03.08 Nakawa-Naguru-24h'!G89)</f>
        <v>0</v>
      </c>
      <c r="H89" s="49">
        <f>AVERAGE('01.08 Nakawa-Naguru-24h'!H89,'03.08 Nakawa-Naguru-24h'!H89)</f>
        <v>0</v>
      </c>
      <c r="I89" s="49">
        <f>AVERAGE('01.08 Nakawa-Naguru-24h'!I89,'03.08 Nakawa-Naguru-24h'!I89)</f>
        <v>0.5</v>
      </c>
      <c r="J89" s="49">
        <f>AVERAGE('01.08 Nakawa-Naguru-24h'!J89,'03.08 Nakawa-Naguru-24h'!J89)</f>
        <v>0</v>
      </c>
      <c r="K89" s="49">
        <f>AVERAGE('01.08 Nakawa-Naguru-24h'!K89,'03.08 Nakawa-Naguru-24h'!K89)</f>
        <v>0</v>
      </c>
      <c r="L89" s="49">
        <f>AVERAGE('01.08 Nakawa-Naguru-24h'!L89,'03.08 Nakawa-Naguru-24h'!L89)</f>
        <v>0</v>
      </c>
      <c r="M89" s="49">
        <f>AVERAGE('01.08 Nakawa-Naguru-24h'!M89,'03.08 Nakawa-Naguru-24h'!M89)</f>
        <v>2</v>
      </c>
      <c r="N89" s="49">
        <f>AVERAGE('01.08 Nakawa-Naguru-24h'!N89,'03.08 Nakawa-Naguru-24h'!N89)</f>
        <v>0</v>
      </c>
      <c r="O89" s="15">
        <f t="shared" si="35"/>
        <v>15</v>
      </c>
      <c r="P89" s="15">
        <f t="shared" si="36"/>
        <v>17</v>
      </c>
      <c r="R89" s="8"/>
      <c r="T89"/>
    </row>
    <row r="90" spans="2:20" ht="23.1" customHeight="1" x14ac:dyDescent="0.25">
      <c r="B90" s="24" t="s">
        <v>130</v>
      </c>
      <c r="C90" s="49">
        <f>AVERAGE('01.08 Nakawa-Naguru-24h'!C90,'03.08 Nakawa-Naguru-24h'!C90)</f>
        <v>6.5</v>
      </c>
      <c r="D90" s="49">
        <f>AVERAGE('01.08 Nakawa-Naguru-24h'!D90,'03.08 Nakawa-Naguru-24h'!D90)</f>
        <v>1.5</v>
      </c>
      <c r="E90" s="49">
        <f>AVERAGE('01.08 Nakawa-Naguru-24h'!E90,'03.08 Nakawa-Naguru-24h'!E90)</f>
        <v>0</v>
      </c>
      <c r="F90" s="49">
        <f>AVERAGE('01.08 Nakawa-Naguru-24h'!F90,'03.08 Nakawa-Naguru-24h'!F90)</f>
        <v>0</v>
      </c>
      <c r="G90" s="49">
        <f>AVERAGE('01.08 Nakawa-Naguru-24h'!G90,'03.08 Nakawa-Naguru-24h'!G90)</f>
        <v>0</v>
      </c>
      <c r="H90" s="49">
        <f>AVERAGE('01.08 Nakawa-Naguru-24h'!H90,'03.08 Nakawa-Naguru-24h'!H90)</f>
        <v>0</v>
      </c>
      <c r="I90" s="49">
        <f>AVERAGE('01.08 Nakawa-Naguru-24h'!I90,'03.08 Nakawa-Naguru-24h'!I90)</f>
        <v>0</v>
      </c>
      <c r="J90" s="49">
        <f>AVERAGE('01.08 Nakawa-Naguru-24h'!J90,'03.08 Nakawa-Naguru-24h'!J90)</f>
        <v>0</v>
      </c>
      <c r="K90" s="49">
        <f>AVERAGE('01.08 Nakawa-Naguru-24h'!K90,'03.08 Nakawa-Naguru-24h'!K90)</f>
        <v>0</v>
      </c>
      <c r="L90" s="49">
        <f>AVERAGE('01.08 Nakawa-Naguru-24h'!L90,'03.08 Nakawa-Naguru-24h'!L90)</f>
        <v>0</v>
      </c>
      <c r="M90" s="49">
        <f>AVERAGE('01.08 Nakawa-Naguru-24h'!M90,'03.08 Nakawa-Naguru-24h'!M90)</f>
        <v>0.5</v>
      </c>
      <c r="N90" s="49">
        <f>AVERAGE('01.08 Nakawa-Naguru-24h'!N90,'03.08 Nakawa-Naguru-24h'!N90)</f>
        <v>0</v>
      </c>
      <c r="O90" s="15">
        <f t="shared" si="35"/>
        <v>8</v>
      </c>
      <c r="P90" s="15">
        <f t="shared" si="36"/>
        <v>8.5</v>
      </c>
      <c r="R90" s="8"/>
      <c r="T90"/>
    </row>
    <row r="91" spans="2:20" ht="23.1" customHeight="1" x14ac:dyDescent="0.25">
      <c r="B91" s="23" t="s">
        <v>131</v>
      </c>
      <c r="C91" s="49">
        <f>AVERAGE('01.08 Nakawa-Naguru-24h'!C91,'03.08 Nakawa-Naguru-24h'!C91)</f>
        <v>8</v>
      </c>
      <c r="D91" s="49">
        <f>AVERAGE('01.08 Nakawa-Naguru-24h'!D91,'03.08 Nakawa-Naguru-24h'!D91)</f>
        <v>4.5</v>
      </c>
      <c r="E91" s="49">
        <f>AVERAGE('01.08 Nakawa-Naguru-24h'!E91,'03.08 Nakawa-Naguru-24h'!E91)</f>
        <v>0.5</v>
      </c>
      <c r="F91" s="49">
        <f>AVERAGE('01.08 Nakawa-Naguru-24h'!F91,'03.08 Nakawa-Naguru-24h'!F91)</f>
        <v>0</v>
      </c>
      <c r="G91" s="49">
        <f>AVERAGE('01.08 Nakawa-Naguru-24h'!G91,'03.08 Nakawa-Naguru-24h'!G91)</f>
        <v>0</v>
      </c>
      <c r="H91" s="49">
        <f>AVERAGE('01.08 Nakawa-Naguru-24h'!H91,'03.08 Nakawa-Naguru-24h'!H91)</f>
        <v>0</v>
      </c>
      <c r="I91" s="49">
        <f>AVERAGE('01.08 Nakawa-Naguru-24h'!I91,'03.08 Nakawa-Naguru-24h'!I91)</f>
        <v>0</v>
      </c>
      <c r="J91" s="49">
        <f>AVERAGE('01.08 Nakawa-Naguru-24h'!J91,'03.08 Nakawa-Naguru-24h'!J91)</f>
        <v>0</v>
      </c>
      <c r="K91" s="49">
        <f>AVERAGE('01.08 Nakawa-Naguru-24h'!K91,'03.08 Nakawa-Naguru-24h'!K91)</f>
        <v>0</v>
      </c>
      <c r="L91" s="49">
        <f>AVERAGE('01.08 Nakawa-Naguru-24h'!L91,'03.08 Nakawa-Naguru-24h'!L91)</f>
        <v>0</v>
      </c>
      <c r="M91" s="49">
        <f>AVERAGE('01.08 Nakawa-Naguru-24h'!M91,'03.08 Nakawa-Naguru-24h'!M91)</f>
        <v>1</v>
      </c>
      <c r="N91" s="49">
        <f>AVERAGE('01.08 Nakawa-Naguru-24h'!N91,'03.08 Nakawa-Naguru-24h'!N91)</f>
        <v>0</v>
      </c>
      <c r="O91" s="15">
        <f t="shared" si="35"/>
        <v>13</v>
      </c>
      <c r="P91" s="15">
        <f t="shared" si="36"/>
        <v>14</v>
      </c>
      <c r="R91" s="8"/>
      <c r="T91"/>
    </row>
    <row r="92" spans="2:20" ht="23.1" customHeight="1" x14ac:dyDescent="0.25">
      <c r="B92" s="25" t="s">
        <v>132</v>
      </c>
      <c r="C92" s="49">
        <f>AVERAGE('01.08 Nakawa-Naguru-24h'!C92,'03.08 Nakawa-Naguru-24h'!C92)</f>
        <v>9.5</v>
      </c>
      <c r="D92" s="49">
        <f>AVERAGE('01.08 Nakawa-Naguru-24h'!D92,'03.08 Nakawa-Naguru-24h'!D92)</f>
        <v>6.5</v>
      </c>
      <c r="E92" s="49">
        <f>AVERAGE('01.08 Nakawa-Naguru-24h'!E92,'03.08 Nakawa-Naguru-24h'!E92)</f>
        <v>0</v>
      </c>
      <c r="F92" s="49">
        <f>AVERAGE('01.08 Nakawa-Naguru-24h'!F92,'03.08 Nakawa-Naguru-24h'!F92)</f>
        <v>0.5</v>
      </c>
      <c r="G92" s="49">
        <f>AVERAGE('01.08 Nakawa-Naguru-24h'!G92,'03.08 Nakawa-Naguru-24h'!G92)</f>
        <v>0</v>
      </c>
      <c r="H92" s="49">
        <f>AVERAGE('01.08 Nakawa-Naguru-24h'!H92,'03.08 Nakawa-Naguru-24h'!H92)</f>
        <v>0</v>
      </c>
      <c r="I92" s="49">
        <f>AVERAGE('01.08 Nakawa-Naguru-24h'!I92,'03.08 Nakawa-Naguru-24h'!I92)</f>
        <v>0</v>
      </c>
      <c r="J92" s="49">
        <f>AVERAGE('01.08 Nakawa-Naguru-24h'!J92,'03.08 Nakawa-Naguru-24h'!J92)</f>
        <v>0</v>
      </c>
      <c r="K92" s="49">
        <f>AVERAGE('01.08 Nakawa-Naguru-24h'!K92,'03.08 Nakawa-Naguru-24h'!K92)</f>
        <v>0</v>
      </c>
      <c r="L92" s="49">
        <f>AVERAGE('01.08 Nakawa-Naguru-24h'!L92,'03.08 Nakawa-Naguru-24h'!L92)</f>
        <v>0</v>
      </c>
      <c r="M92" s="49">
        <f>AVERAGE('01.08 Nakawa-Naguru-24h'!M92,'03.08 Nakawa-Naguru-24h'!M92)</f>
        <v>2</v>
      </c>
      <c r="N92" s="49">
        <f>AVERAGE('01.08 Nakawa-Naguru-24h'!N92,'03.08 Nakawa-Naguru-24h'!N92)</f>
        <v>0</v>
      </c>
      <c r="O92" s="15">
        <f t="shared" si="35"/>
        <v>16.5</v>
      </c>
      <c r="P92" s="15">
        <f t="shared" si="36"/>
        <v>18.5</v>
      </c>
      <c r="R92" s="8"/>
      <c r="T92"/>
    </row>
    <row r="93" spans="2:20" ht="23.1" customHeight="1" x14ac:dyDescent="0.25">
      <c r="B93" s="23" t="s">
        <v>133</v>
      </c>
      <c r="C93" s="49">
        <f>AVERAGE('01.08 Nakawa-Naguru-24h'!C93,'03.08 Nakawa-Naguru-24h'!C93)</f>
        <v>7</v>
      </c>
      <c r="D93" s="49">
        <f>AVERAGE('01.08 Nakawa-Naguru-24h'!D93,'03.08 Nakawa-Naguru-24h'!D93)</f>
        <v>7.5</v>
      </c>
      <c r="E93" s="49">
        <f>AVERAGE('01.08 Nakawa-Naguru-24h'!E93,'03.08 Nakawa-Naguru-24h'!E93)</f>
        <v>1</v>
      </c>
      <c r="F93" s="49">
        <f>AVERAGE('01.08 Nakawa-Naguru-24h'!F93,'03.08 Nakawa-Naguru-24h'!F93)</f>
        <v>0</v>
      </c>
      <c r="G93" s="49">
        <f>AVERAGE('01.08 Nakawa-Naguru-24h'!G93,'03.08 Nakawa-Naguru-24h'!G93)</f>
        <v>0</v>
      </c>
      <c r="H93" s="49">
        <f>AVERAGE('01.08 Nakawa-Naguru-24h'!H93,'03.08 Nakawa-Naguru-24h'!H93)</f>
        <v>0</v>
      </c>
      <c r="I93" s="49">
        <f>AVERAGE('01.08 Nakawa-Naguru-24h'!I93,'03.08 Nakawa-Naguru-24h'!I93)</f>
        <v>0</v>
      </c>
      <c r="J93" s="49">
        <f>AVERAGE('01.08 Nakawa-Naguru-24h'!J93,'03.08 Nakawa-Naguru-24h'!J93)</f>
        <v>0</v>
      </c>
      <c r="K93" s="49">
        <f>AVERAGE('01.08 Nakawa-Naguru-24h'!K93,'03.08 Nakawa-Naguru-24h'!K93)</f>
        <v>0</v>
      </c>
      <c r="L93" s="49">
        <f>AVERAGE('01.08 Nakawa-Naguru-24h'!L93,'03.08 Nakawa-Naguru-24h'!L93)</f>
        <v>0</v>
      </c>
      <c r="M93" s="49">
        <f>AVERAGE('01.08 Nakawa-Naguru-24h'!M93,'03.08 Nakawa-Naguru-24h'!M93)</f>
        <v>1.5</v>
      </c>
      <c r="N93" s="49">
        <f>AVERAGE('01.08 Nakawa-Naguru-24h'!N93,'03.08 Nakawa-Naguru-24h'!N93)</f>
        <v>0</v>
      </c>
      <c r="O93" s="15">
        <f t="shared" si="35"/>
        <v>15.5</v>
      </c>
      <c r="P93" s="15">
        <f t="shared" si="36"/>
        <v>17</v>
      </c>
      <c r="R93" s="8"/>
      <c r="T93"/>
    </row>
    <row r="94" spans="2:20" ht="23.1" customHeight="1" x14ac:dyDescent="0.25">
      <c r="B94" s="24" t="s">
        <v>134</v>
      </c>
      <c r="C94" s="49">
        <f>AVERAGE('01.08 Nakawa-Naguru-24h'!C94,'03.08 Nakawa-Naguru-24h'!C94)</f>
        <v>8</v>
      </c>
      <c r="D94" s="49">
        <f>AVERAGE('01.08 Nakawa-Naguru-24h'!D94,'03.08 Nakawa-Naguru-24h'!D94)</f>
        <v>1</v>
      </c>
      <c r="E94" s="49">
        <f>AVERAGE('01.08 Nakawa-Naguru-24h'!E94,'03.08 Nakawa-Naguru-24h'!E94)</f>
        <v>0.5</v>
      </c>
      <c r="F94" s="49">
        <f>AVERAGE('01.08 Nakawa-Naguru-24h'!F94,'03.08 Nakawa-Naguru-24h'!F94)</f>
        <v>0</v>
      </c>
      <c r="G94" s="49">
        <f>AVERAGE('01.08 Nakawa-Naguru-24h'!G94,'03.08 Nakawa-Naguru-24h'!G94)</f>
        <v>0</v>
      </c>
      <c r="H94" s="49">
        <f>AVERAGE('01.08 Nakawa-Naguru-24h'!H94,'03.08 Nakawa-Naguru-24h'!H94)</f>
        <v>0</v>
      </c>
      <c r="I94" s="49">
        <f>AVERAGE('01.08 Nakawa-Naguru-24h'!I94,'03.08 Nakawa-Naguru-24h'!I94)</f>
        <v>0</v>
      </c>
      <c r="J94" s="49">
        <f>AVERAGE('01.08 Nakawa-Naguru-24h'!J94,'03.08 Nakawa-Naguru-24h'!J94)</f>
        <v>0</v>
      </c>
      <c r="K94" s="49">
        <f>AVERAGE('01.08 Nakawa-Naguru-24h'!K94,'03.08 Nakawa-Naguru-24h'!K94)</f>
        <v>0</v>
      </c>
      <c r="L94" s="49">
        <f>AVERAGE('01.08 Nakawa-Naguru-24h'!L94,'03.08 Nakawa-Naguru-24h'!L94)</f>
        <v>0</v>
      </c>
      <c r="M94" s="49">
        <f>AVERAGE('01.08 Nakawa-Naguru-24h'!M94,'03.08 Nakawa-Naguru-24h'!M94)</f>
        <v>2</v>
      </c>
      <c r="N94" s="49">
        <f>AVERAGE('01.08 Nakawa-Naguru-24h'!N94,'03.08 Nakawa-Naguru-24h'!N94)</f>
        <v>0</v>
      </c>
      <c r="O94" s="15">
        <f t="shared" si="35"/>
        <v>9.5</v>
      </c>
      <c r="P94" s="15">
        <f t="shared" si="36"/>
        <v>11.5</v>
      </c>
      <c r="R94" s="8"/>
      <c r="T94"/>
    </row>
    <row r="95" spans="2:20" ht="23.1" customHeight="1" x14ac:dyDescent="0.25">
      <c r="B95" s="23" t="s">
        <v>135</v>
      </c>
      <c r="C95" s="49">
        <f>AVERAGE('01.08 Nakawa-Naguru-24h'!C95,'03.08 Nakawa-Naguru-24h'!C95)</f>
        <v>8.5</v>
      </c>
      <c r="D95" s="49">
        <f>AVERAGE('01.08 Nakawa-Naguru-24h'!D95,'03.08 Nakawa-Naguru-24h'!D95)</f>
        <v>1.5</v>
      </c>
      <c r="E95" s="49">
        <f>AVERAGE('01.08 Nakawa-Naguru-24h'!E95,'03.08 Nakawa-Naguru-24h'!E95)</f>
        <v>0.5</v>
      </c>
      <c r="F95" s="49">
        <f>AVERAGE('01.08 Nakawa-Naguru-24h'!F95,'03.08 Nakawa-Naguru-24h'!F95)</f>
        <v>0.5</v>
      </c>
      <c r="G95" s="49">
        <f>AVERAGE('01.08 Nakawa-Naguru-24h'!G95,'03.08 Nakawa-Naguru-24h'!G95)</f>
        <v>0</v>
      </c>
      <c r="H95" s="49">
        <f>AVERAGE('01.08 Nakawa-Naguru-24h'!H95,'03.08 Nakawa-Naguru-24h'!H95)</f>
        <v>0</v>
      </c>
      <c r="I95" s="49">
        <f>AVERAGE('01.08 Nakawa-Naguru-24h'!I95,'03.08 Nakawa-Naguru-24h'!I95)</f>
        <v>0</v>
      </c>
      <c r="J95" s="49">
        <f>AVERAGE('01.08 Nakawa-Naguru-24h'!J95,'03.08 Nakawa-Naguru-24h'!J95)</f>
        <v>0</v>
      </c>
      <c r="K95" s="49">
        <f>AVERAGE('01.08 Nakawa-Naguru-24h'!K95,'03.08 Nakawa-Naguru-24h'!K95)</f>
        <v>0</v>
      </c>
      <c r="L95" s="49">
        <f>AVERAGE('01.08 Nakawa-Naguru-24h'!L95,'03.08 Nakawa-Naguru-24h'!L95)</f>
        <v>0</v>
      </c>
      <c r="M95" s="49">
        <f>AVERAGE('01.08 Nakawa-Naguru-24h'!M95,'03.08 Nakawa-Naguru-24h'!M95)</f>
        <v>2</v>
      </c>
      <c r="N95" s="49">
        <f>AVERAGE('01.08 Nakawa-Naguru-24h'!N95,'03.08 Nakawa-Naguru-24h'!N95)</f>
        <v>0</v>
      </c>
      <c r="O95" s="15">
        <f t="shared" si="35"/>
        <v>11</v>
      </c>
      <c r="P95" s="15">
        <f t="shared" si="36"/>
        <v>13</v>
      </c>
      <c r="R95" s="8"/>
      <c r="T95"/>
    </row>
    <row r="96" spans="2:20" ht="23.1" customHeight="1" x14ac:dyDescent="0.25">
      <c r="B96" s="25" t="s">
        <v>136</v>
      </c>
      <c r="C96" s="49">
        <f>AVERAGE('01.08 Nakawa-Naguru-24h'!C96,'03.08 Nakawa-Naguru-24h'!C96)</f>
        <v>8.5</v>
      </c>
      <c r="D96" s="49">
        <f>AVERAGE('01.08 Nakawa-Naguru-24h'!D96,'03.08 Nakawa-Naguru-24h'!D96)</f>
        <v>4.5</v>
      </c>
      <c r="E96" s="49">
        <f>AVERAGE('01.08 Nakawa-Naguru-24h'!E96,'03.08 Nakawa-Naguru-24h'!E96)</f>
        <v>0</v>
      </c>
      <c r="F96" s="49">
        <f>AVERAGE('01.08 Nakawa-Naguru-24h'!F96,'03.08 Nakawa-Naguru-24h'!F96)</f>
        <v>0</v>
      </c>
      <c r="G96" s="49">
        <f>AVERAGE('01.08 Nakawa-Naguru-24h'!G96,'03.08 Nakawa-Naguru-24h'!G96)</f>
        <v>0</v>
      </c>
      <c r="H96" s="49">
        <f>AVERAGE('01.08 Nakawa-Naguru-24h'!H96,'03.08 Nakawa-Naguru-24h'!H96)</f>
        <v>0</v>
      </c>
      <c r="I96" s="49">
        <f>AVERAGE('01.08 Nakawa-Naguru-24h'!I96,'03.08 Nakawa-Naguru-24h'!I96)</f>
        <v>1</v>
      </c>
      <c r="J96" s="49">
        <f>AVERAGE('01.08 Nakawa-Naguru-24h'!J96,'03.08 Nakawa-Naguru-24h'!J96)</f>
        <v>0</v>
      </c>
      <c r="K96" s="49">
        <f>AVERAGE('01.08 Nakawa-Naguru-24h'!K96,'03.08 Nakawa-Naguru-24h'!K96)</f>
        <v>0</v>
      </c>
      <c r="L96" s="49">
        <f>AVERAGE('01.08 Nakawa-Naguru-24h'!L96,'03.08 Nakawa-Naguru-24h'!L96)</f>
        <v>0</v>
      </c>
      <c r="M96" s="49">
        <f>AVERAGE('01.08 Nakawa-Naguru-24h'!M96,'03.08 Nakawa-Naguru-24h'!M96)</f>
        <v>1</v>
      </c>
      <c r="N96" s="49">
        <f>AVERAGE('01.08 Nakawa-Naguru-24h'!N96,'03.08 Nakawa-Naguru-24h'!N96)</f>
        <v>0</v>
      </c>
      <c r="O96" s="15">
        <f t="shared" si="35"/>
        <v>14</v>
      </c>
      <c r="P96" s="15">
        <f t="shared" si="36"/>
        <v>15</v>
      </c>
      <c r="R96" s="8"/>
      <c r="T96"/>
    </row>
    <row r="97" spans="2:20" ht="23.1" customHeight="1" x14ac:dyDescent="0.25">
      <c r="B97" s="23" t="s">
        <v>137</v>
      </c>
      <c r="C97" s="49">
        <f>AVERAGE('01.08 Nakawa-Naguru-24h'!C97,'03.08 Nakawa-Naguru-24h'!C97)</f>
        <v>7.5</v>
      </c>
      <c r="D97" s="49">
        <f>AVERAGE('01.08 Nakawa-Naguru-24h'!D97,'03.08 Nakawa-Naguru-24h'!D97)</f>
        <v>1.5</v>
      </c>
      <c r="E97" s="49">
        <f>AVERAGE('01.08 Nakawa-Naguru-24h'!E97,'03.08 Nakawa-Naguru-24h'!E97)</f>
        <v>1</v>
      </c>
      <c r="F97" s="49">
        <f>AVERAGE('01.08 Nakawa-Naguru-24h'!F97,'03.08 Nakawa-Naguru-24h'!F97)</f>
        <v>0</v>
      </c>
      <c r="G97" s="49">
        <f>AVERAGE('01.08 Nakawa-Naguru-24h'!G97,'03.08 Nakawa-Naguru-24h'!G97)</f>
        <v>0</v>
      </c>
      <c r="H97" s="49">
        <f>AVERAGE('01.08 Nakawa-Naguru-24h'!H97,'03.08 Nakawa-Naguru-24h'!H97)</f>
        <v>0</v>
      </c>
      <c r="I97" s="49">
        <f>AVERAGE('01.08 Nakawa-Naguru-24h'!I97,'03.08 Nakawa-Naguru-24h'!I97)</f>
        <v>0</v>
      </c>
      <c r="J97" s="49">
        <f>AVERAGE('01.08 Nakawa-Naguru-24h'!J97,'03.08 Nakawa-Naguru-24h'!J97)</f>
        <v>0</v>
      </c>
      <c r="K97" s="49">
        <f>AVERAGE('01.08 Nakawa-Naguru-24h'!K97,'03.08 Nakawa-Naguru-24h'!K97)</f>
        <v>0</v>
      </c>
      <c r="L97" s="49">
        <f>AVERAGE('01.08 Nakawa-Naguru-24h'!L97,'03.08 Nakawa-Naguru-24h'!L97)</f>
        <v>0</v>
      </c>
      <c r="M97" s="49">
        <f>AVERAGE('01.08 Nakawa-Naguru-24h'!M97,'03.08 Nakawa-Naguru-24h'!M97)</f>
        <v>1</v>
      </c>
      <c r="N97" s="49">
        <f>AVERAGE('01.08 Nakawa-Naguru-24h'!N97,'03.08 Nakawa-Naguru-24h'!N97)</f>
        <v>0</v>
      </c>
      <c r="O97" s="15">
        <f t="shared" si="35"/>
        <v>10</v>
      </c>
      <c r="P97" s="15">
        <f t="shared" si="36"/>
        <v>11</v>
      </c>
      <c r="R97" s="8"/>
      <c r="T97"/>
    </row>
    <row r="98" spans="2:20" ht="23.1" customHeight="1" x14ac:dyDescent="0.25">
      <c r="B98" s="24" t="s">
        <v>138</v>
      </c>
      <c r="C98" s="49">
        <f>AVERAGE('01.08 Nakawa-Naguru-24h'!C98,'03.08 Nakawa-Naguru-24h'!C98)</f>
        <v>3</v>
      </c>
      <c r="D98" s="49">
        <f>AVERAGE('01.08 Nakawa-Naguru-24h'!D98,'03.08 Nakawa-Naguru-24h'!D98)</f>
        <v>0.5</v>
      </c>
      <c r="E98" s="49">
        <f>AVERAGE('01.08 Nakawa-Naguru-24h'!E98,'03.08 Nakawa-Naguru-24h'!E98)</f>
        <v>1</v>
      </c>
      <c r="F98" s="49">
        <f>AVERAGE('01.08 Nakawa-Naguru-24h'!F98,'03.08 Nakawa-Naguru-24h'!F98)</f>
        <v>0</v>
      </c>
      <c r="G98" s="49">
        <f>AVERAGE('01.08 Nakawa-Naguru-24h'!G98,'03.08 Nakawa-Naguru-24h'!G98)</f>
        <v>0</v>
      </c>
      <c r="H98" s="49">
        <f>AVERAGE('01.08 Nakawa-Naguru-24h'!H98,'03.08 Nakawa-Naguru-24h'!H98)</f>
        <v>0</v>
      </c>
      <c r="I98" s="49">
        <f>AVERAGE('01.08 Nakawa-Naguru-24h'!I98,'03.08 Nakawa-Naguru-24h'!I98)</f>
        <v>0.5</v>
      </c>
      <c r="J98" s="49">
        <f>AVERAGE('01.08 Nakawa-Naguru-24h'!J98,'03.08 Nakawa-Naguru-24h'!J98)</f>
        <v>0</v>
      </c>
      <c r="K98" s="49">
        <f>AVERAGE('01.08 Nakawa-Naguru-24h'!K98,'03.08 Nakawa-Naguru-24h'!K98)</f>
        <v>0</v>
      </c>
      <c r="L98" s="49">
        <f>AVERAGE('01.08 Nakawa-Naguru-24h'!L98,'03.08 Nakawa-Naguru-24h'!L98)</f>
        <v>1</v>
      </c>
      <c r="M98" s="49">
        <f>AVERAGE('01.08 Nakawa-Naguru-24h'!M98,'03.08 Nakawa-Naguru-24h'!M98)</f>
        <v>0</v>
      </c>
      <c r="N98" s="49">
        <f>AVERAGE('01.08 Nakawa-Naguru-24h'!N98,'03.08 Nakawa-Naguru-24h'!N98)</f>
        <v>0</v>
      </c>
      <c r="O98" s="15">
        <f t="shared" si="35"/>
        <v>6</v>
      </c>
      <c r="P98" s="15">
        <f t="shared" si="36"/>
        <v>6</v>
      </c>
      <c r="R98" s="8"/>
      <c r="T98"/>
    </row>
    <row r="99" spans="2:20" ht="23.1" customHeight="1" x14ac:dyDescent="0.25">
      <c r="B99" s="23" t="s">
        <v>139</v>
      </c>
      <c r="C99" s="49">
        <f>AVERAGE('01.08 Nakawa-Naguru-24h'!C99,'03.08 Nakawa-Naguru-24h'!C99)</f>
        <v>6</v>
      </c>
      <c r="D99" s="49">
        <f>AVERAGE('01.08 Nakawa-Naguru-24h'!D99,'03.08 Nakawa-Naguru-24h'!D99)</f>
        <v>2</v>
      </c>
      <c r="E99" s="49">
        <f>AVERAGE('01.08 Nakawa-Naguru-24h'!E99,'03.08 Nakawa-Naguru-24h'!E99)</f>
        <v>1</v>
      </c>
      <c r="F99" s="49">
        <f>AVERAGE('01.08 Nakawa-Naguru-24h'!F99,'03.08 Nakawa-Naguru-24h'!F99)</f>
        <v>0.5</v>
      </c>
      <c r="G99" s="49">
        <f>AVERAGE('01.08 Nakawa-Naguru-24h'!G99,'03.08 Nakawa-Naguru-24h'!G99)</f>
        <v>0</v>
      </c>
      <c r="H99" s="49">
        <f>AVERAGE('01.08 Nakawa-Naguru-24h'!H99,'03.08 Nakawa-Naguru-24h'!H99)</f>
        <v>0</v>
      </c>
      <c r="I99" s="49">
        <f>AVERAGE('01.08 Nakawa-Naguru-24h'!I99,'03.08 Nakawa-Naguru-24h'!I99)</f>
        <v>0</v>
      </c>
      <c r="J99" s="49">
        <f>AVERAGE('01.08 Nakawa-Naguru-24h'!J99,'03.08 Nakawa-Naguru-24h'!J99)</f>
        <v>0</v>
      </c>
      <c r="K99" s="49">
        <f>AVERAGE('01.08 Nakawa-Naguru-24h'!K99,'03.08 Nakawa-Naguru-24h'!K99)</f>
        <v>0.5</v>
      </c>
      <c r="L99" s="49">
        <f>AVERAGE('01.08 Nakawa-Naguru-24h'!L99,'03.08 Nakawa-Naguru-24h'!L99)</f>
        <v>0</v>
      </c>
      <c r="M99" s="49">
        <f>AVERAGE('01.08 Nakawa-Naguru-24h'!M99,'03.08 Nakawa-Naguru-24h'!M99)</f>
        <v>1.5</v>
      </c>
      <c r="N99" s="49">
        <f>AVERAGE('01.08 Nakawa-Naguru-24h'!N99,'03.08 Nakawa-Naguru-24h'!N99)</f>
        <v>0</v>
      </c>
      <c r="O99" s="15">
        <f t="shared" si="35"/>
        <v>10</v>
      </c>
      <c r="P99" s="15">
        <f t="shared" si="36"/>
        <v>11.5</v>
      </c>
      <c r="R99" s="8"/>
      <c r="T99"/>
    </row>
    <row r="100" spans="2:20" ht="23.1" customHeight="1" x14ac:dyDescent="0.25">
      <c r="B100" s="25" t="s">
        <v>140</v>
      </c>
      <c r="C100" s="49">
        <f>AVERAGE('01.08 Nakawa-Naguru-24h'!C100,'03.08 Nakawa-Naguru-24h'!C100)</f>
        <v>8</v>
      </c>
      <c r="D100" s="49">
        <f>AVERAGE('01.08 Nakawa-Naguru-24h'!D100,'03.08 Nakawa-Naguru-24h'!D100)</f>
        <v>3.5</v>
      </c>
      <c r="E100" s="49">
        <f>AVERAGE('01.08 Nakawa-Naguru-24h'!E100,'03.08 Nakawa-Naguru-24h'!E100)</f>
        <v>1.5</v>
      </c>
      <c r="F100" s="49">
        <f>AVERAGE('01.08 Nakawa-Naguru-24h'!F100,'03.08 Nakawa-Naguru-24h'!F100)</f>
        <v>1</v>
      </c>
      <c r="G100" s="49">
        <f>AVERAGE('01.08 Nakawa-Naguru-24h'!G100,'03.08 Nakawa-Naguru-24h'!G100)</f>
        <v>0.5</v>
      </c>
      <c r="H100" s="49">
        <f>AVERAGE('01.08 Nakawa-Naguru-24h'!H100,'03.08 Nakawa-Naguru-24h'!H100)</f>
        <v>0</v>
      </c>
      <c r="I100" s="49">
        <f>AVERAGE('01.08 Nakawa-Naguru-24h'!I100,'03.08 Nakawa-Naguru-24h'!I100)</f>
        <v>0</v>
      </c>
      <c r="J100" s="49">
        <f>AVERAGE('01.08 Nakawa-Naguru-24h'!J100,'03.08 Nakawa-Naguru-24h'!J100)</f>
        <v>0</v>
      </c>
      <c r="K100" s="49">
        <f>AVERAGE('01.08 Nakawa-Naguru-24h'!K100,'03.08 Nakawa-Naguru-24h'!K100)</f>
        <v>0.5</v>
      </c>
      <c r="L100" s="49">
        <f>AVERAGE('01.08 Nakawa-Naguru-24h'!L100,'03.08 Nakawa-Naguru-24h'!L100)</f>
        <v>0</v>
      </c>
      <c r="M100" s="49">
        <f>AVERAGE('01.08 Nakawa-Naguru-24h'!M100,'03.08 Nakawa-Naguru-24h'!M100)</f>
        <v>1.5</v>
      </c>
      <c r="N100" s="49">
        <f>AVERAGE('01.08 Nakawa-Naguru-24h'!N100,'03.08 Nakawa-Naguru-24h'!N100)</f>
        <v>0</v>
      </c>
      <c r="O100" s="15">
        <f t="shared" si="35"/>
        <v>15</v>
      </c>
      <c r="P100" s="15">
        <f t="shared" si="36"/>
        <v>16.5</v>
      </c>
      <c r="R100" s="8"/>
      <c r="T100"/>
    </row>
    <row r="101" spans="2:20" ht="23.1" customHeight="1" x14ac:dyDescent="0.25">
      <c r="B101" s="23" t="s">
        <v>141</v>
      </c>
      <c r="C101" s="49">
        <f>AVERAGE('01.08 Nakawa-Naguru-24h'!C101,'03.08 Nakawa-Naguru-24h'!C101)</f>
        <v>8</v>
      </c>
      <c r="D101" s="49">
        <f>AVERAGE('01.08 Nakawa-Naguru-24h'!D101,'03.08 Nakawa-Naguru-24h'!D101)</f>
        <v>2</v>
      </c>
      <c r="E101" s="49">
        <f>AVERAGE('01.08 Nakawa-Naguru-24h'!E101,'03.08 Nakawa-Naguru-24h'!E101)</f>
        <v>1.5</v>
      </c>
      <c r="F101" s="49">
        <f>AVERAGE('01.08 Nakawa-Naguru-24h'!F101,'03.08 Nakawa-Naguru-24h'!F101)</f>
        <v>1</v>
      </c>
      <c r="G101" s="49">
        <f>AVERAGE('01.08 Nakawa-Naguru-24h'!G101,'03.08 Nakawa-Naguru-24h'!G101)</f>
        <v>0</v>
      </c>
      <c r="H101" s="49">
        <f>AVERAGE('01.08 Nakawa-Naguru-24h'!H101,'03.08 Nakawa-Naguru-24h'!H101)</f>
        <v>0</v>
      </c>
      <c r="I101" s="49">
        <f>AVERAGE('01.08 Nakawa-Naguru-24h'!I101,'03.08 Nakawa-Naguru-24h'!I101)</f>
        <v>0</v>
      </c>
      <c r="J101" s="49">
        <f>AVERAGE('01.08 Nakawa-Naguru-24h'!J101,'03.08 Nakawa-Naguru-24h'!J101)</f>
        <v>0</v>
      </c>
      <c r="K101" s="49">
        <f>AVERAGE('01.08 Nakawa-Naguru-24h'!K101,'03.08 Nakawa-Naguru-24h'!K101)</f>
        <v>0</v>
      </c>
      <c r="L101" s="49">
        <f>AVERAGE('01.08 Nakawa-Naguru-24h'!L101,'03.08 Nakawa-Naguru-24h'!L101)</f>
        <v>0</v>
      </c>
      <c r="M101" s="49">
        <f>AVERAGE('01.08 Nakawa-Naguru-24h'!M101,'03.08 Nakawa-Naguru-24h'!M101)</f>
        <v>3</v>
      </c>
      <c r="N101" s="49">
        <f>AVERAGE('01.08 Nakawa-Naguru-24h'!N101,'03.08 Nakawa-Naguru-24h'!N101)</f>
        <v>0</v>
      </c>
      <c r="O101" s="15">
        <f t="shared" si="35"/>
        <v>12.5</v>
      </c>
      <c r="P101" s="15">
        <f t="shared" si="36"/>
        <v>15.5</v>
      </c>
      <c r="R101" s="8"/>
      <c r="T101"/>
    </row>
    <row r="102" spans="2:20" ht="23.1" customHeight="1" x14ac:dyDescent="0.25">
      <c r="B102" s="24" t="s">
        <v>142</v>
      </c>
      <c r="C102" s="49">
        <f>AVERAGE('01.08 Nakawa-Naguru-24h'!C102,'03.08 Nakawa-Naguru-24h'!C102)</f>
        <v>10.5</v>
      </c>
      <c r="D102" s="49">
        <f>AVERAGE('01.08 Nakawa-Naguru-24h'!D102,'03.08 Nakawa-Naguru-24h'!D102)</f>
        <v>7</v>
      </c>
      <c r="E102" s="49">
        <f>AVERAGE('01.08 Nakawa-Naguru-24h'!E102,'03.08 Nakawa-Naguru-24h'!E102)</f>
        <v>2.5</v>
      </c>
      <c r="F102" s="49">
        <f>AVERAGE('01.08 Nakawa-Naguru-24h'!F102,'03.08 Nakawa-Naguru-24h'!F102)</f>
        <v>3</v>
      </c>
      <c r="G102" s="49">
        <f>AVERAGE('01.08 Nakawa-Naguru-24h'!G102,'03.08 Nakawa-Naguru-24h'!G102)</f>
        <v>0.5</v>
      </c>
      <c r="H102" s="49">
        <f>AVERAGE('01.08 Nakawa-Naguru-24h'!H102,'03.08 Nakawa-Naguru-24h'!H102)</f>
        <v>0</v>
      </c>
      <c r="I102" s="49">
        <f>AVERAGE('01.08 Nakawa-Naguru-24h'!I102,'03.08 Nakawa-Naguru-24h'!I102)</f>
        <v>0</v>
      </c>
      <c r="J102" s="49">
        <f>AVERAGE('01.08 Nakawa-Naguru-24h'!J102,'03.08 Nakawa-Naguru-24h'!J102)</f>
        <v>0</v>
      </c>
      <c r="K102" s="49">
        <f>AVERAGE('01.08 Nakawa-Naguru-24h'!K102,'03.08 Nakawa-Naguru-24h'!K102)</f>
        <v>0</v>
      </c>
      <c r="L102" s="49">
        <f>AVERAGE('01.08 Nakawa-Naguru-24h'!L102,'03.08 Nakawa-Naguru-24h'!L102)</f>
        <v>0</v>
      </c>
      <c r="M102" s="49">
        <f>AVERAGE('01.08 Nakawa-Naguru-24h'!M102,'03.08 Nakawa-Naguru-24h'!M102)</f>
        <v>2</v>
      </c>
      <c r="N102" s="49">
        <f>AVERAGE('01.08 Nakawa-Naguru-24h'!N102,'03.08 Nakawa-Naguru-24h'!N102)</f>
        <v>0</v>
      </c>
      <c r="O102" s="15">
        <f t="shared" si="35"/>
        <v>23.5</v>
      </c>
      <c r="P102" s="15">
        <f t="shared" si="36"/>
        <v>25.5</v>
      </c>
      <c r="R102" s="8"/>
      <c r="T102"/>
    </row>
    <row r="103" spans="2:20" ht="23.1" customHeight="1" x14ac:dyDescent="0.25">
      <c r="B103" s="23" t="s">
        <v>143</v>
      </c>
      <c r="C103" s="49">
        <f>AVERAGE('01.08 Nakawa-Naguru-24h'!C103,'03.08 Nakawa-Naguru-24h'!C103)</f>
        <v>9</v>
      </c>
      <c r="D103" s="49">
        <f>AVERAGE('01.08 Nakawa-Naguru-24h'!D103,'03.08 Nakawa-Naguru-24h'!D103)</f>
        <v>1</v>
      </c>
      <c r="E103" s="49">
        <f>AVERAGE('01.08 Nakawa-Naguru-24h'!E103,'03.08 Nakawa-Naguru-24h'!E103)</f>
        <v>5</v>
      </c>
      <c r="F103" s="49">
        <f>AVERAGE('01.08 Nakawa-Naguru-24h'!F103,'03.08 Nakawa-Naguru-24h'!F103)</f>
        <v>0.5</v>
      </c>
      <c r="G103" s="49">
        <f>AVERAGE('01.08 Nakawa-Naguru-24h'!G103,'03.08 Nakawa-Naguru-24h'!G103)</f>
        <v>0</v>
      </c>
      <c r="H103" s="49">
        <f>AVERAGE('01.08 Nakawa-Naguru-24h'!H103,'03.08 Nakawa-Naguru-24h'!H103)</f>
        <v>0</v>
      </c>
      <c r="I103" s="49">
        <f>AVERAGE('01.08 Nakawa-Naguru-24h'!I103,'03.08 Nakawa-Naguru-24h'!I103)</f>
        <v>1</v>
      </c>
      <c r="J103" s="49">
        <f>AVERAGE('01.08 Nakawa-Naguru-24h'!J103,'03.08 Nakawa-Naguru-24h'!J103)</f>
        <v>0.5</v>
      </c>
      <c r="K103" s="49">
        <f>AVERAGE('01.08 Nakawa-Naguru-24h'!K103,'03.08 Nakawa-Naguru-24h'!K103)</f>
        <v>0</v>
      </c>
      <c r="L103" s="49">
        <f>AVERAGE('01.08 Nakawa-Naguru-24h'!L103,'03.08 Nakawa-Naguru-24h'!L103)</f>
        <v>0</v>
      </c>
      <c r="M103" s="49">
        <f>AVERAGE('01.08 Nakawa-Naguru-24h'!M103,'03.08 Nakawa-Naguru-24h'!M103)</f>
        <v>9</v>
      </c>
      <c r="N103" s="49">
        <f>AVERAGE('01.08 Nakawa-Naguru-24h'!N103,'03.08 Nakawa-Naguru-24h'!N103)</f>
        <v>0</v>
      </c>
      <c r="O103" s="15">
        <f t="shared" si="35"/>
        <v>17</v>
      </c>
      <c r="P103" s="15">
        <f>SUM(C103:N103)</f>
        <v>26</v>
      </c>
      <c r="R103" s="8"/>
      <c r="T103"/>
    </row>
    <row r="104" spans="2:20" ht="23.1" customHeight="1" x14ac:dyDescent="0.25">
      <c r="B104" s="25" t="s">
        <v>144</v>
      </c>
      <c r="C104" s="49">
        <f>AVERAGE('01.08 Nakawa-Naguru-24h'!C104,'03.08 Nakawa-Naguru-24h'!C104)</f>
        <v>29</v>
      </c>
      <c r="D104" s="49">
        <f>AVERAGE('01.08 Nakawa-Naguru-24h'!D104,'03.08 Nakawa-Naguru-24h'!D104)</f>
        <v>5.5</v>
      </c>
      <c r="E104" s="49">
        <f>AVERAGE('01.08 Nakawa-Naguru-24h'!E104,'03.08 Nakawa-Naguru-24h'!E104)</f>
        <v>6</v>
      </c>
      <c r="F104" s="49">
        <f>AVERAGE('01.08 Nakawa-Naguru-24h'!F104,'03.08 Nakawa-Naguru-24h'!F104)</f>
        <v>4</v>
      </c>
      <c r="G104" s="49">
        <f>AVERAGE('01.08 Nakawa-Naguru-24h'!G104,'03.08 Nakawa-Naguru-24h'!G104)</f>
        <v>0</v>
      </c>
      <c r="H104" s="49">
        <f>AVERAGE('01.08 Nakawa-Naguru-24h'!H104,'03.08 Nakawa-Naguru-24h'!H104)</f>
        <v>0</v>
      </c>
      <c r="I104" s="49">
        <f>AVERAGE('01.08 Nakawa-Naguru-24h'!I104,'03.08 Nakawa-Naguru-24h'!I104)</f>
        <v>1.5</v>
      </c>
      <c r="J104" s="49">
        <f>AVERAGE('01.08 Nakawa-Naguru-24h'!J104,'03.08 Nakawa-Naguru-24h'!J104)</f>
        <v>0</v>
      </c>
      <c r="K104" s="49">
        <f>AVERAGE('01.08 Nakawa-Naguru-24h'!K104,'03.08 Nakawa-Naguru-24h'!K104)</f>
        <v>0</v>
      </c>
      <c r="L104" s="49">
        <f>AVERAGE('01.08 Nakawa-Naguru-24h'!L104,'03.08 Nakawa-Naguru-24h'!L104)</f>
        <v>0</v>
      </c>
      <c r="M104" s="49">
        <f>AVERAGE('01.08 Nakawa-Naguru-24h'!M104,'03.08 Nakawa-Naguru-24h'!M104)</f>
        <v>11.5</v>
      </c>
      <c r="N104" s="49">
        <f>AVERAGE('01.08 Nakawa-Naguru-24h'!N104,'03.08 Nakawa-Naguru-24h'!N104)</f>
        <v>0</v>
      </c>
      <c r="O104" s="15">
        <f t="shared" si="35"/>
        <v>46</v>
      </c>
      <c r="P104" s="15">
        <f t="shared" si="36"/>
        <v>57.5</v>
      </c>
      <c r="R104" s="8"/>
      <c r="T104"/>
    </row>
    <row r="105" spans="2:20" ht="23.1" customHeight="1" x14ac:dyDescent="0.25">
      <c r="B105" s="23" t="s">
        <v>145</v>
      </c>
      <c r="C105" s="49">
        <f>AVERAGE('01.08 Nakawa-Naguru-24h'!C105,'03.08 Nakawa-Naguru-24h'!C105)</f>
        <v>17.5</v>
      </c>
      <c r="D105" s="49">
        <f>AVERAGE('01.08 Nakawa-Naguru-24h'!D105,'03.08 Nakawa-Naguru-24h'!D105)</f>
        <v>6</v>
      </c>
      <c r="E105" s="49">
        <f>AVERAGE('01.08 Nakawa-Naguru-24h'!E105,'03.08 Nakawa-Naguru-24h'!E105)</f>
        <v>4</v>
      </c>
      <c r="F105" s="49">
        <f>AVERAGE('01.08 Nakawa-Naguru-24h'!F105,'03.08 Nakawa-Naguru-24h'!F105)</f>
        <v>2</v>
      </c>
      <c r="G105" s="49">
        <f>AVERAGE('01.08 Nakawa-Naguru-24h'!G105,'03.08 Nakawa-Naguru-24h'!G105)</f>
        <v>0</v>
      </c>
      <c r="H105" s="49">
        <f>AVERAGE('01.08 Nakawa-Naguru-24h'!H105,'03.08 Nakawa-Naguru-24h'!H105)</f>
        <v>0</v>
      </c>
      <c r="I105" s="49">
        <f>AVERAGE('01.08 Nakawa-Naguru-24h'!I105,'03.08 Nakawa-Naguru-24h'!I105)</f>
        <v>0.5</v>
      </c>
      <c r="J105" s="49">
        <f>AVERAGE('01.08 Nakawa-Naguru-24h'!J105,'03.08 Nakawa-Naguru-24h'!J105)</f>
        <v>0</v>
      </c>
      <c r="K105" s="49">
        <f>AVERAGE('01.08 Nakawa-Naguru-24h'!K105,'03.08 Nakawa-Naguru-24h'!K105)</f>
        <v>0.5</v>
      </c>
      <c r="L105" s="49">
        <f>AVERAGE('01.08 Nakawa-Naguru-24h'!L105,'03.08 Nakawa-Naguru-24h'!L105)</f>
        <v>0</v>
      </c>
      <c r="M105" s="49">
        <f>AVERAGE('01.08 Nakawa-Naguru-24h'!M105,'03.08 Nakawa-Naguru-24h'!M105)</f>
        <v>19.5</v>
      </c>
      <c r="N105" s="49">
        <f>AVERAGE('01.08 Nakawa-Naguru-24h'!N105,'03.08 Nakawa-Naguru-24h'!N105)</f>
        <v>0</v>
      </c>
      <c r="O105" s="15">
        <f t="shared" si="35"/>
        <v>30.5</v>
      </c>
      <c r="P105" s="15">
        <f t="shared" si="36"/>
        <v>50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5148</v>
      </c>
      <c r="D106" s="16">
        <f t="shared" ref="D106:O106" si="37">SUM(D10:D105)</f>
        <v>3631.5</v>
      </c>
      <c r="E106" s="16">
        <f t="shared" si="37"/>
        <v>763.57142857142844</v>
      </c>
      <c r="F106" s="16">
        <f t="shared" si="37"/>
        <v>462.21428571428578</v>
      </c>
      <c r="G106" s="16">
        <f t="shared" si="37"/>
        <v>22.571428571428573</v>
      </c>
      <c r="H106" s="16">
        <f t="shared" si="37"/>
        <v>17</v>
      </c>
      <c r="I106" s="16">
        <f t="shared" si="37"/>
        <v>126.04761904761904</v>
      </c>
      <c r="J106" s="16">
        <f t="shared" si="37"/>
        <v>48.857142857142847</v>
      </c>
      <c r="K106" s="16">
        <f t="shared" si="37"/>
        <v>28.642857142857146</v>
      </c>
      <c r="L106" s="16">
        <f t="shared" si="37"/>
        <v>6.8571428571428559</v>
      </c>
      <c r="M106" s="16">
        <f t="shared" si="37"/>
        <v>2915.9285714285711</v>
      </c>
      <c r="N106" s="16">
        <f t="shared" si="37"/>
        <v>1.1428571428571426</v>
      </c>
      <c r="O106" s="16">
        <f t="shared" si="37"/>
        <v>10256.404761904763</v>
      </c>
      <c r="P106" s="16">
        <f>SUM(P10:P105)</f>
        <v>13172.333333333332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0.39081914112913435</v>
      </c>
      <c r="D107" s="43">
        <f t="shared" si="38"/>
        <v>0.27569147455525472</v>
      </c>
      <c r="E107" s="43">
        <f t="shared" si="38"/>
        <v>5.7967818551870984E-2</v>
      </c>
      <c r="F107" s="43">
        <f t="shared" si="38"/>
        <v>3.5089780528452498E-2</v>
      </c>
      <c r="G107" s="43">
        <f t="shared" si="38"/>
        <v>1.7135482378289274E-3</v>
      </c>
      <c r="H107" s="43">
        <f t="shared" si="38"/>
        <v>1.2905837993774831E-3</v>
      </c>
      <c r="I107" s="43">
        <f t="shared" si="38"/>
        <v>9.5691185348801052E-3</v>
      </c>
      <c r="J107" s="43">
        <f t="shared" si="38"/>
        <v>3.7090727679588167E-3</v>
      </c>
      <c r="K107" s="43">
        <f t="shared" si="38"/>
        <v>2.1744710233208859E-3</v>
      </c>
      <c r="L107" s="43">
        <f t="shared" si="38"/>
        <v>5.2057161655562334E-4</v>
      </c>
      <c r="M107" s="43">
        <f t="shared" si="38"/>
        <v>0.22136765731927308</v>
      </c>
      <c r="N107" s="43">
        <f t="shared" si="38"/>
        <v>8.6761936092603895E-5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0.50193026889121539</v>
      </c>
      <c r="D108" s="44">
        <f t="shared" ref="D108:N108" si="39">D106/$O$106</f>
        <v>0.35407143968112836</v>
      </c>
      <c r="E108" s="44">
        <f t="shared" si="39"/>
        <v>7.4448254168707567E-2</v>
      </c>
      <c r="F108" s="44">
        <f t="shared" si="39"/>
        <v>4.5065916999598395E-2</v>
      </c>
      <c r="G108" s="44">
        <f t="shared" si="39"/>
        <v>2.2007154646689988E-3</v>
      </c>
      <c r="H108" s="44">
        <f t="shared" si="39"/>
        <v>1.6575008879469041E-3</v>
      </c>
      <c r="I108" s="44">
        <f t="shared" si="39"/>
        <v>1.2289649440883626E-2</v>
      </c>
      <c r="J108" s="44">
        <f t="shared" si="39"/>
        <v>4.7635739804860596E-3</v>
      </c>
      <c r="K108" s="44">
        <f t="shared" si="39"/>
        <v>2.7926800675071787E-3</v>
      </c>
      <c r="L108" s="44">
        <f t="shared" si="39"/>
        <v>6.6857178673488554E-4</v>
      </c>
      <c r="M108" s="44"/>
      <c r="N108" s="44">
        <f t="shared" si="39"/>
        <v>1.1142863112248091E-4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L40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Nakawa-Naguru'!C3:G3</f>
        <v>MCC - C1 - STN46 - KATALIMA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Nakawa-Naguru'!G5:H5</f>
        <v>POLICE HEADQUATER</v>
      </c>
      <c r="H5" s="64"/>
      <c r="I5" s="14"/>
      <c r="J5" s="2" t="s">
        <v>5</v>
      </c>
      <c r="K5" s="63" t="str">
        <f>'Avg Week Nakawa-Naguru'!K5:L5</f>
        <v>MBERE I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Nakawa-Naguru'!K6:L6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Naguru-Nakawa'!C10+'Avg Week Nakawa-Naguru'!C10</f>
        <v>74</v>
      </c>
      <c r="D10" s="49">
        <f>'Avg Week Naguru-Nakawa'!D10+'Avg Week Nakawa-Naguru'!D10</f>
        <v>27.714285714285715</v>
      </c>
      <c r="E10" s="49">
        <f>'Avg Week Naguru-Nakawa'!E10+'Avg Week Nakawa-Naguru'!E10</f>
        <v>9.5714285714285712</v>
      </c>
      <c r="F10" s="49">
        <f>'Avg Week Naguru-Nakawa'!F10+'Avg Week Nakawa-Naguru'!F10</f>
        <v>10.285714285714285</v>
      </c>
      <c r="G10" s="49">
        <f>'Avg Week Naguru-Nakawa'!G10+'Avg Week Nakawa-Naguru'!G10</f>
        <v>0.14285714285714285</v>
      </c>
      <c r="H10" s="49">
        <f>'Avg Week Naguru-Nakawa'!H10+'Avg Week Nakawa-Naguru'!H10</f>
        <v>0</v>
      </c>
      <c r="I10" s="49">
        <f>'Avg Week Naguru-Nakawa'!I10+'Avg Week Nakawa-Naguru'!I10</f>
        <v>1.2857142857142856</v>
      </c>
      <c r="J10" s="49">
        <f>'Avg Week Naguru-Nakawa'!J10+'Avg Week Nakawa-Naguru'!J10</f>
        <v>0.7142857142857143</v>
      </c>
      <c r="K10" s="49">
        <f>'Avg Week Naguru-Nakawa'!K10+'Avg Week Nakawa-Naguru'!K10</f>
        <v>0</v>
      </c>
      <c r="L10" s="49">
        <f>'Avg Week Naguru-Nakawa'!L10+'Avg Week Nakawa-Naguru'!L10</f>
        <v>0</v>
      </c>
      <c r="M10" s="49">
        <f>'Avg Week Naguru-Nakawa'!M10+'Avg Week Nakawa-Naguru'!M10</f>
        <v>34.142857142857146</v>
      </c>
      <c r="N10" s="49">
        <f>'Avg Week Naguru-Nakawa'!N10+'Avg Week Nakawa-Naguru'!N10</f>
        <v>0</v>
      </c>
      <c r="O10" s="15">
        <f t="shared" ref="O10:O73" si="0">SUM(C10:L10,N10)</f>
        <v>123.71428571428572</v>
      </c>
      <c r="P10" s="15">
        <f t="shared" ref="P10:P73" si="1">SUM(C10:N10)</f>
        <v>157.85714285714286</v>
      </c>
      <c r="R10" s="1" t="s">
        <v>6</v>
      </c>
      <c r="S10" s="17">
        <f t="shared" ref="S10:AF10" si="2">SUM(C10:C13)</f>
        <v>443.14285714285711</v>
      </c>
      <c r="T10" s="17">
        <f t="shared" si="2"/>
        <v>158</v>
      </c>
      <c r="U10" s="17">
        <f t="shared" si="2"/>
        <v>55.285714285714285</v>
      </c>
      <c r="V10" s="17">
        <f t="shared" si="2"/>
        <v>62.285714285714285</v>
      </c>
      <c r="W10" s="17">
        <f t="shared" si="2"/>
        <v>2</v>
      </c>
      <c r="X10" s="17">
        <f t="shared" si="2"/>
        <v>0.14285714285714285</v>
      </c>
      <c r="Y10" s="17">
        <f t="shared" si="2"/>
        <v>6.4047619047619051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322.14285714285711</v>
      </c>
      <c r="AD10" s="17">
        <f t="shared" si="2"/>
        <v>10.285714285714286</v>
      </c>
      <c r="AE10" s="31">
        <f t="shared" si="2"/>
        <v>740.54761904761904</v>
      </c>
      <c r="AF10" s="31">
        <f t="shared" si="2"/>
        <v>1062.6904761904761</v>
      </c>
    </row>
    <row r="11" spans="2:32" s="6" customFormat="1" ht="23.1" customHeight="1" x14ac:dyDescent="0.25">
      <c r="B11" s="23" t="s">
        <v>38</v>
      </c>
      <c r="C11" s="49">
        <f>'Avg Week Naguru-Nakawa'!C11+'Avg Week Nakawa-Naguru'!C11</f>
        <v>105.42857142857142</v>
      </c>
      <c r="D11" s="49">
        <f>'Avg Week Naguru-Nakawa'!D11+'Avg Week Nakawa-Naguru'!D11</f>
        <v>38.714285714285715</v>
      </c>
      <c r="E11" s="49">
        <f>'Avg Week Naguru-Nakawa'!E11+'Avg Week Nakawa-Naguru'!E11</f>
        <v>12</v>
      </c>
      <c r="F11" s="49">
        <f>'Avg Week Naguru-Nakawa'!F11+'Avg Week Nakawa-Naguru'!F11</f>
        <v>13.142857142857142</v>
      </c>
      <c r="G11" s="49">
        <f>'Avg Week Naguru-Nakawa'!G11+'Avg Week Nakawa-Naguru'!G11</f>
        <v>0.14285714285714285</v>
      </c>
      <c r="H11" s="49">
        <f>'Avg Week Naguru-Nakawa'!H11+'Avg Week Nakawa-Naguru'!H11</f>
        <v>0.14285714285714285</v>
      </c>
      <c r="I11" s="49">
        <f>'Avg Week Naguru-Nakawa'!I11+'Avg Week Nakawa-Naguru'!I11</f>
        <v>1.1190476190476191</v>
      </c>
      <c r="J11" s="49">
        <f>'Avg Week Naguru-Nakawa'!J11+'Avg Week Nakawa-Naguru'!J11</f>
        <v>0.5714285714285714</v>
      </c>
      <c r="K11" s="49">
        <f>'Avg Week Naguru-Nakawa'!K11+'Avg Week Nakawa-Naguru'!K11</f>
        <v>0</v>
      </c>
      <c r="L11" s="49">
        <f>'Avg Week Naguru-Nakawa'!L11+'Avg Week Nakawa-Naguru'!L11</f>
        <v>0</v>
      </c>
      <c r="M11" s="49">
        <f>'Avg Week Naguru-Nakawa'!M11+'Avg Week Nakawa-Naguru'!M11</f>
        <v>76.285714285714278</v>
      </c>
      <c r="N11" s="49">
        <f>'Avg Week Naguru-Nakawa'!N11+'Avg Week Nakawa-Naguru'!N11</f>
        <v>0</v>
      </c>
      <c r="O11" s="15">
        <f t="shared" si="0"/>
        <v>171.26190476190476</v>
      </c>
      <c r="P11" s="15">
        <f t="shared" si="1"/>
        <v>247.54761904761904</v>
      </c>
      <c r="R11" s="1" t="s">
        <v>7</v>
      </c>
      <c r="S11" s="17">
        <f t="shared" ref="S11:AF11" si="3">SUM(C14:C17)</f>
        <v>628.14285714285711</v>
      </c>
      <c r="T11" s="17">
        <f t="shared" si="3"/>
        <v>211.71428571428572</v>
      </c>
      <c r="U11" s="17">
        <f t="shared" si="3"/>
        <v>76.571428571428569</v>
      </c>
      <c r="V11" s="17">
        <f t="shared" si="3"/>
        <v>92.571428571428569</v>
      </c>
      <c r="W11" s="17">
        <f t="shared" si="3"/>
        <v>0.42857142857142855</v>
      </c>
      <c r="X11" s="17">
        <f t="shared" si="3"/>
        <v>0.42857142857142855</v>
      </c>
      <c r="Y11" s="17">
        <f t="shared" si="3"/>
        <v>15.285714285714286</v>
      </c>
      <c r="Z11" s="17">
        <f t="shared" si="3"/>
        <v>6.4285714285714288</v>
      </c>
      <c r="AA11" s="17">
        <f t="shared" si="3"/>
        <v>0.8571428571428571</v>
      </c>
      <c r="AB11" s="17">
        <f t="shared" si="3"/>
        <v>0.5714285714285714</v>
      </c>
      <c r="AC11" s="17">
        <f t="shared" si="3"/>
        <v>572.28571428571422</v>
      </c>
      <c r="AD11" s="17">
        <f t="shared" si="3"/>
        <v>0.14285714285714285</v>
      </c>
      <c r="AE11" s="31">
        <f t="shared" si="3"/>
        <v>1033.1428571428571</v>
      </c>
      <c r="AF11" s="31">
        <f t="shared" si="3"/>
        <v>1605.4285714285713</v>
      </c>
    </row>
    <row r="12" spans="2:32" ht="23.1" customHeight="1" x14ac:dyDescent="0.25">
      <c r="B12" s="23" t="s">
        <v>39</v>
      </c>
      <c r="C12" s="49">
        <f>'Avg Week Naguru-Nakawa'!C12+'Avg Week Nakawa-Naguru'!C12</f>
        <v>124.85714285714285</v>
      </c>
      <c r="D12" s="49">
        <f>'Avg Week Naguru-Nakawa'!D12+'Avg Week Nakawa-Naguru'!D12</f>
        <v>46.714285714285715</v>
      </c>
      <c r="E12" s="49">
        <f>'Avg Week Naguru-Nakawa'!E12+'Avg Week Nakawa-Naguru'!E12</f>
        <v>19.428571428571431</v>
      </c>
      <c r="F12" s="49">
        <f>'Avg Week Naguru-Nakawa'!F12+'Avg Week Nakawa-Naguru'!F12</f>
        <v>19.857142857142858</v>
      </c>
      <c r="G12" s="49">
        <f>'Avg Week Naguru-Nakawa'!G12+'Avg Week Nakawa-Naguru'!G12</f>
        <v>0.2857142857142857</v>
      </c>
      <c r="H12" s="49">
        <f>'Avg Week Naguru-Nakawa'!H12+'Avg Week Nakawa-Naguru'!H12</f>
        <v>0</v>
      </c>
      <c r="I12" s="49">
        <f>'Avg Week Naguru-Nakawa'!I12+'Avg Week Nakawa-Naguru'!I12</f>
        <v>1.5714285714285714</v>
      </c>
      <c r="J12" s="49">
        <f>'Avg Week Naguru-Nakawa'!J12+'Avg Week Nakawa-Naguru'!J12</f>
        <v>0.71428571428571419</v>
      </c>
      <c r="K12" s="49">
        <f>'Avg Week Naguru-Nakawa'!K12+'Avg Week Nakawa-Naguru'!K12</f>
        <v>0</v>
      </c>
      <c r="L12" s="49">
        <f>'Avg Week Naguru-Nakawa'!L12+'Avg Week Nakawa-Naguru'!L12</f>
        <v>0</v>
      </c>
      <c r="M12" s="49">
        <f>'Avg Week Naguru-Nakawa'!M12+'Avg Week Nakawa-Naguru'!M12</f>
        <v>91.285714285714278</v>
      </c>
      <c r="N12" s="49">
        <f>'Avg Week Naguru-Nakawa'!N12+'Avg Week Nakawa-Naguru'!N12</f>
        <v>10.285714285714286</v>
      </c>
      <c r="O12" s="15">
        <f t="shared" si="0"/>
        <v>223.71428571428572</v>
      </c>
      <c r="P12" s="15">
        <f t="shared" si="1"/>
        <v>315</v>
      </c>
      <c r="R12" s="1" t="s">
        <v>8</v>
      </c>
      <c r="S12" s="17">
        <f t="shared" ref="S12:AF12" si="4">SUM(C18:C21)</f>
        <v>549.57142857142844</v>
      </c>
      <c r="T12" s="17">
        <f t="shared" si="4"/>
        <v>225.28571428571428</v>
      </c>
      <c r="U12" s="17">
        <f t="shared" si="4"/>
        <v>82.714285714285708</v>
      </c>
      <c r="V12" s="17">
        <f t="shared" si="4"/>
        <v>68.857142857142861</v>
      </c>
      <c r="W12" s="17">
        <f t="shared" si="4"/>
        <v>1.5714285714285712</v>
      </c>
      <c r="X12" s="17">
        <f t="shared" si="4"/>
        <v>0.14285714285714285</v>
      </c>
      <c r="Y12" s="17">
        <f t="shared" si="4"/>
        <v>21.571428571428569</v>
      </c>
      <c r="Z12" s="17">
        <f t="shared" si="4"/>
        <v>8.2857142857142865</v>
      </c>
      <c r="AA12" s="17">
        <f t="shared" si="4"/>
        <v>2.1428571428571428</v>
      </c>
      <c r="AB12" s="17">
        <f t="shared" si="4"/>
        <v>0.14285714285714285</v>
      </c>
      <c r="AC12" s="17">
        <f t="shared" si="4"/>
        <v>543.14285714285711</v>
      </c>
      <c r="AD12" s="17">
        <f t="shared" si="4"/>
        <v>0</v>
      </c>
      <c r="AE12" s="31">
        <f t="shared" si="4"/>
        <v>960.28571428571433</v>
      </c>
      <c r="AF12" s="31">
        <f t="shared" si="4"/>
        <v>1503.4285714285716</v>
      </c>
    </row>
    <row r="13" spans="2:32" ht="23.1" customHeight="1" x14ac:dyDescent="0.25">
      <c r="B13" s="23" t="s">
        <v>40</v>
      </c>
      <c r="C13" s="49">
        <f>'Avg Week Naguru-Nakawa'!C13+'Avg Week Nakawa-Naguru'!C13</f>
        <v>138.85714285714286</v>
      </c>
      <c r="D13" s="49">
        <f>'Avg Week Naguru-Nakawa'!D13+'Avg Week Nakawa-Naguru'!D13</f>
        <v>44.857142857142861</v>
      </c>
      <c r="E13" s="49">
        <f>'Avg Week Naguru-Nakawa'!E13+'Avg Week Nakawa-Naguru'!E13</f>
        <v>14.285714285714285</v>
      </c>
      <c r="F13" s="49">
        <f>'Avg Week Naguru-Nakawa'!F13+'Avg Week Nakawa-Naguru'!F13</f>
        <v>19</v>
      </c>
      <c r="G13" s="49">
        <f>'Avg Week Naguru-Nakawa'!G13+'Avg Week Nakawa-Naguru'!G13</f>
        <v>1.4285714285714286</v>
      </c>
      <c r="H13" s="49">
        <f>'Avg Week Naguru-Nakawa'!H13+'Avg Week Nakawa-Naguru'!H13</f>
        <v>0</v>
      </c>
      <c r="I13" s="49">
        <f>'Avg Week Naguru-Nakawa'!I13+'Avg Week Nakawa-Naguru'!I13</f>
        <v>2.4285714285714288</v>
      </c>
      <c r="J13" s="49">
        <f>'Avg Week Naguru-Nakawa'!J13+'Avg Week Nakawa-Naguru'!J13</f>
        <v>1</v>
      </c>
      <c r="K13" s="49">
        <f>'Avg Week Naguru-Nakawa'!K13+'Avg Week Nakawa-Naguru'!K13</f>
        <v>0</v>
      </c>
      <c r="L13" s="49">
        <f>'Avg Week Naguru-Nakawa'!L13+'Avg Week Nakawa-Naguru'!L13</f>
        <v>0</v>
      </c>
      <c r="M13" s="49">
        <f>'Avg Week Naguru-Nakawa'!M13+'Avg Week Nakawa-Naguru'!M13</f>
        <v>120.42857142857143</v>
      </c>
      <c r="N13" s="49">
        <f>'Avg Week Naguru-Nakawa'!N13+'Avg Week Nakawa-Naguru'!N13</f>
        <v>0</v>
      </c>
      <c r="O13" s="15">
        <f t="shared" si="0"/>
        <v>221.85714285714283</v>
      </c>
      <c r="P13" s="15">
        <f t="shared" si="1"/>
        <v>342.28571428571428</v>
      </c>
      <c r="R13" s="1" t="s">
        <v>9</v>
      </c>
      <c r="S13" s="17">
        <f t="shared" ref="S13:AF13" si="5">SUM(C22:C25)</f>
        <v>584</v>
      </c>
      <c r="T13" s="17">
        <f t="shared" si="5"/>
        <v>222.42857142857144</v>
      </c>
      <c r="U13" s="17">
        <f t="shared" si="5"/>
        <v>80.428571428571431</v>
      </c>
      <c r="V13" s="17">
        <f t="shared" si="5"/>
        <v>60.428571428571431</v>
      </c>
      <c r="W13" s="17">
        <f t="shared" si="5"/>
        <v>0.99999999999999978</v>
      </c>
      <c r="X13" s="17">
        <f t="shared" si="5"/>
        <v>0.14285714285714285</v>
      </c>
      <c r="Y13" s="17">
        <f t="shared" si="5"/>
        <v>23.571428571428569</v>
      </c>
      <c r="Z13" s="17">
        <f t="shared" si="5"/>
        <v>8</v>
      </c>
      <c r="AA13" s="17">
        <f t="shared" si="5"/>
        <v>1.5714285714285714</v>
      </c>
      <c r="AB13" s="17">
        <f t="shared" si="5"/>
        <v>0.85714285714285698</v>
      </c>
      <c r="AC13" s="17">
        <f t="shared" si="5"/>
        <v>486.42857142857144</v>
      </c>
      <c r="AD13" s="17">
        <f t="shared" si="5"/>
        <v>0.2857142857142857</v>
      </c>
      <c r="AE13" s="31">
        <f t="shared" si="5"/>
        <v>982.71428571428578</v>
      </c>
      <c r="AF13" s="31">
        <f t="shared" si="5"/>
        <v>1469.1428571428571</v>
      </c>
    </row>
    <row r="14" spans="2:32" ht="23.1" customHeight="1" x14ac:dyDescent="0.25">
      <c r="B14" s="23" t="s">
        <v>41</v>
      </c>
      <c r="C14" s="49">
        <f>'Avg Week Naguru-Nakawa'!C14+'Avg Week Nakawa-Naguru'!C14</f>
        <v>134</v>
      </c>
      <c r="D14" s="49">
        <f>'Avg Week Naguru-Nakawa'!D14+'Avg Week Nakawa-Naguru'!D14</f>
        <v>49.857142857142861</v>
      </c>
      <c r="E14" s="49">
        <f>'Avg Week Naguru-Nakawa'!E14+'Avg Week Nakawa-Naguru'!E14</f>
        <v>17.142857142857142</v>
      </c>
      <c r="F14" s="49">
        <f>'Avg Week Naguru-Nakawa'!F14+'Avg Week Nakawa-Naguru'!F14</f>
        <v>20.428571428571431</v>
      </c>
      <c r="G14" s="49">
        <f>'Avg Week Naguru-Nakawa'!G14+'Avg Week Nakawa-Naguru'!G14</f>
        <v>0</v>
      </c>
      <c r="H14" s="49">
        <f>'Avg Week Naguru-Nakawa'!H14+'Avg Week Nakawa-Naguru'!H14</f>
        <v>0.42857142857142855</v>
      </c>
      <c r="I14" s="49">
        <f>'Avg Week Naguru-Nakawa'!I14+'Avg Week Nakawa-Naguru'!I14</f>
        <v>3</v>
      </c>
      <c r="J14" s="49">
        <f>'Avg Week Naguru-Nakawa'!J14+'Avg Week Nakawa-Naguru'!J14</f>
        <v>1.1428571428571428</v>
      </c>
      <c r="K14" s="49">
        <f>'Avg Week Naguru-Nakawa'!K14+'Avg Week Nakawa-Naguru'!K14</f>
        <v>0</v>
      </c>
      <c r="L14" s="49">
        <f>'Avg Week Naguru-Nakawa'!L14+'Avg Week Nakawa-Naguru'!L14</f>
        <v>0</v>
      </c>
      <c r="M14" s="49">
        <f>'Avg Week Naguru-Nakawa'!M14+'Avg Week Nakawa-Naguru'!M14</f>
        <v>142</v>
      </c>
      <c r="N14" s="49">
        <f>'Avg Week Naguru-Nakawa'!N14+'Avg Week Nakawa-Naguru'!N14</f>
        <v>0</v>
      </c>
      <c r="O14" s="15">
        <f t="shared" si="0"/>
        <v>226</v>
      </c>
      <c r="P14" s="15">
        <f t="shared" si="1"/>
        <v>368</v>
      </c>
      <c r="R14" s="1" t="s">
        <v>10</v>
      </c>
      <c r="S14" s="17">
        <f t="shared" ref="S14:AF14" si="6">SUM(C26:C29)</f>
        <v>584.14285714285711</v>
      </c>
      <c r="T14" s="17">
        <f t="shared" si="6"/>
        <v>241.14285714285717</v>
      </c>
      <c r="U14" s="17">
        <f t="shared" si="6"/>
        <v>89.571428571428584</v>
      </c>
      <c r="V14" s="17">
        <f t="shared" si="6"/>
        <v>58.142857142857139</v>
      </c>
      <c r="W14" s="17">
        <f t="shared" si="6"/>
        <v>0.8571428571428571</v>
      </c>
      <c r="X14" s="17">
        <f t="shared" si="6"/>
        <v>0.2857142857142857</v>
      </c>
      <c r="Y14" s="17">
        <f t="shared" si="6"/>
        <v>22.714285714285715</v>
      </c>
      <c r="Z14" s="17">
        <f t="shared" si="6"/>
        <v>8</v>
      </c>
      <c r="AA14" s="17">
        <f t="shared" si="6"/>
        <v>2</v>
      </c>
      <c r="AB14" s="17">
        <f t="shared" si="6"/>
        <v>0.2857142857142857</v>
      </c>
      <c r="AC14" s="17">
        <f t="shared" si="6"/>
        <v>494.14285714285711</v>
      </c>
      <c r="AD14" s="17">
        <f t="shared" si="6"/>
        <v>0.2857142857142857</v>
      </c>
      <c r="AE14" s="31">
        <f t="shared" si="6"/>
        <v>1007.4285714285714</v>
      </c>
      <c r="AF14" s="31">
        <f t="shared" si="6"/>
        <v>1501.5714285714287</v>
      </c>
    </row>
    <row r="15" spans="2:32" ht="23.1" customHeight="1" x14ac:dyDescent="0.25">
      <c r="B15" s="23" t="s">
        <v>42</v>
      </c>
      <c r="C15" s="49">
        <f>'Avg Week Naguru-Nakawa'!C15+'Avg Week Nakawa-Naguru'!C15</f>
        <v>162.57142857142856</v>
      </c>
      <c r="D15" s="49">
        <f>'Avg Week Naguru-Nakawa'!D15+'Avg Week Nakawa-Naguru'!D15</f>
        <v>53</v>
      </c>
      <c r="E15" s="49">
        <f>'Avg Week Naguru-Nakawa'!E15+'Avg Week Nakawa-Naguru'!E15</f>
        <v>20.285714285714285</v>
      </c>
      <c r="F15" s="49">
        <f>'Avg Week Naguru-Nakawa'!F15+'Avg Week Nakawa-Naguru'!F15</f>
        <v>27.571428571428569</v>
      </c>
      <c r="G15" s="49">
        <f>'Avg Week Naguru-Nakawa'!G15+'Avg Week Nakawa-Naguru'!G15</f>
        <v>0.2857142857142857</v>
      </c>
      <c r="H15" s="49">
        <f>'Avg Week Naguru-Nakawa'!H15+'Avg Week Nakawa-Naguru'!H15</f>
        <v>0</v>
      </c>
      <c r="I15" s="49">
        <f>'Avg Week Naguru-Nakawa'!I15+'Avg Week Nakawa-Naguru'!I15</f>
        <v>3.7142857142857144</v>
      </c>
      <c r="J15" s="49">
        <f>'Avg Week Naguru-Nakawa'!J15+'Avg Week Nakawa-Naguru'!J15</f>
        <v>1.8571428571428572</v>
      </c>
      <c r="K15" s="49">
        <f>'Avg Week Naguru-Nakawa'!K15+'Avg Week Nakawa-Naguru'!K15</f>
        <v>0.2857142857142857</v>
      </c>
      <c r="L15" s="49">
        <f>'Avg Week Naguru-Nakawa'!L15+'Avg Week Nakawa-Naguru'!L15</f>
        <v>0.14285714285714285</v>
      </c>
      <c r="M15" s="49">
        <f>'Avg Week Naguru-Nakawa'!M15+'Avg Week Nakawa-Naguru'!M15</f>
        <v>144.14285714285714</v>
      </c>
      <c r="N15" s="49">
        <f>'Avg Week Naguru-Nakawa'!N15+'Avg Week Nakawa-Naguru'!N15</f>
        <v>0</v>
      </c>
      <c r="O15" s="15">
        <f t="shared" si="0"/>
        <v>269.71428571428567</v>
      </c>
      <c r="P15" s="15">
        <f t="shared" si="1"/>
        <v>413.85714285714278</v>
      </c>
      <c r="R15" s="1" t="s">
        <v>11</v>
      </c>
      <c r="S15" s="17">
        <f t="shared" ref="S15:AF15" si="7">SUM(C30:C33)</f>
        <v>620.42857142857144</v>
      </c>
      <c r="T15" s="17">
        <f t="shared" si="7"/>
        <v>285.85714285714283</v>
      </c>
      <c r="U15" s="17">
        <f t="shared" si="7"/>
        <v>86.428571428571431</v>
      </c>
      <c r="V15" s="17">
        <f t="shared" si="7"/>
        <v>59.714285714285708</v>
      </c>
      <c r="W15" s="17">
        <f t="shared" si="7"/>
        <v>0.2857142857142857</v>
      </c>
      <c r="X15" s="17">
        <f t="shared" si="7"/>
        <v>0.14285714285714285</v>
      </c>
      <c r="Y15" s="17">
        <f t="shared" si="7"/>
        <v>29.428571428571431</v>
      </c>
      <c r="Z15" s="17">
        <f t="shared" si="7"/>
        <v>4.8571428571428577</v>
      </c>
      <c r="AA15" s="17">
        <f t="shared" si="7"/>
        <v>1.4285714285714286</v>
      </c>
      <c r="AB15" s="17">
        <f t="shared" si="7"/>
        <v>0.42857142857142855</v>
      </c>
      <c r="AC15" s="17">
        <f t="shared" si="7"/>
        <v>488.57142857142856</v>
      </c>
      <c r="AD15" s="17">
        <f t="shared" si="7"/>
        <v>0.2857142857142857</v>
      </c>
      <c r="AE15" s="31">
        <f t="shared" si="7"/>
        <v>1089.2857142857147</v>
      </c>
      <c r="AF15" s="31">
        <f t="shared" si="7"/>
        <v>1577.8571428571431</v>
      </c>
    </row>
    <row r="16" spans="2:32" ht="23.1" customHeight="1" x14ac:dyDescent="0.25">
      <c r="B16" s="23" t="s">
        <v>43</v>
      </c>
      <c r="C16" s="49">
        <f>'Avg Week Naguru-Nakawa'!C16+'Avg Week Nakawa-Naguru'!C16</f>
        <v>160.57142857142858</v>
      </c>
      <c r="D16" s="49">
        <f>'Avg Week Naguru-Nakawa'!D16+'Avg Week Nakawa-Naguru'!D16</f>
        <v>50</v>
      </c>
      <c r="E16" s="49">
        <f>'Avg Week Naguru-Nakawa'!E16+'Avg Week Nakawa-Naguru'!E16</f>
        <v>18</v>
      </c>
      <c r="F16" s="49">
        <f>'Avg Week Naguru-Nakawa'!F16+'Avg Week Nakawa-Naguru'!F16</f>
        <v>21.142857142857142</v>
      </c>
      <c r="G16" s="49">
        <f>'Avg Week Naguru-Nakawa'!G16+'Avg Week Nakawa-Naguru'!G16</f>
        <v>0</v>
      </c>
      <c r="H16" s="49">
        <f>'Avg Week Naguru-Nakawa'!H16+'Avg Week Nakawa-Naguru'!H16</f>
        <v>0</v>
      </c>
      <c r="I16" s="49">
        <f>'Avg Week Naguru-Nakawa'!I16+'Avg Week Nakawa-Naguru'!I16</f>
        <v>4.1428571428571423</v>
      </c>
      <c r="J16" s="49">
        <f>'Avg Week Naguru-Nakawa'!J16+'Avg Week Nakawa-Naguru'!J16</f>
        <v>1.5714285714285714</v>
      </c>
      <c r="K16" s="49">
        <f>'Avg Week Naguru-Nakawa'!K16+'Avg Week Nakawa-Naguru'!K16</f>
        <v>0.14285714285714285</v>
      </c>
      <c r="L16" s="49">
        <f>'Avg Week Naguru-Nakawa'!L16+'Avg Week Nakawa-Naguru'!L16</f>
        <v>0.42857142857142855</v>
      </c>
      <c r="M16" s="49">
        <f>'Avg Week Naguru-Nakawa'!M16+'Avg Week Nakawa-Naguru'!M16</f>
        <v>146</v>
      </c>
      <c r="N16" s="49">
        <f>'Avg Week Naguru-Nakawa'!N16+'Avg Week Nakawa-Naguru'!N16</f>
        <v>0</v>
      </c>
      <c r="O16" s="15">
        <f t="shared" si="0"/>
        <v>256</v>
      </c>
      <c r="P16" s="15">
        <f t="shared" si="1"/>
        <v>402</v>
      </c>
      <c r="R16" s="1" t="s">
        <v>12</v>
      </c>
      <c r="S16" s="17">
        <f t="shared" ref="S16:AF16" si="8">SUM(C34:C37)</f>
        <v>587.57142857142856</v>
      </c>
      <c r="T16" s="17">
        <f t="shared" si="8"/>
        <v>294.28571428571433</v>
      </c>
      <c r="U16" s="17">
        <f t="shared" si="8"/>
        <v>79</v>
      </c>
      <c r="V16" s="17">
        <f t="shared" si="8"/>
        <v>50.142857142857139</v>
      </c>
      <c r="W16" s="17">
        <f t="shared" si="8"/>
        <v>0.99999999999999989</v>
      </c>
      <c r="X16" s="17">
        <f t="shared" si="8"/>
        <v>0.5714285714285714</v>
      </c>
      <c r="Y16" s="17">
        <f t="shared" si="8"/>
        <v>19.142857142857142</v>
      </c>
      <c r="Z16" s="17">
        <f t="shared" si="8"/>
        <v>7.2857142857142856</v>
      </c>
      <c r="AA16" s="17">
        <f t="shared" si="8"/>
        <v>2.2857142857142856</v>
      </c>
      <c r="AB16" s="17">
        <f t="shared" si="8"/>
        <v>0.2857142857142857</v>
      </c>
      <c r="AC16" s="17">
        <f t="shared" si="8"/>
        <v>488.57142857142856</v>
      </c>
      <c r="AD16" s="17">
        <f t="shared" si="8"/>
        <v>0.42857142857142855</v>
      </c>
      <c r="AE16" s="31">
        <f t="shared" si="8"/>
        <v>1042.0000000000002</v>
      </c>
      <c r="AF16" s="31">
        <f t="shared" si="8"/>
        <v>1530.5714285714289</v>
      </c>
    </row>
    <row r="17" spans="2:32" ht="23.1" customHeight="1" x14ac:dyDescent="0.25">
      <c r="B17" s="23" t="s">
        <v>44</v>
      </c>
      <c r="C17" s="49">
        <f>'Avg Week Naguru-Nakawa'!C17+'Avg Week Nakawa-Naguru'!C17</f>
        <v>171</v>
      </c>
      <c r="D17" s="49">
        <f>'Avg Week Naguru-Nakawa'!D17+'Avg Week Nakawa-Naguru'!D17</f>
        <v>58.857142857142861</v>
      </c>
      <c r="E17" s="49">
        <f>'Avg Week Naguru-Nakawa'!E17+'Avg Week Nakawa-Naguru'!E17</f>
        <v>21.142857142857142</v>
      </c>
      <c r="F17" s="49">
        <f>'Avg Week Naguru-Nakawa'!F17+'Avg Week Nakawa-Naguru'!F17</f>
        <v>23.428571428571431</v>
      </c>
      <c r="G17" s="49">
        <f>'Avg Week Naguru-Nakawa'!G17+'Avg Week Nakawa-Naguru'!G17</f>
        <v>0.14285714285714285</v>
      </c>
      <c r="H17" s="49">
        <f>'Avg Week Naguru-Nakawa'!H17+'Avg Week Nakawa-Naguru'!H17</f>
        <v>0</v>
      </c>
      <c r="I17" s="49">
        <f>'Avg Week Naguru-Nakawa'!I17+'Avg Week Nakawa-Naguru'!I17</f>
        <v>4.4285714285714288</v>
      </c>
      <c r="J17" s="49">
        <f>'Avg Week Naguru-Nakawa'!J17+'Avg Week Nakawa-Naguru'!J17</f>
        <v>1.8571428571428572</v>
      </c>
      <c r="K17" s="49">
        <f>'Avg Week Naguru-Nakawa'!K17+'Avg Week Nakawa-Naguru'!K17</f>
        <v>0.42857142857142855</v>
      </c>
      <c r="L17" s="49">
        <f>'Avg Week Naguru-Nakawa'!L17+'Avg Week Nakawa-Naguru'!L17</f>
        <v>0</v>
      </c>
      <c r="M17" s="49">
        <f>'Avg Week Naguru-Nakawa'!M17+'Avg Week Nakawa-Naguru'!M17</f>
        <v>140.14285714285714</v>
      </c>
      <c r="N17" s="49">
        <f>'Avg Week Naguru-Nakawa'!N17+'Avg Week Nakawa-Naguru'!N17</f>
        <v>0.14285714285714285</v>
      </c>
      <c r="O17" s="15">
        <f t="shared" si="0"/>
        <v>281.4285714285715</v>
      </c>
      <c r="P17" s="15">
        <f t="shared" si="1"/>
        <v>421.57142857142861</v>
      </c>
      <c r="R17" s="1" t="s">
        <v>13</v>
      </c>
      <c r="S17" s="17">
        <f t="shared" ref="S17:AF17" si="9">SUM(C38:C41)</f>
        <v>553.42857142857144</v>
      </c>
      <c r="T17" s="17">
        <f t="shared" si="9"/>
        <v>316.85714285714289</v>
      </c>
      <c r="U17" s="17">
        <f t="shared" si="9"/>
        <v>91</v>
      </c>
      <c r="V17" s="17">
        <f t="shared" si="9"/>
        <v>52.428571428571431</v>
      </c>
      <c r="W17" s="17">
        <f t="shared" si="9"/>
        <v>0.8571428571428571</v>
      </c>
      <c r="X17" s="17">
        <f t="shared" si="9"/>
        <v>1</v>
      </c>
      <c r="Y17" s="17">
        <f t="shared" si="9"/>
        <v>18.571428571428573</v>
      </c>
      <c r="Z17" s="17">
        <f t="shared" si="9"/>
        <v>4.4285714285714288</v>
      </c>
      <c r="AA17" s="17">
        <f t="shared" si="9"/>
        <v>1.1428571428571428</v>
      </c>
      <c r="AB17" s="17">
        <f t="shared" si="9"/>
        <v>0.42857142857142855</v>
      </c>
      <c r="AC17" s="17">
        <f t="shared" si="9"/>
        <v>452.57142857142856</v>
      </c>
      <c r="AD17" s="17">
        <f t="shared" si="9"/>
        <v>0</v>
      </c>
      <c r="AE17" s="31">
        <f t="shared" si="9"/>
        <v>1040.1428571428571</v>
      </c>
      <c r="AF17" s="31">
        <f t="shared" si="9"/>
        <v>1492.7142857142858</v>
      </c>
    </row>
    <row r="18" spans="2:32" ht="23.1" customHeight="1" x14ac:dyDescent="0.25">
      <c r="B18" s="23" t="s">
        <v>45</v>
      </c>
      <c r="C18" s="49">
        <f>'Avg Week Naguru-Nakawa'!C18+'Avg Week Nakawa-Naguru'!C18</f>
        <v>137.85714285714286</v>
      </c>
      <c r="D18" s="49">
        <f>'Avg Week Naguru-Nakawa'!D18+'Avg Week Nakawa-Naguru'!D18</f>
        <v>58.714285714285708</v>
      </c>
      <c r="E18" s="49">
        <f>'Avg Week Naguru-Nakawa'!E18+'Avg Week Nakawa-Naguru'!E18</f>
        <v>23.571428571428569</v>
      </c>
      <c r="F18" s="49">
        <f>'Avg Week Naguru-Nakawa'!F18+'Avg Week Nakawa-Naguru'!F18</f>
        <v>21.428571428571431</v>
      </c>
      <c r="G18" s="49">
        <f>'Avg Week Naguru-Nakawa'!G18+'Avg Week Nakawa-Naguru'!G18</f>
        <v>0.71428571428571419</v>
      </c>
      <c r="H18" s="49">
        <f>'Avg Week Naguru-Nakawa'!H18+'Avg Week Nakawa-Naguru'!H18</f>
        <v>0</v>
      </c>
      <c r="I18" s="49">
        <f>'Avg Week Naguru-Nakawa'!I18+'Avg Week Nakawa-Naguru'!I18</f>
        <v>5.7142857142857144</v>
      </c>
      <c r="J18" s="49">
        <f>'Avg Week Naguru-Nakawa'!J18+'Avg Week Nakawa-Naguru'!J18</f>
        <v>2.5714285714285712</v>
      </c>
      <c r="K18" s="49">
        <f>'Avg Week Naguru-Nakawa'!K18+'Avg Week Nakawa-Naguru'!K18</f>
        <v>0.5714285714285714</v>
      </c>
      <c r="L18" s="49">
        <f>'Avg Week Naguru-Nakawa'!L18+'Avg Week Nakawa-Naguru'!L18</f>
        <v>0</v>
      </c>
      <c r="M18" s="49">
        <f>'Avg Week Naguru-Nakawa'!M18+'Avg Week Nakawa-Naguru'!M18</f>
        <v>142.28571428571428</v>
      </c>
      <c r="N18" s="49">
        <f>'Avg Week Naguru-Nakawa'!N18+'Avg Week Nakawa-Naguru'!N18</f>
        <v>0</v>
      </c>
      <c r="O18" s="15">
        <f t="shared" si="0"/>
        <v>251.14285714285717</v>
      </c>
      <c r="P18" s="15">
        <f t="shared" si="1"/>
        <v>393.42857142857144</v>
      </c>
      <c r="R18" s="1" t="s">
        <v>14</v>
      </c>
      <c r="S18" s="17">
        <f t="shared" ref="S18:AF18" si="10">SUM(C42:C45)</f>
        <v>639.42857142857133</v>
      </c>
      <c r="T18" s="17">
        <f t="shared" si="10"/>
        <v>379.71428571428567</v>
      </c>
      <c r="U18" s="17">
        <f t="shared" si="10"/>
        <v>92.142857142857139</v>
      </c>
      <c r="V18" s="17">
        <f t="shared" si="10"/>
        <v>54.857142857142854</v>
      </c>
      <c r="W18" s="17">
        <f t="shared" si="10"/>
        <v>0.5714285714285714</v>
      </c>
      <c r="X18" s="17">
        <f t="shared" si="10"/>
        <v>0</v>
      </c>
      <c r="Y18" s="17">
        <f t="shared" si="10"/>
        <v>25.428571428571431</v>
      </c>
      <c r="Z18" s="17">
        <f t="shared" si="10"/>
        <v>4.9999999999999991</v>
      </c>
      <c r="AA18" s="17">
        <f t="shared" si="10"/>
        <v>1.8571428571428572</v>
      </c>
      <c r="AB18" s="17">
        <f t="shared" si="10"/>
        <v>0.42857142857142855</v>
      </c>
      <c r="AC18" s="17">
        <f t="shared" si="10"/>
        <v>455.14285714285717</v>
      </c>
      <c r="AD18" s="17">
        <f t="shared" si="10"/>
        <v>0.2857142857142857</v>
      </c>
      <c r="AE18" s="31">
        <f t="shared" si="10"/>
        <v>1199.7142857142858</v>
      </c>
      <c r="AF18" s="31">
        <f t="shared" si="10"/>
        <v>1654.8571428571427</v>
      </c>
    </row>
    <row r="19" spans="2:32" ht="23.1" customHeight="1" x14ac:dyDescent="0.25">
      <c r="B19" s="23" t="s">
        <v>46</v>
      </c>
      <c r="C19" s="49">
        <f>'Avg Week Naguru-Nakawa'!C19+'Avg Week Nakawa-Naguru'!C19</f>
        <v>131.28571428571428</v>
      </c>
      <c r="D19" s="49">
        <f>'Avg Week Naguru-Nakawa'!D19+'Avg Week Nakawa-Naguru'!D19</f>
        <v>52.428571428571431</v>
      </c>
      <c r="E19" s="49">
        <f>'Avg Week Naguru-Nakawa'!E19+'Avg Week Nakawa-Naguru'!E19</f>
        <v>19.714285714285715</v>
      </c>
      <c r="F19" s="49">
        <f>'Avg Week Naguru-Nakawa'!F19+'Avg Week Nakawa-Naguru'!F19</f>
        <v>18.857142857142858</v>
      </c>
      <c r="G19" s="49">
        <f>'Avg Week Naguru-Nakawa'!G19+'Avg Week Nakawa-Naguru'!G19</f>
        <v>0.14285714285714285</v>
      </c>
      <c r="H19" s="49">
        <f>'Avg Week Naguru-Nakawa'!H19+'Avg Week Nakawa-Naguru'!H19</f>
        <v>0</v>
      </c>
      <c r="I19" s="49">
        <f>'Avg Week Naguru-Nakawa'!I19+'Avg Week Nakawa-Naguru'!I19</f>
        <v>5.2857142857142856</v>
      </c>
      <c r="J19" s="49">
        <f>'Avg Week Naguru-Nakawa'!J19+'Avg Week Nakawa-Naguru'!J19</f>
        <v>1.8571428571428572</v>
      </c>
      <c r="K19" s="49">
        <f>'Avg Week Naguru-Nakawa'!K19+'Avg Week Nakawa-Naguru'!K19</f>
        <v>0.85714285714285721</v>
      </c>
      <c r="L19" s="49">
        <f>'Avg Week Naguru-Nakawa'!L19+'Avg Week Nakawa-Naguru'!L19</f>
        <v>0</v>
      </c>
      <c r="M19" s="49">
        <f>'Avg Week Naguru-Nakawa'!M19+'Avg Week Nakawa-Naguru'!M19</f>
        <v>144.57142857142856</v>
      </c>
      <c r="N19" s="49">
        <f>'Avg Week Naguru-Nakawa'!N19+'Avg Week Nakawa-Naguru'!N19</f>
        <v>0</v>
      </c>
      <c r="O19" s="15">
        <f t="shared" si="0"/>
        <v>230.42857142857144</v>
      </c>
      <c r="P19" s="15">
        <f t="shared" si="1"/>
        <v>375</v>
      </c>
      <c r="R19" s="1" t="s">
        <v>15</v>
      </c>
      <c r="S19" s="17">
        <f t="shared" ref="S19:AF19" si="11">SUM(C46:C49)</f>
        <v>677.14285714285711</v>
      </c>
      <c r="T19" s="17">
        <f t="shared" si="11"/>
        <v>421.71428571428572</v>
      </c>
      <c r="U19" s="17">
        <f t="shared" si="11"/>
        <v>96.857142857142861</v>
      </c>
      <c r="V19" s="17">
        <f t="shared" si="11"/>
        <v>56</v>
      </c>
      <c r="W19" s="17">
        <f t="shared" si="11"/>
        <v>0.42857142857142855</v>
      </c>
      <c r="X19" s="17">
        <f t="shared" si="11"/>
        <v>0.71428571428571419</v>
      </c>
      <c r="Y19" s="17">
        <f t="shared" si="11"/>
        <v>18.142857142857146</v>
      </c>
      <c r="Z19" s="17">
        <f t="shared" si="11"/>
        <v>5</v>
      </c>
      <c r="AA19" s="17">
        <f t="shared" si="11"/>
        <v>2.4285714285714288</v>
      </c>
      <c r="AB19" s="17">
        <f t="shared" si="11"/>
        <v>0.5714285714285714</v>
      </c>
      <c r="AC19" s="17">
        <f t="shared" si="11"/>
        <v>466.14285714285711</v>
      </c>
      <c r="AD19" s="17">
        <f t="shared" si="11"/>
        <v>0.42857142857142855</v>
      </c>
      <c r="AE19" s="31">
        <f t="shared" si="11"/>
        <v>1279.4285714285713</v>
      </c>
      <c r="AF19" s="31">
        <f t="shared" si="11"/>
        <v>1745.5714285714287</v>
      </c>
    </row>
    <row r="20" spans="2:32" ht="23.1" customHeight="1" x14ac:dyDescent="0.25">
      <c r="B20" s="23" t="s">
        <v>47</v>
      </c>
      <c r="C20" s="49">
        <f>'Avg Week Naguru-Nakawa'!C20+'Avg Week Nakawa-Naguru'!C20</f>
        <v>136.14285714285714</v>
      </c>
      <c r="D20" s="49">
        <f>'Avg Week Naguru-Nakawa'!D20+'Avg Week Nakawa-Naguru'!D20</f>
        <v>66.571428571428569</v>
      </c>
      <c r="E20" s="49">
        <f>'Avg Week Naguru-Nakawa'!E20+'Avg Week Nakawa-Naguru'!E20</f>
        <v>20.571428571428569</v>
      </c>
      <c r="F20" s="49">
        <f>'Avg Week Naguru-Nakawa'!F20+'Avg Week Nakawa-Naguru'!F20</f>
        <v>16.571428571428569</v>
      </c>
      <c r="G20" s="49">
        <f>'Avg Week Naguru-Nakawa'!G20+'Avg Week Nakawa-Naguru'!G20</f>
        <v>0.7142857142857143</v>
      </c>
      <c r="H20" s="49">
        <f>'Avg Week Naguru-Nakawa'!H20+'Avg Week Nakawa-Naguru'!H20</f>
        <v>0.14285714285714285</v>
      </c>
      <c r="I20" s="49">
        <f>'Avg Week Naguru-Nakawa'!I20+'Avg Week Nakawa-Naguru'!I20</f>
        <v>6.1428571428571423</v>
      </c>
      <c r="J20" s="49">
        <f>'Avg Week Naguru-Nakawa'!J20+'Avg Week Nakawa-Naguru'!J20</f>
        <v>1.8571428571428572</v>
      </c>
      <c r="K20" s="49">
        <f>'Avg Week Naguru-Nakawa'!K20+'Avg Week Nakawa-Naguru'!K20</f>
        <v>0.2857142857142857</v>
      </c>
      <c r="L20" s="49">
        <f>'Avg Week Naguru-Nakawa'!L20+'Avg Week Nakawa-Naguru'!L20</f>
        <v>0.14285714285714285</v>
      </c>
      <c r="M20" s="49">
        <f>'Avg Week Naguru-Nakawa'!M20+'Avg Week Nakawa-Naguru'!M20</f>
        <v>141.14285714285714</v>
      </c>
      <c r="N20" s="49">
        <f>'Avg Week Naguru-Nakawa'!N20+'Avg Week Nakawa-Naguru'!N20</f>
        <v>0</v>
      </c>
      <c r="O20" s="15">
        <f t="shared" si="0"/>
        <v>249.14285714285711</v>
      </c>
      <c r="P20" s="15">
        <f t="shared" si="1"/>
        <v>390.28571428571422</v>
      </c>
      <c r="R20" s="1" t="s">
        <v>16</v>
      </c>
      <c r="S20" s="17">
        <f t="shared" ref="S20:AF20" si="12">SUM(C50:C53)</f>
        <v>849.42857142857144</v>
      </c>
      <c r="T20" s="17">
        <f t="shared" si="12"/>
        <v>538.28571428571433</v>
      </c>
      <c r="U20" s="17">
        <f t="shared" si="12"/>
        <v>113.14285714285714</v>
      </c>
      <c r="V20" s="17">
        <f t="shared" si="12"/>
        <v>63.142857142857139</v>
      </c>
      <c r="W20" s="17">
        <f t="shared" si="12"/>
        <v>1.1428571428571428</v>
      </c>
      <c r="X20" s="17">
        <f t="shared" si="12"/>
        <v>0.71428571428571419</v>
      </c>
      <c r="Y20" s="17">
        <f t="shared" si="12"/>
        <v>20.857142857142858</v>
      </c>
      <c r="Z20" s="17">
        <f t="shared" si="12"/>
        <v>6.5714285714285712</v>
      </c>
      <c r="AA20" s="17">
        <f t="shared" si="12"/>
        <v>2.1428571428571428</v>
      </c>
      <c r="AB20" s="17">
        <f t="shared" si="12"/>
        <v>0.42857142857142855</v>
      </c>
      <c r="AC20" s="17">
        <f t="shared" si="12"/>
        <v>556</v>
      </c>
      <c r="AD20" s="17">
        <f t="shared" si="12"/>
        <v>0.42857142857142855</v>
      </c>
      <c r="AE20" s="31">
        <f t="shared" si="12"/>
        <v>1596.2857142857144</v>
      </c>
      <c r="AF20" s="31">
        <f t="shared" si="12"/>
        <v>2152.2857142857142</v>
      </c>
    </row>
    <row r="21" spans="2:32" ht="23.1" customHeight="1" x14ac:dyDescent="0.25">
      <c r="B21" s="23" t="s">
        <v>48</v>
      </c>
      <c r="C21" s="49">
        <f>'Avg Week Naguru-Nakawa'!C21+'Avg Week Nakawa-Naguru'!C21</f>
        <v>144.28571428571428</v>
      </c>
      <c r="D21" s="49">
        <f>'Avg Week Naguru-Nakawa'!D21+'Avg Week Nakawa-Naguru'!D21</f>
        <v>47.571428571428569</v>
      </c>
      <c r="E21" s="49">
        <f>'Avg Week Naguru-Nakawa'!E21+'Avg Week Nakawa-Naguru'!E21</f>
        <v>18.857142857142854</v>
      </c>
      <c r="F21" s="49">
        <f>'Avg Week Naguru-Nakawa'!F21+'Avg Week Nakawa-Naguru'!F21</f>
        <v>12</v>
      </c>
      <c r="G21" s="49">
        <f>'Avg Week Naguru-Nakawa'!G21+'Avg Week Nakawa-Naguru'!G21</f>
        <v>0</v>
      </c>
      <c r="H21" s="49">
        <f>'Avg Week Naguru-Nakawa'!H21+'Avg Week Nakawa-Naguru'!H21</f>
        <v>0</v>
      </c>
      <c r="I21" s="49">
        <f>'Avg Week Naguru-Nakawa'!I21+'Avg Week Nakawa-Naguru'!I21</f>
        <v>4.4285714285714288</v>
      </c>
      <c r="J21" s="49">
        <f>'Avg Week Naguru-Nakawa'!J21+'Avg Week Nakawa-Naguru'!J21</f>
        <v>2</v>
      </c>
      <c r="K21" s="49">
        <f>'Avg Week Naguru-Nakawa'!K21+'Avg Week Nakawa-Naguru'!K21</f>
        <v>0.42857142857142855</v>
      </c>
      <c r="L21" s="49">
        <f>'Avg Week Naguru-Nakawa'!L21+'Avg Week Nakawa-Naguru'!L21</f>
        <v>0</v>
      </c>
      <c r="M21" s="49">
        <f>'Avg Week Naguru-Nakawa'!M21+'Avg Week Nakawa-Naguru'!M21</f>
        <v>115.14285714285714</v>
      </c>
      <c r="N21" s="49">
        <f>'Avg Week Naguru-Nakawa'!N21+'Avg Week Nakawa-Naguru'!N21</f>
        <v>0</v>
      </c>
      <c r="O21" s="15">
        <f t="shared" si="0"/>
        <v>229.57142857142853</v>
      </c>
      <c r="P21" s="15">
        <f t="shared" si="1"/>
        <v>344.71428571428567</v>
      </c>
      <c r="R21" s="36" t="s">
        <v>20</v>
      </c>
      <c r="S21" s="34">
        <f t="shared" ref="S21:AF21" si="13">SUM(C54:C57)</f>
        <v>922.14285714285711</v>
      </c>
      <c r="T21" s="17">
        <f t="shared" si="13"/>
        <v>475.57142857142856</v>
      </c>
      <c r="U21" s="17">
        <f t="shared" si="13"/>
        <v>74.428571428571431</v>
      </c>
      <c r="V21" s="17">
        <f t="shared" si="13"/>
        <v>69.857142857142861</v>
      </c>
      <c r="W21" s="17">
        <f t="shared" si="13"/>
        <v>0.8571428571428571</v>
      </c>
      <c r="X21" s="17">
        <f t="shared" si="13"/>
        <v>0.42857142857142855</v>
      </c>
      <c r="Y21" s="17">
        <f t="shared" si="13"/>
        <v>17.285714285714288</v>
      </c>
      <c r="Z21" s="17">
        <f t="shared" si="13"/>
        <v>4.8571428571428577</v>
      </c>
      <c r="AA21" s="17">
        <f t="shared" si="13"/>
        <v>1.857142857142857</v>
      </c>
      <c r="AB21" s="17">
        <f t="shared" si="13"/>
        <v>0.5714285714285714</v>
      </c>
      <c r="AC21" s="17">
        <f t="shared" si="13"/>
        <v>570.57142857142856</v>
      </c>
      <c r="AD21" s="17">
        <f t="shared" si="13"/>
        <v>0</v>
      </c>
      <c r="AE21" s="31">
        <f t="shared" si="13"/>
        <v>1567.8571428571429</v>
      </c>
      <c r="AF21" s="31">
        <f t="shared" si="13"/>
        <v>2138.4285714285716</v>
      </c>
    </row>
    <row r="22" spans="2:32" ht="23.1" customHeight="1" x14ac:dyDescent="0.25">
      <c r="B22" s="23" t="s">
        <v>49</v>
      </c>
      <c r="C22" s="49">
        <f>'Avg Week Naguru-Nakawa'!C22+'Avg Week Nakawa-Naguru'!C22</f>
        <v>157.28571428571428</v>
      </c>
      <c r="D22" s="49">
        <f>'Avg Week Naguru-Nakawa'!D22+'Avg Week Nakawa-Naguru'!D22</f>
        <v>53.571428571428569</v>
      </c>
      <c r="E22" s="49">
        <f>'Avg Week Naguru-Nakawa'!E22+'Avg Week Nakawa-Naguru'!E22</f>
        <v>18.714285714285715</v>
      </c>
      <c r="F22" s="49">
        <f>'Avg Week Naguru-Nakawa'!F22+'Avg Week Nakawa-Naguru'!F22</f>
        <v>15</v>
      </c>
      <c r="G22" s="49">
        <f>'Avg Week Naguru-Nakawa'!G22+'Avg Week Nakawa-Naguru'!G22</f>
        <v>0.42857142857142855</v>
      </c>
      <c r="H22" s="49">
        <f>'Avg Week Naguru-Nakawa'!H22+'Avg Week Nakawa-Naguru'!H22</f>
        <v>0</v>
      </c>
      <c r="I22" s="49">
        <f>'Avg Week Naguru-Nakawa'!I22+'Avg Week Nakawa-Naguru'!I22</f>
        <v>6.1428571428571423</v>
      </c>
      <c r="J22" s="49">
        <f>'Avg Week Naguru-Nakawa'!J22+'Avg Week Nakawa-Naguru'!J22</f>
        <v>1.4285714285714284</v>
      </c>
      <c r="K22" s="49">
        <f>'Avg Week Naguru-Nakawa'!K22+'Avg Week Nakawa-Naguru'!K22</f>
        <v>0.2857142857142857</v>
      </c>
      <c r="L22" s="49">
        <f>'Avg Week Naguru-Nakawa'!L22+'Avg Week Nakawa-Naguru'!L22</f>
        <v>0.5714285714285714</v>
      </c>
      <c r="M22" s="49">
        <f>'Avg Week Naguru-Nakawa'!M22+'Avg Week Nakawa-Naguru'!M22</f>
        <v>102.14285714285714</v>
      </c>
      <c r="N22" s="49">
        <f>'Avg Week Naguru-Nakawa'!N22+'Avg Week Nakawa-Naguru'!N22</f>
        <v>0.14285714285714285</v>
      </c>
      <c r="O22" s="15">
        <f t="shared" si="0"/>
        <v>253.57142857142853</v>
      </c>
      <c r="P22" s="15">
        <f t="shared" si="1"/>
        <v>355.71428571428572</v>
      </c>
      <c r="R22" s="1" t="s">
        <v>146</v>
      </c>
      <c r="S22" s="34">
        <f>SUM(C58:C61)</f>
        <v>512</v>
      </c>
      <c r="T22" s="34">
        <f t="shared" ref="T22:AF22" si="14">SUM(D58:D61)</f>
        <v>409.5</v>
      </c>
      <c r="U22" s="34">
        <f t="shared" si="14"/>
        <v>85</v>
      </c>
      <c r="V22" s="34">
        <f t="shared" si="14"/>
        <v>66</v>
      </c>
      <c r="W22" s="34">
        <f t="shared" si="14"/>
        <v>3.5</v>
      </c>
      <c r="X22" s="34">
        <f t="shared" si="14"/>
        <v>0</v>
      </c>
      <c r="Y22" s="34">
        <f t="shared" si="14"/>
        <v>14</v>
      </c>
      <c r="Z22" s="34">
        <f t="shared" si="14"/>
        <v>11.5</v>
      </c>
      <c r="AA22" s="34">
        <f t="shared" si="14"/>
        <v>13</v>
      </c>
      <c r="AB22" s="34">
        <f t="shared" si="14"/>
        <v>2</v>
      </c>
      <c r="AC22" s="34">
        <f t="shared" si="14"/>
        <v>439.5</v>
      </c>
      <c r="AD22" s="34">
        <f t="shared" si="14"/>
        <v>0</v>
      </c>
      <c r="AE22" s="31">
        <f t="shared" si="14"/>
        <v>1116.5</v>
      </c>
      <c r="AF22" s="31">
        <f t="shared" si="14"/>
        <v>1556</v>
      </c>
    </row>
    <row r="23" spans="2:32" ht="23.1" customHeight="1" x14ac:dyDescent="0.25">
      <c r="B23" s="23" t="s">
        <v>50</v>
      </c>
      <c r="C23" s="49">
        <f>'Avg Week Naguru-Nakawa'!C23+'Avg Week Nakawa-Naguru'!C23</f>
        <v>133.85714285714286</v>
      </c>
      <c r="D23" s="49">
        <f>'Avg Week Naguru-Nakawa'!D23+'Avg Week Nakawa-Naguru'!D23</f>
        <v>50.714285714285708</v>
      </c>
      <c r="E23" s="49">
        <f>'Avg Week Naguru-Nakawa'!E23+'Avg Week Nakawa-Naguru'!E23</f>
        <v>21</v>
      </c>
      <c r="F23" s="49">
        <f>'Avg Week Naguru-Nakawa'!F23+'Avg Week Nakawa-Naguru'!F23</f>
        <v>12.857142857142858</v>
      </c>
      <c r="G23" s="49">
        <f>'Avg Week Naguru-Nakawa'!G23+'Avg Week Nakawa-Naguru'!G23</f>
        <v>0.2857142857142857</v>
      </c>
      <c r="H23" s="49">
        <f>'Avg Week Naguru-Nakawa'!H23+'Avg Week Nakawa-Naguru'!H23</f>
        <v>0</v>
      </c>
      <c r="I23" s="49">
        <f>'Avg Week Naguru-Nakawa'!I23+'Avg Week Nakawa-Naguru'!I23</f>
        <v>4.7142857142857135</v>
      </c>
      <c r="J23" s="49">
        <f>'Avg Week Naguru-Nakawa'!J23+'Avg Week Nakawa-Naguru'!J23</f>
        <v>1.4285714285714286</v>
      </c>
      <c r="K23" s="49">
        <f>'Avg Week Naguru-Nakawa'!K23+'Avg Week Nakawa-Naguru'!K23</f>
        <v>0.42857142857142855</v>
      </c>
      <c r="L23" s="49">
        <f>'Avg Week Naguru-Nakawa'!L23+'Avg Week Nakawa-Naguru'!L23</f>
        <v>0</v>
      </c>
      <c r="M23" s="49">
        <f>'Avg Week Naguru-Nakawa'!M23+'Avg Week Nakawa-Naguru'!M23</f>
        <v>117.57142857142858</v>
      </c>
      <c r="N23" s="49">
        <f>'Avg Week Naguru-Nakawa'!N23+'Avg Week Nakawa-Naguru'!N23</f>
        <v>0</v>
      </c>
      <c r="O23" s="15">
        <f t="shared" si="0"/>
        <v>225.28571428571425</v>
      </c>
      <c r="P23" s="15">
        <f t="shared" si="1"/>
        <v>342.85714285714283</v>
      </c>
      <c r="R23" s="1" t="s">
        <v>147</v>
      </c>
      <c r="S23" s="34">
        <f>SUM(C62:C65)</f>
        <v>434.5</v>
      </c>
      <c r="T23" s="34">
        <f t="shared" ref="T23:AF23" si="15">SUM(D62:D65)</f>
        <v>236.5</v>
      </c>
      <c r="U23" s="34">
        <f t="shared" si="15"/>
        <v>72.5</v>
      </c>
      <c r="V23" s="34">
        <f t="shared" si="15"/>
        <v>40</v>
      </c>
      <c r="W23" s="34">
        <f t="shared" si="15"/>
        <v>7.5</v>
      </c>
      <c r="X23" s="34">
        <f t="shared" si="15"/>
        <v>9</v>
      </c>
      <c r="Y23" s="34">
        <f t="shared" si="15"/>
        <v>20.5</v>
      </c>
      <c r="Z23" s="34">
        <f t="shared" si="15"/>
        <v>3.5</v>
      </c>
      <c r="AA23" s="34">
        <f t="shared" si="15"/>
        <v>3.5</v>
      </c>
      <c r="AB23" s="34">
        <f t="shared" si="15"/>
        <v>0</v>
      </c>
      <c r="AC23" s="34">
        <f t="shared" si="15"/>
        <v>267</v>
      </c>
      <c r="AD23" s="34">
        <f t="shared" si="15"/>
        <v>0</v>
      </c>
      <c r="AE23" s="31">
        <f t="shared" si="15"/>
        <v>827.5</v>
      </c>
      <c r="AF23" s="31">
        <f t="shared" si="15"/>
        <v>1094.5</v>
      </c>
    </row>
    <row r="24" spans="2:32" ht="23.1" customHeight="1" x14ac:dyDescent="0.25">
      <c r="B24" s="23" t="s">
        <v>51</v>
      </c>
      <c r="C24" s="49">
        <f>'Avg Week Naguru-Nakawa'!C24+'Avg Week Nakawa-Naguru'!C24</f>
        <v>136.42857142857142</v>
      </c>
      <c r="D24" s="49">
        <f>'Avg Week Naguru-Nakawa'!D24+'Avg Week Nakawa-Naguru'!D24</f>
        <v>56.714285714285715</v>
      </c>
      <c r="E24" s="49">
        <f>'Avg Week Naguru-Nakawa'!E24+'Avg Week Nakawa-Naguru'!E24</f>
        <v>19.571428571428569</v>
      </c>
      <c r="F24" s="49">
        <f>'Avg Week Naguru-Nakawa'!F24+'Avg Week Nakawa-Naguru'!F24</f>
        <v>15.428571428571429</v>
      </c>
      <c r="G24" s="49">
        <f>'Avg Week Naguru-Nakawa'!G24+'Avg Week Nakawa-Naguru'!G24</f>
        <v>0.14285714285714285</v>
      </c>
      <c r="H24" s="49">
        <f>'Avg Week Naguru-Nakawa'!H24+'Avg Week Nakawa-Naguru'!H24</f>
        <v>0</v>
      </c>
      <c r="I24" s="49">
        <f>'Avg Week Naguru-Nakawa'!I24+'Avg Week Nakawa-Naguru'!I24</f>
        <v>7.5714285714285712</v>
      </c>
      <c r="J24" s="49">
        <f>'Avg Week Naguru-Nakawa'!J24+'Avg Week Nakawa-Naguru'!J24</f>
        <v>2.1428571428571428</v>
      </c>
      <c r="K24" s="49">
        <f>'Avg Week Naguru-Nakawa'!K24+'Avg Week Nakawa-Naguru'!K24</f>
        <v>0.42857142857142855</v>
      </c>
      <c r="L24" s="49">
        <f>'Avg Week Naguru-Nakawa'!L24+'Avg Week Nakawa-Naguru'!L24</f>
        <v>0.14285714285714285</v>
      </c>
      <c r="M24" s="49">
        <f>'Avg Week Naguru-Nakawa'!M24+'Avg Week Nakawa-Naguru'!M24</f>
        <v>138.14285714285714</v>
      </c>
      <c r="N24" s="49">
        <f>'Avg Week Naguru-Nakawa'!N24+'Avg Week Nakawa-Naguru'!N24</f>
        <v>0</v>
      </c>
      <c r="O24" s="15">
        <f t="shared" si="0"/>
        <v>238.57142857142856</v>
      </c>
      <c r="P24" s="15">
        <f t="shared" si="1"/>
        <v>376.71428571428567</v>
      </c>
      <c r="R24" s="1" t="s">
        <v>148</v>
      </c>
      <c r="S24" s="34">
        <f>SUM(C66:C69)</f>
        <v>382</v>
      </c>
      <c r="T24" s="34">
        <f t="shared" ref="T24:AF24" si="16">SUM(D66:D69)</f>
        <v>183.5</v>
      </c>
      <c r="U24" s="34">
        <f t="shared" si="16"/>
        <v>35</v>
      </c>
      <c r="V24" s="34">
        <f t="shared" si="16"/>
        <v>16.5</v>
      </c>
      <c r="W24" s="34">
        <f t="shared" si="16"/>
        <v>0</v>
      </c>
      <c r="X24" s="34">
        <f t="shared" si="16"/>
        <v>4</v>
      </c>
      <c r="Y24" s="34">
        <f t="shared" si="16"/>
        <v>11.5</v>
      </c>
      <c r="Z24" s="34">
        <f t="shared" si="16"/>
        <v>1.5</v>
      </c>
      <c r="AA24" s="34">
        <f t="shared" si="16"/>
        <v>2.5</v>
      </c>
      <c r="AB24" s="34">
        <f t="shared" si="16"/>
        <v>0.5</v>
      </c>
      <c r="AC24" s="34">
        <f t="shared" si="16"/>
        <v>176</v>
      </c>
      <c r="AD24" s="34">
        <f t="shared" si="16"/>
        <v>0</v>
      </c>
      <c r="AE24" s="31">
        <f t="shared" si="16"/>
        <v>637</v>
      </c>
      <c r="AF24" s="31">
        <f t="shared" si="16"/>
        <v>813</v>
      </c>
    </row>
    <row r="25" spans="2:32" ht="23.1" customHeight="1" x14ac:dyDescent="0.25">
      <c r="B25" s="23" t="s">
        <v>52</v>
      </c>
      <c r="C25" s="49">
        <f>'Avg Week Naguru-Nakawa'!C25+'Avg Week Nakawa-Naguru'!C25</f>
        <v>156.42857142857142</v>
      </c>
      <c r="D25" s="49">
        <f>'Avg Week Naguru-Nakawa'!D25+'Avg Week Nakawa-Naguru'!D25</f>
        <v>61.428571428571431</v>
      </c>
      <c r="E25" s="49">
        <f>'Avg Week Naguru-Nakawa'!E25+'Avg Week Nakawa-Naguru'!E25</f>
        <v>21.142857142857142</v>
      </c>
      <c r="F25" s="49">
        <f>'Avg Week Naguru-Nakawa'!F25+'Avg Week Nakawa-Naguru'!F25</f>
        <v>17.142857142857142</v>
      </c>
      <c r="G25" s="49">
        <f>'Avg Week Naguru-Nakawa'!G25+'Avg Week Nakawa-Naguru'!G25</f>
        <v>0.14285714285714285</v>
      </c>
      <c r="H25" s="49">
        <f>'Avg Week Naguru-Nakawa'!H25+'Avg Week Nakawa-Naguru'!H25</f>
        <v>0.14285714285714285</v>
      </c>
      <c r="I25" s="49">
        <f>'Avg Week Naguru-Nakawa'!I25+'Avg Week Nakawa-Naguru'!I25</f>
        <v>5.1428571428571423</v>
      </c>
      <c r="J25" s="49">
        <f>'Avg Week Naguru-Nakawa'!J25+'Avg Week Nakawa-Naguru'!J25</f>
        <v>3</v>
      </c>
      <c r="K25" s="49">
        <f>'Avg Week Naguru-Nakawa'!K25+'Avg Week Nakawa-Naguru'!K25</f>
        <v>0.42857142857142855</v>
      </c>
      <c r="L25" s="49">
        <f>'Avg Week Naguru-Nakawa'!L25+'Avg Week Nakawa-Naguru'!L25</f>
        <v>0.14285714285714285</v>
      </c>
      <c r="M25" s="49">
        <f>'Avg Week Naguru-Nakawa'!M25+'Avg Week Nakawa-Naguru'!M25</f>
        <v>128.57142857142858</v>
      </c>
      <c r="N25" s="49">
        <f>'Avg Week Naguru-Nakawa'!N25+'Avg Week Nakawa-Naguru'!N25</f>
        <v>0.14285714285714285</v>
      </c>
      <c r="O25" s="15">
        <f t="shared" si="0"/>
        <v>265.28571428571439</v>
      </c>
      <c r="P25" s="15">
        <f t="shared" si="1"/>
        <v>393.85714285714295</v>
      </c>
      <c r="R25" s="1" t="s">
        <v>149</v>
      </c>
      <c r="S25" s="34">
        <f>SUM(C70:C73)</f>
        <v>280.5</v>
      </c>
      <c r="T25" s="34">
        <f t="shared" ref="T25:AF25" si="17">SUM(D70:D73)</f>
        <v>97.5</v>
      </c>
      <c r="U25" s="34">
        <f t="shared" si="17"/>
        <v>20.5</v>
      </c>
      <c r="V25" s="34">
        <f t="shared" si="17"/>
        <v>12.5</v>
      </c>
      <c r="W25" s="34">
        <f t="shared" si="17"/>
        <v>4</v>
      </c>
      <c r="X25" s="34">
        <f t="shared" si="17"/>
        <v>0</v>
      </c>
      <c r="Y25" s="34">
        <f t="shared" si="17"/>
        <v>8.5</v>
      </c>
      <c r="Z25" s="34">
        <f t="shared" si="17"/>
        <v>2</v>
      </c>
      <c r="AA25" s="34">
        <f t="shared" si="17"/>
        <v>2</v>
      </c>
      <c r="AB25" s="34">
        <f t="shared" si="17"/>
        <v>0.5</v>
      </c>
      <c r="AC25" s="34">
        <f t="shared" si="17"/>
        <v>127</v>
      </c>
      <c r="AD25" s="34">
        <f t="shared" si="17"/>
        <v>0</v>
      </c>
      <c r="AE25" s="31">
        <f t="shared" si="17"/>
        <v>428</v>
      </c>
      <c r="AF25" s="31">
        <f t="shared" si="17"/>
        <v>555</v>
      </c>
    </row>
    <row r="26" spans="2:32" ht="23.1" customHeight="1" x14ac:dyDescent="0.25">
      <c r="B26" s="23" t="s">
        <v>53</v>
      </c>
      <c r="C26" s="49">
        <f>'Avg Week Naguru-Nakawa'!C26+'Avg Week Nakawa-Naguru'!C26</f>
        <v>132.57142857142856</v>
      </c>
      <c r="D26" s="49">
        <f>'Avg Week Naguru-Nakawa'!D26+'Avg Week Nakawa-Naguru'!D26</f>
        <v>63.857142857142861</v>
      </c>
      <c r="E26" s="49">
        <f>'Avg Week Naguru-Nakawa'!E26+'Avg Week Nakawa-Naguru'!E26</f>
        <v>20.714285714285715</v>
      </c>
      <c r="F26" s="49">
        <f>'Avg Week Naguru-Nakawa'!F26+'Avg Week Nakawa-Naguru'!F26</f>
        <v>15.428571428571429</v>
      </c>
      <c r="G26" s="49">
        <f>'Avg Week Naguru-Nakawa'!G26+'Avg Week Nakawa-Naguru'!G26</f>
        <v>0.14285714285714285</v>
      </c>
      <c r="H26" s="49">
        <f>'Avg Week Naguru-Nakawa'!H26+'Avg Week Nakawa-Naguru'!H26</f>
        <v>0</v>
      </c>
      <c r="I26" s="49">
        <f>'Avg Week Naguru-Nakawa'!I26+'Avg Week Nakawa-Naguru'!I26</f>
        <v>7</v>
      </c>
      <c r="J26" s="49">
        <f>'Avg Week Naguru-Nakawa'!J26+'Avg Week Nakawa-Naguru'!J26</f>
        <v>3.1428571428571432</v>
      </c>
      <c r="K26" s="49">
        <f>'Avg Week Naguru-Nakawa'!K26+'Avg Week Nakawa-Naguru'!K26</f>
        <v>0.8571428571428571</v>
      </c>
      <c r="L26" s="49">
        <f>'Avg Week Naguru-Nakawa'!L26+'Avg Week Nakawa-Naguru'!L26</f>
        <v>0</v>
      </c>
      <c r="M26" s="49">
        <f>'Avg Week Naguru-Nakawa'!M26+'Avg Week Nakawa-Naguru'!M26</f>
        <v>126.57142857142857</v>
      </c>
      <c r="N26" s="49">
        <f>'Avg Week Naguru-Nakawa'!N26+'Avg Week Nakawa-Naguru'!N26</f>
        <v>0</v>
      </c>
      <c r="O26" s="15">
        <f t="shared" si="0"/>
        <v>243.71428571428569</v>
      </c>
      <c r="P26" s="15">
        <f t="shared" si="1"/>
        <v>370.28571428571428</v>
      </c>
      <c r="R26" s="1" t="s">
        <v>150</v>
      </c>
      <c r="S26" s="34">
        <f>SUM(C74:C77)</f>
        <v>282</v>
      </c>
      <c r="T26" s="34">
        <f t="shared" ref="T26:AF26" si="18">SUM(D74:D77)</f>
        <v>79.5</v>
      </c>
      <c r="U26" s="34">
        <f t="shared" si="18"/>
        <v>15</v>
      </c>
      <c r="V26" s="34">
        <f t="shared" si="18"/>
        <v>3</v>
      </c>
      <c r="W26" s="34">
        <f t="shared" si="18"/>
        <v>0</v>
      </c>
      <c r="X26" s="34">
        <f t="shared" si="18"/>
        <v>1</v>
      </c>
      <c r="Y26" s="34">
        <f t="shared" si="18"/>
        <v>5.5</v>
      </c>
      <c r="Z26" s="34">
        <f t="shared" si="18"/>
        <v>1.5</v>
      </c>
      <c r="AA26" s="34">
        <f t="shared" si="18"/>
        <v>3.5</v>
      </c>
      <c r="AB26" s="34">
        <f t="shared" si="18"/>
        <v>0</v>
      </c>
      <c r="AC26" s="34">
        <f t="shared" si="18"/>
        <v>80.5</v>
      </c>
      <c r="AD26" s="34">
        <f t="shared" si="18"/>
        <v>0</v>
      </c>
      <c r="AE26" s="31">
        <f t="shared" si="18"/>
        <v>391</v>
      </c>
      <c r="AF26" s="31">
        <f t="shared" si="18"/>
        <v>471.5</v>
      </c>
    </row>
    <row r="27" spans="2:32" ht="23.1" customHeight="1" x14ac:dyDescent="0.25">
      <c r="B27" s="23" t="s">
        <v>54</v>
      </c>
      <c r="C27" s="49">
        <f>'Avg Week Naguru-Nakawa'!C27+'Avg Week Nakawa-Naguru'!C27</f>
        <v>129.85714285714286</v>
      </c>
      <c r="D27" s="49">
        <f>'Avg Week Naguru-Nakawa'!D27+'Avg Week Nakawa-Naguru'!D27</f>
        <v>54.714285714285715</v>
      </c>
      <c r="E27" s="49">
        <f>'Avg Week Naguru-Nakawa'!E27+'Avg Week Nakawa-Naguru'!E27</f>
        <v>23.285714285714285</v>
      </c>
      <c r="F27" s="49">
        <f>'Avg Week Naguru-Nakawa'!F27+'Avg Week Nakawa-Naguru'!F27</f>
        <v>13.571428571428573</v>
      </c>
      <c r="G27" s="49">
        <f>'Avg Week Naguru-Nakawa'!G27+'Avg Week Nakawa-Naguru'!G27</f>
        <v>0</v>
      </c>
      <c r="H27" s="49">
        <f>'Avg Week Naguru-Nakawa'!H27+'Avg Week Nakawa-Naguru'!H27</f>
        <v>0</v>
      </c>
      <c r="I27" s="49">
        <f>'Avg Week Naguru-Nakawa'!I27+'Avg Week Nakawa-Naguru'!I27</f>
        <v>5.2857142857142856</v>
      </c>
      <c r="J27" s="49">
        <f>'Avg Week Naguru-Nakawa'!J27+'Avg Week Nakawa-Naguru'!J27</f>
        <v>1</v>
      </c>
      <c r="K27" s="49">
        <f>'Avg Week Naguru-Nakawa'!K27+'Avg Week Nakawa-Naguru'!K27</f>
        <v>0</v>
      </c>
      <c r="L27" s="49">
        <f>'Avg Week Naguru-Nakawa'!L27+'Avg Week Nakawa-Naguru'!L27</f>
        <v>0</v>
      </c>
      <c r="M27" s="49">
        <f>'Avg Week Naguru-Nakawa'!M27+'Avg Week Nakawa-Naguru'!M27</f>
        <v>117.71428571428572</v>
      </c>
      <c r="N27" s="49">
        <f>'Avg Week Naguru-Nakawa'!N27+'Avg Week Nakawa-Naguru'!N27</f>
        <v>0.14285714285714285</v>
      </c>
      <c r="O27" s="15">
        <f t="shared" si="0"/>
        <v>227.85714285714286</v>
      </c>
      <c r="P27" s="15">
        <f t="shared" si="1"/>
        <v>345.57142857142861</v>
      </c>
      <c r="R27" s="1" t="s">
        <v>151</v>
      </c>
      <c r="S27" s="34">
        <f>SUM(C78:C81)</f>
        <v>159.5</v>
      </c>
      <c r="T27" s="34">
        <f t="shared" ref="T27:AF27" si="19">SUM(D78:D81)</f>
        <v>41.5</v>
      </c>
      <c r="U27" s="34">
        <f t="shared" si="19"/>
        <v>14.5</v>
      </c>
      <c r="V27" s="34">
        <f t="shared" si="19"/>
        <v>12</v>
      </c>
      <c r="W27" s="34">
        <f t="shared" si="19"/>
        <v>0.5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0.5</v>
      </c>
      <c r="AB27" s="34">
        <f t="shared" si="19"/>
        <v>0</v>
      </c>
      <c r="AC27" s="34">
        <f t="shared" si="19"/>
        <v>33</v>
      </c>
      <c r="AD27" s="34">
        <f t="shared" si="19"/>
        <v>0</v>
      </c>
      <c r="AE27" s="31">
        <f t="shared" si="19"/>
        <v>231.5</v>
      </c>
      <c r="AF27" s="31">
        <f t="shared" si="19"/>
        <v>264.5</v>
      </c>
    </row>
    <row r="28" spans="2:32" ht="23.1" customHeight="1" x14ac:dyDescent="0.25">
      <c r="B28" s="23" t="s">
        <v>55</v>
      </c>
      <c r="C28" s="49">
        <f>'Avg Week Naguru-Nakawa'!C28+'Avg Week Nakawa-Naguru'!C28</f>
        <v>140.14285714285714</v>
      </c>
      <c r="D28" s="49">
        <f>'Avg Week Naguru-Nakawa'!D28+'Avg Week Nakawa-Naguru'!D28</f>
        <v>55</v>
      </c>
      <c r="E28" s="49">
        <f>'Avg Week Naguru-Nakawa'!E28+'Avg Week Nakawa-Naguru'!E28</f>
        <v>23.428571428571427</v>
      </c>
      <c r="F28" s="49">
        <f>'Avg Week Naguru-Nakawa'!F28+'Avg Week Nakawa-Naguru'!F28</f>
        <v>15.142857142857142</v>
      </c>
      <c r="G28" s="49">
        <f>'Avg Week Naguru-Nakawa'!G28+'Avg Week Nakawa-Naguru'!G28</f>
        <v>0.42857142857142855</v>
      </c>
      <c r="H28" s="49">
        <f>'Avg Week Naguru-Nakawa'!H28+'Avg Week Nakawa-Naguru'!H28</f>
        <v>0.14285714285714285</v>
      </c>
      <c r="I28" s="49">
        <f>'Avg Week Naguru-Nakawa'!I28+'Avg Week Nakawa-Naguru'!I28</f>
        <v>4.1428571428571423</v>
      </c>
      <c r="J28" s="49">
        <f>'Avg Week Naguru-Nakawa'!J28+'Avg Week Nakawa-Naguru'!J28</f>
        <v>2.1428571428571428</v>
      </c>
      <c r="K28" s="49">
        <f>'Avg Week Naguru-Nakawa'!K28+'Avg Week Nakawa-Naguru'!K28</f>
        <v>0.7142857142857143</v>
      </c>
      <c r="L28" s="49">
        <f>'Avg Week Naguru-Nakawa'!L28+'Avg Week Nakawa-Naguru'!L28</f>
        <v>0.14285714285714285</v>
      </c>
      <c r="M28" s="49">
        <f>'Avg Week Naguru-Nakawa'!M28+'Avg Week Nakawa-Naguru'!M28</f>
        <v>116.28571428571428</v>
      </c>
      <c r="N28" s="49">
        <f>'Avg Week Naguru-Nakawa'!N28+'Avg Week Nakawa-Naguru'!N28</f>
        <v>0.14285714285714285</v>
      </c>
      <c r="O28" s="15">
        <f t="shared" si="0"/>
        <v>241.57142857142853</v>
      </c>
      <c r="P28" s="15">
        <f t="shared" si="1"/>
        <v>357.85714285714283</v>
      </c>
      <c r="R28" s="1" t="s">
        <v>152</v>
      </c>
      <c r="S28" s="34">
        <f>SUM(C82:C85)</f>
        <v>72</v>
      </c>
      <c r="T28" s="34">
        <f t="shared" ref="T28:AF28" si="20">SUM(D82:D85)</f>
        <v>20</v>
      </c>
      <c r="U28" s="34">
        <f t="shared" si="20"/>
        <v>5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17</v>
      </c>
      <c r="AD28" s="34">
        <f t="shared" si="20"/>
        <v>0</v>
      </c>
      <c r="AE28" s="31">
        <f t="shared" si="20"/>
        <v>100</v>
      </c>
      <c r="AF28" s="31">
        <f t="shared" si="20"/>
        <v>117</v>
      </c>
    </row>
    <row r="29" spans="2:32" ht="23.1" customHeight="1" x14ac:dyDescent="0.25">
      <c r="B29" s="23" t="s">
        <v>56</v>
      </c>
      <c r="C29" s="49">
        <f>'Avg Week Naguru-Nakawa'!C29+'Avg Week Nakawa-Naguru'!C29</f>
        <v>181.57142857142856</v>
      </c>
      <c r="D29" s="49">
        <f>'Avg Week Naguru-Nakawa'!D29+'Avg Week Nakawa-Naguru'!D29</f>
        <v>67.571428571428569</v>
      </c>
      <c r="E29" s="49">
        <f>'Avg Week Naguru-Nakawa'!E29+'Avg Week Nakawa-Naguru'!E29</f>
        <v>22.142857142857146</v>
      </c>
      <c r="F29" s="49">
        <f>'Avg Week Naguru-Nakawa'!F29+'Avg Week Nakawa-Naguru'!F29</f>
        <v>14</v>
      </c>
      <c r="G29" s="49">
        <f>'Avg Week Naguru-Nakawa'!G29+'Avg Week Nakawa-Naguru'!G29</f>
        <v>0.2857142857142857</v>
      </c>
      <c r="H29" s="49">
        <f>'Avg Week Naguru-Nakawa'!H29+'Avg Week Nakawa-Naguru'!H29</f>
        <v>0.14285714285714285</v>
      </c>
      <c r="I29" s="49">
        <f>'Avg Week Naguru-Nakawa'!I29+'Avg Week Nakawa-Naguru'!I29</f>
        <v>6.2857142857142865</v>
      </c>
      <c r="J29" s="49">
        <f>'Avg Week Naguru-Nakawa'!J29+'Avg Week Nakawa-Naguru'!J29</f>
        <v>1.7142857142857142</v>
      </c>
      <c r="K29" s="49">
        <f>'Avg Week Naguru-Nakawa'!K29+'Avg Week Nakawa-Naguru'!K29</f>
        <v>0.42857142857142855</v>
      </c>
      <c r="L29" s="49">
        <f>'Avg Week Naguru-Nakawa'!L29+'Avg Week Nakawa-Naguru'!L29</f>
        <v>0.14285714285714285</v>
      </c>
      <c r="M29" s="49">
        <f>'Avg Week Naguru-Nakawa'!M29+'Avg Week Nakawa-Naguru'!M29</f>
        <v>133.57142857142856</v>
      </c>
      <c r="N29" s="49">
        <f>'Avg Week Naguru-Nakawa'!N29+'Avg Week Nakawa-Naguru'!N29</f>
        <v>0</v>
      </c>
      <c r="O29" s="15">
        <f t="shared" si="0"/>
        <v>294.28571428571433</v>
      </c>
      <c r="P29" s="15">
        <f t="shared" si="1"/>
        <v>427.85714285714289</v>
      </c>
      <c r="R29" s="1" t="s">
        <v>153</v>
      </c>
      <c r="S29" s="34">
        <f>SUM(C86:C89)</f>
        <v>49.5</v>
      </c>
      <c r="T29" s="34">
        <f t="shared" ref="T29:AF29" si="21">SUM(D86:D89)</f>
        <v>21</v>
      </c>
      <c r="U29" s="34">
        <f t="shared" si="21"/>
        <v>2.5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0.5</v>
      </c>
      <c r="AC29" s="34">
        <f t="shared" si="21"/>
        <v>12.5</v>
      </c>
      <c r="AD29" s="34">
        <f t="shared" si="21"/>
        <v>0</v>
      </c>
      <c r="AE29" s="31">
        <f t="shared" si="21"/>
        <v>75.5</v>
      </c>
      <c r="AF29" s="31">
        <f t="shared" si="21"/>
        <v>88</v>
      </c>
    </row>
    <row r="30" spans="2:32" ht="23.1" customHeight="1" x14ac:dyDescent="0.25">
      <c r="B30" s="23" t="s">
        <v>57</v>
      </c>
      <c r="C30" s="49">
        <f>'Avg Week Naguru-Nakawa'!C30+'Avg Week Nakawa-Naguru'!C30</f>
        <v>159.71428571428572</v>
      </c>
      <c r="D30" s="49">
        <f>'Avg Week Naguru-Nakawa'!D30+'Avg Week Nakawa-Naguru'!D30</f>
        <v>70.142857142857139</v>
      </c>
      <c r="E30" s="49">
        <f>'Avg Week Naguru-Nakawa'!E30+'Avg Week Nakawa-Naguru'!E30</f>
        <v>19.714285714285715</v>
      </c>
      <c r="F30" s="49">
        <f>'Avg Week Naguru-Nakawa'!F30+'Avg Week Nakawa-Naguru'!F30</f>
        <v>17.428571428571427</v>
      </c>
      <c r="G30" s="49">
        <f>'Avg Week Naguru-Nakawa'!G30+'Avg Week Nakawa-Naguru'!G30</f>
        <v>0.14285714285714285</v>
      </c>
      <c r="H30" s="49">
        <f>'Avg Week Naguru-Nakawa'!H30+'Avg Week Nakawa-Naguru'!H30</f>
        <v>0.14285714285714285</v>
      </c>
      <c r="I30" s="49">
        <f>'Avg Week Naguru-Nakawa'!I30+'Avg Week Nakawa-Naguru'!I30</f>
        <v>6.8571428571428577</v>
      </c>
      <c r="J30" s="49">
        <f>'Avg Week Naguru-Nakawa'!J30+'Avg Week Nakawa-Naguru'!J30</f>
        <v>1</v>
      </c>
      <c r="K30" s="49">
        <f>'Avg Week Naguru-Nakawa'!K30+'Avg Week Nakawa-Naguru'!K30</f>
        <v>0.42857142857142855</v>
      </c>
      <c r="L30" s="49">
        <f>'Avg Week Naguru-Nakawa'!L30+'Avg Week Nakawa-Naguru'!L30</f>
        <v>0.14285714285714285</v>
      </c>
      <c r="M30" s="49">
        <f>'Avg Week Naguru-Nakawa'!M30+'Avg Week Nakawa-Naguru'!M30</f>
        <v>108</v>
      </c>
      <c r="N30" s="49">
        <f>'Avg Week Naguru-Nakawa'!N30+'Avg Week Nakawa-Naguru'!N30</f>
        <v>0.14285714285714285</v>
      </c>
      <c r="O30" s="15">
        <f t="shared" si="0"/>
        <v>275.85714285714295</v>
      </c>
      <c r="P30" s="15">
        <f t="shared" si="1"/>
        <v>383.85714285714295</v>
      </c>
      <c r="R30" s="1" t="s">
        <v>154</v>
      </c>
      <c r="S30" s="34">
        <f>SUM(C90:C93)</f>
        <v>34</v>
      </c>
      <c r="T30" s="34">
        <f t="shared" ref="T30:AF30" si="22">SUM(D90:D93)</f>
        <v>20</v>
      </c>
      <c r="U30" s="34">
        <f t="shared" si="22"/>
        <v>1.5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12</v>
      </c>
      <c r="AD30" s="34">
        <f t="shared" si="22"/>
        <v>0</v>
      </c>
      <c r="AE30" s="31">
        <f t="shared" si="22"/>
        <v>56.5</v>
      </c>
      <c r="AF30" s="31">
        <f t="shared" si="22"/>
        <v>68.5</v>
      </c>
    </row>
    <row r="31" spans="2:32" ht="23.1" customHeight="1" x14ac:dyDescent="0.25">
      <c r="B31" s="24" t="s">
        <v>58</v>
      </c>
      <c r="C31" s="49">
        <f>'Avg Week Naguru-Nakawa'!C31+'Avg Week Nakawa-Naguru'!C31</f>
        <v>156.42857142857144</v>
      </c>
      <c r="D31" s="49">
        <f>'Avg Week Naguru-Nakawa'!D31+'Avg Week Nakawa-Naguru'!D31</f>
        <v>70.714285714285708</v>
      </c>
      <c r="E31" s="49">
        <f>'Avg Week Naguru-Nakawa'!E31+'Avg Week Nakawa-Naguru'!E31</f>
        <v>21.428571428571431</v>
      </c>
      <c r="F31" s="49">
        <f>'Avg Week Naguru-Nakawa'!F31+'Avg Week Nakawa-Naguru'!F31</f>
        <v>13.714285714285714</v>
      </c>
      <c r="G31" s="49">
        <f>'Avg Week Naguru-Nakawa'!G31+'Avg Week Nakawa-Naguru'!G31</f>
        <v>0</v>
      </c>
      <c r="H31" s="49">
        <f>'Avg Week Naguru-Nakawa'!H31+'Avg Week Nakawa-Naguru'!H31</f>
        <v>0</v>
      </c>
      <c r="I31" s="49">
        <f>'Avg Week Naguru-Nakawa'!I31+'Avg Week Nakawa-Naguru'!I31</f>
        <v>8.8571428571428577</v>
      </c>
      <c r="J31" s="49">
        <f>'Avg Week Naguru-Nakawa'!J31+'Avg Week Nakawa-Naguru'!J31</f>
        <v>1.7142857142857144</v>
      </c>
      <c r="K31" s="49">
        <f>'Avg Week Naguru-Nakawa'!K31+'Avg Week Nakawa-Naguru'!K31</f>
        <v>0.42857142857142855</v>
      </c>
      <c r="L31" s="49">
        <f>'Avg Week Naguru-Nakawa'!L31+'Avg Week Nakawa-Naguru'!L31</f>
        <v>0.14285714285714285</v>
      </c>
      <c r="M31" s="49">
        <f>'Avg Week Naguru-Nakawa'!M31+'Avg Week Nakawa-Naguru'!M31</f>
        <v>130.85714285714286</v>
      </c>
      <c r="N31" s="49">
        <f>'Avg Week Naguru-Nakawa'!N31+'Avg Week Nakawa-Naguru'!N31</f>
        <v>0</v>
      </c>
      <c r="O31" s="15">
        <f t="shared" si="0"/>
        <v>273.4285714285715</v>
      </c>
      <c r="P31" s="15">
        <f t="shared" si="1"/>
        <v>404.28571428571433</v>
      </c>
      <c r="R31" s="1" t="s">
        <v>155</v>
      </c>
      <c r="S31" s="34">
        <f>SUM(C94:C97)</f>
        <v>36.5</v>
      </c>
      <c r="T31" s="34">
        <f t="shared" ref="T31:AF31" si="23">SUM(D94:D97)</f>
        <v>12</v>
      </c>
      <c r="U31" s="34">
        <f t="shared" si="23"/>
        <v>2.5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20.5</v>
      </c>
      <c r="AD31" s="34">
        <f t="shared" si="23"/>
        <v>0</v>
      </c>
      <c r="AE31" s="31">
        <f t="shared" si="23"/>
        <v>53.5</v>
      </c>
      <c r="AF31" s="31">
        <f t="shared" si="23"/>
        <v>74</v>
      </c>
    </row>
    <row r="32" spans="2:32" ht="23.1" customHeight="1" x14ac:dyDescent="0.25">
      <c r="B32" s="24" t="s">
        <v>59</v>
      </c>
      <c r="C32" s="49">
        <f>'Avg Week Naguru-Nakawa'!C32+'Avg Week Nakawa-Naguru'!C32</f>
        <v>141.71428571428572</v>
      </c>
      <c r="D32" s="49">
        <f>'Avg Week Naguru-Nakawa'!D32+'Avg Week Nakawa-Naguru'!D32</f>
        <v>75.571428571428569</v>
      </c>
      <c r="E32" s="49">
        <f>'Avg Week Naguru-Nakawa'!E32+'Avg Week Nakawa-Naguru'!E32</f>
        <v>21.857142857142858</v>
      </c>
      <c r="F32" s="49">
        <f>'Avg Week Naguru-Nakawa'!F32+'Avg Week Nakawa-Naguru'!F32</f>
        <v>13.428571428571427</v>
      </c>
      <c r="G32" s="49">
        <f>'Avg Week Naguru-Nakawa'!G32+'Avg Week Nakawa-Naguru'!G32</f>
        <v>0.14285714285714285</v>
      </c>
      <c r="H32" s="49">
        <f>'Avg Week Naguru-Nakawa'!H32+'Avg Week Nakawa-Naguru'!H32</f>
        <v>0</v>
      </c>
      <c r="I32" s="49">
        <f>'Avg Week Naguru-Nakawa'!I32+'Avg Week Nakawa-Naguru'!I32</f>
        <v>7.1428571428571432</v>
      </c>
      <c r="J32" s="49">
        <f>'Avg Week Naguru-Nakawa'!J32+'Avg Week Nakawa-Naguru'!J32</f>
        <v>0.71428571428571419</v>
      </c>
      <c r="K32" s="49">
        <f>'Avg Week Naguru-Nakawa'!K32+'Avg Week Nakawa-Naguru'!K32</f>
        <v>0.14285714285714285</v>
      </c>
      <c r="L32" s="49">
        <f>'Avg Week Naguru-Nakawa'!L32+'Avg Week Nakawa-Naguru'!L32</f>
        <v>0</v>
      </c>
      <c r="M32" s="49">
        <f>'Avg Week Naguru-Nakawa'!M32+'Avg Week Nakawa-Naguru'!M32</f>
        <v>125.14285714285714</v>
      </c>
      <c r="N32" s="49">
        <f>'Avg Week Naguru-Nakawa'!N32+'Avg Week Nakawa-Naguru'!N32</f>
        <v>0</v>
      </c>
      <c r="O32" s="15">
        <f t="shared" si="0"/>
        <v>260.71428571428572</v>
      </c>
      <c r="P32" s="15">
        <f t="shared" si="1"/>
        <v>385.85714285714289</v>
      </c>
      <c r="R32" s="1" t="s">
        <v>156</v>
      </c>
      <c r="S32" s="34">
        <f>SUM(C98:C101)</f>
        <v>30</v>
      </c>
      <c r="T32" s="34">
        <f t="shared" ref="T32:AF32" si="24">SUM(D98:D101)</f>
        <v>11</v>
      </c>
      <c r="U32" s="34">
        <f t="shared" si="24"/>
        <v>8.5</v>
      </c>
      <c r="V32" s="34">
        <f t="shared" si="24"/>
        <v>4.5</v>
      </c>
      <c r="W32" s="34">
        <f t="shared" si="24"/>
        <v>0.5</v>
      </c>
      <c r="X32" s="34">
        <f t="shared" si="24"/>
        <v>1</v>
      </c>
      <c r="Y32" s="34">
        <f t="shared" si="24"/>
        <v>1.5</v>
      </c>
      <c r="Z32" s="34">
        <f t="shared" si="24"/>
        <v>0</v>
      </c>
      <c r="AA32" s="34">
        <f t="shared" si="24"/>
        <v>2</v>
      </c>
      <c r="AB32" s="34">
        <f t="shared" si="24"/>
        <v>1</v>
      </c>
      <c r="AC32" s="34">
        <f t="shared" si="24"/>
        <v>27.5</v>
      </c>
      <c r="AD32" s="34">
        <f t="shared" si="24"/>
        <v>0</v>
      </c>
      <c r="AE32" s="31">
        <f t="shared" si="24"/>
        <v>60</v>
      </c>
      <c r="AF32" s="31">
        <f t="shared" si="24"/>
        <v>87.5</v>
      </c>
    </row>
    <row r="33" spans="2:32" ht="23.1" customHeight="1" x14ac:dyDescent="0.25">
      <c r="B33" s="23" t="s">
        <v>60</v>
      </c>
      <c r="C33" s="49">
        <f>'Avg Week Naguru-Nakawa'!C33+'Avg Week Nakawa-Naguru'!C33</f>
        <v>162.57142857142858</v>
      </c>
      <c r="D33" s="49">
        <f>'Avg Week Naguru-Nakawa'!D33+'Avg Week Nakawa-Naguru'!D33</f>
        <v>69.428571428571431</v>
      </c>
      <c r="E33" s="49">
        <f>'Avg Week Naguru-Nakawa'!E33+'Avg Week Nakawa-Naguru'!E33</f>
        <v>23.428571428571431</v>
      </c>
      <c r="F33" s="49">
        <f>'Avg Week Naguru-Nakawa'!F33+'Avg Week Nakawa-Naguru'!F33</f>
        <v>15.142857142857142</v>
      </c>
      <c r="G33" s="49">
        <f>'Avg Week Naguru-Nakawa'!G33+'Avg Week Nakawa-Naguru'!G33</f>
        <v>0</v>
      </c>
      <c r="H33" s="49">
        <f>'Avg Week Naguru-Nakawa'!H33+'Avg Week Nakawa-Naguru'!H33</f>
        <v>0</v>
      </c>
      <c r="I33" s="49">
        <f>'Avg Week Naguru-Nakawa'!I33+'Avg Week Nakawa-Naguru'!I33</f>
        <v>6.5714285714285721</v>
      </c>
      <c r="J33" s="49">
        <f>'Avg Week Naguru-Nakawa'!J33+'Avg Week Nakawa-Naguru'!J33</f>
        <v>1.4285714285714286</v>
      </c>
      <c r="K33" s="49">
        <f>'Avg Week Naguru-Nakawa'!K33+'Avg Week Nakawa-Naguru'!K33</f>
        <v>0.42857142857142855</v>
      </c>
      <c r="L33" s="49">
        <f>'Avg Week Naguru-Nakawa'!L33+'Avg Week Nakawa-Naguru'!L33</f>
        <v>0.14285714285714285</v>
      </c>
      <c r="M33" s="49">
        <f>'Avg Week Naguru-Nakawa'!M33+'Avg Week Nakawa-Naguru'!M33</f>
        <v>124.57142857142857</v>
      </c>
      <c r="N33" s="49">
        <f>'Avg Week Naguru-Nakawa'!N33+'Avg Week Nakawa-Naguru'!N33</f>
        <v>0.14285714285714285</v>
      </c>
      <c r="O33" s="15">
        <f t="shared" si="0"/>
        <v>279.28571428571439</v>
      </c>
      <c r="P33" s="15">
        <f t="shared" si="1"/>
        <v>403.85714285714295</v>
      </c>
      <c r="R33" s="1" t="s">
        <v>157</v>
      </c>
      <c r="S33" s="34">
        <f>SUM(C102:C105)</f>
        <v>121</v>
      </c>
      <c r="T33" s="34">
        <f t="shared" ref="T33:AF33" si="25">SUM(D102:D105)</f>
        <v>41</v>
      </c>
      <c r="U33" s="34">
        <f t="shared" si="25"/>
        <v>35.5</v>
      </c>
      <c r="V33" s="34">
        <f t="shared" si="25"/>
        <v>28</v>
      </c>
      <c r="W33" s="34">
        <f t="shared" si="25"/>
        <v>1</v>
      </c>
      <c r="X33" s="34">
        <f t="shared" si="25"/>
        <v>0</v>
      </c>
      <c r="Y33" s="34">
        <f t="shared" si="25"/>
        <v>6</v>
      </c>
      <c r="Z33" s="34">
        <f t="shared" si="25"/>
        <v>0.5</v>
      </c>
      <c r="AA33" s="34">
        <f t="shared" si="25"/>
        <v>4.5</v>
      </c>
      <c r="AB33" s="34">
        <f t="shared" si="25"/>
        <v>0</v>
      </c>
      <c r="AC33" s="34">
        <f t="shared" si="25"/>
        <v>103</v>
      </c>
      <c r="AD33" s="34">
        <f t="shared" si="25"/>
        <v>0</v>
      </c>
      <c r="AE33" s="31">
        <f t="shared" si="25"/>
        <v>237.5</v>
      </c>
      <c r="AF33" s="31">
        <f t="shared" si="25"/>
        <v>340.5</v>
      </c>
    </row>
    <row r="34" spans="2:32" ht="23.1" customHeight="1" x14ac:dyDescent="0.25">
      <c r="B34" s="24" t="s">
        <v>61</v>
      </c>
      <c r="C34" s="49">
        <f>'Avg Week Naguru-Nakawa'!C34+'Avg Week Nakawa-Naguru'!C34</f>
        <v>134.71428571428572</v>
      </c>
      <c r="D34" s="49">
        <f>'Avg Week Naguru-Nakawa'!D34+'Avg Week Nakawa-Naguru'!D34</f>
        <v>66.142857142857139</v>
      </c>
      <c r="E34" s="49">
        <f>'Avg Week Naguru-Nakawa'!E34+'Avg Week Nakawa-Naguru'!E34</f>
        <v>17.714285714285715</v>
      </c>
      <c r="F34" s="49">
        <f>'Avg Week Naguru-Nakawa'!F34+'Avg Week Nakawa-Naguru'!F34</f>
        <v>13.857142857142858</v>
      </c>
      <c r="G34" s="49">
        <f>'Avg Week Naguru-Nakawa'!G34+'Avg Week Nakawa-Naguru'!G34</f>
        <v>0.14285714285714285</v>
      </c>
      <c r="H34" s="49">
        <f>'Avg Week Naguru-Nakawa'!H34+'Avg Week Nakawa-Naguru'!H34</f>
        <v>0.42857142857142855</v>
      </c>
      <c r="I34" s="49">
        <f>'Avg Week Naguru-Nakawa'!I34+'Avg Week Nakawa-Naguru'!I34</f>
        <v>4.8571428571428568</v>
      </c>
      <c r="J34" s="49">
        <f>'Avg Week Naguru-Nakawa'!J34+'Avg Week Nakawa-Naguru'!J34</f>
        <v>1.2857142857142856</v>
      </c>
      <c r="K34" s="49">
        <f>'Avg Week Naguru-Nakawa'!K34+'Avg Week Nakawa-Naguru'!K34</f>
        <v>0.71428571428571419</v>
      </c>
      <c r="L34" s="49">
        <f>'Avg Week Naguru-Nakawa'!L34+'Avg Week Nakawa-Naguru'!L34</f>
        <v>0</v>
      </c>
      <c r="M34" s="49">
        <f>'Avg Week Naguru-Nakawa'!M34+'Avg Week Nakawa-Naguru'!M34</f>
        <v>119</v>
      </c>
      <c r="N34" s="49">
        <f>'Avg Week Naguru-Nakawa'!N34+'Avg Week Nakawa-Naguru'!N34</f>
        <v>0.14285714285714285</v>
      </c>
      <c r="O34" s="15">
        <f t="shared" si="0"/>
        <v>240</v>
      </c>
      <c r="P34" s="15">
        <f t="shared" si="1"/>
        <v>359.00000000000006</v>
      </c>
      <c r="R34" s="38" t="s">
        <v>90</v>
      </c>
      <c r="S34" s="39">
        <f t="shared" ref="S34:AF34" si="26">MAX(S10:S12)</f>
        <v>628.14285714285711</v>
      </c>
      <c r="T34" s="39">
        <f t="shared" si="26"/>
        <v>225.28571428571428</v>
      </c>
      <c r="U34" s="39">
        <f t="shared" si="26"/>
        <v>82.714285714285708</v>
      </c>
      <c r="V34" s="39">
        <f t="shared" si="26"/>
        <v>92.571428571428569</v>
      </c>
      <c r="W34" s="39">
        <f t="shared" si="26"/>
        <v>2</v>
      </c>
      <c r="X34" s="39">
        <f t="shared" si="26"/>
        <v>0.42857142857142855</v>
      </c>
      <c r="Y34" s="39">
        <f t="shared" si="26"/>
        <v>21.571428571428569</v>
      </c>
      <c r="Z34" s="39">
        <f t="shared" si="26"/>
        <v>8.2857142857142865</v>
      </c>
      <c r="AA34" s="39">
        <f t="shared" si="26"/>
        <v>2.1428571428571428</v>
      </c>
      <c r="AB34" s="39">
        <f t="shared" si="26"/>
        <v>0.5714285714285714</v>
      </c>
      <c r="AC34" s="39">
        <f t="shared" si="26"/>
        <v>572.28571428571422</v>
      </c>
      <c r="AD34" s="39">
        <f t="shared" si="26"/>
        <v>10.285714285714286</v>
      </c>
      <c r="AE34" s="40">
        <f t="shared" si="26"/>
        <v>1033.1428571428571</v>
      </c>
      <c r="AF34" s="40">
        <f t="shared" si="26"/>
        <v>1605.4285714285713</v>
      </c>
    </row>
    <row r="35" spans="2:32" ht="23.1" customHeight="1" x14ac:dyDescent="0.25">
      <c r="B35" s="24" t="s">
        <v>62</v>
      </c>
      <c r="C35" s="49">
        <f>'Avg Week Naguru-Nakawa'!C35+'Avg Week Nakawa-Naguru'!C35</f>
        <v>137.28571428571428</v>
      </c>
      <c r="D35" s="49">
        <f>'Avg Week Naguru-Nakawa'!D35+'Avg Week Nakawa-Naguru'!D35</f>
        <v>71.571428571428569</v>
      </c>
      <c r="E35" s="49">
        <f>'Avg Week Naguru-Nakawa'!E35+'Avg Week Nakawa-Naguru'!E35</f>
        <v>22.857142857142858</v>
      </c>
      <c r="F35" s="49">
        <f>'Avg Week Naguru-Nakawa'!F35+'Avg Week Nakawa-Naguru'!F35</f>
        <v>11.142857142857142</v>
      </c>
      <c r="G35" s="49">
        <f>'Avg Week Naguru-Nakawa'!G35+'Avg Week Nakawa-Naguru'!G35</f>
        <v>0.42857142857142855</v>
      </c>
      <c r="H35" s="49">
        <f>'Avg Week Naguru-Nakawa'!H35+'Avg Week Nakawa-Naguru'!H35</f>
        <v>0</v>
      </c>
      <c r="I35" s="49">
        <f>'Avg Week Naguru-Nakawa'!I35+'Avg Week Nakawa-Naguru'!I35</f>
        <v>6.4285714285714288</v>
      </c>
      <c r="J35" s="49">
        <f>'Avg Week Naguru-Nakawa'!J35+'Avg Week Nakawa-Naguru'!J35</f>
        <v>1.4285714285714286</v>
      </c>
      <c r="K35" s="49">
        <f>'Avg Week Naguru-Nakawa'!K35+'Avg Week Nakawa-Naguru'!K35</f>
        <v>0.5714285714285714</v>
      </c>
      <c r="L35" s="49">
        <f>'Avg Week Naguru-Nakawa'!L35+'Avg Week Nakawa-Naguru'!L35</f>
        <v>0</v>
      </c>
      <c r="M35" s="49">
        <f>'Avg Week Naguru-Nakawa'!M35+'Avg Week Nakawa-Naguru'!M35</f>
        <v>115.28571428571428</v>
      </c>
      <c r="N35" s="49">
        <f>'Avg Week Naguru-Nakawa'!N35+'Avg Week Nakawa-Naguru'!N35</f>
        <v>0.14285714285714285</v>
      </c>
      <c r="O35" s="15">
        <f t="shared" si="0"/>
        <v>251.8571428571428</v>
      </c>
      <c r="P35" s="15">
        <f t="shared" si="1"/>
        <v>367.14285714285711</v>
      </c>
      <c r="R35" s="38" t="s">
        <v>91</v>
      </c>
      <c r="S35" s="39">
        <f t="shared" ref="S35:AF35" si="27">MAX(S13:S18)</f>
        <v>639.42857142857133</v>
      </c>
      <c r="T35" s="39">
        <f t="shared" si="27"/>
        <v>379.71428571428567</v>
      </c>
      <c r="U35" s="39">
        <f t="shared" si="27"/>
        <v>92.142857142857139</v>
      </c>
      <c r="V35" s="39">
        <f t="shared" si="27"/>
        <v>60.428571428571431</v>
      </c>
      <c r="W35" s="39">
        <f t="shared" si="27"/>
        <v>0.99999999999999989</v>
      </c>
      <c r="X35" s="39">
        <f t="shared" si="27"/>
        <v>1</v>
      </c>
      <c r="Y35" s="39">
        <f t="shared" si="27"/>
        <v>29.428571428571431</v>
      </c>
      <c r="Z35" s="39">
        <f t="shared" si="27"/>
        <v>8</v>
      </c>
      <c r="AA35" s="39">
        <f t="shared" si="27"/>
        <v>2.2857142857142856</v>
      </c>
      <c r="AB35" s="39">
        <f t="shared" si="27"/>
        <v>0.85714285714285698</v>
      </c>
      <c r="AC35" s="39">
        <f t="shared" si="27"/>
        <v>494.14285714285711</v>
      </c>
      <c r="AD35" s="39">
        <f t="shared" si="27"/>
        <v>0.42857142857142855</v>
      </c>
      <c r="AE35" s="40">
        <f t="shared" si="27"/>
        <v>1199.7142857142858</v>
      </c>
      <c r="AF35" s="40">
        <f t="shared" si="27"/>
        <v>1654.8571428571427</v>
      </c>
    </row>
    <row r="36" spans="2:32" ht="23.1" customHeight="1" x14ac:dyDescent="0.25">
      <c r="B36" s="24" t="s">
        <v>63</v>
      </c>
      <c r="C36" s="49">
        <f>'Avg Week Naguru-Nakawa'!C36+'Avg Week Nakawa-Naguru'!C36</f>
        <v>161.42857142857144</v>
      </c>
      <c r="D36" s="49">
        <f>'Avg Week Naguru-Nakawa'!D36+'Avg Week Nakawa-Naguru'!D36</f>
        <v>77.714285714285708</v>
      </c>
      <c r="E36" s="49">
        <f>'Avg Week Naguru-Nakawa'!E36+'Avg Week Nakawa-Naguru'!E36</f>
        <v>21.714285714285715</v>
      </c>
      <c r="F36" s="49">
        <f>'Avg Week Naguru-Nakawa'!F36+'Avg Week Nakawa-Naguru'!F36</f>
        <v>14</v>
      </c>
      <c r="G36" s="49">
        <f>'Avg Week Naguru-Nakawa'!G36+'Avg Week Nakawa-Naguru'!G36</f>
        <v>0.14285714285714285</v>
      </c>
      <c r="H36" s="49">
        <f>'Avg Week Naguru-Nakawa'!H36+'Avg Week Nakawa-Naguru'!H36</f>
        <v>0</v>
      </c>
      <c r="I36" s="49">
        <f>'Avg Week Naguru-Nakawa'!I36+'Avg Week Nakawa-Naguru'!I36</f>
        <v>3.7142857142857144</v>
      </c>
      <c r="J36" s="49">
        <f>'Avg Week Naguru-Nakawa'!J36+'Avg Week Nakawa-Naguru'!J36</f>
        <v>2.2857142857142856</v>
      </c>
      <c r="K36" s="49">
        <f>'Avg Week Naguru-Nakawa'!K36+'Avg Week Nakawa-Naguru'!K36</f>
        <v>0.42857142857142855</v>
      </c>
      <c r="L36" s="49">
        <f>'Avg Week Naguru-Nakawa'!L36+'Avg Week Nakawa-Naguru'!L36</f>
        <v>0.14285714285714285</v>
      </c>
      <c r="M36" s="49">
        <f>'Avg Week Naguru-Nakawa'!M36+'Avg Week Nakawa-Naguru'!M36</f>
        <v>120.28571428571428</v>
      </c>
      <c r="N36" s="49">
        <f>'Avg Week Naguru-Nakawa'!N36+'Avg Week Nakawa-Naguru'!N36</f>
        <v>0.14285714285714285</v>
      </c>
      <c r="O36" s="15">
        <f t="shared" si="0"/>
        <v>281.71428571428584</v>
      </c>
      <c r="P36" s="15">
        <f t="shared" si="1"/>
        <v>402.00000000000011</v>
      </c>
      <c r="R36" s="38" t="s">
        <v>92</v>
      </c>
      <c r="S36" s="39">
        <f t="shared" ref="S36:AF36" si="28">MAX(S19:S21)</f>
        <v>922.14285714285711</v>
      </c>
      <c r="T36" s="39">
        <f t="shared" si="28"/>
        <v>538.28571428571433</v>
      </c>
      <c r="U36" s="39">
        <f t="shared" si="28"/>
        <v>113.14285714285714</v>
      </c>
      <c r="V36" s="39">
        <f t="shared" si="28"/>
        <v>69.857142857142861</v>
      </c>
      <c r="W36" s="39">
        <f t="shared" si="28"/>
        <v>1.1428571428571428</v>
      </c>
      <c r="X36" s="39">
        <f t="shared" si="28"/>
        <v>0.71428571428571419</v>
      </c>
      <c r="Y36" s="39">
        <f t="shared" si="28"/>
        <v>20.857142857142858</v>
      </c>
      <c r="Z36" s="39">
        <f t="shared" si="28"/>
        <v>6.5714285714285712</v>
      </c>
      <c r="AA36" s="39">
        <f t="shared" si="28"/>
        <v>2.4285714285714288</v>
      </c>
      <c r="AB36" s="39">
        <f t="shared" si="28"/>
        <v>0.5714285714285714</v>
      </c>
      <c r="AC36" s="39">
        <f t="shared" si="28"/>
        <v>570.57142857142856</v>
      </c>
      <c r="AD36" s="39">
        <f t="shared" si="28"/>
        <v>0.42857142857142855</v>
      </c>
      <c r="AE36" s="40">
        <f t="shared" si="28"/>
        <v>1596.2857142857144</v>
      </c>
      <c r="AF36" s="40">
        <f t="shared" si="28"/>
        <v>2152.2857142857142</v>
      </c>
    </row>
    <row r="37" spans="2:32" ht="23.1" customHeight="1" x14ac:dyDescent="0.25">
      <c r="B37" s="23" t="s">
        <v>64</v>
      </c>
      <c r="C37" s="49">
        <f>'Avg Week Naguru-Nakawa'!C37+'Avg Week Nakawa-Naguru'!C37</f>
        <v>154.14285714285714</v>
      </c>
      <c r="D37" s="49">
        <f>'Avg Week Naguru-Nakawa'!D37+'Avg Week Nakawa-Naguru'!D37</f>
        <v>78.857142857142861</v>
      </c>
      <c r="E37" s="49">
        <f>'Avg Week Naguru-Nakawa'!E37+'Avg Week Nakawa-Naguru'!E37</f>
        <v>16.714285714285715</v>
      </c>
      <c r="F37" s="49">
        <f>'Avg Week Naguru-Nakawa'!F37+'Avg Week Nakawa-Naguru'!F37</f>
        <v>11.142857142857142</v>
      </c>
      <c r="G37" s="49">
        <f>'Avg Week Naguru-Nakawa'!G37+'Avg Week Nakawa-Naguru'!G37</f>
        <v>0.2857142857142857</v>
      </c>
      <c r="H37" s="49">
        <f>'Avg Week Naguru-Nakawa'!H37+'Avg Week Nakawa-Naguru'!H37</f>
        <v>0.14285714285714285</v>
      </c>
      <c r="I37" s="49">
        <f>'Avg Week Naguru-Nakawa'!I37+'Avg Week Nakawa-Naguru'!I37</f>
        <v>4.1428571428571432</v>
      </c>
      <c r="J37" s="49">
        <f>'Avg Week Naguru-Nakawa'!J37+'Avg Week Nakawa-Naguru'!J37</f>
        <v>2.2857142857142856</v>
      </c>
      <c r="K37" s="49">
        <f>'Avg Week Naguru-Nakawa'!K37+'Avg Week Nakawa-Naguru'!K37</f>
        <v>0.5714285714285714</v>
      </c>
      <c r="L37" s="49">
        <f>'Avg Week Naguru-Nakawa'!L37+'Avg Week Nakawa-Naguru'!L37</f>
        <v>0.14285714285714285</v>
      </c>
      <c r="M37" s="49">
        <f>'Avg Week Naguru-Nakawa'!M37+'Avg Week Nakawa-Naguru'!M37</f>
        <v>134</v>
      </c>
      <c r="N37" s="49">
        <f>'Avg Week Naguru-Nakawa'!N37+'Avg Week Nakawa-Naguru'!N37</f>
        <v>0</v>
      </c>
      <c r="O37" s="15">
        <f t="shared" si="0"/>
        <v>268.4285714285715</v>
      </c>
      <c r="P37" s="15">
        <f t="shared" si="1"/>
        <v>402.4285714285715</v>
      </c>
      <c r="R37" s="37" t="s">
        <v>85</v>
      </c>
      <c r="S37" s="35">
        <f t="shared" ref="S37:AF37" si="29">SUM(S10:S12)</f>
        <v>1620.8571428571427</v>
      </c>
      <c r="T37" s="16">
        <f t="shared" si="29"/>
        <v>595</v>
      </c>
      <c r="U37" s="16">
        <f t="shared" si="29"/>
        <v>214.57142857142856</v>
      </c>
      <c r="V37" s="16">
        <f t="shared" si="29"/>
        <v>223.71428571428572</v>
      </c>
      <c r="W37" s="16">
        <f t="shared" si="29"/>
        <v>3.9999999999999996</v>
      </c>
      <c r="X37" s="16">
        <f t="shared" si="29"/>
        <v>0.71428571428571419</v>
      </c>
      <c r="Y37" s="16">
        <f t="shared" si="29"/>
        <v>43.261904761904759</v>
      </c>
      <c r="Z37" s="16">
        <f t="shared" si="29"/>
        <v>17.714285714285715</v>
      </c>
      <c r="AA37" s="16">
        <f t="shared" si="29"/>
        <v>3</v>
      </c>
      <c r="AB37" s="16">
        <f t="shared" si="29"/>
        <v>0.71428571428571419</v>
      </c>
      <c r="AC37" s="16">
        <f t="shared" si="29"/>
        <v>1437.5714285714284</v>
      </c>
      <c r="AD37" s="16">
        <f t="shared" si="29"/>
        <v>10.428571428571429</v>
      </c>
      <c r="AE37" s="32">
        <f t="shared" si="29"/>
        <v>2733.9761904761904</v>
      </c>
      <c r="AF37" s="32">
        <f t="shared" si="29"/>
        <v>4171.5476190476193</v>
      </c>
    </row>
    <row r="38" spans="2:32" ht="23.1" customHeight="1" x14ac:dyDescent="0.25">
      <c r="B38" s="24" t="s">
        <v>65</v>
      </c>
      <c r="C38" s="49">
        <f>'Avg Week Naguru-Nakawa'!C38+'Avg Week Nakawa-Naguru'!C38</f>
        <v>131</v>
      </c>
      <c r="D38" s="49">
        <f>'Avg Week Naguru-Nakawa'!D38+'Avg Week Nakawa-Naguru'!D38</f>
        <v>68.571428571428569</v>
      </c>
      <c r="E38" s="49">
        <f>'Avg Week Naguru-Nakawa'!E38+'Avg Week Nakawa-Naguru'!E38</f>
        <v>23.571428571428569</v>
      </c>
      <c r="F38" s="49">
        <f>'Avg Week Naguru-Nakawa'!F38+'Avg Week Nakawa-Naguru'!F38</f>
        <v>16</v>
      </c>
      <c r="G38" s="49">
        <f>'Avg Week Naguru-Nakawa'!G38+'Avg Week Nakawa-Naguru'!G38</f>
        <v>0</v>
      </c>
      <c r="H38" s="49">
        <f>'Avg Week Naguru-Nakawa'!H38+'Avg Week Nakawa-Naguru'!H38</f>
        <v>0.2857142857142857</v>
      </c>
      <c r="I38" s="49">
        <f>'Avg Week Naguru-Nakawa'!I38+'Avg Week Nakawa-Naguru'!I38</f>
        <v>5.7142857142857144</v>
      </c>
      <c r="J38" s="49">
        <f>'Avg Week Naguru-Nakawa'!J38+'Avg Week Nakawa-Naguru'!J38</f>
        <v>0.71428571428571419</v>
      </c>
      <c r="K38" s="49">
        <f>'Avg Week Naguru-Nakawa'!K38+'Avg Week Nakawa-Naguru'!K38</f>
        <v>0</v>
      </c>
      <c r="L38" s="49">
        <f>'Avg Week Naguru-Nakawa'!L38+'Avg Week Nakawa-Naguru'!L38</f>
        <v>0.14285714285714285</v>
      </c>
      <c r="M38" s="49">
        <f>'Avg Week Naguru-Nakawa'!M38+'Avg Week Nakawa-Naguru'!M38</f>
        <v>106.71428571428572</v>
      </c>
      <c r="N38" s="49">
        <f>'Avg Week Naguru-Nakawa'!N38+'Avg Week Nakawa-Naguru'!N38</f>
        <v>0</v>
      </c>
      <c r="O38" s="15">
        <f t="shared" si="0"/>
        <v>245.99999999999997</v>
      </c>
      <c r="P38" s="15">
        <f t="shared" si="1"/>
        <v>352.71428571428567</v>
      </c>
      <c r="R38" s="28" t="s">
        <v>86</v>
      </c>
      <c r="S38" s="16">
        <f t="shared" ref="S38:AF38" si="30">SUM(S13:S18)</f>
        <v>3569</v>
      </c>
      <c r="T38" s="16">
        <f t="shared" si="30"/>
        <v>1740.2857142857142</v>
      </c>
      <c r="U38" s="16">
        <f t="shared" si="30"/>
        <v>518.57142857142856</v>
      </c>
      <c r="V38" s="16">
        <f t="shared" si="30"/>
        <v>335.71428571428567</v>
      </c>
      <c r="W38" s="16">
        <f t="shared" si="30"/>
        <v>4.5714285714285712</v>
      </c>
      <c r="X38" s="16">
        <f t="shared" si="30"/>
        <v>2.1428571428571428</v>
      </c>
      <c r="Y38" s="16">
        <f t="shared" si="30"/>
        <v>138.85714285714286</v>
      </c>
      <c r="Z38" s="16">
        <f t="shared" si="30"/>
        <v>37.571428571428569</v>
      </c>
      <c r="AA38" s="16">
        <f t="shared" si="30"/>
        <v>10.285714285714286</v>
      </c>
      <c r="AB38" s="16">
        <f t="shared" si="30"/>
        <v>2.714285714285714</v>
      </c>
      <c r="AC38" s="16">
        <f t="shared" si="30"/>
        <v>2865.4285714285716</v>
      </c>
      <c r="AD38" s="16">
        <f t="shared" si="30"/>
        <v>1.5714285714285712</v>
      </c>
      <c r="AE38" s="32">
        <f t="shared" si="30"/>
        <v>6361.2857142857156</v>
      </c>
      <c r="AF38" s="32">
        <f t="shared" si="30"/>
        <v>9226.7142857142881</v>
      </c>
    </row>
    <row r="39" spans="2:32" ht="23.1" customHeight="1" x14ac:dyDescent="0.25">
      <c r="B39" s="24" t="s">
        <v>66</v>
      </c>
      <c r="C39" s="49">
        <f>'Avg Week Naguru-Nakawa'!C39+'Avg Week Nakawa-Naguru'!C39</f>
        <v>100.71428571428571</v>
      </c>
      <c r="D39" s="49">
        <f>'Avg Week Naguru-Nakawa'!D39+'Avg Week Nakawa-Naguru'!D39</f>
        <v>77.857142857142861</v>
      </c>
      <c r="E39" s="49">
        <f>'Avg Week Naguru-Nakawa'!E39+'Avg Week Nakawa-Naguru'!E39</f>
        <v>26.142857142857146</v>
      </c>
      <c r="F39" s="49">
        <f>'Avg Week Naguru-Nakawa'!F39+'Avg Week Nakawa-Naguru'!F39</f>
        <v>11.142857142857142</v>
      </c>
      <c r="G39" s="49">
        <f>'Avg Week Naguru-Nakawa'!G39+'Avg Week Nakawa-Naguru'!G39</f>
        <v>0.42857142857142855</v>
      </c>
      <c r="H39" s="49">
        <f>'Avg Week Naguru-Nakawa'!H39+'Avg Week Nakawa-Naguru'!H39</f>
        <v>0.7142857142857143</v>
      </c>
      <c r="I39" s="49">
        <f>'Avg Week Naguru-Nakawa'!I39+'Avg Week Nakawa-Naguru'!I39</f>
        <v>3.4285714285714288</v>
      </c>
      <c r="J39" s="49">
        <f>'Avg Week Naguru-Nakawa'!J39+'Avg Week Nakawa-Naguru'!J39</f>
        <v>1.1428571428571428</v>
      </c>
      <c r="K39" s="49">
        <f>'Avg Week Naguru-Nakawa'!K39+'Avg Week Nakawa-Naguru'!K39</f>
        <v>0.14285714285714285</v>
      </c>
      <c r="L39" s="49">
        <f>'Avg Week Naguru-Nakawa'!L39+'Avg Week Nakawa-Naguru'!L39</f>
        <v>0.14285714285714285</v>
      </c>
      <c r="M39" s="49">
        <f>'Avg Week Naguru-Nakawa'!M39+'Avg Week Nakawa-Naguru'!M39</f>
        <v>119</v>
      </c>
      <c r="N39" s="49">
        <f>'Avg Week Naguru-Nakawa'!N39+'Avg Week Nakawa-Naguru'!N39</f>
        <v>0</v>
      </c>
      <c r="O39" s="15">
        <f t="shared" si="0"/>
        <v>221.8571428571428</v>
      </c>
      <c r="P39" s="15">
        <f t="shared" si="1"/>
        <v>340.85714285714278</v>
      </c>
      <c r="R39" s="29" t="s">
        <v>87</v>
      </c>
      <c r="S39" s="16">
        <f t="shared" ref="S39:AF39" si="31">SUM(S19:S21)</f>
        <v>2448.7142857142853</v>
      </c>
      <c r="T39" s="16">
        <f t="shared" si="31"/>
        <v>1435.5714285714284</v>
      </c>
      <c r="U39" s="16">
        <f t="shared" si="31"/>
        <v>284.42857142857144</v>
      </c>
      <c r="V39" s="16">
        <f t="shared" si="31"/>
        <v>189</v>
      </c>
      <c r="W39" s="16">
        <f t="shared" si="31"/>
        <v>2.4285714285714284</v>
      </c>
      <c r="X39" s="16">
        <f t="shared" si="31"/>
        <v>1.857142857142857</v>
      </c>
      <c r="Y39" s="16">
        <f t="shared" si="31"/>
        <v>56.285714285714292</v>
      </c>
      <c r="Z39" s="16">
        <f t="shared" si="31"/>
        <v>16.428571428571431</v>
      </c>
      <c r="AA39" s="16">
        <f t="shared" si="31"/>
        <v>6.4285714285714279</v>
      </c>
      <c r="AB39" s="16">
        <f t="shared" si="31"/>
        <v>1.5714285714285714</v>
      </c>
      <c r="AC39" s="16">
        <f t="shared" si="31"/>
        <v>1592.7142857142858</v>
      </c>
      <c r="AD39" s="16">
        <f t="shared" si="31"/>
        <v>0.8571428571428571</v>
      </c>
      <c r="AE39" s="32">
        <f t="shared" si="31"/>
        <v>4443.5714285714284</v>
      </c>
      <c r="AF39" s="32">
        <f t="shared" si="31"/>
        <v>6036.2857142857147</v>
      </c>
    </row>
    <row r="40" spans="2:32" ht="23.1" customHeight="1" x14ac:dyDescent="0.25">
      <c r="B40" s="24" t="s">
        <v>67</v>
      </c>
      <c r="C40" s="49">
        <f>'Avg Week Naguru-Nakawa'!C40+'Avg Week Nakawa-Naguru'!C40</f>
        <v>158.85714285714286</v>
      </c>
      <c r="D40" s="49">
        <f>'Avg Week Naguru-Nakawa'!D40+'Avg Week Nakawa-Naguru'!D40</f>
        <v>83.714285714285708</v>
      </c>
      <c r="E40" s="49">
        <f>'Avg Week Naguru-Nakawa'!E40+'Avg Week Nakawa-Naguru'!E40</f>
        <v>22.142857142857146</v>
      </c>
      <c r="F40" s="49">
        <f>'Avg Week Naguru-Nakawa'!F40+'Avg Week Nakawa-Naguru'!F40</f>
        <v>11.285714285714285</v>
      </c>
      <c r="G40" s="49">
        <f>'Avg Week Naguru-Nakawa'!G40+'Avg Week Nakawa-Naguru'!G40</f>
        <v>0.14285714285714285</v>
      </c>
      <c r="H40" s="49">
        <f>'Avg Week Naguru-Nakawa'!H40+'Avg Week Nakawa-Naguru'!H40</f>
        <v>0</v>
      </c>
      <c r="I40" s="49">
        <f>'Avg Week Naguru-Nakawa'!I40+'Avg Week Nakawa-Naguru'!I40</f>
        <v>5.5714285714285721</v>
      </c>
      <c r="J40" s="49">
        <f>'Avg Week Naguru-Nakawa'!J40+'Avg Week Nakawa-Naguru'!J40</f>
        <v>0.85714285714285721</v>
      </c>
      <c r="K40" s="49">
        <f>'Avg Week Naguru-Nakawa'!K40+'Avg Week Nakawa-Naguru'!K40</f>
        <v>0.42857142857142855</v>
      </c>
      <c r="L40" s="49">
        <f>'Avg Week Naguru-Nakawa'!L40+'Avg Week Nakawa-Naguru'!L40</f>
        <v>0.14285714285714285</v>
      </c>
      <c r="M40" s="49">
        <f>'Avg Week Naguru-Nakawa'!M40+'Avg Week Nakawa-Naguru'!M40</f>
        <v>119.28571428571428</v>
      </c>
      <c r="N40" s="49">
        <f>'Avg Week Naguru-Nakawa'!N40+'Avg Week Nakawa-Naguru'!N40</f>
        <v>0</v>
      </c>
      <c r="O40" s="15">
        <f t="shared" si="0"/>
        <v>283.14285714285717</v>
      </c>
      <c r="P40" s="15">
        <f t="shared" si="1"/>
        <v>402.42857142857144</v>
      </c>
      <c r="R40" s="5" t="s">
        <v>17</v>
      </c>
      <c r="S40" s="16">
        <f t="shared" ref="S40:AF40" si="32">SUM(S10:S21)</f>
        <v>7638.5714285714284</v>
      </c>
      <c r="T40" s="16">
        <f t="shared" si="32"/>
        <v>3770.8571428571427</v>
      </c>
      <c r="U40" s="16">
        <f t="shared" si="32"/>
        <v>1017.5714285714286</v>
      </c>
      <c r="V40" s="16">
        <f t="shared" si="32"/>
        <v>748.42857142857156</v>
      </c>
      <c r="W40" s="16">
        <f t="shared" si="32"/>
        <v>10.999999999999998</v>
      </c>
      <c r="X40" s="16">
        <f t="shared" si="32"/>
        <v>4.7142857142857144</v>
      </c>
      <c r="Y40" s="16">
        <f t="shared" si="32"/>
        <v>238.40476190476193</v>
      </c>
      <c r="Z40" s="16">
        <f t="shared" si="32"/>
        <v>71.714285714285722</v>
      </c>
      <c r="AA40" s="16">
        <f t="shared" si="32"/>
        <v>19.714285714285715</v>
      </c>
      <c r="AB40" s="16">
        <f t="shared" si="32"/>
        <v>4.9999999999999991</v>
      </c>
      <c r="AC40" s="16">
        <f t="shared" si="32"/>
        <v>5895.7142857142844</v>
      </c>
      <c r="AD40" s="16">
        <f t="shared" si="32"/>
        <v>12.857142857142861</v>
      </c>
      <c r="AE40" s="32">
        <f t="shared" si="32"/>
        <v>13538.833333333332</v>
      </c>
      <c r="AF40" s="32">
        <f t="shared" si="32"/>
        <v>19434.547619047622</v>
      </c>
    </row>
    <row r="41" spans="2:32" ht="23.1" customHeight="1" x14ac:dyDescent="0.25">
      <c r="B41" s="23" t="s">
        <v>68</v>
      </c>
      <c r="C41" s="49">
        <f>'Avg Week Naguru-Nakawa'!C41+'Avg Week Nakawa-Naguru'!C41</f>
        <v>162.85714285714286</v>
      </c>
      <c r="D41" s="49">
        <f>'Avg Week Naguru-Nakawa'!D41+'Avg Week Nakawa-Naguru'!D41</f>
        <v>86.714285714285722</v>
      </c>
      <c r="E41" s="49">
        <f>'Avg Week Naguru-Nakawa'!E41+'Avg Week Nakawa-Naguru'!E41</f>
        <v>19.142857142857142</v>
      </c>
      <c r="F41" s="49">
        <f>'Avg Week Naguru-Nakawa'!F41+'Avg Week Nakawa-Naguru'!F41</f>
        <v>14</v>
      </c>
      <c r="G41" s="49">
        <f>'Avg Week Naguru-Nakawa'!G41+'Avg Week Nakawa-Naguru'!G41</f>
        <v>0.2857142857142857</v>
      </c>
      <c r="H41" s="49">
        <f>'Avg Week Naguru-Nakawa'!H41+'Avg Week Nakawa-Naguru'!H41</f>
        <v>0</v>
      </c>
      <c r="I41" s="49">
        <f>'Avg Week Naguru-Nakawa'!I41+'Avg Week Nakawa-Naguru'!I41</f>
        <v>3.8571428571428572</v>
      </c>
      <c r="J41" s="49">
        <f>'Avg Week Naguru-Nakawa'!J41+'Avg Week Nakawa-Naguru'!J41</f>
        <v>1.7142857142857144</v>
      </c>
      <c r="K41" s="49">
        <f>'Avg Week Naguru-Nakawa'!K41+'Avg Week Nakawa-Naguru'!K41</f>
        <v>0.5714285714285714</v>
      </c>
      <c r="L41" s="49">
        <f>'Avg Week Naguru-Nakawa'!L41+'Avg Week Nakawa-Naguru'!L41</f>
        <v>0</v>
      </c>
      <c r="M41" s="49">
        <f>'Avg Week Naguru-Nakawa'!M41+'Avg Week Nakawa-Naguru'!M41</f>
        <v>107.57142857142857</v>
      </c>
      <c r="N41" s="49">
        <f>'Avg Week Naguru-Nakawa'!N41+'Avg Week Nakawa-Naguru'!N41</f>
        <v>0</v>
      </c>
      <c r="O41" s="15">
        <f t="shared" si="0"/>
        <v>289.14285714285711</v>
      </c>
      <c r="P41" s="15">
        <f t="shared" si="1"/>
        <v>396.71428571428567</v>
      </c>
      <c r="R41" s="5" t="s">
        <v>194</v>
      </c>
      <c r="S41" s="51">
        <f>SUM(S10:S33)</f>
        <v>10032.071428571428</v>
      </c>
      <c r="T41" s="51">
        <f t="shared" ref="T41:AD41" si="33">SUM(T10:T33)</f>
        <v>4943.8571428571431</v>
      </c>
      <c r="U41" s="51">
        <f t="shared" si="33"/>
        <v>1315.5714285714284</v>
      </c>
      <c r="V41" s="51">
        <f t="shared" si="33"/>
        <v>936.42857142857156</v>
      </c>
      <c r="W41" s="51">
        <f t="shared" si="33"/>
        <v>28</v>
      </c>
      <c r="X41" s="51">
        <f t="shared" si="33"/>
        <v>19.714285714285715</v>
      </c>
      <c r="Y41" s="51">
        <f t="shared" si="33"/>
        <v>310.90476190476193</v>
      </c>
      <c r="Z41" s="51">
        <f t="shared" si="33"/>
        <v>93.214285714285722</v>
      </c>
      <c r="AA41" s="51">
        <f t="shared" si="33"/>
        <v>51.214285714285715</v>
      </c>
      <c r="AB41" s="51">
        <f t="shared" si="33"/>
        <v>9.5</v>
      </c>
      <c r="AC41" s="51">
        <f t="shared" si="33"/>
        <v>7211.2142857142844</v>
      </c>
      <c r="AD41" s="51">
        <f t="shared" si="33"/>
        <v>12.857142857142861</v>
      </c>
      <c r="AE41" s="52">
        <f>SUM(AE10:AE33)</f>
        <v>17753.333333333332</v>
      </c>
      <c r="AF41" s="52">
        <f>SUM(AF10:AF33)</f>
        <v>24964.547619047622</v>
      </c>
    </row>
    <row r="42" spans="2:32" ht="23.1" customHeight="1" x14ac:dyDescent="0.25">
      <c r="B42" s="24" t="s">
        <v>69</v>
      </c>
      <c r="C42" s="49">
        <f>'Avg Week Naguru-Nakawa'!C42+'Avg Week Nakawa-Naguru'!C42</f>
        <v>142.57142857142856</v>
      </c>
      <c r="D42" s="49">
        <f>'Avg Week Naguru-Nakawa'!D42+'Avg Week Nakawa-Naguru'!D42</f>
        <v>87</v>
      </c>
      <c r="E42" s="49">
        <f>'Avg Week Naguru-Nakawa'!E42+'Avg Week Nakawa-Naguru'!E42</f>
        <v>23.285714285714285</v>
      </c>
      <c r="F42" s="49">
        <f>'Avg Week Naguru-Nakawa'!F42+'Avg Week Nakawa-Naguru'!F42</f>
        <v>13</v>
      </c>
      <c r="G42" s="49">
        <f>'Avg Week Naguru-Nakawa'!G42+'Avg Week Nakawa-Naguru'!G42</f>
        <v>0.14285714285714285</v>
      </c>
      <c r="H42" s="49">
        <f>'Avg Week Naguru-Nakawa'!H42+'Avg Week Nakawa-Naguru'!H42</f>
        <v>0</v>
      </c>
      <c r="I42" s="49">
        <f>'Avg Week Naguru-Nakawa'!I42+'Avg Week Nakawa-Naguru'!I42</f>
        <v>6.8571428571428577</v>
      </c>
      <c r="J42" s="49">
        <f>'Avg Week Naguru-Nakawa'!J42+'Avg Week Nakawa-Naguru'!J42</f>
        <v>1.1428571428571428</v>
      </c>
      <c r="K42" s="49">
        <f>'Avg Week Naguru-Nakawa'!K42+'Avg Week Nakawa-Naguru'!K42</f>
        <v>0.42857142857142855</v>
      </c>
      <c r="L42" s="49">
        <f>'Avg Week Naguru-Nakawa'!L42+'Avg Week Nakawa-Naguru'!L42</f>
        <v>0.2857142857142857</v>
      </c>
      <c r="M42" s="49">
        <f>'Avg Week Naguru-Nakawa'!M42+'Avg Week Nakawa-Naguru'!M42</f>
        <v>113.28571428571429</v>
      </c>
      <c r="N42" s="49">
        <f>'Avg Week Naguru-Nakawa'!N42+'Avg Week Nakawa-Naguru'!N42</f>
        <v>0.2857142857142857</v>
      </c>
      <c r="O42" s="15">
        <f t="shared" si="0"/>
        <v>275</v>
      </c>
      <c r="P42" s="15">
        <f t="shared" si="1"/>
        <v>388.28571428571428</v>
      </c>
      <c r="R42" s="5" t="s">
        <v>160</v>
      </c>
      <c r="S42" s="48">
        <f>S41/S40</f>
        <v>1.3133439311763604</v>
      </c>
      <c r="T42" s="48">
        <f t="shared" ref="T42:AF42" si="34">T41/T40</f>
        <v>1.3110698590695562</v>
      </c>
      <c r="U42" s="48">
        <f t="shared" si="34"/>
        <v>1.2928541344938929</v>
      </c>
      <c r="V42" s="48">
        <f t="shared" si="34"/>
        <v>1.2511929757587326</v>
      </c>
      <c r="W42" s="48">
        <f t="shared" si="34"/>
        <v>2.5454545454545459</v>
      </c>
      <c r="X42" s="48">
        <f t="shared" si="34"/>
        <v>4.1818181818181817</v>
      </c>
      <c r="Y42" s="48">
        <f t="shared" si="34"/>
        <v>1.3041046639368821</v>
      </c>
      <c r="Z42" s="48">
        <f t="shared" si="34"/>
        <v>1.299800796812749</v>
      </c>
      <c r="AA42" s="48">
        <f t="shared" si="34"/>
        <v>2.5978260869565215</v>
      </c>
      <c r="AB42" s="48">
        <f t="shared" si="34"/>
        <v>1.9000000000000004</v>
      </c>
      <c r="AC42" s="48">
        <f t="shared" si="34"/>
        <v>1.2231281802762297</v>
      </c>
      <c r="AD42" s="48">
        <f t="shared" si="34"/>
        <v>1</v>
      </c>
      <c r="AE42" s="53">
        <f t="shared" si="34"/>
        <v>1.3112897467777873</v>
      </c>
      <c r="AF42" s="53">
        <f t="shared" si="34"/>
        <v>1.2845448275101654</v>
      </c>
    </row>
    <row r="43" spans="2:32" ht="23.1" customHeight="1" x14ac:dyDescent="0.25">
      <c r="B43" s="23" t="s">
        <v>70</v>
      </c>
      <c r="C43" s="49">
        <f>'Avg Week Naguru-Nakawa'!C43+'Avg Week Nakawa-Naguru'!C43</f>
        <v>153</v>
      </c>
      <c r="D43" s="49">
        <f>'Avg Week Naguru-Nakawa'!D43+'Avg Week Nakawa-Naguru'!D43</f>
        <v>89.571428571428569</v>
      </c>
      <c r="E43" s="49">
        <f>'Avg Week Naguru-Nakawa'!E43+'Avg Week Nakawa-Naguru'!E43</f>
        <v>17.428571428571427</v>
      </c>
      <c r="F43" s="49">
        <f>'Avg Week Naguru-Nakawa'!F43+'Avg Week Nakawa-Naguru'!F43</f>
        <v>13</v>
      </c>
      <c r="G43" s="49">
        <f>'Avg Week Naguru-Nakawa'!G43+'Avg Week Nakawa-Naguru'!G43</f>
        <v>0</v>
      </c>
      <c r="H43" s="49">
        <f>'Avg Week Naguru-Nakawa'!H43+'Avg Week Nakawa-Naguru'!H43</f>
        <v>0</v>
      </c>
      <c r="I43" s="49">
        <f>'Avg Week Naguru-Nakawa'!I43+'Avg Week Nakawa-Naguru'!I43</f>
        <v>6.5714285714285712</v>
      </c>
      <c r="J43" s="49">
        <f>'Avg Week Naguru-Nakawa'!J43+'Avg Week Nakawa-Naguru'!J43</f>
        <v>1.1428571428571428</v>
      </c>
      <c r="K43" s="49">
        <f>'Avg Week Naguru-Nakawa'!K43+'Avg Week Nakawa-Naguru'!K43</f>
        <v>0.71428571428571419</v>
      </c>
      <c r="L43" s="49">
        <f>'Avg Week Naguru-Nakawa'!L43+'Avg Week Nakawa-Naguru'!L43</f>
        <v>0</v>
      </c>
      <c r="M43" s="49">
        <f>'Avg Week Naguru-Nakawa'!M43+'Avg Week Nakawa-Naguru'!M43</f>
        <v>110.42857142857142</v>
      </c>
      <c r="N43" s="49">
        <f>'Avg Week Naguru-Nakawa'!N43+'Avg Week Nakawa-Naguru'!N43</f>
        <v>0</v>
      </c>
      <c r="O43" s="15">
        <f t="shared" si="0"/>
        <v>281.42857142857144</v>
      </c>
      <c r="P43" s="15">
        <f t="shared" si="1"/>
        <v>391.85714285714289</v>
      </c>
    </row>
    <row r="44" spans="2:32" ht="23.1" customHeight="1" x14ac:dyDescent="0.25">
      <c r="B44" s="25" t="s">
        <v>71</v>
      </c>
      <c r="C44" s="49">
        <f>'Avg Week Naguru-Nakawa'!C44+'Avg Week Nakawa-Naguru'!C44</f>
        <v>176.14285714285714</v>
      </c>
      <c r="D44" s="49">
        <f>'Avg Week Naguru-Nakawa'!D44+'Avg Week Nakawa-Naguru'!D44</f>
        <v>100</v>
      </c>
      <c r="E44" s="49">
        <f>'Avg Week Naguru-Nakawa'!E44+'Avg Week Nakawa-Naguru'!E44</f>
        <v>24.857142857142858</v>
      </c>
      <c r="F44" s="49">
        <f>'Avg Week Naguru-Nakawa'!F44+'Avg Week Nakawa-Naguru'!F44</f>
        <v>16.571428571428569</v>
      </c>
      <c r="G44" s="49">
        <f>'Avg Week Naguru-Nakawa'!G44+'Avg Week Nakawa-Naguru'!G44</f>
        <v>0.2857142857142857</v>
      </c>
      <c r="H44" s="49">
        <f>'Avg Week Naguru-Nakawa'!H44+'Avg Week Nakawa-Naguru'!H44</f>
        <v>0</v>
      </c>
      <c r="I44" s="49">
        <f>'Avg Week Naguru-Nakawa'!I44+'Avg Week Nakawa-Naguru'!I44</f>
        <v>5.1428571428571432</v>
      </c>
      <c r="J44" s="49">
        <f>'Avg Week Naguru-Nakawa'!J44+'Avg Week Nakawa-Naguru'!J44</f>
        <v>1.8571428571428572</v>
      </c>
      <c r="K44" s="49">
        <f>'Avg Week Naguru-Nakawa'!K44+'Avg Week Nakawa-Naguru'!K44</f>
        <v>0.42857142857142855</v>
      </c>
      <c r="L44" s="49">
        <f>'Avg Week Naguru-Nakawa'!L44+'Avg Week Nakawa-Naguru'!L44</f>
        <v>0.14285714285714285</v>
      </c>
      <c r="M44" s="49">
        <f>'Avg Week Naguru-Nakawa'!M44+'Avg Week Nakawa-Naguru'!M44</f>
        <v>114</v>
      </c>
      <c r="N44" s="49">
        <f>'Avg Week Naguru-Nakawa'!N44+'Avg Week Nakawa-Naguru'!N44</f>
        <v>0</v>
      </c>
      <c r="O44" s="15">
        <f t="shared" si="0"/>
        <v>325.42857142857139</v>
      </c>
      <c r="P44" s="15">
        <f t="shared" si="1"/>
        <v>439.42857142857139</v>
      </c>
    </row>
    <row r="45" spans="2:32" ht="23.1" customHeight="1" x14ac:dyDescent="0.25">
      <c r="B45" s="23" t="s">
        <v>72</v>
      </c>
      <c r="C45" s="49">
        <f>'Avg Week Naguru-Nakawa'!C45+'Avg Week Nakawa-Naguru'!C45</f>
        <v>167.71428571428572</v>
      </c>
      <c r="D45" s="49">
        <f>'Avg Week Naguru-Nakawa'!D45+'Avg Week Nakawa-Naguru'!D45</f>
        <v>103.14285714285714</v>
      </c>
      <c r="E45" s="49">
        <f>'Avg Week Naguru-Nakawa'!E45+'Avg Week Nakawa-Naguru'!E45</f>
        <v>26.571428571428573</v>
      </c>
      <c r="F45" s="49">
        <f>'Avg Week Naguru-Nakawa'!F45+'Avg Week Nakawa-Naguru'!F45</f>
        <v>12.285714285714285</v>
      </c>
      <c r="G45" s="49">
        <f>'Avg Week Naguru-Nakawa'!G45+'Avg Week Nakawa-Naguru'!G45</f>
        <v>0.14285714285714285</v>
      </c>
      <c r="H45" s="49">
        <f>'Avg Week Naguru-Nakawa'!H45+'Avg Week Nakawa-Naguru'!H45</f>
        <v>0</v>
      </c>
      <c r="I45" s="49">
        <f>'Avg Week Naguru-Nakawa'!I45+'Avg Week Nakawa-Naguru'!I45</f>
        <v>6.8571428571428577</v>
      </c>
      <c r="J45" s="49">
        <f>'Avg Week Naguru-Nakawa'!J45+'Avg Week Nakawa-Naguru'!J45</f>
        <v>0.8571428571428571</v>
      </c>
      <c r="K45" s="49">
        <f>'Avg Week Naguru-Nakawa'!K45+'Avg Week Nakawa-Naguru'!K45</f>
        <v>0.2857142857142857</v>
      </c>
      <c r="L45" s="49">
        <f>'Avg Week Naguru-Nakawa'!L45+'Avg Week Nakawa-Naguru'!L45</f>
        <v>0</v>
      </c>
      <c r="M45" s="49">
        <f>'Avg Week Naguru-Nakawa'!M45+'Avg Week Nakawa-Naguru'!M45</f>
        <v>117.42857142857144</v>
      </c>
      <c r="N45" s="49">
        <f>'Avg Week Naguru-Nakawa'!N45+'Avg Week Nakawa-Naguru'!N45</f>
        <v>0</v>
      </c>
      <c r="O45" s="15">
        <f t="shared" si="0"/>
        <v>317.85714285714283</v>
      </c>
      <c r="P45" s="15">
        <f t="shared" si="1"/>
        <v>435.28571428571428</v>
      </c>
    </row>
    <row r="46" spans="2:32" ht="23.1" customHeight="1" x14ac:dyDescent="0.25">
      <c r="B46" s="24" t="s">
        <v>73</v>
      </c>
      <c r="C46" s="49">
        <f>'Avg Week Naguru-Nakawa'!C46+'Avg Week Nakawa-Naguru'!C46</f>
        <v>170</v>
      </c>
      <c r="D46" s="49">
        <f>'Avg Week Naguru-Nakawa'!D46+'Avg Week Nakawa-Naguru'!D46</f>
        <v>110.28571428571428</v>
      </c>
      <c r="E46" s="49">
        <f>'Avg Week Naguru-Nakawa'!E46+'Avg Week Nakawa-Naguru'!E46</f>
        <v>23.428571428571431</v>
      </c>
      <c r="F46" s="49">
        <f>'Avg Week Naguru-Nakawa'!F46+'Avg Week Nakawa-Naguru'!F46</f>
        <v>16.857142857142858</v>
      </c>
      <c r="G46" s="49">
        <f>'Avg Week Naguru-Nakawa'!G46+'Avg Week Nakawa-Naguru'!G46</f>
        <v>0.2857142857142857</v>
      </c>
      <c r="H46" s="49">
        <f>'Avg Week Naguru-Nakawa'!H46+'Avg Week Nakawa-Naguru'!H46</f>
        <v>0.2857142857142857</v>
      </c>
      <c r="I46" s="49">
        <f>'Avg Week Naguru-Nakawa'!I46+'Avg Week Nakawa-Naguru'!I46</f>
        <v>5.8571428571428577</v>
      </c>
      <c r="J46" s="49">
        <f>'Avg Week Naguru-Nakawa'!J46+'Avg Week Nakawa-Naguru'!J46</f>
        <v>1.4285714285714284</v>
      </c>
      <c r="K46" s="49">
        <f>'Avg Week Naguru-Nakawa'!K46+'Avg Week Nakawa-Naguru'!K46</f>
        <v>0.5714285714285714</v>
      </c>
      <c r="L46" s="49">
        <f>'Avg Week Naguru-Nakawa'!L46+'Avg Week Nakawa-Naguru'!L46</f>
        <v>0.14285714285714285</v>
      </c>
      <c r="M46" s="49">
        <f>'Avg Week Naguru-Nakawa'!M46+'Avg Week Nakawa-Naguru'!M46</f>
        <v>112.42857142857143</v>
      </c>
      <c r="N46" s="49">
        <f>'Avg Week Naguru-Nakawa'!N46+'Avg Week Nakawa-Naguru'!N46</f>
        <v>0</v>
      </c>
      <c r="O46" s="15">
        <f t="shared" si="0"/>
        <v>329.14285714285711</v>
      </c>
      <c r="P46" s="15">
        <f t="shared" si="1"/>
        <v>441.57142857142856</v>
      </c>
      <c r="R46" s="8"/>
      <c r="T46"/>
    </row>
    <row r="47" spans="2:32" ht="23.1" customHeight="1" x14ac:dyDescent="0.25">
      <c r="B47" s="24" t="s">
        <v>74</v>
      </c>
      <c r="C47" s="49">
        <f>'Avg Week Naguru-Nakawa'!C47+'Avg Week Nakawa-Naguru'!C47</f>
        <v>167</v>
      </c>
      <c r="D47" s="49">
        <f>'Avg Week Naguru-Nakawa'!D47+'Avg Week Nakawa-Naguru'!D47</f>
        <v>104.14285714285714</v>
      </c>
      <c r="E47" s="49">
        <f>'Avg Week Naguru-Nakawa'!E47+'Avg Week Nakawa-Naguru'!E47</f>
        <v>24.571428571428573</v>
      </c>
      <c r="F47" s="49">
        <f>'Avg Week Naguru-Nakawa'!F47+'Avg Week Nakawa-Naguru'!F47</f>
        <v>15.714285714285715</v>
      </c>
      <c r="G47" s="49">
        <f>'Avg Week Naguru-Nakawa'!G47+'Avg Week Nakawa-Naguru'!G47</f>
        <v>0.14285714285714285</v>
      </c>
      <c r="H47" s="49">
        <f>'Avg Week Naguru-Nakawa'!H47+'Avg Week Nakawa-Naguru'!H47</f>
        <v>0.2857142857142857</v>
      </c>
      <c r="I47" s="49">
        <f>'Avg Week Naguru-Nakawa'!I47+'Avg Week Nakawa-Naguru'!I47</f>
        <v>3.7142857142857144</v>
      </c>
      <c r="J47" s="49">
        <f>'Avg Week Naguru-Nakawa'!J47+'Avg Week Nakawa-Naguru'!J47</f>
        <v>1</v>
      </c>
      <c r="K47" s="49">
        <f>'Avg Week Naguru-Nakawa'!K47+'Avg Week Nakawa-Naguru'!K47</f>
        <v>0.42857142857142855</v>
      </c>
      <c r="L47" s="49">
        <f>'Avg Week Naguru-Nakawa'!L47+'Avg Week Nakawa-Naguru'!L47</f>
        <v>0.14285714285714285</v>
      </c>
      <c r="M47" s="49">
        <f>'Avg Week Naguru-Nakawa'!M47+'Avg Week Nakawa-Naguru'!M47</f>
        <v>121.14285714285714</v>
      </c>
      <c r="N47" s="49">
        <f>'Avg Week Naguru-Nakawa'!N47+'Avg Week Nakawa-Naguru'!N47</f>
        <v>0.14285714285714285</v>
      </c>
      <c r="O47" s="15">
        <f t="shared" si="0"/>
        <v>317.28571428571433</v>
      </c>
      <c r="P47" s="15">
        <f t="shared" si="1"/>
        <v>438.4285714285715</v>
      </c>
      <c r="R47" s="8"/>
      <c r="T47"/>
    </row>
    <row r="48" spans="2:32" ht="23.1" customHeight="1" x14ac:dyDescent="0.25">
      <c r="B48" s="24" t="s">
        <v>75</v>
      </c>
      <c r="C48" s="49">
        <f>'Avg Week Naguru-Nakawa'!C48+'Avg Week Nakawa-Naguru'!C48</f>
        <v>166.28571428571428</v>
      </c>
      <c r="D48" s="49">
        <f>'Avg Week Naguru-Nakawa'!D48+'Avg Week Nakawa-Naguru'!D48</f>
        <v>101</v>
      </c>
      <c r="E48" s="49">
        <f>'Avg Week Naguru-Nakawa'!E48+'Avg Week Nakawa-Naguru'!E48</f>
        <v>27.428571428571431</v>
      </c>
      <c r="F48" s="49">
        <f>'Avg Week Naguru-Nakawa'!F48+'Avg Week Nakawa-Naguru'!F48</f>
        <v>12.857142857142858</v>
      </c>
      <c r="G48" s="49">
        <f>'Avg Week Naguru-Nakawa'!G48+'Avg Week Nakawa-Naguru'!G48</f>
        <v>0</v>
      </c>
      <c r="H48" s="49">
        <f>'Avg Week Naguru-Nakawa'!H48+'Avg Week Nakawa-Naguru'!H48</f>
        <v>0.14285714285714285</v>
      </c>
      <c r="I48" s="49">
        <f>'Avg Week Naguru-Nakawa'!I48+'Avg Week Nakawa-Naguru'!I48</f>
        <v>5.8571428571428568</v>
      </c>
      <c r="J48" s="49">
        <f>'Avg Week Naguru-Nakawa'!J48+'Avg Week Nakawa-Naguru'!J48</f>
        <v>1.2857142857142856</v>
      </c>
      <c r="K48" s="49">
        <f>'Avg Week Naguru-Nakawa'!K48+'Avg Week Nakawa-Naguru'!K48</f>
        <v>0.8571428571428571</v>
      </c>
      <c r="L48" s="49">
        <f>'Avg Week Naguru-Nakawa'!L48+'Avg Week Nakawa-Naguru'!L48</f>
        <v>0.2857142857142857</v>
      </c>
      <c r="M48" s="49">
        <f>'Avg Week Naguru-Nakawa'!M48+'Avg Week Nakawa-Naguru'!M48</f>
        <v>115.57142857142858</v>
      </c>
      <c r="N48" s="49">
        <f>'Avg Week Naguru-Nakawa'!N48+'Avg Week Nakawa-Naguru'!N48</f>
        <v>0.2857142857142857</v>
      </c>
      <c r="O48" s="15">
        <f t="shared" si="0"/>
        <v>316.28571428571422</v>
      </c>
      <c r="P48" s="15">
        <f t="shared" si="1"/>
        <v>431.85714285714283</v>
      </c>
      <c r="R48" s="8"/>
      <c r="T48"/>
    </row>
    <row r="49" spans="2:20" ht="23.1" customHeight="1" x14ac:dyDescent="0.25">
      <c r="B49" s="23" t="s">
        <v>76</v>
      </c>
      <c r="C49" s="49">
        <f>'Avg Week Naguru-Nakawa'!C49+'Avg Week Nakawa-Naguru'!C49</f>
        <v>173.85714285714286</v>
      </c>
      <c r="D49" s="49">
        <f>'Avg Week Naguru-Nakawa'!D49+'Avg Week Nakawa-Naguru'!D49</f>
        <v>106.28571428571429</v>
      </c>
      <c r="E49" s="49">
        <f>'Avg Week Naguru-Nakawa'!E49+'Avg Week Nakawa-Naguru'!E49</f>
        <v>21.428571428571431</v>
      </c>
      <c r="F49" s="49">
        <f>'Avg Week Naguru-Nakawa'!F49+'Avg Week Nakawa-Naguru'!F49</f>
        <v>10.571428571428573</v>
      </c>
      <c r="G49" s="49">
        <f>'Avg Week Naguru-Nakawa'!G49+'Avg Week Nakawa-Naguru'!G49</f>
        <v>0</v>
      </c>
      <c r="H49" s="49">
        <f>'Avg Week Naguru-Nakawa'!H49+'Avg Week Nakawa-Naguru'!H49</f>
        <v>0</v>
      </c>
      <c r="I49" s="49">
        <f>'Avg Week Naguru-Nakawa'!I49+'Avg Week Nakawa-Naguru'!I49</f>
        <v>2.714285714285714</v>
      </c>
      <c r="J49" s="49">
        <f>'Avg Week Naguru-Nakawa'!J49+'Avg Week Nakawa-Naguru'!J49</f>
        <v>1.2857142857142856</v>
      </c>
      <c r="K49" s="49">
        <f>'Avg Week Naguru-Nakawa'!K49+'Avg Week Nakawa-Naguru'!K49</f>
        <v>0.5714285714285714</v>
      </c>
      <c r="L49" s="49">
        <f>'Avg Week Naguru-Nakawa'!L49+'Avg Week Nakawa-Naguru'!L49</f>
        <v>0</v>
      </c>
      <c r="M49" s="49">
        <f>'Avg Week Naguru-Nakawa'!M49+'Avg Week Nakawa-Naguru'!M49</f>
        <v>117</v>
      </c>
      <c r="N49" s="49">
        <f>'Avg Week Naguru-Nakawa'!N49+'Avg Week Nakawa-Naguru'!N49</f>
        <v>0</v>
      </c>
      <c r="O49" s="15">
        <f t="shared" si="0"/>
        <v>316.71428571428572</v>
      </c>
      <c r="P49" s="15">
        <f t="shared" si="1"/>
        <v>433.71428571428572</v>
      </c>
      <c r="R49" s="8"/>
      <c r="T49"/>
    </row>
    <row r="50" spans="2:20" ht="23.1" customHeight="1" x14ac:dyDescent="0.25">
      <c r="B50" s="24" t="s">
        <v>77</v>
      </c>
      <c r="C50" s="49">
        <f>'Avg Week Naguru-Nakawa'!C50+'Avg Week Nakawa-Naguru'!C50</f>
        <v>206</v>
      </c>
      <c r="D50" s="49">
        <f>'Avg Week Naguru-Nakawa'!D50+'Avg Week Nakawa-Naguru'!D50</f>
        <v>120</v>
      </c>
      <c r="E50" s="49">
        <f>'Avg Week Naguru-Nakawa'!E50+'Avg Week Nakawa-Naguru'!E50</f>
        <v>24.428571428571427</v>
      </c>
      <c r="F50" s="49">
        <f>'Avg Week Naguru-Nakawa'!F50+'Avg Week Nakawa-Naguru'!F50</f>
        <v>14.857142857142858</v>
      </c>
      <c r="G50" s="49">
        <f>'Avg Week Naguru-Nakawa'!G50+'Avg Week Nakawa-Naguru'!G50</f>
        <v>0.5714285714285714</v>
      </c>
      <c r="H50" s="49">
        <f>'Avg Week Naguru-Nakawa'!H50+'Avg Week Nakawa-Naguru'!H50</f>
        <v>0</v>
      </c>
      <c r="I50" s="49">
        <f>'Avg Week Naguru-Nakawa'!I50+'Avg Week Nakawa-Naguru'!I50</f>
        <v>6.2857142857142865</v>
      </c>
      <c r="J50" s="49">
        <f>'Avg Week Naguru-Nakawa'!J50+'Avg Week Nakawa-Naguru'!J50</f>
        <v>1.1428571428571428</v>
      </c>
      <c r="K50" s="49">
        <f>'Avg Week Naguru-Nakawa'!K50+'Avg Week Nakawa-Naguru'!K50</f>
        <v>0.5714285714285714</v>
      </c>
      <c r="L50" s="49">
        <f>'Avg Week Naguru-Nakawa'!L50+'Avg Week Nakawa-Naguru'!L50</f>
        <v>0.14285714285714285</v>
      </c>
      <c r="M50" s="49">
        <f>'Avg Week Naguru-Nakawa'!M50+'Avg Week Nakawa-Naguru'!M50</f>
        <v>133.42857142857144</v>
      </c>
      <c r="N50" s="49">
        <f>'Avg Week Naguru-Nakawa'!N50+'Avg Week Nakawa-Naguru'!N50</f>
        <v>0.14285714285714285</v>
      </c>
      <c r="O50" s="15">
        <f t="shared" si="0"/>
        <v>374.14285714285717</v>
      </c>
      <c r="P50" s="15">
        <f t="shared" si="1"/>
        <v>507.57142857142861</v>
      </c>
      <c r="R50" s="8"/>
      <c r="T50"/>
    </row>
    <row r="51" spans="2:20" ht="23.1" customHeight="1" x14ac:dyDescent="0.25">
      <c r="B51" s="24" t="s">
        <v>78</v>
      </c>
      <c r="C51" s="49">
        <f>'Avg Week Naguru-Nakawa'!C51+'Avg Week Nakawa-Naguru'!C51</f>
        <v>198.57142857142858</v>
      </c>
      <c r="D51" s="49">
        <f>'Avg Week Naguru-Nakawa'!D51+'Avg Week Nakawa-Naguru'!D51</f>
        <v>140</v>
      </c>
      <c r="E51" s="49">
        <f>'Avg Week Naguru-Nakawa'!E51+'Avg Week Nakawa-Naguru'!E51</f>
        <v>24.285714285714285</v>
      </c>
      <c r="F51" s="49">
        <f>'Avg Week Naguru-Nakawa'!F51+'Avg Week Nakawa-Naguru'!F51</f>
        <v>13.285714285714285</v>
      </c>
      <c r="G51" s="49">
        <f>'Avg Week Naguru-Nakawa'!G51+'Avg Week Nakawa-Naguru'!G51</f>
        <v>0</v>
      </c>
      <c r="H51" s="49">
        <f>'Avg Week Naguru-Nakawa'!H51+'Avg Week Nakawa-Naguru'!H51</f>
        <v>0.42857142857142855</v>
      </c>
      <c r="I51" s="49">
        <f>'Avg Week Naguru-Nakawa'!I51+'Avg Week Nakawa-Naguru'!I51</f>
        <v>7</v>
      </c>
      <c r="J51" s="49">
        <f>'Avg Week Naguru-Nakawa'!J51+'Avg Week Nakawa-Naguru'!J51</f>
        <v>2.4285714285714284</v>
      </c>
      <c r="K51" s="49">
        <f>'Avg Week Naguru-Nakawa'!K51+'Avg Week Nakawa-Naguru'!K51</f>
        <v>0.42857142857142855</v>
      </c>
      <c r="L51" s="49">
        <f>'Avg Week Naguru-Nakawa'!L51+'Avg Week Nakawa-Naguru'!L51</f>
        <v>0.14285714285714285</v>
      </c>
      <c r="M51" s="49">
        <f>'Avg Week Naguru-Nakawa'!M51+'Avg Week Nakawa-Naguru'!M51</f>
        <v>136.85714285714286</v>
      </c>
      <c r="N51" s="49">
        <f>'Avg Week Naguru-Nakawa'!N51+'Avg Week Nakawa-Naguru'!N51</f>
        <v>0.14285714285714285</v>
      </c>
      <c r="O51" s="15">
        <f t="shared" si="0"/>
        <v>386.71428571428578</v>
      </c>
      <c r="P51" s="15">
        <f t="shared" si="1"/>
        <v>523.57142857142856</v>
      </c>
      <c r="R51" s="8"/>
      <c r="T51"/>
    </row>
    <row r="52" spans="2:20" ht="23.1" customHeight="1" x14ac:dyDescent="0.25">
      <c r="B52" s="24" t="s">
        <v>79</v>
      </c>
      <c r="C52" s="49">
        <f>'Avg Week Naguru-Nakawa'!C52+'Avg Week Nakawa-Naguru'!C52</f>
        <v>211.42857142857144</v>
      </c>
      <c r="D52" s="49">
        <f>'Avg Week Naguru-Nakawa'!D52+'Avg Week Nakawa-Naguru'!D52</f>
        <v>139.71428571428572</v>
      </c>
      <c r="E52" s="49">
        <f>'Avg Week Naguru-Nakawa'!E52+'Avg Week Nakawa-Naguru'!E52</f>
        <v>42.428571428571423</v>
      </c>
      <c r="F52" s="49">
        <f>'Avg Week Naguru-Nakawa'!F52+'Avg Week Nakawa-Naguru'!F52</f>
        <v>20.857142857142854</v>
      </c>
      <c r="G52" s="49">
        <f>'Avg Week Naguru-Nakawa'!G52+'Avg Week Nakawa-Naguru'!G52</f>
        <v>0.42857142857142855</v>
      </c>
      <c r="H52" s="49">
        <f>'Avg Week Naguru-Nakawa'!H52+'Avg Week Nakawa-Naguru'!H52</f>
        <v>0.14285714285714285</v>
      </c>
      <c r="I52" s="49">
        <f>'Avg Week Naguru-Nakawa'!I52+'Avg Week Nakawa-Naguru'!I52</f>
        <v>4.5714285714285712</v>
      </c>
      <c r="J52" s="49">
        <f>'Avg Week Naguru-Nakawa'!J52+'Avg Week Nakawa-Naguru'!J52</f>
        <v>1.8571428571428572</v>
      </c>
      <c r="K52" s="49">
        <f>'Avg Week Naguru-Nakawa'!K52+'Avg Week Nakawa-Naguru'!K52</f>
        <v>0.2857142857142857</v>
      </c>
      <c r="L52" s="49">
        <f>'Avg Week Naguru-Nakawa'!L52+'Avg Week Nakawa-Naguru'!L52</f>
        <v>0</v>
      </c>
      <c r="M52" s="49">
        <f>'Avg Week Naguru-Nakawa'!M52+'Avg Week Nakawa-Naguru'!M52</f>
        <v>158.14285714285714</v>
      </c>
      <c r="N52" s="49">
        <f>'Avg Week Naguru-Nakawa'!N52+'Avg Week Nakawa-Naguru'!N52</f>
        <v>0</v>
      </c>
      <c r="O52" s="15">
        <f t="shared" si="0"/>
        <v>421.71428571428572</v>
      </c>
      <c r="P52" s="15">
        <f t="shared" si="1"/>
        <v>579.85714285714289</v>
      </c>
      <c r="R52" s="8"/>
      <c r="T52"/>
    </row>
    <row r="53" spans="2:20" ht="23.1" customHeight="1" x14ac:dyDescent="0.25">
      <c r="B53" s="23" t="s">
        <v>80</v>
      </c>
      <c r="C53" s="49">
        <f>'Avg Week Naguru-Nakawa'!C53+'Avg Week Nakawa-Naguru'!C53</f>
        <v>233.42857142857144</v>
      </c>
      <c r="D53" s="49">
        <f>'Avg Week Naguru-Nakawa'!D53+'Avg Week Nakawa-Naguru'!D53</f>
        <v>138.57142857142858</v>
      </c>
      <c r="E53" s="49">
        <f>'Avg Week Naguru-Nakawa'!E53+'Avg Week Nakawa-Naguru'!E53</f>
        <v>22</v>
      </c>
      <c r="F53" s="49">
        <f>'Avg Week Naguru-Nakawa'!F53+'Avg Week Nakawa-Naguru'!F53</f>
        <v>14.142857142857142</v>
      </c>
      <c r="G53" s="49">
        <f>'Avg Week Naguru-Nakawa'!G53+'Avg Week Nakawa-Naguru'!G53</f>
        <v>0.14285714285714285</v>
      </c>
      <c r="H53" s="49">
        <f>'Avg Week Naguru-Nakawa'!H53+'Avg Week Nakawa-Naguru'!H53</f>
        <v>0.14285714285714285</v>
      </c>
      <c r="I53" s="49">
        <f>'Avg Week Naguru-Nakawa'!I53+'Avg Week Nakawa-Naguru'!I53</f>
        <v>3</v>
      </c>
      <c r="J53" s="49">
        <f>'Avg Week Naguru-Nakawa'!J53+'Avg Week Nakawa-Naguru'!J53</f>
        <v>1.1428571428571428</v>
      </c>
      <c r="K53" s="49">
        <f>'Avg Week Naguru-Nakawa'!K53+'Avg Week Nakawa-Naguru'!K53</f>
        <v>0.8571428571428571</v>
      </c>
      <c r="L53" s="49">
        <f>'Avg Week Naguru-Nakawa'!L53+'Avg Week Nakawa-Naguru'!L53</f>
        <v>0.14285714285714285</v>
      </c>
      <c r="M53" s="49">
        <f>'Avg Week Naguru-Nakawa'!M53+'Avg Week Nakawa-Naguru'!M53</f>
        <v>127.57142857142857</v>
      </c>
      <c r="N53" s="49">
        <f>'Avg Week Naguru-Nakawa'!N53+'Avg Week Nakawa-Naguru'!N53</f>
        <v>0.14285714285714285</v>
      </c>
      <c r="O53" s="15">
        <f t="shared" si="0"/>
        <v>413.71428571428584</v>
      </c>
      <c r="P53" s="15">
        <f t="shared" si="1"/>
        <v>541.28571428571433</v>
      </c>
      <c r="R53" s="8"/>
      <c r="T53"/>
    </row>
    <row r="54" spans="2:20" ht="23.1" customHeight="1" x14ac:dyDescent="0.25">
      <c r="B54" s="23" t="s">
        <v>81</v>
      </c>
      <c r="C54" s="49">
        <f>'Avg Week Naguru-Nakawa'!C54+'Avg Week Nakawa-Naguru'!C54</f>
        <v>187.14285714285714</v>
      </c>
      <c r="D54" s="49">
        <f>'Avg Week Naguru-Nakawa'!D54+'Avg Week Nakawa-Naguru'!D54</f>
        <v>112.28571428571429</v>
      </c>
      <c r="E54" s="49">
        <f>'Avg Week Naguru-Nakawa'!E54+'Avg Week Nakawa-Naguru'!E54</f>
        <v>21.857142857142858</v>
      </c>
      <c r="F54" s="49">
        <f>'Avg Week Naguru-Nakawa'!F54+'Avg Week Nakawa-Naguru'!F54</f>
        <v>21.428571428571431</v>
      </c>
      <c r="G54" s="49">
        <f>'Avg Week Naguru-Nakawa'!G54+'Avg Week Nakawa-Naguru'!G54</f>
        <v>0.14285714285714285</v>
      </c>
      <c r="H54" s="49">
        <f>'Avg Week Naguru-Nakawa'!H54+'Avg Week Nakawa-Naguru'!H54</f>
        <v>0.14285714285714285</v>
      </c>
      <c r="I54" s="49">
        <f>'Avg Week Naguru-Nakawa'!I54+'Avg Week Nakawa-Naguru'!I54</f>
        <v>4.2857142857142856</v>
      </c>
      <c r="J54" s="49">
        <f>'Avg Week Naguru-Nakawa'!J54+'Avg Week Nakawa-Naguru'!J54</f>
        <v>1.4285714285714284</v>
      </c>
      <c r="K54" s="49">
        <f>'Avg Week Naguru-Nakawa'!K54+'Avg Week Nakawa-Naguru'!K54</f>
        <v>0.5714285714285714</v>
      </c>
      <c r="L54" s="49">
        <f>'Avg Week Naguru-Nakawa'!L54+'Avg Week Nakawa-Naguru'!L54</f>
        <v>0.42857142857142855</v>
      </c>
      <c r="M54" s="49">
        <f>'Avg Week Naguru-Nakawa'!M54+'Avg Week Nakawa-Naguru'!M54</f>
        <v>153.57142857142856</v>
      </c>
      <c r="N54" s="49">
        <f>'Avg Week Naguru-Nakawa'!N54+'Avg Week Nakawa-Naguru'!N54</f>
        <v>0</v>
      </c>
      <c r="O54" s="15">
        <f t="shared" si="0"/>
        <v>349.71428571428578</v>
      </c>
      <c r="P54" s="15">
        <f t="shared" si="1"/>
        <v>503.28571428571433</v>
      </c>
      <c r="R54" s="8"/>
      <c r="T54"/>
    </row>
    <row r="55" spans="2:20" ht="23.1" customHeight="1" x14ac:dyDescent="0.25">
      <c r="B55" s="23" t="s">
        <v>82</v>
      </c>
      <c r="C55" s="49">
        <f>'Avg Week Naguru-Nakawa'!C55+'Avg Week Nakawa-Naguru'!C55</f>
        <v>175</v>
      </c>
      <c r="D55" s="49">
        <f>'Avg Week Naguru-Nakawa'!D55+'Avg Week Nakawa-Naguru'!D55</f>
        <v>118.57142857142857</v>
      </c>
      <c r="E55" s="49">
        <f>'Avg Week Naguru-Nakawa'!E55+'Avg Week Nakawa-Naguru'!E55</f>
        <v>18.571428571428569</v>
      </c>
      <c r="F55" s="49">
        <f>'Avg Week Naguru-Nakawa'!F55+'Avg Week Nakawa-Naguru'!F55</f>
        <v>18</v>
      </c>
      <c r="G55" s="49">
        <f>'Avg Week Naguru-Nakawa'!G55+'Avg Week Nakawa-Naguru'!G55</f>
        <v>0.2857142857142857</v>
      </c>
      <c r="H55" s="49">
        <f>'Avg Week Naguru-Nakawa'!H55+'Avg Week Nakawa-Naguru'!H55</f>
        <v>0.14285714285714285</v>
      </c>
      <c r="I55" s="49">
        <f>'Avg Week Naguru-Nakawa'!I55+'Avg Week Nakawa-Naguru'!I55</f>
        <v>5.1428571428571432</v>
      </c>
      <c r="J55" s="49">
        <f>'Avg Week Naguru-Nakawa'!J55+'Avg Week Nakawa-Naguru'!J55</f>
        <v>1</v>
      </c>
      <c r="K55" s="49">
        <f>'Avg Week Naguru-Nakawa'!K55+'Avg Week Nakawa-Naguru'!K55</f>
        <v>0.2857142857142857</v>
      </c>
      <c r="L55" s="49">
        <f>'Avg Week Naguru-Nakawa'!L55+'Avg Week Nakawa-Naguru'!L55</f>
        <v>0.14285714285714285</v>
      </c>
      <c r="M55" s="49">
        <f>'Avg Week Naguru-Nakawa'!M55+'Avg Week Nakawa-Naguru'!M55</f>
        <v>150.14285714285714</v>
      </c>
      <c r="N55" s="49">
        <f>'Avg Week Naguru-Nakawa'!N55+'Avg Week Nakawa-Naguru'!N55</f>
        <v>0</v>
      </c>
      <c r="O55" s="15">
        <f t="shared" si="0"/>
        <v>337.14285714285717</v>
      </c>
      <c r="P55" s="15">
        <f t="shared" si="1"/>
        <v>487.28571428571433</v>
      </c>
      <c r="R55" s="8"/>
      <c r="T55"/>
    </row>
    <row r="56" spans="2:20" ht="23.1" customHeight="1" x14ac:dyDescent="0.25">
      <c r="B56" s="23" t="s">
        <v>83</v>
      </c>
      <c r="C56" s="49">
        <f>'Avg Week Naguru-Nakawa'!C56+'Avg Week Nakawa-Naguru'!C56</f>
        <v>191.85714285714286</v>
      </c>
      <c r="D56" s="49">
        <f>'Avg Week Naguru-Nakawa'!D56+'Avg Week Nakawa-Naguru'!D56</f>
        <v>118.14285714285714</v>
      </c>
      <c r="E56" s="49">
        <f>'Avg Week Naguru-Nakawa'!E56+'Avg Week Nakawa-Naguru'!E56</f>
        <v>16.714285714285715</v>
      </c>
      <c r="F56" s="49">
        <f>'Avg Week Naguru-Nakawa'!F56+'Avg Week Nakawa-Naguru'!F56</f>
        <v>14.714285714285715</v>
      </c>
      <c r="G56" s="49">
        <f>'Avg Week Naguru-Nakawa'!G56+'Avg Week Nakawa-Naguru'!G56</f>
        <v>0.14285714285714285</v>
      </c>
      <c r="H56" s="49">
        <f>'Avg Week Naguru-Nakawa'!H56+'Avg Week Nakawa-Naguru'!H56</f>
        <v>0.14285714285714285</v>
      </c>
      <c r="I56" s="49">
        <f>'Avg Week Naguru-Nakawa'!I56+'Avg Week Nakawa-Naguru'!I56</f>
        <v>5.1428571428571432</v>
      </c>
      <c r="J56" s="49">
        <f>'Avg Week Naguru-Nakawa'!J56+'Avg Week Nakawa-Naguru'!J56</f>
        <v>1.5714285714285714</v>
      </c>
      <c r="K56" s="49">
        <f>'Avg Week Naguru-Nakawa'!K56+'Avg Week Nakawa-Naguru'!K56</f>
        <v>0.5714285714285714</v>
      </c>
      <c r="L56" s="49">
        <f>'Avg Week Naguru-Nakawa'!L56+'Avg Week Nakawa-Naguru'!L56</f>
        <v>0</v>
      </c>
      <c r="M56" s="49">
        <f>'Avg Week Naguru-Nakawa'!M56+'Avg Week Nakawa-Naguru'!M56</f>
        <v>150.28571428571428</v>
      </c>
      <c r="N56" s="49">
        <f>'Avg Week Naguru-Nakawa'!N56+'Avg Week Nakawa-Naguru'!N56</f>
        <v>0</v>
      </c>
      <c r="O56" s="15">
        <f t="shared" si="0"/>
        <v>349.00000000000006</v>
      </c>
      <c r="P56" s="15">
        <f t="shared" si="1"/>
        <v>499.28571428571433</v>
      </c>
      <c r="R56" s="8"/>
      <c r="T56"/>
    </row>
    <row r="57" spans="2:20" ht="23.1" customHeight="1" x14ac:dyDescent="0.25">
      <c r="B57" s="23" t="s">
        <v>84</v>
      </c>
      <c r="C57" s="49">
        <f>'Avg Week Naguru-Nakawa'!C57+'Avg Week Nakawa-Naguru'!C57</f>
        <v>368.14285714285717</v>
      </c>
      <c r="D57" s="49">
        <f>'Avg Week Naguru-Nakawa'!D57+'Avg Week Nakawa-Naguru'!D57</f>
        <v>126.57142857142857</v>
      </c>
      <c r="E57" s="49">
        <f>'Avg Week Naguru-Nakawa'!E57+'Avg Week Nakawa-Naguru'!E57</f>
        <v>17.285714285714285</v>
      </c>
      <c r="F57" s="49">
        <f>'Avg Week Naguru-Nakawa'!F57+'Avg Week Nakawa-Naguru'!F57</f>
        <v>15.714285714285715</v>
      </c>
      <c r="G57" s="49">
        <f>'Avg Week Naguru-Nakawa'!G57+'Avg Week Nakawa-Naguru'!G57</f>
        <v>0.2857142857142857</v>
      </c>
      <c r="H57" s="49">
        <f>'Avg Week Naguru-Nakawa'!H57+'Avg Week Nakawa-Naguru'!H57</f>
        <v>0</v>
      </c>
      <c r="I57" s="49">
        <f>'Avg Week Naguru-Nakawa'!I57+'Avg Week Nakawa-Naguru'!I57</f>
        <v>2.7142857142857144</v>
      </c>
      <c r="J57" s="49">
        <f>'Avg Week Naguru-Nakawa'!J57+'Avg Week Nakawa-Naguru'!J57</f>
        <v>0.85714285714285721</v>
      </c>
      <c r="K57" s="49">
        <f>'Avg Week Naguru-Nakawa'!K57+'Avg Week Nakawa-Naguru'!K57</f>
        <v>0.42857142857142855</v>
      </c>
      <c r="L57" s="49">
        <f>'Avg Week Naguru-Nakawa'!L57+'Avg Week Nakawa-Naguru'!L57</f>
        <v>0</v>
      </c>
      <c r="M57" s="49">
        <f>'Avg Week Naguru-Nakawa'!M57+'Avg Week Nakawa-Naguru'!M57</f>
        <v>116.57142857142858</v>
      </c>
      <c r="N57" s="49">
        <f>'Avg Week Naguru-Nakawa'!N57+'Avg Week Nakawa-Naguru'!N57</f>
        <v>0</v>
      </c>
      <c r="O57" s="15">
        <f t="shared" si="0"/>
        <v>532</v>
      </c>
      <c r="P57" s="15">
        <f t="shared" si="1"/>
        <v>648.57142857142856</v>
      </c>
      <c r="R57" s="8"/>
      <c r="T57"/>
    </row>
    <row r="58" spans="2:20" ht="23.1" customHeight="1" x14ac:dyDescent="0.25">
      <c r="B58" s="23" t="s">
        <v>99</v>
      </c>
      <c r="C58" s="49">
        <f>'Avg Week Naguru-Nakawa'!C58+'Avg Week Nakawa-Naguru'!C58</f>
        <v>141</v>
      </c>
      <c r="D58" s="49">
        <f>'Avg Week Naguru-Nakawa'!D58+'Avg Week Nakawa-Naguru'!D58</f>
        <v>198.5</v>
      </c>
      <c r="E58" s="49">
        <f>'Avg Week Naguru-Nakawa'!E58+'Avg Week Nakawa-Naguru'!E58</f>
        <v>17.5</v>
      </c>
      <c r="F58" s="49">
        <f>'Avg Week Naguru-Nakawa'!F58+'Avg Week Nakawa-Naguru'!F58</f>
        <v>29</v>
      </c>
      <c r="G58" s="49">
        <f>'Avg Week Naguru-Nakawa'!G58+'Avg Week Nakawa-Naguru'!G58</f>
        <v>1</v>
      </c>
      <c r="H58" s="49">
        <f>'Avg Week Naguru-Nakawa'!H58+'Avg Week Nakawa-Naguru'!H58</f>
        <v>0</v>
      </c>
      <c r="I58" s="49">
        <f>'Avg Week Naguru-Nakawa'!I58+'Avg Week Nakawa-Naguru'!I58</f>
        <v>6.5</v>
      </c>
      <c r="J58" s="49">
        <f>'Avg Week Naguru-Nakawa'!J58+'Avg Week Nakawa-Naguru'!J58</f>
        <v>4.5</v>
      </c>
      <c r="K58" s="49">
        <f>'Avg Week Naguru-Nakawa'!K58+'Avg Week Nakawa-Naguru'!K58</f>
        <v>5</v>
      </c>
      <c r="L58" s="49">
        <f>'Avg Week Naguru-Nakawa'!L58+'Avg Week Nakawa-Naguru'!L58</f>
        <v>0.5</v>
      </c>
      <c r="M58" s="49">
        <f>'Avg Week Naguru-Nakawa'!M58+'Avg Week Nakawa-Naguru'!M58</f>
        <v>146</v>
      </c>
      <c r="N58" s="49">
        <f>'Avg Week Naguru-Nakawa'!N58+'Avg Week Nakawa-Naguru'!N58</f>
        <v>0</v>
      </c>
      <c r="O58" s="15">
        <f t="shared" si="0"/>
        <v>403.5</v>
      </c>
      <c r="P58" s="15">
        <f t="shared" si="1"/>
        <v>549.5</v>
      </c>
      <c r="R58" s="8"/>
      <c r="T58"/>
    </row>
    <row r="59" spans="2:20" ht="23.1" customHeight="1" x14ac:dyDescent="0.25">
      <c r="B59" s="23" t="s">
        <v>100</v>
      </c>
      <c r="C59" s="49">
        <f>'Avg Week Naguru-Nakawa'!C59+'Avg Week Nakawa-Naguru'!C59</f>
        <v>154</v>
      </c>
      <c r="D59" s="49">
        <f>'Avg Week Naguru-Nakawa'!D59+'Avg Week Nakawa-Naguru'!D59</f>
        <v>93.5</v>
      </c>
      <c r="E59" s="49">
        <f>'Avg Week Naguru-Nakawa'!E59+'Avg Week Nakawa-Naguru'!E59</f>
        <v>32</v>
      </c>
      <c r="F59" s="49">
        <f>'Avg Week Naguru-Nakawa'!F59+'Avg Week Nakawa-Naguru'!F59</f>
        <v>8.5</v>
      </c>
      <c r="G59" s="49">
        <f>'Avg Week Naguru-Nakawa'!G59+'Avg Week Nakawa-Naguru'!G59</f>
        <v>0.5</v>
      </c>
      <c r="H59" s="49">
        <f>'Avg Week Naguru-Nakawa'!H59+'Avg Week Nakawa-Naguru'!H59</f>
        <v>0</v>
      </c>
      <c r="I59" s="49">
        <f>'Avg Week Naguru-Nakawa'!I59+'Avg Week Nakawa-Naguru'!I59</f>
        <v>3.5</v>
      </c>
      <c r="J59" s="49">
        <f>'Avg Week Naguru-Nakawa'!J59+'Avg Week Nakawa-Naguru'!J59</f>
        <v>3</v>
      </c>
      <c r="K59" s="49">
        <f>'Avg Week Naguru-Nakawa'!K59+'Avg Week Nakawa-Naguru'!K59</f>
        <v>6.5</v>
      </c>
      <c r="L59" s="49">
        <f>'Avg Week Naguru-Nakawa'!L59+'Avg Week Nakawa-Naguru'!L59</f>
        <v>1</v>
      </c>
      <c r="M59" s="49">
        <f>'Avg Week Naguru-Nakawa'!M59+'Avg Week Nakawa-Naguru'!M59</f>
        <v>111.5</v>
      </c>
      <c r="N59" s="49">
        <f>'Avg Week Naguru-Nakawa'!N59+'Avg Week Nakawa-Naguru'!N59</f>
        <v>0</v>
      </c>
      <c r="O59" s="15">
        <f t="shared" si="0"/>
        <v>302.5</v>
      </c>
      <c r="P59" s="15">
        <f t="shared" si="1"/>
        <v>414</v>
      </c>
      <c r="R59" s="8"/>
      <c r="T59"/>
    </row>
    <row r="60" spans="2:20" ht="23.1" customHeight="1" x14ac:dyDescent="0.25">
      <c r="B60" s="23" t="s">
        <v>101</v>
      </c>
      <c r="C60" s="49">
        <f>'Avg Week Naguru-Nakawa'!C60+'Avg Week Nakawa-Naguru'!C60</f>
        <v>124</v>
      </c>
      <c r="D60" s="49">
        <f>'Avg Week Naguru-Nakawa'!D60+'Avg Week Nakawa-Naguru'!D60</f>
        <v>49.5</v>
      </c>
      <c r="E60" s="49">
        <f>'Avg Week Naguru-Nakawa'!E60+'Avg Week Nakawa-Naguru'!E60</f>
        <v>20.5</v>
      </c>
      <c r="F60" s="49">
        <f>'Avg Week Naguru-Nakawa'!F60+'Avg Week Nakawa-Naguru'!F60</f>
        <v>9.5</v>
      </c>
      <c r="G60" s="49">
        <f>'Avg Week Naguru-Nakawa'!G60+'Avg Week Nakawa-Naguru'!G60</f>
        <v>0</v>
      </c>
      <c r="H60" s="49">
        <f>'Avg Week Naguru-Nakawa'!H60+'Avg Week Nakawa-Naguru'!H60</f>
        <v>0</v>
      </c>
      <c r="I60" s="49">
        <f>'Avg Week Naguru-Nakawa'!I60+'Avg Week Nakawa-Naguru'!I60</f>
        <v>3</v>
      </c>
      <c r="J60" s="49">
        <f>'Avg Week Naguru-Nakawa'!J60+'Avg Week Nakawa-Naguru'!J60</f>
        <v>1.5</v>
      </c>
      <c r="K60" s="49">
        <f>'Avg Week Naguru-Nakawa'!K60+'Avg Week Nakawa-Naguru'!K60</f>
        <v>0</v>
      </c>
      <c r="L60" s="49">
        <f>'Avg Week Naguru-Nakawa'!L60+'Avg Week Nakawa-Naguru'!L60</f>
        <v>0.5</v>
      </c>
      <c r="M60" s="49">
        <f>'Avg Week Naguru-Nakawa'!M60+'Avg Week Nakawa-Naguru'!M60</f>
        <v>100</v>
      </c>
      <c r="N60" s="49">
        <f>'Avg Week Naguru-Nakawa'!N60+'Avg Week Nakawa-Naguru'!N60</f>
        <v>0</v>
      </c>
      <c r="O60" s="15">
        <f t="shared" si="0"/>
        <v>208.5</v>
      </c>
      <c r="P60" s="15">
        <f t="shared" si="1"/>
        <v>308.5</v>
      </c>
      <c r="R60" s="8"/>
      <c r="T60"/>
    </row>
    <row r="61" spans="2:20" ht="23.1" customHeight="1" x14ac:dyDescent="0.25">
      <c r="B61" s="23" t="s">
        <v>102</v>
      </c>
      <c r="C61" s="49">
        <f>'Avg Week Naguru-Nakawa'!C61+'Avg Week Nakawa-Naguru'!C61</f>
        <v>93</v>
      </c>
      <c r="D61" s="49">
        <f>'Avg Week Naguru-Nakawa'!D61+'Avg Week Nakawa-Naguru'!D61</f>
        <v>68</v>
      </c>
      <c r="E61" s="49">
        <f>'Avg Week Naguru-Nakawa'!E61+'Avg Week Nakawa-Naguru'!E61</f>
        <v>15</v>
      </c>
      <c r="F61" s="49">
        <f>'Avg Week Naguru-Nakawa'!F61+'Avg Week Nakawa-Naguru'!F61</f>
        <v>19</v>
      </c>
      <c r="G61" s="49">
        <f>'Avg Week Naguru-Nakawa'!G61+'Avg Week Nakawa-Naguru'!G61</f>
        <v>2</v>
      </c>
      <c r="H61" s="49">
        <f>'Avg Week Naguru-Nakawa'!H61+'Avg Week Nakawa-Naguru'!H61</f>
        <v>0</v>
      </c>
      <c r="I61" s="49">
        <f>'Avg Week Naguru-Nakawa'!I61+'Avg Week Nakawa-Naguru'!I61</f>
        <v>1</v>
      </c>
      <c r="J61" s="49">
        <f>'Avg Week Naguru-Nakawa'!J61+'Avg Week Nakawa-Naguru'!J61</f>
        <v>2.5</v>
      </c>
      <c r="K61" s="49">
        <f>'Avg Week Naguru-Nakawa'!K61+'Avg Week Nakawa-Naguru'!K61</f>
        <v>1.5</v>
      </c>
      <c r="L61" s="49">
        <f>'Avg Week Naguru-Nakawa'!L61+'Avg Week Nakawa-Naguru'!L61</f>
        <v>0</v>
      </c>
      <c r="M61" s="49">
        <f>'Avg Week Naguru-Nakawa'!M61+'Avg Week Nakawa-Naguru'!M61</f>
        <v>82</v>
      </c>
      <c r="N61" s="49">
        <f>'Avg Week Naguru-Nakawa'!N61+'Avg Week Nakawa-Naguru'!N61</f>
        <v>0</v>
      </c>
      <c r="O61" s="15">
        <f t="shared" si="0"/>
        <v>202</v>
      </c>
      <c r="P61" s="15">
        <f t="shared" si="1"/>
        <v>284</v>
      </c>
      <c r="R61" s="8"/>
      <c r="T61"/>
    </row>
    <row r="62" spans="2:20" ht="23.1" customHeight="1" x14ac:dyDescent="0.25">
      <c r="B62" s="23" t="s">
        <v>107</v>
      </c>
      <c r="C62" s="49">
        <f>'Avg Week Naguru-Nakawa'!C62+'Avg Week Nakawa-Naguru'!C62</f>
        <v>85</v>
      </c>
      <c r="D62" s="49">
        <f>'Avg Week Naguru-Nakawa'!D62+'Avg Week Nakawa-Naguru'!D62</f>
        <v>44</v>
      </c>
      <c r="E62" s="49">
        <f>'Avg Week Naguru-Nakawa'!E62+'Avg Week Nakawa-Naguru'!E62</f>
        <v>22</v>
      </c>
      <c r="F62" s="49">
        <f>'Avg Week Naguru-Nakawa'!F62+'Avg Week Nakawa-Naguru'!F62</f>
        <v>2.5</v>
      </c>
      <c r="G62" s="49">
        <f>'Avg Week Naguru-Nakawa'!G62+'Avg Week Nakawa-Naguru'!G62</f>
        <v>0</v>
      </c>
      <c r="H62" s="49">
        <f>'Avg Week Naguru-Nakawa'!H62+'Avg Week Nakawa-Naguru'!H62</f>
        <v>1.5</v>
      </c>
      <c r="I62" s="49">
        <f>'Avg Week Naguru-Nakawa'!I62+'Avg Week Nakawa-Naguru'!I62</f>
        <v>8</v>
      </c>
      <c r="J62" s="49">
        <f>'Avg Week Naguru-Nakawa'!J62+'Avg Week Nakawa-Naguru'!J62</f>
        <v>1.5</v>
      </c>
      <c r="K62" s="49">
        <f>'Avg Week Naguru-Nakawa'!K62+'Avg Week Nakawa-Naguru'!K62</f>
        <v>1</v>
      </c>
      <c r="L62" s="49">
        <f>'Avg Week Naguru-Nakawa'!L62+'Avg Week Nakawa-Naguru'!L62</f>
        <v>0</v>
      </c>
      <c r="M62" s="49">
        <f>'Avg Week Naguru-Nakawa'!M62+'Avg Week Nakawa-Naguru'!M62</f>
        <v>71</v>
      </c>
      <c r="N62" s="49">
        <f>'Avg Week Naguru-Nakawa'!N62+'Avg Week Nakawa-Naguru'!N62</f>
        <v>0</v>
      </c>
      <c r="O62" s="15">
        <f t="shared" si="0"/>
        <v>165.5</v>
      </c>
      <c r="P62" s="15">
        <f t="shared" si="1"/>
        <v>236.5</v>
      </c>
      <c r="R62" s="8"/>
      <c r="T62"/>
    </row>
    <row r="63" spans="2:20" ht="23.1" customHeight="1" x14ac:dyDescent="0.25">
      <c r="B63" s="23" t="s">
        <v>108</v>
      </c>
      <c r="C63" s="49">
        <f>'Avg Week Naguru-Nakawa'!C63+'Avg Week Nakawa-Naguru'!C63</f>
        <v>91.5</v>
      </c>
      <c r="D63" s="49">
        <f>'Avg Week Naguru-Nakawa'!D63+'Avg Week Nakawa-Naguru'!D63</f>
        <v>53.5</v>
      </c>
      <c r="E63" s="49">
        <f>'Avg Week Naguru-Nakawa'!E63+'Avg Week Nakawa-Naguru'!E63</f>
        <v>4.5</v>
      </c>
      <c r="F63" s="49">
        <f>'Avg Week Naguru-Nakawa'!F63+'Avg Week Nakawa-Naguru'!F63</f>
        <v>2</v>
      </c>
      <c r="G63" s="49">
        <f>'Avg Week Naguru-Nakawa'!G63+'Avg Week Nakawa-Naguru'!G63</f>
        <v>0</v>
      </c>
      <c r="H63" s="49">
        <f>'Avg Week Naguru-Nakawa'!H63+'Avg Week Nakawa-Naguru'!H63</f>
        <v>2.5</v>
      </c>
      <c r="I63" s="49">
        <f>'Avg Week Naguru-Nakawa'!I63+'Avg Week Nakawa-Naguru'!I63</f>
        <v>4.5</v>
      </c>
      <c r="J63" s="49">
        <f>'Avg Week Naguru-Nakawa'!J63+'Avg Week Nakawa-Naguru'!J63</f>
        <v>0.5</v>
      </c>
      <c r="K63" s="49">
        <f>'Avg Week Naguru-Nakawa'!K63+'Avg Week Nakawa-Naguru'!K63</f>
        <v>1</v>
      </c>
      <c r="L63" s="49">
        <f>'Avg Week Naguru-Nakawa'!L63+'Avg Week Nakawa-Naguru'!L63</f>
        <v>0</v>
      </c>
      <c r="M63" s="49">
        <f>'Avg Week Naguru-Nakawa'!M63+'Avg Week Nakawa-Naguru'!M63</f>
        <v>72</v>
      </c>
      <c r="N63" s="49">
        <f>'Avg Week Naguru-Nakawa'!N63+'Avg Week Nakawa-Naguru'!N63</f>
        <v>0</v>
      </c>
      <c r="O63" s="15">
        <f t="shared" si="0"/>
        <v>160</v>
      </c>
      <c r="P63" s="15">
        <f t="shared" si="1"/>
        <v>232</v>
      </c>
      <c r="R63" s="8"/>
      <c r="T63"/>
    </row>
    <row r="64" spans="2:20" ht="23.1" customHeight="1" x14ac:dyDescent="0.25">
      <c r="B64" s="23" t="s">
        <v>109</v>
      </c>
      <c r="C64" s="49">
        <f>'Avg Week Naguru-Nakawa'!C64+'Avg Week Nakawa-Naguru'!C64</f>
        <v>163</v>
      </c>
      <c r="D64" s="49">
        <f>'Avg Week Naguru-Nakawa'!D64+'Avg Week Nakawa-Naguru'!D64</f>
        <v>61.5</v>
      </c>
      <c r="E64" s="49">
        <f>'Avg Week Naguru-Nakawa'!E64+'Avg Week Nakawa-Naguru'!E64</f>
        <v>33</v>
      </c>
      <c r="F64" s="49">
        <f>'Avg Week Naguru-Nakawa'!F64+'Avg Week Nakawa-Naguru'!F64</f>
        <v>33</v>
      </c>
      <c r="G64" s="49">
        <f>'Avg Week Naguru-Nakawa'!G64+'Avg Week Nakawa-Naguru'!G64</f>
        <v>0</v>
      </c>
      <c r="H64" s="49">
        <f>'Avg Week Naguru-Nakawa'!H64+'Avg Week Nakawa-Naguru'!H64</f>
        <v>5</v>
      </c>
      <c r="I64" s="49">
        <f>'Avg Week Naguru-Nakawa'!I64+'Avg Week Nakawa-Naguru'!I64</f>
        <v>2.5</v>
      </c>
      <c r="J64" s="49">
        <f>'Avg Week Naguru-Nakawa'!J64+'Avg Week Nakawa-Naguru'!J64</f>
        <v>0.5</v>
      </c>
      <c r="K64" s="49">
        <f>'Avg Week Naguru-Nakawa'!K64+'Avg Week Nakawa-Naguru'!K64</f>
        <v>1</v>
      </c>
      <c r="L64" s="49">
        <f>'Avg Week Naguru-Nakawa'!L64+'Avg Week Nakawa-Naguru'!L64</f>
        <v>0</v>
      </c>
      <c r="M64" s="49">
        <f>'Avg Week Naguru-Nakawa'!M64+'Avg Week Nakawa-Naguru'!M64</f>
        <v>58</v>
      </c>
      <c r="N64" s="49">
        <f>'Avg Week Naguru-Nakawa'!N64+'Avg Week Nakawa-Naguru'!N64</f>
        <v>0</v>
      </c>
      <c r="O64" s="15">
        <f t="shared" si="0"/>
        <v>299.5</v>
      </c>
      <c r="P64" s="15">
        <f t="shared" si="1"/>
        <v>357.5</v>
      </c>
      <c r="R64" s="8"/>
      <c r="T64"/>
    </row>
    <row r="65" spans="2:20" ht="23.1" customHeight="1" x14ac:dyDescent="0.25">
      <c r="B65" s="23" t="s">
        <v>158</v>
      </c>
      <c r="C65" s="49">
        <f>'Avg Week Naguru-Nakawa'!C65+'Avg Week Nakawa-Naguru'!C65</f>
        <v>95</v>
      </c>
      <c r="D65" s="49">
        <f>'Avg Week Naguru-Nakawa'!D65+'Avg Week Nakawa-Naguru'!D65</f>
        <v>77.5</v>
      </c>
      <c r="E65" s="49">
        <f>'Avg Week Naguru-Nakawa'!E65+'Avg Week Nakawa-Naguru'!E65</f>
        <v>13</v>
      </c>
      <c r="F65" s="49">
        <f>'Avg Week Naguru-Nakawa'!F65+'Avg Week Nakawa-Naguru'!F65</f>
        <v>2.5</v>
      </c>
      <c r="G65" s="49">
        <f>'Avg Week Naguru-Nakawa'!G65+'Avg Week Nakawa-Naguru'!G65</f>
        <v>7.5</v>
      </c>
      <c r="H65" s="49">
        <f>'Avg Week Naguru-Nakawa'!H65+'Avg Week Nakawa-Naguru'!H65</f>
        <v>0</v>
      </c>
      <c r="I65" s="49">
        <f>'Avg Week Naguru-Nakawa'!I65+'Avg Week Nakawa-Naguru'!I65</f>
        <v>5.5</v>
      </c>
      <c r="J65" s="49">
        <f>'Avg Week Naguru-Nakawa'!J65+'Avg Week Nakawa-Naguru'!J65</f>
        <v>1</v>
      </c>
      <c r="K65" s="49">
        <f>'Avg Week Naguru-Nakawa'!K65+'Avg Week Nakawa-Naguru'!K65</f>
        <v>0.5</v>
      </c>
      <c r="L65" s="49">
        <f>'Avg Week Naguru-Nakawa'!L65+'Avg Week Nakawa-Naguru'!L65</f>
        <v>0</v>
      </c>
      <c r="M65" s="49">
        <f>'Avg Week Naguru-Nakawa'!M65+'Avg Week Nakawa-Naguru'!M65</f>
        <v>66</v>
      </c>
      <c r="N65" s="49">
        <f>'Avg Week Naguru-Nakawa'!N65+'Avg Week Nakawa-Naguru'!N65</f>
        <v>0</v>
      </c>
      <c r="O65" s="15">
        <f t="shared" si="0"/>
        <v>202.5</v>
      </c>
      <c r="P65" s="15">
        <f t="shared" si="1"/>
        <v>268.5</v>
      </c>
      <c r="R65" s="8"/>
      <c r="T65"/>
    </row>
    <row r="66" spans="2:20" ht="23.1" customHeight="1" x14ac:dyDescent="0.25">
      <c r="B66" s="23" t="s">
        <v>103</v>
      </c>
      <c r="C66" s="49">
        <f>'Avg Week Naguru-Nakawa'!C66+'Avg Week Nakawa-Naguru'!C66</f>
        <v>115</v>
      </c>
      <c r="D66" s="49">
        <f>'Avg Week Naguru-Nakawa'!D66+'Avg Week Nakawa-Naguru'!D66</f>
        <v>69.5</v>
      </c>
      <c r="E66" s="49">
        <f>'Avg Week Naguru-Nakawa'!E66+'Avg Week Nakawa-Naguru'!E66</f>
        <v>11.5</v>
      </c>
      <c r="F66" s="49">
        <f>'Avg Week Naguru-Nakawa'!F66+'Avg Week Nakawa-Naguru'!F66</f>
        <v>6</v>
      </c>
      <c r="G66" s="49">
        <f>'Avg Week Naguru-Nakawa'!G66+'Avg Week Nakawa-Naguru'!G66</f>
        <v>0</v>
      </c>
      <c r="H66" s="49">
        <f>'Avg Week Naguru-Nakawa'!H66+'Avg Week Nakawa-Naguru'!H66</f>
        <v>0</v>
      </c>
      <c r="I66" s="49">
        <f>'Avg Week Naguru-Nakawa'!I66+'Avg Week Nakawa-Naguru'!I66</f>
        <v>2.5</v>
      </c>
      <c r="J66" s="49">
        <f>'Avg Week Naguru-Nakawa'!J66+'Avg Week Nakawa-Naguru'!J66</f>
        <v>0</v>
      </c>
      <c r="K66" s="49">
        <f>'Avg Week Naguru-Nakawa'!K66+'Avg Week Nakawa-Naguru'!K66</f>
        <v>0.5</v>
      </c>
      <c r="L66" s="49">
        <f>'Avg Week Naguru-Nakawa'!L66+'Avg Week Nakawa-Naguru'!L66</f>
        <v>0</v>
      </c>
      <c r="M66" s="49">
        <f>'Avg Week Naguru-Nakawa'!M66+'Avg Week Nakawa-Naguru'!M66</f>
        <v>45</v>
      </c>
      <c r="N66" s="49">
        <f>'Avg Week Naguru-Nakawa'!N66+'Avg Week Nakawa-Naguru'!N66</f>
        <v>0</v>
      </c>
      <c r="O66" s="15">
        <f t="shared" si="0"/>
        <v>205</v>
      </c>
      <c r="P66" s="15">
        <f t="shared" si="1"/>
        <v>250</v>
      </c>
      <c r="R66" s="8"/>
      <c r="T66"/>
    </row>
    <row r="67" spans="2:20" ht="23.1" customHeight="1" x14ac:dyDescent="0.25">
      <c r="B67" s="23" t="s">
        <v>104</v>
      </c>
      <c r="C67" s="49">
        <f>'Avg Week Naguru-Nakawa'!C67+'Avg Week Nakawa-Naguru'!C67</f>
        <v>97.5</v>
      </c>
      <c r="D67" s="49">
        <f>'Avg Week Naguru-Nakawa'!D67+'Avg Week Nakawa-Naguru'!D67</f>
        <v>31</v>
      </c>
      <c r="E67" s="49">
        <f>'Avg Week Naguru-Nakawa'!E67+'Avg Week Nakawa-Naguru'!E67</f>
        <v>9.5</v>
      </c>
      <c r="F67" s="49">
        <f>'Avg Week Naguru-Nakawa'!F67+'Avg Week Nakawa-Naguru'!F67</f>
        <v>7</v>
      </c>
      <c r="G67" s="49">
        <f>'Avg Week Naguru-Nakawa'!G67+'Avg Week Nakawa-Naguru'!G67</f>
        <v>0</v>
      </c>
      <c r="H67" s="49">
        <f>'Avg Week Naguru-Nakawa'!H67+'Avg Week Nakawa-Naguru'!H67</f>
        <v>3</v>
      </c>
      <c r="I67" s="49">
        <f>'Avg Week Naguru-Nakawa'!I67+'Avg Week Nakawa-Naguru'!I67</f>
        <v>4</v>
      </c>
      <c r="J67" s="49">
        <f>'Avg Week Naguru-Nakawa'!J67+'Avg Week Nakawa-Naguru'!J67</f>
        <v>0</v>
      </c>
      <c r="K67" s="49">
        <f>'Avg Week Naguru-Nakawa'!K67+'Avg Week Nakawa-Naguru'!K67</f>
        <v>1.5</v>
      </c>
      <c r="L67" s="49">
        <f>'Avg Week Naguru-Nakawa'!L67+'Avg Week Nakawa-Naguru'!L67</f>
        <v>0.5</v>
      </c>
      <c r="M67" s="49">
        <f>'Avg Week Naguru-Nakawa'!M67+'Avg Week Nakawa-Naguru'!M67</f>
        <v>51.5</v>
      </c>
      <c r="N67" s="49">
        <f>'Avg Week Naguru-Nakawa'!N67+'Avg Week Nakawa-Naguru'!N67</f>
        <v>0</v>
      </c>
      <c r="O67" s="15">
        <f t="shared" si="0"/>
        <v>154</v>
      </c>
      <c r="P67" s="15">
        <f t="shared" si="1"/>
        <v>205.5</v>
      </c>
      <c r="R67" s="8"/>
      <c r="T67"/>
    </row>
    <row r="68" spans="2:20" ht="23.1" customHeight="1" x14ac:dyDescent="0.25">
      <c r="B68" s="23" t="s">
        <v>105</v>
      </c>
      <c r="C68" s="49">
        <f>'Avg Week Naguru-Nakawa'!C68+'Avg Week Nakawa-Naguru'!C68</f>
        <v>95.5</v>
      </c>
      <c r="D68" s="49">
        <f>'Avg Week Naguru-Nakawa'!D68+'Avg Week Nakawa-Naguru'!D68</f>
        <v>23.5</v>
      </c>
      <c r="E68" s="49">
        <f>'Avg Week Naguru-Nakawa'!E68+'Avg Week Nakawa-Naguru'!E68</f>
        <v>11</v>
      </c>
      <c r="F68" s="49">
        <f>'Avg Week Naguru-Nakawa'!F68+'Avg Week Nakawa-Naguru'!F68</f>
        <v>1.5</v>
      </c>
      <c r="G68" s="49">
        <f>'Avg Week Naguru-Nakawa'!G68+'Avg Week Nakawa-Naguru'!G68</f>
        <v>0</v>
      </c>
      <c r="H68" s="49">
        <f>'Avg Week Naguru-Nakawa'!H68+'Avg Week Nakawa-Naguru'!H68</f>
        <v>1</v>
      </c>
      <c r="I68" s="49">
        <f>'Avg Week Naguru-Nakawa'!I68+'Avg Week Nakawa-Naguru'!I68</f>
        <v>3</v>
      </c>
      <c r="J68" s="49">
        <f>'Avg Week Naguru-Nakawa'!J68+'Avg Week Nakawa-Naguru'!J68</f>
        <v>0.5</v>
      </c>
      <c r="K68" s="49">
        <f>'Avg Week Naguru-Nakawa'!K68+'Avg Week Nakawa-Naguru'!K68</f>
        <v>0</v>
      </c>
      <c r="L68" s="49">
        <f>'Avg Week Naguru-Nakawa'!L68+'Avg Week Nakawa-Naguru'!L68</f>
        <v>0</v>
      </c>
      <c r="M68" s="49">
        <f>'Avg Week Naguru-Nakawa'!M68+'Avg Week Nakawa-Naguru'!M68</f>
        <v>41</v>
      </c>
      <c r="N68" s="49">
        <f>'Avg Week Naguru-Nakawa'!N68+'Avg Week Nakawa-Naguru'!N68</f>
        <v>0</v>
      </c>
      <c r="O68" s="15">
        <f t="shared" si="0"/>
        <v>136</v>
      </c>
      <c r="P68" s="15">
        <f t="shared" si="1"/>
        <v>177</v>
      </c>
      <c r="R68" s="8"/>
      <c r="T68"/>
    </row>
    <row r="69" spans="2:20" ht="23.1" customHeight="1" x14ac:dyDescent="0.25">
      <c r="B69" s="23" t="s">
        <v>106</v>
      </c>
      <c r="C69" s="49">
        <f>'Avg Week Naguru-Nakawa'!C69+'Avg Week Nakawa-Naguru'!C69</f>
        <v>74</v>
      </c>
      <c r="D69" s="49">
        <f>'Avg Week Naguru-Nakawa'!D69+'Avg Week Nakawa-Naguru'!D69</f>
        <v>59.5</v>
      </c>
      <c r="E69" s="49">
        <f>'Avg Week Naguru-Nakawa'!E69+'Avg Week Nakawa-Naguru'!E69</f>
        <v>3</v>
      </c>
      <c r="F69" s="49">
        <f>'Avg Week Naguru-Nakawa'!F69+'Avg Week Nakawa-Naguru'!F69</f>
        <v>2</v>
      </c>
      <c r="G69" s="49">
        <f>'Avg Week Naguru-Nakawa'!G69+'Avg Week Nakawa-Naguru'!G69</f>
        <v>0</v>
      </c>
      <c r="H69" s="49">
        <f>'Avg Week Naguru-Nakawa'!H69+'Avg Week Nakawa-Naguru'!H69</f>
        <v>0</v>
      </c>
      <c r="I69" s="49">
        <f>'Avg Week Naguru-Nakawa'!I69+'Avg Week Nakawa-Naguru'!I69</f>
        <v>2</v>
      </c>
      <c r="J69" s="49">
        <f>'Avg Week Naguru-Nakawa'!J69+'Avg Week Nakawa-Naguru'!J69</f>
        <v>1</v>
      </c>
      <c r="K69" s="49">
        <f>'Avg Week Naguru-Nakawa'!K69+'Avg Week Nakawa-Naguru'!K69</f>
        <v>0.5</v>
      </c>
      <c r="L69" s="49">
        <f>'Avg Week Naguru-Nakawa'!L69+'Avg Week Nakawa-Naguru'!L69</f>
        <v>0</v>
      </c>
      <c r="M69" s="49">
        <f>'Avg Week Naguru-Nakawa'!M69+'Avg Week Nakawa-Naguru'!M69</f>
        <v>38.5</v>
      </c>
      <c r="N69" s="49">
        <f>'Avg Week Naguru-Nakawa'!N69+'Avg Week Nakawa-Naguru'!N69</f>
        <v>0</v>
      </c>
      <c r="O69" s="15">
        <f t="shared" si="0"/>
        <v>142</v>
      </c>
      <c r="P69" s="15">
        <f t="shared" si="1"/>
        <v>180.5</v>
      </c>
      <c r="R69" s="8"/>
      <c r="T69"/>
    </row>
    <row r="70" spans="2:20" ht="23.1" customHeight="1" x14ac:dyDescent="0.25">
      <c r="B70" s="23" t="s">
        <v>110</v>
      </c>
      <c r="C70" s="49">
        <f>'Avg Week Naguru-Nakawa'!C70+'Avg Week Nakawa-Naguru'!C70</f>
        <v>53</v>
      </c>
      <c r="D70" s="49">
        <f>'Avg Week Naguru-Nakawa'!D70+'Avg Week Nakawa-Naguru'!D70</f>
        <v>33.5</v>
      </c>
      <c r="E70" s="49">
        <f>'Avg Week Naguru-Nakawa'!E70+'Avg Week Nakawa-Naguru'!E70</f>
        <v>8</v>
      </c>
      <c r="F70" s="49">
        <f>'Avg Week Naguru-Nakawa'!F70+'Avg Week Nakawa-Naguru'!F70</f>
        <v>7</v>
      </c>
      <c r="G70" s="49">
        <f>'Avg Week Naguru-Nakawa'!G70+'Avg Week Nakawa-Naguru'!G70</f>
        <v>0</v>
      </c>
      <c r="H70" s="49">
        <f>'Avg Week Naguru-Nakawa'!H70+'Avg Week Nakawa-Naguru'!H70</f>
        <v>0</v>
      </c>
      <c r="I70" s="49">
        <f>'Avg Week Naguru-Nakawa'!I70+'Avg Week Nakawa-Naguru'!I70</f>
        <v>1.5</v>
      </c>
      <c r="J70" s="49">
        <f>'Avg Week Naguru-Nakawa'!J70+'Avg Week Nakawa-Naguru'!J70</f>
        <v>0.5</v>
      </c>
      <c r="K70" s="49">
        <f>'Avg Week Naguru-Nakawa'!K70+'Avg Week Nakawa-Naguru'!K70</f>
        <v>0.5</v>
      </c>
      <c r="L70" s="49">
        <f>'Avg Week Naguru-Nakawa'!L70+'Avg Week Nakawa-Naguru'!L70</f>
        <v>0</v>
      </c>
      <c r="M70" s="49">
        <f>'Avg Week Naguru-Nakawa'!M70+'Avg Week Nakawa-Naguru'!M70</f>
        <v>34.5</v>
      </c>
      <c r="N70" s="49">
        <f>'Avg Week Naguru-Nakawa'!N70+'Avg Week Nakawa-Naguru'!N70</f>
        <v>0</v>
      </c>
      <c r="O70" s="15">
        <f t="shared" si="0"/>
        <v>104</v>
      </c>
      <c r="P70" s="15">
        <f t="shared" si="1"/>
        <v>138.5</v>
      </c>
      <c r="R70" s="8"/>
      <c r="T70"/>
    </row>
    <row r="71" spans="2:20" ht="23.1" customHeight="1" x14ac:dyDescent="0.25">
      <c r="B71" s="23" t="s">
        <v>111</v>
      </c>
      <c r="C71" s="49">
        <f>'Avg Week Naguru-Nakawa'!C71+'Avg Week Nakawa-Naguru'!C71</f>
        <v>60.5</v>
      </c>
      <c r="D71" s="49">
        <f>'Avg Week Naguru-Nakawa'!D71+'Avg Week Nakawa-Naguru'!D71</f>
        <v>14.5</v>
      </c>
      <c r="E71" s="49">
        <f>'Avg Week Naguru-Nakawa'!E71+'Avg Week Nakawa-Naguru'!E71</f>
        <v>4</v>
      </c>
      <c r="F71" s="49">
        <f>'Avg Week Naguru-Nakawa'!F71+'Avg Week Nakawa-Naguru'!F71</f>
        <v>0.5</v>
      </c>
      <c r="G71" s="49">
        <f>'Avg Week Naguru-Nakawa'!G71+'Avg Week Nakawa-Naguru'!G71</f>
        <v>0</v>
      </c>
      <c r="H71" s="49">
        <f>'Avg Week Naguru-Nakawa'!H71+'Avg Week Nakawa-Naguru'!H71</f>
        <v>0</v>
      </c>
      <c r="I71" s="49">
        <f>'Avg Week Naguru-Nakawa'!I71+'Avg Week Nakawa-Naguru'!I71</f>
        <v>2.5</v>
      </c>
      <c r="J71" s="49">
        <f>'Avg Week Naguru-Nakawa'!J71+'Avg Week Nakawa-Naguru'!J71</f>
        <v>0</v>
      </c>
      <c r="K71" s="49">
        <f>'Avg Week Naguru-Nakawa'!K71+'Avg Week Nakawa-Naguru'!K71</f>
        <v>0</v>
      </c>
      <c r="L71" s="49">
        <f>'Avg Week Naguru-Nakawa'!L71+'Avg Week Nakawa-Naguru'!L71</f>
        <v>0.5</v>
      </c>
      <c r="M71" s="49">
        <f>'Avg Week Naguru-Nakawa'!M71+'Avg Week Nakawa-Naguru'!M71</f>
        <v>31</v>
      </c>
      <c r="N71" s="49">
        <f>'Avg Week Naguru-Nakawa'!N71+'Avg Week Nakawa-Naguru'!N71</f>
        <v>0</v>
      </c>
      <c r="O71" s="15">
        <f t="shared" si="0"/>
        <v>82.5</v>
      </c>
      <c r="P71" s="15">
        <f t="shared" si="1"/>
        <v>113.5</v>
      </c>
      <c r="R71" s="8"/>
      <c r="T71"/>
    </row>
    <row r="72" spans="2:20" ht="23.1" customHeight="1" x14ac:dyDescent="0.25">
      <c r="B72" s="23" t="s">
        <v>112</v>
      </c>
      <c r="C72" s="49">
        <f>'Avg Week Naguru-Nakawa'!C72+'Avg Week Nakawa-Naguru'!C72</f>
        <v>89.5</v>
      </c>
      <c r="D72" s="49">
        <f>'Avg Week Naguru-Nakawa'!D72+'Avg Week Nakawa-Naguru'!D72</f>
        <v>23.5</v>
      </c>
      <c r="E72" s="49">
        <f>'Avg Week Naguru-Nakawa'!E72+'Avg Week Nakawa-Naguru'!E72</f>
        <v>3.5</v>
      </c>
      <c r="F72" s="49">
        <f>'Avg Week Naguru-Nakawa'!F72+'Avg Week Nakawa-Naguru'!F72</f>
        <v>0</v>
      </c>
      <c r="G72" s="49">
        <f>'Avg Week Naguru-Nakawa'!G72+'Avg Week Nakawa-Naguru'!G72</f>
        <v>0</v>
      </c>
      <c r="H72" s="49">
        <f>'Avg Week Naguru-Nakawa'!H72+'Avg Week Nakawa-Naguru'!H72</f>
        <v>0</v>
      </c>
      <c r="I72" s="49">
        <f>'Avg Week Naguru-Nakawa'!I72+'Avg Week Nakawa-Naguru'!I72</f>
        <v>2</v>
      </c>
      <c r="J72" s="49">
        <f>'Avg Week Naguru-Nakawa'!J72+'Avg Week Nakawa-Naguru'!J72</f>
        <v>1</v>
      </c>
      <c r="K72" s="49">
        <f>'Avg Week Naguru-Nakawa'!K72+'Avg Week Nakawa-Naguru'!K72</f>
        <v>1.5</v>
      </c>
      <c r="L72" s="49">
        <f>'Avg Week Naguru-Nakawa'!L72+'Avg Week Nakawa-Naguru'!L72</f>
        <v>0</v>
      </c>
      <c r="M72" s="49">
        <f>'Avg Week Naguru-Nakawa'!M72+'Avg Week Nakawa-Naguru'!M72</f>
        <v>33</v>
      </c>
      <c r="N72" s="49">
        <f>'Avg Week Naguru-Nakawa'!N72+'Avg Week Nakawa-Naguru'!N72</f>
        <v>0</v>
      </c>
      <c r="O72" s="15">
        <f t="shared" si="0"/>
        <v>121</v>
      </c>
      <c r="P72" s="15">
        <f t="shared" si="1"/>
        <v>154</v>
      </c>
      <c r="R72" s="8"/>
      <c r="T72"/>
    </row>
    <row r="73" spans="2:20" ht="23.1" customHeight="1" x14ac:dyDescent="0.25">
      <c r="B73" s="23" t="s">
        <v>113</v>
      </c>
      <c r="C73" s="49">
        <f>'Avg Week Naguru-Nakawa'!C73+'Avg Week Nakawa-Naguru'!C73</f>
        <v>77.5</v>
      </c>
      <c r="D73" s="49">
        <f>'Avg Week Naguru-Nakawa'!D73+'Avg Week Nakawa-Naguru'!D73</f>
        <v>26</v>
      </c>
      <c r="E73" s="49">
        <f>'Avg Week Naguru-Nakawa'!E73+'Avg Week Nakawa-Naguru'!E73</f>
        <v>5</v>
      </c>
      <c r="F73" s="49">
        <f>'Avg Week Naguru-Nakawa'!F73+'Avg Week Nakawa-Naguru'!F73</f>
        <v>5</v>
      </c>
      <c r="G73" s="49">
        <f>'Avg Week Naguru-Nakawa'!G73+'Avg Week Nakawa-Naguru'!G73</f>
        <v>4</v>
      </c>
      <c r="H73" s="49">
        <f>'Avg Week Naguru-Nakawa'!H73+'Avg Week Nakawa-Naguru'!H73</f>
        <v>0</v>
      </c>
      <c r="I73" s="49">
        <f>'Avg Week Naguru-Nakawa'!I73+'Avg Week Nakawa-Naguru'!I73</f>
        <v>2.5</v>
      </c>
      <c r="J73" s="49">
        <f>'Avg Week Naguru-Nakawa'!J73+'Avg Week Nakawa-Naguru'!J73</f>
        <v>0.5</v>
      </c>
      <c r="K73" s="49">
        <f>'Avg Week Naguru-Nakawa'!K73+'Avg Week Nakawa-Naguru'!K73</f>
        <v>0</v>
      </c>
      <c r="L73" s="49">
        <f>'Avg Week Naguru-Nakawa'!L73+'Avg Week Nakawa-Naguru'!L73</f>
        <v>0</v>
      </c>
      <c r="M73" s="49">
        <f>'Avg Week Naguru-Nakawa'!M73+'Avg Week Nakawa-Naguru'!M73</f>
        <v>28.5</v>
      </c>
      <c r="N73" s="49">
        <f>'Avg Week Naguru-Nakawa'!N73+'Avg Week Nakawa-Naguru'!N73</f>
        <v>0</v>
      </c>
      <c r="O73" s="15">
        <f t="shared" si="0"/>
        <v>120.5</v>
      </c>
      <c r="P73" s="15">
        <f t="shared" si="1"/>
        <v>149</v>
      </c>
      <c r="R73" s="8"/>
      <c r="T73"/>
    </row>
    <row r="74" spans="2:20" ht="23.1" customHeight="1" x14ac:dyDescent="0.25">
      <c r="B74" s="23" t="s">
        <v>114</v>
      </c>
      <c r="C74" s="49">
        <f>'Avg Week Naguru-Nakawa'!C74+'Avg Week Nakawa-Naguru'!C74</f>
        <v>82.5</v>
      </c>
      <c r="D74" s="49">
        <f>'Avg Week Naguru-Nakawa'!D74+'Avg Week Nakawa-Naguru'!D74</f>
        <v>33.5</v>
      </c>
      <c r="E74" s="49">
        <f>'Avg Week Naguru-Nakawa'!E74+'Avg Week Nakawa-Naguru'!E74</f>
        <v>5</v>
      </c>
      <c r="F74" s="49">
        <f>'Avg Week Naguru-Nakawa'!F74+'Avg Week Nakawa-Naguru'!F74</f>
        <v>0.5</v>
      </c>
      <c r="G74" s="49">
        <f>'Avg Week Naguru-Nakawa'!G74+'Avg Week Nakawa-Naguru'!G74</f>
        <v>0</v>
      </c>
      <c r="H74" s="49">
        <f>'Avg Week Naguru-Nakawa'!H74+'Avg Week Nakawa-Naguru'!H74</f>
        <v>0.5</v>
      </c>
      <c r="I74" s="49">
        <f>'Avg Week Naguru-Nakawa'!I74+'Avg Week Nakawa-Naguru'!I74</f>
        <v>0.5</v>
      </c>
      <c r="J74" s="49">
        <f>'Avg Week Naguru-Nakawa'!J74+'Avg Week Nakawa-Naguru'!J74</f>
        <v>0.5</v>
      </c>
      <c r="K74" s="49">
        <f>'Avg Week Naguru-Nakawa'!K74+'Avg Week Nakawa-Naguru'!K74</f>
        <v>0.5</v>
      </c>
      <c r="L74" s="49">
        <f>'Avg Week Naguru-Nakawa'!L74+'Avg Week Nakawa-Naguru'!L74</f>
        <v>0</v>
      </c>
      <c r="M74" s="49">
        <f>'Avg Week Naguru-Nakawa'!M74+'Avg Week Nakawa-Naguru'!M74</f>
        <v>24</v>
      </c>
      <c r="N74" s="49">
        <f>'Avg Week Naguru-Nakawa'!N74+'Avg Week Nakawa-Naguru'!N74</f>
        <v>0</v>
      </c>
      <c r="O74" s="15">
        <f t="shared" ref="O74:O105" si="35">SUM(C74:L74,N74)</f>
        <v>123.5</v>
      </c>
      <c r="P74" s="15">
        <f t="shared" ref="P74:P105" si="36">SUM(C74:N74)</f>
        <v>147.5</v>
      </c>
      <c r="R74" s="8"/>
      <c r="T74"/>
    </row>
    <row r="75" spans="2:20" ht="23.1" customHeight="1" x14ac:dyDescent="0.25">
      <c r="B75" s="23" t="s">
        <v>115</v>
      </c>
      <c r="C75" s="49">
        <f>'Avg Week Naguru-Nakawa'!C75+'Avg Week Nakawa-Naguru'!C75</f>
        <v>84</v>
      </c>
      <c r="D75" s="49">
        <f>'Avg Week Naguru-Nakawa'!D75+'Avg Week Nakawa-Naguru'!D75</f>
        <v>26.5</v>
      </c>
      <c r="E75" s="49">
        <f>'Avg Week Naguru-Nakawa'!E75+'Avg Week Nakawa-Naguru'!E75</f>
        <v>4.5</v>
      </c>
      <c r="F75" s="49">
        <f>'Avg Week Naguru-Nakawa'!F75+'Avg Week Nakawa-Naguru'!F75</f>
        <v>2.5</v>
      </c>
      <c r="G75" s="49">
        <f>'Avg Week Naguru-Nakawa'!G75+'Avg Week Nakawa-Naguru'!G75</f>
        <v>0</v>
      </c>
      <c r="H75" s="49">
        <f>'Avg Week Naguru-Nakawa'!H75+'Avg Week Nakawa-Naguru'!H75</f>
        <v>0.5</v>
      </c>
      <c r="I75" s="49">
        <f>'Avg Week Naguru-Nakawa'!I75+'Avg Week Nakawa-Naguru'!I75</f>
        <v>1</v>
      </c>
      <c r="J75" s="49">
        <f>'Avg Week Naguru-Nakawa'!J75+'Avg Week Nakawa-Naguru'!J75</f>
        <v>0</v>
      </c>
      <c r="K75" s="49">
        <f>'Avg Week Naguru-Nakawa'!K75+'Avg Week Nakawa-Naguru'!K75</f>
        <v>0.5</v>
      </c>
      <c r="L75" s="49">
        <f>'Avg Week Naguru-Nakawa'!L75+'Avg Week Nakawa-Naguru'!L75</f>
        <v>0</v>
      </c>
      <c r="M75" s="49">
        <f>'Avg Week Naguru-Nakawa'!M75+'Avg Week Nakawa-Naguru'!M75</f>
        <v>21</v>
      </c>
      <c r="N75" s="49">
        <f>'Avg Week Naguru-Nakawa'!N75+'Avg Week Nakawa-Naguru'!N75</f>
        <v>0</v>
      </c>
      <c r="O75" s="15">
        <f t="shared" si="35"/>
        <v>119.5</v>
      </c>
      <c r="P75" s="15">
        <f t="shared" si="36"/>
        <v>140.5</v>
      </c>
      <c r="R75" s="8"/>
      <c r="T75"/>
    </row>
    <row r="76" spans="2:20" ht="23.1" customHeight="1" x14ac:dyDescent="0.25">
      <c r="B76" s="23" t="s">
        <v>116</v>
      </c>
      <c r="C76" s="49">
        <f>'Avg Week Naguru-Nakawa'!C76+'Avg Week Nakawa-Naguru'!C76</f>
        <v>49.5</v>
      </c>
      <c r="D76" s="49">
        <f>'Avg Week Naguru-Nakawa'!D76+'Avg Week Nakawa-Naguru'!D76</f>
        <v>14.5</v>
      </c>
      <c r="E76" s="49">
        <f>'Avg Week Naguru-Nakawa'!E76+'Avg Week Nakawa-Naguru'!E76</f>
        <v>4</v>
      </c>
      <c r="F76" s="49">
        <f>'Avg Week Naguru-Nakawa'!F76+'Avg Week Nakawa-Naguru'!F76</f>
        <v>0</v>
      </c>
      <c r="G76" s="49">
        <f>'Avg Week Naguru-Nakawa'!G76+'Avg Week Nakawa-Naguru'!G76</f>
        <v>0</v>
      </c>
      <c r="H76" s="49">
        <f>'Avg Week Naguru-Nakawa'!H76+'Avg Week Nakawa-Naguru'!H76</f>
        <v>0</v>
      </c>
      <c r="I76" s="49">
        <f>'Avg Week Naguru-Nakawa'!I76+'Avg Week Nakawa-Naguru'!I76</f>
        <v>1</v>
      </c>
      <c r="J76" s="49">
        <f>'Avg Week Naguru-Nakawa'!J76+'Avg Week Nakawa-Naguru'!J76</f>
        <v>1</v>
      </c>
      <c r="K76" s="49">
        <f>'Avg Week Naguru-Nakawa'!K76+'Avg Week Nakawa-Naguru'!K76</f>
        <v>1.5</v>
      </c>
      <c r="L76" s="49">
        <f>'Avg Week Naguru-Nakawa'!L76+'Avg Week Nakawa-Naguru'!L76</f>
        <v>0</v>
      </c>
      <c r="M76" s="49">
        <f>'Avg Week Naguru-Nakawa'!M76+'Avg Week Nakawa-Naguru'!M76</f>
        <v>18</v>
      </c>
      <c r="N76" s="49">
        <f>'Avg Week Naguru-Nakawa'!N76+'Avg Week Nakawa-Naguru'!N76</f>
        <v>0</v>
      </c>
      <c r="O76" s="15">
        <f t="shared" si="35"/>
        <v>71.5</v>
      </c>
      <c r="P76" s="15">
        <f t="shared" si="36"/>
        <v>89.5</v>
      </c>
      <c r="R76" s="8"/>
      <c r="T76"/>
    </row>
    <row r="77" spans="2:20" ht="23.1" customHeight="1" x14ac:dyDescent="0.25">
      <c r="B77" s="23" t="s">
        <v>117</v>
      </c>
      <c r="C77" s="49">
        <f>'Avg Week Naguru-Nakawa'!C77+'Avg Week Nakawa-Naguru'!C77</f>
        <v>66</v>
      </c>
      <c r="D77" s="49">
        <f>'Avg Week Naguru-Nakawa'!D77+'Avg Week Nakawa-Naguru'!D77</f>
        <v>5</v>
      </c>
      <c r="E77" s="49">
        <f>'Avg Week Naguru-Nakawa'!E77+'Avg Week Nakawa-Naguru'!E77</f>
        <v>1.5</v>
      </c>
      <c r="F77" s="49">
        <f>'Avg Week Naguru-Nakawa'!F77+'Avg Week Nakawa-Naguru'!F77</f>
        <v>0</v>
      </c>
      <c r="G77" s="49">
        <f>'Avg Week Naguru-Nakawa'!G77+'Avg Week Nakawa-Naguru'!G77</f>
        <v>0</v>
      </c>
      <c r="H77" s="49">
        <f>'Avg Week Naguru-Nakawa'!H77+'Avg Week Nakawa-Naguru'!H77</f>
        <v>0</v>
      </c>
      <c r="I77" s="49">
        <f>'Avg Week Naguru-Nakawa'!I77+'Avg Week Nakawa-Naguru'!I77</f>
        <v>3</v>
      </c>
      <c r="J77" s="49">
        <f>'Avg Week Naguru-Nakawa'!J77+'Avg Week Nakawa-Naguru'!J77</f>
        <v>0</v>
      </c>
      <c r="K77" s="49">
        <f>'Avg Week Naguru-Nakawa'!K77+'Avg Week Nakawa-Naguru'!K77</f>
        <v>1</v>
      </c>
      <c r="L77" s="49">
        <f>'Avg Week Naguru-Nakawa'!L77+'Avg Week Nakawa-Naguru'!L77</f>
        <v>0</v>
      </c>
      <c r="M77" s="49">
        <f>'Avg Week Naguru-Nakawa'!M77+'Avg Week Nakawa-Naguru'!M77</f>
        <v>17.5</v>
      </c>
      <c r="N77" s="49">
        <f>'Avg Week Naguru-Nakawa'!N77+'Avg Week Nakawa-Naguru'!N77</f>
        <v>0</v>
      </c>
      <c r="O77" s="15">
        <f t="shared" si="35"/>
        <v>76.5</v>
      </c>
      <c r="P77" s="15">
        <f t="shared" si="36"/>
        <v>94</v>
      </c>
      <c r="R77" s="8"/>
      <c r="T77"/>
    </row>
    <row r="78" spans="2:20" ht="23.1" customHeight="1" x14ac:dyDescent="0.25">
      <c r="B78" s="24" t="s">
        <v>118</v>
      </c>
      <c r="C78" s="49">
        <f>'Avg Week Naguru-Nakawa'!C78+'Avg Week Nakawa-Naguru'!C78</f>
        <v>46</v>
      </c>
      <c r="D78" s="49">
        <f>'Avg Week Naguru-Nakawa'!D78+'Avg Week Nakawa-Naguru'!D78</f>
        <v>8.5</v>
      </c>
      <c r="E78" s="49">
        <f>'Avg Week Naguru-Nakawa'!E78+'Avg Week Nakawa-Naguru'!E78</f>
        <v>2</v>
      </c>
      <c r="F78" s="49">
        <f>'Avg Week Naguru-Nakawa'!F78+'Avg Week Nakawa-Naguru'!F78</f>
        <v>0</v>
      </c>
      <c r="G78" s="49">
        <f>'Avg Week Naguru-Nakawa'!G78+'Avg Week Nakawa-Naguru'!G78</f>
        <v>0</v>
      </c>
      <c r="H78" s="49">
        <f>'Avg Week Naguru-Nakawa'!H78+'Avg Week Nakawa-Naguru'!H78</f>
        <v>0</v>
      </c>
      <c r="I78" s="49">
        <f>'Avg Week Naguru-Nakawa'!I78+'Avg Week Nakawa-Naguru'!I78</f>
        <v>2</v>
      </c>
      <c r="J78" s="49">
        <f>'Avg Week Naguru-Nakawa'!J78+'Avg Week Nakawa-Naguru'!J78</f>
        <v>0.5</v>
      </c>
      <c r="K78" s="49">
        <f>'Avg Week Naguru-Nakawa'!K78+'Avg Week Nakawa-Naguru'!K78</f>
        <v>0.5</v>
      </c>
      <c r="L78" s="49">
        <f>'Avg Week Naguru-Nakawa'!L78+'Avg Week Nakawa-Naguru'!L78</f>
        <v>0</v>
      </c>
      <c r="M78" s="49">
        <f>'Avg Week Naguru-Nakawa'!M78+'Avg Week Nakawa-Naguru'!M78</f>
        <v>11.5</v>
      </c>
      <c r="N78" s="49">
        <f>'Avg Week Naguru-Nakawa'!N78+'Avg Week Nakawa-Naguru'!N78</f>
        <v>0</v>
      </c>
      <c r="O78" s="15">
        <f t="shared" si="35"/>
        <v>59.5</v>
      </c>
      <c r="P78" s="15">
        <f t="shared" si="36"/>
        <v>71</v>
      </c>
      <c r="R78" s="8"/>
      <c r="T78"/>
    </row>
    <row r="79" spans="2:20" ht="23.1" customHeight="1" x14ac:dyDescent="0.25">
      <c r="B79" s="23" t="s">
        <v>119</v>
      </c>
      <c r="C79" s="49">
        <f>'Avg Week Naguru-Nakawa'!C79+'Avg Week Nakawa-Naguru'!C79</f>
        <v>40</v>
      </c>
      <c r="D79" s="49">
        <f>'Avg Week Naguru-Nakawa'!D79+'Avg Week Nakawa-Naguru'!D79</f>
        <v>25</v>
      </c>
      <c r="E79" s="49">
        <f>'Avg Week Naguru-Nakawa'!E79+'Avg Week Nakawa-Naguru'!E79</f>
        <v>10</v>
      </c>
      <c r="F79" s="49">
        <f>'Avg Week Naguru-Nakawa'!F79+'Avg Week Nakawa-Naguru'!F79</f>
        <v>11.5</v>
      </c>
      <c r="G79" s="49">
        <f>'Avg Week Naguru-Nakawa'!G79+'Avg Week Nakawa-Naguru'!G79</f>
        <v>0.5</v>
      </c>
      <c r="H79" s="49">
        <f>'Avg Week Naguru-Nakawa'!H79+'Avg Week Nakawa-Naguru'!H79</f>
        <v>0</v>
      </c>
      <c r="I79" s="49">
        <f>'Avg Week Naguru-Nakawa'!I79+'Avg Week Nakawa-Naguru'!I79</f>
        <v>0</v>
      </c>
      <c r="J79" s="49">
        <f>'Avg Week Naguru-Nakawa'!J79+'Avg Week Nakawa-Naguru'!J79</f>
        <v>0.5</v>
      </c>
      <c r="K79" s="49">
        <f>'Avg Week Naguru-Nakawa'!K79+'Avg Week Nakawa-Naguru'!K79</f>
        <v>0</v>
      </c>
      <c r="L79" s="49">
        <f>'Avg Week Naguru-Nakawa'!L79+'Avg Week Nakawa-Naguru'!L79</f>
        <v>0</v>
      </c>
      <c r="M79" s="49">
        <f>'Avg Week Naguru-Nakawa'!M79+'Avg Week Nakawa-Naguru'!M79</f>
        <v>6</v>
      </c>
      <c r="N79" s="49">
        <f>'Avg Week Naguru-Nakawa'!N79+'Avg Week Nakawa-Naguru'!N79</f>
        <v>0</v>
      </c>
      <c r="O79" s="15">
        <f t="shared" si="35"/>
        <v>87.5</v>
      </c>
      <c r="P79" s="15">
        <f t="shared" si="36"/>
        <v>93.5</v>
      </c>
      <c r="R79" s="8"/>
      <c r="T79"/>
    </row>
    <row r="80" spans="2:20" ht="23.1" customHeight="1" x14ac:dyDescent="0.25">
      <c r="B80" s="25" t="s">
        <v>120</v>
      </c>
      <c r="C80" s="49">
        <f>'Avg Week Naguru-Nakawa'!C80+'Avg Week Nakawa-Naguru'!C80</f>
        <v>37.5</v>
      </c>
      <c r="D80" s="49">
        <f>'Avg Week Naguru-Nakawa'!D80+'Avg Week Nakawa-Naguru'!D80</f>
        <v>5</v>
      </c>
      <c r="E80" s="49">
        <f>'Avg Week Naguru-Nakawa'!E80+'Avg Week Nakawa-Naguru'!E80</f>
        <v>2</v>
      </c>
      <c r="F80" s="49">
        <f>'Avg Week Naguru-Nakawa'!F80+'Avg Week Nakawa-Naguru'!F80</f>
        <v>0</v>
      </c>
      <c r="G80" s="49">
        <f>'Avg Week Naguru-Nakawa'!G80+'Avg Week Nakawa-Naguru'!G80</f>
        <v>0</v>
      </c>
      <c r="H80" s="49">
        <f>'Avg Week Naguru-Nakawa'!H80+'Avg Week Nakawa-Naguru'!H80</f>
        <v>0</v>
      </c>
      <c r="I80" s="49">
        <f>'Avg Week Naguru-Nakawa'!I80+'Avg Week Nakawa-Naguru'!I80</f>
        <v>0</v>
      </c>
      <c r="J80" s="49">
        <f>'Avg Week Naguru-Nakawa'!J80+'Avg Week Nakawa-Naguru'!J80</f>
        <v>0</v>
      </c>
      <c r="K80" s="49">
        <f>'Avg Week Naguru-Nakawa'!K80+'Avg Week Nakawa-Naguru'!K80</f>
        <v>0</v>
      </c>
      <c r="L80" s="49">
        <f>'Avg Week Naguru-Nakawa'!L80+'Avg Week Nakawa-Naguru'!L80</f>
        <v>0</v>
      </c>
      <c r="M80" s="49">
        <f>'Avg Week Naguru-Nakawa'!M80+'Avg Week Nakawa-Naguru'!M80</f>
        <v>10.5</v>
      </c>
      <c r="N80" s="49">
        <f>'Avg Week Naguru-Nakawa'!N80+'Avg Week Nakawa-Naguru'!N80</f>
        <v>0</v>
      </c>
      <c r="O80" s="15">
        <f t="shared" si="35"/>
        <v>44.5</v>
      </c>
      <c r="P80" s="15">
        <f t="shared" si="36"/>
        <v>55</v>
      </c>
      <c r="R80" s="8"/>
      <c r="T80"/>
    </row>
    <row r="81" spans="2:20" ht="23.1" customHeight="1" x14ac:dyDescent="0.25">
      <c r="B81" s="23" t="s">
        <v>121</v>
      </c>
      <c r="C81" s="49">
        <f>'Avg Week Naguru-Nakawa'!C81+'Avg Week Nakawa-Naguru'!C81</f>
        <v>36</v>
      </c>
      <c r="D81" s="49">
        <f>'Avg Week Naguru-Nakawa'!D81+'Avg Week Nakawa-Naguru'!D81</f>
        <v>3</v>
      </c>
      <c r="E81" s="49">
        <f>'Avg Week Naguru-Nakawa'!E81+'Avg Week Nakawa-Naguru'!E81</f>
        <v>0.5</v>
      </c>
      <c r="F81" s="49">
        <f>'Avg Week Naguru-Nakawa'!F81+'Avg Week Nakawa-Naguru'!F81</f>
        <v>0.5</v>
      </c>
      <c r="G81" s="49">
        <f>'Avg Week Naguru-Nakawa'!G81+'Avg Week Nakawa-Naguru'!G81</f>
        <v>0</v>
      </c>
      <c r="H81" s="49">
        <f>'Avg Week Naguru-Nakawa'!H81+'Avg Week Nakawa-Naguru'!H81</f>
        <v>0</v>
      </c>
      <c r="I81" s="49">
        <f>'Avg Week Naguru-Nakawa'!I81+'Avg Week Nakawa-Naguru'!I81</f>
        <v>0</v>
      </c>
      <c r="J81" s="49">
        <f>'Avg Week Naguru-Nakawa'!J81+'Avg Week Nakawa-Naguru'!J81</f>
        <v>0</v>
      </c>
      <c r="K81" s="49">
        <f>'Avg Week Naguru-Nakawa'!K81+'Avg Week Nakawa-Naguru'!K81</f>
        <v>0</v>
      </c>
      <c r="L81" s="49">
        <f>'Avg Week Naguru-Nakawa'!L81+'Avg Week Nakawa-Naguru'!L81</f>
        <v>0</v>
      </c>
      <c r="M81" s="49">
        <f>'Avg Week Naguru-Nakawa'!M81+'Avg Week Nakawa-Naguru'!M81</f>
        <v>5</v>
      </c>
      <c r="N81" s="49">
        <f>'Avg Week Naguru-Nakawa'!N81+'Avg Week Nakawa-Naguru'!N81</f>
        <v>0</v>
      </c>
      <c r="O81" s="15">
        <f t="shared" si="35"/>
        <v>40</v>
      </c>
      <c r="P81" s="15">
        <f t="shared" si="36"/>
        <v>45</v>
      </c>
      <c r="R81" s="8"/>
      <c r="T81"/>
    </row>
    <row r="82" spans="2:20" ht="23.1" customHeight="1" x14ac:dyDescent="0.25">
      <c r="B82" s="24" t="s">
        <v>122</v>
      </c>
      <c r="C82" s="49">
        <f>'Avg Week Naguru-Nakawa'!C82+'Avg Week Nakawa-Naguru'!C82</f>
        <v>19.5</v>
      </c>
      <c r="D82" s="49">
        <f>'Avg Week Naguru-Nakawa'!D82+'Avg Week Nakawa-Naguru'!D82</f>
        <v>6.5</v>
      </c>
      <c r="E82" s="49">
        <f>'Avg Week Naguru-Nakawa'!E82+'Avg Week Nakawa-Naguru'!E82</f>
        <v>2</v>
      </c>
      <c r="F82" s="49">
        <f>'Avg Week Naguru-Nakawa'!F82+'Avg Week Nakawa-Naguru'!F82</f>
        <v>1</v>
      </c>
      <c r="G82" s="49">
        <f>'Avg Week Naguru-Nakawa'!G82+'Avg Week Nakawa-Naguru'!G82</f>
        <v>0</v>
      </c>
      <c r="H82" s="49">
        <f>'Avg Week Naguru-Nakawa'!H82+'Avg Week Nakawa-Naguru'!H82</f>
        <v>0</v>
      </c>
      <c r="I82" s="49">
        <f>'Avg Week Naguru-Nakawa'!I82+'Avg Week Nakawa-Naguru'!I82</f>
        <v>0</v>
      </c>
      <c r="J82" s="49">
        <f>'Avg Week Naguru-Nakawa'!J82+'Avg Week Nakawa-Naguru'!J82</f>
        <v>0</v>
      </c>
      <c r="K82" s="49">
        <f>'Avg Week Naguru-Nakawa'!K82+'Avg Week Nakawa-Naguru'!K82</f>
        <v>0</v>
      </c>
      <c r="L82" s="49">
        <f>'Avg Week Naguru-Nakawa'!L82+'Avg Week Nakawa-Naguru'!L82</f>
        <v>0</v>
      </c>
      <c r="M82" s="49">
        <f>'Avg Week Naguru-Nakawa'!M82+'Avg Week Nakawa-Naguru'!M82</f>
        <v>5.5</v>
      </c>
      <c r="N82" s="49">
        <f>'Avg Week Naguru-Nakawa'!N82+'Avg Week Nakawa-Naguru'!N82</f>
        <v>0</v>
      </c>
      <c r="O82" s="15">
        <f t="shared" si="35"/>
        <v>29</v>
      </c>
      <c r="P82" s="15">
        <f t="shared" si="36"/>
        <v>34.5</v>
      </c>
      <c r="R82" s="8"/>
      <c r="T82"/>
    </row>
    <row r="83" spans="2:20" ht="23.1" customHeight="1" x14ac:dyDescent="0.25">
      <c r="B83" s="23" t="s">
        <v>123</v>
      </c>
      <c r="C83" s="49">
        <f>'Avg Week Naguru-Nakawa'!C83+'Avg Week Nakawa-Naguru'!C83</f>
        <v>25</v>
      </c>
      <c r="D83" s="49">
        <f>'Avg Week Naguru-Nakawa'!D83+'Avg Week Nakawa-Naguru'!D83</f>
        <v>7.5</v>
      </c>
      <c r="E83" s="49">
        <f>'Avg Week Naguru-Nakawa'!E83+'Avg Week Nakawa-Naguru'!E83</f>
        <v>1.5</v>
      </c>
      <c r="F83" s="49">
        <f>'Avg Week Naguru-Nakawa'!F83+'Avg Week Nakawa-Naguru'!F83</f>
        <v>0.5</v>
      </c>
      <c r="G83" s="49">
        <f>'Avg Week Naguru-Nakawa'!G83+'Avg Week Nakawa-Naguru'!G83</f>
        <v>0</v>
      </c>
      <c r="H83" s="49">
        <f>'Avg Week Naguru-Nakawa'!H83+'Avg Week Nakawa-Naguru'!H83</f>
        <v>0</v>
      </c>
      <c r="I83" s="49">
        <f>'Avg Week Naguru-Nakawa'!I83+'Avg Week Nakawa-Naguru'!I83</f>
        <v>0.5</v>
      </c>
      <c r="J83" s="49">
        <f>'Avg Week Naguru-Nakawa'!J83+'Avg Week Nakawa-Naguru'!J83</f>
        <v>0</v>
      </c>
      <c r="K83" s="49">
        <f>'Avg Week Naguru-Nakawa'!K83+'Avg Week Nakawa-Naguru'!K83</f>
        <v>0</v>
      </c>
      <c r="L83" s="49">
        <f>'Avg Week Naguru-Nakawa'!L83+'Avg Week Nakawa-Naguru'!L83</f>
        <v>0</v>
      </c>
      <c r="M83" s="49">
        <f>'Avg Week Naguru-Nakawa'!M83+'Avg Week Nakawa-Naguru'!M83</f>
        <v>4</v>
      </c>
      <c r="N83" s="49">
        <f>'Avg Week Naguru-Nakawa'!N83+'Avg Week Nakawa-Naguru'!N83</f>
        <v>0</v>
      </c>
      <c r="O83" s="15">
        <f t="shared" si="35"/>
        <v>35</v>
      </c>
      <c r="P83" s="15">
        <f t="shared" si="36"/>
        <v>39</v>
      </c>
      <c r="R83" s="8"/>
      <c r="T83"/>
    </row>
    <row r="84" spans="2:20" ht="23.1" customHeight="1" x14ac:dyDescent="0.25">
      <c r="B84" s="25" t="s">
        <v>124</v>
      </c>
      <c r="C84" s="49">
        <f>'Avg Week Naguru-Nakawa'!C84+'Avg Week Nakawa-Naguru'!C84</f>
        <v>17.5</v>
      </c>
      <c r="D84" s="49">
        <f>'Avg Week Naguru-Nakawa'!D84+'Avg Week Nakawa-Naguru'!D84</f>
        <v>3</v>
      </c>
      <c r="E84" s="49">
        <f>'Avg Week Naguru-Nakawa'!E84+'Avg Week Nakawa-Naguru'!E84</f>
        <v>0.5</v>
      </c>
      <c r="F84" s="49">
        <f>'Avg Week Naguru-Nakawa'!F84+'Avg Week Nakawa-Naguru'!F84</f>
        <v>0.5</v>
      </c>
      <c r="G84" s="49">
        <f>'Avg Week Naguru-Nakawa'!G84+'Avg Week Nakawa-Naguru'!G84</f>
        <v>0</v>
      </c>
      <c r="H84" s="49">
        <f>'Avg Week Naguru-Nakawa'!H84+'Avg Week Nakawa-Naguru'!H84</f>
        <v>0</v>
      </c>
      <c r="I84" s="49">
        <f>'Avg Week Naguru-Nakawa'!I84+'Avg Week Nakawa-Naguru'!I84</f>
        <v>0</v>
      </c>
      <c r="J84" s="49">
        <f>'Avg Week Naguru-Nakawa'!J84+'Avg Week Nakawa-Naguru'!J84</f>
        <v>0</v>
      </c>
      <c r="K84" s="49">
        <f>'Avg Week Naguru-Nakawa'!K84+'Avg Week Nakawa-Naguru'!K84</f>
        <v>0</v>
      </c>
      <c r="L84" s="49">
        <f>'Avg Week Naguru-Nakawa'!L84+'Avg Week Nakawa-Naguru'!L84</f>
        <v>0</v>
      </c>
      <c r="M84" s="49">
        <f>'Avg Week Naguru-Nakawa'!M84+'Avg Week Nakawa-Naguru'!M84</f>
        <v>4.5</v>
      </c>
      <c r="N84" s="49">
        <f>'Avg Week Naguru-Nakawa'!N84+'Avg Week Nakawa-Naguru'!N84</f>
        <v>0</v>
      </c>
      <c r="O84" s="15">
        <f t="shared" si="35"/>
        <v>21.5</v>
      </c>
      <c r="P84" s="15">
        <f t="shared" si="36"/>
        <v>26</v>
      </c>
      <c r="R84" s="8"/>
      <c r="T84"/>
    </row>
    <row r="85" spans="2:20" ht="23.1" customHeight="1" x14ac:dyDescent="0.25">
      <c r="B85" s="23" t="s">
        <v>125</v>
      </c>
      <c r="C85" s="49">
        <f>'Avg Week Naguru-Nakawa'!C85+'Avg Week Nakawa-Naguru'!C85</f>
        <v>10</v>
      </c>
      <c r="D85" s="49">
        <f>'Avg Week Naguru-Nakawa'!D85+'Avg Week Nakawa-Naguru'!D85</f>
        <v>3</v>
      </c>
      <c r="E85" s="49">
        <f>'Avg Week Naguru-Nakawa'!E85+'Avg Week Nakawa-Naguru'!E85</f>
        <v>1</v>
      </c>
      <c r="F85" s="49">
        <f>'Avg Week Naguru-Nakawa'!F85+'Avg Week Nakawa-Naguru'!F85</f>
        <v>0</v>
      </c>
      <c r="G85" s="49">
        <f>'Avg Week Naguru-Nakawa'!G85+'Avg Week Nakawa-Naguru'!G85</f>
        <v>0</v>
      </c>
      <c r="H85" s="49">
        <f>'Avg Week Naguru-Nakawa'!H85+'Avg Week Nakawa-Naguru'!H85</f>
        <v>0</v>
      </c>
      <c r="I85" s="49">
        <f>'Avg Week Naguru-Nakawa'!I85+'Avg Week Nakawa-Naguru'!I85</f>
        <v>0.5</v>
      </c>
      <c r="J85" s="49">
        <f>'Avg Week Naguru-Nakawa'!J85+'Avg Week Nakawa-Naguru'!J85</f>
        <v>0</v>
      </c>
      <c r="K85" s="49">
        <f>'Avg Week Naguru-Nakawa'!K85+'Avg Week Nakawa-Naguru'!K85</f>
        <v>0</v>
      </c>
      <c r="L85" s="49">
        <f>'Avg Week Naguru-Nakawa'!L85+'Avg Week Nakawa-Naguru'!L85</f>
        <v>0</v>
      </c>
      <c r="M85" s="49">
        <f>'Avg Week Naguru-Nakawa'!M85+'Avg Week Nakawa-Naguru'!M85</f>
        <v>3</v>
      </c>
      <c r="N85" s="49">
        <f>'Avg Week Naguru-Nakawa'!N85+'Avg Week Nakawa-Naguru'!N85</f>
        <v>0</v>
      </c>
      <c r="O85" s="15">
        <f t="shared" si="35"/>
        <v>14.5</v>
      </c>
      <c r="P85" s="15">
        <f t="shared" si="36"/>
        <v>17.5</v>
      </c>
      <c r="R85" s="8"/>
      <c r="T85"/>
    </row>
    <row r="86" spans="2:20" ht="23.1" customHeight="1" x14ac:dyDescent="0.25">
      <c r="B86" s="24" t="s">
        <v>126</v>
      </c>
      <c r="C86" s="49">
        <f>'Avg Week Naguru-Nakawa'!C86+'Avg Week Nakawa-Naguru'!C86</f>
        <v>12</v>
      </c>
      <c r="D86" s="49">
        <f>'Avg Week Naguru-Nakawa'!D86+'Avg Week Nakawa-Naguru'!D86</f>
        <v>4</v>
      </c>
      <c r="E86" s="49">
        <f>'Avg Week Naguru-Nakawa'!E86+'Avg Week Nakawa-Naguru'!E86</f>
        <v>1.5</v>
      </c>
      <c r="F86" s="49">
        <f>'Avg Week Naguru-Nakawa'!F86+'Avg Week Nakawa-Naguru'!F86</f>
        <v>0.5</v>
      </c>
      <c r="G86" s="49">
        <f>'Avg Week Naguru-Nakawa'!G86+'Avg Week Nakawa-Naguru'!G86</f>
        <v>0</v>
      </c>
      <c r="H86" s="49">
        <f>'Avg Week Naguru-Nakawa'!H86+'Avg Week Nakawa-Naguru'!H86</f>
        <v>0</v>
      </c>
      <c r="I86" s="49">
        <f>'Avg Week Naguru-Nakawa'!I86+'Avg Week Nakawa-Naguru'!I86</f>
        <v>0</v>
      </c>
      <c r="J86" s="49">
        <f>'Avg Week Naguru-Nakawa'!J86+'Avg Week Nakawa-Naguru'!J86</f>
        <v>0</v>
      </c>
      <c r="K86" s="49">
        <f>'Avg Week Naguru-Nakawa'!K86+'Avg Week Nakawa-Naguru'!K86</f>
        <v>0</v>
      </c>
      <c r="L86" s="49">
        <f>'Avg Week Naguru-Nakawa'!L86+'Avg Week Nakawa-Naguru'!L86</f>
        <v>0</v>
      </c>
      <c r="M86" s="49">
        <f>'Avg Week Naguru-Nakawa'!M86+'Avg Week Nakawa-Naguru'!M86</f>
        <v>4</v>
      </c>
      <c r="N86" s="49">
        <f>'Avg Week Naguru-Nakawa'!N86+'Avg Week Nakawa-Naguru'!N86</f>
        <v>0</v>
      </c>
      <c r="O86" s="15">
        <f t="shared" si="35"/>
        <v>18</v>
      </c>
      <c r="P86" s="15">
        <f t="shared" si="36"/>
        <v>22</v>
      </c>
      <c r="R86" s="8"/>
      <c r="T86"/>
    </row>
    <row r="87" spans="2:20" ht="23.1" customHeight="1" x14ac:dyDescent="0.25">
      <c r="B87" s="23" t="s">
        <v>127</v>
      </c>
      <c r="C87" s="49">
        <f>'Avg Week Naguru-Nakawa'!C87+'Avg Week Nakawa-Naguru'!C87</f>
        <v>11.5</v>
      </c>
      <c r="D87" s="49">
        <f>'Avg Week Naguru-Nakawa'!D87+'Avg Week Nakawa-Naguru'!D87</f>
        <v>3.5</v>
      </c>
      <c r="E87" s="49">
        <f>'Avg Week Naguru-Nakawa'!E87+'Avg Week Nakawa-Naguru'!E87</f>
        <v>0.5</v>
      </c>
      <c r="F87" s="49">
        <f>'Avg Week Naguru-Nakawa'!F87+'Avg Week Nakawa-Naguru'!F87</f>
        <v>0</v>
      </c>
      <c r="G87" s="49">
        <f>'Avg Week Naguru-Nakawa'!G87+'Avg Week Nakawa-Naguru'!G87</f>
        <v>0</v>
      </c>
      <c r="H87" s="49">
        <f>'Avg Week Naguru-Nakawa'!H87+'Avg Week Nakawa-Naguru'!H87</f>
        <v>0</v>
      </c>
      <c r="I87" s="49">
        <f>'Avg Week Naguru-Nakawa'!I87+'Avg Week Nakawa-Naguru'!I87</f>
        <v>0</v>
      </c>
      <c r="J87" s="49">
        <f>'Avg Week Naguru-Nakawa'!J87+'Avg Week Nakawa-Naguru'!J87</f>
        <v>0</v>
      </c>
      <c r="K87" s="49">
        <f>'Avg Week Naguru-Nakawa'!K87+'Avg Week Nakawa-Naguru'!K87</f>
        <v>0</v>
      </c>
      <c r="L87" s="49">
        <f>'Avg Week Naguru-Nakawa'!L87+'Avg Week Nakawa-Naguru'!L87</f>
        <v>0</v>
      </c>
      <c r="M87" s="49">
        <f>'Avg Week Naguru-Nakawa'!M87+'Avg Week Nakawa-Naguru'!M87</f>
        <v>2.5</v>
      </c>
      <c r="N87" s="49">
        <f>'Avg Week Naguru-Nakawa'!N87+'Avg Week Nakawa-Naguru'!N87</f>
        <v>0</v>
      </c>
      <c r="O87" s="15">
        <f t="shared" si="35"/>
        <v>15.5</v>
      </c>
      <c r="P87" s="15">
        <f t="shared" si="36"/>
        <v>18</v>
      </c>
      <c r="R87" s="8"/>
      <c r="T87"/>
    </row>
    <row r="88" spans="2:20" ht="23.1" customHeight="1" x14ac:dyDescent="0.25">
      <c r="B88" s="25" t="s">
        <v>128</v>
      </c>
      <c r="C88" s="49">
        <f>'Avg Week Naguru-Nakawa'!C88+'Avg Week Nakawa-Naguru'!C88</f>
        <v>13</v>
      </c>
      <c r="D88" s="49">
        <f>'Avg Week Naguru-Nakawa'!D88+'Avg Week Nakawa-Naguru'!D88</f>
        <v>9</v>
      </c>
      <c r="E88" s="49">
        <f>'Avg Week Naguru-Nakawa'!E88+'Avg Week Nakawa-Naguru'!E88</f>
        <v>0</v>
      </c>
      <c r="F88" s="49">
        <f>'Avg Week Naguru-Nakawa'!F88+'Avg Week Nakawa-Naguru'!F88</f>
        <v>0</v>
      </c>
      <c r="G88" s="49">
        <f>'Avg Week Naguru-Nakawa'!G88+'Avg Week Nakawa-Naguru'!G88</f>
        <v>0</v>
      </c>
      <c r="H88" s="49">
        <f>'Avg Week Naguru-Nakawa'!H88+'Avg Week Nakawa-Naguru'!H88</f>
        <v>0</v>
      </c>
      <c r="I88" s="49">
        <f>'Avg Week Naguru-Nakawa'!I88+'Avg Week Nakawa-Naguru'!I88</f>
        <v>0</v>
      </c>
      <c r="J88" s="49">
        <f>'Avg Week Naguru-Nakawa'!J88+'Avg Week Nakawa-Naguru'!J88</f>
        <v>0</v>
      </c>
      <c r="K88" s="49">
        <f>'Avg Week Naguru-Nakawa'!K88+'Avg Week Nakawa-Naguru'!K88</f>
        <v>0</v>
      </c>
      <c r="L88" s="49">
        <f>'Avg Week Naguru-Nakawa'!L88+'Avg Week Nakawa-Naguru'!L88</f>
        <v>0.5</v>
      </c>
      <c r="M88" s="49">
        <f>'Avg Week Naguru-Nakawa'!M88+'Avg Week Nakawa-Naguru'!M88</f>
        <v>3</v>
      </c>
      <c r="N88" s="49">
        <f>'Avg Week Naguru-Nakawa'!N88+'Avg Week Nakawa-Naguru'!N88</f>
        <v>0</v>
      </c>
      <c r="O88" s="15">
        <f t="shared" si="35"/>
        <v>22.5</v>
      </c>
      <c r="P88" s="15">
        <f t="shared" si="36"/>
        <v>25.5</v>
      </c>
      <c r="R88" s="8"/>
      <c r="T88"/>
    </row>
    <row r="89" spans="2:20" ht="23.1" customHeight="1" x14ac:dyDescent="0.25">
      <c r="B89" s="23" t="s">
        <v>129</v>
      </c>
      <c r="C89" s="49">
        <f>'Avg Week Naguru-Nakawa'!C89+'Avg Week Nakawa-Naguru'!C89</f>
        <v>13</v>
      </c>
      <c r="D89" s="49">
        <f>'Avg Week Naguru-Nakawa'!D89+'Avg Week Nakawa-Naguru'!D89</f>
        <v>4.5</v>
      </c>
      <c r="E89" s="49">
        <f>'Avg Week Naguru-Nakawa'!E89+'Avg Week Nakawa-Naguru'!E89</f>
        <v>0.5</v>
      </c>
      <c r="F89" s="49">
        <f>'Avg Week Naguru-Nakawa'!F89+'Avg Week Nakawa-Naguru'!F89</f>
        <v>0.5</v>
      </c>
      <c r="G89" s="49">
        <f>'Avg Week Naguru-Nakawa'!G89+'Avg Week Nakawa-Naguru'!G89</f>
        <v>0</v>
      </c>
      <c r="H89" s="49">
        <f>'Avg Week Naguru-Nakawa'!H89+'Avg Week Nakawa-Naguru'!H89</f>
        <v>0</v>
      </c>
      <c r="I89" s="49">
        <f>'Avg Week Naguru-Nakawa'!I89+'Avg Week Nakawa-Naguru'!I89</f>
        <v>1</v>
      </c>
      <c r="J89" s="49">
        <f>'Avg Week Naguru-Nakawa'!J89+'Avg Week Nakawa-Naguru'!J89</f>
        <v>0</v>
      </c>
      <c r="K89" s="49">
        <f>'Avg Week Naguru-Nakawa'!K89+'Avg Week Nakawa-Naguru'!K89</f>
        <v>0</v>
      </c>
      <c r="L89" s="49">
        <f>'Avg Week Naguru-Nakawa'!L89+'Avg Week Nakawa-Naguru'!L89</f>
        <v>0</v>
      </c>
      <c r="M89" s="49">
        <f>'Avg Week Naguru-Nakawa'!M89+'Avg Week Nakawa-Naguru'!M89</f>
        <v>3</v>
      </c>
      <c r="N89" s="49">
        <f>'Avg Week Naguru-Nakawa'!N89+'Avg Week Nakawa-Naguru'!N89</f>
        <v>0</v>
      </c>
      <c r="O89" s="15">
        <f t="shared" si="35"/>
        <v>19.5</v>
      </c>
      <c r="P89" s="15">
        <f t="shared" si="36"/>
        <v>22.5</v>
      </c>
      <c r="R89" s="8"/>
      <c r="T89"/>
    </row>
    <row r="90" spans="2:20" ht="23.1" customHeight="1" x14ac:dyDescent="0.25">
      <c r="B90" s="24" t="s">
        <v>130</v>
      </c>
      <c r="C90" s="49">
        <f>'Avg Week Naguru-Nakawa'!C90+'Avg Week Nakawa-Naguru'!C90</f>
        <v>6.5</v>
      </c>
      <c r="D90" s="49">
        <f>'Avg Week Naguru-Nakawa'!D90+'Avg Week Nakawa-Naguru'!D90</f>
        <v>1.5</v>
      </c>
      <c r="E90" s="49">
        <f>'Avg Week Naguru-Nakawa'!E90+'Avg Week Nakawa-Naguru'!E90</f>
        <v>0</v>
      </c>
      <c r="F90" s="49">
        <f>'Avg Week Naguru-Nakawa'!F90+'Avg Week Nakawa-Naguru'!F90</f>
        <v>0</v>
      </c>
      <c r="G90" s="49">
        <f>'Avg Week Naguru-Nakawa'!G90+'Avg Week Nakawa-Naguru'!G90</f>
        <v>0</v>
      </c>
      <c r="H90" s="49">
        <f>'Avg Week Naguru-Nakawa'!H90+'Avg Week Nakawa-Naguru'!H90</f>
        <v>0</v>
      </c>
      <c r="I90" s="49">
        <f>'Avg Week Naguru-Nakawa'!I90+'Avg Week Nakawa-Naguru'!I90</f>
        <v>0</v>
      </c>
      <c r="J90" s="49">
        <f>'Avg Week Naguru-Nakawa'!J90+'Avg Week Nakawa-Naguru'!J90</f>
        <v>0</v>
      </c>
      <c r="K90" s="49">
        <f>'Avg Week Naguru-Nakawa'!K90+'Avg Week Nakawa-Naguru'!K90</f>
        <v>0</v>
      </c>
      <c r="L90" s="49">
        <f>'Avg Week Naguru-Nakawa'!L90+'Avg Week Nakawa-Naguru'!L90</f>
        <v>0</v>
      </c>
      <c r="M90" s="49">
        <f>'Avg Week Naguru-Nakawa'!M90+'Avg Week Nakawa-Naguru'!M90</f>
        <v>2</v>
      </c>
      <c r="N90" s="49">
        <f>'Avg Week Naguru-Nakawa'!N90+'Avg Week Nakawa-Naguru'!N90</f>
        <v>0</v>
      </c>
      <c r="O90" s="15">
        <f t="shared" si="35"/>
        <v>8</v>
      </c>
      <c r="P90" s="15">
        <f t="shared" si="36"/>
        <v>10</v>
      </c>
      <c r="R90" s="8"/>
      <c r="T90"/>
    </row>
    <row r="91" spans="2:20" ht="23.1" customHeight="1" x14ac:dyDescent="0.25">
      <c r="B91" s="23" t="s">
        <v>131</v>
      </c>
      <c r="C91" s="49">
        <f>'Avg Week Naguru-Nakawa'!C91+'Avg Week Nakawa-Naguru'!C91</f>
        <v>8</v>
      </c>
      <c r="D91" s="49">
        <f>'Avg Week Naguru-Nakawa'!D91+'Avg Week Nakawa-Naguru'!D91</f>
        <v>4.5</v>
      </c>
      <c r="E91" s="49">
        <f>'Avg Week Naguru-Nakawa'!E91+'Avg Week Nakawa-Naguru'!E91</f>
        <v>0.5</v>
      </c>
      <c r="F91" s="49">
        <f>'Avg Week Naguru-Nakawa'!F91+'Avg Week Nakawa-Naguru'!F91</f>
        <v>0</v>
      </c>
      <c r="G91" s="49">
        <f>'Avg Week Naguru-Nakawa'!G91+'Avg Week Nakawa-Naguru'!G91</f>
        <v>0</v>
      </c>
      <c r="H91" s="49">
        <f>'Avg Week Naguru-Nakawa'!H91+'Avg Week Nakawa-Naguru'!H91</f>
        <v>0</v>
      </c>
      <c r="I91" s="49">
        <f>'Avg Week Naguru-Nakawa'!I91+'Avg Week Nakawa-Naguru'!I91</f>
        <v>0</v>
      </c>
      <c r="J91" s="49">
        <f>'Avg Week Naguru-Nakawa'!J91+'Avg Week Nakawa-Naguru'!J91</f>
        <v>0</v>
      </c>
      <c r="K91" s="49">
        <f>'Avg Week Naguru-Nakawa'!K91+'Avg Week Nakawa-Naguru'!K91</f>
        <v>0</v>
      </c>
      <c r="L91" s="49">
        <f>'Avg Week Naguru-Nakawa'!L91+'Avg Week Nakawa-Naguru'!L91</f>
        <v>0</v>
      </c>
      <c r="M91" s="49">
        <f>'Avg Week Naguru-Nakawa'!M91+'Avg Week Nakawa-Naguru'!M91</f>
        <v>3</v>
      </c>
      <c r="N91" s="49">
        <f>'Avg Week Naguru-Nakawa'!N91+'Avg Week Nakawa-Naguru'!N91</f>
        <v>0</v>
      </c>
      <c r="O91" s="15">
        <f t="shared" si="35"/>
        <v>13</v>
      </c>
      <c r="P91" s="15">
        <f t="shared" si="36"/>
        <v>16</v>
      </c>
      <c r="R91" s="8"/>
      <c r="T91"/>
    </row>
    <row r="92" spans="2:20" ht="23.1" customHeight="1" x14ac:dyDescent="0.25">
      <c r="B92" s="25" t="s">
        <v>132</v>
      </c>
      <c r="C92" s="49">
        <f>'Avg Week Naguru-Nakawa'!C92+'Avg Week Nakawa-Naguru'!C92</f>
        <v>11.5</v>
      </c>
      <c r="D92" s="49">
        <f>'Avg Week Naguru-Nakawa'!D92+'Avg Week Nakawa-Naguru'!D92</f>
        <v>6.5</v>
      </c>
      <c r="E92" s="49">
        <f>'Avg Week Naguru-Nakawa'!E92+'Avg Week Nakawa-Naguru'!E92</f>
        <v>0</v>
      </c>
      <c r="F92" s="49">
        <f>'Avg Week Naguru-Nakawa'!F92+'Avg Week Nakawa-Naguru'!F92</f>
        <v>0.5</v>
      </c>
      <c r="G92" s="49">
        <f>'Avg Week Naguru-Nakawa'!G92+'Avg Week Nakawa-Naguru'!G92</f>
        <v>0</v>
      </c>
      <c r="H92" s="49">
        <f>'Avg Week Naguru-Nakawa'!H92+'Avg Week Nakawa-Naguru'!H92</f>
        <v>0</v>
      </c>
      <c r="I92" s="49">
        <f>'Avg Week Naguru-Nakawa'!I92+'Avg Week Nakawa-Naguru'!I92</f>
        <v>0</v>
      </c>
      <c r="J92" s="49">
        <f>'Avg Week Naguru-Nakawa'!J92+'Avg Week Nakawa-Naguru'!J92</f>
        <v>0</v>
      </c>
      <c r="K92" s="49">
        <f>'Avg Week Naguru-Nakawa'!K92+'Avg Week Nakawa-Naguru'!K92</f>
        <v>0</v>
      </c>
      <c r="L92" s="49">
        <f>'Avg Week Naguru-Nakawa'!L92+'Avg Week Nakawa-Naguru'!L92</f>
        <v>0</v>
      </c>
      <c r="M92" s="49">
        <f>'Avg Week Naguru-Nakawa'!M92+'Avg Week Nakawa-Naguru'!M92</f>
        <v>3.5</v>
      </c>
      <c r="N92" s="49">
        <f>'Avg Week Naguru-Nakawa'!N92+'Avg Week Nakawa-Naguru'!N92</f>
        <v>0</v>
      </c>
      <c r="O92" s="15">
        <f t="shared" si="35"/>
        <v>18.5</v>
      </c>
      <c r="P92" s="15">
        <f t="shared" si="36"/>
        <v>22</v>
      </c>
      <c r="R92" s="8"/>
      <c r="T92"/>
    </row>
    <row r="93" spans="2:20" ht="23.1" customHeight="1" x14ac:dyDescent="0.25">
      <c r="B93" s="23" t="s">
        <v>133</v>
      </c>
      <c r="C93" s="49">
        <f>'Avg Week Naguru-Nakawa'!C93+'Avg Week Nakawa-Naguru'!C93</f>
        <v>8</v>
      </c>
      <c r="D93" s="49">
        <f>'Avg Week Naguru-Nakawa'!D93+'Avg Week Nakawa-Naguru'!D93</f>
        <v>7.5</v>
      </c>
      <c r="E93" s="49">
        <f>'Avg Week Naguru-Nakawa'!E93+'Avg Week Nakawa-Naguru'!E93</f>
        <v>1</v>
      </c>
      <c r="F93" s="49">
        <f>'Avg Week Naguru-Nakawa'!F93+'Avg Week Nakawa-Naguru'!F93</f>
        <v>0.5</v>
      </c>
      <c r="G93" s="49">
        <f>'Avg Week Naguru-Nakawa'!G93+'Avg Week Nakawa-Naguru'!G93</f>
        <v>0</v>
      </c>
      <c r="H93" s="49">
        <f>'Avg Week Naguru-Nakawa'!H93+'Avg Week Nakawa-Naguru'!H93</f>
        <v>0</v>
      </c>
      <c r="I93" s="49">
        <f>'Avg Week Naguru-Nakawa'!I93+'Avg Week Nakawa-Naguru'!I93</f>
        <v>0</v>
      </c>
      <c r="J93" s="49">
        <f>'Avg Week Naguru-Nakawa'!J93+'Avg Week Nakawa-Naguru'!J93</f>
        <v>0</v>
      </c>
      <c r="K93" s="49">
        <f>'Avg Week Naguru-Nakawa'!K93+'Avg Week Nakawa-Naguru'!K93</f>
        <v>0</v>
      </c>
      <c r="L93" s="49">
        <f>'Avg Week Naguru-Nakawa'!L93+'Avg Week Nakawa-Naguru'!L93</f>
        <v>0</v>
      </c>
      <c r="M93" s="49">
        <f>'Avg Week Naguru-Nakawa'!M93+'Avg Week Nakawa-Naguru'!M93</f>
        <v>3.5</v>
      </c>
      <c r="N93" s="49">
        <f>'Avg Week Naguru-Nakawa'!N93+'Avg Week Nakawa-Naguru'!N93</f>
        <v>0</v>
      </c>
      <c r="O93" s="15">
        <f t="shared" si="35"/>
        <v>17</v>
      </c>
      <c r="P93" s="15">
        <f t="shared" si="36"/>
        <v>20.5</v>
      </c>
      <c r="R93" s="8"/>
      <c r="T93"/>
    </row>
    <row r="94" spans="2:20" ht="23.1" customHeight="1" x14ac:dyDescent="0.25">
      <c r="B94" s="24" t="s">
        <v>134</v>
      </c>
      <c r="C94" s="49">
        <f>'Avg Week Naguru-Nakawa'!C94+'Avg Week Nakawa-Naguru'!C94</f>
        <v>9</v>
      </c>
      <c r="D94" s="49">
        <f>'Avg Week Naguru-Nakawa'!D94+'Avg Week Nakawa-Naguru'!D94</f>
        <v>1</v>
      </c>
      <c r="E94" s="49">
        <f>'Avg Week Naguru-Nakawa'!E94+'Avg Week Nakawa-Naguru'!E94</f>
        <v>0.5</v>
      </c>
      <c r="F94" s="49">
        <f>'Avg Week Naguru-Nakawa'!F94+'Avg Week Nakawa-Naguru'!F94</f>
        <v>0.5</v>
      </c>
      <c r="G94" s="49">
        <f>'Avg Week Naguru-Nakawa'!G94+'Avg Week Nakawa-Naguru'!G94</f>
        <v>0</v>
      </c>
      <c r="H94" s="49">
        <f>'Avg Week Naguru-Nakawa'!H94+'Avg Week Nakawa-Naguru'!H94</f>
        <v>0</v>
      </c>
      <c r="I94" s="49">
        <f>'Avg Week Naguru-Nakawa'!I94+'Avg Week Nakawa-Naguru'!I94</f>
        <v>0</v>
      </c>
      <c r="J94" s="49">
        <f>'Avg Week Naguru-Nakawa'!J94+'Avg Week Nakawa-Naguru'!J94</f>
        <v>0</v>
      </c>
      <c r="K94" s="49">
        <f>'Avg Week Naguru-Nakawa'!K94+'Avg Week Nakawa-Naguru'!K94</f>
        <v>0</v>
      </c>
      <c r="L94" s="49">
        <f>'Avg Week Naguru-Nakawa'!L94+'Avg Week Nakawa-Naguru'!L94</f>
        <v>0</v>
      </c>
      <c r="M94" s="49">
        <f>'Avg Week Naguru-Nakawa'!M94+'Avg Week Nakawa-Naguru'!M94</f>
        <v>3</v>
      </c>
      <c r="N94" s="49">
        <f>'Avg Week Naguru-Nakawa'!N94+'Avg Week Nakawa-Naguru'!N94</f>
        <v>0</v>
      </c>
      <c r="O94" s="15">
        <f t="shared" si="35"/>
        <v>11</v>
      </c>
      <c r="P94" s="15">
        <f t="shared" si="36"/>
        <v>14</v>
      </c>
      <c r="R94" s="8"/>
      <c r="T94"/>
    </row>
    <row r="95" spans="2:20" ht="23.1" customHeight="1" x14ac:dyDescent="0.25">
      <c r="B95" s="23" t="s">
        <v>135</v>
      </c>
      <c r="C95" s="49">
        <f>'Avg Week Naguru-Nakawa'!C95+'Avg Week Nakawa-Naguru'!C95</f>
        <v>9.5</v>
      </c>
      <c r="D95" s="49">
        <f>'Avg Week Naguru-Nakawa'!D95+'Avg Week Nakawa-Naguru'!D95</f>
        <v>2.5</v>
      </c>
      <c r="E95" s="49">
        <f>'Avg Week Naguru-Nakawa'!E95+'Avg Week Nakawa-Naguru'!E95</f>
        <v>0.5</v>
      </c>
      <c r="F95" s="49">
        <f>'Avg Week Naguru-Nakawa'!F95+'Avg Week Nakawa-Naguru'!F95</f>
        <v>0.5</v>
      </c>
      <c r="G95" s="49">
        <f>'Avg Week Naguru-Nakawa'!G95+'Avg Week Nakawa-Naguru'!G95</f>
        <v>0</v>
      </c>
      <c r="H95" s="49">
        <f>'Avg Week Naguru-Nakawa'!H95+'Avg Week Nakawa-Naguru'!H95</f>
        <v>0</v>
      </c>
      <c r="I95" s="49">
        <f>'Avg Week Naguru-Nakawa'!I95+'Avg Week Nakawa-Naguru'!I95</f>
        <v>0</v>
      </c>
      <c r="J95" s="49">
        <f>'Avg Week Naguru-Nakawa'!J95+'Avg Week Nakawa-Naguru'!J95</f>
        <v>0</v>
      </c>
      <c r="K95" s="49">
        <f>'Avg Week Naguru-Nakawa'!K95+'Avg Week Nakawa-Naguru'!K95</f>
        <v>0</v>
      </c>
      <c r="L95" s="49">
        <f>'Avg Week Naguru-Nakawa'!L95+'Avg Week Nakawa-Naguru'!L95</f>
        <v>0</v>
      </c>
      <c r="M95" s="49">
        <f>'Avg Week Naguru-Nakawa'!M95+'Avg Week Nakawa-Naguru'!M95</f>
        <v>3.5</v>
      </c>
      <c r="N95" s="49">
        <f>'Avg Week Naguru-Nakawa'!N95+'Avg Week Nakawa-Naguru'!N95</f>
        <v>0</v>
      </c>
      <c r="O95" s="15">
        <f t="shared" si="35"/>
        <v>13</v>
      </c>
      <c r="P95" s="15">
        <f t="shared" si="36"/>
        <v>16.5</v>
      </c>
      <c r="R95" s="8"/>
      <c r="T95"/>
    </row>
    <row r="96" spans="2:20" ht="23.1" customHeight="1" x14ac:dyDescent="0.25">
      <c r="B96" s="25" t="s">
        <v>136</v>
      </c>
      <c r="C96" s="49">
        <f>'Avg Week Naguru-Nakawa'!C96+'Avg Week Nakawa-Naguru'!C96</f>
        <v>9.5</v>
      </c>
      <c r="D96" s="49">
        <f>'Avg Week Naguru-Nakawa'!D96+'Avg Week Nakawa-Naguru'!D96</f>
        <v>5.5</v>
      </c>
      <c r="E96" s="49">
        <f>'Avg Week Naguru-Nakawa'!E96+'Avg Week Nakawa-Naguru'!E96</f>
        <v>0</v>
      </c>
      <c r="F96" s="49">
        <f>'Avg Week Naguru-Nakawa'!F96+'Avg Week Nakawa-Naguru'!F96</f>
        <v>0.5</v>
      </c>
      <c r="G96" s="49">
        <f>'Avg Week Naguru-Nakawa'!G96+'Avg Week Nakawa-Naguru'!G96</f>
        <v>0</v>
      </c>
      <c r="H96" s="49">
        <f>'Avg Week Naguru-Nakawa'!H96+'Avg Week Nakawa-Naguru'!H96</f>
        <v>0</v>
      </c>
      <c r="I96" s="49">
        <f>'Avg Week Naguru-Nakawa'!I96+'Avg Week Nakawa-Naguru'!I96</f>
        <v>1</v>
      </c>
      <c r="J96" s="49">
        <f>'Avg Week Naguru-Nakawa'!J96+'Avg Week Nakawa-Naguru'!J96</f>
        <v>0</v>
      </c>
      <c r="K96" s="49">
        <f>'Avg Week Naguru-Nakawa'!K96+'Avg Week Nakawa-Naguru'!K96</f>
        <v>0</v>
      </c>
      <c r="L96" s="49">
        <f>'Avg Week Naguru-Nakawa'!L96+'Avg Week Nakawa-Naguru'!L96</f>
        <v>0</v>
      </c>
      <c r="M96" s="49">
        <f>'Avg Week Naguru-Nakawa'!M96+'Avg Week Nakawa-Naguru'!M96</f>
        <v>4.5</v>
      </c>
      <c r="N96" s="49">
        <f>'Avg Week Naguru-Nakawa'!N96+'Avg Week Nakawa-Naguru'!N96</f>
        <v>0</v>
      </c>
      <c r="O96" s="15">
        <f t="shared" si="35"/>
        <v>16.5</v>
      </c>
      <c r="P96" s="15">
        <f t="shared" si="36"/>
        <v>21</v>
      </c>
      <c r="R96" s="8"/>
      <c r="T96"/>
    </row>
    <row r="97" spans="2:20" ht="23.1" customHeight="1" x14ac:dyDescent="0.25">
      <c r="B97" s="23" t="s">
        <v>137</v>
      </c>
      <c r="C97" s="49">
        <f>'Avg Week Naguru-Nakawa'!C97+'Avg Week Nakawa-Naguru'!C97</f>
        <v>8.5</v>
      </c>
      <c r="D97" s="49">
        <f>'Avg Week Naguru-Nakawa'!D97+'Avg Week Nakawa-Naguru'!D97</f>
        <v>3</v>
      </c>
      <c r="E97" s="49">
        <f>'Avg Week Naguru-Nakawa'!E97+'Avg Week Nakawa-Naguru'!E97</f>
        <v>1.5</v>
      </c>
      <c r="F97" s="49">
        <f>'Avg Week Naguru-Nakawa'!F97+'Avg Week Nakawa-Naguru'!F97</f>
        <v>0</v>
      </c>
      <c r="G97" s="49">
        <f>'Avg Week Naguru-Nakawa'!G97+'Avg Week Nakawa-Naguru'!G97</f>
        <v>0</v>
      </c>
      <c r="H97" s="49">
        <f>'Avg Week Naguru-Nakawa'!H97+'Avg Week Nakawa-Naguru'!H97</f>
        <v>0</v>
      </c>
      <c r="I97" s="49">
        <f>'Avg Week Naguru-Nakawa'!I97+'Avg Week Nakawa-Naguru'!I97</f>
        <v>0</v>
      </c>
      <c r="J97" s="49">
        <f>'Avg Week Naguru-Nakawa'!J97+'Avg Week Nakawa-Naguru'!J97</f>
        <v>0</v>
      </c>
      <c r="K97" s="49">
        <f>'Avg Week Naguru-Nakawa'!K97+'Avg Week Nakawa-Naguru'!K97</f>
        <v>0</v>
      </c>
      <c r="L97" s="49">
        <f>'Avg Week Naguru-Nakawa'!L97+'Avg Week Nakawa-Naguru'!L97</f>
        <v>0</v>
      </c>
      <c r="M97" s="49">
        <f>'Avg Week Naguru-Nakawa'!M97+'Avg Week Nakawa-Naguru'!M97</f>
        <v>9.5</v>
      </c>
      <c r="N97" s="49">
        <f>'Avg Week Naguru-Nakawa'!N97+'Avg Week Nakawa-Naguru'!N97</f>
        <v>0</v>
      </c>
      <c r="O97" s="15">
        <f t="shared" si="35"/>
        <v>13</v>
      </c>
      <c r="P97" s="15">
        <f t="shared" si="36"/>
        <v>22.5</v>
      </c>
      <c r="R97" s="8"/>
      <c r="T97"/>
    </row>
    <row r="98" spans="2:20" ht="23.1" customHeight="1" x14ac:dyDescent="0.25">
      <c r="B98" s="24" t="s">
        <v>138</v>
      </c>
      <c r="C98" s="49">
        <f>'Avg Week Naguru-Nakawa'!C98+'Avg Week Nakawa-Naguru'!C98</f>
        <v>4.5</v>
      </c>
      <c r="D98" s="49">
        <f>'Avg Week Naguru-Nakawa'!D98+'Avg Week Nakawa-Naguru'!D98</f>
        <v>0.5</v>
      </c>
      <c r="E98" s="49">
        <f>'Avg Week Naguru-Nakawa'!E98+'Avg Week Nakawa-Naguru'!E98</f>
        <v>1.5</v>
      </c>
      <c r="F98" s="49">
        <f>'Avg Week Naguru-Nakawa'!F98+'Avg Week Nakawa-Naguru'!F98</f>
        <v>0.5</v>
      </c>
      <c r="G98" s="49">
        <f>'Avg Week Naguru-Nakawa'!G98+'Avg Week Nakawa-Naguru'!G98</f>
        <v>0</v>
      </c>
      <c r="H98" s="49">
        <f>'Avg Week Naguru-Nakawa'!H98+'Avg Week Nakawa-Naguru'!H98</f>
        <v>0</v>
      </c>
      <c r="I98" s="49">
        <f>'Avg Week Naguru-Nakawa'!I98+'Avg Week Nakawa-Naguru'!I98</f>
        <v>0.5</v>
      </c>
      <c r="J98" s="49">
        <f>'Avg Week Naguru-Nakawa'!J98+'Avg Week Nakawa-Naguru'!J98</f>
        <v>0</v>
      </c>
      <c r="K98" s="49">
        <f>'Avg Week Naguru-Nakawa'!K98+'Avg Week Nakawa-Naguru'!K98</f>
        <v>0</v>
      </c>
      <c r="L98" s="49">
        <f>'Avg Week Naguru-Nakawa'!L98+'Avg Week Nakawa-Naguru'!L98</f>
        <v>1</v>
      </c>
      <c r="M98" s="49">
        <f>'Avg Week Naguru-Nakawa'!M98+'Avg Week Nakawa-Naguru'!M98</f>
        <v>5.5</v>
      </c>
      <c r="N98" s="49">
        <f>'Avg Week Naguru-Nakawa'!N98+'Avg Week Nakawa-Naguru'!N98</f>
        <v>0</v>
      </c>
      <c r="O98" s="15">
        <f t="shared" si="35"/>
        <v>8.5</v>
      </c>
      <c r="P98" s="15">
        <f t="shared" si="36"/>
        <v>14</v>
      </c>
      <c r="R98" s="8"/>
      <c r="T98"/>
    </row>
    <row r="99" spans="2:20" ht="23.1" customHeight="1" x14ac:dyDescent="0.25">
      <c r="B99" s="23" t="s">
        <v>139</v>
      </c>
      <c r="C99" s="49">
        <f>'Avg Week Naguru-Nakawa'!C99+'Avg Week Nakawa-Naguru'!C99</f>
        <v>7</v>
      </c>
      <c r="D99" s="49">
        <f>'Avg Week Naguru-Nakawa'!D99+'Avg Week Nakawa-Naguru'!D99</f>
        <v>2</v>
      </c>
      <c r="E99" s="49">
        <f>'Avg Week Naguru-Nakawa'!E99+'Avg Week Nakawa-Naguru'!E99</f>
        <v>3</v>
      </c>
      <c r="F99" s="49">
        <f>'Avg Week Naguru-Nakawa'!F99+'Avg Week Nakawa-Naguru'!F99</f>
        <v>1</v>
      </c>
      <c r="G99" s="49">
        <f>'Avg Week Naguru-Nakawa'!G99+'Avg Week Nakawa-Naguru'!G99</f>
        <v>0</v>
      </c>
      <c r="H99" s="49">
        <f>'Avg Week Naguru-Nakawa'!H99+'Avg Week Nakawa-Naguru'!H99</f>
        <v>0.5</v>
      </c>
      <c r="I99" s="49">
        <f>'Avg Week Naguru-Nakawa'!I99+'Avg Week Nakawa-Naguru'!I99</f>
        <v>0.5</v>
      </c>
      <c r="J99" s="49">
        <f>'Avg Week Naguru-Nakawa'!J99+'Avg Week Nakawa-Naguru'!J99</f>
        <v>0</v>
      </c>
      <c r="K99" s="49">
        <f>'Avg Week Naguru-Nakawa'!K99+'Avg Week Nakawa-Naguru'!K99</f>
        <v>1</v>
      </c>
      <c r="L99" s="49">
        <f>'Avg Week Naguru-Nakawa'!L99+'Avg Week Nakawa-Naguru'!L99</f>
        <v>0</v>
      </c>
      <c r="M99" s="49">
        <f>'Avg Week Naguru-Nakawa'!M99+'Avg Week Nakawa-Naguru'!M99</f>
        <v>6</v>
      </c>
      <c r="N99" s="49">
        <f>'Avg Week Naguru-Nakawa'!N99+'Avg Week Nakawa-Naguru'!N99</f>
        <v>0</v>
      </c>
      <c r="O99" s="15">
        <f t="shared" si="35"/>
        <v>15</v>
      </c>
      <c r="P99" s="15">
        <f t="shared" si="36"/>
        <v>21</v>
      </c>
      <c r="R99" s="8"/>
      <c r="T99"/>
    </row>
    <row r="100" spans="2:20" ht="23.1" customHeight="1" x14ac:dyDescent="0.25">
      <c r="B100" s="25" t="s">
        <v>140</v>
      </c>
      <c r="C100" s="49">
        <f>'Avg Week Naguru-Nakawa'!C100+'Avg Week Nakawa-Naguru'!C100</f>
        <v>8</v>
      </c>
      <c r="D100" s="49">
        <f>'Avg Week Naguru-Nakawa'!D100+'Avg Week Nakawa-Naguru'!D100</f>
        <v>4.5</v>
      </c>
      <c r="E100" s="49">
        <f>'Avg Week Naguru-Nakawa'!E100+'Avg Week Nakawa-Naguru'!E100</f>
        <v>2.5</v>
      </c>
      <c r="F100" s="49">
        <f>'Avg Week Naguru-Nakawa'!F100+'Avg Week Nakawa-Naguru'!F100</f>
        <v>1</v>
      </c>
      <c r="G100" s="49">
        <f>'Avg Week Naguru-Nakawa'!G100+'Avg Week Nakawa-Naguru'!G100</f>
        <v>0.5</v>
      </c>
      <c r="H100" s="49">
        <f>'Avg Week Naguru-Nakawa'!H100+'Avg Week Nakawa-Naguru'!H100</f>
        <v>0.5</v>
      </c>
      <c r="I100" s="49">
        <f>'Avg Week Naguru-Nakawa'!I100+'Avg Week Nakawa-Naguru'!I100</f>
        <v>0.5</v>
      </c>
      <c r="J100" s="49">
        <f>'Avg Week Naguru-Nakawa'!J100+'Avg Week Nakawa-Naguru'!J100</f>
        <v>0</v>
      </c>
      <c r="K100" s="49">
        <f>'Avg Week Naguru-Nakawa'!K100+'Avg Week Nakawa-Naguru'!K100</f>
        <v>1</v>
      </c>
      <c r="L100" s="49">
        <f>'Avg Week Naguru-Nakawa'!L100+'Avg Week Nakawa-Naguru'!L100</f>
        <v>0</v>
      </c>
      <c r="M100" s="49">
        <f>'Avg Week Naguru-Nakawa'!M100+'Avg Week Nakawa-Naguru'!M100</f>
        <v>5.5</v>
      </c>
      <c r="N100" s="49">
        <f>'Avg Week Naguru-Nakawa'!N100+'Avg Week Nakawa-Naguru'!N100</f>
        <v>0</v>
      </c>
      <c r="O100" s="15">
        <f t="shared" si="35"/>
        <v>18.5</v>
      </c>
      <c r="P100" s="15">
        <f t="shared" si="36"/>
        <v>24</v>
      </c>
      <c r="R100" s="8"/>
      <c r="T100"/>
    </row>
    <row r="101" spans="2:20" ht="23.1" customHeight="1" x14ac:dyDescent="0.25">
      <c r="B101" s="23" t="s">
        <v>141</v>
      </c>
      <c r="C101" s="49">
        <f>'Avg Week Naguru-Nakawa'!C101+'Avg Week Nakawa-Naguru'!C101</f>
        <v>10.5</v>
      </c>
      <c r="D101" s="49">
        <f>'Avg Week Naguru-Nakawa'!D101+'Avg Week Nakawa-Naguru'!D101</f>
        <v>4</v>
      </c>
      <c r="E101" s="49">
        <f>'Avg Week Naguru-Nakawa'!E101+'Avg Week Nakawa-Naguru'!E101</f>
        <v>1.5</v>
      </c>
      <c r="F101" s="49">
        <f>'Avg Week Naguru-Nakawa'!F101+'Avg Week Nakawa-Naguru'!F101</f>
        <v>2</v>
      </c>
      <c r="G101" s="49">
        <f>'Avg Week Naguru-Nakawa'!G101+'Avg Week Nakawa-Naguru'!G101</f>
        <v>0</v>
      </c>
      <c r="H101" s="49">
        <f>'Avg Week Naguru-Nakawa'!H101+'Avg Week Nakawa-Naguru'!H101</f>
        <v>0</v>
      </c>
      <c r="I101" s="49">
        <f>'Avg Week Naguru-Nakawa'!I101+'Avg Week Nakawa-Naguru'!I101</f>
        <v>0</v>
      </c>
      <c r="J101" s="49">
        <f>'Avg Week Naguru-Nakawa'!J101+'Avg Week Nakawa-Naguru'!J101</f>
        <v>0</v>
      </c>
      <c r="K101" s="49">
        <f>'Avg Week Naguru-Nakawa'!K101+'Avg Week Nakawa-Naguru'!K101</f>
        <v>0</v>
      </c>
      <c r="L101" s="49">
        <f>'Avg Week Naguru-Nakawa'!L101+'Avg Week Nakawa-Naguru'!L101</f>
        <v>0</v>
      </c>
      <c r="M101" s="49">
        <f>'Avg Week Naguru-Nakawa'!M101+'Avg Week Nakawa-Naguru'!M101</f>
        <v>10.5</v>
      </c>
      <c r="N101" s="49">
        <f>'Avg Week Naguru-Nakawa'!N101+'Avg Week Nakawa-Naguru'!N101</f>
        <v>0</v>
      </c>
      <c r="O101" s="15">
        <f t="shared" si="35"/>
        <v>18</v>
      </c>
      <c r="P101" s="15">
        <f t="shared" si="36"/>
        <v>28.5</v>
      </c>
      <c r="R101" s="8"/>
      <c r="T101"/>
    </row>
    <row r="102" spans="2:20" ht="23.1" customHeight="1" x14ac:dyDescent="0.25">
      <c r="B102" s="24" t="s">
        <v>142</v>
      </c>
      <c r="C102" s="49">
        <f>'Avg Week Naguru-Nakawa'!C102+'Avg Week Nakawa-Naguru'!C102</f>
        <v>16.5</v>
      </c>
      <c r="D102" s="49">
        <f>'Avg Week Naguru-Nakawa'!D102+'Avg Week Nakawa-Naguru'!D102</f>
        <v>9</v>
      </c>
      <c r="E102" s="49">
        <f>'Avg Week Naguru-Nakawa'!E102+'Avg Week Nakawa-Naguru'!E102</f>
        <v>4</v>
      </c>
      <c r="F102" s="49">
        <f>'Avg Week Naguru-Nakawa'!F102+'Avg Week Nakawa-Naguru'!F102</f>
        <v>4.5</v>
      </c>
      <c r="G102" s="49">
        <f>'Avg Week Naguru-Nakawa'!G102+'Avg Week Nakawa-Naguru'!G102</f>
        <v>1</v>
      </c>
      <c r="H102" s="49">
        <f>'Avg Week Naguru-Nakawa'!H102+'Avg Week Nakawa-Naguru'!H102</f>
        <v>0</v>
      </c>
      <c r="I102" s="49">
        <f>'Avg Week Naguru-Nakawa'!I102+'Avg Week Nakawa-Naguru'!I102</f>
        <v>0.5</v>
      </c>
      <c r="J102" s="49">
        <f>'Avg Week Naguru-Nakawa'!J102+'Avg Week Nakawa-Naguru'!J102</f>
        <v>0</v>
      </c>
      <c r="K102" s="49">
        <f>'Avg Week Naguru-Nakawa'!K102+'Avg Week Nakawa-Naguru'!K102</f>
        <v>0.5</v>
      </c>
      <c r="L102" s="49">
        <f>'Avg Week Naguru-Nakawa'!L102+'Avg Week Nakawa-Naguru'!L102</f>
        <v>0</v>
      </c>
      <c r="M102" s="49">
        <f>'Avg Week Naguru-Nakawa'!M102+'Avg Week Nakawa-Naguru'!M102</f>
        <v>8.5</v>
      </c>
      <c r="N102" s="49">
        <f>'Avg Week Naguru-Nakawa'!N102+'Avg Week Nakawa-Naguru'!N102</f>
        <v>0</v>
      </c>
      <c r="O102" s="15">
        <f t="shared" si="35"/>
        <v>36</v>
      </c>
      <c r="P102" s="15">
        <f t="shared" si="36"/>
        <v>44.5</v>
      </c>
      <c r="R102" s="8"/>
      <c r="T102"/>
    </row>
    <row r="103" spans="2:20" ht="23.1" customHeight="1" x14ac:dyDescent="0.25">
      <c r="B103" s="23" t="s">
        <v>143</v>
      </c>
      <c r="C103" s="49">
        <f>'Avg Week Naguru-Nakawa'!C103+'Avg Week Nakawa-Naguru'!C103</f>
        <v>16.5</v>
      </c>
      <c r="D103" s="49">
        <f>'Avg Week Naguru-Nakawa'!D103+'Avg Week Nakawa-Naguru'!D103</f>
        <v>3</v>
      </c>
      <c r="E103" s="49">
        <f>'Avg Week Naguru-Nakawa'!E103+'Avg Week Nakawa-Naguru'!E103</f>
        <v>9.5</v>
      </c>
      <c r="F103" s="49">
        <f>'Avg Week Naguru-Nakawa'!F103+'Avg Week Nakawa-Naguru'!F103</f>
        <v>3</v>
      </c>
      <c r="G103" s="49">
        <f>'Avg Week Naguru-Nakawa'!G103+'Avg Week Nakawa-Naguru'!G103</f>
        <v>0</v>
      </c>
      <c r="H103" s="49">
        <f>'Avg Week Naguru-Nakawa'!H103+'Avg Week Nakawa-Naguru'!H103</f>
        <v>0</v>
      </c>
      <c r="I103" s="49">
        <f>'Avg Week Naguru-Nakawa'!I103+'Avg Week Nakawa-Naguru'!I103</f>
        <v>2.5</v>
      </c>
      <c r="J103" s="49">
        <f>'Avg Week Naguru-Nakawa'!J103+'Avg Week Nakawa-Naguru'!J103</f>
        <v>0.5</v>
      </c>
      <c r="K103" s="49">
        <f>'Avg Week Naguru-Nakawa'!K103+'Avg Week Nakawa-Naguru'!K103</f>
        <v>3</v>
      </c>
      <c r="L103" s="49">
        <f>'Avg Week Naguru-Nakawa'!L103+'Avg Week Nakawa-Naguru'!L103</f>
        <v>0</v>
      </c>
      <c r="M103" s="49">
        <f>'Avg Week Naguru-Nakawa'!M103+'Avg Week Nakawa-Naguru'!M103</f>
        <v>18.5</v>
      </c>
      <c r="N103" s="49">
        <f>'Avg Week Naguru-Nakawa'!N103+'Avg Week Nakawa-Naguru'!N103</f>
        <v>0</v>
      </c>
      <c r="O103" s="15">
        <f t="shared" si="35"/>
        <v>38</v>
      </c>
      <c r="P103" s="15">
        <f t="shared" si="36"/>
        <v>56.5</v>
      </c>
      <c r="R103" s="8"/>
      <c r="T103"/>
    </row>
    <row r="104" spans="2:20" ht="23.1" customHeight="1" x14ac:dyDescent="0.25">
      <c r="B104" s="25" t="s">
        <v>144</v>
      </c>
      <c r="C104" s="49">
        <f>'Avg Week Naguru-Nakawa'!C104+'Avg Week Nakawa-Naguru'!C104</f>
        <v>48.5</v>
      </c>
      <c r="D104" s="49">
        <f>'Avg Week Naguru-Nakawa'!D104+'Avg Week Nakawa-Naguru'!D104</f>
        <v>13</v>
      </c>
      <c r="E104" s="49">
        <f>'Avg Week Naguru-Nakawa'!E104+'Avg Week Nakawa-Naguru'!E104</f>
        <v>12</v>
      </c>
      <c r="F104" s="49">
        <f>'Avg Week Naguru-Nakawa'!F104+'Avg Week Nakawa-Naguru'!F104</f>
        <v>10</v>
      </c>
      <c r="G104" s="49">
        <f>'Avg Week Naguru-Nakawa'!G104+'Avg Week Nakawa-Naguru'!G104</f>
        <v>0</v>
      </c>
      <c r="H104" s="49">
        <f>'Avg Week Naguru-Nakawa'!H104+'Avg Week Nakawa-Naguru'!H104</f>
        <v>0</v>
      </c>
      <c r="I104" s="49">
        <f>'Avg Week Naguru-Nakawa'!I104+'Avg Week Nakawa-Naguru'!I104</f>
        <v>2</v>
      </c>
      <c r="J104" s="49">
        <f>'Avg Week Naguru-Nakawa'!J104+'Avg Week Nakawa-Naguru'!J104</f>
        <v>0</v>
      </c>
      <c r="K104" s="49">
        <f>'Avg Week Naguru-Nakawa'!K104+'Avg Week Nakawa-Naguru'!K104</f>
        <v>0</v>
      </c>
      <c r="L104" s="49">
        <f>'Avg Week Naguru-Nakawa'!L104+'Avg Week Nakawa-Naguru'!L104</f>
        <v>0</v>
      </c>
      <c r="M104" s="49">
        <f>'Avg Week Naguru-Nakawa'!M104+'Avg Week Nakawa-Naguru'!M104</f>
        <v>28.5</v>
      </c>
      <c r="N104" s="49">
        <f>'Avg Week Naguru-Nakawa'!N104+'Avg Week Nakawa-Naguru'!N104</f>
        <v>0</v>
      </c>
      <c r="O104" s="15">
        <f t="shared" si="35"/>
        <v>85.5</v>
      </c>
      <c r="P104" s="15">
        <f t="shared" si="36"/>
        <v>114</v>
      </c>
      <c r="R104" s="8"/>
      <c r="T104"/>
    </row>
    <row r="105" spans="2:20" ht="23.1" customHeight="1" x14ac:dyDescent="0.25">
      <c r="B105" s="23" t="s">
        <v>145</v>
      </c>
      <c r="C105" s="49">
        <f>'Avg Week Naguru-Nakawa'!C105+'Avg Week Nakawa-Naguru'!C105</f>
        <v>39.5</v>
      </c>
      <c r="D105" s="49">
        <f>'Avg Week Naguru-Nakawa'!D105+'Avg Week Nakawa-Naguru'!D105</f>
        <v>16</v>
      </c>
      <c r="E105" s="49">
        <f>'Avg Week Naguru-Nakawa'!E105+'Avg Week Nakawa-Naguru'!E105</f>
        <v>10</v>
      </c>
      <c r="F105" s="49">
        <f>'Avg Week Naguru-Nakawa'!F105+'Avg Week Nakawa-Naguru'!F105</f>
        <v>10.5</v>
      </c>
      <c r="G105" s="49">
        <f>'Avg Week Naguru-Nakawa'!G105+'Avg Week Nakawa-Naguru'!G105</f>
        <v>0</v>
      </c>
      <c r="H105" s="49">
        <f>'Avg Week Naguru-Nakawa'!H105+'Avg Week Nakawa-Naguru'!H105</f>
        <v>0</v>
      </c>
      <c r="I105" s="49">
        <f>'Avg Week Naguru-Nakawa'!I105+'Avg Week Nakawa-Naguru'!I105</f>
        <v>1</v>
      </c>
      <c r="J105" s="49">
        <f>'Avg Week Naguru-Nakawa'!J105+'Avg Week Nakawa-Naguru'!J105</f>
        <v>0</v>
      </c>
      <c r="K105" s="49">
        <f>'Avg Week Naguru-Nakawa'!K105+'Avg Week Nakawa-Naguru'!K105</f>
        <v>1</v>
      </c>
      <c r="L105" s="49">
        <f>'Avg Week Naguru-Nakawa'!L105+'Avg Week Nakawa-Naguru'!L105</f>
        <v>0</v>
      </c>
      <c r="M105" s="49">
        <f>'Avg Week Naguru-Nakawa'!M105+'Avg Week Nakawa-Naguru'!M105</f>
        <v>47.5</v>
      </c>
      <c r="N105" s="49">
        <f>'Avg Week Naguru-Nakawa'!N105+'Avg Week Nakawa-Naguru'!N105</f>
        <v>0</v>
      </c>
      <c r="O105" s="15">
        <f t="shared" si="35"/>
        <v>78</v>
      </c>
      <c r="P105" s="15">
        <f t="shared" si="36"/>
        <v>125.5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10032.071428571428</v>
      </c>
      <c r="D106" s="16">
        <f t="shared" ref="D106:P106" si="37">SUM(D10:D105)</f>
        <v>4943.8571428571431</v>
      </c>
      <c r="E106" s="16">
        <f t="shared" si="37"/>
        <v>1315.5714285714287</v>
      </c>
      <c r="F106" s="16">
        <f t="shared" si="37"/>
        <v>936.42857142857167</v>
      </c>
      <c r="G106" s="16">
        <f t="shared" si="37"/>
        <v>28.000000000000004</v>
      </c>
      <c r="H106" s="16">
        <f t="shared" si="37"/>
        <v>19.714285714285715</v>
      </c>
      <c r="I106" s="16">
        <f t="shared" si="37"/>
        <v>310.90476190476193</v>
      </c>
      <c r="J106" s="16">
        <f t="shared" si="37"/>
        <v>93.214285714285722</v>
      </c>
      <c r="K106" s="16">
        <f t="shared" si="37"/>
        <v>51.214285714285708</v>
      </c>
      <c r="L106" s="16">
        <f t="shared" si="37"/>
        <v>9.5</v>
      </c>
      <c r="M106" s="16">
        <f t="shared" si="37"/>
        <v>7211.2142857142844</v>
      </c>
      <c r="N106" s="16">
        <f t="shared" si="37"/>
        <v>12.857142857142852</v>
      </c>
      <c r="O106" s="16">
        <f t="shared" si="37"/>
        <v>17753.333333333336</v>
      </c>
      <c r="P106" s="16">
        <f t="shared" si="37"/>
        <v>24964.547619047615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0.40185272257515658</v>
      </c>
      <c r="D107" s="43">
        <f t="shared" si="38"/>
        <v>0.19803511837262561</v>
      </c>
      <c r="E107" s="43">
        <f t="shared" si="38"/>
        <v>5.2697587340523863E-2</v>
      </c>
      <c r="F107" s="43">
        <f t="shared" si="38"/>
        <v>3.7510336086125959E-2</v>
      </c>
      <c r="G107" s="43">
        <f t="shared" si="38"/>
        <v>1.1215905221785946E-3</v>
      </c>
      <c r="H107" s="43">
        <f t="shared" si="38"/>
        <v>7.8969128602370431E-4</v>
      </c>
      <c r="I107" s="43">
        <f t="shared" si="38"/>
        <v>1.2453851223306197E-2</v>
      </c>
      <c r="J107" s="43">
        <f t="shared" si="38"/>
        <v>3.7338664067425149E-3</v>
      </c>
      <c r="K107" s="43">
        <f t="shared" si="38"/>
        <v>2.0514806234746227E-3</v>
      </c>
      <c r="L107" s="43">
        <f t="shared" si="38"/>
        <v>3.8053964145345166E-4</v>
      </c>
      <c r="M107" s="43">
        <f t="shared" si="38"/>
        <v>0.28885819986628658</v>
      </c>
      <c r="N107" s="43">
        <f t="shared" si="38"/>
        <v>5.1501605610241566E-4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0.56508100423796992</v>
      </c>
      <c r="D108" s="44">
        <f t="shared" ref="D108:N108" si="39">D106/$O$106</f>
        <v>0.27847486722815296</v>
      </c>
      <c r="E108" s="44">
        <f t="shared" si="39"/>
        <v>7.4102784185397771E-2</v>
      </c>
      <c r="F108" s="44">
        <f t="shared" si="39"/>
        <v>5.2746633764283041E-2</v>
      </c>
      <c r="G108" s="44">
        <f t="shared" si="39"/>
        <v>1.5771686068343973E-3</v>
      </c>
      <c r="H108" s="44">
        <f t="shared" si="39"/>
        <v>1.1104554476691164E-3</v>
      </c>
      <c r="I108" s="44">
        <f t="shared" si="39"/>
        <v>1.7512472506839762E-2</v>
      </c>
      <c r="J108" s="44">
        <f t="shared" si="39"/>
        <v>5.2505230406094091E-3</v>
      </c>
      <c r="K108" s="44">
        <f t="shared" si="39"/>
        <v>2.8847701303578127E-3</v>
      </c>
      <c r="L108" s="44">
        <f t="shared" si="39"/>
        <v>5.3511077731881326E-4</v>
      </c>
      <c r="M108" s="44"/>
      <c r="N108" s="44">
        <f t="shared" si="39"/>
        <v>7.2421007456681473E-4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Naguru-Nakawa</vt:lpstr>
      <vt:lpstr>29.07 Nakawa-Naguru</vt:lpstr>
      <vt:lpstr>30.07 Naguru-Nakawa</vt:lpstr>
      <vt:lpstr>30.07 Nakawa-Naguru</vt:lpstr>
      <vt:lpstr>31.07 Naguru-Nakawa</vt:lpstr>
      <vt:lpstr>31.07 Nakawa-Naguru</vt:lpstr>
      <vt:lpstr>01.08 Naguru-Nakawa-24h</vt:lpstr>
      <vt:lpstr>01.08 Nakawa-Naguru-24h</vt:lpstr>
      <vt:lpstr>02.08 Naguru-Nakawa</vt:lpstr>
      <vt:lpstr>02.08 Nakawa-Naguru</vt:lpstr>
      <vt:lpstr>03.08 Naguru-Nakawa-24h</vt:lpstr>
      <vt:lpstr>03.08 Nakawa-Naguru-24h</vt:lpstr>
      <vt:lpstr>04.08 Naguru-Nakawa</vt:lpstr>
      <vt:lpstr>04.08 Nakawa-Naguru</vt:lpstr>
      <vt:lpstr>Avg Week Naguru-Nakawa</vt:lpstr>
      <vt:lpstr>Avg Week Nakawa-Naguru</vt:lpstr>
      <vt:lpstr>Avg Week Naguru-Nakawa-2Dir</vt:lpstr>
      <vt:lpstr>'01.08 Naguru-Nakawa-24h'!Print_Area</vt:lpstr>
      <vt:lpstr>'01.08 Nakawa-Naguru-24h'!Print_Area</vt:lpstr>
      <vt:lpstr>'02.08 Naguru-Nakawa'!Print_Area</vt:lpstr>
      <vt:lpstr>'02.08 Nakawa-Naguru'!Print_Area</vt:lpstr>
      <vt:lpstr>'03.08 Naguru-Nakawa-24h'!Print_Area</vt:lpstr>
      <vt:lpstr>'03.08 Nakawa-Naguru-24h'!Print_Area</vt:lpstr>
      <vt:lpstr>'04.08 Naguru-Nakawa'!Print_Area</vt:lpstr>
      <vt:lpstr>'04.08 Nakawa-Naguru'!Print_Area</vt:lpstr>
      <vt:lpstr>'29.07 Naguru-Nakawa'!Print_Area</vt:lpstr>
      <vt:lpstr>'29.07 Nakawa-Naguru'!Print_Area</vt:lpstr>
      <vt:lpstr>'30.07 Naguru-Nakawa'!Print_Area</vt:lpstr>
      <vt:lpstr>'30.07 Nakawa-Naguru'!Print_Area</vt:lpstr>
      <vt:lpstr>'31.07 Naguru-Nakawa'!Print_Area</vt:lpstr>
      <vt:lpstr>'31.07 Nakawa-Naguru'!Print_Area</vt:lpstr>
      <vt:lpstr>'Avg Week Naguru-Nakawa'!Print_Area</vt:lpstr>
      <vt:lpstr>'Avg Week Naguru-Nakawa-2Dir'!Print_Area</vt:lpstr>
      <vt:lpstr>'Avg Week Nakawa-Naguru'!Print_Area</vt:lpstr>
      <vt:lpstr>'01.08 Naguru-Nakawa-24h'!Print_Titles</vt:lpstr>
      <vt:lpstr>'01.08 Nakawa-Naguru-24h'!Print_Titles</vt:lpstr>
      <vt:lpstr>'02.08 Naguru-Nakawa'!Print_Titles</vt:lpstr>
      <vt:lpstr>'02.08 Nakawa-Naguru'!Print_Titles</vt:lpstr>
      <vt:lpstr>'03.08 Naguru-Nakawa-24h'!Print_Titles</vt:lpstr>
      <vt:lpstr>'03.08 Nakawa-Naguru-24h'!Print_Titles</vt:lpstr>
      <vt:lpstr>'04.08 Naguru-Nakawa'!Print_Titles</vt:lpstr>
      <vt:lpstr>'04.08 Nakawa-Naguru'!Print_Titles</vt:lpstr>
      <vt:lpstr>'29.07 Naguru-Nakawa'!Print_Titles</vt:lpstr>
      <vt:lpstr>'29.07 Nakawa-Naguru'!Print_Titles</vt:lpstr>
      <vt:lpstr>'30.07 Naguru-Nakawa'!Print_Titles</vt:lpstr>
      <vt:lpstr>'30.07 Nakawa-Naguru'!Print_Titles</vt:lpstr>
      <vt:lpstr>'31.07 Naguru-Nakawa'!Print_Titles</vt:lpstr>
      <vt:lpstr>'31.07 Nakawa-Naguru'!Print_Titles</vt:lpstr>
      <vt:lpstr>'Avg Week Naguru-Nakawa'!Print_Titles</vt:lpstr>
      <vt:lpstr>'Avg Week Naguru-Nakawa-2Dir'!Print_Titles</vt:lpstr>
      <vt:lpstr>'Avg Week Nakawa-Naguru'!Print_Titles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2020-01-15T18:19:54Z</dcterms:modified>
</cp:coreProperties>
</file>