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6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drawings/drawing17.xml" ContentType="application/vnd.openxmlformats-officedocument.drawing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18.xml" ContentType="application/vnd.openxmlformats-officedocument.drawing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drawings/drawing19.xml" ContentType="application/vnd.openxmlformats-officedocument.drawing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29-KYEBANDO RING\MCC DATA\"/>
    </mc:Choice>
  </mc:AlternateContent>
  <bookViews>
    <workbookView xWindow="-120" yWindow="-120" windowWidth="20730" windowHeight="11160" tabRatio="905" firstSheet="14" activeTab="16"/>
  </bookViews>
  <sheets>
    <sheet name="29.07 NSOOBA-KYEBANDO" sheetId="93" r:id="rId1"/>
    <sheet name="29.07 KYEBANDO-NSOOBA" sheetId="94" r:id="rId2"/>
    <sheet name="30.07 NSOOBA-KYEBANDO" sheetId="95" r:id="rId3"/>
    <sheet name="30.07 KYEBANDO-NSOOBA" sheetId="96" r:id="rId4"/>
    <sheet name="31.08 NSOOBA-KYEBANDO" sheetId="97" r:id="rId5"/>
    <sheet name="31.08 KYEBANDO-NSOOBA" sheetId="98" r:id="rId6"/>
    <sheet name="01.08 NSOOBA-KYEBANDO-24h" sheetId="101" r:id="rId7"/>
    <sheet name="01.08 KYEBANDO-NSOOBA-24h" sheetId="109" r:id="rId8"/>
    <sheet name="02.08 NSOOBA-KYEBANDO" sheetId="99" r:id="rId9"/>
    <sheet name="02.08 KYEBANDO-NSOOBA" sheetId="100" r:id="rId10"/>
    <sheet name="03.08 KYEBANDO-NSOOBA-24h" sheetId="110" r:id="rId11"/>
    <sheet name="03.80 NSOOBA-KYEBANDO-24h" sheetId="105" r:id="rId12"/>
    <sheet name="04.08.Nsooba-Kyebando" sheetId="112" state="hidden" r:id="rId13"/>
    <sheet name="4.08.Nsooba-Kyebando" sheetId="113" r:id="rId14"/>
    <sheet name="4.08. Kyebando-Nsooba" sheetId="103" r:id="rId15"/>
    <sheet name="04.08.Kyebando-Nsooba" sheetId="104" r:id="rId16"/>
    <sheet name="Avg Week Nsooba-Kyebando" sheetId="107" r:id="rId17"/>
    <sheet name="Avg Week Kyebando-Nsooba" sheetId="108" r:id="rId18"/>
    <sheet name="Avg Week Nsooba-Kyebando-2Dir" sheetId="111" r:id="rId19"/>
  </sheets>
  <definedNames>
    <definedName name="_xlnm.Print_Area" localSheetId="7">'01.08 KYEBANDO-NSOOBA-24h'!$A$1:$AF$108</definedName>
    <definedName name="_xlnm.Print_Area" localSheetId="6">'01.08 NSOOBA-KYEBANDO-24h'!$A$1:$AF$108</definedName>
    <definedName name="_xlnm.Print_Area" localSheetId="9">'02.08 KYEBANDO-NSOOBA'!$A$1:$AF$60</definedName>
    <definedName name="_xlnm.Print_Area" localSheetId="8">'02.08 NSOOBA-KYEBANDO'!$A$1:$AF$60</definedName>
    <definedName name="_xlnm.Print_Area" localSheetId="10">'03.08 KYEBANDO-NSOOBA-24h'!$A$1:$AF$108</definedName>
    <definedName name="_xlnm.Print_Area" localSheetId="11">'03.80 NSOOBA-KYEBANDO-24h'!$A$1:$AF$108</definedName>
    <definedName name="_xlnm.Print_Area" localSheetId="15">'04.08.Kyebando-Nsooba'!$A$1:$AF$60</definedName>
    <definedName name="_xlnm.Print_Area" localSheetId="12">'04.08.Nsooba-Kyebando'!$A$1:$AF$60</definedName>
    <definedName name="_xlnm.Print_Area" localSheetId="1">'29.07 KYEBANDO-NSOOBA'!$A$1:$AF$60</definedName>
    <definedName name="_xlnm.Print_Area" localSheetId="0">'29.07 NSOOBA-KYEBANDO'!$A$1:$AF$60</definedName>
    <definedName name="_xlnm.Print_Area" localSheetId="3">'30.07 KYEBANDO-NSOOBA'!$A$1:$AF$60</definedName>
    <definedName name="_xlnm.Print_Area" localSheetId="2">'30.07 NSOOBA-KYEBANDO'!$A$1:$AF$60</definedName>
    <definedName name="_xlnm.Print_Area" localSheetId="5">'31.08 KYEBANDO-NSOOBA'!$A$1:$AF$60</definedName>
    <definedName name="_xlnm.Print_Area" localSheetId="4">'31.08 NSOOBA-KYEBANDO'!$A$1:$AF$60</definedName>
    <definedName name="_xlnm.Print_Area" localSheetId="14">'4.08. Kyebando-Nsooba'!$A$1:$AF$60</definedName>
    <definedName name="_xlnm.Print_Area" localSheetId="13">'4.08.Nsooba-Kyebando'!$A$1:$AF$60</definedName>
    <definedName name="_xlnm.Print_Area" localSheetId="17">'Avg Week Kyebando-Nsooba'!$A$1:$AF$108</definedName>
    <definedName name="_xlnm.Print_Area" localSheetId="16">'Avg Week Nsooba-Kyebando'!$A$1:$AF$108</definedName>
    <definedName name="_xlnm.Print_Area" localSheetId="18">'Avg Week Nsooba-Kyebando-2Dir'!$A$1:$AF$109</definedName>
    <definedName name="_xlnm.Print_Titles" localSheetId="7">'01.08 KYEBANDO-NSOOBA-24h'!$1:$8</definedName>
    <definedName name="_xlnm.Print_Titles" localSheetId="6">'01.08 NSOOBA-KYEBANDO-24h'!$1:$8</definedName>
    <definedName name="_xlnm.Print_Titles" localSheetId="9">'02.08 KYEBANDO-NSOOBA'!$1:$8</definedName>
    <definedName name="_xlnm.Print_Titles" localSheetId="8">'02.08 NSOOBA-KYEBANDO'!$1:$8</definedName>
    <definedName name="_xlnm.Print_Titles" localSheetId="10">'03.08 KYEBANDO-NSOOBA-24h'!$1:$8</definedName>
    <definedName name="_xlnm.Print_Titles" localSheetId="11">'03.80 NSOOBA-KYEBANDO-24h'!$1:$8</definedName>
    <definedName name="_xlnm.Print_Titles" localSheetId="15">'04.08.Kyebando-Nsooba'!$1:$8</definedName>
    <definedName name="_xlnm.Print_Titles" localSheetId="12">'04.08.Nsooba-Kyebando'!$1:$8</definedName>
    <definedName name="_xlnm.Print_Titles" localSheetId="1">'29.07 KYEBANDO-NSOOBA'!$1:$8</definedName>
    <definedName name="_xlnm.Print_Titles" localSheetId="0">'29.07 NSOOBA-KYEBANDO'!$1:$8</definedName>
    <definedName name="_xlnm.Print_Titles" localSheetId="3">'30.07 KYEBANDO-NSOOBA'!$1:$8</definedName>
    <definedName name="_xlnm.Print_Titles" localSheetId="2">'30.07 NSOOBA-KYEBANDO'!$1:$8</definedName>
    <definedName name="_xlnm.Print_Titles" localSheetId="5">'31.08 KYEBANDO-NSOOBA'!$1:$8</definedName>
    <definedName name="_xlnm.Print_Titles" localSheetId="4">'31.08 NSOOBA-KYEBANDO'!$1:$8</definedName>
    <definedName name="_xlnm.Print_Titles" localSheetId="14">'4.08. Kyebando-Nsooba'!$1:$8</definedName>
    <definedName name="_xlnm.Print_Titles" localSheetId="13">'4.08.Nsooba-Kyebando'!$1:$8</definedName>
    <definedName name="_xlnm.Print_Titles" localSheetId="17">'Avg Week Kyebando-Nsooba'!$1:$8</definedName>
    <definedName name="_xlnm.Print_Titles" localSheetId="16">'Avg Week Nsooba-Kyebando'!$1:$8</definedName>
    <definedName name="_xlnm.Print_Titles" localSheetId="18">'Avg Week Nsooba-Kyebando-2Dir'!$1:$8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33" i="107" l="1"/>
  <c r="AE33" i="107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F32" i="107"/>
  <c r="AE32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E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F30" i="107"/>
  <c r="AE30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F29" i="107"/>
  <c r="AE29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F28" i="107"/>
  <c r="AE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E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F26" i="107"/>
  <c r="AE26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E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F24" i="107"/>
  <c r="AE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F23" i="107"/>
  <c r="AE23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F22" i="107"/>
  <c r="AE22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Y36" i="107" s="1"/>
  <c r="X20" i="107"/>
  <c r="W20" i="107"/>
  <c r="V20" i="107"/>
  <c r="U20" i="107"/>
  <c r="U36" i="107" s="1"/>
  <c r="T20" i="107"/>
  <c r="S20" i="107"/>
  <c r="AF19" i="107"/>
  <c r="AF36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6" i="107" s="1"/>
  <c r="W19" i="107"/>
  <c r="W36" i="107" s="1"/>
  <c r="V19" i="107"/>
  <c r="V39" i="107" s="1"/>
  <c r="U19" i="107"/>
  <c r="U39" i="107" s="1"/>
  <c r="T19" i="107"/>
  <c r="T36" i="107" s="1"/>
  <c r="S19" i="107"/>
  <c r="S39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C38" i="107" s="1"/>
  <c r="AB14" i="107"/>
  <c r="AA14" i="107"/>
  <c r="Z14" i="107"/>
  <c r="Y14" i="107"/>
  <c r="Y38" i="107" s="1"/>
  <c r="X14" i="107"/>
  <c r="W14" i="107"/>
  <c r="V14" i="107"/>
  <c r="U14" i="107"/>
  <c r="U38" i="107" s="1"/>
  <c r="T14" i="107"/>
  <c r="S14" i="107"/>
  <c r="AF13" i="107"/>
  <c r="AF38" i="107" s="1"/>
  <c r="AE13" i="107"/>
  <c r="AE38" i="107" s="1"/>
  <c r="AD13" i="107"/>
  <c r="AD35" i="107" s="1"/>
  <c r="AC13" i="107"/>
  <c r="AC35" i="107" s="1"/>
  <c r="AB13" i="107"/>
  <c r="AB38" i="107" s="1"/>
  <c r="AA13" i="107"/>
  <c r="AA35" i="107" s="1"/>
  <c r="Z13" i="107"/>
  <c r="Z35" i="107" s="1"/>
  <c r="Y13" i="107"/>
  <c r="Y35" i="107" s="1"/>
  <c r="X13" i="107"/>
  <c r="X38" i="107" s="1"/>
  <c r="W13" i="107"/>
  <c r="W38" i="107" s="1"/>
  <c r="V13" i="107"/>
  <c r="V35" i="107" s="1"/>
  <c r="U13" i="107"/>
  <c r="U35" i="107" s="1"/>
  <c r="T13" i="107"/>
  <c r="T38" i="107" s="1"/>
  <c r="S13" i="107"/>
  <c r="S35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E41" i="107" s="1"/>
  <c r="AD11" i="107"/>
  <c r="AC11" i="107"/>
  <c r="AB11" i="107"/>
  <c r="AA11" i="107"/>
  <c r="AA41" i="107" s="1"/>
  <c r="Z11" i="107"/>
  <c r="Y11" i="107"/>
  <c r="X11" i="107"/>
  <c r="W11" i="107"/>
  <c r="W41" i="107" s="1"/>
  <c r="V11" i="107"/>
  <c r="U11" i="107"/>
  <c r="T11" i="107"/>
  <c r="S11" i="107"/>
  <c r="S41" i="107" s="1"/>
  <c r="AF10" i="107"/>
  <c r="AF40" i="107" s="1"/>
  <c r="AE10" i="107"/>
  <c r="AE40" i="107" s="1"/>
  <c r="AD10" i="107"/>
  <c r="AD41" i="107" s="1"/>
  <c r="AC10" i="107"/>
  <c r="AC40" i="107" s="1"/>
  <c r="AB10" i="107"/>
  <c r="AB40" i="107" s="1"/>
  <c r="AA10" i="107"/>
  <c r="AA40" i="107" s="1"/>
  <c r="Z10" i="107"/>
  <c r="Z41" i="107" s="1"/>
  <c r="Y10" i="107"/>
  <c r="Y41" i="107" s="1"/>
  <c r="X10" i="107"/>
  <c r="X40" i="107" s="1"/>
  <c r="W10" i="107"/>
  <c r="W40" i="107" s="1"/>
  <c r="V10" i="107"/>
  <c r="V41" i="107" s="1"/>
  <c r="U10" i="107"/>
  <c r="U34" i="107" s="1"/>
  <c r="T10" i="107"/>
  <c r="T40" i="107" s="1"/>
  <c r="S10" i="107"/>
  <c r="S40" i="107" s="1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E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E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F25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B20" i="108"/>
  <c r="AA20" i="108"/>
  <c r="Z20" i="108"/>
  <c r="Y20" i="108"/>
  <c r="X20" i="108"/>
  <c r="W20" i="108"/>
  <c r="V20" i="108"/>
  <c r="U20" i="108"/>
  <c r="T20" i="108"/>
  <c r="S20" i="108"/>
  <c r="AF19" i="108"/>
  <c r="AF36" i="108" s="1"/>
  <c r="AE19" i="108"/>
  <c r="AE36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6" i="108" s="1"/>
  <c r="W19" i="108"/>
  <c r="W36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B14" i="108"/>
  <c r="AA14" i="108"/>
  <c r="Z14" i="108"/>
  <c r="Y14" i="108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5" i="108" s="1"/>
  <c r="AC13" i="108"/>
  <c r="AC35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5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0" i="108" s="1"/>
  <c r="AE10" i="108"/>
  <c r="AE40" i="108" s="1"/>
  <c r="AD10" i="108"/>
  <c r="AD41" i="108" s="1"/>
  <c r="AC10" i="108"/>
  <c r="AC41" i="108" s="1"/>
  <c r="AB10" i="108"/>
  <c r="AB40" i="108" s="1"/>
  <c r="AA10" i="108"/>
  <c r="AA40" i="108" s="1"/>
  <c r="Z10" i="108"/>
  <c r="Z41" i="108" s="1"/>
  <c r="Y10" i="108"/>
  <c r="Y41" i="108" s="1"/>
  <c r="X10" i="108"/>
  <c r="X40" i="108" s="1"/>
  <c r="W10" i="108"/>
  <c r="W40" i="108" s="1"/>
  <c r="V10" i="108"/>
  <c r="V41" i="108" s="1"/>
  <c r="U10" i="108"/>
  <c r="U41" i="108" s="1"/>
  <c r="T10" i="108"/>
  <c r="T40" i="108" s="1"/>
  <c r="S10" i="108"/>
  <c r="S40" i="108" s="1"/>
  <c r="AF33" i="111"/>
  <c r="AE33" i="111"/>
  <c r="AD33" i="111"/>
  <c r="AC33" i="111"/>
  <c r="AB33" i="111"/>
  <c r="AA33" i="111"/>
  <c r="Z33" i="111"/>
  <c r="Y33" i="111"/>
  <c r="X33" i="111"/>
  <c r="W33" i="111"/>
  <c r="V33" i="111"/>
  <c r="U33" i="111"/>
  <c r="T33" i="111"/>
  <c r="S33" i="111"/>
  <c r="AF32" i="111"/>
  <c r="AE32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F31" i="111"/>
  <c r="AE31" i="111"/>
  <c r="AD31" i="111"/>
  <c r="AC31" i="111"/>
  <c r="AB31" i="111"/>
  <c r="AA31" i="111"/>
  <c r="Z31" i="111"/>
  <c r="Y31" i="111"/>
  <c r="X31" i="111"/>
  <c r="W31" i="111"/>
  <c r="V31" i="111"/>
  <c r="U31" i="111"/>
  <c r="T31" i="111"/>
  <c r="S31" i="111"/>
  <c r="AF30" i="111"/>
  <c r="AE30" i="111"/>
  <c r="AD30" i="111"/>
  <c r="AC30" i="111"/>
  <c r="AB30" i="111"/>
  <c r="AA30" i="111"/>
  <c r="Z30" i="111"/>
  <c r="Y30" i="111"/>
  <c r="X30" i="111"/>
  <c r="W30" i="111"/>
  <c r="V30" i="111"/>
  <c r="U30" i="111"/>
  <c r="T30" i="111"/>
  <c r="S30" i="111"/>
  <c r="AF29" i="111"/>
  <c r="AE29" i="111"/>
  <c r="AD29" i="111"/>
  <c r="AC29" i="111"/>
  <c r="AB29" i="111"/>
  <c r="AA29" i="111"/>
  <c r="Z29" i="111"/>
  <c r="Y29" i="111"/>
  <c r="X29" i="111"/>
  <c r="W29" i="111"/>
  <c r="V29" i="111"/>
  <c r="U29" i="111"/>
  <c r="T29" i="111"/>
  <c r="S29" i="111"/>
  <c r="AF28" i="111"/>
  <c r="AE28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F27" i="111"/>
  <c r="AE27" i="111"/>
  <c r="AD27" i="111"/>
  <c r="AC27" i="111"/>
  <c r="AB27" i="111"/>
  <c r="AA27" i="111"/>
  <c r="Z27" i="111"/>
  <c r="Y27" i="111"/>
  <c r="X27" i="111"/>
  <c r="W27" i="111"/>
  <c r="V27" i="111"/>
  <c r="U27" i="111"/>
  <c r="T27" i="111"/>
  <c r="S27" i="111"/>
  <c r="AF26" i="111"/>
  <c r="AE26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F25" i="111"/>
  <c r="AE25" i="111"/>
  <c r="AD25" i="111"/>
  <c r="AC25" i="111"/>
  <c r="AB25" i="111"/>
  <c r="AA25" i="111"/>
  <c r="Z25" i="111"/>
  <c r="Y25" i="111"/>
  <c r="X25" i="111"/>
  <c r="W25" i="111"/>
  <c r="V25" i="111"/>
  <c r="U25" i="111"/>
  <c r="T25" i="111"/>
  <c r="S25" i="111"/>
  <c r="AF24" i="111"/>
  <c r="AE24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F23" i="111"/>
  <c r="AE23" i="111"/>
  <c r="AD23" i="111"/>
  <c r="AC23" i="111"/>
  <c r="AB23" i="111"/>
  <c r="AA23" i="111"/>
  <c r="Z23" i="111"/>
  <c r="Y23" i="111"/>
  <c r="X23" i="111"/>
  <c r="W23" i="111"/>
  <c r="V23" i="111"/>
  <c r="U23" i="111"/>
  <c r="T23" i="111"/>
  <c r="S23" i="111"/>
  <c r="AF22" i="111"/>
  <c r="AE22" i="111"/>
  <c r="AD22" i="111"/>
  <c r="AC22" i="111"/>
  <c r="AB22" i="111"/>
  <c r="AA22" i="111"/>
  <c r="Z22" i="111"/>
  <c r="Y22" i="111"/>
  <c r="X22" i="111"/>
  <c r="W22" i="111"/>
  <c r="V22" i="111"/>
  <c r="U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F36" i="111" s="1"/>
  <c r="AE20" i="111"/>
  <c r="AD20" i="111"/>
  <c r="AC20" i="111"/>
  <c r="AC36" i="111" s="1"/>
  <c r="AB20" i="111"/>
  <c r="AB36" i="111" s="1"/>
  <c r="AA20" i="111"/>
  <c r="Z20" i="111"/>
  <c r="Y20" i="111"/>
  <c r="Y36" i="111" s="1"/>
  <c r="X20" i="111"/>
  <c r="X36" i="111" s="1"/>
  <c r="W20" i="111"/>
  <c r="V20" i="111"/>
  <c r="U20" i="111"/>
  <c r="U36" i="111" s="1"/>
  <c r="T20" i="111"/>
  <c r="T36" i="111" s="1"/>
  <c r="S20" i="111"/>
  <c r="AF19" i="111"/>
  <c r="AF39" i="111" s="1"/>
  <c r="AE19" i="111"/>
  <c r="AE36" i="111" s="1"/>
  <c r="AD19" i="111"/>
  <c r="AD36" i="111" s="1"/>
  <c r="AC19" i="111"/>
  <c r="AC39" i="111" s="1"/>
  <c r="AB19" i="111"/>
  <c r="AB39" i="111" s="1"/>
  <c r="AA19" i="111"/>
  <c r="AA36" i="111" s="1"/>
  <c r="Z19" i="111"/>
  <c r="Z39" i="111" s="1"/>
  <c r="Y19" i="111"/>
  <c r="Y39" i="111" s="1"/>
  <c r="X19" i="111"/>
  <c r="X39" i="111" s="1"/>
  <c r="W19" i="111"/>
  <c r="W36" i="111" s="1"/>
  <c r="V19" i="111"/>
  <c r="V36" i="111" s="1"/>
  <c r="U19" i="111"/>
  <c r="U39" i="111" s="1"/>
  <c r="T19" i="111"/>
  <c r="T39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F38" i="111" s="1"/>
  <c r="AE14" i="111"/>
  <c r="AD14" i="111"/>
  <c r="AC14" i="111"/>
  <c r="AC38" i="111" s="1"/>
  <c r="AB14" i="111"/>
  <c r="AB38" i="111" s="1"/>
  <c r="AA14" i="111"/>
  <c r="Z14" i="111"/>
  <c r="Y14" i="111"/>
  <c r="Y38" i="111" s="1"/>
  <c r="X14" i="111"/>
  <c r="X38" i="111" s="1"/>
  <c r="W14" i="111"/>
  <c r="V14" i="111"/>
  <c r="U14" i="111"/>
  <c r="U38" i="111" s="1"/>
  <c r="T14" i="111"/>
  <c r="T38" i="111" s="1"/>
  <c r="S14" i="111"/>
  <c r="AF13" i="111"/>
  <c r="AF35" i="111" s="1"/>
  <c r="AE13" i="111"/>
  <c r="AE38" i="111" s="1"/>
  <c r="AD13" i="111"/>
  <c r="AD38" i="111" s="1"/>
  <c r="AC13" i="111"/>
  <c r="AC35" i="111" s="1"/>
  <c r="AB13" i="111"/>
  <c r="AB35" i="111" s="1"/>
  <c r="AA13" i="111"/>
  <c r="AA38" i="111" s="1"/>
  <c r="Z13" i="111"/>
  <c r="Z35" i="111" s="1"/>
  <c r="Y13" i="111"/>
  <c r="Y35" i="111" s="1"/>
  <c r="X13" i="111"/>
  <c r="X35" i="111" s="1"/>
  <c r="W13" i="111"/>
  <c r="W38" i="111" s="1"/>
  <c r="V13" i="111"/>
  <c r="V38" i="111" s="1"/>
  <c r="U13" i="111"/>
  <c r="U35" i="111" s="1"/>
  <c r="T13" i="111"/>
  <c r="T35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E37" i="111" s="1"/>
  <c r="AD11" i="111"/>
  <c r="AD41" i="111" s="1"/>
  <c r="AD42" i="111" s="1"/>
  <c r="AC11" i="111"/>
  <c r="AB11" i="111"/>
  <c r="AA11" i="111"/>
  <c r="AA41" i="111" s="1"/>
  <c r="Z11" i="111"/>
  <c r="Z41" i="111" s="1"/>
  <c r="Z42" i="111" s="1"/>
  <c r="Y11" i="111"/>
  <c r="X11" i="111"/>
  <c r="W11" i="111"/>
  <c r="W41" i="111" s="1"/>
  <c r="V11" i="111"/>
  <c r="V41" i="111" s="1"/>
  <c r="V42" i="111" s="1"/>
  <c r="U11" i="111"/>
  <c r="T11" i="111"/>
  <c r="S11" i="111"/>
  <c r="S41" i="111" s="1"/>
  <c r="AF10" i="111"/>
  <c r="AF34" i="111" s="1"/>
  <c r="AE10" i="111"/>
  <c r="AE40" i="111" s="1"/>
  <c r="AD10" i="111"/>
  <c r="AD40" i="111" s="1"/>
  <c r="AC10" i="111"/>
  <c r="AC41" i="111" s="1"/>
  <c r="AB10" i="111"/>
  <c r="AB40" i="111" s="1"/>
  <c r="AA10" i="111"/>
  <c r="AA40" i="111" s="1"/>
  <c r="Z10" i="111"/>
  <c r="Z40" i="111" s="1"/>
  <c r="Y10" i="111"/>
  <c r="Y41" i="111" s="1"/>
  <c r="X10" i="111"/>
  <c r="X34" i="111" s="1"/>
  <c r="W10" i="111"/>
  <c r="W40" i="111" s="1"/>
  <c r="V10" i="111"/>
  <c r="V40" i="111" s="1"/>
  <c r="U10" i="111"/>
  <c r="U41" i="111" s="1"/>
  <c r="T10" i="111"/>
  <c r="T40" i="111" s="1"/>
  <c r="S10" i="111"/>
  <c r="S40" i="111" s="1"/>
  <c r="P58" i="111"/>
  <c r="P59" i="111"/>
  <c r="P60" i="111"/>
  <c r="P61" i="111"/>
  <c r="P62" i="111"/>
  <c r="P63" i="111"/>
  <c r="P64" i="111"/>
  <c r="P65" i="111"/>
  <c r="P66" i="111"/>
  <c r="P67" i="111"/>
  <c r="P68" i="111"/>
  <c r="P69" i="111"/>
  <c r="P70" i="111"/>
  <c r="P71" i="111"/>
  <c r="P72" i="111"/>
  <c r="P73" i="111"/>
  <c r="P74" i="111"/>
  <c r="P75" i="111"/>
  <c r="P76" i="111"/>
  <c r="P77" i="111"/>
  <c r="P78" i="111"/>
  <c r="P79" i="111"/>
  <c r="P80" i="111"/>
  <c r="P81" i="111"/>
  <c r="P82" i="111"/>
  <c r="P83" i="111"/>
  <c r="P84" i="111"/>
  <c r="P85" i="111"/>
  <c r="P86" i="111"/>
  <c r="P87" i="111"/>
  <c r="P88" i="111"/>
  <c r="P89" i="111"/>
  <c r="P90" i="111"/>
  <c r="P91" i="111"/>
  <c r="P92" i="111"/>
  <c r="P93" i="111"/>
  <c r="P94" i="111"/>
  <c r="P95" i="111"/>
  <c r="P96" i="111"/>
  <c r="P97" i="111"/>
  <c r="P98" i="111"/>
  <c r="P99" i="111"/>
  <c r="P100" i="111"/>
  <c r="P101" i="111"/>
  <c r="P102" i="111"/>
  <c r="P103" i="111"/>
  <c r="P104" i="111"/>
  <c r="P105" i="111"/>
  <c r="O58" i="111"/>
  <c r="O59" i="111"/>
  <c r="O60" i="111"/>
  <c r="O61" i="111"/>
  <c r="O62" i="111"/>
  <c r="O63" i="111"/>
  <c r="O64" i="111"/>
  <c r="O65" i="111"/>
  <c r="O66" i="111"/>
  <c r="O67" i="111"/>
  <c r="O68" i="111"/>
  <c r="O69" i="111"/>
  <c r="O70" i="111"/>
  <c r="O71" i="111"/>
  <c r="O72" i="111"/>
  <c r="O73" i="111"/>
  <c r="O74" i="111"/>
  <c r="O75" i="111"/>
  <c r="O76" i="111"/>
  <c r="O77" i="111"/>
  <c r="O78" i="111"/>
  <c r="O79" i="111"/>
  <c r="O80" i="111"/>
  <c r="O81" i="111"/>
  <c r="O82" i="111"/>
  <c r="O83" i="111"/>
  <c r="O84" i="111"/>
  <c r="O85" i="111"/>
  <c r="O86" i="111"/>
  <c r="O87" i="111"/>
  <c r="O88" i="111"/>
  <c r="O89" i="111"/>
  <c r="O90" i="111"/>
  <c r="O91" i="111"/>
  <c r="O92" i="111"/>
  <c r="O93" i="111"/>
  <c r="O94" i="111"/>
  <c r="O95" i="111"/>
  <c r="O96" i="111"/>
  <c r="O97" i="111"/>
  <c r="O98" i="111"/>
  <c r="O99" i="111"/>
  <c r="O100" i="111"/>
  <c r="O101" i="111"/>
  <c r="O102" i="111"/>
  <c r="O103" i="111"/>
  <c r="O104" i="111"/>
  <c r="O105" i="111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C58" i="111"/>
  <c r="P58" i="108"/>
  <c r="P59" i="108"/>
  <c r="P60" i="108"/>
  <c r="P61" i="108"/>
  <c r="P62" i="108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P91" i="108"/>
  <c r="P92" i="108"/>
  <c r="P93" i="108"/>
  <c r="P94" i="108"/>
  <c r="P95" i="108"/>
  <c r="P96" i="108"/>
  <c r="P97" i="108"/>
  <c r="P98" i="108"/>
  <c r="P99" i="108"/>
  <c r="P100" i="108"/>
  <c r="P101" i="108"/>
  <c r="P102" i="108"/>
  <c r="P103" i="108"/>
  <c r="P104" i="108"/>
  <c r="P105" i="108"/>
  <c r="O58" i="108"/>
  <c r="O59" i="108"/>
  <c r="O60" i="108"/>
  <c r="O61" i="108"/>
  <c r="O62" i="108"/>
  <c r="O63" i="108"/>
  <c r="O64" i="108"/>
  <c r="O65" i="108"/>
  <c r="O66" i="108"/>
  <c r="O67" i="108"/>
  <c r="O68" i="108"/>
  <c r="O69" i="108"/>
  <c r="O70" i="108"/>
  <c r="O71" i="108"/>
  <c r="O72" i="108"/>
  <c r="O73" i="108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O103" i="108"/>
  <c r="O104" i="108"/>
  <c r="O105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58" i="107"/>
  <c r="P59" i="107"/>
  <c r="P60" i="107"/>
  <c r="P61" i="107"/>
  <c r="P62" i="107"/>
  <c r="P63" i="107"/>
  <c r="P64" i="107"/>
  <c r="P65" i="107"/>
  <c r="P66" i="107"/>
  <c r="P67" i="107"/>
  <c r="P68" i="107"/>
  <c r="P69" i="107"/>
  <c r="P70" i="107"/>
  <c r="P71" i="107"/>
  <c r="P72" i="107"/>
  <c r="P73" i="107"/>
  <c r="P74" i="107"/>
  <c r="P75" i="107"/>
  <c r="P76" i="107"/>
  <c r="P77" i="107"/>
  <c r="P78" i="107"/>
  <c r="P79" i="107"/>
  <c r="P80" i="107"/>
  <c r="P81" i="107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P105" i="107"/>
  <c r="O58" i="107"/>
  <c r="O59" i="107"/>
  <c r="O60" i="107"/>
  <c r="O61" i="107"/>
  <c r="O62" i="107"/>
  <c r="O63" i="107"/>
  <c r="O64" i="107"/>
  <c r="O65" i="107"/>
  <c r="O66" i="107"/>
  <c r="O67" i="107"/>
  <c r="O68" i="107"/>
  <c r="O69" i="107"/>
  <c r="O70" i="107"/>
  <c r="O71" i="107"/>
  <c r="O72" i="107"/>
  <c r="O73" i="107"/>
  <c r="O74" i="107"/>
  <c r="O75" i="107"/>
  <c r="O76" i="107"/>
  <c r="O77" i="107"/>
  <c r="O78" i="107"/>
  <c r="O79" i="107"/>
  <c r="O80" i="107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O93" i="107"/>
  <c r="O94" i="107"/>
  <c r="O95" i="107"/>
  <c r="O96" i="107"/>
  <c r="O97" i="107"/>
  <c r="O98" i="107"/>
  <c r="O99" i="107"/>
  <c r="O100" i="107"/>
  <c r="O101" i="107"/>
  <c r="O102" i="107"/>
  <c r="O103" i="107"/>
  <c r="O104" i="107"/>
  <c r="O105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7"/>
  <c r="S42" i="107" l="1"/>
  <c r="W42" i="107"/>
  <c r="AA42" i="107"/>
  <c r="AE42" i="107"/>
  <c r="AD42" i="107"/>
  <c r="Y34" i="107"/>
  <c r="W35" i="107"/>
  <c r="AA37" i="107"/>
  <c r="W39" i="107"/>
  <c r="U40" i="107"/>
  <c r="V34" i="107"/>
  <c r="Z34" i="107"/>
  <c r="AD34" i="107"/>
  <c r="T35" i="107"/>
  <c r="X35" i="107"/>
  <c r="AB35" i="107"/>
  <c r="AF35" i="107"/>
  <c r="V36" i="107"/>
  <c r="Z36" i="107"/>
  <c r="AD36" i="107"/>
  <c r="T37" i="107"/>
  <c r="X37" i="107"/>
  <c r="AB37" i="107"/>
  <c r="AF37" i="107"/>
  <c r="V38" i="107"/>
  <c r="Z38" i="107"/>
  <c r="AD38" i="107"/>
  <c r="T39" i="107"/>
  <c r="X39" i="107"/>
  <c r="AB39" i="107"/>
  <c r="AF39" i="107"/>
  <c r="V40" i="107"/>
  <c r="V42" i="107" s="1"/>
  <c r="Z40" i="107"/>
  <c r="Z42" i="107" s="1"/>
  <c r="AD40" i="107"/>
  <c r="T41" i="107"/>
  <c r="T42" i="107" s="1"/>
  <c r="X41" i="107"/>
  <c r="X42" i="107" s="1"/>
  <c r="AB41" i="107"/>
  <c r="AB42" i="107" s="1"/>
  <c r="AF41" i="107"/>
  <c r="AF42" i="107" s="1"/>
  <c r="AC34" i="107"/>
  <c r="AE35" i="107"/>
  <c r="S37" i="107"/>
  <c r="AE37" i="107"/>
  <c r="AA39" i="107"/>
  <c r="Y40" i="107"/>
  <c r="Y42" i="107" s="1"/>
  <c r="S34" i="107"/>
  <c r="W34" i="107"/>
  <c r="AA34" i="107"/>
  <c r="AE34" i="107"/>
  <c r="S36" i="107"/>
  <c r="AE36" i="107"/>
  <c r="U37" i="107"/>
  <c r="Y37" i="107"/>
  <c r="AC37" i="107"/>
  <c r="S38" i="107"/>
  <c r="AA38" i="107"/>
  <c r="U41" i="107"/>
  <c r="U42" i="107" s="1"/>
  <c r="AC41" i="107"/>
  <c r="AC42" i="107" s="1"/>
  <c r="W37" i="107"/>
  <c r="T34" i="107"/>
  <c r="X34" i="107"/>
  <c r="AB34" i="107"/>
  <c r="AF34" i="107"/>
  <c r="V37" i="107"/>
  <c r="Z37" i="107"/>
  <c r="AD37" i="107"/>
  <c r="U34" i="108"/>
  <c r="Y34" i="108"/>
  <c r="AC34" i="108"/>
  <c r="S35" i="108"/>
  <c r="W35" i="108"/>
  <c r="AA35" i="108"/>
  <c r="AE35" i="108"/>
  <c r="U36" i="108"/>
  <c r="Y36" i="108"/>
  <c r="AC36" i="108"/>
  <c r="S37" i="108"/>
  <c r="W37" i="108"/>
  <c r="AA37" i="108"/>
  <c r="AE37" i="108"/>
  <c r="U38" i="108"/>
  <c r="Y38" i="108"/>
  <c r="AC38" i="108"/>
  <c r="S39" i="108"/>
  <c r="W39" i="108"/>
  <c r="AA39" i="108"/>
  <c r="AE39" i="108"/>
  <c r="U40" i="108"/>
  <c r="U42" i="108" s="1"/>
  <c r="Y40" i="108"/>
  <c r="Y42" i="108" s="1"/>
  <c r="AC40" i="108"/>
  <c r="AC42" i="108" s="1"/>
  <c r="S41" i="108"/>
  <c r="S42" i="108" s="1"/>
  <c r="W41" i="108"/>
  <c r="W42" i="108" s="1"/>
  <c r="AA41" i="108"/>
  <c r="AA42" i="108" s="1"/>
  <c r="AE41" i="108"/>
  <c r="AE42" i="108" s="1"/>
  <c r="V34" i="108"/>
  <c r="Z34" i="108"/>
  <c r="AD34" i="108"/>
  <c r="T35" i="108"/>
  <c r="X35" i="108"/>
  <c r="AB35" i="108"/>
  <c r="AF35" i="108"/>
  <c r="V36" i="108"/>
  <c r="Z36" i="108"/>
  <c r="AD36" i="108"/>
  <c r="T37" i="108"/>
  <c r="X37" i="108"/>
  <c r="AB37" i="108"/>
  <c r="AF37" i="108"/>
  <c r="V38" i="108"/>
  <c r="Z38" i="108"/>
  <c r="AD38" i="108"/>
  <c r="T39" i="108"/>
  <c r="X39" i="108"/>
  <c r="AB39" i="108"/>
  <c r="AF39" i="108"/>
  <c r="V40" i="108"/>
  <c r="V42" i="108" s="1"/>
  <c r="Z40" i="108"/>
  <c r="Z42" i="108" s="1"/>
  <c r="AD40" i="108"/>
  <c r="AD42" i="108" s="1"/>
  <c r="T41" i="108"/>
  <c r="T42" i="108" s="1"/>
  <c r="X41" i="108"/>
  <c r="X42" i="108" s="1"/>
  <c r="AB41" i="108"/>
  <c r="AB42" i="108" s="1"/>
  <c r="AF41" i="108"/>
  <c r="AF42" i="108" s="1"/>
  <c r="S34" i="108"/>
  <c r="W34" i="108"/>
  <c r="AA34" i="108"/>
  <c r="AE34" i="108"/>
  <c r="U37" i="108"/>
  <c r="Y37" i="108"/>
  <c r="AC37" i="108"/>
  <c r="T34" i="108"/>
  <c r="X34" i="108"/>
  <c r="AB34" i="108"/>
  <c r="AF34" i="108"/>
  <c r="V37" i="108"/>
  <c r="Z37" i="108"/>
  <c r="AD37" i="108"/>
  <c r="S42" i="111"/>
  <c r="W42" i="111"/>
  <c r="AA42" i="111"/>
  <c r="T34" i="111"/>
  <c r="AB34" i="111"/>
  <c r="V35" i="111"/>
  <c r="AD35" i="111"/>
  <c r="Z37" i="111"/>
  <c r="V39" i="111"/>
  <c r="AD39" i="111"/>
  <c r="X40" i="111"/>
  <c r="AF40" i="111"/>
  <c r="U34" i="111"/>
  <c r="AC34" i="111"/>
  <c r="W35" i="111"/>
  <c r="AE35" i="111"/>
  <c r="AE41" i="111"/>
  <c r="AE42" i="111" s="1"/>
  <c r="V34" i="111"/>
  <c r="Z34" i="111"/>
  <c r="AD34" i="111"/>
  <c r="Z36" i="111"/>
  <c r="T37" i="111"/>
  <c r="X37" i="111"/>
  <c r="AB37" i="111"/>
  <c r="AF37" i="111"/>
  <c r="Z38" i="111"/>
  <c r="T41" i="111"/>
  <c r="T42" i="111" s="1"/>
  <c r="X41" i="111"/>
  <c r="X42" i="111" s="1"/>
  <c r="AB41" i="111"/>
  <c r="AB42" i="111" s="1"/>
  <c r="AF41" i="111"/>
  <c r="AF42" i="111" s="1"/>
  <c r="V37" i="111"/>
  <c r="AD37" i="111"/>
  <c r="Y34" i="111"/>
  <c r="S35" i="111"/>
  <c r="AA35" i="111"/>
  <c r="S37" i="111"/>
  <c r="W37" i="111"/>
  <c r="AA37" i="111"/>
  <c r="S39" i="111"/>
  <c r="W39" i="111"/>
  <c r="AA39" i="111"/>
  <c r="AE39" i="111"/>
  <c r="U40" i="111"/>
  <c r="U42" i="111" s="1"/>
  <c r="Y40" i="111"/>
  <c r="Y42" i="111" s="1"/>
  <c r="AC40" i="111"/>
  <c r="AC42" i="111" s="1"/>
  <c r="S34" i="111"/>
  <c r="W34" i="111"/>
  <c r="AA34" i="111"/>
  <c r="AE34" i="111"/>
  <c r="U37" i="111"/>
  <c r="Y37" i="111"/>
  <c r="AC37" i="111"/>
  <c r="N58" i="113"/>
  <c r="M58" i="113"/>
  <c r="L58" i="113"/>
  <c r="K58" i="113"/>
  <c r="J58" i="113"/>
  <c r="I58" i="113"/>
  <c r="H58" i="113"/>
  <c r="G58" i="113"/>
  <c r="F58" i="113"/>
  <c r="E58" i="113"/>
  <c r="D58" i="113"/>
  <c r="C58" i="113"/>
  <c r="P57" i="113"/>
  <c r="O57" i="113"/>
  <c r="P55" i="113"/>
  <c r="O55" i="113"/>
  <c r="P54" i="113"/>
  <c r="O54" i="113"/>
  <c r="P53" i="113"/>
  <c r="O53" i="113"/>
  <c r="P52" i="113"/>
  <c r="O52" i="113"/>
  <c r="P51" i="113"/>
  <c r="O51" i="113"/>
  <c r="P50" i="113"/>
  <c r="O50" i="113"/>
  <c r="P49" i="113"/>
  <c r="O49" i="113"/>
  <c r="P48" i="113"/>
  <c r="O48" i="113"/>
  <c r="P47" i="113"/>
  <c r="O47" i="113"/>
  <c r="P46" i="113"/>
  <c r="O46" i="113"/>
  <c r="P45" i="113"/>
  <c r="O45" i="113"/>
  <c r="P44" i="113"/>
  <c r="O44" i="113"/>
  <c r="P43" i="113"/>
  <c r="O43" i="113"/>
  <c r="P42" i="113"/>
  <c r="O42" i="113"/>
  <c r="P41" i="113"/>
  <c r="O41" i="113"/>
  <c r="P40" i="113"/>
  <c r="O40" i="113"/>
  <c r="P39" i="113"/>
  <c r="O39" i="113"/>
  <c r="P38" i="113"/>
  <c r="O38" i="113"/>
  <c r="P37" i="113"/>
  <c r="O37" i="113"/>
  <c r="P36" i="113"/>
  <c r="O36" i="113"/>
  <c r="P35" i="113"/>
  <c r="O35" i="113"/>
  <c r="P34" i="113"/>
  <c r="O34" i="113"/>
  <c r="P33" i="113"/>
  <c r="O33" i="113"/>
  <c r="P32" i="113"/>
  <c r="O32" i="113"/>
  <c r="P31" i="113"/>
  <c r="O31" i="113"/>
  <c r="P30" i="113"/>
  <c r="O30" i="113"/>
  <c r="P29" i="113"/>
  <c r="O29" i="113"/>
  <c r="P28" i="113"/>
  <c r="O28" i="113"/>
  <c r="P27" i="113"/>
  <c r="O27" i="113"/>
  <c r="P26" i="113"/>
  <c r="O26" i="113"/>
  <c r="P25" i="113"/>
  <c r="O25" i="113"/>
  <c r="P24" i="113"/>
  <c r="O24" i="113"/>
  <c r="P23" i="113"/>
  <c r="O23" i="113"/>
  <c r="P22" i="113"/>
  <c r="O22" i="113"/>
  <c r="AF21" i="113"/>
  <c r="AE21" i="113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F20" i="113"/>
  <c r="AE20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F19" i="113"/>
  <c r="AF27" i="113" s="1"/>
  <c r="AE19" i="113"/>
  <c r="AE27" i="113" s="1"/>
  <c r="AD19" i="113"/>
  <c r="AD27" i="113" s="1"/>
  <c r="AC19" i="113"/>
  <c r="AC27" i="113" s="1"/>
  <c r="AB19" i="113"/>
  <c r="AB27" i="113" s="1"/>
  <c r="AA19" i="113"/>
  <c r="AA27" i="113" s="1"/>
  <c r="Z19" i="113"/>
  <c r="Z27" i="113" s="1"/>
  <c r="Y19" i="113"/>
  <c r="Y27" i="113" s="1"/>
  <c r="X19" i="113"/>
  <c r="X27" i="113" s="1"/>
  <c r="W19" i="113"/>
  <c r="W27" i="113" s="1"/>
  <c r="V19" i="113"/>
  <c r="V27" i="113" s="1"/>
  <c r="U19" i="113"/>
  <c r="U27" i="113" s="1"/>
  <c r="T19" i="113"/>
  <c r="T27" i="113" s="1"/>
  <c r="S19" i="113"/>
  <c r="S27" i="113" s="1"/>
  <c r="P19" i="113"/>
  <c r="O19" i="113"/>
  <c r="AF18" i="113"/>
  <c r="AE18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O18" i="113"/>
  <c r="AF17" i="113"/>
  <c r="AE17" i="113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F16" i="113"/>
  <c r="AE16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F15" i="113"/>
  <c r="AE15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O15" i="113"/>
  <c r="AF14" i="11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O14" i="113"/>
  <c r="AF13" i="113"/>
  <c r="AF26" i="113" s="1"/>
  <c r="AE13" i="113"/>
  <c r="AE26" i="113" s="1"/>
  <c r="AD13" i="113"/>
  <c r="AD26" i="113" s="1"/>
  <c r="AC13" i="113"/>
  <c r="AC26" i="113" s="1"/>
  <c r="AB13" i="113"/>
  <c r="AB26" i="113" s="1"/>
  <c r="AA13" i="113"/>
  <c r="AA26" i="113" s="1"/>
  <c r="Z13" i="113"/>
  <c r="Z26" i="113" s="1"/>
  <c r="Y13" i="113"/>
  <c r="Y26" i="113" s="1"/>
  <c r="X13" i="113"/>
  <c r="X26" i="113" s="1"/>
  <c r="W13" i="113"/>
  <c r="W26" i="113" s="1"/>
  <c r="V13" i="113"/>
  <c r="V26" i="113" s="1"/>
  <c r="U13" i="113"/>
  <c r="U26" i="113" s="1"/>
  <c r="T13" i="113"/>
  <c r="T26" i="113" s="1"/>
  <c r="S13" i="113"/>
  <c r="S26" i="113" s="1"/>
  <c r="P13" i="113"/>
  <c r="O13" i="113"/>
  <c r="AF12" i="113"/>
  <c r="AE12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F11" i="113"/>
  <c r="AE11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D28" i="113" s="1"/>
  <c r="AC10" i="113"/>
  <c r="AC28" i="113" s="1"/>
  <c r="AB10" i="113"/>
  <c r="AA10" i="113"/>
  <c r="Z10" i="113"/>
  <c r="Z28" i="113" s="1"/>
  <c r="Y10" i="113"/>
  <c r="Y28" i="113" s="1"/>
  <c r="X10" i="113"/>
  <c r="W10" i="113"/>
  <c r="V10" i="113"/>
  <c r="V28" i="113" s="1"/>
  <c r="U10" i="113"/>
  <c r="U28" i="113" s="1"/>
  <c r="T10" i="113"/>
  <c r="S10" i="113"/>
  <c r="P10" i="113"/>
  <c r="P58" i="113" s="1"/>
  <c r="O10" i="113"/>
  <c r="O58" i="113" s="1"/>
  <c r="G6" i="113"/>
  <c r="D6" i="113"/>
  <c r="C3" i="113"/>
  <c r="N58" i="112"/>
  <c r="M58" i="112"/>
  <c r="L58" i="112"/>
  <c r="K58" i="112"/>
  <c r="J58" i="112"/>
  <c r="I58" i="112"/>
  <c r="H58" i="112"/>
  <c r="G58" i="112"/>
  <c r="F58" i="112"/>
  <c r="E58" i="112"/>
  <c r="D58" i="112"/>
  <c r="C58" i="112"/>
  <c r="P57" i="112"/>
  <c r="O57" i="112"/>
  <c r="P56" i="112"/>
  <c r="O56" i="112"/>
  <c r="P55" i="112"/>
  <c r="O55" i="112"/>
  <c r="P54" i="112"/>
  <c r="AF21" i="112" s="1"/>
  <c r="O54" i="112"/>
  <c r="P53" i="112"/>
  <c r="O53" i="112"/>
  <c r="P52" i="112"/>
  <c r="O52" i="112"/>
  <c r="P51" i="112"/>
  <c r="O51" i="112"/>
  <c r="P50" i="112"/>
  <c r="AF20" i="112" s="1"/>
  <c r="O50" i="112"/>
  <c r="P49" i="112"/>
  <c r="O49" i="112"/>
  <c r="P48" i="112"/>
  <c r="O48" i="112"/>
  <c r="P47" i="112"/>
  <c r="O47" i="112"/>
  <c r="P46" i="112"/>
  <c r="AF19" i="112" s="1"/>
  <c r="O46" i="112"/>
  <c r="P45" i="112"/>
  <c r="O45" i="112"/>
  <c r="P44" i="112"/>
  <c r="O44" i="112"/>
  <c r="P43" i="112"/>
  <c r="O43" i="112"/>
  <c r="P42" i="112"/>
  <c r="AF18" i="112" s="1"/>
  <c r="O42" i="112"/>
  <c r="P41" i="112"/>
  <c r="O41" i="112"/>
  <c r="P40" i="112"/>
  <c r="O40" i="112"/>
  <c r="P39" i="112"/>
  <c r="O39" i="112"/>
  <c r="P38" i="112"/>
  <c r="AF17" i="112" s="1"/>
  <c r="O38" i="112"/>
  <c r="P37" i="112"/>
  <c r="O37" i="112"/>
  <c r="P36" i="112"/>
  <c r="O36" i="112"/>
  <c r="P35" i="112"/>
  <c r="O35" i="112"/>
  <c r="P34" i="112"/>
  <c r="AF16" i="112" s="1"/>
  <c r="O34" i="112"/>
  <c r="P33" i="112"/>
  <c r="O33" i="112"/>
  <c r="P32" i="112"/>
  <c r="O32" i="112"/>
  <c r="P31" i="112"/>
  <c r="O31" i="112"/>
  <c r="P30" i="112"/>
  <c r="AF15" i="112" s="1"/>
  <c r="O30" i="112"/>
  <c r="P29" i="112"/>
  <c r="O29" i="112"/>
  <c r="P28" i="112"/>
  <c r="O28" i="112"/>
  <c r="P27" i="112"/>
  <c r="O27" i="112"/>
  <c r="P26" i="112"/>
  <c r="AF14" i="112" s="1"/>
  <c r="O26" i="112"/>
  <c r="P25" i="112"/>
  <c r="O25" i="112"/>
  <c r="P24" i="112"/>
  <c r="O24" i="112"/>
  <c r="P23" i="112"/>
  <c r="O23" i="112"/>
  <c r="P22" i="112"/>
  <c r="AF13" i="112" s="1"/>
  <c r="AF26" i="112" s="1"/>
  <c r="O22" i="112"/>
  <c r="AE21" i="112"/>
  <c r="AD21" i="112"/>
  <c r="AC21" i="112"/>
  <c r="AB21" i="112"/>
  <c r="AA21" i="112"/>
  <c r="Z21" i="112"/>
  <c r="Y21" i="112"/>
  <c r="X21" i="112"/>
  <c r="W21" i="112"/>
  <c r="V21" i="112"/>
  <c r="U21" i="112"/>
  <c r="T21" i="112"/>
  <c r="S21" i="112"/>
  <c r="P21" i="112"/>
  <c r="O21" i="112"/>
  <c r="AE20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E19" i="112"/>
  <c r="AE27" i="112" s="1"/>
  <c r="AD19" i="112"/>
  <c r="AD27" i="112" s="1"/>
  <c r="AC19" i="112"/>
  <c r="AC27" i="112" s="1"/>
  <c r="AB19" i="112"/>
  <c r="AB27" i="112" s="1"/>
  <c r="AA19" i="112"/>
  <c r="AA27" i="112" s="1"/>
  <c r="Z19" i="112"/>
  <c r="Z27" i="112" s="1"/>
  <c r="Y19" i="112"/>
  <c r="Y27" i="112" s="1"/>
  <c r="X19" i="112"/>
  <c r="X27" i="112" s="1"/>
  <c r="W19" i="112"/>
  <c r="W27" i="112" s="1"/>
  <c r="V19" i="112"/>
  <c r="V27" i="112" s="1"/>
  <c r="U19" i="112"/>
  <c r="U27" i="112" s="1"/>
  <c r="T19" i="112"/>
  <c r="T27" i="112" s="1"/>
  <c r="S19" i="112"/>
  <c r="S27" i="112" s="1"/>
  <c r="P19" i="112"/>
  <c r="O19" i="112"/>
  <c r="AE18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AF12" i="112" s="1"/>
  <c r="O18" i="112"/>
  <c r="AE17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O17" i="112"/>
  <c r="AE16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E15" i="112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E14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AF11" i="112" s="1"/>
  <c r="O14" i="112"/>
  <c r="AE13" i="112"/>
  <c r="AE26" i="112" s="1"/>
  <c r="AD13" i="112"/>
  <c r="AD26" i="112" s="1"/>
  <c r="AC13" i="112"/>
  <c r="AC26" i="112" s="1"/>
  <c r="AB13" i="112"/>
  <c r="AB26" i="112" s="1"/>
  <c r="AA13" i="112"/>
  <c r="AA26" i="112" s="1"/>
  <c r="Z13" i="112"/>
  <c r="Z26" i="112" s="1"/>
  <c r="Y13" i="112"/>
  <c r="Y26" i="112" s="1"/>
  <c r="X13" i="112"/>
  <c r="X26" i="112" s="1"/>
  <c r="W13" i="112"/>
  <c r="W26" i="112" s="1"/>
  <c r="V13" i="112"/>
  <c r="V26" i="112" s="1"/>
  <c r="U13" i="112"/>
  <c r="U26" i="112" s="1"/>
  <c r="T13" i="112"/>
  <c r="T26" i="112" s="1"/>
  <c r="S13" i="112"/>
  <c r="S26" i="112" s="1"/>
  <c r="P13" i="112"/>
  <c r="O13" i="112"/>
  <c r="AE12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C10" i="112"/>
  <c r="AB10" i="112"/>
  <c r="AB28" i="112" s="1"/>
  <c r="AA10" i="112"/>
  <c r="AA28" i="112" s="1"/>
  <c r="Z10" i="112"/>
  <c r="Y10" i="112"/>
  <c r="X10" i="112"/>
  <c r="X28" i="112" s="1"/>
  <c r="W10" i="112"/>
  <c r="W28" i="112" s="1"/>
  <c r="V10" i="112"/>
  <c r="U10" i="112"/>
  <c r="T10" i="112"/>
  <c r="T28" i="112" s="1"/>
  <c r="S10" i="112"/>
  <c r="S28" i="112" s="1"/>
  <c r="P10" i="112"/>
  <c r="O10" i="112"/>
  <c r="G6" i="112"/>
  <c r="D6" i="112"/>
  <c r="C3" i="112"/>
  <c r="O61" i="105"/>
  <c r="O62" i="105"/>
  <c r="O15" i="93"/>
  <c r="P15" i="93"/>
  <c r="D5" i="94"/>
  <c r="O14" i="101"/>
  <c r="G6" i="96"/>
  <c r="D6" i="96"/>
  <c r="C3" i="94"/>
  <c r="AF27" i="112" l="1"/>
  <c r="Y28" i="112"/>
  <c r="AC28" i="112"/>
  <c r="S28" i="113"/>
  <c r="W28" i="113"/>
  <c r="AA28" i="113"/>
  <c r="Z28" i="112"/>
  <c r="AD28" i="112"/>
  <c r="AE11" i="112"/>
  <c r="T28" i="113"/>
  <c r="X28" i="113"/>
  <c r="AB28" i="113"/>
  <c r="O58" i="112"/>
  <c r="N60" i="112" s="1"/>
  <c r="U28" i="112"/>
  <c r="P58" i="112"/>
  <c r="E59" i="112" s="1"/>
  <c r="V28" i="112"/>
  <c r="D60" i="112"/>
  <c r="D60" i="113"/>
  <c r="F60" i="113"/>
  <c r="H60" i="113"/>
  <c r="J60" i="113"/>
  <c r="L60" i="113"/>
  <c r="N59" i="113"/>
  <c r="C60" i="113"/>
  <c r="E60" i="113"/>
  <c r="G60" i="113"/>
  <c r="I60" i="113"/>
  <c r="K60" i="113"/>
  <c r="M59" i="113"/>
  <c r="AE10" i="113"/>
  <c r="S22" i="113"/>
  <c r="U22" i="113"/>
  <c r="W22" i="113"/>
  <c r="Y22" i="113"/>
  <c r="AA22" i="113"/>
  <c r="AC22" i="113"/>
  <c r="S23" i="113"/>
  <c r="U23" i="113"/>
  <c r="W23" i="113"/>
  <c r="Y23" i="113"/>
  <c r="AA23" i="113"/>
  <c r="AC23" i="113"/>
  <c r="AE23" i="113"/>
  <c r="S24" i="113"/>
  <c r="U24" i="113"/>
  <c r="W24" i="113"/>
  <c r="Y24" i="113"/>
  <c r="AA24" i="113"/>
  <c r="AC24" i="113"/>
  <c r="AE24" i="113"/>
  <c r="S25" i="113"/>
  <c r="U25" i="113"/>
  <c r="W25" i="113"/>
  <c r="Y25" i="113"/>
  <c r="AA25" i="113"/>
  <c r="AC25" i="113"/>
  <c r="C59" i="113"/>
  <c r="E59" i="113"/>
  <c r="G59" i="113"/>
  <c r="I59" i="113"/>
  <c r="K59" i="113"/>
  <c r="N60" i="113"/>
  <c r="AF10" i="113"/>
  <c r="T22" i="113"/>
  <c r="V22" i="113"/>
  <c r="X22" i="113"/>
  <c r="Z22" i="113"/>
  <c r="AB22" i="113"/>
  <c r="AD22" i="113"/>
  <c r="T23" i="113"/>
  <c r="V23" i="113"/>
  <c r="X23" i="113"/>
  <c r="Z23" i="113"/>
  <c r="AB23" i="113"/>
  <c r="AD23" i="113"/>
  <c r="AF23" i="113"/>
  <c r="T24" i="113"/>
  <c r="V24" i="113"/>
  <c r="X24" i="113"/>
  <c r="Z24" i="113"/>
  <c r="AB24" i="113"/>
  <c r="AD24" i="113"/>
  <c r="AF24" i="113"/>
  <c r="T25" i="113"/>
  <c r="V25" i="113"/>
  <c r="X25" i="113"/>
  <c r="Z25" i="113"/>
  <c r="AB25" i="113"/>
  <c r="AD25" i="113"/>
  <c r="D59" i="113"/>
  <c r="F59" i="113"/>
  <c r="H59" i="113"/>
  <c r="J59" i="113"/>
  <c r="L59" i="113"/>
  <c r="N59" i="112"/>
  <c r="E60" i="112"/>
  <c r="I60" i="112"/>
  <c r="M59" i="112"/>
  <c r="AE10" i="112"/>
  <c r="S22" i="112"/>
  <c r="U22" i="112"/>
  <c r="W22" i="112"/>
  <c r="Y22" i="112"/>
  <c r="AA22" i="112"/>
  <c r="AC22" i="112"/>
  <c r="S23" i="112"/>
  <c r="U23" i="112"/>
  <c r="W23" i="112"/>
  <c r="Y23" i="112"/>
  <c r="AA23" i="112"/>
  <c r="AC23" i="112"/>
  <c r="AE23" i="112"/>
  <c r="S24" i="112"/>
  <c r="U24" i="112"/>
  <c r="W24" i="112"/>
  <c r="Y24" i="112"/>
  <c r="AA24" i="112"/>
  <c r="AC24" i="112"/>
  <c r="AE24" i="112"/>
  <c r="S25" i="112"/>
  <c r="U25" i="112"/>
  <c r="W25" i="112"/>
  <c r="Y25" i="112"/>
  <c r="AA25" i="112"/>
  <c r="AC25" i="112"/>
  <c r="C59" i="112"/>
  <c r="G59" i="112"/>
  <c r="K59" i="112"/>
  <c r="AF10" i="112"/>
  <c r="T22" i="112"/>
  <c r="V22" i="112"/>
  <c r="X22" i="112"/>
  <c r="Z22" i="112"/>
  <c r="AB22" i="112"/>
  <c r="AD22" i="112"/>
  <c r="T23" i="112"/>
  <c r="V23" i="112"/>
  <c r="X23" i="112"/>
  <c r="Z23" i="112"/>
  <c r="AB23" i="112"/>
  <c r="AD23" i="112"/>
  <c r="AF23" i="112"/>
  <c r="T24" i="112"/>
  <c r="V24" i="112"/>
  <c r="X24" i="112"/>
  <c r="Z24" i="112"/>
  <c r="AB24" i="112"/>
  <c r="AD24" i="112"/>
  <c r="AF24" i="112"/>
  <c r="T25" i="112"/>
  <c r="V25" i="112"/>
  <c r="X25" i="112"/>
  <c r="Z25" i="112"/>
  <c r="AB25" i="112"/>
  <c r="AD25" i="112"/>
  <c r="D59" i="112"/>
  <c r="H59" i="112"/>
  <c r="L59" i="112"/>
  <c r="K6" i="98"/>
  <c r="K6" i="99" s="1"/>
  <c r="K6" i="100" s="1"/>
  <c r="K6" i="101" s="1"/>
  <c r="K6" i="109" s="1"/>
  <c r="K6" i="105" s="1"/>
  <c r="K6" i="110" s="1"/>
  <c r="K5" i="98"/>
  <c r="K5" i="99" s="1"/>
  <c r="K5" i="100" s="1"/>
  <c r="K5" i="101" s="1"/>
  <c r="K5" i="109" s="1"/>
  <c r="K5" i="105" s="1"/>
  <c r="K5" i="110" s="1"/>
  <c r="G5" i="98"/>
  <c r="G5" i="99" s="1"/>
  <c r="G5" i="100" s="1"/>
  <c r="G5" i="101" s="1"/>
  <c r="G5" i="109" s="1"/>
  <c r="G5" i="105" s="1"/>
  <c r="G5" i="110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9"/>
  <c r="G6" i="100"/>
  <c r="G6" i="98"/>
  <c r="G6" i="107"/>
  <c r="G6" i="105"/>
  <c r="G6" i="101"/>
  <c r="G6" i="99"/>
  <c r="G6" i="97"/>
  <c r="G6" i="95"/>
  <c r="D6" i="104"/>
  <c r="D6" i="108" s="1"/>
  <c r="D6" i="110"/>
  <c r="D6" i="109"/>
  <c r="D6" i="100"/>
  <c r="D6" i="98"/>
  <c r="D6" i="107"/>
  <c r="D6" i="105"/>
  <c r="D6" i="101"/>
  <c r="D6" i="99"/>
  <c r="D6" i="97"/>
  <c r="D6" i="95"/>
  <c r="D5" i="104"/>
  <c r="D5" i="110"/>
  <c r="D5" i="109"/>
  <c r="D5" i="100"/>
  <c r="D5" i="98"/>
  <c r="D5" i="96"/>
  <c r="K5" i="103" l="1"/>
  <c r="K5" i="112"/>
  <c r="K5" i="113"/>
  <c r="G5" i="103"/>
  <c r="G5" i="112"/>
  <c r="G5" i="113"/>
  <c r="J59" i="112"/>
  <c r="F59" i="112"/>
  <c r="I59" i="112"/>
  <c r="K60" i="112"/>
  <c r="G60" i="112"/>
  <c r="C60" i="112"/>
  <c r="L60" i="112"/>
  <c r="H60" i="112"/>
  <c r="J60" i="112"/>
  <c r="F60" i="112"/>
  <c r="AE28" i="113"/>
  <c r="AE25" i="113"/>
  <c r="AE22" i="113"/>
  <c r="AF28" i="113"/>
  <c r="AF25" i="113"/>
  <c r="AF22" i="113"/>
  <c r="AF28" i="112"/>
  <c r="AF25" i="112"/>
  <c r="AF22" i="112"/>
  <c r="AE28" i="112"/>
  <c r="AE25" i="112"/>
  <c r="AE22" i="112"/>
  <c r="K6" i="104"/>
  <c r="K6" i="108" s="1"/>
  <c r="K6" i="111" s="1"/>
  <c r="K6" i="107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39" i="101" l="1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Y38" i="105" l="1"/>
  <c r="X36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G106" i="108"/>
  <c r="O10" i="108"/>
  <c r="AA26" i="94"/>
  <c r="P29" i="108"/>
  <c r="O16" i="108"/>
  <c r="P49" i="108"/>
  <c r="P22" i="108"/>
  <c r="O49" i="108"/>
  <c r="P43" i="108"/>
  <c r="O28" i="108"/>
  <c r="H106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K106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D10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L106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N106" i="108"/>
  <c r="J106" i="108"/>
  <c r="F106" i="108"/>
  <c r="O41" i="108"/>
  <c r="O33" i="108"/>
  <c r="O25" i="108"/>
  <c r="O23" i="108"/>
  <c r="O19" i="108"/>
  <c r="O15" i="108"/>
  <c r="C106" i="108"/>
  <c r="M106" i="108"/>
  <c r="I106" i="108"/>
  <c r="E106" i="108"/>
  <c r="P50" i="108"/>
  <c r="P42" i="108"/>
  <c r="P34" i="108"/>
  <c r="O54" i="108"/>
  <c r="O42" i="108"/>
  <c r="O34" i="108"/>
  <c r="P18" i="108"/>
  <c r="Z38" i="105"/>
  <c r="V38" i="105"/>
  <c r="C106" i="107"/>
  <c r="K106" i="107"/>
  <c r="I106" i="107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N106" i="107"/>
  <c r="L106" i="107"/>
  <c r="J106" i="107"/>
  <c r="H106" i="107"/>
  <c r="F106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M106" i="107"/>
  <c r="E106" i="107"/>
  <c r="AB38" i="105"/>
  <c r="T38" i="105"/>
  <c r="D106" i="107"/>
  <c r="G106" i="107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24" i="98" l="1"/>
  <c r="O47" i="111"/>
  <c r="O52" i="111"/>
  <c r="D106" i="111"/>
  <c r="L106" i="111"/>
  <c r="O12" i="111"/>
  <c r="P26" i="111"/>
  <c r="P46" i="111"/>
  <c r="P10" i="111"/>
  <c r="O22" i="111"/>
  <c r="P31" i="111"/>
  <c r="N106" i="111"/>
  <c r="J106" i="111"/>
  <c r="O34" i="111"/>
  <c r="M106" i="111"/>
  <c r="P17" i="111"/>
  <c r="O21" i="111"/>
  <c r="O37" i="111"/>
  <c r="P41" i="111"/>
  <c r="O42" i="111"/>
  <c r="P53" i="111"/>
  <c r="H106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F106" i="111"/>
  <c r="O10" i="111"/>
  <c r="C108" i="110"/>
  <c r="E106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C106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I106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G106" i="111"/>
  <c r="K106" i="111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O106" i="108"/>
  <c r="H108" i="108" s="1"/>
  <c r="P106" i="107"/>
  <c r="C107" i="107" s="1"/>
  <c r="F107" i="105"/>
  <c r="P106" i="108"/>
  <c r="H107" i="108" s="1"/>
  <c r="E107" i="105"/>
  <c r="D107" i="105"/>
  <c r="C107" i="105"/>
  <c r="AF35" i="105"/>
  <c r="O106" i="107"/>
  <c r="H108" i="107" s="1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O106" i="111" l="1"/>
  <c r="K108" i="111" s="1"/>
  <c r="P106" i="111"/>
  <c r="N107" i="111" s="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<sst xmlns="http://schemas.openxmlformats.org/spreadsheetml/2006/main" count="2550" uniqueCount="178">
  <si>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</si>
  <si>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</si>
  <si>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</si>
  <si>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</si>
  <si>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</si>
  <si>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</si>
  <si>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</si>
  <si>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</si>
  <si>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</si>
  <si>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</si>
  <si>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</si>
  <si>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</si>
  <si>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</si>
  <si>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</si>
  <si>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</si>
  <si>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</si>
  <si>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</si>
  <si>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</si>
  <si>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</si>
  <si>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</si>
  <si>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</si>
  <si>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</si>
  <si>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</si>
  <si>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</si>
  <si>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</si>
  <si>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</si>
  <si>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</si>
  <si>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</si>
  <si>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</si>
  <si>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</si>
  <si>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</si>
  <si>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</si>
  <si>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</si>
  <si>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</si>
  <si>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</si>
  <si>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</si>
  <si>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</si>
  <si>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</si>
  <si>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</si>
  <si>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</si>
  <si>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</si>
  <si>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</si>
  <si>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</si>
  <si>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</si>
  <si>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</si>
  <si>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</si>
  <si>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</si>
  <si>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</si>
  <si>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</si>
  <si>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</si>
  <si>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</si>
  <si>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</si>
  <si>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</si>
  <si>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</si>
  <si>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</si>
  <si>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</si>
  <si>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</si>
  <si>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</si>
  <si>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</si>
  <si>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</si>
  <si>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</si>
  <si>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</si>
  <si>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</si>
  <si>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</si>
  <si>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</si>
  <si>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</si>
  <si>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</si>
  <si>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</si>
  <si>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</si>
  <si>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</si>
  <si>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</si>
  <si>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</si>
  <si>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</si>
  <si>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</si>
  <si>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</si>
  <si>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</si>
  <si>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</si>
  <si>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</si>
  <si>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</si>
  <si>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</si>
  <si>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</si>
  <si>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</si>
  <si>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</si>
  <si>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</si>
  <si>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</si>
  <si>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</si>
  <si>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</si>
  <si>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</si>
  <si>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</si>
  <si>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</si>
  <si>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</si>
  <si>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</si>
  <si>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</si>
  <si>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</si>
  <si>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</si>
  <si>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</si>
  <si>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</si>
  <si>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</si>
  <si>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</si>
  <si>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</si>
  <si>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</si>
  <si>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</si>
  <si>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</si>
  <si>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</si>
  <si>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</si>
  <si>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</si>
  <si>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</si>
  <si>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</si>
  <si>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</si>
  <si>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</si>
  <si>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</si>
  <si>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</si>
  <si>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</si>
  <si>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</si>
  <si>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</si>
  <si>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</si>
  <si>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</si>
  <si>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</si>
  <si>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</si>
  <si>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</si>
  <si>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</si>
  <si>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</si>
  <si>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</si>
  <si>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</si>
  <si>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</si>
  <si>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</si>
  <si>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</si>
  <si>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</si>
  <si>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</si>
  <si>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</si>
  <si>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</si>
  <si>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</si>
  <si>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</si>
  <si>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</si>
  <si>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</si>
  <si>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</si>
  <si>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</si>
  <si>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</si>
  <si>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</si>
  <si>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</si>
  <si>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</si>
  <si>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</si>
  <si>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</si>
  <si>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</si>
  <si>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</si>
  <si>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</si>
  <si>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</si>
  <si>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</si>
  <si>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</si>
  <si>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</si>
  <si>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</si>
  <si>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</si>
  <si>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</si>
  <si>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</si>
  <si>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</si>
  <si>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</si>
  <si>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</si>
  <si>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</si>
  <si>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</si>
  <si>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</si>
  <si>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</si>
  <si>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</si>
  <si>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28.07.19</t>
  </si>
  <si>
    <t>AVERAGE WEEK</t>
  </si>
  <si>
    <t>MCC - C1 - STN029 - RING ROAD</t>
  </si>
  <si>
    <t>NSOOBA</t>
  </si>
  <si>
    <t>KYEBANDO</t>
  </si>
  <si>
    <t>NAKAWA JULIET</t>
  </si>
  <si>
    <t>STEVEN</t>
  </si>
  <si>
    <t>29.07.19</t>
  </si>
  <si>
    <t>30.08.19</t>
  </si>
  <si>
    <t>31.07.19</t>
  </si>
  <si>
    <t>01.08.19</t>
  </si>
  <si>
    <t>02.07.19</t>
  </si>
  <si>
    <t>04.08.19</t>
  </si>
  <si>
    <t>EMMA</t>
  </si>
  <si>
    <t>04.07.19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</si>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</sst>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DF67A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5" borderId="0" xfId="0" applyFill="1"/>
    <xf numFmtId="1" fontId="0" fillId="6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EDF67A"/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NSOOBA-KYEBANDO'!$AE$10:$AE$21</c:f>
              <c:numCache>
                <c:formatCode>0</c:formatCode>
                <c:ptCount val="12"/>
                <c:pt idx="0">
                  <c:v>382</c:v>
                </c:pt>
                <c:pt idx="1">
                  <c:v>430</c:v>
                </c:pt>
                <c:pt idx="2">
                  <c:v>354</c:v>
                </c:pt>
                <c:pt idx="3">
                  <c:v>280</c:v>
                </c:pt>
                <c:pt idx="4">
                  <c:v>173</c:v>
                </c:pt>
                <c:pt idx="5">
                  <c:v>178</c:v>
                </c:pt>
                <c:pt idx="6">
                  <c:v>150</c:v>
                </c:pt>
                <c:pt idx="7">
                  <c:v>104</c:v>
                </c:pt>
                <c:pt idx="8">
                  <c:v>138</c:v>
                </c:pt>
                <c:pt idx="9">
                  <c:v>134</c:v>
                </c:pt>
                <c:pt idx="10">
                  <c:v>154</c:v>
                </c:pt>
                <c:pt idx="11">
                  <c:v>133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NSOOBA-KYEBANDO'!$AF$10:$AF$21</c:f>
              <c:numCache>
                <c:formatCode>0</c:formatCode>
                <c:ptCount val="12"/>
                <c:pt idx="0">
                  <c:v>585</c:v>
                </c:pt>
                <c:pt idx="1">
                  <c:v>1089</c:v>
                </c:pt>
                <c:pt idx="2">
                  <c:v>844</c:v>
                </c:pt>
                <c:pt idx="3">
                  <c:v>598</c:v>
                </c:pt>
                <c:pt idx="4">
                  <c:v>418</c:v>
                </c:pt>
                <c:pt idx="5">
                  <c:v>349</c:v>
                </c:pt>
                <c:pt idx="6">
                  <c:v>333</c:v>
                </c:pt>
                <c:pt idx="7">
                  <c:v>260</c:v>
                </c:pt>
                <c:pt idx="8">
                  <c:v>354</c:v>
                </c:pt>
                <c:pt idx="9">
                  <c:v>339</c:v>
                </c:pt>
                <c:pt idx="10">
                  <c:v>382</c:v>
                </c:pt>
                <c:pt idx="11">
                  <c:v>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371072"/>
        <c:axId val="121066624"/>
      </c:lineChart>
      <c:catAx>
        <c:axId val="120371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066624"/>
        <c:crosses val="autoZero"/>
        <c:auto val="1"/>
        <c:lblAlgn val="ctr"/>
        <c:lblOffset val="100"/>
        <c:noMultiLvlLbl val="0"/>
      </c:catAx>
      <c:valAx>
        <c:axId val="1210666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37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NSOOBA-KYEBANDO'!$C$59:$N$59</c:f>
              <c:numCache>
                <c:formatCode>0.0%</c:formatCode>
                <c:ptCount val="12"/>
                <c:pt idx="0">
                  <c:v>0.23185483870967741</c:v>
                </c:pt>
                <c:pt idx="1">
                  <c:v>5.1243279569892476E-2</c:v>
                </c:pt>
                <c:pt idx="2">
                  <c:v>2.3353494623655914E-2</c:v>
                </c:pt>
                <c:pt idx="3">
                  <c:v>8.5349462365591391E-2</c:v>
                </c:pt>
                <c:pt idx="4">
                  <c:v>1.6801075268817205E-3</c:v>
                </c:pt>
                <c:pt idx="5">
                  <c:v>5.0403225806451612E-4</c:v>
                </c:pt>
                <c:pt idx="6">
                  <c:v>3.4946236559139782E-2</c:v>
                </c:pt>
                <c:pt idx="7">
                  <c:v>6.384408602150538E-3</c:v>
                </c:pt>
                <c:pt idx="8">
                  <c:v>2.5201612903225806E-3</c:v>
                </c:pt>
                <c:pt idx="9">
                  <c:v>1.6801075268817206E-4</c:v>
                </c:pt>
                <c:pt idx="10">
                  <c:v>0.561491935483871</c:v>
                </c:pt>
                <c:pt idx="11">
                  <c:v>5.0403225806451612E-4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NSOOBA-KYEBANDO'!$C$60:$N$60</c:f>
              <c:numCache>
                <c:formatCode>0.00%</c:formatCode>
                <c:ptCount val="12"/>
                <c:pt idx="0">
                  <c:v>0.52873563218390807</c:v>
                </c:pt>
                <c:pt idx="1">
                  <c:v>0.11685823754789272</c:v>
                </c:pt>
                <c:pt idx="2">
                  <c:v>5.3256704980842909E-2</c:v>
                </c:pt>
                <c:pt idx="3">
                  <c:v>0.19463601532567049</c:v>
                </c:pt>
                <c:pt idx="4">
                  <c:v>3.8314176245210726E-3</c:v>
                </c:pt>
                <c:pt idx="5">
                  <c:v>1.1494252873563218E-3</c:v>
                </c:pt>
                <c:pt idx="6">
                  <c:v>7.9693486590038318E-2</c:v>
                </c:pt>
                <c:pt idx="7">
                  <c:v>1.4559386973180077E-2</c:v>
                </c:pt>
                <c:pt idx="8">
                  <c:v>5.7471264367816091E-3</c:v>
                </c:pt>
                <c:pt idx="9">
                  <c:v>3.8314176245210729E-4</c:v>
                </c:pt>
                <c:pt idx="11">
                  <c:v>1.1494252873563218E-3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KYEBANDO-NSOOBA'!$AE$10:$AE$21</c:f>
              <c:numCache>
                <c:formatCode>0</c:formatCode>
                <c:ptCount val="12"/>
                <c:pt idx="0">
                  <c:v>255</c:v>
                </c:pt>
                <c:pt idx="1">
                  <c:v>107</c:v>
                </c:pt>
                <c:pt idx="2">
                  <c:v>191</c:v>
                </c:pt>
                <c:pt idx="3">
                  <c:v>244</c:v>
                </c:pt>
                <c:pt idx="4">
                  <c:v>227</c:v>
                </c:pt>
                <c:pt idx="5">
                  <c:v>229</c:v>
                </c:pt>
                <c:pt idx="6">
                  <c:v>237</c:v>
                </c:pt>
                <c:pt idx="7">
                  <c:v>222</c:v>
                </c:pt>
                <c:pt idx="8">
                  <c:v>257</c:v>
                </c:pt>
                <c:pt idx="9">
                  <c:v>374</c:v>
                </c:pt>
                <c:pt idx="10">
                  <c:v>415</c:v>
                </c:pt>
                <c:pt idx="11">
                  <c:v>243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KYEBANDO-NSOOBA'!$AF$10:$AF$21</c:f>
              <c:numCache>
                <c:formatCode>0</c:formatCode>
                <c:ptCount val="12"/>
                <c:pt idx="0">
                  <c:v>516</c:v>
                </c:pt>
                <c:pt idx="1">
                  <c:v>415</c:v>
                </c:pt>
                <c:pt idx="2">
                  <c:v>528</c:v>
                </c:pt>
                <c:pt idx="3">
                  <c:v>578</c:v>
                </c:pt>
                <c:pt idx="4">
                  <c:v>535</c:v>
                </c:pt>
                <c:pt idx="5">
                  <c:v>490</c:v>
                </c:pt>
                <c:pt idx="6">
                  <c:v>466</c:v>
                </c:pt>
                <c:pt idx="7">
                  <c:v>463</c:v>
                </c:pt>
                <c:pt idx="8">
                  <c:v>517</c:v>
                </c:pt>
                <c:pt idx="9">
                  <c:v>645</c:v>
                </c:pt>
                <c:pt idx="10">
                  <c:v>822</c:v>
                </c:pt>
                <c:pt idx="11">
                  <c:v>623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036224"/>
        <c:axId val="193041152"/>
      </c:lineChart>
      <c:catAx>
        <c:axId val="186036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041152"/>
        <c:crosses val="autoZero"/>
        <c:auto val="1"/>
        <c:lblAlgn val="ctr"/>
        <c:lblOffset val="100"/>
        <c:noMultiLvlLbl val="0"/>
      </c:catAx>
      <c:valAx>
        <c:axId val="193041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03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KYEBANDO-NSOOBA'!$C$59:$N$59</c:f>
              <c:numCache>
                <c:formatCode>0.0%</c:formatCode>
                <c:ptCount val="12"/>
                <c:pt idx="0">
                  <c:v>0.22703849651409519</c:v>
                </c:pt>
                <c:pt idx="1">
                  <c:v>4.9863595028796608E-2</c:v>
                </c:pt>
                <c:pt idx="2">
                  <c:v>4.925735071233707E-2</c:v>
                </c:pt>
                <c:pt idx="3">
                  <c:v>6.9566535313731429E-2</c:v>
                </c:pt>
                <c:pt idx="4">
                  <c:v>2.576538344953016E-3</c:v>
                </c:pt>
                <c:pt idx="5">
                  <c:v>9.093664746892998E-4</c:v>
                </c:pt>
                <c:pt idx="6">
                  <c:v>3.9557441648984538E-2</c:v>
                </c:pt>
                <c:pt idx="7">
                  <c:v>1.1973325250075781E-2</c:v>
                </c:pt>
                <c:pt idx="8">
                  <c:v>3.6374658987571992E-3</c:v>
                </c:pt>
                <c:pt idx="9">
                  <c:v>4.546832373446499E-4</c:v>
                </c:pt>
                <c:pt idx="10">
                  <c:v>0.54516520157623527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KYEBANDO-NSOOBA'!$S$9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KYEBANDO-NSOOBA'!$S$10:$S$21</c:f>
              <c:numCache>
                <c:formatCode>0</c:formatCode>
                <c:ptCount val="12"/>
                <c:pt idx="0">
                  <c:v>154</c:v>
                </c:pt>
                <c:pt idx="1">
                  <c:v>59</c:v>
                </c:pt>
                <c:pt idx="2">
                  <c:v>80</c:v>
                </c:pt>
                <c:pt idx="3">
                  <c:v>92</c:v>
                </c:pt>
                <c:pt idx="4">
                  <c:v>94</c:v>
                </c:pt>
                <c:pt idx="5">
                  <c:v>101</c:v>
                </c:pt>
                <c:pt idx="6">
                  <c:v>115</c:v>
                </c:pt>
                <c:pt idx="7">
                  <c:v>111</c:v>
                </c:pt>
                <c:pt idx="8">
                  <c:v>131</c:v>
                </c:pt>
                <c:pt idx="9">
                  <c:v>177</c:v>
                </c:pt>
                <c:pt idx="10">
                  <c:v>252</c:v>
                </c:pt>
                <c:pt idx="11">
                  <c:v>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KYEBANDO-NSOOBA'!$T$9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KYEBANDO-NSOOBA'!$T$10:$T$21</c:f>
              <c:numCache>
                <c:formatCode>0</c:formatCode>
                <c:ptCount val="12"/>
                <c:pt idx="0">
                  <c:v>28</c:v>
                </c:pt>
                <c:pt idx="1">
                  <c:v>5</c:v>
                </c:pt>
                <c:pt idx="2">
                  <c:v>16</c:v>
                </c:pt>
                <c:pt idx="3">
                  <c:v>30</c:v>
                </c:pt>
                <c:pt idx="4">
                  <c:v>33</c:v>
                </c:pt>
                <c:pt idx="5">
                  <c:v>30</c:v>
                </c:pt>
                <c:pt idx="6">
                  <c:v>21</c:v>
                </c:pt>
                <c:pt idx="7">
                  <c:v>28</c:v>
                </c:pt>
                <c:pt idx="8">
                  <c:v>27</c:v>
                </c:pt>
                <c:pt idx="9">
                  <c:v>47</c:v>
                </c:pt>
                <c:pt idx="10">
                  <c:v>37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KYEBANDO-NSOOBA'!$U$9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KYEBANDO-NSOOBA'!$U$10:$U$21</c:f>
              <c:numCache>
                <c:formatCode>0</c:formatCode>
                <c:ptCount val="12"/>
                <c:pt idx="0">
                  <c:v>22</c:v>
                </c:pt>
                <c:pt idx="1">
                  <c:v>13</c:v>
                </c:pt>
                <c:pt idx="2">
                  <c:v>15</c:v>
                </c:pt>
                <c:pt idx="3">
                  <c:v>32</c:v>
                </c:pt>
                <c:pt idx="4">
                  <c:v>37</c:v>
                </c:pt>
                <c:pt idx="5">
                  <c:v>25</c:v>
                </c:pt>
                <c:pt idx="6">
                  <c:v>30</c:v>
                </c:pt>
                <c:pt idx="7">
                  <c:v>28</c:v>
                </c:pt>
                <c:pt idx="8">
                  <c:v>40</c:v>
                </c:pt>
                <c:pt idx="9">
                  <c:v>32</c:v>
                </c:pt>
                <c:pt idx="10">
                  <c:v>33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KYEBANDO-NSOOBA'!$V$9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KYEBANDO-NSOOBA'!$V$10:$V$21</c:f>
              <c:numCache>
                <c:formatCode>0</c:formatCode>
                <c:ptCount val="12"/>
                <c:pt idx="0">
                  <c:v>35</c:v>
                </c:pt>
                <c:pt idx="1">
                  <c:v>21</c:v>
                </c:pt>
                <c:pt idx="2">
                  <c:v>42</c:v>
                </c:pt>
                <c:pt idx="3">
                  <c:v>55</c:v>
                </c:pt>
                <c:pt idx="4">
                  <c:v>30</c:v>
                </c:pt>
                <c:pt idx="5">
                  <c:v>39</c:v>
                </c:pt>
                <c:pt idx="6">
                  <c:v>39</c:v>
                </c:pt>
                <c:pt idx="7">
                  <c:v>22</c:v>
                </c:pt>
                <c:pt idx="8">
                  <c:v>31</c:v>
                </c:pt>
                <c:pt idx="9">
                  <c:v>48</c:v>
                </c:pt>
                <c:pt idx="10">
                  <c:v>55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KYEBANDO-NSOOBA'!$W$9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KYEBANDO-NSOOBA'!$X$9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KYEBANDO-NSOOBA'!$Y$9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KYEBANDO-NSOOBA'!$Y$10:$Y$21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22</c:v>
                </c:pt>
                <c:pt idx="3">
                  <c:v>27</c:v>
                </c:pt>
                <c:pt idx="4">
                  <c:v>26</c:v>
                </c:pt>
                <c:pt idx="5">
                  <c:v>19</c:v>
                </c:pt>
                <c:pt idx="6">
                  <c:v>20</c:v>
                </c:pt>
                <c:pt idx="7">
                  <c:v>17</c:v>
                </c:pt>
                <c:pt idx="8">
                  <c:v>23</c:v>
                </c:pt>
                <c:pt idx="9">
                  <c:v>57</c:v>
                </c:pt>
                <c:pt idx="10">
                  <c:v>19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KYEBANDO-NSOOBA'!$Z$9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KYEBANDO-NSOOBA'!$Z$10:$Z$21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10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9</c:v>
                </c:pt>
                <c:pt idx="7">
                  <c:v>6</c:v>
                </c:pt>
                <c:pt idx="8">
                  <c:v>3</c:v>
                </c:pt>
                <c:pt idx="9">
                  <c:v>11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KYEBANDO-NSOOBA'!$AA$9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KYEBANDO-NSOOBA'!$AB$9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KYEBANDO-NSOOBA'!$AC$9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KYEBANDO-NSOOBA'!$AC$10:$AC$21</c:f>
              <c:numCache>
                <c:formatCode>0</c:formatCode>
                <c:ptCount val="12"/>
                <c:pt idx="0">
                  <c:v>261</c:v>
                </c:pt>
                <c:pt idx="1">
                  <c:v>308</c:v>
                </c:pt>
                <c:pt idx="2">
                  <c:v>337</c:v>
                </c:pt>
                <c:pt idx="3">
                  <c:v>334</c:v>
                </c:pt>
                <c:pt idx="4">
                  <c:v>308</c:v>
                </c:pt>
                <c:pt idx="5">
                  <c:v>261</c:v>
                </c:pt>
                <c:pt idx="6">
                  <c:v>229</c:v>
                </c:pt>
                <c:pt idx="7">
                  <c:v>241</c:v>
                </c:pt>
                <c:pt idx="8">
                  <c:v>260</c:v>
                </c:pt>
                <c:pt idx="9">
                  <c:v>271</c:v>
                </c:pt>
                <c:pt idx="10">
                  <c:v>407</c:v>
                </c:pt>
                <c:pt idx="11">
                  <c:v>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KYEBANDO-NSOOBA'!$AD$9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KYEBANDO-NSOOBA'!$AD$10:$AD$21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91680"/>
        <c:axId val="70393216"/>
      </c:lineChart>
      <c:catAx>
        <c:axId val="70391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393216"/>
        <c:crosses val="autoZero"/>
        <c:auto val="1"/>
        <c:lblAlgn val="ctr"/>
        <c:lblOffset val="100"/>
        <c:noMultiLvlLbl val="0"/>
      </c:catAx>
      <c:valAx>
        <c:axId val="7039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39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KYEBANDO-NSOOBA'!$C$60:$N$60</c:f>
              <c:numCache>
                <c:formatCode>0.00%</c:formatCode>
                <c:ptCount val="12"/>
                <c:pt idx="0">
                  <c:v>0.49916694435188269</c:v>
                </c:pt>
                <c:pt idx="1">
                  <c:v>0.10963012329223593</c:v>
                </c:pt>
                <c:pt idx="2">
                  <c:v>0.10829723425524825</c:v>
                </c:pt>
                <c:pt idx="3">
                  <c:v>0.15294901699433522</c:v>
                </c:pt>
                <c:pt idx="4">
                  <c:v>5.6647784071976008E-3</c:v>
                </c:pt>
                <c:pt idx="5">
                  <c:v>1.9993335554815061E-3</c:v>
                </c:pt>
                <c:pt idx="6">
                  <c:v>8.6971009663445523E-2</c:v>
                </c:pt>
                <c:pt idx="7">
                  <c:v>2.6324558480506497E-2</c:v>
                </c:pt>
                <c:pt idx="8">
                  <c:v>7.9973342219260245E-3</c:v>
                </c:pt>
                <c:pt idx="9">
                  <c:v>9.9966677774075306E-4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NSOOBA-KYEBANDO'!$AE$10:$AE$21</c:f>
              <c:numCache>
                <c:formatCode>0</c:formatCode>
                <c:ptCount val="12"/>
                <c:pt idx="0">
                  <c:v>646</c:v>
                </c:pt>
                <c:pt idx="1">
                  <c:v>471</c:v>
                </c:pt>
                <c:pt idx="2">
                  <c:v>305</c:v>
                </c:pt>
                <c:pt idx="3">
                  <c:v>226</c:v>
                </c:pt>
                <c:pt idx="4">
                  <c:v>174</c:v>
                </c:pt>
                <c:pt idx="5">
                  <c:v>139</c:v>
                </c:pt>
                <c:pt idx="6">
                  <c:v>116</c:v>
                </c:pt>
                <c:pt idx="7">
                  <c:v>92</c:v>
                </c:pt>
                <c:pt idx="8">
                  <c:v>132</c:v>
                </c:pt>
                <c:pt idx="9">
                  <c:v>143</c:v>
                </c:pt>
                <c:pt idx="10">
                  <c:v>123</c:v>
                </c:pt>
                <c:pt idx="11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NSOOBA-KYEBANDO'!$AF$10:$AF$21</c:f>
              <c:numCache>
                <c:formatCode>0</c:formatCode>
                <c:ptCount val="12"/>
                <c:pt idx="0">
                  <c:v>1167</c:v>
                </c:pt>
                <c:pt idx="1">
                  <c:v>999</c:v>
                </c:pt>
                <c:pt idx="2">
                  <c:v>763</c:v>
                </c:pt>
                <c:pt idx="3">
                  <c:v>508</c:v>
                </c:pt>
                <c:pt idx="4">
                  <c:v>373</c:v>
                </c:pt>
                <c:pt idx="5">
                  <c:v>319</c:v>
                </c:pt>
                <c:pt idx="6">
                  <c:v>254</c:v>
                </c:pt>
                <c:pt idx="7">
                  <c:v>262</c:v>
                </c:pt>
                <c:pt idx="8">
                  <c:v>253</c:v>
                </c:pt>
                <c:pt idx="9">
                  <c:v>335</c:v>
                </c:pt>
                <c:pt idx="10">
                  <c:v>327</c:v>
                </c:pt>
                <c:pt idx="11">
                  <c:v>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640000"/>
        <c:axId val="70641920"/>
      </c:lineChart>
      <c:catAx>
        <c:axId val="70640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641920"/>
        <c:crosses val="autoZero"/>
        <c:auto val="1"/>
        <c:lblAlgn val="ctr"/>
        <c:lblOffset val="100"/>
        <c:noMultiLvlLbl val="0"/>
      </c:catAx>
      <c:valAx>
        <c:axId val="70641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64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NSOOBA-KYEBANDO'!$C$59:$N$59</c:f>
              <c:numCache>
                <c:formatCode>0.0%</c:formatCode>
                <c:ptCount val="12"/>
                <c:pt idx="0">
                  <c:v>0.23900865727380749</c:v>
                </c:pt>
                <c:pt idx="1">
                  <c:v>5.3980648446783228E-2</c:v>
                </c:pt>
                <c:pt idx="2">
                  <c:v>2.5123069088439993E-2</c:v>
                </c:pt>
                <c:pt idx="3">
                  <c:v>0.10117127822101511</c:v>
                </c:pt>
                <c:pt idx="4">
                  <c:v>1.1882532676964861E-3</c:v>
                </c:pt>
                <c:pt idx="5">
                  <c:v>0</c:v>
                </c:pt>
                <c:pt idx="6">
                  <c:v>2.6820573756577832E-2</c:v>
                </c:pt>
                <c:pt idx="7">
                  <c:v>3.3950093362756749E-3</c:v>
                </c:pt>
                <c:pt idx="8">
                  <c:v>5.0925140044135125E-4</c:v>
                </c:pt>
                <c:pt idx="9">
                  <c:v>1.6975046681378373E-4</c:v>
                </c:pt>
                <c:pt idx="10">
                  <c:v>0.548633508742149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NSOOBA-KYEBANDO'!$S$9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NSOOBA-KYEBANDO'!$S$10:$S$21</c:f>
              <c:numCache>
                <c:formatCode>0</c:formatCode>
                <c:ptCount val="12"/>
                <c:pt idx="0">
                  <c:v>351</c:v>
                </c:pt>
                <c:pt idx="1">
                  <c:v>248</c:v>
                </c:pt>
                <c:pt idx="2">
                  <c:v>161</c:v>
                </c:pt>
                <c:pt idx="3">
                  <c:v>117</c:v>
                </c:pt>
                <c:pt idx="4">
                  <c:v>102</c:v>
                </c:pt>
                <c:pt idx="5">
                  <c:v>71</c:v>
                </c:pt>
                <c:pt idx="6">
                  <c:v>71</c:v>
                </c:pt>
                <c:pt idx="7">
                  <c:v>44</c:v>
                </c:pt>
                <c:pt idx="8">
                  <c:v>59</c:v>
                </c:pt>
                <c:pt idx="9">
                  <c:v>78</c:v>
                </c:pt>
                <c:pt idx="10">
                  <c:v>61</c:v>
                </c:pt>
                <c:pt idx="11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NSOOBA-KYEBANDO'!$T$9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NSOOBA-KYEBANDO'!$T$10:$T$21</c:f>
              <c:numCache>
                <c:formatCode>0</c:formatCode>
                <c:ptCount val="12"/>
                <c:pt idx="0">
                  <c:v>74</c:v>
                </c:pt>
                <c:pt idx="1">
                  <c:v>40</c:v>
                </c:pt>
                <c:pt idx="2">
                  <c:v>36</c:v>
                </c:pt>
                <c:pt idx="3">
                  <c:v>31</c:v>
                </c:pt>
                <c:pt idx="4">
                  <c:v>23</c:v>
                </c:pt>
                <c:pt idx="5">
                  <c:v>16</c:v>
                </c:pt>
                <c:pt idx="6">
                  <c:v>13</c:v>
                </c:pt>
                <c:pt idx="7">
                  <c:v>14</c:v>
                </c:pt>
                <c:pt idx="8">
                  <c:v>23</c:v>
                </c:pt>
                <c:pt idx="9">
                  <c:v>21</c:v>
                </c:pt>
                <c:pt idx="10">
                  <c:v>16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NSOOBA-KYEBANDO'!$U$9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NSOOBA-KYEBANDO'!$U$10:$U$21</c:f>
              <c:numCache>
                <c:formatCode>0</c:formatCode>
                <c:ptCount val="12"/>
                <c:pt idx="0">
                  <c:v>35</c:v>
                </c:pt>
                <c:pt idx="1">
                  <c:v>23</c:v>
                </c:pt>
                <c:pt idx="2">
                  <c:v>18</c:v>
                </c:pt>
                <c:pt idx="3">
                  <c:v>10</c:v>
                </c:pt>
                <c:pt idx="4">
                  <c:v>7</c:v>
                </c:pt>
                <c:pt idx="5">
                  <c:v>8</c:v>
                </c:pt>
                <c:pt idx="6">
                  <c:v>6</c:v>
                </c:pt>
                <c:pt idx="7">
                  <c:v>5</c:v>
                </c:pt>
                <c:pt idx="8">
                  <c:v>10</c:v>
                </c:pt>
                <c:pt idx="9">
                  <c:v>11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NSOOBA-KYEBANDO'!$V$9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NSOOBA-KYEBANDO'!$V$10:$V$21</c:f>
              <c:numCache>
                <c:formatCode>0</c:formatCode>
                <c:ptCount val="12"/>
                <c:pt idx="0">
                  <c:v>170</c:v>
                </c:pt>
                <c:pt idx="1">
                  <c:v>147</c:v>
                </c:pt>
                <c:pt idx="2">
                  <c:v>72</c:v>
                </c:pt>
                <c:pt idx="3">
                  <c:v>44</c:v>
                </c:pt>
                <c:pt idx="4">
                  <c:v>22</c:v>
                </c:pt>
                <c:pt idx="5">
                  <c:v>27</c:v>
                </c:pt>
                <c:pt idx="6">
                  <c:v>17</c:v>
                </c:pt>
                <c:pt idx="7">
                  <c:v>17</c:v>
                </c:pt>
                <c:pt idx="8">
                  <c:v>21</c:v>
                </c:pt>
                <c:pt idx="9">
                  <c:v>17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NSOOBA-KYEBANDO'!$W$9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NSOOBA-KYEBANDO'!$X$9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NSOOBA-KYEBANDO'!$Y$9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NSOOBA-KYEBANDO'!$Y$10:$Y$21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16</c:v>
                </c:pt>
                <c:pt idx="3">
                  <c:v>19</c:v>
                </c:pt>
                <c:pt idx="4">
                  <c:v>20</c:v>
                </c:pt>
                <c:pt idx="5">
                  <c:v>11</c:v>
                </c:pt>
                <c:pt idx="6">
                  <c:v>9</c:v>
                </c:pt>
                <c:pt idx="7">
                  <c:v>11</c:v>
                </c:pt>
                <c:pt idx="8">
                  <c:v>16</c:v>
                </c:pt>
                <c:pt idx="9">
                  <c:v>14</c:v>
                </c:pt>
                <c:pt idx="10">
                  <c:v>15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NSOOBA-KYEBANDO'!$Z$9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0</c:v>
                </c:pt>
                <c:pt idx="5">
                  <c:v>6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NSOOBA-KYEBANDO'!$AA$9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NSOOBA-KYEBANDO'!$AB$9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NSOOBA-KYEBANDO'!$AC$9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NSOOBA-KYEBANDO'!$AC$10:$AC$21</c:f>
              <c:numCache>
                <c:formatCode>0</c:formatCode>
                <c:ptCount val="12"/>
                <c:pt idx="0">
                  <c:v>521</c:v>
                </c:pt>
                <c:pt idx="1">
                  <c:v>528</c:v>
                </c:pt>
                <c:pt idx="2">
                  <c:v>458</c:v>
                </c:pt>
                <c:pt idx="3">
                  <c:v>282</c:v>
                </c:pt>
                <c:pt idx="4">
                  <c:v>199</c:v>
                </c:pt>
                <c:pt idx="5">
                  <c:v>180</c:v>
                </c:pt>
                <c:pt idx="6">
                  <c:v>138</c:v>
                </c:pt>
                <c:pt idx="7">
                  <c:v>170</c:v>
                </c:pt>
                <c:pt idx="8">
                  <c:v>121</c:v>
                </c:pt>
                <c:pt idx="9">
                  <c:v>192</c:v>
                </c:pt>
                <c:pt idx="10">
                  <c:v>204</c:v>
                </c:pt>
                <c:pt idx="11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NSOOBA-KYEBANDO'!$AD$9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NSOOBA-KYEBANDO'!$AD$10:$AD$21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042944"/>
        <c:axId val="71044480"/>
      </c:lineChart>
      <c:catAx>
        <c:axId val="7104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44480"/>
        <c:crosses val="autoZero"/>
        <c:auto val="1"/>
        <c:lblAlgn val="ctr"/>
        <c:lblOffset val="100"/>
        <c:noMultiLvlLbl val="0"/>
      </c:catAx>
      <c:valAx>
        <c:axId val="7104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04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NSOOBA-KYEBANDO'!$C$60:$N$60</c:f>
              <c:numCache>
                <c:formatCode>0.00%</c:formatCode>
                <c:ptCount val="12"/>
                <c:pt idx="0">
                  <c:v>0.52952237683339598</c:v>
                </c:pt>
                <c:pt idx="1">
                  <c:v>0.11959383226776985</c:v>
                </c:pt>
                <c:pt idx="2">
                  <c:v>5.5660022564874012E-2</c:v>
                </c:pt>
                <c:pt idx="3">
                  <c:v>0.22414441519368183</c:v>
                </c:pt>
                <c:pt idx="4">
                  <c:v>2.6325686348251222E-3</c:v>
                </c:pt>
                <c:pt idx="5">
                  <c:v>0</c:v>
                </c:pt>
                <c:pt idx="6">
                  <c:v>5.9420834900338476E-2</c:v>
                </c:pt>
                <c:pt idx="7">
                  <c:v>7.5216246709289203E-3</c:v>
                </c:pt>
                <c:pt idx="8">
                  <c:v>1.1282437006393381E-3</c:v>
                </c:pt>
                <c:pt idx="9">
                  <c:v>3.7608123354644602E-4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KYEBANDO-NSOOBA'!$AE$10:$AE$21</c:f>
              <c:numCache>
                <c:formatCode>0</c:formatCode>
                <c:ptCount val="12"/>
                <c:pt idx="0">
                  <c:v>86</c:v>
                </c:pt>
                <c:pt idx="1">
                  <c:v>138</c:v>
                </c:pt>
                <c:pt idx="2">
                  <c:v>182</c:v>
                </c:pt>
                <c:pt idx="3">
                  <c:v>204</c:v>
                </c:pt>
                <c:pt idx="4">
                  <c:v>201</c:v>
                </c:pt>
                <c:pt idx="5">
                  <c:v>130</c:v>
                </c:pt>
                <c:pt idx="6">
                  <c:v>160</c:v>
                </c:pt>
                <c:pt idx="7">
                  <c:v>381</c:v>
                </c:pt>
                <c:pt idx="8">
                  <c:v>203</c:v>
                </c:pt>
                <c:pt idx="9">
                  <c:v>283</c:v>
                </c:pt>
                <c:pt idx="10">
                  <c:v>364</c:v>
                </c:pt>
                <c:pt idx="11">
                  <c:v>393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KYEBANDO-NSOOBA'!$AF$10:$AF$21</c:f>
              <c:numCache>
                <c:formatCode>0</c:formatCode>
                <c:ptCount val="12"/>
                <c:pt idx="0">
                  <c:v>356</c:v>
                </c:pt>
                <c:pt idx="1">
                  <c:v>596</c:v>
                </c:pt>
                <c:pt idx="2">
                  <c:v>513</c:v>
                </c:pt>
                <c:pt idx="3">
                  <c:v>523</c:v>
                </c:pt>
                <c:pt idx="4">
                  <c:v>456</c:v>
                </c:pt>
                <c:pt idx="5">
                  <c:v>305</c:v>
                </c:pt>
                <c:pt idx="6">
                  <c:v>337</c:v>
                </c:pt>
                <c:pt idx="7">
                  <c:v>588</c:v>
                </c:pt>
                <c:pt idx="8">
                  <c:v>434</c:v>
                </c:pt>
                <c:pt idx="9">
                  <c:v>530</c:v>
                </c:pt>
                <c:pt idx="10">
                  <c:v>657</c:v>
                </c:pt>
                <c:pt idx="11">
                  <c:v>739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700864"/>
        <c:axId val="71702784"/>
      </c:lineChart>
      <c:catAx>
        <c:axId val="717008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702784"/>
        <c:crosses val="autoZero"/>
        <c:auto val="1"/>
        <c:lblAlgn val="ctr"/>
        <c:lblOffset val="100"/>
        <c:noMultiLvlLbl val="0"/>
      </c:catAx>
      <c:valAx>
        <c:axId val="71702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70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KYEBANDO-NSOOBA'!$C$59:$N$59</c:f>
              <c:numCache>
                <c:formatCode>0.0%</c:formatCode>
                <c:ptCount val="12"/>
                <c:pt idx="0">
                  <c:v>0.24643685780576732</c:v>
                </c:pt>
                <c:pt idx="1">
                  <c:v>4.5906529665230358E-2</c:v>
                </c:pt>
                <c:pt idx="2">
                  <c:v>3.8448790188929403E-2</c:v>
                </c:pt>
                <c:pt idx="3">
                  <c:v>6.8279748094133244E-2</c:v>
                </c:pt>
                <c:pt idx="4">
                  <c:v>1.9887305270135896E-3</c:v>
                </c:pt>
                <c:pt idx="5">
                  <c:v>0</c:v>
                </c:pt>
                <c:pt idx="6">
                  <c:v>3.8448790188929403E-2</c:v>
                </c:pt>
                <c:pt idx="7">
                  <c:v>9.4464700033145502E-3</c:v>
                </c:pt>
                <c:pt idx="8">
                  <c:v>2.3201856148491878E-3</c:v>
                </c:pt>
                <c:pt idx="9">
                  <c:v>3.3145508783559825E-4</c:v>
                </c:pt>
                <c:pt idx="10">
                  <c:v>0.54839244282399735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KYEBANDO-NSOOBA'!$S$9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KYEBANDO-NSOOBA'!$S$10:$S$21</c:f>
              <c:numCache>
                <c:formatCode>0</c:formatCode>
                <c:ptCount val="12"/>
                <c:pt idx="0">
                  <c:v>45</c:v>
                </c:pt>
                <c:pt idx="1">
                  <c:v>64</c:v>
                </c:pt>
                <c:pt idx="2">
                  <c:v>71</c:v>
                </c:pt>
                <c:pt idx="3">
                  <c:v>96</c:v>
                </c:pt>
                <c:pt idx="4">
                  <c:v>78</c:v>
                </c:pt>
                <c:pt idx="5">
                  <c:v>57</c:v>
                </c:pt>
                <c:pt idx="6">
                  <c:v>82</c:v>
                </c:pt>
                <c:pt idx="7">
                  <c:v>302</c:v>
                </c:pt>
                <c:pt idx="8">
                  <c:v>90</c:v>
                </c:pt>
                <c:pt idx="9">
                  <c:v>167</c:v>
                </c:pt>
                <c:pt idx="10">
                  <c:v>217</c:v>
                </c:pt>
                <c:pt idx="11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KYEBANDO-NSOOBA'!$T$9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KYEBANDO-NSOOBA'!$T$10:$T$21</c:f>
              <c:numCache>
                <c:formatCode>0</c:formatCode>
                <c:ptCount val="12"/>
                <c:pt idx="0">
                  <c:v>1</c:v>
                </c:pt>
                <c:pt idx="1">
                  <c:v>22</c:v>
                </c:pt>
                <c:pt idx="2">
                  <c:v>17</c:v>
                </c:pt>
                <c:pt idx="3">
                  <c:v>17</c:v>
                </c:pt>
                <c:pt idx="4">
                  <c:v>27</c:v>
                </c:pt>
                <c:pt idx="5">
                  <c:v>12</c:v>
                </c:pt>
                <c:pt idx="6">
                  <c:v>16</c:v>
                </c:pt>
                <c:pt idx="7">
                  <c:v>15</c:v>
                </c:pt>
                <c:pt idx="8">
                  <c:v>31</c:v>
                </c:pt>
                <c:pt idx="9">
                  <c:v>33</c:v>
                </c:pt>
                <c:pt idx="10">
                  <c:v>46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KYEBANDO-NSOOBA'!$U$9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KYEBANDO-NSOOBA'!$U$10:$U$21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13</c:v>
                </c:pt>
                <c:pt idx="3">
                  <c:v>27</c:v>
                </c:pt>
                <c:pt idx="4">
                  <c:v>25</c:v>
                </c:pt>
                <c:pt idx="5">
                  <c:v>8</c:v>
                </c:pt>
                <c:pt idx="6">
                  <c:v>13</c:v>
                </c:pt>
                <c:pt idx="7">
                  <c:v>13</c:v>
                </c:pt>
                <c:pt idx="8">
                  <c:v>26</c:v>
                </c:pt>
                <c:pt idx="9">
                  <c:v>30</c:v>
                </c:pt>
                <c:pt idx="10">
                  <c:v>28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KYEBANDO-NSOOBA'!$V$9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KYEBANDO-NSOOBA'!$V$10:$V$21</c:f>
              <c:numCache>
                <c:formatCode>0</c:formatCode>
                <c:ptCount val="12"/>
                <c:pt idx="0">
                  <c:v>20</c:v>
                </c:pt>
                <c:pt idx="1">
                  <c:v>28</c:v>
                </c:pt>
                <c:pt idx="2">
                  <c:v>43</c:v>
                </c:pt>
                <c:pt idx="3">
                  <c:v>41</c:v>
                </c:pt>
                <c:pt idx="4">
                  <c:v>36</c:v>
                </c:pt>
                <c:pt idx="5">
                  <c:v>14</c:v>
                </c:pt>
                <c:pt idx="6">
                  <c:v>25</c:v>
                </c:pt>
                <c:pt idx="7">
                  <c:v>24</c:v>
                </c:pt>
                <c:pt idx="8">
                  <c:v>27</c:v>
                </c:pt>
                <c:pt idx="9">
                  <c:v>28</c:v>
                </c:pt>
                <c:pt idx="10">
                  <c:v>51</c:v>
                </c:pt>
                <c:pt idx="11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KYEBANDO-NSOOBA'!$W$9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KYEBANDO-NSOOBA'!$X$9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KYEBANDO-NSOOBA'!$Y$9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KYEBANDO-NSOOBA'!$Y$10:$Y$21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31</c:v>
                </c:pt>
                <c:pt idx="3">
                  <c:v>17</c:v>
                </c:pt>
                <c:pt idx="4">
                  <c:v>26</c:v>
                </c:pt>
                <c:pt idx="5">
                  <c:v>29</c:v>
                </c:pt>
                <c:pt idx="6">
                  <c:v>14</c:v>
                </c:pt>
                <c:pt idx="7">
                  <c:v>24</c:v>
                </c:pt>
                <c:pt idx="8">
                  <c:v>23</c:v>
                </c:pt>
                <c:pt idx="9">
                  <c:v>21</c:v>
                </c:pt>
                <c:pt idx="10">
                  <c:v>12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KYEBANDO-NSOOBA'!$Z$9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KYEBANDO-NSOOBA'!$Z$10:$Z$21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7</c:v>
                </c:pt>
                <c:pt idx="6">
                  <c:v>6</c:v>
                </c:pt>
                <c:pt idx="7">
                  <c:v>2</c:v>
                </c:pt>
                <c:pt idx="8">
                  <c:v>5</c:v>
                </c:pt>
                <c:pt idx="9">
                  <c:v>1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KYEBANDO-NSOOBA'!$AA$9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KYEBANDO-NSOOBA'!$AB$9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KYEBANDO-NSOOBA'!$AC$9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KYEBANDO-NSOOBA'!$AC$10:$AC$21</c:f>
              <c:numCache>
                <c:formatCode>0</c:formatCode>
                <c:ptCount val="12"/>
                <c:pt idx="0">
                  <c:v>270</c:v>
                </c:pt>
                <c:pt idx="1">
                  <c:v>458</c:v>
                </c:pt>
                <c:pt idx="2">
                  <c:v>331</c:v>
                </c:pt>
                <c:pt idx="3">
                  <c:v>319</c:v>
                </c:pt>
                <c:pt idx="4">
                  <c:v>255</c:v>
                </c:pt>
                <c:pt idx="5">
                  <c:v>175</c:v>
                </c:pt>
                <c:pt idx="6">
                  <c:v>177</c:v>
                </c:pt>
                <c:pt idx="7">
                  <c:v>207</c:v>
                </c:pt>
                <c:pt idx="8">
                  <c:v>231</c:v>
                </c:pt>
                <c:pt idx="9">
                  <c:v>247</c:v>
                </c:pt>
                <c:pt idx="10">
                  <c:v>293</c:v>
                </c:pt>
                <c:pt idx="11">
                  <c:v>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KYEBANDO-NSOOBA'!$AD$9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KYEBANDO-NSOOBA'!$AD$10:$AD$21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972736"/>
        <c:axId val="71974272"/>
      </c:lineChart>
      <c:catAx>
        <c:axId val="7197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974272"/>
        <c:crosses val="autoZero"/>
        <c:auto val="1"/>
        <c:lblAlgn val="ctr"/>
        <c:lblOffset val="100"/>
        <c:noMultiLvlLbl val="0"/>
      </c:catAx>
      <c:valAx>
        <c:axId val="7197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9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KYEBANDO-NSOOBA'!$C$60:$N$60</c:f>
              <c:numCache>
                <c:formatCode>0.00%</c:formatCode>
                <c:ptCount val="12"/>
                <c:pt idx="0">
                  <c:v>0.54568807339449543</c:v>
                </c:pt>
                <c:pt idx="1">
                  <c:v>0.10165137614678899</c:v>
                </c:pt>
                <c:pt idx="2">
                  <c:v>8.5137614678899076E-2</c:v>
                </c:pt>
                <c:pt idx="3">
                  <c:v>0.15119266055045871</c:v>
                </c:pt>
                <c:pt idx="4">
                  <c:v>4.4036697247706426E-3</c:v>
                </c:pt>
                <c:pt idx="5">
                  <c:v>0</c:v>
                </c:pt>
                <c:pt idx="6">
                  <c:v>8.5137614678899076E-2</c:v>
                </c:pt>
                <c:pt idx="7">
                  <c:v>2.0917431192660551E-2</c:v>
                </c:pt>
                <c:pt idx="8">
                  <c:v>5.1376146788990823E-3</c:v>
                </c:pt>
                <c:pt idx="9">
                  <c:v>7.3394495412844036E-4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'31.08 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NSOOBA-KYEBANDO'!$AE$10:$AE$21</c:f>
              <c:numCache>
                <c:formatCode>0</c:formatCode>
                <c:ptCount val="12"/>
                <c:pt idx="0">
                  <c:v>694</c:v>
                </c:pt>
                <c:pt idx="1">
                  <c:v>470</c:v>
                </c:pt>
                <c:pt idx="2">
                  <c:v>361</c:v>
                </c:pt>
                <c:pt idx="3">
                  <c:v>259</c:v>
                </c:pt>
                <c:pt idx="4">
                  <c:v>137</c:v>
                </c:pt>
                <c:pt idx="5">
                  <c:v>151</c:v>
                </c:pt>
                <c:pt idx="6">
                  <c:v>122</c:v>
                </c:pt>
                <c:pt idx="7">
                  <c:v>129</c:v>
                </c:pt>
                <c:pt idx="8">
                  <c:v>136</c:v>
                </c:pt>
                <c:pt idx="9">
                  <c:v>143</c:v>
                </c:pt>
                <c:pt idx="10">
                  <c:v>156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'31.08 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NSOOBA-KYEBANDO'!$AF$10:$AF$21</c:f>
              <c:numCache>
                <c:formatCode>0</c:formatCode>
                <c:ptCount val="12"/>
                <c:pt idx="0">
                  <c:v>1292</c:v>
                </c:pt>
                <c:pt idx="1">
                  <c:v>1164</c:v>
                </c:pt>
                <c:pt idx="2">
                  <c:v>910</c:v>
                </c:pt>
                <c:pt idx="3">
                  <c:v>520</c:v>
                </c:pt>
                <c:pt idx="4">
                  <c:v>342</c:v>
                </c:pt>
                <c:pt idx="5">
                  <c:v>358</c:v>
                </c:pt>
                <c:pt idx="6">
                  <c:v>286</c:v>
                </c:pt>
                <c:pt idx="7">
                  <c:v>264</c:v>
                </c:pt>
                <c:pt idx="8">
                  <c:v>287</c:v>
                </c:pt>
                <c:pt idx="9">
                  <c:v>352</c:v>
                </c:pt>
                <c:pt idx="10">
                  <c:v>405</c:v>
                </c:pt>
                <c:pt idx="11">
                  <c:v>365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143232"/>
        <c:axId val="72145152"/>
      </c:lineChart>
      <c:catAx>
        <c:axId val="72143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145152"/>
        <c:crosses val="autoZero"/>
        <c:auto val="1"/>
        <c:lblAlgn val="ctr"/>
        <c:lblOffset val="100"/>
        <c:noMultiLvlLbl val="0"/>
      </c:catAx>
      <c:valAx>
        <c:axId val="72145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14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'31.08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'31.08 NSOOBA-KYEBANDO'!$C$59:$N$59</c:f>
              <c:numCache>
                <c:formatCode>0.0%</c:formatCode>
                <c:ptCount val="12"/>
                <c:pt idx="0">
                  <c:v>0.23391902215431626</c:v>
                </c:pt>
                <c:pt idx="1">
                  <c:v>4.7669977081741789E-2</c:v>
                </c:pt>
                <c:pt idx="2">
                  <c:v>2.5362872421695951E-2</c:v>
                </c:pt>
                <c:pt idx="3">
                  <c:v>9.8854087089381204E-2</c:v>
                </c:pt>
                <c:pt idx="4">
                  <c:v>2.4446142093200915E-3</c:v>
                </c:pt>
                <c:pt idx="5">
                  <c:v>0</c:v>
                </c:pt>
                <c:pt idx="6">
                  <c:v>2.5974025974025976E-2</c:v>
                </c:pt>
                <c:pt idx="7">
                  <c:v>3.8197097020626434E-3</c:v>
                </c:pt>
                <c:pt idx="8">
                  <c:v>1.5278838808250573E-3</c:v>
                </c:pt>
                <c:pt idx="9">
                  <c:v>4.5836516424751719E-4</c:v>
                </c:pt>
                <c:pt idx="10">
                  <c:v>0.55996944232238355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'31.08 NSOOBA-KYEBANDO'!$S$9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NSOOBA-KYEBANDO'!$S$10:$S$21</c:f>
              <c:numCache>
                <c:formatCode>0</c:formatCode>
                <c:ptCount val="12"/>
                <c:pt idx="0">
                  <c:v>394</c:v>
                </c:pt>
                <c:pt idx="1">
                  <c:v>241</c:v>
                </c:pt>
                <c:pt idx="2">
                  <c:v>205</c:v>
                </c:pt>
                <c:pt idx="3">
                  <c:v>154</c:v>
                </c:pt>
                <c:pt idx="4">
                  <c:v>61</c:v>
                </c:pt>
                <c:pt idx="5">
                  <c:v>69</c:v>
                </c:pt>
                <c:pt idx="6">
                  <c:v>52</c:v>
                </c:pt>
                <c:pt idx="7">
                  <c:v>76</c:v>
                </c:pt>
                <c:pt idx="8">
                  <c:v>66</c:v>
                </c:pt>
                <c:pt idx="9">
                  <c:v>78</c:v>
                </c:pt>
                <c:pt idx="10">
                  <c:v>77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'31.08 NSOOBA-KYEBANDO'!$T$9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NSOOBA-KYEBANDO'!$T$10:$T$21</c:f>
              <c:numCache>
                <c:formatCode>0</c:formatCode>
                <c:ptCount val="12"/>
                <c:pt idx="0">
                  <c:v>69</c:v>
                </c:pt>
                <c:pt idx="1">
                  <c:v>34</c:v>
                </c:pt>
                <c:pt idx="2">
                  <c:v>39</c:v>
                </c:pt>
                <c:pt idx="3">
                  <c:v>29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12</c:v>
                </c:pt>
                <c:pt idx="8">
                  <c:v>16</c:v>
                </c:pt>
                <c:pt idx="9">
                  <c:v>16</c:v>
                </c:pt>
                <c:pt idx="10">
                  <c:v>23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'31.08 NSOOBA-KYEBANDO'!$U$9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NSOOBA-KYEBANDO'!$U$10:$U$21</c:f>
              <c:numCache>
                <c:formatCode>0</c:formatCode>
                <c:ptCount val="12"/>
                <c:pt idx="0">
                  <c:v>24</c:v>
                </c:pt>
                <c:pt idx="1">
                  <c:v>19</c:v>
                </c:pt>
                <c:pt idx="2">
                  <c:v>15</c:v>
                </c:pt>
                <c:pt idx="3">
                  <c:v>15</c:v>
                </c:pt>
                <c:pt idx="4">
                  <c:v>14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17</c:v>
                </c:pt>
                <c:pt idx="9">
                  <c:v>9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'31.08 NSOOBA-KYEBANDO'!$V$9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NSOOBA-KYEBANDO'!$V$10:$V$21</c:f>
              <c:numCache>
                <c:formatCode>0</c:formatCode>
                <c:ptCount val="12"/>
                <c:pt idx="0">
                  <c:v>176</c:v>
                </c:pt>
                <c:pt idx="1">
                  <c:v>159</c:v>
                </c:pt>
                <c:pt idx="2">
                  <c:v>77</c:v>
                </c:pt>
                <c:pt idx="3">
                  <c:v>42</c:v>
                </c:pt>
                <c:pt idx="4">
                  <c:v>30</c:v>
                </c:pt>
                <c:pt idx="5">
                  <c:v>32</c:v>
                </c:pt>
                <c:pt idx="6">
                  <c:v>27</c:v>
                </c:pt>
                <c:pt idx="7">
                  <c:v>13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'31.08 NSOOBA-KYEBANDO'!$W$9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'31.08 NSOOBA-KYEBANDO'!$X$9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'31.08 NSOOBA-KYEBANDO'!$Y$9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NSOOBA-KYEBANDO'!$Y$10:$Y$21</c:f>
              <c:numCache>
                <c:formatCode>0</c:formatCode>
                <c:ptCount val="12"/>
                <c:pt idx="0">
                  <c:v>22</c:v>
                </c:pt>
                <c:pt idx="1">
                  <c:v>14</c:v>
                </c:pt>
                <c:pt idx="2">
                  <c:v>16</c:v>
                </c:pt>
                <c:pt idx="3">
                  <c:v>17</c:v>
                </c:pt>
                <c:pt idx="4">
                  <c:v>12</c:v>
                </c:pt>
                <c:pt idx="5">
                  <c:v>9</c:v>
                </c:pt>
                <c:pt idx="6">
                  <c:v>13</c:v>
                </c:pt>
                <c:pt idx="7">
                  <c:v>11</c:v>
                </c:pt>
                <c:pt idx="8">
                  <c:v>13</c:v>
                </c:pt>
                <c:pt idx="9">
                  <c:v>13</c:v>
                </c:pt>
                <c:pt idx="10">
                  <c:v>21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'31.08 NSOOBA-KYEBANDO'!$Z$9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'31.08 NSOOBA-KYEBANDO'!$AA$9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'31.08 NSOOBA-KYEBANDO'!$AB$9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'31.08 NSOOBA-KYEBANDO'!$AC$9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NSOOBA-KYEBANDO'!$AC$10:$AC$21</c:f>
              <c:numCache>
                <c:formatCode>0</c:formatCode>
                <c:ptCount val="12"/>
                <c:pt idx="0">
                  <c:v>598</c:v>
                </c:pt>
                <c:pt idx="1">
                  <c:v>694</c:v>
                </c:pt>
                <c:pt idx="2">
                  <c:v>549</c:v>
                </c:pt>
                <c:pt idx="3">
                  <c:v>261</c:v>
                </c:pt>
                <c:pt idx="4">
                  <c:v>205</c:v>
                </c:pt>
                <c:pt idx="5">
                  <c:v>207</c:v>
                </c:pt>
                <c:pt idx="6">
                  <c:v>164</c:v>
                </c:pt>
                <c:pt idx="7">
                  <c:v>135</c:v>
                </c:pt>
                <c:pt idx="8">
                  <c:v>151</c:v>
                </c:pt>
                <c:pt idx="9">
                  <c:v>209</c:v>
                </c:pt>
                <c:pt idx="10">
                  <c:v>249</c:v>
                </c:pt>
                <c:pt idx="11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'31.08 NSOOBA-KYEBANDO'!$AD$9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'31.08 NSOOBA-KYEBANDO'!$AD$10:$AD$21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304512"/>
        <c:axId val="72306048"/>
      </c:lineChart>
      <c:catAx>
        <c:axId val="72304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306048"/>
        <c:crosses val="autoZero"/>
        <c:auto val="1"/>
        <c:lblAlgn val="ctr"/>
        <c:lblOffset val="100"/>
        <c:noMultiLvlLbl val="0"/>
      </c:catAx>
      <c:valAx>
        <c:axId val="7230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30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'31.08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'31.08 NSOOBA-KYEBANDO'!$C$60:$N$60</c:f>
              <c:numCache>
                <c:formatCode>0.00%</c:formatCode>
                <c:ptCount val="12"/>
                <c:pt idx="0">
                  <c:v>0.53159722222222228</c:v>
                </c:pt>
                <c:pt idx="1">
                  <c:v>0.10833333333333334</c:v>
                </c:pt>
                <c:pt idx="2">
                  <c:v>5.7638888888888892E-2</c:v>
                </c:pt>
                <c:pt idx="3">
                  <c:v>0.22465277777777778</c:v>
                </c:pt>
                <c:pt idx="4">
                  <c:v>5.5555555555555558E-3</c:v>
                </c:pt>
                <c:pt idx="5">
                  <c:v>0</c:v>
                </c:pt>
                <c:pt idx="6">
                  <c:v>5.9027777777777776E-2</c:v>
                </c:pt>
                <c:pt idx="7">
                  <c:v>8.6805555555555559E-3</c:v>
                </c:pt>
                <c:pt idx="8">
                  <c:v>3.472222222222222E-3</c:v>
                </c:pt>
                <c:pt idx="9">
                  <c:v>1.0416666666666667E-3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'31.08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KYEBANDO-NSOOBA'!$AE$10:$AE$21</c:f>
              <c:numCache>
                <c:formatCode>0</c:formatCode>
                <c:ptCount val="12"/>
                <c:pt idx="0">
                  <c:v>135</c:v>
                </c:pt>
                <c:pt idx="1">
                  <c:v>149</c:v>
                </c:pt>
                <c:pt idx="2">
                  <c:v>197</c:v>
                </c:pt>
                <c:pt idx="3">
                  <c:v>195</c:v>
                </c:pt>
                <c:pt idx="4">
                  <c:v>149</c:v>
                </c:pt>
                <c:pt idx="5">
                  <c:v>239</c:v>
                </c:pt>
                <c:pt idx="6">
                  <c:v>182</c:v>
                </c:pt>
                <c:pt idx="7">
                  <c:v>177</c:v>
                </c:pt>
                <c:pt idx="8">
                  <c:v>190</c:v>
                </c:pt>
                <c:pt idx="9">
                  <c:v>219</c:v>
                </c:pt>
                <c:pt idx="10">
                  <c:v>422</c:v>
                </c:pt>
                <c:pt idx="11">
                  <c:v>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'31.08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'31.08 KYEBANDO-NSOOBA'!$AF$10:$AF$21</c:f>
              <c:numCache>
                <c:formatCode>0</c:formatCode>
                <c:ptCount val="12"/>
                <c:pt idx="0">
                  <c:v>442</c:v>
                </c:pt>
                <c:pt idx="1">
                  <c:v>427</c:v>
                </c:pt>
                <c:pt idx="2">
                  <c:v>586</c:v>
                </c:pt>
                <c:pt idx="3">
                  <c:v>511</c:v>
                </c:pt>
                <c:pt idx="4">
                  <c:v>319</c:v>
                </c:pt>
                <c:pt idx="5">
                  <c:v>479</c:v>
                </c:pt>
                <c:pt idx="6">
                  <c:v>441</c:v>
                </c:pt>
                <c:pt idx="7">
                  <c:v>393</c:v>
                </c:pt>
                <c:pt idx="8">
                  <c:v>413</c:v>
                </c:pt>
                <c:pt idx="9">
                  <c:v>443</c:v>
                </c:pt>
                <c:pt idx="10">
                  <c:v>803</c:v>
                </c:pt>
                <c:pt idx="11">
                  <c:v>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36448"/>
        <c:axId val="72538368"/>
      </c:lineChart>
      <c:catAx>
        <c:axId val="72536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538368"/>
        <c:crosses val="autoZero"/>
        <c:auto val="1"/>
        <c:lblAlgn val="ctr"/>
        <c:lblOffset val="100"/>
        <c:noMultiLvlLbl val="0"/>
      </c:catAx>
      <c:valAx>
        <c:axId val="72538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536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'31.08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'31.08 KYEBANDO-NSOOBA'!$C$59:$N$59</c:f>
              <c:numCache>
                <c:formatCode>0.0%</c:formatCode>
                <c:ptCount val="12"/>
                <c:pt idx="0">
                  <c:v>0.22163546167386783</c:v>
                </c:pt>
                <c:pt idx="1">
                  <c:v>4.0806529044647141E-2</c:v>
                </c:pt>
                <c:pt idx="2">
                  <c:v>4.2566810689710355E-2</c:v>
                </c:pt>
                <c:pt idx="3">
                  <c:v>6.6250600096015369E-2</c:v>
                </c:pt>
                <c:pt idx="4">
                  <c:v>4.3206913106096975E-3</c:v>
                </c:pt>
                <c:pt idx="5">
                  <c:v>0</c:v>
                </c:pt>
                <c:pt idx="6">
                  <c:v>4.7687630020803326E-2</c:v>
                </c:pt>
                <c:pt idx="7">
                  <c:v>1.0241638662185949E-2</c:v>
                </c:pt>
                <c:pt idx="8">
                  <c:v>3.6805888942230756E-3</c:v>
                </c:pt>
                <c:pt idx="9">
                  <c:v>4.8007681228996637E-4</c:v>
                </c:pt>
                <c:pt idx="10">
                  <c:v>0.56232997279564734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'31.08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'31.08 KYEBANDO-NSOOBA'!$C$60:$N$60</c:f>
              <c:numCache>
                <c:formatCode>0.00%</c:formatCode>
                <c:ptCount val="12"/>
                <c:pt idx="0">
                  <c:v>0.50639853747714803</c:v>
                </c:pt>
                <c:pt idx="1">
                  <c:v>9.3235831809872036E-2</c:v>
                </c:pt>
                <c:pt idx="2">
                  <c:v>9.7257769652650816E-2</c:v>
                </c:pt>
                <c:pt idx="3">
                  <c:v>0.15137111517367458</c:v>
                </c:pt>
                <c:pt idx="4">
                  <c:v>9.872029250457038E-3</c:v>
                </c:pt>
                <c:pt idx="5">
                  <c:v>0</c:v>
                </c:pt>
                <c:pt idx="6">
                  <c:v>0.10895795246800731</c:v>
                </c:pt>
                <c:pt idx="7">
                  <c:v>2.3400365630712981E-2</c:v>
                </c:pt>
                <c:pt idx="8">
                  <c:v>8.4095063985374779E-3</c:v>
                </c:pt>
                <c:pt idx="9">
                  <c:v>1.0968921389396709E-3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NSOOBA-KYEBANDO-24h'!$AE$9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NSOOBA-KYEBANDO-24h'!$R$10:$R$33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NSOOBA-KYEBANDO-24h'!$AE$10:$AE$33</c:f>
              <c:numCache>
                <c:formatCode>0</c:formatCode>
                <c:ptCount val="24"/>
                <c:pt idx="0">
                  <c:v>562</c:v>
                </c:pt>
                <c:pt idx="1">
                  <c:v>527</c:v>
                </c:pt>
                <c:pt idx="2">
                  <c:v>321</c:v>
                </c:pt>
                <c:pt idx="3">
                  <c:v>204</c:v>
                </c:pt>
                <c:pt idx="4">
                  <c:v>165</c:v>
                </c:pt>
                <c:pt idx="5">
                  <c:v>117</c:v>
                </c:pt>
                <c:pt idx="6">
                  <c:v>119</c:v>
                </c:pt>
                <c:pt idx="7">
                  <c:v>95</c:v>
                </c:pt>
                <c:pt idx="8">
                  <c:v>127</c:v>
                </c:pt>
                <c:pt idx="9">
                  <c:v>132</c:v>
                </c:pt>
                <c:pt idx="10">
                  <c:v>127</c:v>
                </c:pt>
                <c:pt idx="11">
                  <c:v>119</c:v>
                </c:pt>
                <c:pt idx="12">
                  <c:v>126</c:v>
                </c:pt>
                <c:pt idx="13">
                  <c:v>61</c:v>
                </c:pt>
                <c:pt idx="14">
                  <c:v>74</c:v>
                </c:pt>
                <c:pt idx="15">
                  <c:v>26</c:v>
                </c:pt>
                <c:pt idx="16">
                  <c:v>19</c:v>
                </c:pt>
                <c:pt idx="17">
                  <c:v>17</c:v>
                </c:pt>
                <c:pt idx="18">
                  <c:v>8</c:v>
                </c:pt>
                <c:pt idx="19">
                  <c:v>5</c:v>
                </c:pt>
                <c:pt idx="20">
                  <c:v>1</c:v>
                </c:pt>
                <c:pt idx="21">
                  <c:v>7</c:v>
                </c:pt>
                <c:pt idx="22">
                  <c:v>47</c:v>
                </c:pt>
                <c:pt idx="23">
                  <c:v>472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NSOOBA-KYEBANDO-24h'!$AF$9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NSOOBA-KYEBANDO-24h'!$R$10:$R$33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NSOOBA-KYEBANDO-24h'!$AF$10:$AF$33</c:f>
              <c:numCache>
                <c:formatCode>0</c:formatCode>
                <c:ptCount val="24"/>
                <c:pt idx="0">
                  <c:v>1189</c:v>
                </c:pt>
                <c:pt idx="1">
                  <c:v>1084</c:v>
                </c:pt>
                <c:pt idx="2">
                  <c:v>714</c:v>
                </c:pt>
                <c:pt idx="3">
                  <c:v>448</c:v>
                </c:pt>
                <c:pt idx="4">
                  <c:v>361</c:v>
                </c:pt>
                <c:pt idx="5">
                  <c:v>243</c:v>
                </c:pt>
                <c:pt idx="6">
                  <c:v>250</c:v>
                </c:pt>
                <c:pt idx="7">
                  <c:v>228</c:v>
                </c:pt>
                <c:pt idx="8">
                  <c:v>271</c:v>
                </c:pt>
                <c:pt idx="9">
                  <c:v>289</c:v>
                </c:pt>
                <c:pt idx="10">
                  <c:v>315</c:v>
                </c:pt>
                <c:pt idx="11">
                  <c:v>379</c:v>
                </c:pt>
                <c:pt idx="12">
                  <c:v>375</c:v>
                </c:pt>
                <c:pt idx="13">
                  <c:v>257</c:v>
                </c:pt>
                <c:pt idx="14">
                  <c:v>225</c:v>
                </c:pt>
                <c:pt idx="15">
                  <c:v>97</c:v>
                </c:pt>
                <c:pt idx="16">
                  <c:v>74</c:v>
                </c:pt>
                <c:pt idx="17">
                  <c:v>46</c:v>
                </c:pt>
                <c:pt idx="18">
                  <c:v>20</c:v>
                </c:pt>
                <c:pt idx="19">
                  <c:v>12</c:v>
                </c:pt>
                <c:pt idx="20">
                  <c:v>16</c:v>
                </c:pt>
                <c:pt idx="21">
                  <c:v>12</c:v>
                </c:pt>
                <c:pt idx="22">
                  <c:v>77</c:v>
                </c:pt>
                <c:pt idx="23">
                  <c:v>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845952"/>
        <c:axId val="72872704"/>
      </c:lineChart>
      <c:catAx>
        <c:axId val="72845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72704"/>
        <c:crosses val="autoZero"/>
        <c:auto val="1"/>
        <c:lblAlgn val="ctr"/>
        <c:lblOffset val="100"/>
        <c:noMultiLvlLbl val="0"/>
      </c:catAx>
      <c:valAx>
        <c:axId val="72872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4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NSOOBA-KYEBANDO-24h'!$C$9:$N$9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NSOOBA-KYEBANDO-24h'!$C$107:$N$107</c:f>
              <c:numCache>
                <c:formatCode>0.0%</c:formatCode>
                <c:ptCount val="12"/>
                <c:pt idx="0">
                  <c:v>0.24734982332155478</c:v>
                </c:pt>
                <c:pt idx="1">
                  <c:v>4.47585394581861E-2</c:v>
                </c:pt>
                <c:pt idx="2">
                  <c:v>2.6698076168040832E-2</c:v>
                </c:pt>
                <c:pt idx="3">
                  <c:v>0.10051040439733019</c:v>
                </c:pt>
                <c:pt idx="4">
                  <c:v>1.3087292239235702E-3</c:v>
                </c:pt>
                <c:pt idx="5">
                  <c:v>9.1611045674649917E-4</c:v>
                </c:pt>
                <c:pt idx="6">
                  <c:v>3.07551367622039E-2</c:v>
                </c:pt>
                <c:pt idx="7">
                  <c:v>1.9630938358853552E-3</c:v>
                </c:pt>
                <c:pt idx="8">
                  <c:v>5.2349168956942809E-4</c:v>
                </c:pt>
                <c:pt idx="9">
                  <c:v>3.9261876717707107E-4</c:v>
                </c:pt>
                <c:pt idx="10">
                  <c:v>0.54482397591938225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NSOOBA-KYEBANDO-24h'!$C$9:$N$9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NSOOBA-KYEBANDO-24h'!$C$108:$N$108</c:f>
              <c:numCache>
                <c:formatCode>0.00%</c:formatCode>
                <c:ptCount val="12"/>
                <c:pt idx="0">
                  <c:v>0.54341575618171367</c:v>
                </c:pt>
                <c:pt idx="1">
                  <c:v>9.8332374928119609E-2</c:v>
                </c:pt>
                <c:pt idx="2">
                  <c:v>5.8654399079930995E-2</c:v>
                </c:pt>
                <c:pt idx="3">
                  <c:v>0.22081656124209315</c:v>
                </c:pt>
                <c:pt idx="4">
                  <c:v>2.8752156411730881E-3</c:v>
                </c:pt>
                <c:pt idx="5">
                  <c:v>2.0126509488211618E-3</c:v>
                </c:pt>
                <c:pt idx="6">
                  <c:v>6.7567567567567571E-2</c:v>
                </c:pt>
                <c:pt idx="7">
                  <c:v>4.3128234617596318E-3</c:v>
                </c:pt>
                <c:pt idx="8">
                  <c:v>1.1500862564692352E-3</c:v>
                </c:pt>
                <c:pt idx="9">
                  <c:v>8.6256469235192635E-4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KYEBANDO-NSOOBA-24h'!$AE$9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KYEBANDO-NSOOBA-24h'!$R$10:$R$33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KYEBANDO-NSOOBA-24h'!$AE$10:$AE$33</c:f>
              <c:numCache>
                <c:formatCode>0</c:formatCode>
                <c:ptCount val="24"/>
                <c:pt idx="0">
                  <c:v>105</c:v>
                </c:pt>
                <c:pt idx="1">
                  <c:v>162</c:v>
                </c:pt>
                <c:pt idx="2">
                  <c:v>177</c:v>
                </c:pt>
                <c:pt idx="3">
                  <c:v>104</c:v>
                </c:pt>
                <c:pt idx="4">
                  <c:v>127</c:v>
                </c:pt>
                <c:pt idx="5">
                  <c:v>179</c:v>
                </c:pt>
                <c:pt idx="6">
                  <c:v>193</c:v>
                </c:pt>
                <c:pt idx="7">
                  <c:v>170</c:v>
                </c:pt>
                <c:pt idx="8">
                  <c:v>160</c:v>
                </c:pt>
                <c:pt idx="9">
                  <c:v>285</c:v>
                </c:pt>
                <c:pt idx="10">
                  <c:v>334</c:v>
                </c:pt>
                <c:pt idx="11">
                  <c:v>421</c:v>
                </c:pt>
                <c:pt idx="12">
                  <c:v>312</c:v>
                </c:pt>
                <c:pt idx="13">
                  <c:v>271</c:v>
                </c:pt>
                <c:pt idx="14">
                  <c:v>166</c:v>
                </c:pt>
                <c:pt idx="15">
                  <c:v>75</c:v>
                </c:pt>
                <c:pt idx="16">
                  <c:v>44</c:v>
                </c:pt>
                <c:pt idx="17">
                  <c:v>31</c:v>
                </c:pt>
                <c:pt idx="18">
                  <c:v>13</c:v>
                </c:pt>
                <c:pt idx="19">
                  <c:v>4</c:v>
                </c:pt>
                <c:pt idx="20">
                  <c:v>6</c:v>
                </c:pt>
                <c:pt idx="21">
                  <c:v>6</c:v>
                </c:pt>
                <c:pt idx="22">
                  <c:v>22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KYEBANDO-NSOOBA-24h'!$AF$9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KYEBANDO-NSOOBA-24h'!$R$10:$R$33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KYEBANDO-NSOOBA-24h'!$AF$10:$AF$33</c:f>
              <c:numCache>
                <c:formatCode>0</c:formatCode>
                <c:ptCount val="24"/>
                <c:pt idx="0">
                  <c:v>394</c:v>
                </c:pt>
                <c:pt idx="1">
                  <c:v>440</c:v>
                </c:pt>
                <c:pt idx="2">
                  <c:v>423</c:v>
                </c:pt>
                <c:pt idx="3">
                  <c:v>474</c:v>
                </c:pt>
                <c:pt idx="4">
                  <c:v>421</c:v>
                </c:pt>
                <c:pt idx="5">
                  <c:v>402</c:v>
                </c:pt>
                <c:pt idx="6">
                  <c:v>417</c:v>
                </c:pt>
                <c:pt idx="7">
                  <c:v>390</c:v>
                </c:pt>
                <c:pt idx="8">
                  <c:v>365</c:v>
                </c:pt>
                <c:pt idx="9">
                  <c:v>476</c:v>
                </c:pt>
                <c:pt idx="10">
                  <c:v>653</c:v>
                </c:pt>
                <c:pt idx="11">
                  <c:v>776</c:v>
                </c:pt>
                <c:pt idx="12">
                  <c:v>593</c:v>
                </c:pt>
                <c:pt idx="13">
                  <c:v>521</c:v>
                </c:pt>
                <c:pt idx="14">
                  <c:v>335</c:v>
                </c:pt>
                <c:pt idx="15">
                  <c:v>144</c:v>
                </c:pt>
                <c:pt idx="16">
                  <c:v>101</c:v>
                </c:pt>
                <c:pt idx="17">
                  <c:v>75</c:v>
                </c:pt>
                <c:pt idx="18">
                  <c:v>36</c:v>
                </c:pt>
                <c:pt idx="19">
                  <c:v>18</c:v>
                </c:pt>
                <c:pt idx="20">
                  <c:v>19</c:v>
                </c:pt>
                <c:pt idx="21">
                  <c:v>16</c:v>
                </c:pt>
                <c:pt idx="22">
                  <c:v>43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062336"/>
        <c:axId val="184064256"/>
      </c:lineChart>
      <c:catAx>
        <c:axId val="184062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64256"/>
        <c:crosses val="autoZero"/>
        <c:auto val="1"/>
        <c:lblAlgn val="ctr"/>
        <c:lblOffset val="100"/>
        <c:noMultiLvlLbl val="0"/>
      </c:catAx>
      <c:valAx>
        <c:axId val="1840642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6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KYEBANDO-NSOOBA-24h'!$C$9:$N$9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KYEBANDO-NSOOBA-24h'!$C$107:$N$107</c:f>
              <c:numCache>
                <c:formatCode>0.0%</c:formatCode>
                <c:ptCount val="12"/>
                <c:pt idx="0">
                  <c:v>0.24821946715906093</c:v>
                </c:pt>
                <c:pt idx="1">
                  <c:v>3.8512265892904247E-2</c:v>
                </c:pt>
                <c:pt idx="2">
                  <c:v>3.6006330783434452E-2</c:v>
                </c:pt>
                <c:pt idx="3">
                  <c:v>7.029807438670535E-2</c:v>
                </c:pt>
                <c:pt idx="4">
                  <c:v>3.4291743603270903E-3</c:v>
                </c:pt>
                <c:pt idx="5">
                  <c:v>1.8464785017145871E-3</c:v>
                </c:pt>
                <c:pt idx="6">
                  <c:v>2.7565286204167767E-2</c:v>
                </c:pt>
                <c:pt idx="7">
                  <c:v>6.462674756001055E-3</c:v>
                </c:pt>
                <c:pt idx="8">
                  <c:v>3.5610656818781325E-3</c:v>
                </c:pt>
                <c:pt idx="9">
                  <c:v>1.1210762331838564E-2</c:v>
                </c:pt>
                <c:pt idx="10">
                  <c:v>0.5528884199419678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KYEBANDO-NSOOBA-24h'!$C$9:$N$9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KYEBANDO-NSOOBA-24h'!$C$108:$N$108</c:f>
              <c:numCache>
                <c:formatCode>0.00%</c:formatCode>
                <c:ptCount val="12"/>
                <c:pt idx="0">
                  <c:v>0.55516224188790564</c:v>
                </c:pt>
                <c:pt idx="1">
                  <c:v>8.6135693215339232E-2</c:v>
                </c:pt>
                <c:pt idx="2">
                  <c:v>8.0530973451327439E-2</c:v>
                </c:pt>
                <c:pt idx="3">
                  <c:v>0.15722713864306784</c:v>
                </c:pt>
                <c:pt idx="4">
                  <c:v>7.6696165191740412E-3</c:v>
                </c:pt>
                <c:pt idx="5">
                  <c:v>4.1297935103244837E-3</c:v>
                </c:pt>
                <c:pt idx="6">
                  <c:v>6.1651917404129793E-2</c:v>
                </c:pt>
                <c:pt idx="7">
                  <c:v>1.4454277286135693E-2</c:v>
                </c:pt>
                <c:pt idx="8">
                  <c:v>7.9646017699115043E-3</c:v>
                </c:pt>
                <c:pt idx="9">
                  <c:v>2.5073746312684365E-2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NSOOBA-KYEBANDO'!$AE$10:$AE$21</c:f>
              <c:numCache>
                <c:formatCode>0</c:formatCode>
                <c:ptCount val="12"/>
                <c:pt idx="0">
                  <c:v>547</c:v>
                </c:pt>
                <c:pt idx="1">
                  <c:v>333</c:v>
                </c:pt>
                <c:pt idx="2">
                  <c:v>452</c:v>
                </c:pt>
                <c:pt idx="3">
                  <c:v>237</c:v>
                </c:pt>
                <c:pt idx="4">
                  <c:v>163</c:v>
                </c:pt>
                <c:pt idx="5">
                  <c:v>132</c:v>
                </c:pt>
                <c:pt idx="6">
                  <c:v>126</c:v>
                </c:pt>
                <c:pt idx="7">
                  <c:v>111</c:v>
                </c:pt>
                <c:pt idx="8">
                  <c:v>150</c:v>
                </c:pt>
                <c:pt idx="9">
                  <c:v>139</c:v>
                </c:pt>
                <c:pt idx="10">
                  <c:v>125</c:v>
                </c:pt>
                <c:pt idx="11">
                  <c:v>116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NSOOBA-KYEBANDO'!$AF$10:$AF$21</c:f>
              <c:numCache>
                <c:formatCode>0</c:formatCode>
                <c:ptCount val="12"/>
                <c:pt idx="0">
                  <c:v>1014</c:v>
                </c:pt>
                <c:pt idx="1">
                  <c:v>830</c:v>
                </c:pt>
                <c:pt idx="2">
                  <c:v>852</c:v>
                </c:pt>
                <c:pt idx="3">
                  <c:v>428</c:v>
                </c:pt>
                <c:pt idx="4">
                  <c:v>284</c:v>
                </c:pt>
                <c:pt idx="5">
                  <c:v>247</c:v>
                </c:pt>
                <c:pt idx="6">
                  <c:v>242</c:v>
                </c:pt>
                <c:pt idx="7">
                  <c:v>277</c:v>
                </c:pt>
                <c:pt idx="8">
                  <c:v>298</c:v>
                </c:pt>
                <c:pt idx="9">
                  <c:v>298</c:v>
                </c:pt>
                <c:pt idx="10">
                  <c:v>292</c:v>
                </c:pt>
                <c:pt idx="11">
                  <c:v>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459264"/>
        <c:axId val="186461184"/>
      </c:lineChart>
      <c:catAx>
        <c:axId val="186459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461184"/>
        <c:crosses val="autoZero"/>
        <c:auto val="1"/>
        <c:lblAlgn val="ctr"/>
        <c:lblOffset val="100"/>
        <c:noMultiLvlLbl val="0"/>
      </c:catAx>
      <c:valAx>
        <c:axId val="18646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45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NSOOBA-KYEBANDO'!$C$59:$N$59</c:f>
              <c:numCache>
                <c:formatCode>0.0%</c:formatCode>
                <c:ptCount val="12"/>
                <c:pt idx="0">
                  <c:v>0.25513033832501386</c:v>
                </c:pt>
                <c:pt idx="1">
                  <c:v>5.8790904048807546E-2</c:v>
                </c:pt>
                <c:pt idx="2">
                  <c:v>2.9395452024403773E-2</c:v>
                </c:pt>
                <c:pt idx="3">
                  <c:v>0.11351451284895545</c:v>
                </c:pt>
                <c:pt idx="4">
                  <c:v>2.4034017378443337E-3</c:v>
                </c:pt>
                <c:pt idx="5">
                  <c:v>1.8487705675725643E-4</c:v>
                </c:pt>
                <c:pt idx="6">
                  <c:v>2.4218894435200592E-2</c:v>
                </c:pt>
                <c:pt idx="7">
                  <c:v>2.2185246810870773E-3</c:v>
                </c:pt>
                <c:pt idx="8">
                  <c:v>5.5463117027176932E-4</c:v>
                </c:pt>
                <c:pt idx="9">
                  <c:v>0</c:v>
                </c:pt>
                <c:pt idx="10">
                  <c:v>0.51358846367165834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NSOOBA-KYEBANDO'!$S$9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NSOOBA-KYEBANDO'!$S$10:$S$21</c:f>
              <c:numCache>
                <c:formatCode>0</c:formatCode>
                <c:ptCount val="12"/>
                <c:pt idx="0">
                  <c:v>262</c:v>
                </c:pt>
                <c:pt idx="1">
                  <c:v>190</c:v>
                </c:pt>
                <c:pt idx="2">
                  <c:v>234</c:v>
                </c:pt>
                <c:pt idx="3">
                  <c:v>129</c:v>
                </c:pt>
                <c:pt idx="4">
                  <c:v>84</c:v>
                </c:pt>
                <c:pt idx="5">
                  <c:v>70</c:v>
                </c:pt>
                <c:pt idx="6">
                  <c:v>76</c:v>
                </c:pt>
                <c:pt idx="7">
                  <c:v>61</c:v>
                </c:pt>
                <c:pt idx="8">
                  <c:v>73</c:v>
                </c:pt>
                <c:pt idx="9">
                  <c:v>69</c:v>
                </c:pt>
                <c:pt idx="10">
                  <c:v>67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NSOOBA-KYEBANDO'!$T$9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NSOOBA-KYEBANDO'!$T$10:$T$21</c:f>
              <c:numCache>
                <c:formatCode>0</c:formatCode>
                <c:ptCount val="12"/>
                <c:pt idx="0">
                  <c:v>72</c:v>
                </c:pt>
                <c:pt idx="1">
                  <c:v>27</c:v>
                </c:pt>
                <c:pt idx="2">
                  <c:v>44</c:v>
                </c:pt>
                <c:pt idx="3">
                  <c:v>26</c:v>
                </c:pt>
                <c:pt idx="4">
                  <c:v>23</c:v>
                </c:pt>
                <c:pt idx="5">
                  <c:v>16</c:v>
                </c:pt>
                <c:pt idx="6">
                  <c:v>9</c:v>
                </c:pt>
                <c:pt idx="7">
                  <c:v>17</c:v>
                </c:pt>
                <c:pt idx="8">
                  <c:v>30</c:v>
                </c:pt>
                <c:pt idx="9">
                  <c:v>22</c:v>
                </c:pt>
                <c:pt idx="10">
                  <c:v>14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NSOOBA-KYEBANDO'!$U$9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NSOOBA-KYEBANDO'!$U$10:$U$21</c:f>
              <c:numCache>
                <c:formatCode>0</c:formatCode>
                <c:ptCount val="12"/>
                <c:pt idx="0">
                  <c:v>22</c:v>
                </c:pt>
                <c:pt idx="1">
                  <c:v>20</c:v>
                </c:pt>
                <c:pt idx="2">
                  <c:v>13</c:v>
                </c:pt>
                <c:pt idx="3">
                  <c:v>16</c:v>
                </c:pt>
                <c:pt idx="4">
                  <c:v>15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9</c:v>
                </c:pt>
                <c:pt idx="9">
                  <c:v>12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NSOOBA-KYEBANDO'!$V$9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NSOOBA-KYEBANDO'!$V$10:$V$21</c:f>
              <c:numCache>
                <c:formatCode>0</c:formatCode>
                <c:ptCount val="12"/>
                <c:pt idx="0">
                  <c:v>175</c:v>
                </c:pt>
                <c:pt idx="1">
                  <c:v>85</c:v>
                </c:pt>
                <c:pt idx="2">
                  <c:v>131</c:v>
                </c:pt>
                <c:pt idx="3">
                  <c:v>46</c:v>
                </c:pt>
                <c:pt idx="4">
                  <c:v>35</c:v>
                </c:pt>
                <c:pt idx="5">
                  <c:v>24</c:v>
                </c:pt>
                <c:pt idx="6">
                  <c:v>14</c:v>
                </c:pt>
                <c:pt idx="7">
                  <c:v>13</c:v>
                </c:pt>
                <c:pt idx="8">
                  <c:v>31</c:v>
                </c:pt>
                <c:pt idx="9">
                  <c:v>19</c:v>
                </c:pt>
                <c:pt idx="10">
                  <c:v>24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NSOOBA-KYEBANDO'!$W$9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NSOOBA-KYEBANDO'!$W$10:$W$21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NSOOBA-KYEBANDO'!$X$9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NSOOBA-KYEBANDO'!$Y$9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NSOOBA-KYEBANDO'!$Y$10:$Y$21</c:f>
              <c:numCache>
                <c:formatCode>0</c:formatCode>
                <c:ptCount val="12"/>
                <c:pt idx="0">
                  <c:v>13</c:v>
                </c:pt>
                <c:pt idx="1">
                  <c:v>8</c:v>
                </c:pt>
                <c:pt idx="2">
                  <c:v>27</c:v>
                </c:pt>
                <c:pt idx="3">
                  <c:v>16</c:v>
                </c:pt>
                <c:pt idx="4">
                  <c:v>5</c:v>
                </c:pt>
                <c:pt idx="5">
                  <c:v>11</c:v>
                </c:pt>
                <c:pt idx="6">
                  <c:v>14</c:v>
                </c:pt>
                <c:pt idx="7">
                  <c:v>8</c:v>
                </c:pt>
                <c:pt idx="8">
                  <c:v>7</c:v>
                </c:pt>
                <c:pt idx="9">
                  <c:v>12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NSOOBA-KYEBANDO'!$Z$9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NSOOBA-KYEBANDO'!$AA$9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NSOOBA-KYEBANDO'!$AB$9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NSOOBA-KYEBANDO'!$AC$9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NSOOBA-KYEBANDO'!$AC$10:$AC$21</c:f>
              <c:numCache>
                <c:formatCode>0</c:formatCode>
                <c:ptCount val="12"/>
                <c:pt idx="0">
                  <c:v>467</c:v>
                </c:pt>
                <c:pt idx="1">
                  <c:v>497</c:v>
                </c:pt>
                <c:pt idx="2">
                  <c:v>400</c:v>
                </c:pt>
                <c:pt idx="3">
                  <c:v>191</c:v>
                </c:pt>
                <c:pt idx="4">
                  <c:v>121</c:v>
                </c:pt>
                <c:pt idx="5">
                  <c:v>115</c:v>
                </c:pt>
                <c:pt idx="6">
                  <c:v>116</c:v>
                </c:pt>
                <c:pt idx="7">
                  <c:v>166</c:v>
                </c:pt>
                <c:pt idx="8">
                  <c:v>148</c:v>
                </c:pt>
                <c:pt idx="9">
                  <c:v>159</c:v>
                </c:pt>
                <c:pt idx="10">
                  <c:v>167</c:v>
                </c:pt>
                <c:pt idx="11">
                  <c:v>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NSOOBA-KYEBANDO'!$AD$9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NSOOBA-KYEBANDO'!$AD$10:$AD$21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69696"/>
        <c:axId val="186683776"/>
      </c:lineChart>
      <c:catAx>
        <c:axId val="186669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683776"/>
        <c:crosses val="autoZero"/>
        <c:auto val="1"/>
        <c:lblAlgn val="ctr"/>
        <c:lblOffset val="100"/>
        <c:noMultiLvlLbl val="0"/>
      </c:catAx>
      <c:valAx>
        <c:axId val="18668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66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NSOOBA-KYEBANDO'!$C$60:$N$60</c:f>
              <c:numCache>
                <c:formatCode>0.00%</c:formatCode>
                <c:ptCount val="12"/>
                <c:pt idx="0">
                  <c:v>0.52451539338654507</c:v>
                </c:pt>
                <c:pt idx="1">
                  <c:v>0.12086659064994298</c:v>
                </c:pt>
                <c:pt idx="2">
                  <c:v>6.0433295324971492E-2</c:v>
                </c:pt>
                <c:pt idx="3">
                  <c:v>0.23337134169517293</c:v>
                </c:pt>
                <c:pt idx="4">
                  <c:v>4.9410870391486126E-3</c:v>
                </c:pt>
                <c:pt idx="5">
                  <c:v>3.8008361839604712E-4</c:v>
                </c:pt>
                <c:pt idx="6">
                  <c:v>4.9790954009882177E-2</c:v>
                </c:pt>
                <c:pt idx="7">
                  <c:v>4.5610034207525657E-3</c:v>
                </c:pt>
                <c:pt idx="8">
                  <c:v>1.1402508551881414E-3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KYEBANDO-NSOOBA'!$AE$10:$AE$21</c:f>
              <c:numCache>
                <c:formatCode>0</c:formatCode>
                <c:ptCount val="12"/>
                <c:pt idx="0">
                  <c:v>92</c:v>
                </c:pt>
                <c:pt idx="1">
                  <c:v>107</c:v>
                </c:pt>
                <c:pt idx="2">
                  <c:v>131</c:v>
                </c:pt>
                <c:pt idx="3">
                  <c:v>239</c:v>
                </c:pt>
                <c:pt idx="4">
                  <c:v>197</c:v>
                </c:pt>
                <c:pt idx="5">
                  <c:v>210</c:v>
                </c:pt>
                <c:pt idx="6">
                  <c:v>192</c:v>
                </c:pt>
                <c:pt idx="7">
                  <c:v>178</c:v>
                </c:pt>
                <c:pt idx="8">
                  <c:v>159</c:v>
                </c:pt>
                <c:pt idx="9">
                  <c:v>253</c:v>
                </c:pt>
                <c:pt idx="10">
                  <c:v>358</c:v>
                </c:pt>
                <c:pt idx="11">
                  <c:v>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KYEBANDO-NSOOBA'!$AF$10:$AF$21</c:f>
              <c:numCache>
                <c:formatCode>0</c:formatCode>
                <c:ptCount val="12"/>
                <c:pt idx="0">
                  <c:v>328</c:v>
                </c:pt>
                <c:pt idx="1">
                  <c:v>512</c:v>
                </c:pt>
                <c:pt idx="2">
                  <c:v>425</c:v>
                </c:pt>
                <c:pt idx="3">
                  <c:v>586</c:v>
                </c:pt>
                <c:pt idx="4">
                  <c:v>480</c:v>
                </c:pt>
                <c:pt idx="5">
                  <c:v>475</c:v>
                </c:pt>
                <c:pt idx="6">
                  <c:v>392</c:v>
                </c:pt>
                <c:pt idx="7">
                  <c:v>392</c:v>
                </c:pt>
                <c:pt idx="8">
                  <c:v>377</c:v>
                </c:pt>
                <c:pt idx="9">
                  <c:v>469</c:v>
                </c:pt>
                <c:pt idx="10">
                  <c:v>733</c:v>
                </c:pt>
                <c:pt idx="11">
                  <c:v>689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23808"/>
        <c:axId val="186825728"/>
      </c:lineChart>
      <c:catAx>
        <c:axId val="186823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825728"/>
        <c:crosses val="autoZero"/>
        <c:auto val="1"/>
        <c:lblAlgn val="ctr"/>
        <c:lblOffset val="100"/>
        <c:noMultiLvlLbl val="0"/>
      </c:catAx>
      <c:valAx>
        <c:axId val="186825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682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KYEBANDO-NSOOBA'!$C$59:$N$59</c:f>
              <c:numCache>
                <c:formatCode>0.0%</c:formatCode>
                <c:ptCount val="12"/>
                <c:pt idx="0">
                  <c:v>0.22618641174462273</c:v>
                </c:pt>
                <c:pt idx="1">
                  <c:v>4.3188801638784566E-2</c:v>
                </c:pt>
                <c:pt idx="2">
                  <c:v>3.7726186411744619E-2</c:v>
                </c:pt>
                <c:pt idx="3">
                  <c:v>6.1625128030044385E-2</c:v>
                </c:pt>
                <c:pt idx="4">
                  <c:v>3.2434277910549677E-3</c:v>
                </c:pt>
                <c:pt idx="5">
                  <c:v>1.1949470809149881E-3</c:v>
                </c:pt>
                <c:pt idx="6">
                  <c:v>3.1410037555479685E-2</c:v>
                </c:pt>
                <c:pt idx="7">
                  <c:v>8.7060430180949128E-3</c:v>
                </c:pt>
                <c:pt idx="8">
                  <c:v>3.0727210652099694E-3</c:v>
                </c:pt>
                <c:pt idx="9">
                  <c:v>1.707067258449983E-4</c:v>
                </c:pt>
                <c:pt idx="10">
                  <c:v>0.58347558893820417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KYEBANDO-NSOOBA'!$S$9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KYEBANDO-NSOOBA'!$S$10:$S$21</c:f>
              <c:numCache>
                <c:formatCode>0</c:formatCode>
                <c:ptCount val="12"/>
                <c:pt idx="0">
                  <c:v>42</c:v>
                </c:pt>
                <c:pt idx="1">
                  <c:v>49</c:v>
                </c:pt>
                <c:pt idx="2">
                  <c:v>50</c:v>
                </c:pt>
                <c:pt idx="3">
                  <c:v>87</c:v>
                </c:pt>
                <c:pt idx="4">
                  <c:v>90</c:v>
                </c:pt>
                <c:pt idx="5">
                  <c:v>99</c:v>
                </c:pt>
                <c:pt idx="6">
                  <c:v>93</c:v>
                </c:pt>
                <c:pt idx="7">
                  <c:v>125</c:v>
                </c:pt>
                <c:pt idx="8">
                  <c:v>93</c:v>
                </c:pt>
                <c:pt idx="9">
                  <c:v>146</c:v>
                </c:pt>
                <c:pt idx="10">
                  <c:v>233</c:v>
                </c:pt>
                <c:pt idx="11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KYEBANDO-NSOOBA'!$T$9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KYEBANDO-NSOOBA'!$T$10:$T$21</c:f>
              <c:numCache>
                <c:formatCode>0</c:formatCode>
                <c:ptCount val="12"/>
                <c:pt idx="0">
                  <c:v>7</c:v>
                </c:pt>
                <c:pt idx="1">
                  <c:v>12</c:v>
                </c:pt>
                <c:pt idx="2">
                  <c:v>21</c:v>
                </c:pt>
                <c:pt idx="3">
                  <c:v>25</c:v>
                </c:pt>
                <c:pt idx="4">
                  <c:v>30</c:v>
                </c:pt>
                <c:pt idx="5">
                  <c:v>24</c:v>
                </c:pt>
                <c:pt idx="6">
                  <c:v>19</c:v>
                </c:pt>
                <c:pt idx="7">
                  <c:v>15</c:v>
                </c:pt>
                <c:pt idx="8">
                  <c:v>13</c:v>
                </c:pt>
                <c:pt idx="9">
                  <c:v>27</c:v>
                </c:pt>
                <c:pt idx="10">
                  <c:v>36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KYEBANDO-NSOOBA'!$U$9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KYEBANDO-NSOOBA'!$U$10:$U$21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16</c:v>
                </c:pt>
                <c:pt idx="3">
                  <c:v>25</c:v>
                </c:pt>
                <c:pt idx="4">
                  <c:v>27</c:v>
                </c:pt>
                <c:pt idx="5">
                  <c:v>16</c:v>
                </c:pt>
                <c:pt idx="6">
                  <c:v>25</c:v>
                </c:pt>
                <c:pt idx="7">
                  <c:v>9</c:v>
                </c:pt>
                <c:pt idx="8">
                  <c:v>17</c:v>
                </c:pt>
                <c:pt idx="9">
                  <c:v>28</c:v>
                </c:pt>
                <c:pt idx="10">
                  <c:v>26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KYEBANDO-NSOOBA'!$V$9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KYEBANDO-NSOOBA'!$V$10:$V$21</c:f>
              <c:numCache>
                <c:formatCode>0</c:formatCode>
                <c:ptCount val="12"/>
                <c:pt idx="0">
                  <c:v>23</c:v>
                </c:pt>
                <c:pt idx="1">
                  <c:v>24</c:v>
                </c:pt>
                <c:pt idx="2">
                  <c:v>29</c:v>
                </c:pt>
                <c:pt idx="3">
                  <c:v>56</c:v>
                </c:pt>
                <c:pt idx="4">
                  <c:v>26</c:v>
                </c:pt>
                <c:pt idx="5">
                  <c:v>36</c:v>
                </c:pt>
                <c:pt idx="6">
                  <c:v>32</c:v>
                </c:pt>
                <c:pt idx="7">
                  <c:v>11</c:v>
                </c:pt>
                <c:pt idx="8">
                  <c:v>18</c:v>
                </c:pt>
                <c:pt idx="9">
                  <c:v>30</c:v>
                </c:pt>
                <c:pt idx="10">
                  <c:v>35</c:v>
                </c:pt>
                <c:pt idx="1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KYEBANDO-NSOOBA'!$W$9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KYEBANDO-NSOOBA'!$X$9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KYEBANDO-NSOOBA'!$Y$9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KYEBANDO-NSOOBA'!$Y$10:$Y$21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9</c:v>
                </c:pt>
                <c:pt idx="3">
                  <c:v>26</c:v>
                </c:pt>
                <c:pt idx="4">
                  <c:v>15</c:v>
                </c:pt>
                <c:pt idx="5">
                  <c:v>23</c:v>
                </c:pt>
                <c:pt idx="6">
                  <c:v>15</c:v>
                </c:pt>
                <c:pt idx="7">
                  <c:v>13</c:v>
                </c:pt>
                <c:pt idx="8">
                  <c:v>17</c:v>
                </c:pt>
                <c:pt idx="9">
                  <c:v>16</c:v>
                </c:pt>
                <c:pt idx="10">
                  <c:v>19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KYEBANDO-NSOOBA'!$Z$9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KYEBANDO-NSOOBA'!$Z$10:$Z$21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8</c:v>
                </c:pt>
                <c:pt idx="6">
                  <c:v>5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KYEBANDO-NSOOBA'!$AA$9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KYEBANDO-NSOOBA'!$AB$9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KYEBANDO-NSOOBA'!$AC$9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KYEBANDO-NSOOBA'!$AC$10:$AC$21</c:f>
              <c:numCache>
                <c:formatCode>0</c:formatCode>
                <c:ptCount val="12"/>
                <c:pt idx="0">
                  <c:v>236</c:v>
                </c:pt>
                <c:pt idx="1">
                  <c:v>405</c:v>
                </c:pt>
                <c:pt idx="2">
                  <c:v>294</c:v>
                </c:pt>
                <c:pt idx="3">
                  <c:v>347</c:v>
                </c:pt>
                <c:pt idx="4">
                  <c:v>283</c:v>
                </c:pt>
                <c:pt idx="5">
                  <c:v>265</c:v>
                </c:pt>
                <c:pt idx="6">
                  <c:v>200</c:v>
                </c:pt>
                <c:pt idx="7">
                  <c:v>214</c:v>
                </c:pt>
                <c:pt idx="8">
                  <c:v>218</c:v>
                </c:pt>
                <c:pt idx="9">
                  <c:v>216</c:v>
                </c:pt>
                <c:pt idx="10">
                  <c:v>375</c:v>
                </c:pt>
                <c:pt idx="11">
                  <c:v>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KYEBANDO-NSOOBA'!$AD$9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KYEBANDO-NSOOBA'!$AD$10:$AD$21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038336"/>
        <c:axId val="191320448"/>
      </c:lineChart>
      <c:catAx>
        <c:axId val="18703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320448"/>
        <c:crosses val="autoZero"/>
        <c:auto val="1"/>
        <c:lblAlgn val="ctr"/>
        <c:lblOffset val="100"/>
        <c:noMultiLvlLbl val="0"/>
      </c:catAx>
      <c:valAx>
        <c:axId val="19132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703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KYEBANDO-NSOOBA'!$C$60:$N$60</c:f>
              <c:numCache>
                <c:formatCode>0.00%</c:formatCode>
                <c:ptCount val="12"/>
                <c:pt idx="0">
                  <c:v>0.54303278688524592</c:v>
                </c:pt>
                <c:pt idx="1">
                  <c:v>0.10368852459016394</c:v>
                </c:pt>
                <c:pt idx="2">
                  <c:v>9.0573770491803277E-2</c:v>
                </c:pt>
                <c:pt idx="3">
                  <c:v>0.14795081967213114</c:v>
                </c:pt>
                <c:pt idx="4">
                  <c:v>7.7868852459016397E-3</c:v>
                </c:pt>
                <c:pt idx="5">
                  <c:v>2.8688524590163933E-3</c:v>
                </c:pt>
                <c:pt idx="6">
                  <c:v>7.5409836065573776E-2</c:v>
                </c:pt>
                <c:pt idx="7">
                  <c:v>2.0901639344262295E-2</c:v>
                </c:pt>
                <c:pt idx="8">
                  <c:v>7.3770491803278691E-3</c:v>
                </c:pt>
                <c:pt idx="9">
                  <c:v>4.0983606557377049E-4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KYEBANDO-NSOOBA-24h'!$AE$9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KYEBANDO-NSOOBA-24h'!$R$10:$R$33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KYEBANDO-NSOOBA-24h'!$AE$10:$AE$33</c:f>
              <c:numCache>
                <c:formatCode>0</c:formatCode>
                <c:ptCount val="24"/>
                <c:pt idx="0">
                  <c:v>83</c:v>
                </c:pt>
                <c:pt idx="1">
                  <c:v>103</c:v>
                </c:pt>
                <c:pt idx="2">
                  <c:v>157</c:v>
                </c:pt>
                <c:pt idx="3">
                  <c:v>230</c:v>
                </c:pt>
                <c:pt idx="4">
                  <c:v>262</c:v>
                </c:pt>
                <c:pt idx="5">
                  <c:v>254</c:v>
                </c:pt>
                <c:pt idx="6">
                  <c:v>246</c:v>
                </c:pt>
                <c:pt idx="7">
                  <c:v>240</c:v>
                </c:pt>
                <c:pt idx="8">
                  <c:v>303</c:v>
                </c:pt>
                <c:pt idx="9">
                  <c:v>265</c:v>
                </c:pt>
                <c:pt idx="10">
                  <c:v>336</c:v>
                </c:pt>
                <c:pt idx="11">
                  <c:v>342</c:v>
                </c:pt>
                <c:pt idx="12">
                  <c:v>453</c:v>
                </c:pt>
                <c:pt idx="13">
                  <c:v>503</c:v>
                </c:pt>
                <c:pt idx="14">
                  <c:v>430</c:v>
                </c:pt>
                <c:pt idx="15">
                  <c:v>230</c:v>
                </c:pt>
                <c:pt idx="16">
                  <c:v>157</c:v>
                </c:pt>
                <c:pt idx="17">
                  <c:v>76</c:v>
                </c:pt>
                <c:pt idx="18">
                  <c:v>63</c:v>
                </c:pt>
                <c:pt idx="19">
                  <c:v>39</c:v>
                </c:pt>
                <c:pt idx="20">
                  <c:v>30</c:v>
                </c:pt>
                <c:pt idx="21">
                  <c:v>16</c:v>
                </c:pt>
                <c:pt idx="22">
                  <c:v>20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KYEBANDO-NSOOBA-24h'!$AF$9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KYEBANDO-NSOOBA-24h'!$R$10:$R$33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KYEBANDO-NSOOBA-24h'!$AF$10:$AF$33</c:f>
              <c:numCache>
                <c:formatCode>0</c:formatCode>
                <c:ptCount val="24"/>
                <c:pt idx="0">
                  <c:v>218</c:v>
                </c:pt>
                <c:pt idx="1">
                  <c:v>360</c:v>
                </c:pt>
                <c:pt idx="2">
                  <c:v>414</c:v>
                </c:pt>
                <c:pt idx="3">
                  <c:v>495</c:v>
                </c:pt>
                <c:pt idx="4">
                  <c:v>467</c:v>
                </c:pt>
                <c:pt idx="5">
                  <c:v>432</c:v>
                </c:pt>
                <c:pt idx="6">
                  <c:v>511</c:v>
                </c:pt>
                <c:pt idx="7">
                  <c:v>464</c:v>
                </c:pt>
                <c:pt idx="8">
                  <c:v>575</c:v>
                </c:pt>
                <c:pt idx="9">
                  <c:v>506</c:v>
                </c:pt>
                <c:pt idx="10">
                  <c:v>675</c:v>
                </c:pt>
                <c:pt idx="11">
                  <c:v>635</c:v>
                </c:pt>
                <c:pt idx="12">
                  <c:v>735</c:v>
                </c:pt>
                <c:pt idx="13">
                  <c:v>824</c:v>
                </c:pt>
                <c:pt idx="14">
                  <c:v>748</c:v>
                </c:pt>
                <c:pt idx="15">
                  <c:v>440</c:v>
                </c:pt>
                <c:pt idx="16">
                  <c:v>316</c:v>
                </c:pt>
                <c:pt idx="17">
                  <c:v>170</c:v>
                </c:pt>
                <c:pt idx="18">
                  <c:v>117</c:v>
                </c:pt>
                <c:pt idx="19">
                  <c:v>76</c:v>
                </c:pt>
                <c:pt idx="20">
                  <c:v>63</c:v>
                </c:pt>
                <c:pt idx="21">
                  <c:v>46</c:v>
                </c:pt>
                <c:pt idx="22">
                  <c:v>56</c:v>
                </c:pt>
                <c:pt idx="23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661952"/>
        <c:axId val="191717376"/>
      </c:lineChart>
      <c:catAx>
        <c:axId val="191661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17376"/>
        <c:crosses val="autoZero"/>
        <c:auto val="1"/>
        <c:lblAlgn val="ctr"/>
        <c:lblOffset val="100"/>
        <c:noMultiLvlLbl val="0"/>
      </c:catAx>
      <c:valAx>
        <c:axId val="191717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66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KYEBANDO-NSOOBA-24h'!$C$9:$N$9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KYEBANDO-NSOOBA-24h'!$C$107:$N$107</c:f>
              <c:numCache>
                <c:formatCode>0.0%</c:formatCode>
                <c:ptCount val="12"/>
                <c:pt idx="0">
                  <c:v>0.28434810328339177</c:v>
                </c:pt>
                <c:pt idx="1">
                  <c:v>3.9953246201253852E-2</c:v>
                </c:pt>
                <c:pt idx="2">
                  <c:v>3.6552969928806717E-2</c:v>
                </c:pt>
                <c:pt idx="3">
                  <c:v>0.10137073637233025</c:v>
                </c:pt>
                <c:pt idx="4">
                  <c:v>7.1193284454361917E-3</c:v>
                </c:pt>
                <c:pt idx="5">
                  <c:v>9.5632770162575704E-4</c:v>
                </c:pt>
                <c:pt idx="6">
                  <c:v>3.7509297630432474E-2</c:v>
                </c:pt>
                <c:pt idx="7">
                  <c:v>6.5880352778663271E-3</c:v>
                </c:pt>
                <c:pt idx="8">
                  <c:v>2.1251726702794602E-3</c:v>
                </c:pt>
                <c:pt idx="9">
                  <c:v>5.3129316756986506E-4</c:v>
                </c:pt>
                <c:pt idx="10">
                  <c:v>0.48294548932100734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KYEBANDO-NSOOBA-24h'!$C$9:$N$9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KYEBANDO-NSOOBA-24h'!$C$108:$N$108</c:f>
              <c:numCache>
                <c:formatCode>0.00%</c:formatCode>
                <c:ptCount val="12"/>
                <c:pt idx="0">
                  <c:v>0.54993834771886563</c:v>
                </c:pt>
                <c:pt idx="1">
                  <c:v>7.7270859021783808E-2</c:v>
                </c:pt>
                <c:pt idx="2">
                  <c:v>7.0694615700780936E-2</c:v>
                </c:pt>
                <c:pt idx="3">
                  <c:v>0.19605425400739829</c:v>
                </c:pt>
                <c:pt idx="4">
                  <c:v>1.3769009453349773E-2</c:v>
                </c:pt>
                <c:pt idx="5">
                  <c:v>1.8495684340320592E-3</c:v>
                </c:pt>
                <c:pt idx="6">
                  <c:v>7.2544184134812992E-2</c:v>
                </c:pt>
                <c:pt idx="7">
                  <c:v>1.2741471434443074E-2</c:v>
                </c:pt>
                <c:pt idx="8">
                  <c:v>4.110152075626798E-3</c:v>
                </c:pt>
                <c:pt idx="9">
                  <c:v>1.0275380189066995E-3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'03.80 NSOOBA-KYEBANDO-24h'!$AE$9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'03.80 NSOOBA-KYEBANDO-24h'!$R$10:$R$33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'03.80 NSOOBA-KYEBANDO-24h'!$AE$10:$AE$33</c:f>
              <c:numCache>
                <c:formatCode>0</c:formatCode>
                <c:ptCount val="24"/>
                <c:pt idx="0">
                  <c:v>260</c:v>
                </c:pt>
                <c:pt idx="1">
                  <c:v>403</c:v>
                </c:pt>
                <c:pt idx="2">
                  <c:v>460</c:v>
                </c:pt>
                <c:pt idx="3">
                  <c:v>335</c:v>
                </c:pt>
                <c:pt idx="4">
                  <c:v>296</c:v>
                </c:pt>
                <c:pt idx="5">
                  <c:v>236</c:v>
                </c:pt>
                <c:pt idx="6">
                  <c:v>192</c:v>
                </c:pt>
                <c:pt idx="7">
                  <c:v>157</c:v>
                </c:pt>
                <c:pt idx="8">
                  <c:v>152</c:v>
                </c:pt>
                <c:pt idx="9">
                  <c:v>176</c:v>
                </c:pt>
                <c:pt idx="10">
                  <c:v>158</c:v>
                </c:pt>
                <c:pt idx="11">
                  <c:v>146</c:v>
                </c:pt>
                <c:pt idx="12">
                  <c:v>145</c:v>
                </c:pt>
                <c:pt idx="13">
                  <c:v>156</c:v>
                </c:pt>
                <c:pt idx="14">
                  <c:v>130</c:v>
                </c:pt>
                <c:pt idx="15">
                  <c:v>87</c:v>
                </c:pt>
                <c:pt idx="16">
                  <c:v>43</c:v>
                </c:pt>
                <c:pt idx="17">
                  <c:v>29</c:v>
                </c:pt>
                <c:pt idx="18">
                  <c:v>11</c:v>
                </c:pt>
                <c:pt idx="19">
                  <c:v>11</c:v>
                </c:pt>
                <c:pt idx="20">
                  <c:v>4</c:v>
                </c:pt>
                <c:pt idx="21">
                  <c:v>5</c:v>
                </c:pt>
                <c:pt idx="22">
                  <c:v>22</c:v>
                </c:pt>
                <c:pt idx="23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'03.80 NSOOBA-KYEBANDO-24h'!$AF$9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'03.80 NSOOBA-KYEBANDO-24h'!$R$10:$R$33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'03.80 NSOOBA-KYEBANDO-24h'!$AF$10:$AF$33</c:f>
              <c:numCache>
                <c:formatCode>0</c:formatCode>
                <c:ptCount val="24"/>
                <c:pt idx="0">
                  <c:v>480</c:v>
                </c:pt>
                <c:pt idx="1">
                  <c:v>780</c:v>
                </c:pt>
                <c:pt idx="2">
                  <c:v>863</c:v>
                </c:pt>
                <c:pt idx="3">
                  <c:v>656</c:v>
                </c:pt>
                <c:pt idx="4">
                  <c:v>583</c:v>
                </c:pt>
                <c:pt idx="5">
                  <c:v>454</c:v>
                </c:pt>
                <c:pt idx="6">
                  <c:v>441</c:v>
                </c:pt>
                <c:pt idx="7">
                  <c:v>332</c:v>
                </c:pt>
                <c:pt idx="8">
                  <c:v>304</c:v>
                </c:pt>
                <c:pt idx="9">
                  <c:v>308</c:v>
                </c:pt>
                <c:pt idx="10">
                  <c:v>382</c:v>
                </c:pt>
                <c:pt idx="11">
                  <c:v>334</c:v>
                </c:pt>
                <c:pt idx="12">
                  <c:v>313</c:v>
                </c:pt>
                <c:pt idx="13">
                  <c:v>345</c:v>
                </c:pt>
                <c:pt idx="14">
                  <c:v>280</c:v>
                </c:pt>
                <c:pt idx="15">
                  <c:v>168</c:v>
                </c:pt>
                <c:pt idx="16">
                  <c:v>111</c:v>
                </c:pt>
                <c:pt idx="17">
                  <c:v>70</c:v>
                </c:pt>
                <c:pt idx="18">
                  <c:v>41</c:v>
                </c:pt>
                <c:pt idx="19">
                  <c:v>34</c:v>
                </c:pt>
                <c:pt idx="20">
                  <c:v>19</c:v>
                </c:pt>
                <c:pt idx="21">
                  <c:v>17</c:v>
                </c:pt>
                <c:pt idx="22">
                  <c:v>46</c:v>
                </c:pt>
                <c:pt idx="23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081280"/>
        <c:axId val="192267776"/>
      </c:lineChart>
      <c:catAx>
        <c:axId val="192081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267776"/>
        <c:crosses val="autoZero"/>
        <c:auto val="1"/>
        <c:lblAlgn val="ctr"/>
        <c:lblOffset val="100"/>
        <c:noMultiLvlLbl val="0"/>
      </c:catAx>
      <c:valAx>
        <c:axId val="192267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08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'03.80 NSOOBA-KYEBANDO-24h'!$C$9:$N$9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'03.80 NSOOBA-KYEBANDO-24h'!$C$107:$N$107</c:f>
              <c:numCache>
                <c:formatCode>0.0%</c:formatCode>
                <c:ptCount val="12"/>
                <c:pt idx="0">
                  <c:v>0.25507051712558765</c:v>
                </c:pt>
                <c:pt idx="1">
                  <c:v>6.9845533915379454E-2</c:v>
                </c:pt>
                <c:pt idx="2">
                  <c:v>3.0624580255204835E-2</c:v>
                </c:pt>
                <c:pt idx="3">
                  <c:v>9.2276695768972461E-2</c:v>
                </c:pt>
                <c:pt idx="4">
                  <c:v>3.6265950302216254E-3</c:v>
                </c:pt>
                <c:pt idx="5">
                  <c:v>4.0295500335795837E-4</c:v>
                </c:pt>
                <c:pt idx="6">
                  <c:v>3.7743451981195435E-2</c:v>
                </c:pt>
                <c:pt idx="7">
                  <c:v>2.0147750167897917E-3</c:v>
                </c:pt>
                <c:pt idx="8">
                  <c:v>1.2088650100738751E-3</c:v>
                </c:pt>
                <c:pt idx="9">
                  <c:v>0</c:v>
                </c:pt>
                <c:pt idx="10">
                  <c:v>0.5071860308932169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'03.80 NSOOBA-KYEBANDO-24h'!$C$9:$N$9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'03.80 NSOOBA-KYEBANDO-24h'!$C$108:$N$108</c:f>
              <c:numCache>
                <c:formatCode>0.00%</c:formatCode>
                <c:ptCount val="12"/>
                <c:pt idx="0">
                  <c:v>0.51757972199509406</c:v>
                </c:pt>
                <c:pt idx="1">
                  <c:v>0.14172799127827745</c:v>
                </c:pt>
                <c:pt idx="2">
                  <c:v>6.2142273098937037E-2</c:v>
                </c:pt>
                <c:pt idx="3">
                  <c:v>0.18724448078495504</c:v>
                </c:pt>
                <c:pt idx="4">
                  <c:v>7.3589533932951756E-3</c:v>
                </c:pt>
                <c:pt idx="5">
                  <c:v>8.1766148814390845E-4</c:v>
                </c:pt>
                <c:pt idx="6">
                  <c:v>7.6587626056146094E-2</c:v>
                </c:pt>
                <c:pt idx="7">
                  <c:v>4.0883074407195418E-3</c:v>
                </c:pt>
                <c:pt idx="8">
                  <c:v>2.4529844644317253E-3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87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'04.08.Nsooba-Kyebando'!$AE$10:$AE$21</c:f>
              <c:numCache>
                <c:formatCode>0</c:formatCode>
                <c:ptCount val="12"/>
                <c:pt idx="0">
                  <c:v>154</c:v>
                </c:pt>
                <c:pt idx="1">
                  <c:v>144</c:v>
                </c:pt>
                <c:pt idx="2">
                  <c:v>204</c:v>
                </c:pt>
                <c:pt idx="3">
                  <c:v>228</c:v>
                </c:pt>
                <c:pt idx="4">
                  <c:v>209</c:v>
                </c:pt>
                <c:pt idx="5">
                  <c:v>166</c:v>
                </c:pt>
                <c:pt idx="6">
                  <c:v>116</c:v>
                </c:pt>
                <c:pt idx="7">
                  <c:v>132</c:v>
                </c:pt>
                <c:pt idx="8">
                  <c:v>112</c:v>
                </c:pt>
                <c:pt idx="9">
                  <c:v>150</c:v>
                </c:pt>
                <c:pt idx="10">
                  <c:v>156</c:v>
                </c:pt>
                <c:pt idx="11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'04.08.Nsooba-Kyebando'!$AF$9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'04.08.Nsooba-Kyebando'!$AF$10:$AF$21</c:f>
              <c:numCache>
                <c:formatCode>0</c:formatCode>
                <c:ptCount val="12"/>
                <c:pt idx="0">
                  <c:v>154</c:v>
                </c:pt>
                <c:pt idx="1">
                  <c:v>144</c:v>
                </c:pt>
                <c:pt idx="2">
                  <c:v>204</c:v>
                </c:pt>
                <c:pt idx="3">
                  <c:v>228</c:v>
                </c:pt>
                <c:pt idx="4">
                  <c:v>209</c:v>
                </c:pt>
                <c:pt idx="5">
                  <c:v>166</c:v>
                </c:pt>
                <c:pt idx="6">
                  <c:v>116</c:v>
                </c:pt>
                <c:pt idx="7">
                  <c:v>132</c:v>
                </c:pt>
                <c:pt idx="8">
                  <c:v>112</c:v>
                </c:pt>
                <c:pt idx="9">
                  <c:v>150</c:v>
                </c:pt>
                <c:pt idx="10">
                  <c:v>156</c:v>
                </c:pt>
                <c:pt idx="11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889216"/>
        <c:axId val="192891136"/>
      </c:lineChart>
      <c:catAx>
        <c:axId val="19288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891136"/>
        <c:crosses val="autoZero"/>
        <c:auto val="1"/>
        <c:lblAlgn val="ctr"/>
        <c:lblOffset val="100"/>
        <c:noMultiLvlLbl val="0"/>
      </c:catAx>
      <c:valAx>
        <c:axId val="192891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8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'04.08.Nsooba-Kyebando'!$C$59:$N$59</c:f>
              <c:numCache>
                <c:formatCode>0.0%</c:formatCode>
                <c:ptCount val="12"/>
                <c:pt idx="0">
                  <c:v>0.65187891440501045</c:v>
                </c:pt>
                <c:pt idx="1">
                  <c:v>0.12265135699373696</c:v>
                </c:pt>
                <c:pt idx="2">
                  <c:v>4.7494780793319417E-2</c:v>
                </c:pt>
                <c:pt idx="3">
                  <c:v>0.17640918580375783</c:v>
                </c:pt>
                <c:pt idx="4">
                  <c:v>1.5657620041753654E-3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76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'04.08.Nsooba-Kyebando'!$S$9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'04.08.Nsooba-Kyebando'!$S$10:$S$21</c:f>
              <c:numCache>
                <c:formatCode>0</c:formatCode>
                <c:ptCount val="12"/>
                <c:pt idx="0">
                  <c:v>93</c:v>
                </c:pt>
                <c:pt idx="1">
                  <c:v>87</c:v>
                </c:pt>
                <c:pt idx="2">
                  <c:v>126</c:v>
                </c:pt>
                <c:pt idx="3">
                  <c:v>149</c:v>
                </c:pt>
                <c:pt idx="4">
                  <c:v>140</c:v>
                </c:pt>
                <c:pt idx="5">
                  <c:v>105</c:v>
                </c:pt>
                <c:pt idx="6">
                  <c:v>75</c:v>
                </c:pt>
                <c:pt idx="7">
                  <c:v>89</c:v>
                </c:pt>
                <c:pt idx="8">
                  <c:v>74</c:v>
                </c:pt>
                <c:pt idx="9">
                  <c:v>98</c:v>
                </c:pt>
                <c:pt idx="10">
                  <c:v>114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'04.08.Nsooba-Kyebando'!$T$9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'04.08.Nsooba-Kyebando'!$T$10:$T$21</c:f>
              <c:numCache>
                <c:formatCode>0</c:formatCode>
                <c:ptCount val="12"/>
                <c:pt idx="0">
                  <c:v>25</c:v>
                </c:pt>
                <c:pt idx="1">
                  <c:v>15</c:v>
                </c:pt>
                <c:pt idx="2">
                  <c:v>28</c:v>
                </c:pt>
                <c:pt idx="3">
                  <c:v>33</c:v>
                </c:pt>
                <c:pt idx="4">
                  <c:v>27</c:v>
                </c:pt>
                <c:pt idx="5">
                  <c:v>20</c:v>
                </c:pt>
                <c:pt idx="6">
                  <c:v>20</c:v>
                </c:pt>
                <c:pt idx="7">
                  <c:v>13</c:v>
                </c:pt>
                <c:pt idx="8">
                  <c:v>14</c:v>
                </c:pt>
                <c:pt idx="9">
                  <c:v>18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'04.08.Nsooba-Kyebando'!$U$9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10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7</c:v>
                </c:pt>
                <c:pt idx="7">
                  <c:v>9</c:v>
                </c:pt>
                <c:pt idx="8">
                  <c:v>5</c:v>
                </c:pt>
                <c:pt idx="9">
                  <c:v>9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'04.08.Nsooba-Kyebando'!$V$9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'04.08.Nsooba-Kyebando'!$V$10:$V$21</c:f>
              <c:numCache>
                <c:formatCode>0</c:formatCode>
                <c:ptCount val="12"/>
                <c:pt idx="0">
                  <c:v>31</c:v>
                </c:pt>
                <c:pt idx="1">
                  <c:v>36</c:v>
                </c:pt>
                <c:pt idx="2">
                  <c:v>40</c:v>
                </c:pt>
                <c:pt idx="3">
                  <c:v>38</c:v>
                </c:pt>
                <c:pt idx="4">
                  <c:v>34</c:v>
                </c:pt>
                <c:pt idx="5">
                  <c:v>31</c:v>
                </c:pt>
                <c:pt idx="6">
                  <c:v>14</c:v>
                </c:pt>
                <c:pt idx="7">
                  <c:v>21</c:v>
                </c:pt>
                <c:pt idx="8">
                  <c:v>19</c:v>
                </c:pt>
                <c:pt idx="9">
                  <c:v>25</c:v>
                </c:pt>
                <c:pt idx="10">
                  <c:v>21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'04.08.Nsooba-Kyebando'!$W$9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'04.08.Nsooba-Kyebando'!$X$9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'04.08.Nsooba-Kyebando'!$Y$9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'04.08.Nsooba-Kyebando'!$Z$9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'04.08.Nsooba-Kyebando'!$AA$9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'04.08.Nsooba-Kyebando'!$AB$9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'04.08.Nsooba-Kyebando'!$AC$9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'04.08.Nsooba-Kyebando'!$AD$9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'04.08.Nsooba-Kyebando'!$AD$10:$AD$21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292160"/>
        <c:axId val="193293696"/>
      </c:lineChart>
      <c:catAx>
        <c:axId val="19329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293696"/>
        <c:crosses val="autoZero"/>
        <c:auto val="1"/>
        <c:lblAlgn val="ctr"/>
        <c:lblOffset val="100"/>
        <c:noMultiLvlLbl val="0"/>
      </c:catAx>
      <c:valAx>
        <c:axId val="19329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29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81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'04.08.Nsooba-Kyebando'!$C$60:$N$60</c:f>
              <c:numCache>
                <c:formatCode>0.00%</c:formatCode>
                <c:ptCount val="12"/>
                <c:pt idx="0">
                  <c:v>0.65187891440501045</c:v>
                </c:pt>
                <c:pt idx="1">
                  <c:v>0.12265135699373696</c:v>
                </c:pt>
                <c:pt idx="2">
                  <c:v>4.7494780793319417E-2</c:v>
                </c:pt>
                <c:pt idx="3">
                  <c:v>0.17640918580375783</c:v>
                </c:pt>
                <c:pt idx="4">
                  <c:v>1.5657620041753654E-3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'4.08.Nsooba-Kyebando'!$AE$9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'4.08.Nsooba-Kyebando'!$AE$10:$AE$21</c:f>
              <c:numCache>
                <c:formatCode>0</c:formatCode>
                <c:ptCount val="12"/>
                <c:pt idx="0">
                  <c:v>162</c:v>
                </c:pt>
                <c:pt idx="1">
                  <c:v>151</c:v>
                </c:pt>
                <c:pt idx="2">
                  <c:v>216</c:v>
                </c:pt>
                <c:pt idx="3">
                  <c:v>240</c:v>
                </c:pt>
                <c:pt idx="4">
                  <c:v>221</c:v>
                </c:pt>
                <c:pt idx="5">
                  <c:v>186</c:v>
                </c:pt>
                <c:pt idx="6">
                  <c:v>128</c:v>
                </c:pt>
                <c:pt idx="7">
                  <c:v>144</c:v>
                </c:pt>
                <c:pt idx="8">
                  <c:v>126</c:v>
                </c:pt>
                <c:pt idx="9">
                  <c:v>162</c:v>
                </c:pt>
                <c:pt idx="10">
                  <c:v>171</c:v>
                </c:pt>
                <c:pt idx="11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'4.08.Nsooba-Kyebando'!$AF$9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'4.08.Nsooba-Kyebando'!$AF$10:$AF$21</c:f>
              <c:numCache>
                <c:formatCode>0</c:formatCode>
                <c:ptCount val="12"/>
                <c:pt idx="0">
                  <c:v>316</c:v>
                </c:pt>
                <c:pt idx="1">
                  <c:v>365</c:v>
                </c:pt>
                <c:pt idx="2">
                  <c:v>475</c:v>
                </c:pt>
                <c:pt idx="3">
                  <c:v>483</c:v>
                </c:pt>
                <c:pt idx="4">
                  <c:v>458</c:v>
                </c:pt>
                <c:pt idx="5">
                  <c:v>348</c:v>
                </c:pt>
                <c:pt idx="6">
                  <c:v>273</c:v>
                </c:pt>
                <c:pt idx="7">
                  <c:v>342</c:v>
                </c:pt>
                <c:pt idx="8">
                  <c:v>323</c:v>
                </c:pt>
                <c:pt idx="9">
                  <c:v>352</c:v>
                </c:pt>
                <c:pt idx="10">
                  <c:v>353</c:v>
                </c:pt>
                <c:pt idx="11">
                  <c:v>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5597056"/>
        <c:axId val="195598976"/>
      </c:lineChart>
      <c:catAx>
        <c:axId val="195597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598976"/>
        <c:crosses val="autoZero"/>
        <c:auto val="1"/>
        <c:lblAlgn val="ctr"/>
        <c:lblOffset val="100"/>
        <c:noMultiLvlLbl val="0"/>
      </c:catAx>
      <c:valAx>
        <c:axId val="195598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59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'4.08.Nsooba-Kyebando'!$C$9:$N$9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'4.08.Nsooba-Kyebando'!$C$59:$N$59</c:f>
              <c:numCache>
                <c:formatCode>0.0%</c:formatCode>
                <c:ptCount val="12"/>
                <c:pt idx="0">
                  <c:v>0.28686265502985758</c:v>
                </c:pt>
                <c:pt idx="1">
                  <c:v>5.3973357831878732E-2</c:v>
                </c:pt>
                <c:pt idx="2">
                  <c:v>2.0900321543408359E-2</c:v>
                </c:pt>
                <c:pt idx="3">
                  <c:v>7.7629765732659617E-2</c:v>
                </c:pt>
                <c:pt idx="4">
                  <c:v>6.8902158934313273E-4</c:v>
                </c:pt>
                <c:pt idx="5">
                  <c:v>0</c:v>
                </c:pt>
                <c:pt idx="6">
                  <c:v>2.0440973817179606E-2</c:v>
                </c:pt>
                <c:pt idx="7">
                  <c:v>5.5121727147450618E-3</c:v>
                </c:pt>
                <c:pt idx="8">
                  <c:v>7.1198897565457053E-3</c:v>
                </c:pt>
                <c:pt idx="9">
                  <c:v>9.1869545245751034E-4</c:v>
                </c:pt>
                <c:pt idx="10">
                  <c:v>0.54823151125401925</c:v>
                </c:pt>
                <c:pt idx="11">
                  <c:v>4.5934772622875517E-4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'4.08.Nsooba-Kyebando'!$S$9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'4.08.Nsooba-Kyebando'!$S$10:$S$21</c:f>
              <c:numCache>
                <c:formatCode>0</c:formatCode>
                <c:ptCount val="12"/>
                <c:pt idx="0">
                  <c:v>93</c:v>
                </c:pt>
                <c:pt idx="1">
                  <c:v>87</c:v>
                </c:pt>
                <c:pt idx="2">
                  <c:v>126</c:v>
                </c:pt>
                <c:pt idx="3">
                  <c:v>149</c:v>
                </c:pt>
                <c:pt idx="4">
                  <c:v>140</c:v>
                </c:pt>
                <c:pt idx="5">
                  <c:v>105</c:v>
                </c:pt>
                <c:pt idx="6">
                  <c:v>75</c:v>
                </c:pt>
                <c:pt idx="7">
                  <c:v>89</c:v>
                </c:pt>
                <c:pt idx="8">
                  <c:v>74</c:v>
                </c:pt>
                <c:pt idx="9">
                  <c:v>98</c:v>
                </c:pt>
                <c:pt idx="10">
                  <c:v>114</c:v>
                </c:pt>
                <c:pt idx="11">
                  <c:v>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'4.08.Nsooba-Kyebando'!$T$9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'4.08.Nsooba-Kyebando'!$T$10:$T$21</c:f>
              <c:numCache>
                <c:formatCode>0</c:formatCode>
                <c:ptCount val="12"/>
                <c:pt idx="0">
                  <c:v>25</c:v>
                </c:pt>
                <c:pt idx="1">
                  <c:v>15</c:v>
                </c:pt>
                <c:pt idx="2">
                  <c:v>28</c:v>
                </c:pt>
                <c:pt idx="3">
                  <c:v>33</c:v>
                </c:pt>
                <c:pt idx="4">
                  <c:v>27</c:v>
                </c:pt>
                <c:pt idx="5">
                  <c:v>20</c:v>
                </c:pt>
                <c:pt idx="6">
                  <c:v>20</c:v>
                </c:pt>
                <c:pt idx="7">
                  <c:v>13</c:v>
                </c:pt>
                <c:pt idx="8">
                  <c:v>14</c:v>
                </c:pt>
                <c:pt idx="9">
                  <c:v>18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'4.08.Nsooba-Kyebando'!$U$9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10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7</c:v>
                </c:pt>
                <c:pt idx="7">
                  <c:v>9</c:v>
                </c:pt>
                <c:pt idx="8">
                  <c:v>5</c:v>
                </c:pt>
                <c:pt idx="9">
                  <c:v>9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'4.08.Nsooba-Kyebando'!$V$9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'4.08.Nsooba-Kyebando'!$V$10:$V$21</c:f>
              <c:numCache>
                <c:formatCode>0</c:formatCode>
                <c:ptCount val="12"/>
                <c:pt idx="0">
                  <c:v>31</c:v>
                </c:pt>
                <c:pt idx="1">
                  <c:v>36</c:v>
                </c:pt>
                <c:pt idx="2">
                  <c:v>40</c:v>
                </c:pt>
                <c:pt idx="3">
                  <c:v>38</c:v>
                </c:pt>
                <c:pt idx="4">
                  <c:v>34</c:v>
                </c:pt>
                <c:pt idx="5">
                  <c:v>31</c:v>
                </c:pt>
                <c:pt idx="6">
                  <c:v>14</c:v>
                </c:pt>
                <c:pt idx="7">
                  <c:v>21</c:v>
                </c:pt>
                <c:pt idx="8">
                  <c:v>19</c:v>
                </c:pt>
                <c:pt idx="9">
                  <c:v>25</c:v>
                </c:pt>
                <c:pt idx="10">
                  <c:v>21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'4.08.Nsooba-Kyebando'!$W$9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'4.08.Nsooba-Kyebando'!$X$9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'4.08.Nsooba-Kyebando'!$Y$9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'4.08.Nsooba-Kyebando'!$Y$10:$Y$21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6</c:v>
                </c:pt>
                <c:pt idx="4">
                  <c:v>8</c:v>
                </c:pt>
                <c:pt idx="5">
                  <c:v>7</c:v>
                </c:pt>
                <c:pt idx="6">
                  <c:v>5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'4.08.Nsooba-Kyebando'!$Z$9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'4.08.Nsooba-Kyebando'!$AA$9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'4.08.Nsooba-Kyebando'!$AB$9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'4.08.Nsooba-Kyebando'!$AC$9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'4.08.Nsooba-Kyebando'!$AC$10:$AC$21</c:f>
              <c:numCache>
                <c:formatCode>0</c:formatCode>
                <c:ptCount val="12"/>
                <c:pt idx="0">
                  <c:v>154</c:v>
                </c:pt>
                <c:pt idx="1">
                  <c:v>214</c:v>
                </c:pt>
                <c:pt idx="2">
                  <c:v>259</c:v>
                </c:pt>
                <c:pt idx="3">
                  <c:v>243</c:v>
                </c:pt>
                <c:pt idx="4">
                  <c:v>237</c:v>
                </c:pt>
                <c:pt idx="5">
                  <c:v>162</c:v>
                </c:pt>
                <c:pt idx="6">
                  <c:v>145</c:v>
                </c:pt>
                <c:pt idx="7">
                  <c:v>198</c:v>
                </c:pt>
                <c:pt idx="8">
                  <c:v>197</c:v>
                </c:pt>
                <c:pt idx="9">
                  <c:v>190</c:v>
                </c:pt>
                <c:pt idx="10">
                  <c:v>182</c:v>
                </c:pt>
                <c:pt idx="11">
                  <c:v>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'4.08.Nsooba-Kyebando'!$AD$9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'4.08.Nsooba-Kyebando'!$R$10:$R$21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'4.08.Nsooba-Kyebando'!$AD$10:$AD$21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938560"/>
        <c:axId val="196018176"/>
      </c:lineChart>
      <c:catAx>
        <c:axId val="19593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6018176"/>
        <c:crosses val="autoZero"/>
        <c:auto val="1"/>
        <c:lblAlgn val="ctr"/>
        <c:lblOffset val="100"/>
        <c:noMultiLvlLbl val="0"/>
      </c:catAx>
      <c:valAx>
        <c:axId val="19601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'4.08.Nsooba-Kyebando'!$C$9:$N$9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'4.08.Nsooba-Kyebando'!$C$60:$N$60</c:f>
              <c:numCache>
                <c:formatCode>0.00%</c:formatCode>
                <c:ptCount val="12"/>
                <c:pt idx="0">
                  <c:v>0.61831683168316831</c:v>
                </c:pt>
                <c:pt idx="1">
                  <c:v>0.11633663366336634</c:v>
                </c:pt>
                <c:pt idx="2">
                  <c:v>4.5049504950495048E-2</c:v>
                </c:pt>
                <c:pt idx="3">
                  <c:v>0.16732673267326734</c:v>
                </c:pt>
                <c:pt idx="4">
                  <c:v>1.4851485148514852E-3</c:v>
                </c:pt>
                <c:pt idx="5">
                  <c:v>0</c:v>
                </c:pt>
                <c:pt idx="6">
                  <c:v>4.4059405940594057E-2</c:v>
                </c:pt>
                <c:pt idx="7">
                  <c:v>1.1881188118811881E-2</c:v>
                </c:pt>
                <c:pt idx="8">
                  <c:v>1.5346534653465346E-2</c:v>
                </c:pt>
                <c:pt idx="9">
                  <c:v>1.9801980198019802E-3</c:v>
                </c:pt>
                <c:pt idx="11">
                  <c:v>9.9009900990099011E-4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'4.08.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'4.08.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 Kyebando-Nsooba'!$AE$10:$AE$21</c:f>
              <c:numCache>
                <c:formatCode>0</c:formatCode>
                <c:ptCount val="12"/>
                <c:pt idx="0">
                  <c:v>58</c:v>
                </c:pt>
                <c:pt idx="1">
                  <c:v>124</c:v>
                </c:pt>
                <c:pt idx="2">
                  <c:v>166</c:v>
                </c:pt>
                <c:pt idx="3">
                  <c:v>179</c:v>
                </c:pt>
                <c:pt idx="4">
                  <c:v>214</c:v>
                </c:pt>
                <c:pt idx="5">
                  <c:v>230</c:v>
                </c:pt>
                <c:pt idx="6">
                  <c:v>236</c:v>
                </c:pt>
                <c:pt idx="7">
                  <c:v>211</c:v>
                </c:pt>
                <c:pt idx="8">
                  <c:v>136</c:v>
                </c:pt>
                <c:pt idx="9">
                  <c:v>216</c:v>
                </c:pt>
                <c:pt idx="10">
                  <c:v>242</c:v>
                </c:pt>
                <c:pt idx="11">
                  <c:v>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'4.08.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'4.08.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 Kyebando-Nsooba'!$AF$10:$AF$21</c:f>
              <c:numCache>
                <c:formatCode>0</c:formatCode>
                <c:ptCount val="12"/>
                <c:pt idx="0">
                  <c:v>186</c:v>
                </c:pt>
                <c:pt idx="1">
                  <c:v>360</c:v>
                </c:pt>
                <c:pt idx="2">
                  <c:v>435</c:v>
                </c:pt>
                <c:pt idx="3">
                  <c:v>399</c:v>
                </c:pt>
                <c:pt idx="4">
                  <c:v>453</c:v>
                </c:pt>
                <c:pt idx="5">
                  <c:v>476</c:v>
                </c:pt>
                <c:pt idx="6">
                  <c:v>429</c:v>
                </c:pt>
                <c:pt idx="7">
                  <c:v>426</c:v>
                </c:pt>
                <c:pt idx="8">
                  <c:v>291</c:v>
                </c:pt>
                <c:pt idx="9">
                  <c:v>449</c:v>
                </c:pt>
                <c:pt idx="10">
                  <c:v>518</c:v>
                </c:pt>
                <c:pt idx="11">
                  <c:v>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0976"/>
        <c:axId val="193632896"/>
      </c:lineChart>
      <c:catAx>
        <c:axId val="193630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632896"/>
        <c:crosses val="autoZero"/>
        <c:auto val="1"/>
        <c:lblAlgn val="ctr"/>
        <c:lblOffset val="100"/>
        <c:noMultiLvlLbl val="0"/>
      </c:catAx>
      <c:valAx>
        <c:axId val="193632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63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'4.08.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'4.08. Kyebando-Nsooba'!$C$59:$N$59</c:f>
              <c:numCache>
                <c:formatCode>0.0%</c:formatCode>
                <c:ptCount val="12"/>
                <c:pt idx="0">
                  <c:v>0.25831150513802137</c:v>
                </c:pt>
                <c:pt idx="1">
                  <c:v>5.178319564779367E-2</c:v>
                </c:pt>
                <c:pt idx="2">
                  <c:v>3.2843038484787423E-2</c:v>
                </c:pt>
                <c:pt idx="3">
                  <c:v>7.7171065887568002E-2</c:v>
                </c:pt>
                <c:pt idx="4">
                  <c:v>1.611928269192021E-3</c:v>
                </c:pt>
                <c:pt idx="5">
                  <c:v>2.0149103364900262E-4</c:v>
                </c:pt>
                <c:pt idx="6">
                  <c:v>2.3574450936933306E-2</c:v>
                </c:pt>
                <c:pt idx="7">
                  <c:v>4.8357848075760625E-3</c:v>
                </c:pt>
                <c:pt idx="8">
                  <c:v>1.0276042716099134E-2</c:v>
                </c:pt>
                <c:pt idx="9">
                  <c:v>0</c:v>
                </c:pt>
                <c:pt idx="10">
                  <c:v>0.55289139633286322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'4.08. Kyebando-Nsooba'!$S$9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'4.08.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 Kyebando-Nsooba'!$S$10:$S$21</c:f>
              <c:numCache>
                <c:formatCode>0</c:formatCode>
                <c:ptCount val="12"/>
                <c:pt idx="0">
                  <c:v>28</c:v>
                </c:pt>
                <c:pt idx="1">
                  <c:v>66</c:v>
                </c:pt>
                <c:pt idx="2">
                  <c:v>88</c:v>
                </c:pt>
                <c:pt idx="3">
                  <c:v>88</c:v>
                </c:pt>
                <c:pt idx="4">
                  <c:v>118</c:v>
                </c:pt>
                <c:pt idx="5">
                  <c:v>138</c:v>
                </c:pt>
                <c:pt idx="6">
                  <c:v>126</c:v>
                </c:pt>
                <c:pt idx="7">
                  <c:v>126</c:v>
                </c:pt>
                <c:pt idx="8">
                  <c:v>88</c:v>
                </c:pt>
                <c:pt idx="9">
                  <c:v>134</c:v>
                </c:pt>
                <c:pt idx="10">
                  <c:v>135</c:v>
                </c:pt>
                <c:pt idx="11">
                  <c:v>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'4.08. Kyebando-Nsooba'!$T$9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'4.08. 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'4.08. Kyebando-Nsooba'!$T$10:$T$21</c:f>
              <c:numCache>
                <c:formatCode>0</c:formatCode>
                <c:ptCount val="12"/>
                <c:pt idx="0">
                  <c:v>4</c:v>
                </c:pt>
                <c:pt idx="1">
                  <c:v>12</c:v>
                </c:pt>
                <c:pt idx="2">
                  <c:v>12</c:v>
                </c:pt>
                <c:pt idx="3">
                  <c:v>20</c:v>
                </c:pt>
                <c:pt idx="4">
                  <c:v>27</c:v>
                </c:pt>
                <c:pt idx="5">
                  <c:v>22</c:v>
                </c:pt>
                <c:pt idx="6">
                  <c:v>32</c:v>
                </c:pt>
                <c:pt idx="7">
                  <c:v>24</c:v>
                </c:pt>
                <c:pt idx="8">
                  <c:v>21</c:v>
                </c:pt>
                <c:pt idx="9">
                  <c:v>23</c:v>
                </c:pt>
                <c:pt idx="10">
                  <c:v>29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'4.08. Kyebando-Nsooba'!$U$9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Kyebando-Nsooba'!$U$10:$U$21</c:f>
              <c:numCache>
                <c:formatCode>0</c:formatCode>
                <c:ptCount val="12"/>
                <c:pt idx="0">
                  <c:v>5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9</c:v>
                </c:pt>
                <c:pt idx="5">
                  <c:v>13</c:v>
                </c:pt>
                <c:pt idx="6">
                  <c:v>24</c:v>
                </c:pt>
                <c:pt idx="7">
                  <c:v>18</c:v>
                </c:pt>
                <c:pt idx="8">
                  <c:v>11</c:v>
                </c:pt>
                <c:pt idx="9">
                  <c:v>14</c:v>
                </c:pt>
                <c:pt idx="10">
                  <c:v>24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'4.08. Kyebando-Nsooba'!$V$9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Kyebando-Nsooba'!$V$10:$V$21</c:f>
              <c:numCache>
                <c:formatCode>0</c:formatCode>
                <c:ptCount val="12"/>
                <c:pt idx="0">
                  <c:v>19</c:v>
                </c:pt>
                <c:pt idx="1">
                  <c:v>27</c:v>
                </c:pt>
                <c:pt idx="2">
                  <c:v>40</c:v>
                </c:pt>
                <c:pt idx="3">
                  <c:v>43</c:v>
                </c:pt>
                <c:pt idx="4">
                  <c:v>43</c:v>
                </c:pt>
                <c:pt idx="5">
                  <c:v>36</c:v>
                </c:pt>
                <c:pt idx="6">
                  <c:v>30</c:v>
                </c:pt>
                <c:pt idx="7">
                  <c:v>28</c:v>
                </c:pt>
                <c:pt idx="8">
                  <c:v>23</c:v>
                </c:pt>
                <c:pt idx="9">
                  <c:v>22</c:v>
                </c:pt>
                <c:pt idx="10">
                  <c:v>33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'4.08. Kyebando-Nsooba'!$W$9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'4.08. Kyebando-Nsooba'!$X$9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'4.08. Kyebando-Nsooba'!$Y$9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10</c:v>
                </c:pt>
                <c:pt idx="3">
                  <c:v>16</c:v>
                </c:pt>
                <c:pt idx="4">
                  <c:v>6</c:v>
                </c:pt>
                <c:pt idx="5">
                  <c:v>13</c:v>
                </c:pt>
                <c:pt idx="6">
                  <c:v>15</c:v>
                </c:pt>
                <c:pt idx="7">
                  <c:v>7</c:v>
                </c:pt>
                <c:pt idx="8">
                  <c:v>7</c:v>
                </c:pt>
                <c:pt idx="9">
                  <c:v>17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'4.08. Kyebando-Nsooba'!$Z$9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  <c:pt idx="9">
                  <c:v>1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'4.08. Kyebando-Nsooba'!$AA$9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'4.08. Kyebando-Nsooba'!$AB$9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'4.08. Kyebando-Nsooba'!$AC$9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Kyebando-Nsooba'!$AC$10:$AC$21</c:f>
              <c:numCache>
                <c:formatCode>0</c:formatCode>
                <c:ptCount val="12"/>
                <c:pt idx="0">
                  <c:v>128</c:v>
                </c:pt>
                <c:pt idx="1">
                  <c:v>236</c:v>
                </c:pt>
                <c:pt idx="2">
                  <c:v>269</c:v>
                </c:pt>
                <c:pt idx="3">
                  <c:v>220</c:v>
                </c:pt>
                <c:pt idx="4">
                  <c:v>239</c:v>
                </c:pt>
                <c:pt idx="5">
                  <c:v>246</c:v>
                </c:pt>
                <c:pt idx="6">
                  <c:v>193</c:v>
                </c:pt>
                <c:pt idx="7">
                  <c:v>215</c:v>
                </c:pt>
                <c:pt idx="8">
                  <c:v>199</c:v>
                </c:pt>
                <c:pt idx="9">
                  <c:v>233</c:v>
                </c:pt>
                <c:pt idx="10">
                  <c:v>276</c:v>
                </c:pt>
                <c:pt idx="11">
                  <c:v>290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'4.08. Kyebando-Nsooba'!$AD$9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'4.08. Kyebando-Nsooba'!$AD$10:$AD$21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06944"/>
        <c:axId val="193916928"/>
      </c:lineChart>
      <c:catAx>
        <c:axId val="19390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916928"/>
        <c:crosses val="autoZero"/>
        <c:auto val="1"/>
        <c:lblAlgn val="ctr"/>
        <c:lblOffset val="100"/>
        <c:noMultiLvlLbl val="0"/>
      </c:catAx>
      <c:valAx>
        <c:axId val="19391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390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'4.08.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'4.08. Kyebando-Nsooba'!$C$60:$N$60</c:f>
              <c:numCache>
                <c:formatCode>0.00%</c:formatCode>
                <c:ptCount val="12"/>
                <c:pt idx="0">
                  <c:v>0.56650463985859478</c:v>
                </c:pt>
                <c:pt idx="1">
                  <c:v>0.11356606274856386</c:v>
                </c:pt>
                <c:pt idx="2">
                  <c:v>7.2028281042863462E-2</c:v>
                </c:pt>
                <c:pt idx="3">
                  <c:v>0.16924436588599204</c:v>
                </c:pt>
                <c:pt idx="4">
                  <c:v>3.5351303579319489E-3</c:v>
                </c:pt>
                <c:pt idx="5">
                  <c:v>4.4189129474149361E-4</c:v>
                </c:pt>
                <c:pt idx="6">
                  <c:v>5.1701281484754752E-2</c:v>
                </c:pt>
                <c:pt idx="7">
                  <c:v>1.0605391073795847E-2</c:v>
                </c:pt>
                <c:pt idx="8">
                  <c:v>2.2536456031816175E-2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'04.08.Kyebando-Nsooba'!$R$10:$R$21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'04.08.Kyebando-Nsooba'!$AE$10:$AE$21</c:f>
              <c:numCache>
                <c:formatCode>0</c:formatCode>
                <c:ptCount val="12"/>
                <c:pt idx="0">
                  <c:v>552</c:v>
                </c:pt>
                <c:pt idx="1">
                  <c:v>633</c:v>
                </c:pt>
                <c:pt idx="2">
                  <c:v>635</c:v>
                </c:pt>
                <c:pt idx="3">
                  <c:v>644</c:v>
                </c:pt>
                <c:pt idx="4">
                  <c:v>442</c:v>
                </c:pt>
                <c:pt idx="5">
                  <c:v>271</c:v>
                </c:pt>
                <c:pt idx="6">
                  <c:v>298</c:v>
                </c:pt>
                <c:pt idx="7">
                  <c:v>208</c:v>
                </c:pt>
                <c:pt idx="8">
                  <c:v>302</c:v>
                </c:pt>
                <c:pt idx="9">
                  <c:v>336</c:v>
                </c:pt>
                <c:pt idx="10">
                  <c:v>323</c:v>
                </c:pt>
                <c:pt idx="11">
                  <c:v>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'04.08.Kyebando-Nsooba'!$AF$9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'04.08.Kyebando-Nsooba'!$R$10:$R$21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'04.08.Kyebando-Nsooba'!$AF$10:$AF$21</c:f>
              <c:numCache>
                <c:formatCode>0</c:formatCode>
                <c:ptCount val="12"/>
                <c:pt idx="0">
                  <c:v>878</c:v>
                </c:pt>
                <c:pt idx="1">
                  <c:v>1098</c:v>
                </c:pt>
                <c:pt idx="2">
                  <c:v>1015</c:v>
                </c:pt>
                <c:pt idx="3">
                  <c:v>1034</c:v>
                </c:pt>
                <c:pt idx="4">
                  <c:v>812</c:v>
                </c:pt>
                <c:pt idx="5">
                  <c:v>571</c:v>
                </c:pt>
                <c:pt idx="6">
                  <c:v>613</c:v>
                </c:pt>
                <c:pt idx="7">
                  <c:v>334</c:v>
                </c:pt>
                <c:pt idx="8">
                  <c:v>492</c:v>
                </c:pt>
                <c:pt idx="9">
                  <c:v>586</c:v>
                </c:pt>
                <c:pt idx="10">
                  <c:v>655</c:v>
                </c:pt>
                <c:pt idx="11">
                  <c:v>526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0934528"/>
        <c:axId val="200936448"/>
      </c:lineChart>
      <c:catAx>
        <c:axId val="200934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936448"/>
        <c:crosses val="autoZero"/>
        <c:auto val="1"/>
        <c:lblAlgn val="ctr"/>
        <c:lblOffset val="100"/>
        <c:noMultiLvlLbl val="0"/>
      </c:catAx>
      <c:valAx>
        <c:axId val="200936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093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'04.08.Kyebando-Nsooba'!$C$59:$N$59</c:f>
              <c:numCache>
                <c:formatCode>0.0%</c:formatCode>
                <c:ptCount val="12"/>
                <c:pt idx="0">
                  <c:v>0.19108428140236824</c:v>
                </c:pt>
                <c:pt idx="1">
                  <c:v>9.8328302762944048E-2</c:v>
                </c:pt>
                <c:pt idx="2">
                  <c:v>2.9719061992105875E-2</c:v>
                </c:pt>
                <c:pt idx="3">
                  <c:v>0.21418620849779429</c:v>
                </c:pt>
                <c:pt idx="4">
                  <c:v>3.9470629208265611E-3</c:v>
                </c:pt>
                <c:pt idx="5">
                  <c:v>9.2872068725330858E-4</c:v>
                </c:pt>
                <c:pt idx="6">
                  <c:v>2.5423728813559324E-2</c:v>
                </c:pt>
                <c:pt idx="7">
                  <c:v>2.4378918040399351E-3</c:v>
                </c:pt>
                <c:pt idx="8">
                  <c:v>1.7413512885999535E-3</c:v>
                </c:pt>
                <c:pt idx="9">
                  <c:v>2.7861620617599257E-3</c:v>
                </c:pt>
                <c:pt idx="10">
                  <c:v>0.42941722776874852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54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'04.08.Kyebando-Nsooba'!$S$9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'04.08.Kyebando-Nsooba'!$R$10:$R$21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'04.08.Kyebando-Nsooba'!$S$10:$S$21</c:f>
              <c:numCache>
                <c:formatCode>0</c:formatCode>
                <c:ptCount val="12"/>
                <c:pt idx="0">
                  <c:v>134</c:v>
                </c:pt>
                <c:pt idx="1">
                  <c:v>212</c:v>
                </c:pt>
                <c:pt idx="2">
                  <c:v>230</c:v>
                </c:pt>
                <c:pt idx="3">
                  <c:v>201</c:v>
                </c:pt>
                <c:pt idx="4">
                  <c:v>198</c:v>
                </c:pt>
                <c:pt idx="5">
                  <c:v>83</c:v>
                </c:pt>
                <c:pt idx="6">
                  <c:v>101</c:v>
                </c:pt>
                <c:pt idx="7">
                  <c:v>56</c:v>
                </c:pt>
                <c:pt idx="8">
                  <c:v>95</c:v>
                </c:pt>
                <c:pt idx="9">
                  <c:v>100</c:v>
                </c:pt>
                <c:pt idx="10">
                  <c:v>115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'04.08.Kyebando-Nsooba'!$T$9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'04.08.Kyebando-Nsooba'!$R$10:$R$21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'04.08.Kyebando-Nsooba'!$T$10:$T$21</c:f>
              <c:numCache>
                <c:formatCode>0</c:formatCode>
                <c:ptCount val="12"/>
                <c:pt idx="0">
                  <c:v>47</c:v>
                </c:pt>
                <c:pt idx="1">
                  <c:v>77</c:v>
                </c:pt>
                <c:pt idx="2">
                  <c:v>75</c:v>
                </c:pt>
                <c:pt idx="3">
                  <c:v>155</c:v>
                </c:pt>
                <c:pt idx="4">
                  <c:v>77</c:v>
                </c:pt>
                <c:pt idx="5">
                  <c:v>67</c:v>
                </c:pt>
                <c:pt idx="6">
                  <c:v>61</c:v>
                </c:pt>
                <c:pt idx="7">
                  <c:v>34</c:v>
                </c:pt>
                <c:pt idx="8">
                  <c:v>61</c:v>
                </c:pt>
                <c:pt idx="9">
                  <c:v>82</c:v>
                </c:pt>
                <c:pt idx="10">
                  <c:v>76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'04.08.Kyebando-Nsooba'!$U$9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'04.08.Kyebando-Nsooba'!$U$10:$U$21</c:f>
              <c:numCache>
                <c:formatCode>0</c:formatCode>
                <c:ptCount val="12"/>
                <c:pt idx="0">
                  <c:v>16</c:v>
                </c:pt>
                <c:pt idx="1">
                  <c:v>23</c:v>
                </c:pt>
                <c:pt idx="2">
                  <c:v>38</c:v>
                </c:pt>
                <c:pt idx="3">
                  <c:v>16</c:v>
                </c:pt>
                <c:pt idx="4">
                  <c:v>27</c:v>
                </c:pt>
                <c:pt idx="5">
                  <c:v>17</c:v>
                </c:pt>
                <c:pt idx="6">
                  <c:v>18</c:v>
                </c:pt>
                <c:pt idx="7">
                  <c:v>17</c:v>
                </c:pt>
                <c:pt idx="8">
                  <c:v>20</c:v>
                </c:pt>
                <c:pt idx="9">
                  <c:v>27</c:v>
                </c:pt>
                <c:pt idx="10">
                  <c:v>24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'04.08.Kyebando-Nsooba'!$V$9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'04.08.Kyebando-Nsooba'!$V$10:$V$21</c:f>
              <c:numCache>
                <c:formatCode>0</c:formatCode>
                <c:ptCount val="12"/>
                <c:pt idx="0">
                  <c:v>315</c:v>
                </c:pt>
                <c:pt idx="1">
                  <c:v>285</c:v>
                </c:pt>
                <c:pt idx="2">
                  <c:v>245</c:v>
                </c:pt>
                <c:pt idx="3">
                  <c:v>245</c:v>
                </c:pt>
                <c:pt idx="4">
                  <c:v>116</c:v>
                </c:pt>
                <c:pt idx="5">
                  <c:v>89</c:v>
                </c:pt>
                <c:pt idx="6">
                  <c:v>82</c:v>
                </c:pt>
                <c:pt idx="7">
                  <c:v>81</c:v>
                </c:pt>
                <c:pt idx="8">
                  <c:v>104</c:v>
                </c:pt>
                <c:pt idx="9">
                  <c:v>107</c:v>
                </c:pt>
                <c:pt idx="10">
                  <c:v>91</c:v>
                </c:pt>
                <c:pt idx="11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'04.08.Kyebando-Nsooba'!$W$9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'04.08.Kyebando-Nsooba'!$W$10:$W$21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5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'04.08.Kyebando-Nsooba'!$X$9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'04.08.Kyebando-Nsooba'!$Y$9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'04.08.Kyebando-Nsooba'!$Y$10:$Y$21</c:f>
              <c:numCache>
                <c:formatCode>0</c:formatCode>
                <c:ptCount val="12"/>
                <c:pt idx="0">
                  <c:v>27</c:v>
                </c:pt>
                <c:pt idx="1">
                  <c:v>25</c:v>
                </c:pt>
                <c:pt idx="2">
                  <c:v>35</c:v>
                </c:pt>
                <c:pt idx="3">
                  <c:v>19</c:v>
                </c:pt>
                <c:pt idx="4">
                  <c:v>19</c:v>
                </c:pt>
                <c:pt idx="5">
                  <c:v>9</c:v>
                </c:pt>
                <c:pt idx="6">
                  <c:v>29</c:v>
                </c:pt>
                <c:pt idx="7">
                  <c:v>6</c:v>
                </c:pt>
                <c:pt idx="8">
                  <c:v>15</c:v>
                </c:pt>
                <c:pt idx="9">
                  <c:v>16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'04.08.Kyebando-Nsooba'!$Z$9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'04.08.Kyebando-Nsooba'!$Z$10:$Z$21</c:f>
              <c:numCache>
                <c:formatCode>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'04.08.Kyebando-Nsooba'!$AA$9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'04.08.Kyebando-Nsooba'!$AB$9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'04.08.Kyebando-Nsooba'!$AC$9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'04.08.Kyebando-Nsooba'!$AC$10:$AC$21</c:f>
              <c:numCache>
                <c:formatCode>0</c:formatCode>
                <c:ptCount val="12"/>
                <c:pt idx="0">
                  <c:v>326</c:v>
                </c:pt>
                <c:pt idx="1">
                  <c:v>465</c:v>
                </c:pt>
                <c:pt idx="2">
                  <c:v>380</c:v>
                </c:pt>
                <c:pt idx="3">
                  <c:v>390</c:v>
                </c:pt>
                <c:pt idx="4">
                  <c:v>370</c:v>
                </c:pt>
                <c:pt idx="5">
                  <c:v>300</c:v>
                </c:pt>
                <c:pt idx="6">
                  <c:v>315</c:v>
                </c:pt>
                <c:pt idx="7">
                  <c:v>126</c:v>
                </c:pt>
                <c:pt idx="8">
                  <c:v>190</c:v>
                </c:pt>
                <c:pt idx="9">
                  <c:v>250</c:v>
                </c:pt>
                <c:pt idx="10">
                  <c:v>332</c:v>
                </c:pt>
                <c:pt idx="11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'04.08.Kyebando-Nsooba'!$AD$9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'04.08.Kyebando-Nsooba'!$AD$10:$AD$21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529984"/>
        <c:axId val="201548160"/>
      </c:lineChart>
      <c:catAx>
        <c:axId val="20152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548160"/>
        <c:crosses val="autoZero"/>
        <c:auto val="1"/>
        <c:lblAlgn val="ctr"/>
        <c:lblOffset val="100"/>
        <c:noMultiLvlLbl val="0"/>
      </c:catAx>
      <c:valAx>
        <c:axId val="20154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152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'04.08.Kyebando-Nsooba'!$C$9:$N$9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'04.08.Kyebando-Nsooba'!$C$60:$N$60</c:f>
              <c:numCache>
                <c:formatCode>0.00%</c:formatCode>
                <c:ptCount val="12"/>
                <c:pt idx="0">
                  <c:v>0.33489318413021363</c:v>
                </c:pt>
                <c:pt idx="1">
                  <c:v>0.1723296032553408</c:v>
                </c:pt>
                <c:pt idx="2">
                  <c:v>5.2085452695829093E-2</c:v>
                </c:pt>
                <c:pt idx="3">
                  <c:v>0.37538148524923703</c:v>
                </c:pt>
                <c:pt idx="4">
                  <c:v>6.9175991861648014E-3</c:v>
                </c:pt>
                <c:pt idx="5">
                  <c:v>1.6276703967446592E-3</c:v>
                </c:pt>
                <c:pt idx="6">
                  <c:v>4.4557477110885042E-2</c:v>
                </c:pt>
                <c:pt idx="7">
                  <c:v>4.2726347914547307E-3</c:v>
                </c:pt>
                <c:pt idx="8">
                  <c:v>3.0518819938962359E-3</c:v>
                </c:pt>
                <c:pt idx="9">
                  <c:v>4.8830111902339775E-3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Nsooba-Kyebando'!$AE$9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Nsooba-Kyebando'!$R$10:$R$33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Nsooba-Kyebando'!$AE$10:$AE$33</c:f>
              <c:numCache>
                <c:formatCode>0</c:formatCode>
                <c:ptCount val="24"/>
                <c:pt idx="0">
                  <c:v>449.85714285714278</c:v>
                </c:pt>
                <c:pt idx="1">
                  <c:v>394</c:v>
                </c:pt>
                <c:pt idx="2">
                  <c:v>345.57142857142856</c:v>
                </c:pt>
                <c:pt idx="3">
                  <c:v>245.71428571428572</c:v>
                </c:pt>
                <c:pt idx="4">
                  <c:v>188.85714285714286</c:v>
                </c:pt>
                <c:pt idx="5">
                  <c:v>169.00000000000003</c:v>
                </c:pt>
                <c:pt idx="6">
                  <c:v>151.57142857142856</c:v>
                </c:pt>
                <c:pt idx="7">
                  <c:v>128.42857142857144</c:v>
                </c:pt>
                <c:pt idx="8">
                  <c:v>142</c:v>
                </c:pt>
                <c:pt idx="9">
                  <c:v>154.71428571428572</c:v>
                </c:pt>
                <c:pt idx="10">
                  <c:v>155</c:v>
                </c:pt>
                <c:pt idx="11">
                  <c:v>139.85714285714286</c:v>
                </c:pt>
                <c:pt idx="12">
                  <c:v>289.5</c:v>
                </c:pt>
                <c:pt idx="13">
                  <c:v>282</c:v>
                </c:pt>
                <c:pt idx="14">
                  <c:v>252</c:v>
                </c:pt>
                <c:pt idx="15">
                  <c:v>128</c:v>
                </c:pt>
                <c:pt idx="16">
                  <c:v>88</c:v>
                </c:pt>
                <c:pt idx="17">
                  <c:v>46.5</c:v>
                </c:pt>
                <c:pt idx="18">
                  <c:v>35.5</c:v>
                </c:pt>
                <c:pt idx="19">
                  <c:v>22</c:v>
                </c:pt>
                <c:pt idx="20">
                  <c:v>15.5</c:v>
                </c:pt>
                <c:pt idx="21">
                  <c:v>11.5</c:v>
                </c:pt>
                <c:pt idx="22">
                  <c:v>33.5</c:v>
                </c:pt>
                <c:pt idx="23">
                  <c:v>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Nsooba-Kyebando'!$AF$9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Nsooba-Kyebando'!$R$10:$R$33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Nsooba-Kyebando'!$AF$10:$AF$33</c:f>
              <c:numCache>
                <c:formatCode>0</c:formatCode>
                <c:ptCount val="24"/>
                <c:pt idx="0">
                  <c:v>844.71428571428567</c:v>
                </c:pt>
                <c:pt idx="1">
                  <c:v>900.85714285714289</c:v>
                </c:pt>
                <c:pt idx="2">
                  <c:v>768.71428571428578</c:v>
                </c:pt>
                <c:pt idx="3">
                  <c:v>508.14285714285717</c:v>
                </c:pt>
                <c:pt idx="4">
                  <c:v>402.00000000000006</c:v>
                </c:pt>
                <c:pt idx="5">
                  <c:v>349.42857142857144</c:v>
                </c:pt>
                <c:pt idx="6">
                  <c:v>319.28571428571428</c:v>
                </c:pt>
                <c:pt idx="7">
                  <c:v>292.71428571428572</c:v>
                </c:pt>
                <c:pt idx="8">
                  <c:v>303.57142857142856</c:v>
                </c:pt>
                <c:pt idx="9">
                  <c:v>338.57142857142856</c:v>
                </c:pt>
                <c:pt idx="10">
                  <c:v>374.42857142857139</c:v>
                </c:pt>
                <c:pt idx="11">
                  <c:v>385.42857142857144</c:v>
                </c:pt>
                <c:pt idx="12">
                  <c:v>555</c:v>
                </c:pt>
                <c:pt idx="13">
                  <c:v>540.5</c:v>
                </c:pt>
                <c:pt idx="14">
                  <c:v>486.5</c:v>
                </c:pt>
                <c:pt idx="15">
                  <c:v>268.5</c:v>
                </c:pt>
                <c:pt idx="16">
                  <c:v>195</c:v>
                </c:pt>
                <c:pt idx="17">
                  <c:v>108</c:v>
                </c:pt>
                <c:pt idx="18">
                  <c:v>68.5</c:v>
                </c:pt>
                <c:pt idx="19">
                  <c:v>44</c:v>
                </c:pt>
                <c:pt idx="20">
                  <c:v>39.5</c:v>
                </c:pt>
                <c:pt idx="21">
                  <c:v>29</c:v>
                </c:pt>
                <c:pt idx="22">
                  <c:v>66.5</c:v>
                </c:pt>
                <c:pt idx="23">
                  <c:v>363.5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036352"/>
        <c:axId val="202038272"/>
      </c:lineChart>
      <c:catAx>
        <c:axId val="2020363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2038272"/>
        <c:crosses val="autoZero"/>
        <c:auto val="1"/>
        <c:lblAlgn val="ctr"/>
        <c:lblOffset val="100"/>
        <c:noMultiLvlLbl val="0"/>
      </c:catAx>
      <c:valAx>
        <c:axId val="202038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203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Nsooba-Kyebando'!$C$107:$N$107</c:f>
              <c:numCache>
                <c:formatCode>0.0%</c:formatCode>
                <c:ptCount val="12"/>
                <c:pt idx="0">
                  <c:v>0.24361347649018886</c:v>
                </c:pt>
                <c:pt idx="1">
                  <c:v>5.4473651733925703E-2</c:v>
                </c:pt>
                <c:pt idx="2">
                  <c:v>2.7199802542268298E-2</c:v>
                </c:pt>
                <c:pt idx="3">
                  <c:v>9.675428853511045E-2</c:v>
                </c:pt>
                <c:pt idx="4">
                  <c:v>2.0979883993582625E-3</c:v>
                </c:pt>
                <c:pt idx="5">
                  <c:v>2.2213994816734536E-4</c:v>
                </c:pt>
                <c:pt idx="6">
                  <c:v>3.0062939651980761E-2</c:v>
                </c:pt>
                <c:pt idx="7">
                  <c:v>3.4555103048253739E-3</c:v>
                </c:pt>
                <c:pt idx="8">
                  <c:v>2.246081698136494E-3</c:v>
                </c:pt>
                <c:pt idx="9">
                  <c:v>1.7277551524126863E-4</c:v>
                </c:pt>
                <c:pt idx="10">
                  <c:v>0.5396272985314079</c:v>
                </c:pt>
                <c:pt idx="11">
                  <c:v>7.4046649389115129E-5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6957783891471399E-2"/>
          <c:y val="0.22687278969021601"/>
          <c:w val="0.82198804667488856"/>
          <c:h val="0.7588635261422771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Nsooba-Kyebando'!$C$9:$N$9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Nsooba-Kyebando'!$C$108:$N$108</c:f>
              <c:numCache>
                <c:formatCode>0.00%</c:formatCode>
                <c:ptCount val="12"/>
                <c:pt idx="0">
                  <c:v>0.52916577310744173</c:v>
                </c:pt>
                <c:pt idx="1">
                  <c:v>0.11832511258846239</c:v>
                </c:pt>
                <c:pt idx="2">
                  <c:v>5.9082135963971709E-2</c:v>
                </c:pt>
                <c:pt idx="3">
                  <c:v>0.21016512974479953</c:v>
                </c:pt>
                <c:pt idx="4">
                  <c:v>4.5571520480377457E-3</c:v>
                </c:pt>
                <c:pt idx="5">
                  <c:v>4.8252198155693759E-4</c:v>
                </c:pt>
                <c:pt idx="6">
                  <c:v>6.5301308170705605E-2</c:v>
                </c:pt>
                <c:pt idx="7">
                  <c:v>7.5058974908856985E-3</c:v>
                </c:pt>
                <c:pt idx="8">
                  <c:v>4.8788333690757057E-3</c:v>
                </c:pt>
                <c:pt idx="9">
                  <c:v>3.7529487454428484E-4</c:v>
                </c:pt>
                <c:pt idx="11">
                  <c:v>1.6084066051897923E-4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Kyebando-Nsooba'!$AE$9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Kyebando-Nsooba'!$R$10:$R$33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Kyebando-Nsooba'!$AE$10:$AE$33</c:f>
              <c:numCache>
                <c:formatCode>0</c:formatCode>
                <c:ptCount val="24"/>
                <c:pt idx="0">
                  <c:v>186.85714285714289</c:v>
                </c:pt>
                <c:pt idx="1">
                  <c:v>199.85714285714286</c:v>
                </c:pt>
                <c:pt idx="2">
                  <c:v>238.57142857142858</c:v>
                </c:pt>
                <c:pt idx="3">
                  <c:v>265.71428571428572</c:v>
                </c:pt>
                <c:pt idx="4">
                  <c:v>229.28571428571433</c:v>
                </c:pt>
                <c:pt idx="5">
                  <c:v>216</c:v>
                </c:pt>
                <c:pt idx="6">
                  <c:v>215.42857142857147</c:v>
                </c:pt>
                <c:pt idx="7">
                  <c:v>225.14285714285717</c:v>
                </c:pt>
                <c:pt idx="8">
                  <c:v>224.88095238095241</c:v>
                </c:pt>
                <c:pt idx="9">
                  <c:v>287.85714285714283</c:v>
                </c:pt>
                <c:pt idx="10">
                  <c:v>364.57142857142861</c:v>
                </c:pt>
                <c:pt idx="11">
                  <c:v>353.57142857142856</c:v>
                </c:pt>
                <c:pt idx="12">
                  <c:v>228.5</c:v>
                </c:pt>
                <c:pt idx="13">
                  <c:v>213.5</c:v>
                </c:pt>
                <c:pt idx="14">
                  <c:v>148</c:v>
                </c:pt>
                <c:pt idx="15">
                  <c:v>81</c:v>
                </c:pt>
                <c:pt idx="16">
                  <c:v>43.5</c:v>
                </c:pt>
                <c:pt idx="17">
                  <c:v>30</c:v>
                </c:pt>
                <c:pt idx="18">
                  <c:v>12</c:v>
                </c:pt>
                <c:pt idx="19">
                  <c:v>7.5</c:v>
                </c:pt>
                <c:pt idx="20">
                  <c:v>5</c:v>
                </c:pt>
                <c:pt idx="21">
                  <c:v>5.5</c:v>
                </c:pt>
                <c:pt idx="22">
                  <c:v>22</c:v>
                </c:pt>
                <c:pt idx="23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Kyebando-Nsooba'!$AF$9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Kyebando-Nsooba'!$R$10:$R$33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Kyebando-Nsooba'!$AF$10:$AF$33</c:f>
              <c:numCache>
                <c:formatCode>0</c:formatCode>
                <c:ptCount val="24"/>
                <c:pt idx="0">
                  <c:v>447.42857142857144</c:v>
                </c:pt>
                <c:pt idx="1">
                  <c:v>549.71428571428567</c:v>
                </c:pt>
                <c:pt idx="2">
                  <c:v>557.71428571428578</c:v>
                </c:pt>
                <c:pt idx="3">
                  <c:v>600.14285714285711</c:v>
                </c:pt>
                <c:pt idx="4">
                  <c:v>498.57142857142861</c:v>
                </c:pt>
                <c:pt idx="5">
                  <c:v>450.57142857142856</c:v>
                </c:pt>
                <c:pt idx="6">
                  <c:v>453.85714285714289</c:v>
                </c:pt>
                <c:pt idx="7">
                  <c:v>432</c:v>
                </c:pt>
                <c:pt idx="8">
                  <c:v>453.30952380952385</c:v>
                </c:pt>
                <c:pt idx="9">
                  <c:v>522.14285714285711</c:v>
                </c:pt>
                <c:pt idx="10">
                  <c:v>714</c:v>
                </c:pt>
                <c:pt idx="11">
                  <c:v>711.42857142857144</c:v>
                </c:pt>
                <c:pt idx="12">
                  <c:v>453</c:v>
                </c:pt>
                <c:pt idx="13">
                  <c:v>433</c:v>
                </c:pt>
                <c:pt idx="14">
                  <c:v>307.5</c:v>
                </c:pt>
                <c:pt idx="15">
                  <c:v>156</c:v>
                </c:pt>
                <c:pt idx="16">
                  <c:v>106</c:v>
                </c:pt>
                <c:pt idx="17">
                  <c:v>72.5</c:v>
                </c:pt>
                <c:pt idx="18">
                  <c:v>38.5</c:v>
                </c:pt>
                <c:pt idx="19">
                  <c:v>26</c:v>
                </c:pt>
                <c:pt idx="20">
                  <c:v>19</c:v>
                </c:pt>
                <c:pt idx="21">
                  <c:v>16.5</c:v>
                </c:pt>
                <c:pt idx="22">
                  <c:v>44.5</c:v>
                </c:pt>
                <c:pt idx="23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571200"/>
        <c:axId val="205573120"/>
      </c:lineChart>
      <c:catAx>
        <c:axId val="205571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73120"/>
        <c:crosses val="autoZero"/>
        <c:auto val="1"/>
        <c:lblAlgn val="ctr"/>
        <c:lblOffset val="100"/>
        <c:noMultiLvlLbl val="0"/>
      </c:catAx>
      <c:valAx>
        <c:axId val="205573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57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Kyebando-Nsooba'!$C$107:$N$107</c:f>
              <c:numCache>
                <c:formatCode>0.0%</c:formatCode>
                <c:ptCount val="12"/>
                <c:pt idx="0">
                  <c:v>0.22496339650618258</c:v>
                </c:pt>
                <c:pt idx="1">
                  <c:v>5.5503190930529737E-2</c:v>
                </c:pt>
                <c:pt idx="2">
                  <c:v>3.9475890126184264E-2</c:v>
                </c:pt>
                <c:pt idx="3">
                  <c:v>9.6521457284747272E-2</c:v>
                </c:pt>
                <c:pt idx="4">
                  <c:v>3.0400458987321975E-3</c:v>
                </c:pt>
                <c:pt idx="5">
                  <c:v>7.3765819601590064E-4</c:v>
                </c:pt>
                <c:pt idx="6">
                  <c:v>3.7151149144800832E-2</c:v>
                </c:pt>
                <c:pt idx="7">
                  <c:v>7.7789409761676795E-3</c:v>
                </c:pt>
                <c:pt idx="8">
                  <c:v>2.8165131120607119E-3</c:v>
                </c:pt>
                <c:pt idx="9">
                  <c:v>2.6414124291680484E-3</c:v>
                </c:pt>
                <c:pt idx="10">
                  <c:v>0.52937034539541095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7001498679734506E-2"/>
          <c:y val="0.23855468066491689"/>
          <c:w val="0.82182781835050078"/>
          <c:h val="0.758460192475940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Kyebando-Nsooba'!$C$9:$N$9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Kyebando-Nsooba'!$C$108:$N$108</c:f>
              <c:numCache>
                <c:formatCode>0.00%</c:formatCode>
                <c:ptCount val="12"/>
                <c:pt idx="0">
                  <c:v>0.47800514545814365</c:v>
                </c:pt>
                <c:pt idx="1">
                  <c:v>0.11793390065307735</c:v>
                </c:pt>
                <c:pt idx="2">
                  <c:v>8.3878883831387294E-2</c:v>
                </c:pt>
                <c:pt idx="3">
                  <c:v>0.20509004551751439</c:v>
                </c:pt>
                <c:pt idx="4">
                  <c:v>6.4595289926776172E-3</c:v>
                </c:pt>
                <c:pt idx="5">
                  <c:v>1.5673857114585391E-3</c:v>
                </c:pt>
                <c:pt idx="6">
                  <c:v>7.8939244013457366E-2</c:v>
                </c:pt>
                <c:pt idx="7">
                  <c:v>1.652879477538096E-2</c:v>
                </c:pt>
                <c:pt idx="8">
                  <c:v>5.9845636255689682E-3</c:v>
                </c:pt>
                <c:pt idx="9">
                  <c:v>5.6125074213338602E-3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Nsooba-Kyebando-2Dir'!$C$9:$N$9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Nsooba-Kyebando-2Dir'!$C$107:$N$107</c:f>
              <c:numCache>
                <c:formatCode>0.0%</c:formatCode>
                <c:ptCount val="12"/>
                <c:pt idx="0">
                  <c:v>0.23382671204890645</c:v>
                </c:pt>
                <c:pt idx="1">
                  <c:v>5.5013909878066182E-2</c:v>
                </c:pt>
                <c:pt idx="2">
                  <c:v>3.3641768343346229E-2</c:v>
                </c:pt>
                <c:pt idx="3">
                  <c:v>9.6632108651494478E-2</c:v>
                </c:pt>
                <c:pt idx="4">
                  <c:v>2.5923398897766789E-3</c:v>
                </c:pt>
                <c:pt idx="5">
                  <c:v>4.9266187950507048E-4</c:v>
                </c:pt>
                <c:pt idx="6">
                  <c:v>3.378252888034769E-2</c:v>
                </c:pt>
                <c:pt idx="7">
                  <c:v>5.7242618380589127E-3</c:v>
                </c:pt>
                <c:pt idx="8">
                  <c:v>2.5454197107761972E-3</c:v>
                </c:pt>
                <c:pt idx="9">
                  <c:v>1.4682106012234438E-3</c:v>
                </c:pt>
                <c:pt idx="10">
                  <c:v>0.53424488814424831</c:v>
                </c:pt>
                <c:pt idx="11">
                  <c:v>3.519013425036217E-5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864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Nsooba-Kyebando-2Dir'!$C$9:$N$9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Nsooba-Kyebando-2Dir'!$C$108:$N$108</c:f>
              <c:numCache>
                <c:formatCode>0.00%</c:formatCode>
                <c:ptCount val="12"/>
                <c:pt idx="0">
                  <c:v>0.50203788664229299</c:v>
                </c:pt>
                <c:pt idx="1">
                  <c:v>0.11811767273765196</c:v>
                </c:pt>
                <c:pt idx="2">
                  <c:v>7.2230593904389309E-2</c:v>
                </c:pt>
                <c:pt idx="3">
                  <c:v>0.20747406993875836</c:v>
                </c:pt>
                <c:pt idx="4">
                  <c:v>5.565886071433066E-3</c:v>
                </c:pt>
                <c:pt idx="5">
                  <c:v>1.0577702036207641E-3</c:v>
                </c:pt>
                <c:pt idx="6">
                  <c:v>7.2532813962566695E-2</c:v>
                </c:pt>
                <c:pt idx="7">
                  <c:v>1.2290282365879352E-2</c:v>
                </c:pt>
                <c:pt idx="8">
                  <c:v>5.4651460520406137E-3</c:v>
                </c:pt>
                <c:pt idx="9">
                  <c:v>3.1523231068221972E-3</c:v>
                </c:pt>
                <c:pt idx="11">
                  <c:v>7.5555014544340278E-5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55" l="0.70000000000000062" r="0.70000000000000062" t="0.75000000000000255" header="0.30000000000000032" footer="0.3000000000000003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Nsooba-Kyebando-2Dir'!$AE$9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Nsooba-Kyebando-2Dir'!$R$10:$R$33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Nsooba-Kyebando-2Dir'!$AE$10:$AE$33</c:f>
              <c:numCache>
                <c:formatCode>0</c:formatCode>
                <c:ptCount val="24"/>
                <c:pt idx="0">
                  <c:v>636.71428571428578</c:v>
                </c:pt>
                <c:pt idx="1">
                  <c:v>593.85714285714289</c:v>
                </c:pt>
                <c:pt idx="2">
                  <c:v>584.14285714285711</c:v>
                </c:pt>
                <c:pt idx="3">
                  <c:v>511.42857142857144</c:v>
                </c:pt>
                <c:pt idx="4">
                  <c:v>418.14285714285717</c:v>
                </c:pt>
                <c:pt idx="5">
                  <c:v>385</c:v>
                </c:pt>
                <c:pt idx="6">
                  <c:v>367</c:v>
                </c:pt>
                <c:pt idx="7">
                  <c:v>353.57142857142856</c:v>
                </c:pt>
                <c:pt idx="8">
                  <c:v>366.88095238095235</c:v>
                </c:pt>
                <c:pt idx="9">
                  <c:v>442.57142857142861</c:v>
                </c:pt>
                <c:pt idx="10">
                  <c:v>519.57142857142856</c:v>
                </c:pt>
                <c:pt idx="11">
                  <c:v>493.42857142857144</c:v>
                </c:pt>
                <c:pt idx="12">
                  <c:v>518</c:v>
                </c:pt>
                <c:pt idx="13">
                  <c:v>495.5</c:v>
                </c:pt>
                <c:pt idx="14">
                  <c:v>400</c:v>
                </c:pt>
                <c:pt idx="15">
                  <c:v>209</c:v>
                </c:pt>
                <c:pt idx="16">
                  <c:v>131.5</c:v>
                </c:pt>
                <c:pt idx="17">
                  <c:v>76.5</c:v>
                </c:pt>
                <c:pt idx="18">
                  <c:v>47.5</c:v>
                </c:pt>
                <c:pt idx="19">
                  <c:v>29.5</c:v>
                </c:pt>
                <c:pt idx="20">
                  <c:v>20.5</c:v>
                </c:pt>
                <c:pt idx="21">
                  <c:v>17</c:v>
                </c:pt>
                <c:pt idx="22">
                  <c:v>55.5</c:v>
                </c:pt>
                <c:pt idx="23">
                  <c:v>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A7-4E92-8117-E43CA6C12A6D}"/>
            </c:ext>
          </c:extLst>
        </c:ser>
        <c:ser>
          <c:idx val="1"/>
          <c:order val="1"/>
          <c:tx>
            <c:strRef>
              <c:f>'Avg Week Nsooba-Kyebando-2Dir'!$AF$9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Nsooba-Kyebando-2Dir'!$R$10:$R$33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Nsooba-Kyebando-2Dir'!$AF$10:$AF$33</c:f>
              <c:numCache>
                <c:formatCode>0</c:formatCode>
                <c:ptCount val="24"/>
                <c:pt idx="0">
                  <c:v>1292.1428571428571</c:v>
                </c:pt>
                <c:pt idx="1">
                  <c:v>1450.5714285714287</c:v>
                </c:pt>
                <c:pt idx="2">
                  <c:v>1326.4285714285713</c:v>
                </c:pt>
                <c:pt idx="3">
                  <c:v>1108.2857142857142</c:v>
                </c:pt>
                <c:pt idx="4">
                  <c:v>900.57142857142867</c:v>
                </c:pt>
                <c:pt idx="5">
                  <c:v>800</c:v>
                </c:pt>
                <c:pt idx="6">
                  <c:v>773.14285714285711</c:v>
                </c:pt>
                <c:pt idx="7">
                  <c:v>724.71428571428578</c:v>
                </c:pt>
                <c:pt idx="8">
                  <c:v>756.88095238095241</c:v>
                </c:pt>
                <c:pt idx="9">
                  <c:v>860.71428571428578</c:v>
                </c:pt>
                <c:pt idx="10">
                  <c:v>1088.4285714285716</c:v>
                </c:pt>
                <c:pt idx="11">
                  <c:v>1096.8571428571429</c:v>
                </c:pt>
                <c:pt idx="12">
                  <c:v>1008</c:v>
                </c:pt>
                <c:pt idx="13">
                  <c:v>973.5</c:v>
                </c:pt>
                <c:pt idx="14">
                  <c:v>794</c:v>
                </c:pt>
                <c:pt idx="15">
                  <c:v>424.5</c:v>
                </c:pt>
                <c:pt idx="16">
                  <c:v>301</c:v>
                </c:pt>
                <c:pt idx="17">
                  <c:v>180.5</c:v>
                </c:pt>
                <c:pt idx="18">
                  <c:v>107</c:v>
                </c:pt>
                <c:pt idx="19">
                  <c:v>70</c:v>
                </c:pt>
                <c:pt idx="20">
                  <c:v>58.5</c:v>
                </c:pt>
                <c:pt idx="21">
                  <c:v>45.5</c:v>
                </c:pt>
                <c:pt idx="22">
                  <c:v>111</c:v>
                </c:pt>
                <c:pt idx="23">
                  <c:v>430.5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A7-4E92-8117-E43CA6C12A6D}"/>
            </c:ext>
          </c:extLst>
        </c:ser>
        <c:ser>
          <c:idx val="5"/>
          <c:order val="2"/>
          <c:tx>
            <c:strRef>
              <c:f>'Avg Week Nsooba-Kyebando-2Dir'!$AC$9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Nsooba-Kyebando-2Dir'!$R$10:$R$33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Nsooba-Kyebando-2Dir'!$AC$10:$AC$33</c:f>
              <c:numCache>
                <c:formatCode>0</c:formatCode>
                <c:ptCount val="24"/>
                <c:pt idx="0">
                  <c:v>655.42857142857144</c:v>
                </c:pt>
                <c:pt idx="1">
                  <c:v>856.71428571428578</c:v>
                </c:pt>
                <c:pt idx="2">
                  <c:v>742.28571428571433</c:v>
                </c:pt>
                <c:pt idx="3">
                  <c:v>596.85714285714289</c:v>
                </c:pt>
                <c:pt idx="4">
                  <c:v>482.42857142857144</c:v>
                </c:pt>
                <c:pt idx="5">
                  <c:v>415</c:v>
                </c:pt>
                <c:pt idx="6">
                  <c:v>406.14285714285711</c:v>
                </c:pt>
                <c:pt idx="7">
                  <c:v>371.14285714285717</c:v>
                </c:pt>
                <c:pt idx="8">
                  <c:v>390</c:v>
                </c:pt>
                <c:pt idx="9">
                  <c:v>418.14285714285711</c:v>
                </c:pt>
                <c:pt idx="10">
                  <c:v>568.85714285714289</c:v>
                </c:pt>
                <c:pt idx="11">
                  <c:v>603.42857142857144</c:v>
                </c:pt>
                <c:pt idx="12">
                  <c:v>490</c:v>
                </c:pt>
                <c:pt idx="13">
                  <c:v>478</c:v>
                </c:pt>
                <c:pt idx="14">
                  <c:v>394</c:v>
                </c:pt>
                <c:pt idx="15">
                  <c:v>215.5</c:v>
                </c:pt>
                <c:pt idx="16">
                  <c:v>169.5</c:v>
                </c:pt>
                <c:pt idx="17">
                  <c:v>104</c:v>
                </c:pt>
                <c:pt idx="18">
                  <c:v>59.5</c:v>
                </c:pt>
                <c:pt idx="19">
                  <c:v>40.5</c:v>
                </c:pt>
                <c:pt idx="20">
                  <c:v>38</c:v>
                </c:pt>
                <c:pt idx="21">
                  <c:v>28.5</c:v>
                </c:pt>
                <c:pt idx="22">
                  <c:v>55.5</c:v>
                </c:pt>
                <c:pt idx="23">
                  <c:v>141.5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A7-4E92-8117-E43CA6C12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Nsooba-Kyebando-2Dir'!$S$9:$AF$9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Nsooba-Kyebando-2Dir'!$S$41:$AF$41</c:f>
              <c:numCache>
                <c:formatCode>_(* #,##0_);_(* \(#,##0\);_(* "-"_);_(@_)</c:formatCode>
                <c:ptCount val="14"/>
                <c:pt idx="0">
                  <c:v>4215.2142857142862</c:v>
                </c:pt>
                <c:pt idx="1">
                  <c:v>825.5</c:v>
                </c:pt>
                <c:pt idx="2">
                  <c:v>537.71428571428578</c:v>
                </c:pt>
                <c:pt idx="3">
                  <c:v>1648.3571428571429</c:v>
                </c:pt>
                <c:pt idx="4">
                  <c:v>67.571428571428569</c:v>
                </c:pt>
                <c:pt idx="5">
                  <c:v>14.5</c:v>
                </c:pt>
                <c:pt idx="6">
                  <c:v>499.42857142857144</c:v>
                </c:pt>
                <c:pt idx="7">
                  <c:v>91.714285714285708</c:v>
                </c:pt>
                <c:pt idx="8">
                  <c:v>40.5</c:v>
                </c:pt>
                <c:pt idx="9">
                  <c:v>20.88095238095238</c:v>
                </c:pt>
                <c:pt idx="10">
                  <c:v>8720.9285714285725</c:v>
                </c:pt>
                <c:pt idx="11">
                  <c:v>0.42857142857142855</c:v>
                </c:pt>
                <c:pt idx="12">
                  <c:v>7961.8095238095239</c:v>
                </c:pt>
                <c:pt idx="13">
                  <c:v>16682.738095238092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51-4FF1-B46F-9F9E2E08D3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Nsooba-Kyebando-2Dir'!$S$9:$AF$9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Nsooba-Kyebando-2Dir'!$S$42:$AF$42</c:f>
              <c:numCache>
                <c:formatCode>0.000</c:formatCode>
                <c:ptCount val="14"/>
                <c:pt idx="0">
                  <c:v>1.4802096919835459</c:v>
                </c:pt>
                <c:pt idx="1">
                  <c:v>1.232089552238806</c:v>
                </c:pt>
                <c:pt idx="2">
                  <c:v>1.3124128312412833</c:v>
                </c:pt>
                <c:pt idx="3">
                  <c:v>1.4006433600388444</c:v>
                </c:pt>
                <c:pt idx="4">
                  <c:v>2.1402714932126696</c:v>
                </c:pt>
                <c:pt idx="5">
                  <c:v>2.416666666666667</c:v>
                </c:pt>
                <c:pt idx="6">
                  <c:v>1.2138888888888888</c:v>
                </c:pt>
                <c:pt idx="7">
                  <c:v>1.3155737704918034</c:v>
                </c:pt>
                <c:pt idx="8">
                  <c:v>1.3064516129032258</c:v>
                </c:pt>
                <c:pt idx="9">
                  <c:v>1.1677762982689748</c:v>
                </c:pt>
                <c:pt idx="10">
                  <c:v>1.3403556921725768</c:v>
                </c:pt>
                <c:pt idx="11">
                  <c:v>1</c:v>
                </c:pt>
                <c:pt idx="12">
                  <c:v>1.40362748019829</c:v>
                </c:pt>
                <c:pt idx="13">
                  <c:v>1.3698248508818061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B2-43B8-95AC-0869C56490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0.xml"/></Relationships>
</file>

<file path=xl/drawings/_rels/drawing1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6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3.xml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6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9.xml"/><Relationship Id="rId2" Type="http://schemas.openxmlformats.org/officeDocument/2006/relationships/image" Target="../media/image2.emf"/><Relationship Id="rId16" Type="http://schemas.openxmlformats.org/officeDocument/2006/relationships/chart" Target="../charts/chart68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7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A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D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D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D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D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D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D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D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D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E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E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E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E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E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E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E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E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E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F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F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0F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F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F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F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F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F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476251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58</xdr:row>
      <xdr:rowOff>269875</xdr:rowOff>
    </xdr:from>
    <xdr:to>
      <xdr:col>24</xdr:col>
      <xdr:colOff>15875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1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1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1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1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1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12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12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0000000-0008-0000-1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1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1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247650</xdr:rowOff>
    </xdr:from>
    <xdr:to>
      <xdr:col>25</xdr:col>
      <xdr:colOff>0</xdr:colOff>
      <xdr:row>91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12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15874</xdr:colOff>
      <xdr:row>59</xdr:row>
      <xdr:rowOff>2</xdr:rowOff>
    </xdr:from>
    <xdr:to>
      <xdr:col>24</xdr:col>
      <xdr:colOff>714374</xdr:colOff>
      <xdr:row>74</xdr:row>
      <xdr:rowOff>269876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12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FDE6C67-2F3F-4EAB-BADB-DC5C59CE76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476250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6E62333-E997-47EB-84C7-4F998B6B1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74</xdr:row>
      <xdr:rowOff>269875</xdr:rowOff>
    </xdr:from>
    <xdr:to>
      <xdr:col>31</xdr:col>
      <xdr:colOff>476250</xdr:colOff>
      <xdr:row>90</xdr:row>
      <xdr:rowOff>284163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452B285-3C0E-4CAC-AA1C-F076BB95A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64" sqref="K6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s="51" customFormat="1" ht="31.5" customHeight="1" x14ac:dyDescent="0.25">
      <c r="B2" s="64" t="s">
        <v>95</v>
      </c>
      <c r="C2" s="65"/>
      <c r="D2" s="64"/>
      <c r="E2" s="65"/>
      <c r="F2" s="64"/>
      <c r="G2" s="65"/>
      <c r="H2" s="64"/>
      <c r="I2" s="65"/>
      <c r="J2" s="64"/>
      <c r="K2" s="65"/>
      <c r="L2" s="64"/>
      <c r="M2" s="65"/>
      <c r="N2" s="64"/>
      <c r="O2" s="65"/>
      <c r="P2" s="64"/>
      <c r="Q2" s="65"/>
      <c r="R2" s="64"/>
      <c r="S2" s="65"/>
      <c r="T2" s="64"/>
      <c r="U2" s="65"/>
      <c r="V2" s="64"/>
      <c r="W2" s="65"/>
      <c r="X2" s="64"/>
      <c r="Y2" s="65"/>
      <c r="Z2" s="64"/>
      <c r="AA2" s="65"/>
      <c r="AB2" s="64"/>
      <c r="AC2" s="65"/>
      <c r="AD2" s="64"/>
      <c r="AE2" s="65"/>
    </row>
    <row r="3" spans="2:32" ht="20.100000000000001" customHeight="1" x14ac:dyDescent="0.25">
      <c r="B3" s="21" t="s">
        <v>96</v>
      </c>
      <c r="C3" s="63" t="s">
        <v>164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19.5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4.75" customHeight="1" x14ac:dyDescent="0.25">
      <c r="C5" s="4" t="s">
        <v>3</v>
      </c>
      <c r="D5" s="36" t="s">
        <v>169</v>
      </c>
      <c r="E5" s="3"/>
      <c r="F5" s="41" t="s">
        <v>1</v>
      </c>
      <c r="G5" s="59">
        <v>29</v>
      </c>
      <c r="H5" s="60"/>
      <c r="I5" s="14"/>
      <c r="J5" s="2" t="s">
        <v>5</v>
      </c>
      <c r="K5" s="59" t="s">
        <v>167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165</v>
      </c>
      <c r="E6" s="60"/>
      <c r="F6" s="2" t="s">
        <v>2</v>
      </c>
      <c r="G6" s="59" t="s">
        <v>166</v>
      </c>
      <c r="H6" s="60"/>
      <c r="J6" s="2" t="s">
        <v>21</v>
      </c>
      <c r="K6" s="59" t="s">
        <v>168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74</v>
      </c>
      <c r="D10" s="50">
        <v>10</v>
      </c>
      <c r="E10" s="50">
        <v>5</v>
      </c>
      <c r="F10" s="50">
        <v>30</v>
      </c>
      <c r="G10" s="50">
        <v>2</v>
      </c>
      <c r="H10" s="50">
        <v>1</v>
      </c>
      <c r="I10" s="50">
        <v>6</v>
      </c>
      <c r="J10" s="50">
        <v>3</v>
      </c>
      <c r="K10" s="50">
        <v>0</v>
      </c>
      <c r="L10" s="50">
        <v>0</v>
      </c>
      <c r="M10" s="50">
        <v>70</v>
      </c>
      <c r="N10" s="50">
        <v>0</v>
      </c>
      <c r="O10" s="15">
        <f t="shared" ref="O10:O57" si="0">SUM(C10:L10,N10)</f>
        <v>131</v>
      </c>
      <c r="P10" s="15">
        <f t="shared" ref="P10:P57" si="1">SUM(C10:N10)</f>
        <v>201</v>
      </c>
      <c r="R10" s="1" t="s">
        <v>6</v>
      </c>
      <c r="S10" s="17">
        <f t="shared" ref="S10:AF10" si="2">SUM(C10:C13)</f>
        <v>222</v>
      </c>
      <c r="T10" s="17">
        <f t="shared" si="2"/>
        <v>28</v>
      </c>
      <c r="U10" s="17">
        <f t="shared" si="2"/>
        <v>15</v>
      </c>
      <c r="V10" s="17">
        <f t="shared" si="2"/>
        <v>74</v>
      </c>
      <c r="W10" s="17">
        <f t="shared" si="2"/>
        <v>3</v>
      </c>
      <c r="X10" s="17">
        <f t="shared" si="2"/>
        <v>1</v>
      </c>
      <c r="Y10" s="17">
        <f t="shared" si="2"/>
        <v>31</v>
      </c>
      <c r="Z10" s="17">
        <f t="shared" si="2"/>
        <v>6</v>
      </c>
      <c r="AA10" s="17">
        <f t="shared" si="2"/>
        <v>2</v>
      </c>
      <c r="AB10" s="17">
        <f t="shared" si="2"/>
        <v>0</v>
      </c>
      <c r="AC10" s="17">
        <f t="shared" si="2"/>
        <v>203</v>
      </c>
      <c r="AD10" s="17">
        <f t="shared" si="2"/>
        <v>0</v>
      </c>
      <c r="AE10" s="31">
        <f t="shared" si="2"/>
        <v>382</v>
      </c>
      <c r="AF10" s="31">
        <f t="shared" si="2"/>
        <v>585</v>
      </c>
    </row>
    <row r="11" spans="2:32" s="6" customFormat="1" ht="23.1" customHeight="1" x14ac:dyDescent="0.25">
      <c r="B11" s="23" t="s">
        <v>38</v>
      </c>
      <c r="C11" s="50">
        <v>42</v>
      </c>
      <c r="D11" s="50">
        <v>8</v>
      </c>
      <c r="E11" s="50">
        <v>3</v>
      </c>
      <c r="F11" s="50">
        <v>20</v>
      </c>
      <c r="G11" s="50">
        <v>0</v>
      </c>
      <c r="H11" s="50">
        <v>0</v>
      </c>
      <c r="I11" s="50">
        <v>9</v>
      </c>
      <c r="J11" s="50">
        <v>0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82</v>
      </c>
      <c r="P11" s="15">
        <f t="shared" si="1"/>
        <v>127</v>
      </c>
      <c r="R11" s="1" t="s">
        <v>7</v>
      </c>
      <c r="S11" s="17">
        <f t="shared" ref="S11:AF11" si="3">SUM(C14:C17)</f>
        <v>240</v>
      </c>
      <c r="T11" s="17">
        <f t="shared" si="3"/>
        <v>47</v>
      </c>
      <c r="U11" s="17">
        <f t="shared" si="3"/>
        <v>17</v>
      </c>
      <c r="V11" s="17">
        <f t="shared" si="3"/>
        <v>104</v>
      </c>
      <c r="W11" s="17">
        <f t="shared" si="3"/>
        <v>1</v>
      </c>
      <c r="X11" s="17">
        <f t="shared" si="3"/>
        <v>0</v>
      </c>
      <c r="Y11" s="17">
        <f t="shared" si="3"/>
        <v>17</v>
      </c>
      <c r="Z11" s="17">
        <f t="shared" si="3"/>
        <v>3</v>
      </c>
      <c r="AA11" s="17">
        <f t="shared" si="3"/>
        <v>1</v>
      </c>
      <c r="AB11" s="17">
        <f t="shared" si="3"/>
        <v>0</v>
      </c>
      <c r="AC11" s="17">
        <f t="shared" si="3"/>
        <v>659</v>
      </c>
      <c r="AD11" s="17">
        <f t="shared" si="3"/>
        <v>0</v>
      </c>
      <c r="AE11" s="31">
        <f t="shared" si="3"/>
        <v>430</v>
      </c>
      <c r="AF11" s="31">
        <f t="shared" si="3"/>
        <v>1089</v>
      </c>
    </row>
    <row r="12" spans="2:32" ht="23.1" customHeight="1" x14ac:dyDescent="0.25">
      <c r="B12" s="23" t="s">
        <v>39</v>
      </c>
      <c r="C12" s="50">
        <v>61</v>
      </c>
      <c r="D12" s="50">
        <v>5</v>
      </c>
      <c r="E12" s="50">
        <v>5</v>
      </c>
      <c r="F12" s="50">
        <v>15</v>
      </c>
      <c r="G12" s="50">
        <v>1</v>
      </c>
      <c r="H12" s="50">
        <v>0</v>
      </c>
      <c r="I12" s="50">
        <v>12</v>
      </c>
      <c r="J12" s="50">
        <v>2</v>
      </c>
      <c r="K12" s="50">
        <v>2</v>
      </c>
      <c r="L12" s="50">
        <v>0</v>
      </c>
      <c r="M12" s="50">
        <v>48</v>
      </c>
      <c r="N12" s="50">
        <v>0</v>
      </c>
      <c r="O12" s="15">
        <f t="shared" si="0"/>
        <v>103</v>
      </c>
      <c r="P12" s="15">
        <f t="shared" si="1"/>
        <v>151</v>
      </c>
      <c r="R12" s="1" t="s">
        <v>8</v>
      </c>
      <c r="S12" s="17">
        <f t="shared" ref="S12:AF12" si="4">SUM(C18:C21)</f>
        <v>188</v>
      </c>
      <c r="T12" s="17">
        <f t="shared" si="4"/>
        <v>41</v>
      </c>
      <c r="U12" s="17">
        <f t="shared" si="4"/>
        <v>17</v>
      </c>
      <c r="V12" s="17">
        <f t="shared" si="4"/>
        <v>86</v>
      </c>
      <c r="W12" s="17">
        <f t="shared" si="4"/>
        <v>0</v>
      </c>
      <c r="X12" s="17">
        <f t="shared" si="4"/>
        <v>0</v>
      </c>
      <c r="Y12" s="17">
        <f t="shared" si="4"/>
        <v>17</v>
      </c>
      <c r="Z12" s="17">
        <f t="shared" si="4"/>
        <v>2</v>
      </c>
      <c r="AA12" s="17">
        <f t="shared" si="4"/>
        <v>2</v>
      </c>
      <c r="AB12" s="17">
        <f t="shared" si="4"/>
        <v>1</v>
      </c>
      <c r="AC12" s="17">
        <f t="shared" si="4"/>
        <v>490</v>
      </c>
      <c r="AD12" s="17">
        <f t="shared" si="4"/>
        <v>0</v>
      </c>
      <c r="AE12" s="31">
        <f t="shared" si="4"/>
        <v>354</v>
      </c>
      <c r="AF12" s="31">
        <f t="shared" si="4"/>
        <v>844</v>
      </c>
    </row>
    <row r="13" spans="2:32" ht="23.1" customHeight="1" x14ac:dyDescent="0.25">
      <c r="B13" s="23" t="s">
        <v>40</v>
      </c>
      <c r="C13" s="50">
        <v>45</v>
      </c>
      <c r="D13" s="50">
        <v>5</v>
      </c>
      <c r="E13" s="50">
        <v>2</v>
      </c>
      <c r="F13" s="50">
        <v>9</v>
      </c>
      <c r="G13" s="50">
        <v>0</v>
      </c>
      <c r="H13" s="50">
        <v>0</v>
      </c>
      <c r="I13" s="50">
        <v>4</v>
      </c>
      <c r="J13" s="50">
        <v>1</v>
      </c>
      <c r="K13" s="50">
        <v>0</v>
      </c>
      <c r="L13" s="50">
        <v>0</v>
      </c>
      <c r="M13" s="50">
        <v>40</v>
      </c>
      <c r="N13" s="50">
        <v>0</v>
      </c>
      <c r="O13" s="15">
        <f t="shared" si="0"/>
        <v>66</v>
      </c>
      <c r="P13" s="15">
        <f t="shared" si="1"/>
        <v>106</v>
      </c>
      <c r="R13" s="1" t="s">
        <v>9</v>
      </c>
      <c r="S13" s="17">
        <f t="shared" ref="S13:AF13" si="5">SUM(C22:C25)</f>
        <v>151</v>
      </c>
      <c r="T13" s="17">
        <f t="shared" si="5"/>
        <v>36</v>
      </c>
      <c r="U13" s="17">
        <f t="shared" si="5"/>
        <v>16</v>
      </c>
      <c r="V13" s="17">
        <f t="shared" si="5"/>
        <v>57</v>
      </c>
      <c r="W13" s="17">
        <f t="shared" si="5"/>
        <v>0</v>
      </c>
      <c r="X13" s="17">
        <f t="shared" si="5"/>
        <v>0</v>
      </c>
      <c r="Y13" s="17">
        <f t="shared" si="5"/>
        <v>18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318</v>
      </c>
      <c r="AD13" s="17">
        <f t="shared" si="5"/>
        <v>0</v>
      </c>
      <c r="AE13" s="31">
        <f t="shared" si="5"/>
        <v>280</v>
      </c>
      <c r="AF13" s="31">
        <f t="shared" si="5"/>
        <v>598</v>
      </c>
    </row>
    <row r="14" spans="2:32" ht="23.1" customHeight="1" x14ac:dyDescent="0.25">
      <c r="B14" s="23" t="s">
        <v>41</v>
      </c>
      <c r="C14" s="50">
        <v>98</v>
      </c>
      <c r="D14" s="50">
        <v>12</v>
      </c>
      <c r="E14" s="50">
        <v>4</v>
      </c>
      <c r="F14" s="50">
        <v>12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159</v>
      </c>
      <c r="N14" s="50">
        <v>0</v>
      </c>
      <c r="O14" s="15">
        <f t="shared" si="0"/>
        <v>129</v>
      </c>
      <c r="P14" s="15">
        <f t="shared" si="1"/>
        <v>288</v>
      </c>
      <c r="R14" s="1" t="s">
        <v>10</v>
      </c>
      <c r="S14" s="17">
        <f t="shared" ref="S14:AF14" si="6">SUM(C26:C29)</f>
        <v>103</v>
      </c>
      <c r="T14" s="17">
        <f t="shared" si="6"/>
        <v>19</v>
      </c>
      <c r="U14" s="17">
        <f t="shared" si="6"/>
        <v>14</v>
      </c>
      <c r="V14" s="17">
        <f t="shared" si="6"/>
        <v>16</v>
      </c>
      <c r="W14" s="17">
        <f t="shared" si="6"/>
        <v>3</v>
      </c>
      <c r="X14" s="17">
        <f t="shared" si="6"/>
        <v>1</v>
      </c>
      <c r="Y14" s="17">
        <f t="shared" si="6"/>
        <v>15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245</v>
      </c>
      <c r="AD14" s="17">
        <f t="shared" si="6"/>
        <v>0</v>
      </c>
      <c r="AE14" s="31">
        <f t="shared" si="6"/>
        <v>173</v>
      </c>
      <c r="AF14" s="31">
        <f t="shared" si="6"/>
        <v>418</v>
      </c>
    </row>
    <row r="15" spans="2:32" ht="23.1" customHeight="1" x14ac:dyDescent="0.25">
      <c r="B15" s="23" t="s">
        <v>42</v>
      </c>
      <c r="C15" s="50">
        <v>39</v>
      </c>
      <c r="D15" s="50">
        <v>12</v>
      </c>
      <c r="E15" s="50">
        <v>6</v>
      </c>
      <c r="F15" s="50">
        <v>26</v>
      </c>
      <c r="G15" s="50">
        <v>0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128</v>
      </c>
      <c r="N15" s="50">
        <v>0</v>
      </c>
      <c r="O15" s="15">
        <f t="shared" si="0"/>
        <v>89</v>
      </c>
      <c r="P15" s="15">
        <f t="shared" si="1"/>
        <v>217</v>
      </c>
      <c r="R15" s="1" t="s">
        <v>11</v>
      </c>
      <c r="S15" s="17">
        <f t="shared" ref="S15:AF15" si="7">SUM(C30:C33)</f>
        <v>81</v>
      </c>
      <c r="T15" s="17">
        <f t="shared" si="7"/>
        <v>27</v>
      </c>
      <c r="U15" s="17">
        <f t="shared" si="7"/>
        <v>15</v>
      </c>
      <c r="V15" s="17">
        <f t="shared" si="7"/>
        <v>33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4</v>
      </c>
      <c r="AA15" s="17">
        <f t="shared" si="7"/>
        <v>1</v>
      </c>
      <c r="AB15" s="17">
        <f t="shared" si="7"/>
        <v>0</v>
      </c>
      <c r="AC15" s="17">
        <f t="shared" si="7"/>
        <v>171</v>
      </c>
      <c r="AD15" s="17">
        <f t="shared" si="7"/>
        <v>3</v>
      </c>
      <c r="AE15" s="31">
        <f t="shared" si="7"/>
        <v>178</v>
      </c>
      <c r="AF15" s="31">
        <f t="shared" si="7"/>
        <v>349</v>
      </c>
    </row>
    <row r="16" spans="2:32" ht="23.1" customHeight="1" x14ac:dyDescent="0.25">
      <c r="B16" s="23" t="s">
        <v>43</v>
      </c>
      <c r="C16" s="50">
        <v>51</v>
      </c>
      <c r="D16" s="50">
        <v>10</v>
      </c>
      <c r="E16" s="50">
        <v>3</v>
      </c>
      <c r="F16" s="50">
        <v>34</v>
      </c>
      <c r="G16" s="50">
        <v>0</v>
      </c>
      <c r="H16" s="50">
        <v>0</v>
      </c>
      <c r="I16" s="50">
        <v>7</v>
      </c>
      <c r="J16" s="50">
        <v>1</v>
      </c>
      <c r="K16" s="50">
        <v>0</v>
      </c>
      <c r="L16" s="50">
        <v>0</v>
      </c>
      <c r="M16" s="50">
        <v>191</v>
      </c>
      <c r="N16" s="50">
        <v>0</v>
      </c>
      <c r="O16" s="15">
        <f t="shared" si="0"/>
        <v>106</v>
      </c>
      <c r="P16" s="15">
        <f t="shared" si="1"/>
        <v>297</v>
      </c>
      <c r="R16" s="1" t="s">
        <v>12</v>
      </c>
      <c r="S16" s="17">
        <f t="shared" ref="S16:AF16" si="8">SUM(C34:C37)</f>
        <v>63</v>
      </c>
      <c r="T16" s="17">
        <f t="shared" si="8"/>
        <v>20</v>
      </c>
      <c r="U16" s="17">
        <f t="shared" si="8"/>
        <v>6</v>
      </c>
      <c r="V16" s="17">
        <f t="shared" si="8"/>
        <v>26</v>
      </c>
      <c r="W16" s="17">
        <f t="shared" si="8"/>
        <v>0</v>
      </c>
      <c r="X16" s="17">
        <f t="shared" si="8"/>
        <v>0</v>
      </c>
      <c r="Y16" s="17">
        <f t="shared" si="8"/>
        <v>31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183</v>
      </c>
      <c r="AD16" s="17">
        <f t="shared" si="8"/>
        <v>0</v>
      </c>
      <c r="AE16" s="31">
        <f t="shared" si="8"/>
        <v>150</v>
      </c>
      <c r="AF16" s="31">
        <f t="shared" si="8"/>
        <v>333</v>
      </c>
    </row>
    <row r="17" spans="2:32" ht="23.1" customHeight="1" x14ac:dyDescent="0.25">
      <c r="B17" s="23" t="s">
        <v>44</v>
      </c>
      <c r="C17" s="50">
        <v>52</v>
      </c>
      <c r="D17" s="50">
        <v>13</v>
      </c>
      <c r="E17" s="50">
        <v>4</v>
      </c>
      <c r="F17" s="50">
        <v>32</v>
      </c>
      <c r="G17" s="50">
        <v>1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181</v>
      </c>
      <c r="N17" s="50">
        <v>0</v>
      </c>
      <c r="O17" s="15">
        <f t="shared" si="0"/>
        <v>106</v>
      </c>
      <c r="P17" s="15">
        <f t="shared" si="1"/>
        <v>287</v>
      </c>
      <c r="R17" s="1" t="s">
        <v>13</v>
      </c>
      <c r="S17" s="17">
        <f t="shared" ref="S17:AF17" si="9">SUM(C38:C41)</f>
        <v>52</v>
      </c>
      <c r="T17" s="17">
        <f t="shared" si="9"/>
        <v>14</v>
      </c>
      <c r="U17" s="17">
        <f t="shared" si="9"/>
        <v>6</v>
      </c>
      <c r="V17" s="17">
        <f t="shared" si="9"/>
        <v>19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156</v>
      </c>
      <c r="AD17" s="17">
        <f t="shared" si="9"/>
        <v>0</v>
      </c>
      <c r="AE17" s="31">
        <f t="shared" si="9"/>
        <v>104</v>
      </c>
      <c r="AF17" s="31">
        <f t="shared" si="9"/>
        <v>260</v>
      </c>
    </row>
    <row r="18" spans="2:32" ht="23.1" customHeight="1" x14ac:dyDescent="0.25">
      <c r="B18" s="23" t="s">
        <v>45</v>
      </c>
      <c r="C18" s="50">
        <v>56</v>
      </c>
      <c r="D18" s="50">
        <v>9</v>
      </c>
      <c r="E18" s="50">
        <v>3</v>
      </c>
      <c r="F18" s="50">
        <v>21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162</v>
      </c>
      <c r="N18" s="50">
        <v>0</v>
      </c>
      <c r="O18" s="15">
        <f t="shared" si="0"/>
        <v>92</v>
      </c>
      <c r="P18" s="15">
        <f t="shared" si="1"/>
        <v>254</v>
      </c>
      <c r="R18" s="1" t="s">
        <v>14</v>
      </c>
      <c r="S18" s="17">
        <f t="shared" ref="S18:AF18" si="10">SUM(C42:C45)</f>
        <v>61</v>
      </c>
      <c r="T18" s="17">
        <f t="shared" si="10"/>
        <v>20</v>
      </c>
      <c r="U18" s="17">
        <f t="shared" si="10"/>
        <v>12</v>
      </c>
      <c r="V18" s="17">
        <f t="shared" si="10"/>
        <v>23</v>
      </c>
      <c r="W18" s="17">
        <f t="shared" si="10"/>
        <v>1</v>
      </c>
      <c r="X18" s="17">
        <f t="shared" si="10"/>
        <v>0</v>
      </c>
      <c r="Y18" s="17">
        <f t="shared" si="10"/>
        <v>14</v>
      </c>
      <c r="Z18" s="17">
        <f t="shared" si="10"/>
        <v>5</v>
      </c>
      <c r="AA18" s="17">
        <f t="shared" si="10"/>
        <v>2</v>
      </c>
      <c r="AB18" s="17">
        <f t="shared" si="10"/>
        <v>0</v>
      </c>
      <c r="AC18" s="17">
        <f t="shared" si="10"/>
        <v>216</v>
      </c>
      <c r="AD18" s="17">
        <f t="shared" si="10"/>
        <v>0</v>
      </c>
      <c r="AE18" s="31">
        <f t="shared" si="10"/>
        <v>138</v>
      </c>
      <c r="AF18" s="31">
        <f t="shared" si="10"/>
        <v>354</v>
      </c>
    </row>
    <row r="19" spans="2:32" ht="23.1" customHeight="1" x14ac:dyDescent="0.25">
      <c r="B19" s="23" t="s">
        <v>46</v>
      </c>
      <c r="C19" s="50">
        <v>45</v>
      </c>
      <c r="D19" s="50">
        <v>12</v>
      </c>
      <c r="E19" s="50">
        <v>5</v>
      </c>
      <c r="F19" s="50">
        <v>23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1</v>
      </c>
      <c r="M19" s="50">
        <v>114</v>
      </c>
      <c r="N19" s="50">
        <v>0</v>
      </c>
      <c r="O19" s="15">
        <f t="shared" si="0"/>
        <v>90</v>
      </c>
      <c r="P19" s="15">
        <f t="shared" si="1"/>
        <v>204</v>
      </c>
      <c r="R19" s="1" t="s">
        <v>15</v>
      </c>
      <c r="S19" s="17">
        <f t="shared" ref="S19:AF19" si="11">SUM(C46:C49)</f>
        <v>64</v>
      </c>
      <c r="T19" s="17">
        <f t="shared" si="11"/>
        <v>18</v>
      </c>
      <c r="U19" s="17">
        <f t="shared" si="11"/>
        <v>10</v>
      </c>
      <c r="V19" s="17">
        <f t="shared" si="11"/>
        <v>20</v>
      </c>
      <c r="W19" s="17">
        <f t="shared" si="11"/>
        <v>0</v>
      </c>
      <c r="X19" s="17">
        <f t="shared" si="11"/>
        <v>0</v>
      </c>
      <c r="Y19" s="17">
        <f t="shared" si="11"/>
        <v>17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205</v>
      </c>
      <c r="AD19" s="17">
        <f t="shared" si="11"/>
        <v>0</v>
      </c>
      <c r="AE19" s="31">
        <f t="shared" si="11"/>
        <v>134</v>
      </c>
      <c r="AF19" s="31">
        <f t="shared" si="11"/>
        <v>339</v>
      </c>
    </row>
    <row r="20" spans="2:32" ht="23.1" customHeight="1" x14ac:dyDescent="0.25">
      <c r="B20" s="23" t="s">
        <v>47</v>
      </c>
      <c r="C20" s="50">
        <v>45</v>
      </c>
      <c r="D20" s="50">
        <v>6</v>
      </c>
      <c r="E20" s="50">
        <v>4</v>
      </c>
      <c r="F20" s="50">
        <v>23</v>
      </c>
      <c r="G20" s="50">
        <v>0</v>
      </c>
      <c r="H20" s="50">
        <v>0</v>
      </c>
      <c r="I20" s="50">
        <v>9</v>
      </c>
      <c r="J20" s="50">
        <v>0</v>
      </c>
      <c r="K20" s="50">
        <v>0</v>
      </c>
      <c r="L20" s="50">
        <v>0</v>
      </c>
      <c r="M20" s="50">
        <v>125</v>
      </c>
      <c r="N20" s="50">
        <v>0</v>
      </c>
      <c r="O20" s="15">
        <f t="shared" si="0"/>
        <v>87</v>
      </c>
      <c r="P20" s="15">
        <f t="shared" si="1"/>
        <v>212</v>
      </c>
      <c r="R20" s="1" t="s">
        <v>16</v>
      </c>
      <c r="S20" s="17">
        <f t="shared" ref="S20:AF20" si="12">SUM(C50:C53)</f>
        <v>79</v>
      </c>
      <c r="T20" s="17">
        <f t="shared" si="12"/>
        <v>22</v>
      </c>
      <c r="U20" s="17">
        <f t="shared" si="12"/>
        <v>5</v>
      </c>
      <c r="V20" s="17">
        <f t="shared" si="12"/>
        <v>29</v>
      </c>
      <c r="W20" s="17">
        <f t="shared" si="12"/>
        <v>2</v>
      </c>
      <c r="X20" s="17">
        <f t="shared" si="12"/>
        <v>0</v>
      </c>
      <c r="Y20" s="17">
        <f t="shared" si="12"/>
        <v>11</v>
      </c>
      <c r="Z20" s="17">
        <f t="shared" si="12"/>
        <v>2</v>
      </c>
      <c r="AA20" s="17">
        <f t="shared" si="12"/>
        <v>4</v>
      </c>
      <c r="AB20" s="17">
        <f t="shared" si="12"/>
        <v>0</v>
      </c>
      <c r="AC20" s="17">
        <f t="shared" si="12"/>
        <v>228</v>
      </c>
      <c r="AD20" s="17">
        <f t="shared" si="12"/>
        <v>0</v>
      </c>
      <c r="AE20" s="31">
        <f t="shared" si="12"/>
        <v>154</v>
      </c>
      <c r="AF20" s="31">
        <f t="shared" si="12"/>
        <v>382</v>
      </c>
    </row>
    <row r="21" spans="2:32" ht="23.1" customHeight="1" x14ac:dyDescent="0.25">
      <c r="B21" s="23" t="s">
        <v>48</v>
      </c>
      <c r="C21" s="50">
        <v>42</v>
      </c>
      <c r="D21" s="50">
        <v>14</v>
      </c>
      <c r="E21" s="50">
        <v>5</v>
      </c>
      <c r="F21" s="50">
        <v>19</v>
      </c>
      <c r="G21" s="50">
        <v>0</v>
      </c>
      <c r="H21" s="50">
        <v>0</v>
      </c>
      <c r="I21" s="50">
        <v>3</v>
      </c>
      <c r="J21" s="50">
        <v>1</v>
      </c>
      <c r="K21" s="50">
        <v>1</v>
      </c>
      <c r="L21" s="50">
        <v>0</v>
      </c>
      <c r="M21" s="50">
        <v>89</v>
      </c>
      <c r="N21" s="50">
        <v>0</v>
      </c>
      <c r="O21" s="15">
        <f t="shared" si="0"/>
        <v>85</v>
      </c>
      <c r="P21" s="15">
        <f t="shared" si="1"/>
        <v>174</v>
      </c>
      <c r="R21" s="36" t="s">
        <v>20</v>
      </c>
      <c r="S21" s="34">
        <f t="shared" ref="S21:AF21" si="13">SUM(C54:C57)</f>
        <v>76</v>
      </c>
      <c r="T21" s="17">
        <f t="shared" si="13"/>
        <v>13</v>
      </c>
      <c r="U21" s="17">
        <f t="shared" si="13"/>
        <v>6</v>
      </c>
      <c r="V21" s="17">
        <f t="shared" si="13"/>
        <v>21</v>
      </c>
      <c r="W21" s="17">
        <f t="shared" si="13"/>
        <v>0</v>
      </c>
      <c r="X21" s="17">
        <f t="shared" si="13"/>
        <v>1</v>
      </c>
      <c r="Y21" s="17">
        <f t="shared" si="13"/>
        <v>16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268</v>
      </c>
      <c r="AD21" s="17">
        <f t="shared" si="13"/>
        <v>0</v>
      </c>
      <c r="AE21" s="31">
        <f t="shared" si="13"/>
        <v>133</v>
      </c>
      <c r="AF21" s="31">
        <f t="shared" si="13"/>
        <v>401</v>
      </c>
    </row>
    <row r="22" spans="2:32" ht="23.1" customHeight="1" x14ac:dyDescent="0.25">
      <c r="B22" s="23" t="s">
        <v>49</v>
      </c>
      <c r="C22" s="50">
        <v>36</v>
      </c>
      <c r="D22" s="50">
        <v>5</v>
      </c>
      <c r="E22" s="50">
        <v>7</v>
      </c>
      <c r="F22" s="50">
        <v>18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79</v>
      </c>
      <c r="N22" s="50">
        <v>0</v>
      </c>
      <c r="O22" s="15">
        <f t="shared" si="0"/>
        <v>66</v>
      </c>
      <c r="P22" s="15">
        <f t="shared" si="1"/>
        <v>145</v>
      </c>
      <c r="R22" s="38" t="s">
        <v>90</v>
      </c>
      <c r="S22" s="39">
        <f>MAX(S10:S12)</f>
        <v>240</v>
      </c>
      <c r="T22" s="39">
        <f t="shared" ref="T22:AF22" si="14">MAX(T10:T12)</f>
        <v>47</v>
      </c>
      <c r="U22" s="39">
        <f t="shared" si="14"/>
        <v>17</v>
      </c>
      <c r="V22" s="39">
        <f t="shared" si="14"/>
        <v>104</v>
      </c>
      <c r="W22" s="39">
        <f t="shared" si="14"/>
        <v>3</v>
      </c>
      <c r="X22" s="39">
        <f t="shared" si="14"/>
        <v>1</v>
      </c>
      <c r="Y22" s="39">
        <f t="shared" si="14"/>
        <v>31</v>
      </c>
      <c r="Z22" s="39">
        <f t="shared" si="14"/>
        <v>6</v>
      </c>
      <c r="AA22" s="39">
        <f t="shared" si="14"/>
        <v>2</v>
      </c>
      <c r="AB22" s="39">
        <f t="shared" si="14"/>
        <v>1</v>
      </c>
      <c r="AC22" s="39">
        <f t="shared" si="14"/>
        <v>659</v>
      </c>
      <c r="AD22" s="39">
        <f t="shared" si="14"/>
        <v>0</v>
      </c>
      <c r="AE22" s="40">
        <f t="shared" si="14"/>
        <v>430</v>
      </c>
      <c r="AF22" s="40">
        <f t="shared" si="14"/>
        <v>1089</v>
      </c>
    </row>
    <row r="23" spans="2:32" ht="23.1" customHeight="1" x14ac:dyDescent="0.25">
      <c r="B23" s="23" t="s">
        <v>50</v>
      </c>
      <c r="C23" s="50">
        <v>39</v>
      </c>
      <c r="D23" s="50">
        <v>9</v>
      </c>
      <c r="E23" s="50">
        <v>6</v>
      </c>
      <c r="F23" s="50">
        <v>11</v>
      </c>
      <c r="G23" s="50">
        <v>0</v>
      </c>
      <c r="H23" s="50">
        <v>0</v>
      </c>
      <c r="I23" s="50">
        <v>7</v>
      </c>
      <c r="J23" s="50">
        <v>0</v>
      </c>
      <c r="K23" s="50">
        <v>0</v>
      </c>
      <c r="L23" s="50">
        <v>0</v>
      </c>
      <c r="M23" s="50">
        <v>76</v>
      </c>
      <c r="N23" s="50">
        <v>0</v>
      </c>
      <c r="O23" s="15">
        <f t="shared" si="0"/>
        <v>72</v>
      </c>
      <c r="P23" s="15">
        <f t="shared" si="1"/>
        <v>148</v>
      </c>
      <c r="R23" s="38" t="s">
        <v>91</v>
      </c>
      <c r="S23" s="39">
        <f>MAX(S13:S18)</f>
        <v>151</v>
      </c>
      <c r="T23" s="39">
        <f t="shared" ref="T23:AF23" si="15">MAX(T13:T18)</f>
        <v>36</v>
      </c>
      <c r="U23" s="39">
        <f t="shared" si="15"/>
        <v>16</v>
      </c>
      <c r="V23" s="39">
        <f t="shared" si="15"/>
        <v>57</v>
      </c>
      <c r="W23" s="39">
        <f t="shared" si="15"/>
        <v>3</v>
      </c>
      <c r="X23" s="39">
        <f t="shared" si="15"/>
        <v>1</v>
      </c>
      <c r="Y23" s="39">
        <f t="shared" si="15"/>
        <v>31</v>
      </c>
      <c r="Z23" s="39">
        <f t="shared" si="15"/>
        <v>5</v>
      </c>
      <c r="AA23" s="39">
        <f t="shared" si="15"/>
        <v>2</v>
      </c>
      <c r="AB23" s="39">
        <f t="shared" si="15"/>
        <v>0</v>
      </c>
      <c r="AC23" s="39">
        <f t="shared" si="15"/>
        <v>318</v>
      </c>
      <c r="AD23" s="39">
        <f t="shared" si="15"/>
        <v>3</v>
      </c>
      <c r="AE23" s="40">
        <f t="shared" si="15"/>
        <v>280</v>
      </c>
      <c r="AF23" s="40">
        <f t="shared" si="15"/>
        <v>598</v>
      </c>
    </row>
    <row r="24" spans="2:32" ht="23.1" customHeight="1" x14ac:dyDescent="0.25">
      <c r="B24" s="23" t="s">
        <v>51</v>
      </c>
      <c r="C24" s="50">
        <v>36</v>
      </c>
      <c r="D24" s="50">
        <v>11</v>
      </c>
      <c r="E24" s="50">
        <v>1</v>
      </c>
      <c r="F24" s="50">
        <v>14</v>
      </c>
      <c r="G24" s="50">
        <v>0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73</v>
      </c>
      <c r="N24" s="50">
        <v>0</v>
      </c>
      <c r="O24" s="15">
        <f t="shared" si="0"/>
        <v>68</v>
      </c>
      <c r="P24" s="15">
        <f t="shared" si="1"/>
        <v>141</v>
      </c>
      <c r="R24" s="38" t="s">
        <v>92</v>
      </c>
      <c r="S24" s="39">
        <f>MAX(S19:S21)</f>
        <v>79</v>
      </c>
      <c r="T24" s="39">
        <f t="shared" ref="T24:AF24" si="16">MAX(T19:T21)</f>
        <v>22</v>
      </c>
      <c r="U24" s="39">
        <f t="shared" si="16"/>
        <v>10</v>
      </c>
      <c r="V24" s="39">
        <f t="shared" si="16"/>
        <v>29</v>
      </c>
      <c r="W24" s="39">
        <f t="shared" si="16"/>
        <v>2</v>
      </c>
      <c r="X24" s="39">
        <f t="shared" si="16"/>
        <v>1</v>
      </c>
      <c r="Y24" s="39">
        <f t="shared" si="16"/>
        <v>17</v>
      </c>
      <c r="Z24" s="39">
        <f t="shared" si="16"/>
        <v>5</v>
      </c>
      <c r="AA24" s="39">
        <f t="shared" si="16"/>
        <v>4</v>
      </c>
      <c r="AB24" s="39">
        <f t="shared" si="16"/>
        <v>0</v>
      </c>
      <c r="AC24" s="39">
        <f t="shared" si="16"/>
        <v>268</v>
      </c>
      <c r="AD24" s="39">
        <f t="shared" si="16"/>
        <v>0</v>
      </c>
      <c r="AE24" s="40">
        <f t="shared" si="16"/>
        <v>154</v>
      </c>
      <c r="AF24" s="40">
        <f t="shared" si="16"/>
        <v>401</v>
      </c>
    </row>
    <row r="25" spans="2:32" ht="23.1" customHeight="1" x14ac:dyDescent="0.25">
      <c r="B25" s="23" t="s">
        <v>52</v>
      </c>
      <c r="C25" s="50">
        <v>40</v>
      </c>
      <c r="D25" s="50">
        <v>11</v>
      </c>
      <c r="E25" s="50">
        <v>2</v>
      </c>
      <c r="F25" s="50">
        <v>14</v>
      </c>
      <c r="G25" s="50">
        <v>0</v>
      </c>
      <c r="H25" s="50">
        <v>0</v>
      </c>
      <c r="I25" s="50">
        <v>7</v>
      </c>
      <c r="J25" s="50">
        <v>0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74</v>
      </c>
      <c r="P25" s="15">
        <f t="shared" si="1"/>
        <v>164</v>
      </c>
      <c r="R25" s="37" t="s">
        <v>85</v>
      </c>
      <c r="S25" s="35">
        <f t="shared" ref="S25:AF25" si="17">SUM(S10:S12)</f>
        <v>650</v>
      </c>
      <c r="T25" s="16">
        <f t="shared" si="17"/>
        <v>116</v>
      </c>
      <c r="U25" s="16">
        <f t="shared" si="17"/>
        <v>49</v>
      </c>
      <c r="V25" s="16">
        <f t="shared" si="17"/>
        <v>264</v>
      </c>
      <c r="W25" s="16">
        <f t="shared" si="17"/>
        <v>4</v>
      </c>
      <c r="X25" s="16">
        <f t="shared" si="17"/>
        <v>1</v>
      </c>
      <c r="Y25" s="16">
        <f t="shared" si="17"/>
        <v>65</v>
      </c>
      <c r="Z25" s="16">
        <f t="shared" si="17"/>
        <v>11</v>
      </c>
      <c r="AA25" s="16">
        <f t="shared" si="17"/>
        <v>5</v>
      </c>
      <c r="AB25" s="16">
        <f t="shared" si="17"/>
        <v>1</v>
      </c>
      <c r="AC25" s="16">
        <f t="shared" si="17"/>
        <v>1352</v>
      </c>
      <c r="AD25" s="16">
        <f t="shared" si="17"/>
        <v>0</v>
      </c>
      <c r="AE25" s="32">
        <f t="shared" si="17"/>
        <v>1166</v>
      </c>
      <c r="AF25" s="32">
        <f t="shared" si="17"/>
        <v>2518</v>
      </c>
    </row>
    <row r="26" spans="2:32" ht="23.1" customHeight="1" x14ac:dyDescent="0.25">
      <c r="B26" s="23" t="s">
        <v>53</v>
      </c>
      <c r="C26" s="50">
        <v>23</v>
      </c>
      <c r="D26" s="50">
        <v>7</v>
      </c>
      <c r="E26" s="50">
        <v>2</v>
      </c>
      <c r="F26" s="50">
        <v>5</v>
      </c>
      <c r="G26" s="50">
        <v>0</v>
      </c>
      <c r="H26" s="50">
        <v>0</v>
      </c>
      <c r="I26" s="50">
        <v>3</v>
      </c>
      <c r="J26" s="50">
        <v>0</v>
      </c>
      <c r="K26" s="50">
        <v>0</v>
      </c>
      <c r="L26" s="50">
        <v>0</v>
      </c>
      <c r="M26" s="50">
        <v>72</v>
      </c>
      <c r="N26" s="50">
        <v>0</v>
      </c>
      <c r="O26" s="15">
        <f t="shared" si="0"/>
        <v>40</v>
      </c>
      <c r="P26" s="15">
        <f t="shared" si="1"/>
        <v>112</v>
      </c>
      <c r="R26" s="28" t="s">
        <v>86</v>
      </c>
      <c r="S26" s="16">
        <f t="shared" ref="S26:AF26" si="18">SUM(S13:S18)</f>
        <v>511</v>
      </c>
      <c r="T26" s="16">
        <f t="shared" si="18"/>
        <v>136</v>
      </c>
      <c r="U26" s="16">
        <f t="shared" si="18"/>
        <v>69</v>
      </c>
      <c r="V26" s="16">
        <f t="shared" si="18"/>
        <v>174</v>
      </c>
      <c r="W26" s="16">
        <f t="shared" si="18"/>
        <v>4</v>
      </c>
      <c r="X26" s="16">
        <f t="shared" si="18"/>
        <v>1</v>
      </c>
      <c r="Y26" s="16">
        <f t="shared" si="18"/>
        <v>99</v>
      </c>
      <c r="Z26" s="16">
        <f t="shared" si="18"/>
        <v>20</v>
      </c>
      <c r="AA26" s="16">
        <f t="shared" si="18"/>
        <v>6</v>
      </c>
      <c r="AB26" s="16">
        <f t="shared" si="18"/>
        <v>0</v>
      </c>
      <c r="AC26" s="16">
        <f t="shared" si="18"/>
        <v>1289</v>
      </c>
      <c r="AD26" s="16">
        <f t="shared" si="18"/>
        <v>3</v>
      </c>
      <c r="AE26" s="32">
        <f t="shared" si="18"/>
        <v>1023</v>
      </c>
      <c r="AF26" s="32">
        <f t="shared" si="18"/>
        <v>2312</v>
      </c>
    </row>
    <row r="27" spans="2:32" ht="23.1" customHeight="1" x14ac:dyDescent="0.25">
      <c r="B27" s="23" t="s">
        <v>54</v>
      </c>
      <c r="C27" s="50">
        <v>29</v>
      </c>
      <c r="D27" s="50">
        <v>5</v>
      </c>
      <c r="E27" s="50">
        <v>5</v>
      </c>
      <c r="F27" s="50">
        <v>4</v>
      </c>
      <c r="G27" s="50">
        <v>0</v>
      </c>
      <c r="H27" s="50">
        <v>1</v>
      </c>
      <c r="I27" s="50">
        <v>5</v>
      </c>
      <c r="J27" s="50">
        <v>0</v>
      </c>
      <c r="K27" s="50">
        <v>0</v>
      </c>
      <c r="L27" s="50">
        <v>0</v>
      </c>
      <c r="M27" s="50">
        <v>45</v>
      </c>
      <c r="N27" s="50">
        <v>0</v>
      </c>
      <c r="O27" s="15">
        <f t="shared" si="0"/>
        <v>49</v>
      </c>
      <c r="P27" s="15">
        <f t="shared" si="1"/>
        <v>94</v>
      </c>
      <c r="R27" s="29" t="s">
        <v>87</v>
      </c>
      <c r="S27" s="16">
        <f t="shared" ref="S27:AF27" si="19">SUM(S19:S21)</f>
        <v>219</v>
      </c>
      <c r="T27" s="16">
        <f t="shared" si="19"/>
        <v>53</v>
      </c>
      <c r="U27" s="16">
        <f t="shared" si="19"/>
        <v>21</v>
      </c>
      <c r="V27" s="16">
        <f t="shared" si="19"/>
        <v>70</v>
      </c>
      <c r="W27" s="16">
        <f t="shared" si="19"/>
        <v>2</v>
      </c>
      <c r="X27" s="16">
        <f t="shared" si="19"/>
        <v>1</v>
      </c>
      <c r="Y27" s="16">
        <f t="shared" si="19"/>
        <v>44</v>
      </c>
      <c r="Z27" s="16">
        <f t="shared" si="19"/>
        <v>7</v>
      </c>
      <c r="AA27" s="16">
        <f t="shared" si="19"/>
        <v>4</v>
      </c>
      <c r="AB27" s="16">
        <f t="shared" si="19"/>
        <v>0</v>
      </c>
      <c r="AC27" s="16">
        <f t="shared" si="19"/>
        <v>701</v>
      </c>
      <c r="AD27" s="16">
        <f t="shared" si="19"/>
        <v>0</v>
      </c>
      <c r="AE27" s="32">
        <f t="shared" si="19"/>
        <v>421</v>
      </c>
      <c r="AF27" s="32">
        <f t="shared" si="19"/>
        <v>1122</v>
      </c>
    </row>
    <row r="28" spans="2:32" ht="23.1" customHeight="1" x14ac:dyDescent="0.25">
      <c r="B28" s="23" t="s">
        <v>55</v>
      </c>
      <c r="C28" s="50">
        <v>24</v>
      </c>
      <c r="D28" s="50">
        <v>2</v>
      </c>
      <c r="E28" s="50">
        <v>1</v>
      </c>
      <c r="F28" s="50">
        <v>4</v>
      </c>
      <c r="G28" s="50">
        <v>1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51</v>
      </c>
      <c r="N28" s="50">
        <v>0</v>
      </c>
      <c r="O28" s="15">
        <f t="shared" si="0"/>
        <v>35</v>
      </c>
      <c r="P28" s="15">
        <f t="shared" si="1"/>
        <v>86</v>
      </c>
      <c r="R28" s="5" t="s">
        <v>17</v>
      </c>
      <c r="S28" s="16">
        <f t="shared" ref="S28:AF28" si="20">SUM(S10:S21)</f>
        <v>1380</v>
      </c>
      <c r="T28" s="16">
        <f t="shared" si="20"/>
        <v>305</v>
      </c>
      <c r="U28" s="16">
        <f t="shared" si="20"/>
        <v>139</v>
      </c>
      <c r="V28" s="16">
        <f t="shared" si="20"/>
        <v>508</v>
      </c>
      <c r="W28" s="16">
        <f t="shared" si="20"/>
        <v>10</v>
      </c>
      <c r="X28" s="16">
        <f t="shared" si="20"/>
        <v>3</v>
      </c>
      <c r="Y28" s="16">
        <f t="shared" si="20"/>
        <v>208</v>
      </c>
      <c r="Z28" s="16">
        <f t="shared" si="20"/>
        <v>38</v>
      </c>
      <c r="AA28" s="16">
        <f t="shared" si="20"/>
        <v>15</v>
      </c>
      <c r="AB28" s="16">
        <f t="shared" si="20"/>
        <v>1</v>
      </c>
      <c r="AC28" s="16">
        <f t="shared" si="20"/>
        <v>3342</v>
      </c>
      <c r="AD28" s="16">
        <f t="shared" si="20"/>
        <v>3</v>
      </c>
      <c r="AE28" s="32">
        <f t="shared" si="20"/>
        <v>2610</v>
      </c>
      <c r="AF28" s="32">
        <f t="shared" si="20"/>
        <v>5952</v>
      </c>
    </row>
    <row r="29" spans="2:32" ht="23.1" customHeight="1" x14ac:dyDescent="0.25">
      <c r="B29" s="23" t="s">
        <v>56</v>
      </c>
      <c r="C29" s="50">
        <v>27</v>
      </c>
      <c r="D29" s="50">
        <v>5</v>
      </c>
      <c r="E29" s="50">
        <v>6</v>
      </c>
      <c r="F29" s="50">
        <v>3</v>
      </c>
      <c r="G29" s="50">
        <v>2</v>
      </c>
      <c r="H29" s="50">
        <v>0</v>
      </c>
      <c r="I29" s="50">
        <v>4</v>
      </c>
      <c r="J29" s="50">
        <v>2</v>
      </c>
      <c r="K29" s="50">
        <v>0</v>
      </c>
      <c r="L29" s="50">
        <v>0</v>
      </c>
      <c r="M29" s="50">
        <v>77</v>
      </c>
      <c r="N29" s="50">
        <v>0</v>
      </c>
      <c r="O29" s="15">
        <f t="shared" si="0"/>
        <v>49</v>
      </c>
      <c r="P29" s="15">
        <f t="shared" si="1"/>
        <v>126</v>
      </c>
      <c r="R29"/>
      <c r="S29" s="20"/>
      <c r="T29" s="19"/>
    </row>
    <row r="30" spans="2:32" ht="23.1" customHeight="1" x14ac:dyDescent="0.25">
      <c r="B30" s="23" t="s">
        <v>57</v>
      </c>
      <c r="C30" s="50">
        <v>18</v>
      </c>
      <c r="D30" s="50">
        <v>8</v>
      </c>
      <c r="E30" s="50">
        <v>2</v>
      </c>
      <c r="F30" s="50">
        <v>10</v>
      </c>
      <c r="G30" s="50">
        <v>0</v>
      </c>
      <c r="H30" s="50">
        <v>0</v>
      </c>
      <c r="I30" s="50">
        <v>2</v>
      </c>
      <c r="J30" s="50">
        <v>2</v>
      </c>
      <c r="K30" s="50">
        <v>1</v>
      </c>
      <c r="L30" s="50">
        <v>0</v>
      </c>
      <c r="M30" s="50">
        <v>37</v>
      </c>
      <c r="N30" s="50">
        <v>3</v>
      </c>
      <c r="O30" s="15">
        <f t="shared" si="0"/>
        <v>46</v>
      </c>
      <c r="P30" s="15">
        <f t="shared" si="1"/>
        <v>83</v>
      </c>
    </row>
    <row r="31" spans="2:32" ht="23.1" customHeight="1" x14ac:dyDescent="0.25">
      <c r="B31" s="24" t="s">
        <v>58</v>
      </c>
      <c r="C31" s="50">
        <v>18</v>
      </c>
      <c r="D31" s="50">
        <v>4</v>
      </c>
      <c r="E31" s="50">
        <v>6</v>
      </c>
      <c r="F31" s="50">
        <v>6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49</v>
      </c>
      <c r="N31" s="50">
        <v>0</v>
      </c>
      <c r="O31" s="15">
        <f t="shared" si="0"/>
        <v>36</v>
      </c>
      <c r="P31" s="15">
        <f t="shared" si="1"/>
        <v>85</v>
      </c>
    </row>
    <row r="32" spans="2:32" ht="23.1" customHeight="1" x14ac:dyDescent="0.25">
      <c r="B32" s="24" t="s">
        <v>59</v>
      </c>
      <c r="C32" s="50">
        <v>21</v>
      </c>
      <c r="D32" s="50">
        <v>7</v>
      </c>
      <c r="E32" s="50">
        <v>5</v>
      </c>
      <c r="F32" s="50">
        <v>10</v>
      </c>
      <c r="G32" s="50">
        <v>0</v>
      </c>
      <c r="H32" s="50">
        <v>0</v>
      </c>
      <c r="I32" s="50">
        <v>5</v>
      </c>
      <c r="J32" s="50">
        <v>1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49</v>
      </c>
      <c r="P32" s="15">
        <f t="shared" si="1"/>
        <v>89</v>
      </c>
    </row>
    <row r="33" spans="2:20" ht="23.1" customHeight="1" x14ac:dyDescent="0.25">
      <c r="B33" s="23" t="s">
        <v>60</v>
      </c>
      <c r="C33" s="50">
        <v>24</v>
      </c>
      <c r="D33" s="50">
        <v>8</v>
      </c>
      <c r="E33" s="50">
        <v>2</v>
      </c>
      <c r="F33" s="50">
        <v>7</v>
      </c>
      <c r="G33" s="50">
        <v>0</v>
      </c>
      <c r="H33" s="50">
        <v>0</v>
      </c>
      <c r="I33" s="50">
        <v>5</v>
      </c>
      <c r="J33" s="50">
        <v>1</v>
      </c>
      <c r="K33" s="50">
        <v>0</v>
      </c>
      <c r="L33" s="50">
        <v>0</v>
      </c>
      <c r="M33" s="50">
        <v>45</v>
      </c>
      <c r="N33" s="50">
        <v>0</v>
      </c>
      <c r="O33" s="15">
        <f t="shared" si="0"/>
        <v>47</v>
      </c>
      <c r="P33" s="15">
        <f t="shared" si="1"/>
        <v>92</v>
      </c>
    </row>
    <row r="34" spans="2:20" ht="23.1" customHeight="1" x14ac:dyDescent="0.25">
      <c r="B34" s="24" t="s">
        <v>61</v>
      </c>
      <c r="C34" s="50">
        <v>13</v>
      </c>
      <c r="D34" s="50">
        <v>3</v>
      </c>
      <c r="E34" s="50">
        <v>2</v>
      </c>
      <c r="F34" s="50">
        <v>6</v>
      </c>
      <c r="G34" s="50">
        <v>0</v>
      </c>
      <c r="H34" s="50">
        <v>0</v>
      </c>
      <c r="I34" s="50">
        <v>8</v>
      </c>
      <c r="J34" s="50">
        <v>0</v>
      </c>
      <c r="K34" s="50">
        <v>0</v>
      </c>
      <c r="L34" s="50">
        <v>0</v>
      </c>
      <c r="M34" s="50">
        <v>44</v>
      </c>
      <c r="N34" s="50">
        <v>0</v>
      </c>
      <c r="O34" s="15">
        <f t="shared" si="0"/>
        <v>32</v>
      </c>
      <c r="P34" s="15">
        <f t="shared" si="1"/>
        <v>76</v>
      </c>
    </row>
    <row r="35" spans="2:20" ht="23.1" customHeight="1" x14ac:dyDescent="0.25">
      <c r="B35" s="24" t="s">
        <v>62</v>
      </c>
      <c r="C35" s="50">
        <v>15</v>
      </c>
      <c r="D35" s="50">
        <v>8</v>
      </c>
      <c r="E35" s="50">
        <v>3</v>
      </c>
      <c r="F35" s="50">
        <v>6</v>
      </c>
      <c r="G35" s="50">
        <v>0</v>
      </c>
      <c r="H35" s="50">
        <v>0</v>
      </c>
      <c r="I35" s="50">
        <v>7</v>
      </c>
      <c r="J35" s="50">
        <v>0</v>
      </c>
      <c r="K35" s="50">
        <v>0</v>
      </c>
      <c r="L35" s="50">
        <v>0</v>
      </c>
      <c r="M35" s="50">
        <v>47</v>
      </c>
      <c r="N35" s="50">
        <v>0</v>
      </c>
      <c r="O35" s="15">
        <f t="shared" si="0"/>
        <v>39</v>
      </c>
      <c r="P35" s="15">
        <f t="shared" si="1"/>
        <v>86</v>
      </c>
    </row>
    <row r="36" spans="2:20" ht="23.1" customHeight="1" x14ac:dyDescent="0.25">
      <c r="B36" s="24" t="s">
        <v>63</v>
      </c>
      <c r="C36" s="50">
        <v>18</v>
      </c>
      <c r="D36" s="50">
        <v>3</v>
      </c>
      <c r="E36" s="50">
        <v>1</v>
      </c>
      <c r="F36" s="50">
        <v>4</v>
      </c>
      <c r="G36" s="50">
        <v>0</v>
      </c>
      <c r="H36" s="50">
        <v>0</v>
      </c>
      <c r="I36" s="50">
        <v>6</v>
      </c>
      <c r="J36" s="50">
        <v>1</v>
      </c>
      <c r="K36" s="50">
        <v>0</v>
      </c>
      <c r="L36" s="50">
        <v>0</v>
      </c>
      <c r="M36" s="50">
        <v>48</v>
      </c>
      <c r="N36" s="50">
        <v>0</v>
      </c>
      <c r="O36" s="15">
        <f t="shared" si="0"/>
        <v>33</v>
      </c>
      <c r="P36" s="15">
        <f t="shared" si="1"/>
        <v>81</v>
      </c>
    </row>
    <row r="37" spans="2:20" ht="23.1" customHeight="1" x14ac:dyDescent="0.25">
      <c r="B37" s="23" t="s">
        <v>64</v>
      </c>
      <c r="C37" s="50">
        <v>17</v>
      </c>
      <c r="D37" s="50">
        <v>6</v>
      </c>
      <c r="E37" s="50">
        <v>0</v>
      </c>
      <c r="F37" s="50">
        <v>10</v>
      </c>
      <c r="G37" s="50">
        <v>0</v>
      </c>
      <c r="H37" s="50">
        <v>0</v>
      </c>
      <c r="I37" s="50">
        <v>10</v>
      </c>
      <c r="J37" s="50">
        <v>2</v>
      </c>
      <c r="K37" s="50">
        <v>1</v>
      </c>
      <c r="L37" s="50">
        <v>0</v>
      </c>
      <c r="M37" s="50">
        <v>44</v>
      </c>
      <c r="N37" s="50">
        <v>0</v>
      </c>
      <c r="O37" s="15">
        <f t="shared" si="0"/>
        <v>46</v>
      </c>
      <c r="P37" s="15">
        <f t="shared" si="1"/>
        <v>90</v>
      </c>
    </row>
    <row r="38" spans="2:20" ht="23.1" customHeight="1" x14ac:dyDescent="0.25">
      <c r="B38" s="24" t="s">
        <v>65</v>
      </c>
      <c r="C38" s="50">
        <v>10</v>
      </c>
      <c r="D38" s="50">
        <v>3</v>
      </c>
      <c r="E38" s="50">
        <v>0</v>
      </c>
      <c r="F38" s="50">
        <v>5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27</v>
      </c>
      <c r="N38" s="50">
        <v>0</v>
      </c>
      <c r="O38" s="15">
        <f t="shared" si="0"/>
        <v>19</v>
      </c>
      <c r="P38" s="15">
        <f t="shared" si="1"/>
        <v>46</v>
      </c>
    </row>
    <row r="39" spans="2:20" ht="23.1" customHeight="1" x14ac:dyDescent="0.25">
      <c r="B39" s="24" t="s">
        <v>66</v>
      </c>
      <c r="C39" s="50">
        <v>12</v>
      </c>
      <c r="D39" s="50">
        <v>3</v>
      </c>
      <c r="E39" s="50">
        <v>1</v>
      </c>
      <c r="F39" s="50">
        <v>4</v>
      </c>
      <c r="G39" s="50">
        <v>0</v>
      </c>
      <c r="H39" s="50">
        <v>0</v>
      </c>
      <c r="I39" s="50">
        <v>3</v>
      </c>
      <c r="J39" s="50">
        <v>1</v>
      </c>
      <c r="K39" s="50">
        <v>1</v>
      </c>
      <c r="L39" s="50">
        <v>0</v>
      </c>
      <c r="M39" s="50">
        <v>42</v>
      </c>
      <c r="N39" s="50">
        <v>0</v>
      </c>
      <c r="O39" s="15">
        <f t="shared" si="0"/>
        <v>25</v>
      </c>
      <c r="P39" s="15">
        <f t="shared" si="1"/>
        <v>67</v>
      </c>
    </row>
    <row r="40" spans="2:20" ht="23.1" customHeight="1" x14ac:dyDescent="0.25">
      <c r="B40" s="24" t="s">
        <v>67</v>
      </c>
      <c r="C40" s="50">
        <v>17</v>
      </c>
      <c r="D40" s="50">
        <v>6</v>
      </c>
      <c r="E40" s="50">
        <v>2</v>
      </c>
      <c r="F40" s="50">
        <v>6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51</v>
      </c>
      <c r="N40" s="50">
        <v>0</v>
      </c>
      <c r="O40" s="15">
        <f t="shared" si="0"/>
        <v>35</v>
      </c>
      <c r="P40" s="15">
        <f t="shared" si="1"/>
        <v>86</v>
      </c>
    </row>
    <row r="41" spans="2:20" ht="23.1" customHeight="1" x14ac:dyDescent="0.25">
      <c r="B41" s="23" t="s">
        <v>68</v>
      </c>
      <c r="C41" s="50">
        <v>13</v>
      </c>
      <c r="D41" s="50">
        <v>2</v>
      </c>
      <c r="E41" s="50">
        <v>3</v>
      </c>
      <c r="F41" s="50">
        <v>4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36</v>
      </c>
      <c r="N41" s="50">
        <v>0</v>
      </c>
      <c r="O41" s="15">
        <f t="shared" si="0"/>
        <v>25</v>
      </c>
      <c r="P41" s="15">
        <f t="shared" si="1"/>
        <v>61</v>
      </c>
    </row>
    <row r="42" spans="2:20" ht="23.1" customHeight="1" x14ac:dyDescent="0.25">
      <c r="B42" s="24" t="s">
        <v>69</v>
      </c>
      <c r="C42" s="50">
        <v>11</v>
      </c>
      <c r="D42" s="50">
        <v>3</v>
      </c>
      <c r="E42" s="50">
        <v>4</v>
      </c>
      <c r="F42" s="50">
        <v>6</v>
      </c>
      <c r="G42" s="50">
        <v>1</v>
      </c>
      <c r="H42" s="50">
        <v>0</v>
      </c>
      <c r="I42" s="50">
        <v>4</v>
      </c>
      <c r="J42" s="50">
        <v>0</v>
      </c>
      <c r="K42" s="50">
        <v>2</v>
      </c>
      <c r="L42" s="50">
        <v>0</v>
      </c>
      <c r="M42" s="50">
        <v>42</v>
      </c>
      <c r="N42" s="50">
        <v>0</v>
      </c>
      <c r="O42" s="15">
        <f t="shared" si="0"/>
        <v>31</v>
      </c>
      <c r="P42" s="15">
        <f t="shared" si="1"/>
        <v>73</v>
      </c>
    </row>
    <row r="43" spans="2:20" ht="23.1" customHeight="1" x14ac:dyDescent="0.25">
      <c r="B43" s="23" t="s">
        <v>70</v>
      </c>
      <c r="C43" s="50">
        <v>14</v>
      </c>
      <c r="D43" s="50">
        <v>7</v>
      </c>
      <c r="E43" s="50">
        <v>3</v>
      </c>
      <c r="F43" s="50">
        <v>8</v>
      </c>
      <c r="G43" s="50">
        <v>0</v>
      </c>
      <c r="H43" s="50">
        <v>0</v>
      </c>
      <c r="I43" s="50">
        <v>4</v>
      </c>
      <c r="J43" s="50">
        <v>1</v>
      </c>
      <c r="K43" s="50">
        <v>0</v>
      </c>
      <c r="L43" s="50">
        <v>0</v>
      </c>
      <c r="M43" s="50">
        <v>44</v>
      </c>
      <c r="N43" s="50">
        <v>0</v>
      </c>
      <c r="O43" s="15">
        <f t="shared" si="0"/>
        <v>37</v>
      </c>
      <c r="P43" s="15">
        <f t="shared" si="1"/>
        <v>81</v>
      </c>
    </row>
    <row r="44" spans="2:20" ht="23.1" customHeight="1" x14ac:dyDescent="0.25">
      <c r="B44" s="25" t="s">
        <v>71</v>
      </c>
      <c r="C44" s="50">
        <v>16</v>
      </c>
      <c r="D44" s="50">
        <v>5</v>
      </c>
      <c r="E44" s="50">
        <v>3</v>
      </c>
      <c r="F44" s="50">
        <v>5</v>
      </c>
      <c r="G44" s="50">
        <v>0</v>
      </c>
      <c r="H44" s="50">
        <v>0</v>
      </c>
      <c r="I44" s="50">
        <v>2</v>
      </c>
      <c r="J44" s="50">
        <v>4</v>
      </c>
      <c r="K44" s="50">
        <v>0</v>
      </c>
      <c r="L44" s="50">
        <v>0</v>
      </c>
      <c r="M44" s="50">
        <v>59</v>
      </c>
      <c r="N44" s="50">
        <v>0</v>
      </c>
      <c r="O44" s="15">
        <f t="shared" si="0"/>
        <v>35</v>
      </c>
      <c r="P44" s="15">
        <f t="shared" si="1"/>
        <v>94</v>
      </c>
    </row>
    <row r="45" spans="2:20" ht="23.1" customHeight="1" x14ac:dyDescent="0.25">
      <c r="B45" s="23" t="s">
        <v>72</v>
      </c>
      <c r="C45" s="50">
        <v>20</v>
      </c>
      <c r="D45" s="50">
        <v>5</v>
      </c>
      <c r="E45" s="50">
        <v>2</v>
      </c>
      <c r="F45" s="50">
        <v>4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71</v>
      </c>
      <c r="N45" s="50">
        <v>0</v>
      </c>
      <c r="O45" s="15">
        <f t="shared" si="0"/>
        <v>35</v>
      </c>
      <c r="P45" s="15">
        <f t="shared" si="1"/>
        <v>106</v>
      </c>
    </row>
    <row r="46" spans="2:20" ht="23.1" customHeight="1" x14ac:dyDescent="0.25">
      <c r="B46" s="24" t="s">
        <v>73</v>
      </c>
      <c r="C46" s="50">
        <v>11</v>
      </c>
      <c r="D46" s="50">
        <v>6</v>
      </c>
      <c r="E46" s="50">
        <v>2</v>
      </c>
      <c r="F46" s="50">
        <v>6</v>
      </c>
      <c r="G46" s="50">
        <v>0</v>
      </c>
      <c r="H46" s="50">
        <v>0</v>
      </c>
      <c r="I46" s="50">
        <v>1</v>
      </c>
      <c r="J46" s="50">
        <v>4</v>
      </c>
      <c r="K46" s="50">
        <v>0</v>
      </c>
      <c r="L46" s="50">
        <v>0</v>
      </c>
      <c r="M46" s="50">
        <v>63</v>
      </c>
      <c r="N46" s="50">
        <v>0</v>
      </c>
      <c r="O46" s="15">
        <f t="shared" si="0"/>
        <v>30</v>
      </c>
      <c r="P46" s="15">
        <f t="shared" si="1"/>
        <v>93</v>
      </c>
      <c r="R46" s="8"/>
      <c r="T46"/>
    </row>
    <row r="47" spans="2:20" ht="23.1" customHeight="1" x14ac:dyDescent="0.25">
      <c r="B47" s="24" t="s">
        <v>74</v>
      </c>
      <c r="C47" s="50">
        <v>13</v>
      </c>
      <c r="D47" s="50">
        <v>6</v>
      </c>
      <c r="E47" s="50">
        <v>4</v>
      </c>
      <c r="F47" s="50">
        <v>4</v>
      </c>
      <c r="G47" s="50">
        <v>0</v>
      </c>
      <c r="H47" s="50">
        <v>0</v>
      </c>
      <c r="I47" s="50">
        <v>7</v>
      </c>
      <c r="J47" s="50">
        <v>1</v>
      </c>
      <c r="K47" s="50">
        <v>0</v>
      </c>
      <c r="L47" s="50">
        <v>0</v>
      </c>
      <c r="M47" s="50">
        <v>62</v>
      </c>
      <c r="N47" s="50">
        <v>0</v>
      </c>
      <c r="O47" s="15">
        <f t="shared" si="0"/>
        <v>35</v>
      </c>
      <c r="P47" s="15">
        <f t="shared" si="1"/>
        <v>97</v>
      </c>
      <c r="R47" s="8"/>
      <c r="T47"/>
    </row>
    <row r="48" spans="2:20" ht="23.1" customHeight="1" x14ac:dyDescent="0.25">
      <c r="B48" s="24" t="s">
        <v>75</v>
      </c>
      <c r="C48" s="50">
        <v>29</v>
      </c>
      <c r="D48" s="50">
        <v>2</v>
      </c>
      <c r="E48" s="50">
        <v>1</v>
      </c>
      <c r="F48" s="50">
        <v>7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23</v>
      </c>
      <c r="N48" s="50">
        <v>0</v>
      </c>
      <c r="O48" s="15">
        <f t="shared" si="0"/>
        <v>41</v>
      </c>
      <c r="P48" s="15">
        <f t="shared" si="1"/>
        <v>64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4</v>
      </c>
      <c r="E49" s="50">
        <v>3</v>
      </c>
      <c r="F49" s="50">
        <v>3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0</v>
      </c>
      <c r="M49" s="50">
        <v>57</v>
      </c>
      <c r="N49" s="50">
        <v>0</v>
      </c>
      <c r="O49" s="15">
        <f t="shared" si="0"/>
        <v>28</v>
      </c>
      <c r="P49" s="15">
        <f t="shared" si="1"/>
        <v>85</v>
      </c>
      <c r="R49" s="8"/>
      <c r="T49"/>
    </row>
    <row r="50" spans="2:20" ht="23.1" customHeight="1" x14ac:dyDescent="0.25">
      <c r="B50" s="24" t="s">
        <v>77</v>
      </c>
      <c r="C50" s="50">
        <v>28</v>
      </c>
      <c r="D50" s="50">
        <v>4</v>
      </c>
      <c r="E50" s="50">
        <v>1</v>
      </c>
      <c r="F50" s="50">
        <v>11</v>
      </c>
      <c r="G50" s="50">
        <v>0</v>
      </c>
      <c r="H50" s="50">
        <v>0</v>
      </c>
      <c r="I50" s="50">
        <v>7</v>
      </c>
      <c r="J50" s="50">
        <v>0</v>
      </c>
      <c r="K50" s="50">
        <v>0</v>
      </c>
      <c r="L50" s="50">
        <v>0</v>
      </c>
      <c r="M50" s="50">
        <v>53</v>
      </c>
      <c r="N50" s="50">
        <v>0</v>
      </c>
      <c r="O50" s="15">
        <f t="shared" si="0"/>
        <v>51</v>
      </c>
      <c r="P50" s="15">
        <f t="shared" si="1"/>
        <v>104</v>
      </c>
      <c r="R50" s="8"/>
      <c r="T50"/>
    </row>
    <row r="51" spans="2:20" ht="23.1" customHeight="1" x14ac:dyDescent="0.25">
      <c r="B51" s="24" t="s">
        <v>78</v>
      </c>
      <c r="C51" s="50">
        <v>22</v>
      </c>
      <c r="D51" s="50">
        <v>6</v>
      </c>
      <c r="E51" s="50">
        <v>1</v>
      </c>
      <c r="F51" s="50">
        <v>8</v>
      </c>
      <c r="G51" s="50">
        <v>2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44</v>
      </c>
      <c r="N51" s="50">
        <v>0</v>
      </c>
      <c r="O51" s="15">
        <f t="shared" si="0"/>
        <v>41</v>
      </c>
      <c r="P51" s="15">
        <f t="shared" si="1"/>
        <v>85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6</v>
      </c>
      <c r="E52" s="50">
        <v>3</v>
      </c>
      <c r="F52" s="50">
        <v>7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60</v>
      </c>
      <c r="N52" s="50">
        <v>0</v>
      </c>
      <c r="O52" s="15">
        <f t="shared" si="0"/>
        <v>38</v>
      </c>
      <c r="P52" s="15">
        <f t="shared" si="1"/>
        <v>98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6</v>
      </c>
      <c r="E53" s="50">
        <v>0</v>
      </c>
      <c r="F53" s="50">
        <v>3</v>
      </c>
      <c r="G53" s="50">
        <v>0</v>
      </c>
      <c r="H53" s="50">
        <v>0</v>
      </c>
      <c r="I53" s="50">
        <v>3</v>
      </c>
      <c r="J53" s="50">
        <v>0</v>
      </c>
      <c r="K53" s="50">
        <v>3</v>
      </c>
      <c r="L53" s="50">
        <v>0</v>
      </c>
      <c r="M53" s="50">
        <v>71</v>
      </c>
      <c r="N53" s="50">
        <v>0</v>
      </c>
      <c r="O53" s="15">
        <f t="shared" si="0"/>
        <v>24</v>
      </c>
      <c r="P53" s="15">
        <f t="shared" si="1"/>
        <v>95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3</v>
      </c>
      <c r="E54" s="50">
        <v>2</v>
      </c>
      <c r="F54" s="50">
        <v>7</v>
      </c>
      <c r="G54" s="50">
        <v>0</v>
      </c>
      <c r="H54" s="50">
        <v>1</v>
      </c>
      <c r="I54" s="50">
        <v>4</v>
      </c>
      <c r="J54" s="50">
        <v>0</v>
      </c>
      <c r="K54" s="50">
        <v>0</v>
      </c>
      <c r="L54" s="50">
        <v>0</v>
      </c>
      <c r="M54" s="50">
        <v>72</v>
      </c>
      <c r="N54" s="50">
        <v>0</v>
      </c>
      <c r="O54" s="15">
        <f t="shared" si="0"/>
        <v>40</v>
      </c>
      <c r="P54" s="15">
        <f t="shared" si="1"/>
        <v>112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4</v>
      </c>
      <c r="E55" s="50">
        <v>1</v>
      </c>
      <c r="F55" s="50">
        <v>5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68</v>
      </c>
      <c r="N55" s="50">
        <v>0</v>
      </c>
      <c r="O55" s="15">
        <f t="shared" si="0"/>
        <v>32</v>
      </c>
      <c r="P55" s="15">
        <f t="shared" si="1"/>
        <v>100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3</v>
      </c>
      <c r="E56" s="50">
        <v>2</v>
      </c>
      <c r="F56" s="50">
        <v>5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64</v>
      </c>
      <c r="N56" s="50">
        <v>0</v>
      </c>
      <c r="O56" s="15">
        <f t="shared" si="0"/>
        <v>31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19</v>
      </c>
      <c r="D57" s="50">
        <v>3</v>
      </c>
      <c r="E57" s="50">
        <v>1</v>
      </c>
      <c r="F57" s="50">
        <v>4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64</v>
      </c>
      <c r="N57" s="50">
        <v>0</v>
      </c>
      <c r="O57" s="15">
        <f t="shared" si="0"/>
        <v>30</v>
      </c>
      <c r="P57" s="15">
        <f t="shared" si="1"/>
        <v>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1380</v>
      </c>
      <c r="D58" s="16">
        <f t="shared" si="21"/>
        <v>305</v>
      </c>
      <c r="E58" s="16">
        <f t="shared" si="21"/>
        <v>139</v>
      </c>
      <c r="F58" s="16">
        <f t="shared" si="21"/>
        <v>508</v>
      </c>
      <c r="G58" s="16">
        <f t="shared" si="21"/>
        <v>10</v>
      </c>
      <c r="H58" s="16">
        <f t="shared" si="21"/>
        <v>3</v>
      </c>
      <c r="I58" s="16">
        <f t="shared" si="21"/>
        <v>208</v>
      </c>
      <c r="J58" s="16">
        <f t="shared" si="21"/>
        <v>38</v>
      </c>
      <c r="K58" s="16">
        <f t="shared" si="21"/>
        <v>15</v>
      </c>
      <c r="L58" s="16">
        <f t="shared" si="21"/>
        <v>1</v>
      </c>
      <c r="M58" s="16">
        <f t="shared" si="21"/>
        <v>3342</v>
      </c>
      <c r="N58" s="16">
        <f t="shared" si="21"/>
        <v>3</v>
      </c>
      <c r="O58" s="16">
        <f t="shared" si="21"/>
        <v>2610</v>
      </c>
      <c r="P58" s="16">
        <f t="shared" si="21"/>
        <v>5952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0.23185483870967741</v>
      </c>
      <c r="D59" s="43">
        <f t="shared" si="22"/>
        <v>5.1243279569892476E-2</v>
      </c>
      <c r="E59" s="43">
        <f t="shared" si="22"/>
        <v>2.3353494623655914E-2</v>
      </c>
      <c r="F59" s="43">
        <f t="shared" si="22"/>
        <v>8.5349462365591391E-2</v>
      </c>
      <c r="G59" s="43">
        <f t="shared" si="22"/>
        <v>1.6801075268817205E-3</v>
      </c>
      <c r="H59" s="43">
        <f t="shared" si="22"/>
        <v>5.0403225806451612E-4</v>
      </c>
      <c r="I59" s="43">
        <f t="shared" si="22"/>
        <v>3.4946236559139782E-2</v>
      </c>
      <c r="J59" s="43">
        <f t="shared" si="22"/>
        <v>6.384408602150538E-3</v>
      </c>
      <c r="K59" s="43">
        <f t="shared" si="22"/>
        <v>2.5201612903225806E-3</v>
      </c>
      <c r="L59" s="43">
        <f t="shared" si="22"/>
        <v>1.6801075268817206E-4</v>
      </c>
      <c r="M59" s="43">
        <f t="shared" si="22"/>
        <v>0.561491935483871</v>
      </c>
      <c r="N59" s="43">
        <f t="shared" si="22"/>
        <v>5.0403225806451612E-4</v>
      </c>
      <c r="R59" s="8"/>
      <c r="T59"/>
    </row>
    <row r="60" spans="2:20" ht="23.1" customHeight="1" x14ac:dyDescent="0.25">
      <c r="B60" s="42" t="s">
        <v>94</v>
      </c>
      <c r="C60" s="44">
        <f>C58/$O$58</f>
        <v>0.52873563218390807</v>
      </c>
      <c r="D60" s="44">
        <f t="shared" ref="D60:N60" si="23">D58/$O$58</f>
        <v>0.11685823754789272</v>
      </c>
      <c r="E60" s="44">
        <f t="shared" si="23"/>
        <v>5.3256704980842909E-2</v>
      </c>
      <c r="F60" s="44">
        <f t="shared" si="23"/>
        <v>0.19463601532567049</v>
      </c>
      <c r="G60" s="44">
        <f t="shared" si="23"/>
        <v>3.8314176245210726E-3</v>
      </c>
      <c r="H60" s="44">
        <f t="shared" si="23"/>
        <v>1.1494252873563218E-3</v>
      </c>
      <c r="I60" s="44">
        <f t="shared" si="23"/>
        <v>7.9693486590038318E-2</v>
      </c>
      <c r="J60" s="44">
        <f t="shared" si="23"/>
        <v>1.4559386973180077E-2</v>
      </c>
      <c r="K60" s="44">
        <f t="shared" si="23"/>
        <v>5.7471264367816091E-3</v>
      </c>
      <c r="L60" s="44">
        <f t="shared" si="23"/>
        <v>3.8314176245210729E-4</v>
      </c>
      <c r="M60" s="44"/>
      <c r="N60" s="44">
        <f t="shared" si="23"/>
        <v>1.1494252873563218E-3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23">
    <mergeCell ref="AB2:AC2"/>
    <mergeCell ref="AD2:AE2"/>
    <mergeCell ref="P2:Q2"/>
    <mergeCell ref="R2:S2"/>
    <mergeCell ref="T2:U2"/>
    <mergeCell ref="V2:W2"/>
    <mergeCell ref="X2:Y2"/>
    <mergeCell ref="G5:H5"/>
    <mergeCell ref="G6:H6"/>
    <mergeCell ref="R8:AF8"/>
    <mergeCell ref="B1:AE1"/>
    <mergeCell ref="C3:G3"/>
    <mergeCell ref="D6:E6"/>
    <mergeCell ref="K6:L6"/>
    <mergeCell ref="K5:L5"/>
    <mergeCell ref="B2:C2"/>
    <mergeCell ref="D2:E2"/>
    <mergeCell ref="F2:G2"/>
    <mergeCell ref="H2:I2"/>
    <mergeCell ref="J2:K2"/>
    <mergeCell ref="L2:M2"/>
    <mergeCell ref="N2:O2"/>
    <mergeCell ref="Z2:AA2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tr">
        <f>'29.07 NSOOBA-KYEBANDO'!D5</f>
        <v>29.07.19</v>
      </c>
      <c r="E5" s="3"/>
      <c r="F5" s="41" t="s">
        <v>1</v>
      </c>
      <c r="G5" s="66">
        <f>'29.07 NSOOBA-KYEBANDO'!G5:H5</f>
        <v>29</v>
      </c>
      <c r="H5" s="67"/>
      <c r="I5" s="14"/>
      <c r="J5" s="2" t="s">
        <v>5</v>
      </c>
      <c r="K5" s="66" t="str">
        <f>'29.07 NSOOBA-KYEBANDO'!K5:L5</f>
        <v>NAKAWA JULIET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166</v>
      </c>
      <c r="E6" s="60"/>
      <c r="F6" s="2" t="s">
        <v>2</v>
      </c>
      <c r="G6" s="59" t="s">
        <v>165</v>
      </c>
      <c r="H6" s="60"/>
      <c r="J6" s="2" t="s">
        <v>21</v>
      </c>
      <c r="K6" s="66" t="str">
        <f>'29.07 NSOOBA-KYEBANDO'!K6:L6</f>
        <v>STEVEN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50</v>
      </c>
      <c r="D10" s="50">
        <v>6</v>
      </c>
      <c r="E10" s="50">
        <v>10</v>
      </c>
      <c r="F10" s="50">
        <v>4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73</v>
      </c>
      <c r="P10" s="15">
        <f t="shared" ref="P10:P57" si="1">SUM(C10:N10)</f>
        <v>138</v>
      </c>
      <c r="R10" s="1" t="s">
        <v>6</v>
      </c>
      <c r="S10" s="17">
        <f t="shared" ref="S10:AF10" si="2">SUM(C10:C13)</f>
        <v>154</v>
      </c>
      <c r="T10" s="17">
        <f t="shared" si="2"/>
        <v>28</v>
      </c>
      <c r="U10" s="17">
        <f t="shared" si="2"/>
        <v>22</v>
      </c>
      <c r="V10" s="17">
        <f t="shared" si="2"/>
        <v>35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3</v>
      </c>
      <c r="AA10" s="17">
        <f t="shared" si="2"/>
        <v>1</v>
      </c>
      <c r="AB10" s="17">
        <f t="shared" si="2"/>
        <v>1</v>
      </c>
      <c r="AC10" s="17">
        <f t="shared" si="2"/>
        <v>261</v>
      </c>
      <c r="AD10" s="17">
        <f t="shared" si="2"/>
        <v>0</v>
      </c>
      <c r="AE10" s="31">
        <f t="shared" si="2"/>
        <v>255</v>
      </c>
      <c r="AF10" s="31">
        <f t="shared" si="2"/>
        <v>516</v>
      </c>
    </row>
    <row r="11" spans="2:32" s="6" customFormat="1" ht="23.1" customHeight="1" x14ac:dyDescent="0.25">
      <c r="B11" s="23" t="s">
        <v>38</v>
      </c>
      <c r="C11" s="50">
        <v>25</v>
      </c>
      <c r="D11" s="50">
        <v>7</v>
      </c>
      <c r="E11" s="50">
        <v>4</v>
      </c>
      <c r="F11" s="50">
        <v>5</v>
      </c>
      <c r="G11" s="50">
        <v>0</v>
      </c>
      <c r="H11" s="50">
        <v>0</v>
      </c>
      <c r="I11" s="50">
        <v>0</v>
      </c>
      <c r="J11" s="50">
        <v>2</v>
      </c>
      <c r="K11" s="50">
        <v>1</v>
      </c>
      <c r="L11" s="50">
        <v>0</v>
      </c>
      <c r="M11" s="50">
        <v>42</v>
      </c>
      <c r="N11" s="50">
        <v>0</v>
      </c>
      <c r="O11" s="15">
        <f t="shared" si="0"/>
        <v>44</v>
      </c>
      <c r="P11" s="15">
        <f t="shared" si="1"/>
        <v>86</v>
      </c>
      <c r="R11" s="1" t="s">
        <v>7</v>
      </c>
      <c r="S11" s="17">
        <f t="shared" ref="S11:AF11" si="3">SUM(C14:C17)</f>
        <v>59</v>
      </c>
      <c r="T11" s="17">
        <f t="shared" si="3"/>
        <v>5</v>
      </c>
      <c r="U11" s="17">
        <f t="shared" si="3"/>
        <v>13</v>
      </c>
      <c r="V11" s="17">
        <f t="shared" si="3"/>
        <v>21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308</v>
      </c>
      <c r="AD11" s="17">
        <f t="shared" si="3"/>
        <v>0</v>
      </c>
      <c r="AE11" s="31">
        <f t="shared" si="3"/>
        <v>107</v>
      </c>
      <c r="AF11" s="31">
        <f t="shared" si="3"/>
        <v>415</v>
      </c>
    </row>
    <row r="12" spans="2:32" ht="23.1" customHeight="1" x14ac:dyDescent="0.25">
      <c r="B12" s="23" t="s">
        <v>39</v>
      </c>
      <c r="C12" s="50">
        <v>34</v>
      </c>
      <c r="D12" s="50">
        <v>4</v>
      </c>
      <c r="E12" s="50">
        <v>0</v>
      </c>
      <c r="F12" s="50">
        <v>20</v>
      </c>
      <c r="G12" s="50">
        <v>1</v>
      </c>
      <c r="H12" s="50">
        <v>0</v>
      </c>
      <c r="I12" s="50">
        <v>5</v>
      </c>
      <c r="J12" s="50">
        <v>0</v>
      </c>
      <c r="K12" s="50">
        <v>0</v>
      </c>
      <c r="L12" s="50">
        <v>1</v>
      </c>
      <c r="M12" s="50">
        <v>70</v>
      </c>
      <c r="N12" s="50">
        <v>0</v>
      </c>
      <c r="O12" s="15">
        <f t="shared" si="0"/>
        <v>65</v>
      </c>
      <c r="P12" s="15">
        <f t="shared" si="1"/>
        <v>135</v>
      </c>
      <c r="R12" s="1" t="s">
        <v>8</v>
      </c>
      <c r="S12" s="17">
        <f t="shared" ref="S12:AF12" si="4">SUM(C18:C21)</f>
        <v>80</v>
      </c>
      <c r="T12" s="17">
        <f t="shared" si="4"/>
        <v>16</v>
      </c>
      <c r="U12" s="17">
        <f t="shared" si="4"/>
        <v>15</v>
      </c>
      <c r="V12" s="17">
        <f t="shared" si="4"/>
        <v>42</v>
      </c>
      <c r="W12" s="17">
        <f t="shared" si="4"/>
        <v>1</v>
      </c>
      <c r="X12" s="17">
        <f t="shared" si="4"/>
        <v>0</v>
      </c>
      <c r="Y12" s="17">
        <f t="shared" si="4"/>
        <v>22</v>
      </c>
      <c r="Z12" s="17">
        <f t="shared" si="4"/>
        <v>10</v>
      </c>
      <c r="AA12" s="17">
        <f t="shared" si="4"/>
        <v>5</v>
      </c>
      <c r="AB12" s="17">
        <f t="shared" si="4"/>
        <v>0</v>
      </c>
      <c r="AC12" s="17">
        <f t="shared" si="4"/>
        <v>337</v>
      </c>
      <c r="AD12" s="17">
        <f t="shared" si="4"/>
        <v>0</v>
      </c>
      <c r="AE12" s="31">
        <f t="shared" si="4"/>
        <v>191</v>
      </c>
      <c r="AF12" s="31">
        <f t="shared" si="4"/>
        <v>528</v>
      </c>
    </row>
    <row r="13" spans="2:32" ht="23.1" customHeight="1" x14ac:dyDescent="0.25">
      <c r="B13" s="23" t="s">
        <v>40</v>
      </c>
      <c r="C13" s="50">
        <v>45</v>
      </c>
      <c r="D13" s="50">
        <v>11</v>
      </c>
      <c r="E13" s="50">
        <v>8</v>
      </c>
      <c r="F13" s="50">
        <v>6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84</v>
      </c>
      <c r="N13" s="50">
        <v>0</v>
      </c>
      <c r="O13" s="15">
        <f t="shared" si="0"/>
        <v>73</v>
      </c>
      <c r="P13" s="15">
        <f t="shared" si="1"/>
        <v>157</v>
      </c>
      <c r="R13" s="1" t="s">
        <v>9</v>
      </c>
      <c r="S13" s="17">
        <f t="shared" ref="S13:AF13" si="5">SUM(C22:C25)</f>
        <v>92</v>
      </c>
      <c r="T13" s="17">
        <f t="shared" si="5"/>
        <v>30</v>
      </c>
      <c r="U13" s="17">
        <f t="shared" si="5"/>
        <v>32</v>
      </c>
      <c r="V13" s="17">
        <f t="shared" si="5"/>
        <v>55</v>
      </c>
      <c r="W13" s="17">
        <f t="shared" si="5"/>
        <v>1</v>
      </c>
      <c r="X13" s="17">
        <f t="shared" si="5"/>
        <v>0</v>
      </c>
      <c r="Y13" s="17">
        <f t="shared" si="5"/>
        <v>27</v>
      </c>
      <c r="Z13" s="17">
        <f t="shared" si="5"/>
        <v>6</v>
      </c>
      <c r="AA13" s="17">
        <f t="shared" si="5"/>
        <v>1</v>
      </c>
      <c r="AB13" s="17">
        <f t="shared" si="5"/>
        <v>0</v>
      </c>
      <c r="AC13" s="17">
        <f t="shared" si="5"/>
        <v>334</v>
      </c>
      <c r="AD13" s="17">
        <f t="shared" si="5"/>
        <v>0</v>
      </c>
      <c r="AE13" s="31">
        <f t="shared" si="5"/>
        <v>244</v>
      </c>
      <c r="AF13" s="31">
        <f t="shared" si="5"/>
        <v>578</v>
      </c>
    </row>
    <row r="14" spans="2:32" ht="23.1" customHeight="1" x14ac:dyDescent="0.25">
      <c r="B14" s="23" t="s">
        <v>41</v>
      </c>
      <c r="C14" s="50">
        <v>9</v>
      </c>
      <c r="D14" s="50">
        <v>0</v>
      </c>
      <c r="E14" s="50">
        <v>2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96</v>
      </c>
      <c r="N14" s="50">
        <v>0</v>
      </c>
      <c r="O14" s="15">
        <f t="shared" si="0"/>
        <v>12</v>
      </c>
      <c r="P14" s="15">
        <f t="shared" si="1"/>
        <v>108</v>
      </c>
      <c r="R14" s="1" t="s">
        <v>10</v>
      </c>
      <c r="S14" s="17">
        <f t="shared" ref="S14:AF14" si="6">SUM(C26:C29)</f>
        <v>94</v>
      </c>
      <c r="T14" s="17">
        <f t="shared" si="6"/>
        <v>33</v>
      </c>
      <c r="U14" s="17">
        <f t="shared" si="6"/>
        <v>37</v>
      </c>
      <c r="V14" s="17">
        <f t="shared" si="6"/>
        <v>30</v>
      </c>
      <c r="W14" s="17">
        <f t="shared" si="6"/>
        <v>0</v>
      </c>
      <c r="X14" s="17">
        <f t="shared" si="6"/>
        <v>0</v>
      </c>
      <c r="Y14" s="17">
        <f t="shared" si="6"/>
        <v>26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308</v>
      </c>
      <c r="AD14" s="17">
        <f t="shared" si="6"/>
        <v>0</v>
      </c>
      <c r="AE14" s="31">
        <f t="shared" si="6"/>
        <v>227</v>
      </c>
      <c r="AF14" s="31">
        <f t="shared" si="6"/>
        <v>535</v>
      </c>
    </row>
    <row r="15" spans="2:32" ht="23.1" customHeight="1" x14ac:dyDescent="0.25">
      <c r="B15" s="23" t="s">
        <v>42</v>
      </c>
      <c r="C15" s="50">
        <v>16</v>
      </c>
      <c r="D15" s="50">
        <v>0</v>
      </c>
      <c r="E15" s="50">
        <v>2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86</v>
      </c>
      <c r="N15" s="50">
        <v>0</v>
      </c>
      <c r="O15" s="15">
        <f t="shared" si="0"/>
        <v>20</v>
      </c>
      <c r="P15" s="15">
        <f t="shared" si="1"/>
        <v>106</v>
      </c>
      <c r="R15" s="1" t="s">
        <v>11</v>
      </c>
      <c r="S15" s="17">
        <f t="shared" ref="S15:AF15" si="7">SUM(C30:C33)</f>
        <v>101</v>
      </c>
      <c r="T15" s="17">
        <f t="shared" si="7"/>
        <v>30</v>
      </c>
      <c r="U15" s="17">
        <f t="shared" si="7"/>
        <v>25</v>
      </c>
      <c r="V15" s="17">
        <f t="shared" si="7"/>
        <v>39</v>
      </c>
      <c r="W15" s="17">
        <f t="shared" si="7"/>
        <v>1</v>
      </c>
      <c r="X15" s="17">
        <f t="shared" si="7"/>
        <v>0</v>
      </c>
      <c r="Y15" s="17">
        <f t="shared" si="7"/>
        <v>19</v>
      </c>
      <c r="Z15" s="17">
        <f t="shared" si="7"/>
        <v>11</v>
      </c>
      <c r="AA15" s="17">
        <f t="shared" si="7"/>
        <v>3</v>
      </c>
      <c r="AB15" s="17">
        <f t="shared" si="7"/>
        <v>0</v>
      </c>
      <c r="AC15" s="17">
        <f t="shared" si="7"/>
        <v>261</v>
      </c>
      <c r="AD15" s="17">
        <f t="shared" si="7"/>
        <v>0</v>
      </c>
      <c r="AE15" s="31">
        <f t="shared" si="7"/>
        <v>229</v>
      </c>
      <c r="AF15" s="31">
        <f t="shared" si="7"/>
        <v>490</v>
      </c>
    </row>
    <row r="16" spans="2:32" ht="23.1" customHeight="1" x14ac:dyDescent="0.25">
      <c r="B16" s="23" t="s">
        <v>43</v>
      </c>
      <c r="C16" s="50">
        <v>18</v>
      </c>
      <c r="D16" s="50">
        <v>1</v>
      </c>
      <c r="E16" s="50">
        <v>4</v>
      </c>
      <c r="F16" s="50">
        <v>7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100</v>
      </c>
      <c r="N16" s="50">
        <v>0</v>
      </c>
      <c r="O16" s="15">
        <f t="shared" si="0"/>
        <v>33</v>
      </c>
      <c r="P16" s="15">
        <f t="shared" si="1"/>
        <v>133</v>
      </c>
      <c r="R16" s="1" t="s">
        <v>12</v>
      </c>
      <c r="S16" s="17">
        <f t="shared" ref="S16:AF16" si="8">SUM(C34:C37)</f>
        <v>115</v>
      </c>
      <c r="T16" s="17">
        <f t="shared" si="8"/>
        <v>21</v>
      </c>
      <c r="U16" s="17">
        <f t="shared" si="8"/>
        <v>30</v>
      </c>
      <c r="V16" s="17">
        <f t="shared" si="8"/>
        <v>39</v>
      </c>
      <c r="W16" s="17">
        <f t="shared" si="8"/>
        <v>1</v>
      </c>
      <c r="X16" s="17">
        <f t="shared" si="8"/>
        <v>0</v>
      </c>
      <c r="Y16" s="17">
        <f t="shared" si="8"/>
        <v>20</v>
      </c>
      <c r="Z16" s="17">
        <f t="shared" si="8"/>
        <v>9</v>
      </c>
      <c r="AA16" s="17">
        <f t="shared" si="8"/>
        <v>2</v>
      </c>
      <c r="AB16" s="17">
        <f t="shared" si="8"/>
        <v>0</v>
      </c>
      <c r="AC16" s="17">
        <f t="shared" si="8"/>
        <v>229</v>
      </c>
      <c r="AD16" s="17">
        <f t="shared" si="8"/>
        <v>0</v>
      </c>
      <c r="AE16" s="31">
        <f t="shared" si="8"/>
        <v>237</v>
      </c>
      <c r="AF16" s="31">
        <f t="shared" si="8"/>
        <v>466</v>
      </c>
    </row>
    <row r="17" spans="2:32" ht="23.1" customHeight="1" x14ac:dyDescent="0.25">
      <c r="B17" s="23" t="s">
        <v>44</v>
      </c>
      <c r="C17" s="50">
        <v>16</v>
      </c>
      <c r="D17" s="50">
        <v>4</v>
      </c>
      <c r="E17" s="50">
        <v>5</v>
      </c>
      <c r="F17" s="50">
        <v>11</v>
      </c>
      <c r="G17" s="50">
        <v>0</v>
      </c>
      <c r="H17" s="50">
        <v>0</v>
      </c>
      <c r="I17" s="50">
        <v>6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42</v>
      </c>
      <c r="P17" s="15">
        <f t="shared" si="1"/>
        <v>68</v>
      </c>
      <c r="R17" s="1" t="s">
        <v>13</v>
      </c>
      <c r="S17" s="17">
        <f t="shared" ref="S17:AF17" si="9">SUM(C38:C41)</f>
        <v>111</v>
      </c>
      <c r="T17" s="17">
        <f t="shared" si="9"/>
        <v>28</v>
      </c>
      <c r="U17" s="17">
        <f t="shared" si="9"/>
        <v>28</v>
      </c>
      <c r="V17" s="17">
        <f t="shared" si="9"/>
        <v>22</v>
      </c>
      <c r="W17" s="17">
        <f t="shared" si="9"/>
        <v>3</v>
      </c>
      <c r="X17" s="17">
        <f t="shared" si="9"/>
        <v>0</v>
      </c>
      <c r="Y17" s="17">
        <f t="shared" si="9"/>
        <v>17</v>
      </c>
      <c r="Z17" s="17">
        <f t="shared" si="9"/>
        <v>6</v>
      </c>
      <c r="AA17" s="17">
        <f t="shared" si="9"/>
        <v>5</v>
      </c>
      <c r="AB17" s="17">
        <f t="shared" si="9"/>
        <v>2</v>
      </c>
      <c r="AC17" s="17">
        <f t="shared" si="9"/>
        <v>241</v>
      </c>
      <c r="AD17" s="17">
        <f t="shared" si="9"/>
        <v>0</v>
      </c>
      <c r="AE17" s="31">
        <f t="shared" si="9"/>
        <v>222</v>
      </c>
      <c r="AF17" s="31">
        <f t="shared" si="9"/>
        <v>463</v>
      </c>
    </row>
    <row r="18" spans="2:32" ht="23.1" customHeight="1" x14ac:dyDescent="0.25">
      <c r="B18" s="23" t="s">
        <v>45</v>
      </c>
      <c r="C18" s="50">
        <v>24</v>
      </c>
      <c r="D18" s="50">
        <v>3</v>
      </c>
      <c r="E18" s="50">
        <v>3</v>
      </c>
      <c r="F18" s="50">
        <v>7</v>
      </c>
      <c r="G18" s="50">
        <v>0</v>
      </c>
      <c r="H18" s="50">
        <v>0</v>
      </c>
      <c r="I18" s="50">
        <v>4</v>
      </c>
      <c r="J18" s="50">
        <v>2</v>
      </c>
      <c r="K18" s="50">
        <v>1</v>
      </c>
      <c r="L18" s="50">
        <v>0</v>
      </c>
      <c r="M18" s="50">
        <v>100</v>
      </c>
      <c r="N18" s="50">
        <v>0</v>
      </c>
      <c r="O18" s="15">
        <f t="shared" si="0"/>
        <v>44</v>
      </c>
      <c r="P18" s="15">
        <f t="shared" si="1"/>
        <v>144</v>
      </c>
      <c r="R18" s="1" t="s">
        <v>14</v>
      </c>
      <c r="S18" s="17">
        <f t="shared" ref="S18:AF18" si="10">SUM(C42:C45)</f>
        <v>131</v>
      </c>
      <c r="T18" s="17">
        <f t="shared" si="10"/>
        <v>27</v>
      </c>
      <c r="U18" s="17">
        <f t="shared" si="10"/>
        <v>40</v>
      </c>
      <c r="V18" s="17">
        <f t="shared" si="10"/>
        <v>31</v>
      </c>
      <c r="W18" s="17">
        <f t="shared" si="10"/>
        <v>1</v>
      </c>
      <c r="X18" s="17">
        <f t="shared" si="10"/>
        <v>0</v>
      </c>
      <c r="Y18" s="17">
        <f t="shared" si="10"/>
        <v>23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260</v>
      </c>
      <c r="AD18" s="17">
        <f t="shared" si="10"/>
        <v>0</v>
      </c>
      <c r="AE18" s="31">
        <f t="shared" si="10"/>
        <v>257</v>
      </c>
      <c r="AF18" s="31">
        <f t="shared" si="10"/>
        <v>517</v>
      </c>
    </row>
    <row r="19" spans="2:32" ht="23.1" customHeight="1" x14ac:dyDescent="0.25">
      <c r="B19" s="23" t="s">
        <v>46</v>
      </c>
      <c r="C19" s="50">
        <v>14</v>
      </c>
      <c r="D19" s="50">
        <v>5</v>
      </c>
      <c r="E19" s="50">
        <v>2</v>
      </c>
      <c r="F19" s="50">
        <v>6</v>
      </c>
      <c r="G19" s="50">
        <v>1</v>
      </c>
      <c r="H19" s="50">
        <v>0</v>
      </c>
      <c r="I19" s="50">
        <v>6</v>
      </c>
      <c r="J19" s="50">
        <v>3</v>
      </c>
      <c r="K19" s="50">
        <v>1</v>
      </c>
      <c r="L19" s="50">
        <v>0</v>
      </c>
      <c r="M19" s="50">
        <v>94</v>
      </c>
      <c r="N19" s="50">
        <v>0</v>
      </c>
      <c r="O19" s="15">
        <f t="shared" si="0"/>
        <v>38</v>
      </c>
      <c r="P19" s="15">
        <f t="shared" si="1"/>
        <v>132</v>
      </c>
      <c r="R19" s="1" t="s">
        <v>15</v>
      </c>
      <c r="S19" s="17">
        <f t="shared" ref="S19:AF19" si="11">SUM(C46:C49)</f>
        <v>177</v>
      </c>
      <c r="T19" s="17">
        <f t="shared" si="11"/>
        <v>47</v>
      </c>
      <c r="U19" s="17">
        <f t="shared" si="11"/>
        <v>32</v>
      </c>
      <c r="V19" s="17">
        <f t="shared" si="11"/>
        <v>48</v>
      </c>
      <c r="W19" s="17">
        <f t="shared" si="11"/>
        <v>2</v>
      </c>
      <c r="X19" s="17">
        <f t="shared" si="11"/>
        <v>0</v>
      </c>
      <c r="Y19" s="17">
        <f t="shared" si="11"/>
        <v>57</v>
      </c>
      <c r="Z19" s="17">
        <f t="shared" si="11"/>
        <v>11</v>
      </c>
      <c r="AA19" s="17">
        <f t="shared" si="11"/>
        <v>0</v>
      </c>
      <c r="AB19" s="17">
        <f t="shared" si="11"/>
        <v>0</v>
      </c>
      <c r="AC19" s="17">
        <f t="shared" si="11"/>
        <v>271</v>
      </c>
      <c r="AD19" s="17">
        <f t="shared" si="11"/>
        <v>0</v>
      </c>
      <c r="AE19" s="31">
        <f t="shared" si="11"/>
        <v>374</v>
      </c>
      <c r="AF19" s="31">
        <f t="shared" si="11"/>
        <v>645</v>
      </c>
    </row>
    <row r="20" spans="2:32" ht="23.1" customHeight="1" x14ac:dyDescent="0.25">
      <c r="B20" s="23" t="s">
        <v>47</v>
      </c>
      <c r="C20" s="50">
        <v>21</v>
      </c>
      <c r="D20" s="50">
        <v>2</v>
      </c>
      <c r="E20" s="50">
        <v>5</v>
      </c>
      <c r="F20" s="50">
        <v>14</v>
      </c>
      <c r="G20" s="50">
        <v>0</v>
      </c>
      <c r="H20" s="50">
        <v>0</v>
      </c>
      <c r="I20" s="50">
        <v>4</v>
      </c>
      <c r="J20" s="50">
        <v>1</v>
      </c>
      <c r="K20" s="50">
        <v>3</v>
      </c>
      <c r="L20" s="50">
        <v>0</v>
      </c>
      <c r="M20" s="50">
        <v>88</v>
      </c>
      <c r="N20" s="50">
        <v>0</v>
      </c>
      <c r="O20" s="15">
        <f t="shared" si="0"/>
        <v>50</v>
      </c>
      <c r="P20" s="15">
        <f t="shared" si="1"/>
        <v>138</v>
      </c>
      <c r="R20" s="1" t="s">
        <v>16</v>
      </c>
      <c r="S20" s="17">
        <f t="shared" ref="S20:AF20" si="12">SUM(C50:C53)</f>
        <v>252</v>
      </c>
      <c r="T20" s="17">
        <f t="shared" si="12"/>
        <v>37</v>
      </c>
      <c r="U20" s="17">
        <f t="shared" si="12"/>
        <v>33</v>
      </c>
      <c r="V20" s="17">
        <f t="shared" si="12"/>
        <v>55</v>
      </c>
      <c r="W20" s="17">
        <f t="shared" si="12"/>
        <v>3</v>
      </c>
      <c r="X20" s="17">
        <f t="shared" si="12"/>
        <v>1</v>
      </c>
      <c r="Y20" s="17">
        <f t="shared" si="12"/>
        <v>19</v>
      </c>
      <c r="Z20" s="17">
        <f t="shared" si="12"/>
        <v>10</v>
      </c>
      <c r="AA20" s="17">
        <f t="shared" si="12"/>
        <v>5</v>
      </c>
      <c r="AB20" s="17">
        <f t="shared" si="12"/>
        <v>0</v>
      </c>
      <c r="AC20" s="17">
        <f t="shared" si="12"/>
        <v>407</v>
      </c>
      <c r="AD20" s="17">
        <f t="shared" si="12"/>
        <v>0</v>
      </c>
      <c r="AE20" s="31">
        <f t="shared" si="12"/>
        <v>415</v>
      </c>
      <c r="AF20" s="31">
        <f t="shared" si="12"/>
        <v>822</v>
      </c>
    </row>
    <row r="21" spans="2:32" ht="23.1" customHeight="1" x14ac:dyDescent="0.25">
      <c r="B21" s="23" t="s">
        <v>48</v>
      </c>
      <c r="C21" s="50">
        <v>21</v>
      </c>
      <c r="D21" s="50">
        <v>6</v>
      </c>
      <c r="E21" s="50">
        <v>5</v>
      </c>
      <c r="F21" s="50">
        <v>15</v>
      </c>
      <c r="G21" s="50">
        <v>0</v>
      </c>
      <c r="H21" s="50">
        <v>0</v>
      </c>
      <c r="I21" s="50">
        <v>8</v>
      </c>
      <c r="J21" s="50">
        <v>4</v>
      </c>
      <c r="K21" s="50">
        <v>0</v>
      </c>
      <c r="L21" s="50">
        <v>0</v>
      </c>
      <c r="M21" s="50">
        <v>55</v>
      </c>
      <c r="N21" s="50">
        <v>0</v>
      </c>
      <c r="O21" s="15">
        <f t="shared" si="0"/>
        <v>59</v>
      </c>
      <c r="P21" s="15">
        <f t="shared" si="1"/>
        <v>114</v>
      </c>
      <c r="R21" s="36" t="s">
        <v>20</v>
      </c>
      <c r="S21" s="34">
        <f t="shared" ref="S21:AF21" si="13">SUM(C54:C57)</f>
        <v>132</v>
      </c>
      <c r="T21" s="17">
        <f t="shared" si="13"/>
        <v>27</v>
      </c>
      <c r="U21" s="17">
        <f t="shared" si="13"/>
        <v>18</v>
      </c>
      <c r="V21" s="17">
        <f t="shared" si="13"/>
        <v>42</v>
      </c>
      <c r="W21" s="17">
        <f t="shared" si="13"/>
        <v>3</v>
      </c>
      <c r="X21" s="17">
        <f t="shared" si="13"/>
        <v>5</v>
      </c>
      <c r="Y21" s="17">
        <f t="shared" si="13"/>
        <v>12</v>
      </c>
      <c r="Z21" s="17">
        <f t="shared" si="13"/>
        <v>3</v>
      </c>
      <c r="AA21" s="17">
        <f t="shared" si="13"/>
        <v>1</v>
      </c>
      <c r="AB21" s="17">
        <f t="shared" si="13"/>
        <v>0</v>
      </c>
      <c r="AC21" s="17">
        <f t="shared" si="13"/>
        <v>380</v>
      </c>
      <c r="AD21" s="17">
        <f t="shared" si="13"/>
        <v>0</v>
      </c>
      <c r="AE21" s="31">
        <f t="shared" si="13"/>
        <v>243</v>
      </c>
      <c r="AF21" s="31">
        <f t="shared" si="13"/>
        <v>623</v>
      </c>
    </row>
    <row r="22" spans="2:32" ht="23.1" customHeight="1" x14ac:dyDescent="0.25">
      <c r="B22" s="23" t="s">
        <v>49</v>
      </c>
      <c r="C22" s="50">
        <v>16</v>
      </c>
      <c r="D22" s="50">
        <v>8</v>
      </c>
      <c r="E22" s="50">
        <v>10</v>
      </c>
      <c r="F22" s="50">
        <v>10</v>
      </c>
      <c r="G22" s="50">
        <v>0</v>
      </c>
      <c r="H22" s="50">
        <v>0</v>
      </c>
      <c r="I22" s="50">
        <v>13</v>
      </c>
      <c r="J22" s="50">
        <v>0</v>
      </c>
      <c r="K22" s="50">
        <v>0</v>
      </c>
      <c r="L22" s="50">
        <v>0</v>
      </c>
      <c r="M22" s="50">
        <v>92</v>
      </c>
      <c r="N22" s="50">
        <v>0</v>
      </c>
      <c r="O22" s="15">
        <f t="shared" si="0"/>
        <v>57</v>
      </c>
      <c r="P22" s="15">
        <f t="shared" si="1"/>
        <v>149</v>
      </c>
      <c r="R22" s="38" t="s">
        <v>90</v>
      </c>
      <c r="S22" s="39">
        <f>MAX(S10:S12)</f>
        <v>154</v>
      </c>
      <c r="T22" s="39">
        <f t="shared" ref="T22:AF22" si="14">MAX(T10:T12)</f>
        <v>28</v>
      </c>
      <c r="U22" s="39">
        <f t="shared" si="14"/>
        <v>22</v>
      </c>
      <c r="V22" s="39">
        <f t="shared" si="14"/>
        <v>42</v>
      </c>
      <c r="W22" s="39">
        <f t="shared" si="14"/>
        <v>1</v>
      </c>
      <c r="X22" s="39">
        <f t="shared" si="14"/>
        <v>0</v>
      </c>
      <c r="Y22" s="39">
        <f t="shared" si="14"/>
        <v>22</v>
      </c>
      <c r="Z22" s="39">
        <f t="shared" si="14"/>
        <v>10</v>
      </c>
      <c r="AA22" s="39">
        <f t="shared" si="14"/>
        <v>5</v>
      </c>
      <c r="AB22" s="39">
        <f t="shared" si="14"/>
        <v>1</v>
      </c>
      <c r="AC22" s="39">
        <f t="shared" si="14"/>
        <v>337</v>
      </c>
      <c r="AD22" s="39">
        <f t="shared" si="14"/>
        <v>0</v>
      </c>
      <c r="AE22" s="40">
        <f t="shared" si="14"/>
        <v>255</v>
      </c>
      <c r="AF22" s="40">
        <f t="shared" si="14"/>
        <v>528</v>
      </c>
    </row>
    <row r="23" spans="2:32" ht="23.1" customHeight="1" x14ac:dyDescent="0.25">
      <c r="B23" s="23" t="s">
        <v>50</v>
      </c>
      <c r="C23" s="50">
        <v>31</v>
      </c>
      <c r="D23" s="50">
        <v>10</v>
      </c>
      <c r="E23" s="50">
        <v>10</v>
      </c>
      <c r="F23" s="50">
        <v>14</v>
      </c>
      <c r="G23" s="50">
        <v>1</v>
      </c>
      <c r="H23" s="50">
        <v>0</v>
      </c>
      <c r="I23" s="50">
        <v>6</v>
      </c>
      <c r="J23" s="50">
        <v>4</v>
      </c>
      <c r="K23" s="50">
        <v>0</v>
      </c>
      <c r="L23" s="50">
        <v>0</v>
      </c>
      <c r="M23" s="50">
        <v>73</v>
      </c>
      <c r="N23" s="50">
        <v>0</v>
      </c>
      <c r="O23" s="15">
        <f t="shared" si="0"/>
        <v>76</v>
      </c>
      <c r="P23" s="15">
        <f t="shared" si="1"/>
        <v>149</v>
      </c>
      <c r="R23" s="38" t="s">
        <v>91</v>
      </c>
      <c r="S23" s="39">
        <f>MAX(S13:S18)</f>
        <v>131</v>
      </c>
      <c r="T23" s="39">
        <f t="shared" ref="T23:AF23" si="15">MAX(T13:T18)</f>
        <v>33</v>
      </c>
      <c r="U23" s="39">
        <f t="shared" si="15"/>
        <v>40</v>
      </c>
      <c r="V23" s="39">
        <f t="shared" si="15"/>
        <v>55</v>
      </c>
      <c r="W23" s="39">
        <f t="shared" si="15"/>
        <v>3</v>
      </c>
      <c r="X23" s="39">
        <f t="shared" si="15"/>
        <v>0</v>
      </c>
      <c r="Y23" s="39">
        <f t="shared" si="15"/>
        <v>27</v>
      </c>
      <c r="Z23" s="39">
        <f t="shared" si="15"/>
        <v>11</v>
      </c>
      <c r="AA23" s="39">
        <f t="shared" si="15"/>
        <v>5</v>
      </c>
      <c r="AB23" s="39">
        <f t="shared" si="15"/>
        <v>2</v>
      </c>
      <c r="AC23" s="39">
        <f t="shared" si="15"/>
        <v>334</v>
      </c>
      <c r="AD23" s="39">
        <f t="shared" si="15"/>
        <v>0</v>
      </c>
      <c r="AE23" s="40">
        <f t="shared" si="15"/>
        <v>257</v>
      </c>
      <c r="AF23" s="40">
        <f t="shared" si="15"/>
        <v>578</v>
      </c>
    </row>
    <row r="24" spans="2:32" ht="23.1" customHeight="1" x14ac:dyDescent="0.25">
      <c r="B24" s="23" t="s">
        <v>51</v>
      </c>
      <c r="C24" s="50">
        <v>26</v>
      </c>
      <c r="D24" s="50">
        <v>8</v>
      </c>
      <c r="E24" s="50">
        <v>12</v>
      </c>
      <c r="F24" s="50">
        <v>22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99</v>
      </c>
      <c r="N24" s="50">
        <v>0</v>
      </c>
      <c r="O24" s="15">
        <f t="shared" si="0"/>
        <v>73</v>
      </c>
      <c r="P24" s="15">
        <f t="shared" si="1"/>
        <v>172</v>
      </c>
      <c r="R24" s="38" t="s">
        <v>92</v>
      </c>
      <c r="S24" s="39">
        <f>MAX(S19:S21)</f>
        <v>252</v>
      </c>
      <c r="T24" s="39">
        <f t="shared" ref="T24:AF24" si="16">MAX(T19:T21)</f>
        <v>47</v>
      </c>
      <c r="U24" s="39">
        <f t="shared" si="16"/>
        <v>33</v>
      </c>
      <c r="V24" s="39">
        <f t="shared" si="16"/>
        <v>55</v>
      </c>
      <c r="W24" s="39">
        <f t="shared" si="16"/>
        <v>3</v>
      </c>
      <c r="X24" s="39">
        <f t="shared" si="16"/>
        <v>5</v>
      </c>
      <c r="Y24" s="39">
        <f t="shared" si="16"/>
        <v>57</v>
      </c>
      <c r="Z24" s="39">
        <f t="shared" si="16"/>
        <v>11</v>
      </c>
      <c r="AA24" s="39">
        <f t="shared" si="16"/>
        <v>5</v>
      </c>
      <c r="AB24" s="39">
        <f t="shared" si="16"/>
        <v>0</v>
      </c>
      <c r="AC24" s="39">
        <f t="shared" si="16"/>
        <v>407</v>
      </c>
      <c r="AD24" s="39">
        <f t="shared" si="16"/>
        <v>0</v>
      </c>
      <c r="AE24" s="40">
        <f t="shared" si="16"/>
        <v>415</v>
      </c>
      <c r="AF24" s="40">
        <f t="shared" si="16"/>
        <v>822</v>
      </c>
    </row>
    <row r="25" spans="2:32" ht="23.1" customHeight="1" x14ac:dyDescent="0.25">
      <c r="B25" s="23" t="s">
        <v>52</v>
      </c>
      <c r="C25" s="50">
        <v>19</v>
      </c>
      <c r="D25" s="50">
        <v>4</v>
      </c>
      <c r="E25" s="50">
        <v>0</v>
      </c>
      <c r="F25" s="50">
        <v>9</v>
      </c>
      <c r="G25" s="50">
        <v>0</v>
      </c>
      <c r="H25" s="50">
        <v>0</v>
      </c>
      <c r="I25" s="50">
        <v>4</v>
      </c>
      <c r="J25" s="50">
        <v>1</v>
      </c>
      <c r="K25" s="50">
        <v>1</v>
      </c>
      <c r="L25" s="50">
        <v>0</v>
      </c>
      <c r="M25" s="50">
        <v>70</v>
      </c>
      <c r="N25" s="50">
        <v>0</v>
      </c>
      <c r="O25" s="15">
        <f t="shared" si="0"/>
        <v>38</v>
      </c>
      <c r="P25" s="15">
        <f t="shared" si="1"/>
        <v>108</v>
      </c>
      <c r="R25" s="37" t="s">
        <v>85</v>
      </c>
      <c r="S25" s="35">
        <f t="shared" ref="S25:AF25" si="17">SUM(S10:S12)</f>
        <v>293</v>
      </c>
      <c r="T25" s="16">
        <f t="shared" si="17"/>
        <v>49</v>
      </c>
      <c r="U25" s="16">
        <f t="shared" si="17"/>
        <v>50</v>
      </c>
      <c r="V25" s="16">
        <f t="shared" si="17"/>
        <v>98</v>
      </c>
      <c r="W25" s="16">
        <f t="shared" si="17"/>
        <v>2</v>
      </c>
      <c r="X25" s="16">
        <f t="shared" si="17"/>
        <v>0</v>
      </c>
      <c r="Y25" s="16">
        <f t="shared" si="17"/>
        <v>41</v>
      </c>
      <c r="Z25" s="16">
        <f t="shared" si="17"/>
        <v>13</v>
      </c>
      <c r="AA25" s="16">
        <f t="shared" si="17"/>
        <v>6</v>
      </c>
      <c r="AB25" s="16">
        <f t="shared" si="17"/>
        <v>1</v>
      </c>
      <c r="AC25" s="16">
        <f t="shared" si="17"/>
        <v>906</v>
      </c>
      <c r="AD25" s="16">
        <f t="shared" si="17"/>
        <v>0</v>
      </c>
      <c r="AE25" s="32">
        <f t="shared" si="17"/>
        <v>553</v>
      </c>
      <c r="AF25" s="32">
        <f t="shared" si="17"/>
        <v>1459</v>
      </c>
    </row>
    <row r="26" spans="2:32" ht="23.1" customHeight="1" x14ac:dyDescent="0.25">
      <c r="B26" s="23" t="s">
        <v>53</v>
      </c>
      <c r="C26" s="50">
        <v>24</v>
      </c>
      <c r="D26" s="50">
        <v>7</v>
      </c>
      <c r="E26" s="50">
        <v>17</v>
      </c>
      <c r="F26" s="50">
        <v>14</v>
      </c>
      <c r="G26" s="50">
        <v>0</v>
      </c>
      <c r="H26" s="50">
        <v>0</v>
      </c>
      <c r="I26" s="50">
        <v>8</v>
      </c>
      <c r="J26" s="50">
        <v>1</v>
      </c>
      <c r="K26" s="50">
        <v>0</v>
      </c>
      <c r="L26" s="50">
        <v>0</v>
      </c>
      <c r="M26" s="50">
        <v>118</v>
      </c>
      <c r="N26" s="50">
        <v>0</v>
      </c>
      <c r="O26" s="15">
        <f t="shared" si="0"/>
        <v>71</v>
      </c>
      <c r="P26" s="15">
        <f t="shared" si="1"/>
        <v>189</v>
      </c>
      <c r="R26" s="28" t="s">
        <v>86</v>
      </c>
      <c r="S26" s="16">
        <f t="shared" ref="S26:AF26" si="18">SUM(S13:S18)</f>
        <v>644</v>
      </c>
      <c r="T26" s="16">
        <f t="shared" si="18"/>
        <v>169</v>
      </c>
      <c r="U26" s="16">
        <f t="shared" si="18"/>
        <v>192</v>
      </c>
      <c r="V26" s="16">
        <f t="shared" si="18"/>
        <v>216</v>
      </c>
      <c r="W26" s="16">
        <f t="shared" si="18"/>
        <v>7</v>
      </c>
      <c r="X26" s="16">
        <f t="shared" si="18"/>
        <v>0</v>
      </c>
      <c r="Y26" s="16">
        <f t="shared" si="18"/>
        <v>132</v>
      </c>
      <c r="Z26" s="16">
        <f t="shared" si="18"/>
        <v>42</v>
      </c>
      <c r="AA26" s="16">
        <f t="shared" si="18"/>
        <v>12</v>
      </c>
      <c r="AB26" s="16">
        <f t="shared" si="18"/>
        <v>2</v>
      </c>
      <c r="AC26" s="16">
        <f t="shared" si="18"/>
        <v>1633</v>
      </c>
      <c r="AD26" s="16">
        <f t="shared" si="18"/>
        <v>0</v>
      </c>
      <c r="AE26" s="32">
        <f t="shared" si="18"/>
        <v>1416</v>
      </c>
      <c r="AF26" s="32">
        <f t="shared" si="18"/>
        <v>3049</v>
      </c>
    </row>
    <row r="27" spans="2:32" ht="23.1" customHeight="1" x14ac:dyDescent="0.25">
      <c r="B27" s="23" t="s">
        <v>54</v>
      </c>
      <c r="C27" s="50">
        <v>21</v>
      </c>
      <c r="D27" s="50">
        <v>10</v>
      </c>
      <c r="E27" s="50">
        <v>5</v>
      </c>
      <c r="F27" s="50">
        <v>2</v>
      </c>
      <c r="G27" s="50">
        <v>0</v>
      </c>
      <c r="H27" s="50">
        <v>0</v>
      </c>
      <c r="I27" s="50">
        <v>5</v>
      </c>
      <c r="J27" s="50">
        <v>2</v>
      </c>
      <c r="K27" s="50">
        <v>0</v>
      </c>
      <c r="L27" s="50">
        <v>0</v>
      </c>
      <c r="M27" s="50">
        <v>49</v>
      </c>
      <c r="N27" s="50">
        <v>0</v>
      </c>
      <c r="O27" s="15">
        <f t="shared" si="0"/>
        <v>45</v>
      </c>
      <c r="P27" s="15">
        <f t="shared" si="1"/>
        <v>94</v>
      </c>
      <c r="R27" s="29" t="s">
        <v>87</v>
      </c>
      <c r="S27" s="16">
        <f t="shared" ref="S27:AF27" si="19">SUM(S19:S21)</f>
        <v>561</v>
      </c>
      <c r="T27" s="16">
        <f t="shared" si="19"/>
        <v>111</v>
      </c>
      <c r="U27" s="16">
        <f t="shared" si="19"/>
        <v>83</v>
      </c>
      <c r="V27" s="16">
        <f t="shared" si="19"/>
        <v>145</v>
      </c>
      <c r="W27" s="16">
        <f t="shared" si="19"/>
        <v>8</v>
      </c>
      <c r="X27" s="16">
        <f t="shared" si="19"/>
        <v>6</v>
      </c>
      <c r="Y27" s="16">
        <f t="shared" si="19"/>
        <v>88</v>
      </c>
      <c r="Z27" s="16">
        <f t="shared" si="19"/>
        <v>24</v>
      </c>
      <c r="AA27" s="16">
        <f t="shared" si="19"/>
        <v>6</v>
      </c>
      <c r="AB27" s="16">
        <f t="shared" si="19"/>
        <v>0</v>
      </c>
      <c r="AC27" s="16">
        <f t="shared" si="19"/>
        <v>1058</v>
      </c>
      <c r="AD27" s="16">
        <f t="shared" si="19"/>
        <v>0</v>
      </c>
      <c r="AE27" s="32">
        <f t="shared" si="19"/>
        <v>1032</v>
      </c>
      <c r="AF27" s="32">
        <f t="shared" si="19"/>
        <v>2090</v>
      </c>
    </row>
    <row r="28" spans="2:32" ht="23.1" customHeight="1" x14ac:dyDescent="0.25">
      <c r="B28" s="23" t="s">
        <v>55</v>
      </c>
      <c r="C28" s="50">
        <v>23</v>
      </c>
      <c r="D28" s="50">
        <v>5</v>
      </c>
      <c r="E28" s="50">
        <v>8</v>
      </c>
      <c r="F28" s="50">
        <v>8</v>
      </c>
      <c r="G28" s="50">
        <v>0</v>
      </c>
      <c r="H28" s="50">
        <v>0</v>
      </c>
      <c r="I28" s="50">
        <v>4</v>
      </c>
      <c r="J28" s="50">
        <v>3</v>
      </c>
      <c r="K28" s="50">
        <v>0</v>
      </c>
      <c r="L28" s="50">
        <v>0</v>
      </c>
      <c r="M28" s="50">
        <v>80</v>
      </c>
      <c r="N28" s="50">
        <v>0</v>
      </c>
      <c r="O28" s="15">
        <f t="shared" si="0"/>
        <v>51</v>
      </c>
      <c r="P28" s="15">
        <f t="shared" si="1"/>
        <v>131</v>
      </c>
      <c r="R28" s="5" t="s">
        <v>17</v>
      </c>
      <c r="S28" s="16">
        <f t="shared" ref="S28:AF28" si="20">SUM(S10:S21)</f>
        <v>1498</v>
      </c>
      <c r="T28" s="16">
        <f t="shared" si="20"/>
        <v>329</v>
      </c>
      <c r="U28" s="16">
        <f t="shared" si="20"/>
        <v>325</v>
      </c>
      <c r="V28" s="16">
        <f t="shared" si="20"/>
        <v>459</v>
      </c>
      <c r="W28" s="16">
        <f t="shared" si="20"/>
        <v>17</v>
      </c>
      <c r="X28" s="16">
        <f t="shared" si="20"/>
        <v>6</v>
      </c>
      <c r="Y28" s="16">
        <f t="shared" si="20"/>
        <v>261</v>
      </c>
      <c r="Z28" s="16">
        <f t="shared" si="20"/>
        <v>79</v>
      </c>
      <c r="AA28" s="16">
        <f t="shared" si="20"/>
        <v>24</v>
      </c>
      <c r="AB28" s="16">
        <f t="shared" si="20"/>
        <v>3</v>
      </c>
      <c r="AC28" s="16">
        <f t="shared" si="20"/>
        <v>3597</v>
      </c>
      <c r="AD28" s="16">
        <f t="shared" si="20"/>
        <v>0</v>
      </c>
      <c r="AE28" s="32">
        <f t="shared" si="20"/>
        <v>3001</v>
      </c>
      <c r="AF28" s="32">
        <f t="shared" si="20"/>
        <v>6598</v>
      </c>
    </row>
    <row r="29" spans="2:32" ht="23.1" customHeight="1" x14ac:dyDescent="0.25">
      <c r="B29" s="23" t="s">
        <v>56</v>
      </c>
      <c r="C29" s="50">
        <v>26</v>
      </c>
      <c r="D29" s="50">
        <v>11</v>
      </c>
      <c r="E29" s="50">
        <v>7</v>
      </c>
      <c r="F29" s="50">
        <v>6</v>
      </c>
      <c r="G29" s="50">
        <v>0</v>
      </c>
      <c r="H29" s="50">
        <v>0</v>
      </c>
      <c r="I29" s="50">
        <v>9</v>
      </c>
      <c r="J29" s="50">
        <v>1</v>
      </c>
      <c r="K29" s="50">
        <v>0</v>
      </c>
      <c r="L29" s="50">
        <v>0</v>
      </c>
      <c r="M29" s="50">
        <v>61</v>
      </c>
      <c r="N29" s="50">
        <v>0</v>
      </c>
      <c r="O29" s="15">
        <f t="shared" si="0"/>
        <v>60</v>
      </c>
      <c r="P29" s="15">
        <f t="shared" si="1"/>
        <v>121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6</v>
      </c>
      <c r="E30" s="50">
        <v>8</v>
      </c>
      <c r="F30" s="50">
        <v>8</v>
      </c>
      <c r="G30" s="50">
        <v>0</v>
      </c>
      <c r="H30" s="50">
        <v>0</v>
      </c>
      <c r="I30" s="50">
        <v>8</v>
      </c>
      <c r="J30" s="50">
        <v>5</v>
      </c>
      <c r="K30" s="50">
        <v>2</v>
      </c>
      <c r="L30" s="50">
        <v>0</v>
      </c>
      <c r="M30" s="50">
        <v>78</v>
      </c>
      <c r="N30" s="50">
        <v>0</v>
      </c>
      <c r="O30" s="15">
        <f t="shared" si="0"/>
        <v>56</v>
      </c>
      <c r="P30" s="15">
        <f t="shared" si="1"/>
        <v>134</v>
      </c>
    </row>
    <row r="31" spans="2:32" ht="23.1" customHeight="1" x14ac:dyDescent="0.25">
      <c r="B31" s="24" t="s">
        <v>58</v>
      </c>
      <c r="C31" s="50">
        <v>31</v>
      </c>
      <c r="D31" s="50">
        <v>7</v>
      </c>
      <c r="E31" s="50">
        <v>8</v>
      </c>
      <c r="F31" s="50">
        <v>15</v>
      </c>
      <c r="G31" s="50">
        <v>0</v>
      </c>
      <c r="H31" s="50">
        <v>0</v>
      </c>
      <c r="I31" s="50">
        <v>5</v>
      </c>
      <c r="J31" s="50">
        <v>2</v>
      </c>
      <c r="K31" s="50">
        <v>0</v>
      </c>
      <c r="L31" s="50">
        <v>0</v>
      </c>
      <c r="M31" s="50">
        <v>75</v>
      </c>
      <c r="N31" s="50">
        <v>0</v>
      </c>
      <c r="O31" s="15">
        <f t="shared" si="0"/>
        <v>68</v>
      </c>
      <c r="P31" s="15">
        <f t="shared" si="1"/>
        <v>143</v>
      </c>
    </row>
    <row r="32" spans="2:32" ht="23.1" customHeight="1" x14ac:dyDescent="0.25">
      <c r="B32" s="24" t="s">
        <v>59</v>
      </c>
      <c r="C32" s="50">
        <v>22</v>
      </c>
      <c r="D32" s="50">
        <v>8</v>
      </c>
      <c r="E32" s="50">
        <v>5</v>
      </c>
      <c r="F32" s="50">
        <v>9</v>
      </c>
      <c r="G32" s="50">
        <v>1</v>
      </c>
      <c r="H32" s="50">
        <v>0</v>
      </c>
      <c r="I32" s="50">
        <v>3</v>
      </c>
      <c r="J32" s="50">
        <v>2</v>
      </c>
      <c r="K32" s="50">
        <v>1</v>
      </c>
      <c r="L32" s="50">
        <v>0</v>
      </c>
      <c r="M32" s="50">
        <v>53</v>
      </c>
      <c r="N32" s="50">
        <v>0</v>
      </c>
      <c r="O32" s="15">
        <f t="shared" si="0"/>
        <v>51</v>
      </c>
      <c r="P32" s="15">
        <f t="shared" si="1"/>
        <v>104</v>
      </c>
    </row>
    <row r="33" spans="2:20" ht="23.1" customHeight="1" x14ac:dyDescent="0.25">
      <c r="B33" s="23" t="s">
        <v>60</v>
      </c>
      <c r="C33" s="50">
        <v>29</v>
      </c>
      <c r="D33" s="50">
        <v>9</v>
      </c>
      <c r="E33" s="50">
        <v>4</v>
      </c>
      <c r="F33" s="50">
        <v>7</v>
      </c>
      <c r="G33" s="50">
        <v>0</v>
      </c>
      <c r="H33" s="50">
        <v>0</v>
      </c>
      <c r="I33" s="50">
        <v>3</v>
      </c>
      <c r="J33" s="50">
        <v>2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0"/>
        <v>54</v>
      </c>
      <c r="P33" s="15">
        <f t="shared" si="1"/>
        <v>109</v>
      </c>
    </row>
    <row r="34" spans="2:20" ht="23.1" customHeight="1" x14ac:dyDescent="0.25">
      <c r="B34" s="24" t="s">
        <v>61</v>
      </c>
      <c r="C34" s="50">
        <v>28</v>
      </c>
      <c r="D34" s="50">
        <v>6</v>
      </c>
      <c r="E34" s="50">
        <v>7</v>
      </c>
      <c r="F34" s="50">
        <v>11</v>
      </c>
      <c r="G34" s="50">
        <v>1</v>
      </c>
      <c r="H34" s="50">
        <v>0</v>
      </c>
      <c r="I34" s="50">
        <v>5</v>
      </c>
      <c r="J34" s="50">
        <v>1</v>
      </c>
      <c r="K34" s="50">
        <v>0</v>
      </c>
      <c r="L34" s="50">
        <v>0</v>
      </c>
      <c r="M34" s="50">
        <v>72</v>
      </c>
      <c r="N34" s="50">
        <v>0</v>
      </c>
      <c r="O34" s="15">
        <f t="shared" si="0"/>
        <v>59</v>
      </c>
      <c r="P34" s="15">
        <f t="shared" si="1"/>
        <v>131</v>
      </c>
    </row>
    <row r="35" spans="2:20" ht="23.1" customHeight="1" x14ac:dyDescent="0.25">
      <c r="B35" s="24" t="s">
        <v>62</v>
      </c>
      <c r="C35" s="50">
        <v>36</v>
      </c>
      <c r="D35" s="50">
        <v>2</v>
      </c>
      <c r="E35" s="50">
        <v>4</v>
      </c>
      <c r="F35" s="50">
        <v>11</v>
      </c>
      <c r="G35" s="50">
        <v>0</v>
      </c>
      <c r="H35" s="50">
        <v>0</v>
      </c>
      <c r="I35" s="50">
        <v>6</v>
      </c>
      <c r="J35" s="50">
        <v>3</v>
      </c>
      <c r="K35" s="50">
        <v>1</v>
      </c>
      <c r="L35" s="50">
        <v>0</v>
      </c>
      <c r="M35" s="50">
        <v>53</v>
      </c>
      <c r="N35" s="50">
        <v>0</v>
      </c>
      <c r="O35" s="15">
        <f t="shared" si="0"/>
        <v>63</v>
      </c>
      <c r="P35" s="15">
        <f t="shared" si="1"/>
        <v>116</v>
      </c>
    </row>
    <row r="36" spans="2:20" ht="23.1" customHeight="1" x14ac:dyDescent="0.25">
      <c r="B36" s="24" t="s">
        <v>63</v>
      </c>
      <c r="C36" s="50">
        <v>31</v>
      </c>
      <c r="D36" s="50">
        <v>5</v>
      </c>
      <c r="E36" s="50">
        <v>11</v>
      </c>
      <c r="F36" s="50">
        <v>9</v>
      </c>
      <c r="G36" s="50">
        <v>0</v>
      </c>
      <c r="H36" s="50">
        <v>0</v>
      </c>
      <c r="I36" s="50">
        <v>9</v>
      </c>
      <c r="J36" s="50">
        <v>2</v>
      </c>
      <c r="K36" s="50">
        <v>0</v>
      </c>
      <c r="L36" s="50">
        <v>0</v>
      </c>
      <c r="M36" s="50">
        <v>59</v>
      </c>
      <c r="N36" s="50">
        <v>0</v>
      </c>
      <c r="O36" s="15">
        <f t="shared" si="0"/>
        <v>67</v>
      </c>
      <c r="P36" s="15">
        <f t="shared" si="1"/>
        <v>126</v>
      </c>
    </row>
    <row r="37" spans="2:20" ht="23.1" customHeight="1" x14ac:dyDescent="0.25">
      <c r="B37" s="23" t="s">
        <v>64</v>
      </c>
      <c r="C37" s="50">
        <v>20</v>
      </c>
      <c r="D37" s="50">
        <v>8</v>
      </c>
      <c r="E37" s="50">
        <v>8</v>
      </c>
      <c r="F37" s="50">
        <v>8</v>
      </c>
      <c r="G37" s="50">
        <v>0</v>
      </c>
      <c r="H37" s="50">
        <v>0</v>
      </c>
      <c r="I37" s="50">
        <v>0</v>
      </c>
      <c r="J37" s="50">
        <v>3</v>
      </c>
      <c r="K37" s="50">
        <v>1</v>
      </c>
      <c r="L37" s="50">
        <v>0</v>
      </c>
      <c r="M37" s="50">
        <v>45</v>
      </c>
      <c r="N37" s="50">
        <v>0</v>
      </c>
      <c r="O37" s="15">
        <f t="shared" si="0"/>
        <v>48</v>
      </c>
      <c r="P37" s="15">
        <f t="shared" si="1"/>
        <v>93</v>
      </c>
    </row>
    <row r="38" spans="2:20" ht="23.1" customHeight="1" x14ac:dyDescent="0.25">
      <c r="B38" s="24" t="s">
        <v>65</v>
      </c>
      <c r="C38" s="50">
        <v>36</v>
      </c>
      <c r="D38" s="50">
        <v>10</v>
      </c>
      <c r="E38" s="50">
        <v>11</v>
      </c>
      <c r="F38" s="50">
        <v>7</v>
      </c>
      <c r="G38" s="50">
        <v>0</v>
      </c>
      <c r="H38" s="50">
        <v>0</v>
      </c>
      <c r="I38" s="50">
        <v>7</v>
      </c>
      <c r="J38" s="50">
        <v>0</v>
      </c>
      <c r="K38" s="50">
        <v>2</v>
      </c>
      <c r="L38" s="50">
        <v>0</v>
      </c>
      <c r="M38" s="50">
        <v>79</v>
      </c>
      <c r="N38" s="50">
        <v>0</v>
      </c>
      <c r="O38" s="15">
        <f t="shared" si="0"/>
        <v>73</v>
      </c>
      <c r="P38" s="15">
        <f t="shared" si="1"/>
        <v>152</v>
      </c>
    </row>
    <row r="39" spans="2:20" ht="23.1" customHeight="1" x14ac:dyDescent="0.25">
      <c r="B39" s="24" t="s">
        <v>66</v>
      </c>
      <c r="C39" s="50">
        <v>35</v>
      </c>
      <c r="D39" s="50">
        <v>5</v>
      </c>
      <c r="E39" s="50">
        <v>9</v>
      </c>
      <c r="F39" s="50">
        <v>7</v>
      </c>
      <c r="G39" s="50">
        <v>2</v>
      </c>
      <c r="H39" s="50">
        <v>0</v>
      </c>
      <c r="I39" s="50">
        <v>3</v>
      </c>
      <c r="J39" s="50">
        <v>0</v>
      </c>
      <c r="K39" s="50">
        <v>0</v>
      </c>
      <c r="L39" s="50">
        <v>1</v>
      </c>
      <c r="M39" s="50">
        <v>85</v>
      </c>
      <c r="N39" s="50">
        <v>0</v>
      </c>
      <c r="O39" s="15">
        <f t="shared" si="0"/>
        <v>62</v>
      </c>
      <c r="P39" s="15">
        <f t="shared" si="1"/>
        <v>147</v>
      </c>
    </row>
    <row r="40" spans="2:20" ht="23.1" customHeight="1" x14ac:dyDescent="0.25">
      <c r="B40" s="24" t="s">
        <v>67</v>
      </c>
      <c r="C40" s="50">
        <v>17</v>
      </c>
      <c r="D40" s="50">
        <v>6</v>
      </c>
      <c r="E40" s="50">
        <v>4</v>
      </c>
      <c r="F40" s="50">
        <v>3</v>
      </c>
      <c r="G40" s="50">
        <v>1</v>
      </c>
      <c r="H40" s="50">
        <v>0</v>
      </c>
      <c r="I40" s="50">
        <v>5</v>
      </c>
      <c r="J40" s="50">
        <v>4</v>
      </c>
      <c r="K40" s="50">
        <v>2</v>
      </c>
      <c r="L40" s="50">
        <v>1</v>
      </c>
      <c r="M40" s="50">
        <v>45</v>
      </c>
      <c r="N40" s="50">
        <v>0</v>
      </c>
      <c r="O40" s="15">
        <f t="shared" si="0"/>
        <v>43</v>
      </c>
      <c r="P40" s="15">
        <f t="shared" si="1"/>
        <v>88</v>
      </c>
    </row>
    <row r="41" spans="2:20" ht="23.1" customHeight="1" x14ac:dyDescent="0.25">
      <c r="B41" s="23" t="s">
        <v>68</v>
      </c>
      <c r="C41" s="50">
        <v>23</v>
      </c>
      <c r="D41" s="50">
        <v>7</v>
      </c>
      <c r="E41" s="50">
        <v>4</v>
      </c>
      <c r="F41" s="50">
        <v>5</v>
      </c>
      <c r="G41" s="50">
        <v>0</v>
      </c>
      <c r="H41" s="50">
        <v>0</v>
      </c>
      <c r="I41" s="50">
        <v>2</v>
      </c>
      <c r="J41" s="50">
        <v>2</v>
      </c>
      <c r="K41" s="50">
        <v>1</v>
      </c>
      <c r="L41" s="50">
        <v>0</v>
      </c>
      <c r="M41" s="50">
        <v>32</v>
      </c>
      <c r="N41" s="50">
        <v>0</v>
      </c>
      <c r="O41" s="15">
        <f t="shared" si="0"/>
        <v>44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27</v>
      </c>
      <c r="D42" s="50">
        <v>5</v>
      </c>
      <c r="E42" s="50">
        <v>8</v>
      </c>
      <c r="F42" s="50">
        <v>3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40</v>
      </c>
      <c r="N42" s="50">
        <v>0</v>
      </c>
      <c r="O42" s="15">
        <f t="shared" si="0"/>
        <v>46</v>
      </c>
      <c r="P42" s="15">
        <f t="shared" si="1"/>
        <v>86</v>
      </c>
    </row>
    <row r="43" spans="2:20" ht="23.1" customHeight="1" x14ac:dyDescent="0.25">
      <c r="B43" s="23" t="s">
        <v>70</v>
      </c>
      <c r="C43" s="50">
        <v>56</v>
      </c>
      <c r="D43" s="50">
        <v>7</v>
      </c>
      <c r="E43" s="50">
        <v>17</v>
      </c>
      <c r="F43" s="50">
        <v>14</v>
      </c>
      <c r="G43" s="50">
        <v>1</v>
      </c>
      <c r="H43" s="50">
        <v>0</v>
      </c>
      <c r="I43" s="50">
        <v>10</v>
      </c>
      <c r="J43" s="50">
        <v>2</v>
      </c>
      <c r="K43" s="50">
        <v>0</v>
      </c>
      <c r="L43" s="50">
        <v>0</v>
      </c>
      <c r="M43" s="50">
        <v>96</v>
      </c>
      <c r="N43" s="50">
        <v>0</v>
      </c>
      <c r="O43" s="15">
        <f t="shared" si="0"/>
        <v>107</v>
      </c>
      <c r="P43" s="15">
        <f t="shared" si="1"/>
        <v>203</v>
      </c>
    </row>
    <row r="44" spans="2:20" ht="23.1" customHeight="1" x14ac:dyDescent="0.25">
      <c r="B44" s="25" t="s">
        <v>71</v>
      </c>
      <c r="C44" s="50">
        <v>15</v>
      </c>
      <c r="D44" s="50">
        <v>6</v>
      </c>
      <c r="E44" s="50">
        <v>6</v>
      </c>
      <c r="F44" s="50">
        <v>7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44</v>
      </c>
      <c r="N44" s="50">
        <v>0</v>
      </c>
      <c r="O44" s="15">
        <f t="shared" si="0"/>
        <v>38</v>
      </c>
      <c r="P44" s="15">
        <f t="shared" si="1"/>
        <v>82</v>
      </c>
    </row>
    <row r="45" spans="2:20" ht="23.1" customHeight="1" x14ac:dyDescent="0.25">
      <c r="B45" s="23" t="s">
        <v>72</v>
      </c>
      <c r="C45" s="50">
        <v>33</v>
      </c>
      <c r="D45" s="50">
        <v>9</v>
      </c>
      <c r="E45" s="50">
        <v>9</v>
      </c>
      <c r="F45" s="50">
        <v>7</v>
      </c>
      <c r="G45" s="50">
        <v>0</v>
      </c>
      <c r="H45" s="50">
        <v>0</v>
      </c>
      <c r="I45" s="50">
        <v>7</v>
      </c>
      <c r="J45" s="50">
        <v>0</v>
      </c>
      <c r="K45" s="50">
        <v>1</v>
      </c>
      <c r="L45" s="50">
        <v>0</v>
      </c>
      <c r="M45" s="50">
        <v>80</v>
      </c>
      <c r="N45" s="50">
        <v>0</v>
      </c>
      <c r="O45" s="15">
        <f t="shared" si="0"/>
        <v>66</v>
      </c>
      <c r="P45" s="15">
        <f t="shared" si="1"/>
        <v>146</v>
      </c>
    </row>
    <row r="46" spans="2:20" ht="23.1" customHeight="1" x14ac:dyDescent="0.25">
      <c r="B46" s="24" t="s">
        <v>73</v>
      </c>
      <c r="C46" s="50">
        <v>36</v>
      </c>
      <c r="D46" s="50">
        <v>14</v>
      </c>
      <c r="E46" s="50">
        <v>10</v>
      </c>
      <c r="F46" s="50">
        <v>19</v>
      </c>
      <c r="G46" s="50">
        <v>1</v>
      </c>
      <c r="H46" s="50">
        <v>0</v>
      </c>
      <c r="I46" s="50">
        <v>8</v>
      </c>
      <c r="J46" s="50">
        <v>2</v>
      </c>
      <c r="K46" s="50">
        <v>0</v>
      </c>
      <c r="L46" s="50">
        <v>0</v>
      </c>
      <c r="M46" s="50">
        <v>79</v>
      </c>
      <c r="N46" s="50">
        <v>0</v>
      </c>
      <c r="O46" s="15">
        <f t="shared" si="0"/>
        <v>90</v>
      </c>
      <c r="P46" s="15">
        <f t="shared" si="1"/>
        <v>169</v>
      </c>
      <c r="R46" s="8"/>
      <c r="T46"/>
    </row>
    <row r="47" spans="2:20" ht="23.1" customHeight="1" x14ac:dyDescent="0.25">
      <c r="B47" s="24" t="s">
        <v>74</v>
      </c>
      <c r="C47" s="50">
        <v>45</v>
      </c>
      <c r="D47" s="50">
        <v>7</v>
      </c>
      <c r="E47" s="50">
        <v>4</v>
      </c>
      <c r="F47" s="50">
        <v>9</v>
      </c>
      <c r="G47" s="50">
        <v>1</v>
      </c>
      <c r="H47" s="50">
        <v>0</v>
      </c>
      <c r="I47" s="50">
        <v>5</v>
      </c>
      <c r="J47" s="50">
        <v>5</v>
      </c>
      <c r="K47" s="50">
        <v>0</v>
      </c>
      <c r="L47" s="50">
        <v>0</v>
      </c>
      <c r="M47" s="50">
        <v>90</v>
      </c>
      <c r="N47" s="50">
        <v>0</v>
      </c>
      <c r="O47" s="15">
        <f t="shared" si="0"/>
        <v>76</v>
      </c>
      <c r="P47" s="15">
        <f t="shared" si="1"/>
        <v>166</v>
      </c>
      <c r="R47" s="8"/>
      <c r="T47"/>
    </row>
    <row r="48" spans="2:20" ht="23.1" customHeight="1" x14ac:dyDescent="0.25">
      <c r="B48" s="24" t="s">
        <v>75</v>
      </c>
      <c r="C48" s="50">
        <v>47</v>
      </c>
      <c r="D48" s="50">
        <v>10</v>
      </c>
      <c r="E48" s="50">
        <v>11</v>
      </c>
      <c r="F48" s="50">
        <v>9</v>
      </c>
      <c r="G48" s="50">
        <v>0</v>
      </c>
      <c r="H48" s="50">
        <v>0</v>
      </c>
      <c r="I48" s="50">
        <v>40</v>
      </c>
      <c r="J48" s="50">
        <v>0</v>
      </c>
      <c r="K48" s="50">
        <v>0</v>
      </c>
      <c r="L48" s="50">
        <v>0</v>
      </c>
      <c r="M48" s="50">
        <v>50</v>
      </c>
      <c r="N48" s="50">
        <v>0</v>
      </c>
      <c r="O48" s="15">
        <f t="shared" si="0"/>
        <v>117</v>
      </c>
      <c r="P48" s="15">
        <f t="shared" si="1"/>
        <v>167</v>
      </c>
      <c r="R48" s="8"/>
      <c r="T48"/>
    </row>
    <row r="49" spans="2:20" ht="23.1" customHeight="1" x14ac:dyDescent="0.25">
      <c r="B49" s="23" t="s">
        <v>76</v>
      </c>
      <c r="C49" s="50">
        <v>49</v>
      </c>
      <c r="D49" s="50">
        <v>16</v>
      </c>
      <c r="E49" s="50">
        <v>7</v>
      </c>
      <c r="F49" s="50">
        <v>11</v>
      </c>
      <c r="G49" s="50">
        <v>0</v>
      </c>
      <c r="H49" s="50">
        <v>0</v>
      </c>
      <c r="I49" s="50">
        <v>4</v>
      </c>
      <c r="J49" s="50">
        <v>4</v>
      </c>
      <c r="K49" s="50">
        <v>0</v>
      </c>
      <c r="L49" s="50">
        <v>0</v>
      </c>
      <c r="M49" s="50">
        <v>52</v>
      </c>
      <c r="N49" s="50">
        <v>0</v>
      </c>
      <c r="O49" s="15">
        <f t="shared" si="0"/>
        <v>91</v>
      </c>
      <c r="P49" s="15">
        <f t="shared" si="1"/>
        <v>143</v>
      </c>
      <c r="R49" s="8"/>
      <c r="T49"/>
    </row>
    <row r="50" spans="2:20" ht="23.1" customHeight="1" x14ac:dyDescent="0.25">
      <c r="B50" s="24" t="s">
        <v>77</v>
      </c>
      <c r="C50" s="50">
        <v>72</v>
      </c>
      <c r="D50" s="50">
        <v>10</v>
      </c>
      <c r="E50" s="50">
        <v>8</v>
      </c>
      <c r="F50" s="50">
        <v>7</v>
      </c>
      <c r="G50" s="50">
        <v>2</v>
      </c>
      <c r="H50" s="50">
        <v>0</v>
      </c>
      <c r="I50" s="50">
        <v>3</v>
      </c>
      <c r="J50" s="50">
        <v>1</v>
      </c>
      <c r="K50" s="50">
        <v>1</v>
      </c>
      <c r="L50" s="50">
        <v>0</v>
      </c>
      <c r="M50" s="50">
        <v>74</v>
      </c>
      <c r="N50" s="50">
        <v>0</v>
      </c>
      <c r="O50" s="15">
        <f t="shared" si="0"/>
        <v>104</v>
      </c>
      <c r="P50" s="15">
        <f t="shared" si="1"/>
        <v>178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10</v>
      </c>
      <c r="E51" s="50">
        <v>3</v>
      </c>
      <c r="F51" s="50">
        <v>17</v>
      </c>
      <c r="G51" s="50">
        <v>0</v>
      </c>
      <c r="H51" s="50">
        <v>0</v>
      </c>
      <c r="I51" s="50">
        <v>4</v>
      </c>
      <c r="J51" s="50">
        <v>0</v>
      </c>
      <c r="K51" s="50">
        <v>2</v>
      </c>
      <c r="L51" s="50">
        <v>0</v>
      </c>
      <c r="M51" s="50">
        <v>105</v>
      </c>
      <c r="N51" s="50">
        <v>0</v>
      </c>
      <c r="O51" s="15">
        <f t="shared" si="0"/>
        <v>101</v>
      </c>
      <c r="P51" s="15">
        <f t="shared" si="1"/>
        <v>206</v>
      </c>
      <c r="R51" s="8"/>
      <c r="T51"/>
    </row>
    <row r="52" spans="2:20" ht="23.1" customHeight="1" x14ac:dyDescent="0.25">
      <c r="B52" s="24" t="s">
        <v>79</v>
      </c>
      <c r="C52" s="50">
        <v>69</v>
      </c>
      <c r="D52" s="50">
        <v>5</v>
      </c>
      <c r="E52" s="50">
        <v>13</v>
      </c>
      <c r="F52" s="50">
        <v>16</v>
      </c>
      <c r="G52" s="50">
        <v>0</v>
      </c>
      <c r="H52" s="50">
        <v>1</v>
      </c>
      <c r="I52" s="50">
        <v>4</v>
      </c>
      <c r="J52" s="50">
        <v>5</v>
      </c>
      <c r="K52" s="50">
        <v>2</v>
      </c>
      <c r="L52" s="50">
        <v>0</v>
      </c>
      <c r="M52" s="50">
        <v>123</v>
      </c>
      <c r="N52" s="50">
        <v>0</v>
      </c>
      <c r="O52" s="15">
        <f t="shared" si="0"/>
        <v>115</v>
      </c>
      <c r="P52" s="15">
        <f t="shared" si="1"/>
        <v>238</v>
      </c>
      <c r="R52" s="8"/>
      <c r="T52"/>
    </row>
    <row r="53" spans="2:20" ht="23.1" customHeight="1" x14ac:dyDescent="0.25">
      <c r="B53" s="23" t="s">
        <v>80</v>
      </c>
      <c r="C53" s="50">
        <v>46</v>
      </c>
      <c r="D53" s="50">
        <v>12</v>
      </c>
      <c r="E53" s="50">
        <v>9</v>
      </c>
      <c r="F53" s="50">
        <v>15</v>
      </c>
      <c r="G53" s="50">
        <v>1</v>
      </c>
      <c r="H53" s="50">
        <v>0</v>
      </c>
      <c r="I53" s="50">
        <v>8</v>
      </c>
      <c r="J53" s="50">
        <v>4</v>
      </c>
      <c r="K53" s="50">
        <v>0</v>
      </c>
      <c r="L53" s="50">
        <v>0</v>
      </c>
      <c r="M53" s="50">
        <v>105</v>
      </c>
      <c r="N53" s="50">
        <v>0</v>
      </c>
      <c r="O53" s="15">
        <f t="shared" si="0"/>
        <v>95</v>
      </c>
      <c r="P53" s="15">
        <f t="shared" si="1"/>
        <v>200</v>
      </c>
      <c r="R53" s="8"/>
      <c r="T53"/>
    </row>
    <row r="54" spans="2:20" ht="23.1" customHeight="1" x14ac:dyDescent="0.25">
      <c r="B54" s="23" t="s">
        <v>81</v>
      </c>
      <c r="C54" s="50">
        <v>33</v>
      </c>
      <c r="D54" s="50">
        <v>10</v>
      </c>
      <c r="E54" s="50">
        <v>6</v>
      </c>
      <c r="F54" s="50">
        <v>1</v>
      </c>
      <c r="G54" s="50">
        <v>0</v>
      </c>
      <c r="H54" s="50">
        <v>4</v>
      </c>
      <c r="I54" s="50">
        <v>2</v>
      </c>
      <c r="J54" s="50">
        <v>1</v>
      </c>
      <c r="K54" s="50">
        <v>0</v>
      </c>
      <c r="L54" s="50">
        <v>0</v>
      </c>
      <c r="M54" s="50">
        <v>98</v>
      </c>
      <c r="N54" s="50">
        <v>0</v>
      </c>
      <c r="O54" s="15">
        <f t="shared" si="0"/>
        <v>57</v>
      </c>
      <c r="P54" s="15">
        <f t="shared" si="1"/>
        <v>155</v>
      </c>
      <c r="R54" s="8"/>
      <c r="T54"/>
    </row>
    <row r="55" spans="2:20" ht="23.1" customHeight="1" x14ac:dyDescent="0.25">
      <c r="B55" s="23" t="s">
        <v>82</v>
      </c>
      <c r="C55" s="50">
        <v>48</v>
      </c>
      <c r="D55" s="50">
        <v>5</v>
      </c>
      <c r="E55" s="50">
        <v>7</v>
      </c>
      <c r="F55" s="50">
        <v>19</v>
      </c>
      <c r="G55" s="50">
        <v>0</v>
      </c>
      <c r="H55" s="50">
        <v>0</v>
      </c>
      <c r="I55" s="50">
        <v>5</v>
      </c>
      <c r="J55" s="50">
        <v>2</v>
      </c>
      <c r="K55" s="50">
        <v>0</v>
      </c>
      <c r="L55" s="50">
        <v>0</v>
      </c>
      <c r="M55" s="50">
        <v>127</v>
      </c>
      <c r="N55" s="50">
        <v>0</v>
      </c>
      <c r="O55" s="15">
        <f t="shared" si="0"/>
        <v>86</v>
      </c>
      <c r="P55" s="15">
        <f t="shared" si="1"/>
        <v>213</v>
      </c>
      <c r="R55" s="8"/>
      <c r="T55"/>
    </row>
    <row r="56" spans="2:20" ht="23.1" customHeight="1" x14ac:dyDescent="0.25">
      <c r="B56" s="23" t="s">
        <v>83</v>
      </c>
      <c r="C56" s="50">
        <v>51</v>
      </c>
      <c r="D56" s="50">
        <v>12</v>
      </c>
      <c r="E56" s="50">
        <v>5</v>
      </c>
      <c r="F56" s="50">
        <v>22</v>
      </c>
      <c r="G56" s="50">
        <v>3</v>
      </c>
      <c r="H56" s="50">
        <v>1</v>
      </c>
      <c r="I56" s="50">
        <v>5</v>
      </c>
      <c r="J56" s="50">
        <v>0</v>
      </c>
      <c r="K56" s="50">
        <v>1</v>
      </c>
      <c r="L56" s="50">
        <v>0</v>
      </c>
      <c r="M56" s="50">
        <v>155</v>
      </c>
      <c r="N56" s="50">
        <v>0</v>
      </c>
      <c r="O56" s="15">
        <f t="shared" si="0"/>
        <v>100</v>
      </c>
      <c r="P56" s="15">
        <f t="shared" si="1"/>
        <v>255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1498</v>
      </c>
      <c r="D58" s="16">
        <f t="shared" si="21"/>
        <v>329</v>
      </c>
      <c r="E58" s="16">
        <f t="shared" si="21"/>
        <v>325</v>
      </c>
      <c r="F58" s="16">
        <f t="shared" si="21"/>
        <v>459</v>
      </c>
      <c r="G58" s="16">
        <f t="shared" si="21"/>
        <v>17</v>
      </c>
      <c r="H58" s="16">
        <f t="shared" si="21"/>
        <v>6</v>
      </c>
      <c r="I58" s="16">
        <f t="shared" si="21"/>
        <v>261</v>
      </c>
      <c r="J58" s="16">
        <f t="shared" si="21"/>
        <v>79</v>
      </c>
      <c r="K58" s="16">
        <f t="shared" si="21"/>
        <v>24</v>
      </c>
      <c r="L58" s="16">
        <f t="shared" si="21"/>
        <v>3</v>
      </c>
      <c r="M58" s="16">
        <f t="shared" si="21"/>
        <v>3597</v>
      </c>
      <c r="N58" s="16">
        <f t="shared" si="21"/>
        <v>0</v>
      </c>
      <c r="O58" s="16">
        <f t="shared" si="21"/>
        <v>3001</v>
      </c>
      <c r="P58" s="16">
        <f t="shared" si="21"/>
        <v>6598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0.22703849651409519</v>
      </c>
      <c r="D59" s="43">
        <f t="shared" si="22"/>
        <v>4.9863595028796608E-2</v>
      </c>
      <c r="E59" s="43">
        <f t="shared" si="22"/>
        <v>4.925735071233707E-2</v>
      </c>
      <c r="F59" s="43">
        <f t="shared" si="22"/>
        <v>6.9566535313731429E-2</v>
      </c>
      <c r="G59" s="43">
        <f t="shared" si="22"/>
        <v>2.576538344953016E-3</v>
      </c>
      <c r="H59" s="43">
        <f t="shared" si="22"/>
        <v>9.093664746892998E-4</v>
      </c>
      <c r="I59" s="43">
        <f t="shared" si="22"/>
        <v>3.9557441648984538E-2</v>
      </c>
      <c r="J59" s="43">
        <f t="shared" si="22"/>
        <v>1.1973325250075781E-2</v>
      </c>
      <c r="K59" s="43">
        <f t="shared" si="22"/>
        <v>3.6374658987571992E-3</v>
      </c>
      <c r="L59" s="43">
        <f t="shared" si="22"/>
        <v>4.546832373446499E-4</v>
      </c>
      <c r="M59" s="43">
        <f t="shared" si="22"/>
        <v>0.54516520157623527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0.49916694435188269</v>
      </c>
      <c r="D60" s="44">
        <f t="shared" ref="D60:N60" si="23">D58/$O$58</f>
        <v>0.10963012329223593</v>
      </c>
      <c r="E60" s="44">
        <f t="shared" si="23"/>
        <v>0.10829723425524825</v>
      </c>
      <c r="F60" s="44">
        <f t="shared" si="23"/>
        <v>0.15294901699433522</v>
      </c>
      <c r="G60" s="44">
        <f t="shared" si="23"/>
        <v>5.6647784071976008E-3</v>
      </c>
      <c r="H60" s="44">
        <f t="shared" si="23"/>
        <v>1.9993335554815061E-3</v>
      </c>
      <c r="I60" s="44">
        <f t="shared" si="23"/>
        <v>8.6971009663445523E-2</v>
      </c>
      <c r="J60" s="44">
        <f t="shared" si="23"/>
        <v>2.6324558480506497E-2</v>
      </c>
      <c r="K60" s="44">
        <f t="shared" si="23"/>
        <v>7.9973342219260245E-3</v>
      </c>
      <c r="L60" s="44">
        <f t="shared" si="23"/>
        <v>9.9966677774075306E-4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A58" sqref="A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">
        <v>170</v>
      </c>
      <c r="E5" s="3"/>
      <c r="F5" s="41" t="s">
        <v>1</v>
      </c>
      <c r="G5" s="70">
        <f>'29.07 NSOOBA-KYEBANDO'!G5:H5</f>
        <v>29</v>
      </c>
      <c r="H5" s="71"/>
      <c r="I5" s="14"/>
      <c r="J5" s="2" t="s">
        <v>5</v>
      </c>
      <c r="K5" s="70" t="str">
        <f>'29.07 NSOOBA-KYEBANDO'!K5:L5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NSOOBA-KYEBANDO'!D6:E6</f>
        <v>NSOOBA</v>
      </c>
      <c r="E6" s="71"/>
      <c r="F6" s="2" t="s">
        <v>2</v>
      </c>
      <c r="G6" s="70" t="str">
        <f>'29.07 NSOOBA-KYEBANDO'!G6:H6</f>
        <v>KYEBANDO</v>
      </c>
      <c r="H6" s="71"/>
      <c r="J6" s="2" t="s">
        <v>21</v>
      </c>
      <c r="K6" s="70" t="str">
        <f>'29.07 NSOOBA-KYEBANDO'!K6:L6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107</v>
      </c>
      <c r="D10" s="50">
        <v>26</v>
      </c>
      <c r="E10" s="50">
        <v>7</v>
      </c>
      <c r="F10" s="50">
        <v>48</v>
      </c>
      <c r="G10" s="50">
        <v>0</v>
      </c>
      <c r="H10" s="50">
        <v>0</v>
      </c>
      <c r="I10" s="50">
        <v>6</v>
      </c>
      <c r="J10" s="50">
        <v>0</v>
      </c>
      <c r="K10" s="50">
        <v>0</v>
      </c>
      <c r="L10" s="50">
        <v>0</v>
      </c>
      <c r="M10" s="50">
        <v>111</v>
      </c>
      <c r="N10" s="50">
        <v>0</v>
      </c>
      <c r="O10" s="15">
        <f t="shared" ref="O10:O57" si="0">SUM(C10:L10,N10)</f>
        <v>194</v>
      </c>
      <c r="P10" s="15">
        <f t="shared" ref="P10:P57" si="1">SUM(C10:N10)</f>
        <v>305</v>
      </c>
      <c r="R10" s="1" t="s">
        <v>6</v>
      </c>
      <c r="S10" s="17">
        <f t="shared" ref="S10:AF10" si="2">SUM(C10:C13)</f>
        <v>351</v>
      </c>
      <c r="T10" s="17">
        <f t="shared" si="2"/>
        <v>74</v>
      </c>
      <c r="U10" s="17">
        <f t="shared" si="2"/>
        <v>35</v>
      </c>
      <c r="V10" s="17">
        <f t="shared" si="2"/>
        <v>170</v>
      </c>
      <c r="W10" s="17">
        <f t="shared" si="2"/>
        <v>1</v>
      </c>
      <c r="X10" s="17">
        <f t="shared" si="2"/>
        <v>0</v>
      </c>
      <c r="Y10" s="17">
        <f t="shared" si="2"/>
        <v>12</v>
      </c>
      <c r="Z10" s="17">
        <f t="shared" si="2"/>
        <v>1</v>
      </c>
      <c r="AA10" s="17">
        <f t="shared" si="2"/>
        <v>1</v>
      </c>
      <c r="AB10" s="17">
        <f t="shared" si="2"/>
        <v>1</v>
      </c>
      <c r="AC10" s="17">
        <f t="shared" si="2"/>
        <v>521</v>
      </c>
      <c r="AD10" s="17">
        <f t="shared" si="2"/>
        <v>0</v>
      </c>
      <c r="AE10" s="31">
        <f t="shared" si="2"/>
        <v>646</v>
      </c>
      <c r="AF10" s="31">
        <f t="shared" si="2"/>
        <v>1167</v>
      </c>
    </row>
    <row r="11" spans="2:32" s="6" customFormat="1" ht="23.1" customHeight="1" x14ac:dyDescent="0.25">
      <c r="B11" s="23" t="s">
        <v>38</v>
      </c>
      <c r="C11" s="50">
        <v>83</v>
      </c>
      <c r="D11" s="50">
        <v>10</v>
      </c>
      <c r="E11" s="50">
        <v>8</v>
      </c>
      <c r="F11" s="50">
        <v>34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120</v>
      </c>
      <c r="N11" s="50">
        <v>0</v>
      </c>
      <c r="O11" s="15">
        <f t="shared" si="0"/>
        <v>138</v>
      </c>
      <c r="P11" s="15">
        <f t="shared" si="1"/>
        <v>258</v>
      </c>
      <c r="R11" s="1" t="s">
        <v>7</v>
      </c>
      <c r="S11" s="17">
        <f t="shared" ref="S11:AF11" si="3">SUM(C14:C17)</f>
        <v>248</v>
      </c>
      <c r="T11" s="17">
        <f t="shared" si="3"/>
        <v>40</v>
      </c>
      <c r="U11" s="17">
        <f t="shared" si="3"/>
        <v>23</v>
      </c>
      <c r="V11" s="17">
        <f t="shared" si="3"/>
        <v>147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4</v>
      </c>
      <c r="AA11" s="17">
        <f t="shared" si="3"/>
        <v>1</v>
      </c>
      <c r="AB11" s="17">
        <f t="shared" si="3"/>
        <v>0</v>
      </c>
      <c r="AC11" s="17">
        <f t="shared" si="3"/>
        <v>528</v>
      </c>
      <c r="AD11" s="17">
        <f t="shared" si="3"/>
        <v>0</v>
      </c>
      <c r="AE11" s="31">
        <f t="shared" si="3"/>
        <v>471</v>
      </c>
      <c r="AF11" s="31">
        <f t="shared" si="3"/>
        <v>999</v>
      </c>
    </row>
    <row r="12" spans="2:32" ht="23.1" customHeight="1" x14ac:dyDescent="0.25">
      <c r="B12" s="23" t="s">
        <v>39</v>
      </c>
      <c r="C12" s="50">
        <v>94</v>
      </c>
      <c r="D12" s="50">
        <v>19</v>
      </c>
      <c r="E12" s="50">
        <v>10</v>
      </c>
      <c r="F12" s="50">
        <v>44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143</v>
      </c>
      <c r="N12" s="50">
        <v>0</v>
      </c>
      <c r="O12" s="15">
        <f t="shared" si="0"/>
        <v>169</v>
      </c>
      <c r="P12" s="15">
        <f t="shared" si="1"/>
        <v>312</v>
      </c>
      <c r="R12" s="1" t="s">
        <v>8</v>
      </c>
      <c r="S12" s="17">
        <f t="shared" ref="S12:AF12" si="4">SUM(C18:C21)</f>
        <v>161</v>
      </c>
      <c r="T12" s="17">
        <f t="shared" si="4"/>
        <v>36</v>
      </c>
      <c r="U12" s="17">
        <f t="shared" si="4"/>
        <v>18</v>
      </c>
      <c r="V12" s="17">
        <f t="shared" si="4"/>
        <v>72</v>
      </c>
      <c r="W12" s="17">
        <f t="shared" si="4"/>
        <v>1</v>
      </c>
      <c r="X12" s="17">
        <f t="shared" si="4"/>
        <v>0</v>
      </c>
      <c r="Y12" s="17">
        <f t="shared" si="4"/>
        <v>16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458</v>
      </c>
      <c r="AD12" s="17">
        <f t="shared" si="4"/>
        <v>0</v>
      </c>
      <c r="AE12" s="31">
        <f t="shared" si="4"/>
        <v>305</v>
      </c>
      <c r="AF12" s="31">
        <f t="shared" si="4"/>
        <v>763</v>
      </c>
    </row>
    <row r="13" spans="2:32" ht="23.1" customHeight="1" x14ac:dyDescent="0.25">
      <c r="B13" s="23" t="s">
        <v>40</v>
      </c>
      <c r="C13" s="50">
        <v>67</v>
      </c>
      <c r="D13" s="50">
        <v>19</v>
      </c>
      <c r="E13" s="50">
        <v>10</v>
      </c>
      <c r="F13" s="50">
        <v>44</v>
      </c>
      <c r="G13" s="50">
        <v>0</v>
      </c>
      <c r="H13" s="50">
        <v>0</v>
      </c>
      <c r="I13" s="50">
        <v>4</v>
      </c>
      <c r="J13" s="50">
        <v>1</v>
      </c>
      <c r="K13" s="50">
        <v>0</v>
      </c>
      <c r="L13" s="50">
        <v>0</v>
      </c>
      <c r="M13" s="50">
        <v>147</v>
      </c>
      <c r="N13" s="50">
        <v>0</v>
      </c>
      <c r="O13" s="15">
        <f t="shared" si="0"/>
        <v>145</v>
      </c>
      <c r="P13" s="15">
        <f t="shared" si="1"/>
        <v>292</v>
      </c>
      <c r="R13" s="1" t="s">
        <v>9</v>
      </c>
      <c r="S13" s="17">
        <f t="shared" ref="S13:AF13" si="5">SUM(C22:C25)</f>
        <v>117</v>
      </c>
      <c r="T13" s="17">
        <f t="shared" si="5"/>
        <v>31</v>
      </c>
      <c r="U13" s="17">
        <f t="shared" si="5"/>
        <v>10</v>
      </c>
      <c r="V13" s="17">
        <f t="shared" si="5"/>
        <v>44</v>
      </c>
      <c r="W13" s="17">
        <f t="shared" si="5"/>
        <v>0</v>
      </c>
      <c r="X13" s="17">
        <f t="shared" si="5"/>
        <v>0</v>
      </c>
      <c r="Y13" s="17">
        <f t="shared" si="5"/>
        <v>19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282</v>
      </c>
      <c r="AD13" s="17">
        <f t="shared" si="5"/>
        <v>0</v>
      </c>
      <c r="AE13" s="31">
        <f t="shared" si="5"/>
        <v>226</v>
      </c>
      <c r="AF13" s="31">
        <f t="shared" si="5"/>
        <v>508</v>
      </c>
    </row>
    <row r="14" spans="2:32" ht="23.1" customHeight="1" x14ac:dyDescent="0.25">
      <c r="B14" s="23" t="s">
        <v>41</v>
      </c>
      <c r="C14" s="50">
        <v>63</v>
      </c>
      <c r="D14" s="50">
        <v>12</v>
      </c>
      <c r="E14" s="50">
        <v>6</v>
      </c>
      <c r="F14" s="50">
        <v>41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107</v>
      </c>
      <c r="N14" s="50">
        <v>0</v>
      </c>
      <c r="O14" s="15">
        <f t="shared" si="0"/>
        <v>124</v>
      </c>
      <c r="P14" s="15">
        <f t="shared" si="1"/>
        <v>231</v>
      </c>
      <c r="R14" s="1" t="s">
        <v>10</v>
      </c>
      <c r="S14" s="17">
        <f t="shared" ref="S14:AF14" si="6">SUM(C26:C29)</f>
        <v>102</v>
      </c>
      <c r="T14" s="17">
        <f t="shared" si="6"/>
        <v>23</v>
      </c>
      <c r="U14" s="17">
        <f t="shared" si="6"/>
        <v>7</v>
      </c>
      <c r="V14" s="17">
        <f t="shared" si="6"/>
        <v>22</v>
      </c>
      <c r="W14" s="17">
        <f t="shared" si="6"/>
        <v>0</v>
      </c>
      <c r="X14" s="17">
        <f t="shared" si="6"/>
        <v>0</v>
      </c>
      <c r="Y14" s="17">
        <f t="shared" si="6"/>
        <v>20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199</v>
      </c>
      <c r="AD14" s="17">
        <f t="shared" si="6"/>
        <v>0</v>
      </c>
      <c r="AE14" s="31">
        <f t="shared" si="6"/>
        <v>174</v>
      </c>
      <c r="AF14" s="31">
        <f t="shared" si="6"/>
        <v>373</v>
      </c>
    </row>
    <row r="15" spans="2:32" ht="23.1" customHeight="1" x14ac:dyDescent="0.25">
      <c r="B15" s="23" t="s">
        <v>42</v>
      </c>
      <c r="C15" s="50">
        <v>70</v>
      </c>
      <c r="D15" s="50">
        <v>18</v>
      </c>
      <c r="E15" s="50">
        <v>3</v>
      </c>
      <c r="F15" s="50">
        <v>47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143</v>
      </c>
      <c r="N15" s="50">
        <v>0</v>
      </c>
      <c r="O15" s="15">
        <f t="shared" si="0"/>
        <v>141</v>
      </c>
      <c r="P15" s="15">
        <f t="shared" si="1"/>
        <v>284</v>
      </c>
      <c r="R15" s="1" t="s">
        <v>11</v>
      </c>
      <c r="S15" s="17">
        <f t="shared" ref="S15:AF15" si="7">SUM(C30:C33)</f>
        <v>71</v>
      </c>
      <c r="T15" s="17">
        <f t="shared" si="7"/>
        <v>16</v>
      </c>
      <c r="U15" s="17">
        <f t="shared" si="7"/>
        <v>8</v>
      </c>
      <c r="V15" s="17">
        <f t="shared" si="7"/>
        <v>27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6</v>
      </c>
      <c r="AA15" s="17">
        <f t="shared" si="7"/>
        <v>0</v>
      </c>
      <c r="AB15" s="17">
        <f t="shared" si="7"/>
        <v>0</v>
      </c>
      <c r="AC15" s="17">
        <f t="shared" si="7"/>
        <v>180</v>
      </c>
      <c r="AD15" s="17">
        <f t="shared" si="7"/>
        <v>0</v>
      </c>
      <c r="AE15" s="31">
        <f t="shared" si="7"/>
        <v>139</v>
      </c>
      <c r="AF15" s="31">
        <f t="shared" si="7"/>
        <v>319</v>
      </c>
    </row>
    <row r="16" spans="2:32" ht="23.1" customHeight="1" x14ac:dyDescent="0.25">
      <c r="B16" s="23" t="s">
        <v>43</v>
      </c>
      <c r="C16" s="50">
        <v>64</v>
      </c>
      <c r="D16" s="50">
        <v>5</v>
      </c>
      <c r="E16" s="50">
        <v>6</v>
      </c>
      <c r="F16" s="50">
        <v>44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153</v>
      </c>
      <c r="N16" s="50">
        <v>0</v>
      </c>
      <c r="O16" s="15">
        <f t="shared" si="0"/>
        <v>121</v>
      </c>
      <c r="P16" s="15">
        <f t="shared" si="1"/>
        <v>274</v>
      </c>
      <c r="R16" s="1" t="s">
        <v>12</v>
      </c>
      <c r="S16" s="17">
        <f t="shared" ref="S16:AF16" si="8">SUM(C34:C37)</f>
        <v>71</v>
      </c>
      <c r="T16" s="17">
        <f t="shared" si="8"/>
        <v>13</v>
      </c>
      <c r="U16" s="17">
        <f t="shared" si="8"/>
        <v>6</v>
      </c>
      <c r="V16" s="17">
        <f t="shared" si="8"/>
        <v>17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138</v>
      </c>
      <c r="AD16" s="17">
        <f t="shared" si="8"/>
        <v>0</v>
      </c>
      <c r="AE16" s="31">
        <f t="shared" si="8"/>
        <v>116</v>
      </c>
      <c r="AF16" s="31">
        <f t="shared" si="8"/>
        <v>254</v>
      </c>
    </row>
    <row r="17" spans="2:32" ht="23.1" customHeight="1" x14ac:dyDescent="0.25">
      <c r="B17" s="23" t="s">
        <v>44</v>
      </c>
      <c r="C17" s="50">
        <v>51</v>
      </c>
      <c r="D17" s="50">
        <v>5</v>
      </c>
      <c r="E17" s="50">
        <v>8</v>
      </c>
      <c r="F17" s="50">
        <v>15</v>
      </c>
      <c r="G17" s="50">
        <v>0</v>
      </c>
      <c r="H17" s="50">
        <v>0</v>
      </c>
      <c r="I17" s="50">
        <v>3</v>
      </c>
      <c r="J17" s="50">
        <v>3</v>
      </c>
      <c r="K17" s="50">
        <v>0</v>
      </c>
      <c r="L17" s="50">
        <v>0</v>
      </c>
      <c r="M17" s="50">
        <v>125</v>
      </c>
      <c r="N17" s="50">
        <v>0</v>
      </c>
      <c r="O17" s="15">
        <f t="shared" si="0"/>
        <v>85</v>
      </c>
      <c r="P17" s="15">
        <f t="shared" si="1"/>
        <v>210</v>
      </c>
      <c r="R17" s="1" t="s">
        <v>13</v>
      </c>
      <c r="S17" s="17">
        <f t="shared" ref="S17:AF17" si="9">SUM(C38:C41)</f>
        <v>44</v>
      </c>
      <c r="T17" s="17">
        <f t="shared" si="9"/>
        <v>14</v>
      </c>
      <c r="U17" s="17">
        <f t="shared" si="9"/>
        <v>5</v>
      </c>
      <c r="V17" s="17">
        <f t="shared" si="9"/>
        <v>17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170</v>
      </c>
      <c r="AD17" s="17">
        <f t="shared" si="9"/>
        <v>0</v>
      </c>
      <c r="AE17" s="31">
        <f t="shared" si="9"/>
        <v>92</v>
      </c>
      <c r="AF17" s="31">
        <f t="shared" si="9"/>
        <v>262</v>
      </c>
    </row>
    <row r="18" spans="2:32" ht="23.1" customHeight="1" x14ac:dyDescent="0.25">
      <c r="B18" s="23" t="s">
        <v>45</v>
      </c>
      <c r="C18" s="50">
        <v>36</v>
      </c>
      <c r="D18" s="50">
        <v>7</v>
      </c>
      <c r="E18" s="50">
        <v>4</v>
      </c>
      <c r="F18" s="50">
        <v>20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135</v>
      </c>
      <c r="N18" s="50">
        <v>0</v>
      </c>
      <c r="O18" s="15">
        <f t="shared" si="0"/>
        <v>70</v>
      </c>
      <c r="P18" s="15">
        <f t="shared" si="1"/>
        <v>205</v>
      </c>
      <c r="R18" s="1" t="s">
        <v>14</v>
      </c>
      <c r="S18" s="17">
        <f t="shared" ref="S18:AF18" si="10">SUM(C42:C45)</f>
        <v>59</v>
      </c>
      <c r="T18" s="17">
        <f t="shared" si="10"/>
        <v>23</v>
      </c>
      <c r="U18" s="17">
        <f t="shared" si="10"/>
        <v>10</v>
      </c>
      <c r="V18" s="17">
        <f t="shared" si="10"/>
        <v>21</v>
      </c>
      <c r="W18" s="17">
        <f t="shared" si="10"/>
        <v>2</v>
      </c>
      <c r="X18" s="17">
        <f t="shared" si="10"/>
        <v>0</v>
      </c>
      <c r="Y18" s="17">
        <f t="shared" si="10"/>
        <v>16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121</v>
      </c>
      <c r="AD18" s="17">
        <f t="shared" si="10"/>
        <v>0</v>
      </c>
      <c r="AE18" s="31">
        <f t="shared" si="10"/>
        <v>132</v>
      </c>
      <c r="AF18" s="31">
        <f t="shared" si="10"/>
        <v>253</v>
      </c>
    </row>
    <row r="19" spans="2:32" ht="23.1" customHeight="1" x14ac:dyDescent="0.25">
      <c r="B19" s="23" t="s">
        <v>46</v>
      </c>
      <c r="C19" s="50">
        <v>46</v>
      </c>
      <c r="D19" s="50">
        <v>8</v>
      </c>
      <c r="E19" s="50">
        <v>6</v>
      </c>
      <c r="F19" s="50">
        <v>20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151</v>
      </c>
      <c r="N19" s="50">
        <v>0</v>
      </c>
      <c r="O19" s="15">
        <f t="shared" si="0"/>
        <v>83</v>
      </c>
      <c r="P19" s="15">
        <f t="shared" si="1"/>
        <v>234</v>
      </c>
      <c r="R19" s="1" t="s">
        <v>15</v>
      </c>
      <c r="S19" s="17">
        <f t="shared" ref="S19:AF19" si="11">SUM(C46:C49)</f>
        <v>78</v>
      </c>
      <c r="T19" s="17">
        <f t="shared" si="11"/>
        <v>21</v>
      </c>
      <c r="U19" s="17">
        <f t="shared" si="11"/>
        <v>11</v>
      </c>
      <c r="V19" s="17">
        <f t="shared" si="11"/>
        <v>17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192</v>
      </c>
      <c r="AD19" s="17">
        <f t="shared" si="11"/>
        <v>0</v>
      </c>
      <c r="AE19" s="31">
        <f t="shared" si="11"/>
        <v>143</v>
      </c>
      <c r="AF19" s="31">
        <f t="shared" si="11"/>
        <v>335</v>
      </c>
    </row>
    <row r="20" spans="2:32" ht="23.1" customHeight="1" x14ac:dyDescent="0.25">
      <c r="B20" s="23" t="s">
        <v>47</v>
      </c>
      <c r="C20" s="50">
        <v>43</v>
      </c>
      <c r="D20" s="50">
        <v>10</v>
      </c>
      <c r="E20" s="50">
        <v>4</v>
      </c>
      <c r="F20" s="50">
        <v>14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91</v>
      </c>
      <c r="N20" s="50">
        <v>0</v>
      </c>
      <c r="O20" s="15">
        <f t="shared" si="0"/>
        <v>74</v>
      </c>
      <c r="P20" s="15">
        <f t="shared" si="1"/>
        <v>165</v>
      </c>
      <c r="R20" s="1" t="s">
        <v>16</v>
      </c>
      <c r="S20" s="17">
        <f t="shared" ref="S20:AF20" si="12">SUM(C50:C53)</f>
        <v>61</v>
      </c>
      <c r="T20" s="17">
        <f t="shared" si="12"/>
        <v>16</v>
      </c>
      <c r="U20" s="17">
        <f t="shared" si="12"/>
        <v>9</v>
      </c>
      <c r="V20" s="17">
        <f t="shared" si="12"/>
        <v>21</v>
      </c>
      <c r="W20" s="17">
        <f t="shared" si="12"/>
        <v>1</v>
      </c>
      <c r="X20" s="17">
        <f t="shared" si="12"/>
        <v>0</v>
      </c>
      <c r="Y20" s="17">
        <f t="shared" si="12"/>
        <v>15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204</v>
      </c>
      <c r="AD20" s="17">
        <f t="shared" si="12"/>
        <v>0</v>
      </c>
      <c r="AE20" s="31">
        <f t="shared" si="12"/>
        <v>123</v>
      </c>
      <c r="AF20" s="31">
        <f t="shared" si="12"/>
        <v>327</v>
      </c>
    </row>
    <row r="21" spans="2:32" ht="23.1" customHeight="1" x14ac:dyDescent="0.25">
      <c r="B21" s="23" t="s">
        <v>48</v>
      </c>
      <c r="C21" s="50">
        <v>36</v>
      </c>
      <c r="D21" s="50">
        <v>11</v>
      </c>
      <c r="E21" s="50">
        <v>4</v>
      </c>
      <c r="F21" s="50">
        <v>18</v>
      </c>
      <c r="G21" s="50">
        <v>1</v>
      </c>
      <c r="H21" s="50">
        <v>0</v>
      </c>
      <c r="I21" s="50">
        <v>8</v>
      </c>
      <c r="J21" s="50">
        <v>0</v>
      </c>
      <c r="K21" s="50">
        <v>0</v>
      </c>
      <c r="L21" s="50">
        <v>0</v>
      </c>
      <c r="M21" s="50">
        <v>81</v>
      </c>
      <c r="N21" s="50">
        <v>0</v>
      </c>
      <c r="O21" s="15">
        <f t="shared" si="0"/>
        <v>78</v>
      </c>
      <c r="P21" s="15">
        <f t="shared" si="1"/>
        <v>159</v>
      </c>
      <c r="R21" s="36" t="s">
        <v>20</v>
      </c>
      <c r="S21" s="34">
        <f t="shared" ref="S21:AF21" si="13">SUM(C54:C57)</f>
        <v>45</v>
      </c>
      <c r="T21" s="17">
        <f t="shared" si="13"/>
        <v>11</v>
      </c>
      <c r="U21" s="17">
        <f t="shared" si="13"/>
        <v>6</v>
      </c>
      <c r="V21" s="17">
        <f t="shared" si="13"/>
        <v>21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239</v>
      </c>
      <c r="AD21" s="17">
        <f t="shared" si="13"/>
        <v>0</v>
      </c>
      <c r="AE21" s="31">
        <f t="shared" si="13"/>
        <v>92</v>
      </c>
      <c r="AF21" s="31">
        <f t="shared" si="13"/>
        <v>331</v>
      </c>
    </row>
    <row r="22" spans="2:32" ht="23.1" customHeight="1" x14ac:dyDescent="0.25">
      <c r="B22" s="23" t="s">
        <v>49</v>
      </c>
      <c r="C22" s="50">
        <v>31</v>
      </c>
      <c r="D22" s="50">
        <v>7</v>
      </c>
      <c r="E22" s="50">
        <v>0</v>
      </c>
      <c r="F22" s="50">
        <v>14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0</v>
      </c>
      <c r="M22" s="50">
        <v>74</v>
      </c>
      <c r="N22" s="50">
        <v>0</v>
      </c>
      <c r="O22" s="15">
        <f t="shared" si="0"/>
        <v>57</v>
      </c>
      <c r="P22" s="15">
        <f t="shared" si="1"/>
        <v>131</v>
      </c>
      <c r="R22" s="38" t="s">
        <v>90</v>
      </c>
      <c r="S22" s="39">
        <f>MAX(S10:S12)</f>
        <v>351</v>
      </c>
      <c r="T22" s="39">
        <f t="shared" ref="T22:AF22" si="14">MAX(T10:T12)</f>
        <v>74</v>
      </c>
      <c r="U22" s="39">
        <f t="shared" si="14"/>
        <v>35</v>
      </c>
      <c r="V22" s="39">
        <f t="shared" si="14"/>
        <v>170</v>
      </c>
      <c r="W22" s="39">
        <f t="shared" si="14"/>
        <v>1</v>
      </c>
      <c r="X22" s="39">
        <f t="shared" si="14"/>
        <v>0</v>
      </c>
      <c r="Y22" s="39">
        <f t="shared" si="14"/>
        <v>16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528</v>
      </c>
      <c r="AD22" s="39">
        <f t="shared" si="14"/>
        <v>0</v>
      </c>
      <c r="AE22" s="40">
        <f t="shared" si="14"/>
        <v>646</v>
      </c>
      <c r="AF22" s="40">
        <f t="shared" si="14"/>
        <v>1167</v>
      </c>
    </row>
    <row r="23" spans="2:32" ht="23.1" customHeight="1" x14ac:dyDescent="0.25">
      <c r="B23" s="23" t="s">
        <v>50</v>
      </c>
      <c r="C23" s="50">
        <v>31</v>
      </c>
      <c r="D23" s="50">
        <v>4</v>
      </c>
      <c r="E23" s="50">
        <v>0</v>
      </c>
      <c r="F23" s="50">
        <v>11</v>
      </c>
      <c r="G23" s="50">
        <v>0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57</v>
      </c>
      <c r="N23" s="50">
        <v>0</v>
      </c>
      <c r="O23" s="15">
        <f t="shared" si="0"/>
        <v>52</v>
      </c>
      <c r="P23" s="15">
        <f t="shared" si="1"/>
        <v>109</v>
      </c>
      <c r="R23" s="38" t="s">
        <v>91</v>
      </c>
      <c r="S23" s="39">
        <f>MAX(S13:S18)</f>
        <v>117</v>
      </c>
      <c r="T23" s="39">
        <f t="shared" ref="T23:AF23" si="15">MAX(T13:T18)</f>
        <v>31</v>
      </c>
      <c r="U23" s="39">
        <f t="shared" si="15"/>
        <v>10</v>
      </c>
      <c r="V23" s="39">
        <f t="shared" si="15"/>
        <v>44</v>
      </c>
      <c r="W23" s="39">
        <f t="shared" si="15"/>
        <v>2</v>
      </c>
      <c r="X23" s="39">
        <f t="shared" si="15"/>
        <v>0</v>
      </c>
      <c r="Y23" s="39">
        <f t="shared" si="15"/>
        <v>20</v>
      </c>
      <c r="Z23" s="39">
        <f t="shared" si="15"/>
        <v>6</v>
      </c>
      <c r="AA23" s="39">
        <f t="shared" si="15"/>
        <v>0</v>
      </c>
      <c r="AB23" s="39">
        <f t="shared" si="15"/>
        <v>0</v>
      </c>
      <c r="AC23" s="39">
        <f t="shared" si="15"/>
        <v>282</v>
      </c>
      <c r="AD23" s="39">
        <f t="shared" si="15"/>
        <v>0</v>
      </c>
      <c r="AE23" s="40">
        <f t="shared" si="15"/>
        <v>226</v>
      </c>
      <c r="AF23" s="40">
        <f t="shared" si="15"/>
        <v>508</v>
      </c>
    </row>
    <row r="24" spans="2:32" ht="23.1" customHeight="1" x14ac:dyDescent="0.25">
      <c r="B24" s="23" t="s">
        <v>51</v>
      </c>
      <c r="C24" s="50">
        <v>37</v>
      </c>
      <c r="D24" s="50">
        <v>11</v>
      </c>
      <c r="E24" s="50">
        <v>5</v>
      </c>
      <c r="F24" s="50">
        <v>9</v>
      </c>
      <c r="G24" s="50">
        <v>0</v>
      </c>
      <c r="H24" s="50">
        <v>0</v>
      </c>
      <c r="I24" s="50">
        <v>10</v>
      </c>
      <c r="J24" s="50">
        <v>0</v>
      </c>
      <c r="K24" s="50">
        <v>0</v>
      </c>
      <c r="L24" s="50">
        <v>0</v>
      </c>
      <c r="M24" s="50">
        <v>90</v>
      </c>
      <c r="N24" s="50">
        <v>0</v>
      </c>
      <c r="O24" s="15">
        <f t="shared" si="0"/>
        <v>72</v>
      </c>
      <c r="P24" s="15">
        <f t="shared" si="1"/>
        <v>162</v>
      </c>
      <c r="R24" s="38" t="s">
        <v>92</v>
      </c>
      <c r="S24" s="39">
        <f>MAX(S19:S21)</f>
        <v>78</v>
      </c>
      <c r="T24" s="39">
        <f t="shared" ref="T24:AF24" si="16">MAX(T19:T21)</f>
        <v>21</v>
      </c>
      <c r="U24" s="39">
        <f t="shared" si="16"/>
        <v>11</v>
      </c>
      <c r="V24" s="39">
        <f t="shared" si="16"/>
        <v>21</v>
      </c>
      <c r="W24" s="39">
        <f t="shared" si="16"/>
        <v>1</v>
      </c>
      <c r="X24" s="39">
        <f t="shared" si="16"/>
        <v>0</v>
      </c>
      <c r="Y24" s="39">
        <f t="shared" si="16"/>
        <v>15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239</v>
      </c>
      <c r="AD24" s="39">
        <f t="shared" si="16"/>
        <v>0</v>
      </c>
      <c r="AE24" s="40">
        <f t="shared" si="16"/>
        <v>143</v>
      </c>
      <c r="AF24" s="40">
        <f t="shared" si="16"/>
        <v>335</v>
      </c>
    </row>
    <row r="25" spans="2:32" ht="23.1" customHeight="1" x14ac:dyDescent="0.25">
      <c r="B25" s="23" t="s">
        <v>52</v>
      </c>
      <c r="C25" s="50">
        <v>18</v>
      </c>
      <c r="D25" s="50">
        <v>9</v>
      </c>
      <c r="E25" s="50">
        <v>5</v>
      </c>
      <c r="F25" s="50">
        <v>10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61</v>
      </c>
      <c r="N25" s="50">
        <v>0</v>
      </c>
      <c r="O25" s="15">
        <f t="shared" si="0"/>
        <v>45</v>
      </c>
      <c r="P25" s="15">
        <f t="shared" si="1"/>
        <v>106</v>
      </c>
      <c r="R25" s="37" t="s">
        <v>85</v>
      </c>
      <c r="S25" s="35">
        <f t="shared" ref="S25:AF25" si="17">SUM(S10:S12)</f>
        <v>760</v>
      </c>
      <c r="T25" s="16">
        <f t="shared" si="17"/>
        <v>150</v>
      </c>
      <c r="U25" s="16">
        <f t="shared" si="17"/>
        <v>76</v>
      </c>
      <c r="V25" s="16">
        <f t="shared" si="17"/>
        <v>389</v>
      </c>
      <c r="W25" s="16">
        <f t="shared" si="17"/>
        <v>2</v>
      </c>
      <c r="X25" s="16">
        <f t="shared" si="17"/>
        <v>0</v>
      </c>
      <c r="Y25" s="16">
        <f t="shared" si="17"/>
        <v>36</v>
      </c>
      <c r="Z25" s="16">
        <f t="shared" si="17"/>
        <v>6</v>
      </c>
      <c r="AA25" s="16">
        <f t="shared" si="17"/>
        <v>2</v>
      </c>
      <c r="AB25" s="16">
        <f t="shared" si="17"/>
        <v>1</v>
      </c>
      <c r="AC25" s="16">
        <f t="shared" si="17"/>
        <v>1507</v>
      </c>
      <c r="AD25" s="16">
        <f t="shared" si="17"/>
        <v>0</v>
      </c>
      <c r="AE25" s="32">
        <f t="shared" si="17"/>
        <v>1422</v>
      </c>
      <c r="AF25" s="32">
        <f t="shared" si="17"/>
        <v>2929</v>
      </c>
    </row>
    <row r="26" spans="2:32" ht="23.1" customHeight="1" x14ac:dyDescent="0.25">
      <c r="B26" s="23" t="s">
        <v>53</v>
      </c>
      <c r="C26" s="50">
        <v>27</v>
      </c>
      <c r="D26" s="50">
        <v>6</v>
      </c>
      <c r="E26" s="50">
        <v>0</v>
      </c>
      <c r="F26" s="50">
        <v>6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58</v>
      </c>
      <c r="N26" s="50">
        <v>0</v>
      </c>
      <c r="O26" s="15">
        <f t="shared" si="0"/>
        <v>43</v>
      </c>
      <c r="P26" s="15">
        <f t="shared" si="1"/>
        <v>101</v>
      </c>
      <c r="R26" s="28" t="s">
        <v>86</v>
      </c>
      <c r="S26" s="16">
        <f t="shared" ref="S26:AF26" si="18">SUM(S13:S18)</f>
        <v>464</v>
      </c>
      <c r="T26" s="16">
        <f t="shared" si="18"/>
        <v>120</v>
      </c>
      <c r="U26" s="16">
        <f t="shared" si="18"/>
        <v>46</v>
      </c>
      <c r="V26" s="16">
        <f t="shared" si="18"/>
        <v>148</v>
      </c>
      <c r="W26" s="16">
        <f t="shared" si="18"/>
        <v>3</v>
      </c>
      <c r="X26" s="16">
        <f t="shared" si="18"/>
        <v>0</v>
      </c>
      <c r="Y26" s="16">
        <f t="shared" si="18"/>
        <v>86</v>
      </c>
      <c r="Z26" s="16">
        <f t="shared" si="18"/>
        <v>12</v>
      </c>
      <c r="AA26" s="16">
        <f t="shared" si="18"/>
        <v>0</v>
      </c>
      <c r="AB26" s="16">
        <f t="shared" si="18"/>
        <v>0</v>
      </c>
      <c r="AC26" s="16">
        <f t="shared" si="18"/>
        <v>1090</v>
      </c>
      <c r="AD26" s="16">
        <f t="shared" si="18"/>
        <v>0</v>
      </c>
      <c r="AE26" s="32">
        <f t="shared" si="18"/>
        <v>879</v>
      </c>
      <c r="AF26" s="32">
        <f t="shared" si="18"/>
        <v>1969</v>
      </c>
    </row>
    <row r="27" spans="2:32" ht="23.1" customHeight="1" x14ac:dyDescent="0.25">
      <c r="B27" s="23" t="s">
        <v>54</v>
      </c>
      <c r="C27" s="50">
        <v>26</v>
      </c>
      <c r="D27" s="50">
        <v>5</v>
      </c>
      <c r="E27" s="50">
        <v>2</v>
      </c>
      <c r="F27" s="50">
        <v>3</v>
      </c>
      <c r="G27" s="50">
        <v>0</v>
      </c>
      <c r="H27" s="50">
        <v>0</v>
      </c>
      <c r="I27" s="50">
        <v>8</v>
      </c>
      <c r="J27" s="50">
        <v>0</v>
      </c>
      <c r="K27" s="50">
        <v>0</v>
      </c>
      <c r="L27" s="50">
        <v>0</v>
      </c>
      <c r="M27" s="50">
        <v>47</v>
      </c>
      <c r="N27" s="50">
        <v>0</v>
      </c>
      <c r="O27" s="15">
        <f t="shared" si="0"/>
        <v>44</v>
      </c>
      <c r="P27" s="15">
        <f t="shared" si="1"/>
        <v>91</v>
      </c>
      <c r="R27" s="29" t="s">
        <v>87</v>
      </c>
      <c r="S27" s="16">
        <f t="shared" ref="S27:AF27" si="19">SUM(S19:S21)</f>
        <v>184</v>
      </c>
      <c r="T27" s="16">
        <f t="shared" si="19"/>
        <v>48</v>
      </c>
      <c r="U27" s="16">
        <f t="shared" si="19"/>
        <v>26</v>
      </c>
      <c r="V27" s="16">
        <f t="shared" si="19"/>
        <v>59</v>
      </c>
      <c r="W27" s="16">
        <f t="shared" si="19"/>
        <v>2</v>
      </c>
      <c r="X27" s="16">
        <f t="shared" si="19"/>
        <v>0</v>
      </c>
      <c r="Y27" s="16">
        <f t="shared" si="19"/>
        <v>36</v>
      </c>
      <c r="Z27" s="16">
        <f t="shared" si="19"/>
        <v>2</v>
      </c>
      <c r="AA27" s="16">
        <f t="shared" si="19"/>
        <v>1</v>
      </c>
      <c r="AB27" s="16">
        <f t="shared" si="19"/>
        <v>0</v>
      </c>
      <c r="AC27" s="16">
        <f t="shared" si="19"/>
        <v>635</v>
      </c>
      <c r="AD27" s="16">
        <f t="shared" si="19"/>
        <v>0</v>
      </c>
      <c r="AE27" s="32">
        <f t="shared" si="19"/>
        <v>358</v>
      </c>
      <c r="AF27" s="32">
        <f t="shared" si="19"/>
        <v>993</v>
      </c>
    </row>
    <row r="28" spans="2:32" ht="23.1" customHeight="1" x14ac:dyDescent="0.25">
      <c r="B28" s="23" t="s">
        <v>55</v>
      </c>
      <c r="C28" s="50">
        <v>24</v>
      </c>
      <c r="D28" s="50">
        <v>4</v>
      </c>
      <c r="E28" s="50">
        <v>1</v>
      </c>
      <c r="F28" s="50">
        <v>6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56</v>
      </c>
      <c r="N28" s="50">
        <v>0</v>
      </c>
      <c r="O28" s="15">
        <f t="shared" si="0"/>
        <v>38</v>
      </c>
      <c r="P28" s="15">
        <f t="shared" si="1"/>
        <v>94</v>
      </c>
      <c r="R28" s="5" t="s">
        <v>17</v>
      </c>
      <c r="S28" s="16">
        <f t="shared" ref="S28:AF28" si="20">SUM(S10:S21)</f>
        <v>1408</v>
      </c>
      <c r="T28" s="16">
        <f t="shared" si="20"/>
        <v>318</v>
      </c>
      <c r="U28" s="16">
        <f t="shared" si="20"/>
        <v>148</v>
      </c>
      <c r="V28" s="16">
        <f t="shared" si="20"/>
        <v>596</v>
      </c>
      <c r="W28" s="16">
        <f t="shared" si="20"/>
        <v>7</v>
      </c>
      <c r="X28" s="16">
        <f t="shared" si="20"/>
        <v>0</v>
      </c>
      <c r="Y28" s="16">
        <f t="shared" si="20"/>
        <v>158</v>
      </c>
      <c r="Z28" s="16">
        <f t="shared" si="20"/>
        <v>20</v>
      </c>
      <c r="AA28" s="16">
        <f t="shared" si="20"/>
        <v>3</v>
      </c>
      <c r="AB28" s="16">
        <f t="shared" si="20"/>
        <v>1</v>
      </c>
      <c r="AC28" s="16">
        <f t="shared" si="20"/>
        <v>3232</v>
      </c>
      <c r="AD28" s="16">
        <f t="shared" si="20"/>
        <v>0</v>
      </c>
      <c r="AE28" s="32">
        <f t="shared" si="20"/>
        <v>2659</v>
      </c>
      <c r="AF28" s="32">
        <f t="shared" si="20"/>
        <v>5891</v>
      </c>
    </row>
    <row r="29" spans="2:32" ht="23.1" customHeight="1" x14ac:dyDescent="0.25">
      <c r="B29" s="23" t="s">
        <v>56</v>
      </c>
      <c r="C29" s="50">
        <v>25</v>
      </c>
      <c r="D29" s="50">
        <v>8</v>
      </c>
      <c r="E29" s="50">
        <v>4</v>
      </c>
      <c r="F29" s="50">
        <v>7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0</v>
      </c>
      <c r="M29" s="50">
        <v>38</v>
      </c>
      <c r="N29" s="50">
        <v>0</v>
      </c>
      <c r="O29" s="15">
        <f t="shared" si="0"/>
        <v>49</v>
      </c>
      <c r="P29" s="15">
        <f t="shared" si="1"/>
        <v>87</v>
      </c>
      <c r="R29"/>
      <c r="S29" s="20"/>
      <c r="T29" s="19"/>
    </row>
    <row r="30" spans="2:32" ht="23.1" customHeight="1" x14ac:dyDescent="0.25">
      <c r="B30" s="23" t="s">
        <v>57</v>
      </c>
      <c r="C30" s="50">
        <v>17</v>
      </c>
      <c r="D30" s="50">
        <v>6</v>
      </c>
      <c r="E30" s="50">
        <v>2</v>
      </c>
      <c r="F30" s="50">
        <v>6</v>
      </c>
      <c r="G30" s="50">
        <v>0</v>
      </c>
      <c r="H30" s="50">
        <v>0</v>
      </c>
      <c r="I30" s="50">
        <v>2</v>
      </c>
      <c r="J30" s="50">
        <v>3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36</v>
      </c>
      <c r="P30" s="15">
        <f t="shared" si="1"/>
        <v>71</v>
      </c>
    </row>
    <row r="31" spans="2:32" ht="23.1" customHeight="1" x14ac:dyDescent="0.25">
      <c r="B31" s="24" t="s">
        <v>58</v>
      </c>
      <c r="C31" s="50">
        <v>21</v>
      </c>
      <c r="D31" s="50">
        <v>5</v>
      </c>
      <c r="E31" s="50">
        <v>0</v>
      </c>
      <c r="F31" s="50">
        <v>6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45</v>
      </c>
      <c r="N31" s="50">
        <v>0</v>
      </c>
      <c r="O31" s="15">
        <f t="shared" si="0"/>
        <v>33</v>
      </c>
      <c r="P31" s="15">
        <f t="shared" si="1"/>
        <v>78</v>
      </c>
    </row>
    <row r="32" spans="2:32" ht="23.1" customHeight="1" x14ac:dyDescent="0.25">
      <c r="B32" s="24" t="s">
        <v>59</v>
      </c>
      <c r="C32" s="50">
        <v>11</v>
      </c>
      <c r="D32" s="50">
        <v>4</v>
      </c>
      <c r="E32" s="50">
        <v>5</v>
      </c>
      <c r="F32" s="50">
        <v>8</v>
      </c>
      <c r="G32" s="50">
        <v>0</v>
      </c>
      <c r="H32" s="50">
        <v>0</v>
      </c>
      <c r="I32" s="50">
        <v>2</v>
      </c>
      <c r="J32" s="50">
        <v>3</v>
      </c>
      <c r="K32" s="50">
        <v>0</v>
      </c>
      <c r="L32" s="50">
        <v>0</v>
      </c>
      <c r="M32" s="50">
        <v>59</v>
      </c>
      <c r="N32" s="50">
        <v>0</v>
      </c>
      <c r="O32" s="15">
        <f t="shared" si="0"/>
        <v>33</v>
      </c>
      <c r="P32" s="15">
        <f t="shared" si="1"/>
        <v>92</v>
      </c>
    </row>
    <row r="33" spans="2:20" ht="23.1" customHeight="1" x14ac:dyDescent="0.25">
      <c r="B33" s="23" t="s">
        <v>60</v>
      </c>
      <c r="C33" s="50">
        <v>22</v>
      </c>
      <c r="D33" s="50">
        <v>1</v>
      </c>
      <c r="E33" s="50">
        <v>1</v>
      </c>
      <c r="F33" s="50">
        <v>7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41</v>
      </c>
      <c r="N33" s="50">
        <v>0</v>
      </c>
      <c r="O33" s="15">
        <f t="shared" si="0"/>
        <v>37</v>
      </c>
      <c r="P33" s="15">
        <f t="shared" si="1"/>
        <v>78</v>
      </c>
    </row>
    <row r="34" spans="2:20" ht="23.1" customHeight="1" x14ac:dyDescent="0.25">
      <c r="B34" s="24" t="s">
        <v>61</v>
      </c>
      <c r="C34" s="50">
        <v>24</v>
      </c>
      <c r="D34" s="50">
        <v>3</v>
      </c>
      <c r="E34" s="50">
        <v>1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45</v>
      </c>
      <c r="N34" s="50">
        <v>0</v>
      </c>
      <c r="O34" s="15">
        <f t="shared" si="0"/>
        <v>33</v>
      </c>
      <c r="P34" s="15">
        <f t="shared" si="1"/>
        <v>78</v>
      </c>
    </row>
    <row r="35" spans="2:20" ht="23.1" customHeight="1" x14ac:dyDescent="0.25">
      <c r="B35" s="24" t="s">
        <v>62</v>
      </c>
      <c r="C35" s="50">
        <v>16</v>
      </c>
      <c r="D35" s="50">
        <v>3</v>
      </c>
      <c r="E35" s="50">
        <v>1</v>
      </c>
      <c r="F35" s="50">
        <v>5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26</v>
      </c>
      <c r="N35" s="50">
        <v>0</v>
      </c>
      <c r="O35" s="15">
        <f t="shared" si="0"/>
        <v>29</v>
      </c>
      <c r="P35" s="15">
        <f t="shared" si="1"/>
        <v>55</v>
      </c>
    </row>
    <row r="36" spans="2:20" ht="23.1" customHeight="1" x14ac:dyDescent="0.25">
      <c r="B36" s="24" t="s">
        <v>63</v>
      </c>
      <c r="C36" s="50">
        <v>13</v>
      </c>
      <c r="D36" s="50">
        <v>2</v>
      </c>
      <c r="E36" s="50">
        <v>1</v>
      </c>
      <c r="F36" s="50">
        <v>6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42</v>
      </c>
      <c r="N36" s="50">
        <v>0</v>
      </c>
      <c r="O36" s="15">
        <f t="shared" si="0"/>
        <v>22</v>
      </c>
      <c r="P36" s="15">
        <f t="shared" si="1"/>
        <v>64</v>
      </c>
    </row>
    <row r="37" spans="2:20" ht="23.1" customHeight="1" x14ac:dyDescent="0.25">
      <c r="B37" s="23" t="s">
        <v>64</v>
      </c>
      <c r="C37" s="50">
        <v>18</v>
      </c>
      <c r="D37" s="50">
        <v>5</v>
      </c>
      <c r="E37" s="50">
        <v>3</v>
      </c>
      <c r="F37" s="50">
        <v>3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32</v>
      </c>
      <c r="P37" s="15">
        <f t="shared" si="1"/>
        <v>57</v>
      </c>
    </row>
    <row r="38" spans="2:20" ht="23.1" customHeight="1" x14ac:dyDescent="0.25">
      <c r="B38" s="24" t="s">
        <v>65</v>
      </c>
      <c r="C38" s="50">
        <v>16</v>
      </c>
      <c r="D38" s="50">
        <v>3</v>
      </c>
      <c r="E38" s="50">
        <v>2</v>
      </c>
      <c r="F38" s="50">
        <v>4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34</v>
      </c>
      <c r="N38" s="50">
        <v>0</v>
      </c>
      <c r="O38" s="15">
        <f t="shared" si="0"/>
        <v>29</v>
      </c>
      <c r="P38" s="15">
        <f t="shared" si="1"/>
        <v>63</v>
      </c>
    </row>
    <row r="39" spans="2:20" ht="23.1" customHeight="1" x14ac:dyDescent="0.25">
      <c r="B39" s="24" t="s">
        <v>66</v>
      </c>
      <c r="C39" s="50">
        <v>11</v>
      </c>
      <c r="D39" s="50">
        <v>5</v>
      </c>
      <c r="E39" s="50">
        <v>2</v>
      </c>
      <c r="F39" s="50">
        <v>5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25</v>
      </c>
      <c r="P39" s="15">
        <f t="shared" si="1"/>
        <v>60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0</v>
      </c>
      <c r="F40" s="50">
        <v>2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8</v>
      </c>
      <c r="P40" s="15">
        <f t="shared" si="1"/>
        <v>63</v>
      </c>
    </row>
    <row r="41" spans="2:20" ht="23.1" customHeight="1" x14ac:dyDescent="0.25">
      <c r="B41" s="23" t="s">
        <v>68</v>
      </c>
      <c r="C41" s="50">
        <v>13</v>
      </c>
      <c r="D41" s="50">
        <v>6</v>
      </c>
      <c r="E41" s="50">
        <v>1</v>
      </c>
      <c r="F41" s="50">
        <v>6</v>
      </c>
      <c r="G41" s="50">
        <v>0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46</v>
      </c>
      <c r="N41" s="50">
        <v>0</v>
      </c>
      <c r="O41" s="15">
        <f t="shared" si="0"/>
        <v>30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14</v>
      </c>
      <c r="D42" s="50">
        <v>9</v>
      </c>
      <c r="E42" s="50">
        <v>2</v>
      </c>
      <c r="F42" s="50">
        <v>7</v>
      </c>
      <c r="G42" s="50">
        <v>2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39</v>
      </c>
      <c r="P42" s="15">
        <f t="shared" si="1"/>
        <v>73</v>
      </c>
    </row>
    <row r="43" spans="2:20" ht="23.1" customHeight="1" x14ac:dyDescent="0.25">
      <c r="B43" s="23" t="s">
        <v>70</v>
      </c>
      <c r="C43" s="50">
        <v>13</v>
      </c>
      <c r="D43" s="50">
        <v>5</v>
      </c>
      <c r="E43" s="50">
        <v>3</v>
      </c>
      <c r="F43" s="50">
        <v>6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27</v>
      </c>
      <c r="N43" s="50">
        <v>0</v>
      </c>
      <c r="O43" s="15">
        <f t="shared" si="0"/>
        <v>31</v>
      </c>
      <c r="P43" s="15">
        <f t="shared" si="1"/>
        <v>58</v>
      </c>
    </row>
    <row r="44" spans="2:20" ht="23.1" customHeight="1" x14ac:dyDescent="0.25">
      <c r="B44" s="25" t="s">
        <v>71</v>
      </c>
      <c r="C44" s="50">
        <v>13</v>
      </c>
      <c r="D44" s="50">
        <v>7</v>
      </c>
      <c r="E44" s="50">
        <v>5</v>
      </c>
      <c r="F44" s="50">
        <v>4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30</v>
      </c>
      <c r="N44" s="50">
        <v>0</v>
      </c>
      <c r="O44" s="15">
        <f t="shared" si="0"/>
        <v>31</v>
      </c>
      <c r="P44" s="15">
        <f t="shared" si="1"/>
        <v>61</v>
      </c>
    </row>
    <row r="45" spans="2:20" ht="23.1" customHeight="1" x14ac:dyDescent="0.25">
      <c r="B45" s="23" t="s">
        <v>72</v>
      </c>
      <c r="C45" s="50">
        <v>19</v>
      </c>
      <c r="D45" s="50">
        <v>2</v>
      </c>
      <c r="E45" s="50">
        <v>0</v>
      </c>
      <c r="F45" s="50">
        <v>4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31</v>
      </c>
      <c r="P45" s="15">
        <f t="shared" si="1"/>
        <v>61</v>
      </c>
    </row>
    <row r="46" spans="2:20" ht="23.1" customHeight="1" x14ac:dyDescent="0.25">
      <c r="B46" s="24" t="s">
        <v>73</v>
      </c>
      <c r="C46" s="50">
        <v>11</v>
      </c>
      <c r="D46" s="50">
        <v>3</v>
      </c>
      <c r="E46" s="50">
        <v>0</v>
      </c>
      <c r="F46" s="50">
        <v>2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41</v>
      </c>
      <c r="N46" s="50">
        <v>0</v>
      </c>
      <c r="O46" s="15">
        <f t="shared" si="0"/>
        <v>20</v>
      </c>
      <c r="P46" s="15">
        <f t="shared" si="1"/>
        <v>61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5</v>
      </c>
      <c r="E47" s="50">
        <v>4</v>
      </c>
      <c r="F47" s="50">
        <v>5</v>
      </c>
      <c r="G47" s="50">
        <v>0</v>
      </c>
      <c r="H47" s="50">
        <v>0</v>
      </c>
      <c r="I47" s="50">
        <v>8</v>
      </c>
      <c r="J47" s="50">
        <v>0</v>
      </c>
      <c r="K47" s="50">
        <v>0</v>
      </c>
      <c r="L47" s="50">
        <v>0</v>
      </c>
      <c r="M47" s="50">
        <v>49</v>
      </c>
      <c r="N47" s="50">
        <v>0</v>
      </c>
      <c r="O47" s="15">
        <f t="shared" si="0"/>
        <v>42</v>
      </c>
      <c r="P47" s="15">
        <f t="shared" si="1"/>
        <v>91</v>
      </c>
      <c r="R47" s="8"/>
      <c r="T47"/>
    </row>
    <row r="48" spans="2:20" ht="23.1" customHeight="1" x14ac:dyDescent="0.25">
      <c r="B48" s="24" t="s">
        <v>75</v>
      </c>
      <c r="C48" s="50">
        <v>27</v>
      </c>
      <c r="D48" s="50">
        <v>6</v>
      </c>
      <c r="E48" s="50">
        <v>3</v>
      </c>
      <c r="F48" s="50">
        <v>6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45</v>
      </c>
      <c r="P48" s="15">
        <f t="shared" si="1"/>
        <v>85</v>
      </c>
      <c r="R48" s="8"/>
      <c r="T48"/>
    </row>
    <row r="49" spans="2:20" ht="23.1" customHeight="1" x14ac:dyDescent="0.25">
      <c r="B49" s="23" t="s">
        <v>76</v>
      </c>
      <c r="C49" s="50">
        <v>20</v>
      </c>
      <c r="D49" s="50">
        <v>7</v>
      </c>
      <c r="E49" s="50">
        <v>4</v>
      </c>
      <c r="F49" s="50">
        <v>4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62</v>
      </c>
      <c r="N49" s="50">
        <v>0</v>
      </c>
      <c r="O49" s="15">
        <f t="shared" si="0"/>
        <v>36</v>
      </c>
      <c r="P49" s="15">
        <f t="shared" si="1"/>
        <v>98</v>
      </c>
      <c r="R49" s="8"/>
      <c r="T49"/>
    </row>
    <row r="50" spans="2:20" ht="23.1" customHeight="1" x14ac:dyDescent="0.25">
      <c r="B50" s="24" t="s">
        <v>77</v>
      </c>
      <c r="C50" s="50">
        <v>23</v>
      </c>
      <c r="D50" s="50">
        <v>4</v>
      </c>
      <c r="E50" s="50">
        <v>3</v>
      </c>
      <c r="F50" s="50">
        <v>4</v>
      </c>
      <c r="G50" s="50">
        <v>1</v>
      </c>
      <c r="H50" s="50">
        <v>0</v>
      </c>
      <c r="I50" s="50">
        <v>4</v>
      </c>
      <c r="J50" s="50">
        <v>0</v>
      </c>
      <c r="K50" s="50">
        <v>0</v>
      </c>
      <c r="L50" s="50">
        <v>0</v>
      </c>
      <c r="M50" s="50">
        <v>42</v>
      </c>
      <c r="N50" s="50">
        <v>0</v>
      </c>
      <c r="O50" s="15">
        <f t="shared" si="0"/>
        <v>39</v>
      </c>
      <c r="P50" s="15">
        <f t="shared" si="1"/>
        <v>81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4</v>
      </c>
      <c r="E51" s="50">
        <v>0</v>
      </c>
      <c r="F51" s="50">
        <v>5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58</v>
      </c>
      <c r="N51" s="50">
        <v>0</v>
      </c>
      <c r="O51" s="15">
        <f t="shared" si="0"/>
        <v>29</v>
      </c>
      <c r="P51" s="15">
        <f t="shared" si="1"/>
        <v>87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6</v>
      </c>
      <c r="E52" s="50">
        <v>2</v>
      </c>
      <c r="F52" s="50">
        <v>7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58</v>
      </c>
      <c r="N52" s="50">
        <v>0</v>
      </c>
      <c r="O52" s="15">
        <f t="shared" si="0"/>
        <v>33</v>
      </c>
      <c r="P52" s="15">
        <f t="shared" si="1"/>
        <v>91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2</v>
      </c>
      <c r="E53" s="50">
        <v>4</v>
      </c>
      <c r="F53" s="50">
        <v>5</v>
      </c>
      <c r="G53" s="50">
        <v>0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46</v>
      </c>
      <c r="N53" s="50">
        <v>0</v>
      </c>
      <c r="O53" s="15">
        <f t="shared" si="0"/>
        <v>22</v>
      </c>
      <c r="P53" s="15">
        <f t="shared" si="1"/>
        <v>68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3</v>
      </c>
      <c r="E54" s="50">
        <v>1</v>
      </c>
      <c r="F54" s="50">
        <v>6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59</v>
      </c>
      <c r="N54" s="50">
        <v>0</v>
      </c>
      <c r="O54" s="15">
        <f t="shared" si="0"/>
        <v>23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5</v>
      </c>
      <c r="E55" s="50">
        <v>2</v>
      </c>
      <c r="F55" s="50">
        <v>3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53</v>
      </c>
      <c r="N55" s="50">
        <v>0</v>
      </c>
      <c r="O55" s="15">
        <f t="shared" si="0"/>
        <v>22</v>
      </c>
      <c r="P55" s="15">
        <f t="shared" si="1"/>
        <v>75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0</v>
      </c>
      <c r="E56" s="50">
        <v>1</v>
      </c>
      <c r="F56" s="50">
        <v>6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62</v>
      </c>
      <c r="N56" s="50">
        <v>0</v>
      </c>
      <c r="O56" s="15">
        <f t="shared" si="0"/>
        <v>21</v>
      </c>
      <c r="P56" s="15">
        <f t="shared" si="1"/>
        <v>83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3</v>
      </c>
      <c r="E57" s="50">
        <v>2</v>
      </c>
      <c r="F57" s="50">
        <v>6</v>
      </c>
      <c r="G57" s="50">
        <v>0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65</v>
      </c>
      <c r="N57" s="50">
        <v>0</v>
      </c>
      <c r="O57" s="15">
        <f t="shared" si="0"/>
        <v>26</v>
      </c>
      <c r="P57" s="15">
        <f t="shared" si="1"/>
        <v>91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1408</v>
      </c>
      <c r="D58" s="16">
        <f t="shared" si="21"/>
        <v>318</v>
      </c>
      <c r="E58" s="16">
        <f t="shared" si="21"/>
        <v>148</v>
      </c>
      <c r="F58" s="16">
        <f t="shared" si="21"/>
        <v>596</v>
      </c>
      <c r="G58" s="16">
        <f t="shared" si="21"/>
        <v>7</v>
      </c>
      <c r="H58" s="16">
        <f t="shared" si="21"/>
        <v>0</v>
      </c>
      <c r="I58" s="16">
        <f t="shared" si="21"/>
        <v>158</v>
      </c>
      <c r="J58" s="16">
        <f t="shared" si="21"/>
        <v>20</v>
      </c>
      <c r="K58" s="16">
        <f t="shared" si="21"/>
        <v>3</v>
      </c>
      <c r="L58" s="16">
        <f t="shared" si="21"/>
        <v>1</v>
      </c>
      <c r="M58" s="16">
        <f t="shared" si="21"/>
        <v>3232</v>
      </c>
      <c r="N58" s="16">
        <f t="shared" si="21"/>
        <v>0</v>
      </c>
      <c r="O58" s="16">
        <f t="shared" si="21"/>
        <v>2659</v>
      </c>
      <c r="P58" s="16">
        <f t="shared" si="21"/>
        <v>5891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0.23900865727380749</v>
      </c>
      <c r="D59" s="43">
        <f t="shared" si="22"/>
        <v>5.3980648446783228E-2</v>
      </c>
      <c r="E59" s="43">
        <f t="shared" si="22"/>
        <v>2.5123069088439993E-2</v>
      </c>
      <c r="F59" s="43">
        <f t="shared" si="22"/>
        <v>0.10117127822101511</v>
      </c>
      <c r="G59" s="43">
        <f t="shared" si="22"/>
        <v>1.1882532676964861E-3</v>
      </c>
      <c r="H59" s="43">
        <f t="shared" si="22"/>
        <v>0</v>
      </c>
      <c r="I59" s="43">
        <f t="shared" si="22"/>
        <v>2.6820573756577832E-2</v>
      </c>
      <c r="J59" s="43">
        <f t="shared" si="22"/>
        <v>3.3950093362756749E-3</v>
      </c>
      <c r="K59" s="43">
        <f t="shared" si="22"/>
        <v>5.0925140044135125E-4</v>
      </c>
      <c r="L59" s="43">
        <f t="shared" si="22"/>
        <v>1.6975046681378373E-4</v>
      </c>
      <c r="M59" s="43">
        <f t="shared" si="22"/>
        <v>0.548633508742149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0.52952237683339598</v>
      </c>
      <c r="D60" s="44">
        <f t="shared" ref="D60:N60" si="23">D58/$O$58</f>
        <v>0.11959383226776985</v>
      </c>
      <c r="E60" s="44">
        <f t="shared" si="23"/>
        <v>5.5660022564874012E-2</v>
      </c>
      <c r="F60" s="44">
        <f t="shared" si="23"/>
        <v>0.22414441519368183</v>
      </c>
      <c r="G60" s="44">
        <f t="shared" si="23"/>
        <v>2.6325686348251222E-3</v>
      </c>
      <c r="H60" s="44">
        <f t="shared" si="23"/>
        <v>0</v>
      </c>
      <c r="I60" s="44">
        <f t="shared" si="23"/>
        <v>5.9420834900338476E-2</v>
      </c>
      <c r="J60" s="44">
        <f t="shared" si="23"/>
        <v>7.5216246709289203E-3</v>
      </c>
      <c r="K60" s="44">
        <f t="shared" si="23"/>
        <v>1.1282437006393381E-3</v>
      </c>
      <c r="L60" s="44">
        <f t="shared" si="23"/>
        <v>3.7608123354644602E-4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3" zoomScale="60" workbookViewId="0">
      <selection activeCell="E58" sqref="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19.5" customHeight="1" x14ac:dyDescent="0.25">
      <c r="C5" s="4" t="s">
        <v>3</v>
      </c>
      <c r="D5" s="36" t="str">
        <f>'30.07 NSOOBA-KYEBANDO'!D5</f>
        <v>30.08.19</v>
      </c>
      <c r="E5" s="3"/>
      <c r="F5" s="41" t="s">
        <v>1</v>
      </c>
      <c r="G5" s="70">
        <f>'29.07 NSOOBA-KYEBANDO'!G5:H5</f>
        <v>29</v>
      </c>
      <c r="H5" s="71"/>
      <c r="I5" s="14"/>
      <c r="J5" s="2" t="s">
        <v>5</v>
      </c>
      <c r="K5" s="70" t="str">
        <f>'29.07 NSOOBA-KYEBANDO'!K5:L5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'29.07 KYEBANDO-NSOOBA'!G6:H6</f>
        <v>NSOOBA</v>
      </c>
      <c r="H6" s="71"/>
      <c r="J6" s="2" t="s">
        <v>21</v>
      </c>
      <c r="K6" s="70" t="str">
        <f>'29.07 NSOOBA-KYEBANDO'!K6:L6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16</v>
      </c>
      <c r="D10" s="50">
        <v>0</v>
      </c>
      <c r="E10" s="50">
        <v>3</v>
      </c>
      <c r="F10" s="50">
        <v>4</v>
      </c>
      <c r="G10" s="50">
        <v>1</v>
      </c>
      <c r="H10" s="50">
        <v>0</v>
      </c>
      <c r="I10" s="50">
        <v>5</v>
      </c>
      <c r="J10" s="50">
        <v>1</v>
      </c>
      <c r="K10" s="50">
        <v>0</v>
      </c>
      <c r="L10" s="50">
        <v>0</v>
      </c>
      <c r="M10" s="50">
        <v>43</v>
      </c>
      <c r="N10" s="50">
        <v>0</v>
      </c>
      <c r="O10" s="15">
        <f t="shared" ref="O10:O57" si="0">SUM(C10:L10,N10)</f>
        <v>30</v>
      </c>
      <c r="P10" s="15">
        <f t="shared" ref="P10:P57" si="1">SUM(C10:N10)</f>
        <v>73</v>
      </c>
      <c r="R10" s="1" t="s">
        <v>6</v>
      </c>
      <c r="S10" s="17">
        <f t="shared" ref="S10:AF10" si="2">SUM(C10:C13)</f>
        <v>45</v>
      </c>
      <c r="T10" s="17">
        <f t="shared" si="2"/>
        <v>1</v>
      </c>
      <c r="U10" s="17">
        <f t="shared" si="2"/>
        <v>11</v>
      </c>
      <c r="V10" s="17">
        <f t="shared" si="2"/>
        <v>20</v>
      </c>
      <c r="W10" s="17">
        <f t="shared" si="2"/>
        <v>2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270</v>
      </c>
      <c r="AD10" s="17">
        <f t="shared" si="2"/>
        <v>0</v>
      </c>
      <c r="AE10" s="31">
        <f t="shared" si="2"/>
        <v>86</v>
      </c>
      <c r="AF10" s="31">
        <f t="shared" si="2"/>
        <v>356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1</v>
      </c>
      <c r="E11" s="50">
        <v>5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60</v>
      </c>
      <c r="N11" s="50">
        <v>0</v>
      </c>
      <c r="O11" s="15">
        <f t="shared" si="0"/>
        <v>25</v>
      </c>
      <c r="P11" s="15">
        <f t="shared" si="1"/>
        <v>85</v>
      </c>
      <c r="R11" s="1" t="s">
        <v>7</v>
      </c>
      <c r="S11" s="17">
        <f t="shared" ref="S11:AF11" si="3">SUM(C14:C17)</f>
        <v>64</v>
      </c>
      <c r="T11" s="17">
        <f t="shared" si="3"/>
        <v>22</v>
      </c>
      <c r="U11" s="17">
        <f t="shared" si="3"/>
        <v>11</v>
      </c>
      <c r="V11" s="17">
        <f t="shared" si="3"/>
        <v>28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458</v>
      </c>
      <c r="AD11" s="17">
        <f t="shared" si="3"/>
        <v>0</v>
      </c>
      <c r="AE11" s="31">
        <f t="shared" si="3"/>
        <v>138</v>
      </c>
      <c r="AF11" s="31">
        <f t="shared" si="3"/>
        <v>596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2</v>
      </c>
      <c r="F12" s="50">
        <v>3</v>
      </c>
      <c r="G12" s="50">
        <v>1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85</v>
      </c>
      <c r="N12" s="50">
        <v>0</v>
      </c>
      <c r="O12" s="15">
        <f t="shared" si="0"/>
        <v>10</v>
      </c>
      <c r="P12" s="15">
        <f t="shared" si="1"/>
        <v>95</v>
      </c>
      <c r="R12" s="1" t="s">
        <v>8</v>
      </c>
      <c r="S12" s="17">
        <f t="shared" ref="S12:AF12" si="4">SUM(C18:C21)</f>
        <v>71</v>
      </c>
      <c r="T12" s="17">
        <f t="shared" si="4"/>
        <v>17</v>
      </c>
      <c r="U12" s="17">
        <f t="shared" si="4"/>
        <v>13</v>
      </c>
      <c r="V12" s="17">
        <f t="shared" si="4"/>
        <v>43</v>
      </c>
      <c r="W12" s="17">
        <f t="shared" si="4"/>
        <v>2</v>
      </c>
      <c r="X12" s="17">
        <f t="shared" si="4"/>
        <v>0</v>
      </c>
      <c r="Y12" s="17">
        <f t="shared" si="4"/>
        <v>31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331</v>
      </c>
      <c r="AD12" s="17">
        <f t="shared" si="4"/>
        <v>0</v>
      </c>
      <c r="AE12" s="31">
        <f t="shared" si="4"/>
        <v>182</v>
      </c>
      <c r="AF12" s="31">
        <f t="shared" si="4"/>
        <v>513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1</v>
      </c>
      <c r="F13" s="50">
        <v>9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82</v>
      </c>
      <c r="N13" s="50">
        <v>0</v>
      </c>
      <c r="O13" s="15">
        <f t="shared" si="0"/>
        <v>21</v>
      </c>
      <c r="P13" s="15">
        <f t="shared" si="1"/>
        <v>103</v>
      </c>
      <c r="R13" s="1" t="s">
        <v>9</v>
      </c>
      <c r="S13" s="17">
        <f t="shared" ref="S13:AF13" si="5">SUM(C22:C25)</f>
        <v>96</v>
      </c>
      <c r="T13" s="17">
        <f t="shared" si="5"/>
        <v>17</v>
      </c>
      <c r="U13" s="17">
        <f t="shared" si="5"/>
        <v>27</v>
      </c>
      <c r="V13" s="17">
        <f t="shared" si="5"/>
        <v>41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319</v>
      </c>
      <c r="AD13" s="17">
        <f t="shared" si="5"/>
        <v>0</v>
      </c>
      <c r="AE13" s="31">
        <f t="shared" si="5"/>
        <v>204</v>
      </c>
      <c r="AF13" s="31">
        <f t="shared" si="5"/>
        <v>523</v>
      </c>
    </row>
    <row r="14" spans="2:32" ht="23.1" customHeight="1" x14ac:dyDescent="0.25">
      <c r="B14" s="23" t="s">
        <v>41</v>
      </c>
      <c r="C14" s="50">
        <v>19</v>
      </c>
      <c r="D14" s="50">
        <v>2</v>
      </c>
      <c r="E14" s="50">
        <v>0</v>
      </c>
      <c r="F14" s="50">
        <v>3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90</v>
      </c>
      <c r="N14" s="50">
        <v>0</v>
      </c>
      <c r="O14" s="15">
        <f t="shared" si="0"/>
        <v>27</v>
      </c>
      <c r="P14" s="15">
        <f t="shared" si="1"/>
        <v>117</v>
      </c>
      <c r="R14" s="1" t="s">
        <v>10</v>
      </c>
      <c r="S14" s="17">
        <f t="shared" ref="S14:AF14" si="6">SUM(C26:C29)</f>
        <v>78</v>
      </c>
      <c r="T14" s="17">
        <f t="shared" si="6"/>
        <v>27</v>
      </c>
      <c r="U14" s="17">
        <f t="shared" si="6"/>
        <v>25</v>
      </c>
      <c r="V14" s="17">
        <f t="shared" si="6"/>
        <v>36</v>
      </c>
      <c r="W14" s="17">
        <f t="shared" si="6"/>
        <v>1</v>
      </c>
      <c r="X14" s="17">
        <f t="shared" si="6"/>
        <v>0</v>
      </c>
      <c r="Y14" s="17">
        <f t="shared" si="6"/>
        <v>26</v>
      </c>
      <c r="Z14" s="17">
        <f t="shared" si="6"/>
        <v>5</v>
      </c>
      <c r="AA14" s="17">
        <f t="shared" si="6"/>
        <v>2</v>
      </c>
      <c r="AB14" s="17">
        <f t="shared" si="6"/>
        <v>1</v>
      </c>
      <c r="AC14" s="17">
        <f t="shared" si="6"/>
        <v>255</v>
      </c>
      <c r="AD14" s="17">
        <f t="shared" si="6"/>
        <v>0</v>
      </c>
      <c r="AE14" s="31">
        <f t="shared" si="6"/>
        <v>201</v>
      </c>
      <c r="AF14" s="31">
        <f t="shared" si="6"/>
        <v>456</v>
      </c>
    </row>
    <row r="15" spans="2:32" ht="23.1" customHeight="1" x14ac:dyDescent="0.25">
      <c r="B15" s="23" t="s">
        <v>42</v>
      </c>
      <c r="C15" s="50">
        <v>18</v>
      </c>
      <c r="D15" s="50">
        <v>7</v>
      </c>
      <c r="E15" s="50">
        <v>6</v>
      </c>
      <c r="F15" s="50">
        <v>9</v>
      </c>
      <c r="G15" s="50">
        <v>0</v>
      </c>
      <c r="H15" s="50">
        <v>0</v>
      </c>
      <c r="I15" s="50">
        <v>3</v>
      </c>
      <c r="J15" s="50">
        <v>3</v>
      </c>
      <c r="K15" s="50">
        <v>0</v>
      </c>
      <c r="L15" s="50">
        <v>0</v>
      </c>
      <c r="M15" s="50">
        <v>136</v>
      </c>
      <c r="N15" s="50">
        <v>0</v>
      </c>
      <c r="O15" s="15">
        <f t="shared" si="0"/>
        <v>46</v>
      </c>
      <c r="P15" s="15">
        <f t="shared" si="1"/>
        <v>182</v>
      </c>
      <c r="R15" s="1" t="s">
        <v>11</v>
      </c>
      <c r="S15" s="17">
        <f t="shared" ref="S15:AF15" si="7">SUM(C30:C33)</f>
        <v>57</v>
      </c>
      <c r="T15" s="17">
        <f t="shared" si="7"/>
        <v>12</v>
      </c>
      <c r="U15" s="17">
        <f t="shared" si="7"/>
        <v>8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7</v>
      </c>
      <c r="AA15" s="17">
        <f t="shared" si="7"/>
        <v>2</v>
      </c>
      <c r="AB15" s="17">
        <f t="shared" si="7"/>
        <v>1</v>
      </c>
      <c r="AC15" s="17">
        <f t="shared" si="7"/>
        <v>175</v>
      </c>
      <c r="AD15" s="17">
        <f t="shared" si="7"/>
        <v>0</v>
      </c>
      <c r="AE15" s="31">
        <f t="shared" si="7"/>
        <v>130</v>
      </c>
      <c r="AF15" s="31">
        <f t="shared" si="7"/>
        <v>305</v>
      </c>
    </row>
    <row r="16" spans="2:32" ht="23.1" customHeight="1" x14ac:dyDescent="0.25">
      <c r="B16" s="23" t="s">
        <v>43</v>
      </c>
      <c r="C16" s="50">
        <v>10</v>
      </c>
      <c r="D16" s="50">
        <v>9</v>
      </c>
      <c r="E16" s="50">
        <v>2</v>
      </c>
      <c r="F16" s="50">
        <v>8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131</v>
      </c>
      <c r="N16" s="50">
        <v>0</v>
      </c>
      <c r="O16" s="15">
        <f t="shared" si="0"/>
        <v>31</v>
      </c>
      <c r="P16" s="15">
        <f t="shared" si="1"/>
        <v>162</v>
      </c>
      <c r="R16" s="1" t="s">
        <v>12</v>
      </c>
      <c r="S16" s="17">
        <f t="shared" ref="S16:AF16" si="8">SUM(C34:C37)</f>
        <v>82</v>
      </c>
      <c r="T16" s="17">
        <f t="shared" si="8"/>
        <v>16</v>
      </c>
      <c r="U16" s="17">
        <f t="shared" si="8"/>
        <v>13</v>
      </c>
      <c r="V16" s="17">
        <f t="shared" si="8"/>
        <v>25</v>
      </c>
      <c r="W16" s="17">
        <f t="shared" si="8"/>
        <v>1</v>
      </c>
      <c r="X16" s="17">
        <f t="shared" si="8"/>
        <v>0</v>
      </c>
      <c r="Y16" s="17">
        <f t="shared" si="8"/>
        <v>14</v>
      </c>
      <c r="Z16" s="17">
        <f t="shared" si="8"/>
        <v>6</v>
      </c>
      <c r="AA16" s="17">
        <f t="shared" si="8"/>
        <v>3</v>
      </c>
      <c r="AB16" s="17">
        <f t="shared" si="8"/>
        <v>0</v>
      </c>
      <c r="AC16" s="17">
        <f t="shared" si="8"/>
        <v>177</v>
      </c>
      <c r="AD16" s="17">
        <f t="shared" si="8"/>
        <v>0</v>
      </c>
      <c r="AE16" s="31">
        <f t="shared" si="8"/>
        <v>160</v>
      </c>
      <c r="AF16" s="31">
        <f t="shared" si="8"/>
        <v>337</v>
      </c>
    </row>
    <row r="17" spans="2:32" ht="23.1" customHeight="1" x14ac:dyDescent="0.25">
      <c r="B17" s="23" t="s">
        <v>44</v>
      </c>
      <c r="C17" s="50">
        <v>17</v>
      </c>
      <c r="D17" s="50">
        <v>4</v>
      </c>
      <c r="E17" s="50">
        <v>3</v>
      </c>
      <c r="F17" s="50">
        <v>8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101</v>
      </c>
      <c r="N17" s="50">
        <v>0</v>
      </c>
      <c r="O17" s="15">
        <f t="shared" si="0"/>
        <v>34</v>
      </c>
      <c r="P17" s="15">
        <f t="shared" si="1"/>
        <v>135</v>
      </c>
      <c r="R17" s="1" t="s">
        <v>13</v>
      </c>
      <c r="S17" s="17">
        <f t="shared" ref="S17:AF17" si="9">SUM(C38:C41)</f>
        <v>302</v>
      </c>
      <c r="T17" s="17">
        <f t="shared" si="9"/>
        <v>15</v>
      </c>
      <c r="U17" s="17">
        <f t="shared" si="9"/>
        <v>13</v>
      </c>
      <c r="V17" s="17">
        <f t="shared" si="9"/>
        <v>24</v>
      </c>
      <c r="W17" s="17">
        <f t="shared" si="9"/>
        <v>1</v>
      </c>
      <c r="X17" s="17">
        <f t="shared" si="9"/>
        <v>0</v>
      </c>
      <c r="Y17" s="17">
        <f t="shared" si="9"/>
        <v>24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207</v>
      </c>
      <c r="AD17" s="17">
        <f t="shared" si="9"/>
        <v>0</v>
      </c>
      <c r="AE17" s="31">
        <f t="shared" si="9"/>
        <v>381</v>
      </c>
      <c r="AF17" s="31">
        <f t="shared" si="9"/>
        <v>588</v>
      </c>
    </row>
    <row r="18" spans="2:32" ht="23.1" customHeight="1" x14ac:dyDescent="0.25">
      <c r="B18" s="23" t="s">
        <v>45</v>
      </c>
      <c r="C18" s="50">
        <v>14</v>
      </c>
      <c r="D18" s="50">
        <v>5</v>
      </c>
      <c r="E18" s="50">
        <v>6</v>
      </c>
      <c r="F18" s="50">
        <v>5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36</v>
      </c>
      <c r="P18" s="15">
        <f t="shared" si="1"/>
        <v>131</v>
      </c>
      <c r="R18" s="1" t="s">
        <v>14</v>
      </c>
      <c r="S18" s="17">
        <f t="shared" ref="S18:AF18" si="10">SUM(C42:C45)</f>
        <v>90</v>
      </c>
      <c r="T18" s="17">
        <f t="shared" si="10"/>
        <v>31</v>
      </c>
      <c r="U18" s="17">
        <f t="shared" si="10"/>
        <v>26</v>
      </c>
      <c r="V18" s="17">
        <f t="shared" si="10"/>
        <v>27</v>
      </c>
      <c r="W18" s="17">
        <f t="shared" si="10"/>
        <v>0</v>
      </c>
      <c r="X18" s="17">
        <f t="shared" si="10"/>
        <v>0</v>
      </c>
      <c r="Y18" s="17">
        <f t="shared" si="10"/>
        <v>23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231</v>
      </c>
      <c r="AD18" s="17">
        <f t="shared" si="10"/>
        <v>0</v>
      </c>
      <c r="AE18" s="31">
        <f t="shared" si="10"/>
        <v>203</v>
      </c>
      <c r="AF18" s="31">
        <f t="shared" si="10"/>
        <v>434</v>
      </c>
    </row>
    <row r="19" spans="2:32" ht="23.1" customHeight="1" x14ac:dyDescent="0.25">
      <c r="B19" s="23" t="s">
        <v>46</v>
      </c>
      <c r="C19" s="50">
        <v>22</v>
      </c>
      <c r="D19" s="50">
        <v>3</v>
      </c>
      <c r="E19" s="50">
        <v>3</v>
      </c>
      <c r="F19" s="50">
        <v>15</v>
      </c>
      <c r="G19" s="50">
        <v>1</v>
      </c>
      <c r="H19" s="50">
        <v>0</v>
      </c>
      <c r="I19" s="50">
        <v>16</v>
      </c>
      <c r="J19" s="50">
        <v>2</v>
      </c>
      <c r="K19" s="50">
        <v>0</v>
      </c>
      <c r="L19" s="50">
        <v>0</v>
      </c>
      <c r="M19" s="50">
        <v>103</v>
      </c>
      <c r="N19" s="50">
        <v>0</v>
      </c>
      <c r="O19" s="15">
        <f t="shared" si="0"/>
        <v>62</v>
      </c>
      <c r="P19" s="15">
        <f t="shared" si="1"/>
        <v>165</v>
      </c>
      <c r="R19" s="1" t="s">
        <v>15</v>
      </c>
      <c r="S19" s="17">
        <f t="shared" ref="S19:AF19" si="11">SUM(C46:C49)</f>
        <v>167</v>
      </c>
      <c r="T19" s="17">
        <f t="shared" si="11"/>
        <v>33</v>
      </c>
      <c r="U19" s="17">
        <f t="shared" si="11"/>
        <v>30</v>
      </c>
      <c r="V19" s="17">
        <f t="shared" si="11"/>
        <v>28</v>
      </c>
      <c r="W19" s="17">
        <f t="shared" si="11"/>
        <v>3</v>
      </c>
      <c r="X19" s="17">
        <f t="shared" si="11"/>
        <v>0</v>
      </c>
      <c r="Y19" s="17">
        <f t="shared" si="11"/>
        <v>21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247</v>
      </c>
      <c r="AD19" s="17">
        <f t="shared" si="11"/>
        <v>0</v>
      </c>
      <c r="AE19" s="31">
        <f t="shared" si="11"/>
        <v>283</v>
      </c>
      <c r="AF19" s="31">
        <f t="shared" si="11"/>
        <v>530</v>
      </c>
    </row>
    <row r="20" spans="2:32" ht="23.1" customHeight="1" x14ac:dyDescent="0.25">
      <c r="B20" s="23" t="s">
        <v>47</v>
      </c>
      <c r="C20" s="50">
        <v>16</v>
      </c>
      <c r="D20" s="50">
        <v>4</v>
      </c>
      <c r="E20" s="50">
        <v>0</v>
      </c>
      <c r="F20" s="50">
        <v>14</v>
      </c>
      <c r="G20" s="50">
        <v>1</v>
      </c>
      <c r="H20" s="50">
        <v>0</v>
      </c>
      <c r="I20" s="50">
        <v>3</v>
      </c>
      <c r="J20" s="50">
        <v>1</v>
      </c>
      <c r="K20" s="50">
        <v>1</v>
      </c>
      <c r="L20" s="50">
        <v>0</v>
      </c>
      <c r="M20" s="50">
        <v>36</v>
      </c>
      <c r="N20" s="50">
        <v>0</v>
      </c>
      <c r="O20" s="15">
        <f t="shared" si="0"/>
        <v>40</v>
      </c>
      <c r="P20" s="15">
        <f t="shared" si="1"/>
        <v>76</v>
      </c>
      <c r="R20" s="1" t="s">
        <v>16</v>
      </c>
      <c r="S20" s="17">
        <f t="shared" ref="S20:AF20" si="12">SUM(C50:C53)</f>
        <v>217</v>
      </c>
      <c r="T20" s="17">
        <f t="shared" si="12"/>
        <v>46</v>
      </c>
      <c r="U20" s="17">
        <f t="shared" si="12"/>
        <v>28</v>
      </c>
      <c r="V20" s="17">
        <f t="shared" si="12"/>
        <v>51</v>
      </c>
      <c r="W20" s="17">
        <f t="shared" si="12"/>
        <v>0</v>
      </c>
      <c r="X20" s="17">
        <f t="shared" si="12"/>
        <v>0</v>
      </c>
      <c r="Y20" s="17">
        <f t="shared" si="12"/>
        <v>12</v>
      </c>
      <c r="Z20" s="17">
        <f t="shared" si="12"/>
        <v>7</v>
      </c>
      <c r="AA20" s="17">
        <f t="shared" si="12"/>
        <v>3</v>
      </c>
      <c r="AB20" s="17">
        <f t="shared" si="12"/>
        <v>0</v>
      </c>
      <c r="AC20" s="17">
        <f t="shared" si="12"/>
        <v>293</v>
      </c>
      <c r="AD20" s="17">
        <f t="shared" si="12"/>
        <v>0</v>
      </c>
      <c r="AE20" s="31">
        <f t="shared" si="12"/>
        <v>364</v>
      </c>
      <c r="AF20" s="31">
        <f t="shared" si="12"/>
        <v>657</v>
      </c>
    </row>
    <row r="21" spans="2:32" ht="23.1" customHeight="1" x14ac:dyDescent="0.25">
      <c r="B21" s="23" t="s">
        <v>48</v>
      </c>
      <c r="C21" s="50">
        <v>19</v>
      </c>
      <c r="D21" s="50">
        <v>5</v>
      </c>
      <c r="E21" s="50">
        <v>4</v>
      </c>
      <c r="F21" s="50">
        <v>9</v>
      </c>
      <c r="G21" s="50">
        <v>0</v>
      </c>
      <c r="H21" s="50">
        <v>0</v>
      </c>
      <c r="I21" s="50">
        <v>6</v>
      </c>
      <c r="J21" s="50">
        <v>1</v>
      </c>
      <c r="K21" s="50">
        <v>0</v>
      </c>
      <c r="L21" s="50">
        <v>0</v>
      </c>
      <c r="M21" s="50">
        <v>97</v>
      </c>
      <c r="N21" s="50">
        <v>0</v>
      </c>
      <c r="O21" s="15">
        <f t="shared" si="0"/>
        <v>44</v>
      </c>
      <c r="P21" s="15">
        <f t="shared" si="1"/>
        <v>141</v>
      </c>
      <c r="R21" s="36" t="s">
        <v>20</v>
      </c>
      <c r="S21" s="34">
        <f t="shared" ref="S21:AF21" si="13">SUM(C54:C57)</f>
        <v>218</v>
      </c>
      <c r="T21" s="17">
        <f t="shared" si="13"/>
        <v>40</v>
      </c>
      <c r="U21" s="17">
        <f t="shared" si="13"/>
        <v>27</v>
      </c>
      <c r="V21" s="17">
        <f t="shared" si="13"/>
        <v>75</v>
      </c>
      <c r="W21" s="17">
        <f t="shared" si="13"/>
        <v>2</v>
      </c>
      <c r="X21" s="17">
        <f t="shared" si="13"/>
        <v>0</v>
      </c>
      <c r="Y21" s="17">
        <f t="shared" si="13"/>
        <v>22</v>
      </c>
      <c r="Z21" s="17">
        <f t="shared" si="13"/>
        <v>8</v>
      </c>
      <c r="AA21" s="17">
        <f t="shared" si="13"/>
        <v>1</v>
      </c>
      <c r="AB21" s="17">
        <f t="shared" si="13"/>
        <v>0</v>
      </c>
      <c r="AC21" s="17">
        <f t="shared" si="13"/>
        <v>346</v>
      </c>
      <c r="AD21" s="17">
        <f t="shared" si="13"/>
        <v>0</v>
      </c>
      <c r="AE21" s="31">
        <f t="shared" si="13"/>
        <v>393</v>
      </c>
      <c r="AF21" s="31">
        <f t="shared" si="13"/>
        <v>739</v>
      </c>
    </row>
    <row r="22" spans="2:32" ht="23.1" customHeight="1" x14ac:dyDescent="0.25">
      <c r="B22" s="23" t="s">
        <v>49</v>
      </c>
      <c r="C22" s="50">
        <v>26</v>
      </c>
      <c r="D22" s="50">
        <v>2</v>
      </c>
      <c r="E22" s="50">
        <v>3</v>
      </c>
      <c r="F22" s="50">
        <v>4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51</v>
      </c>
      <c r="N22" s="50">
        <v>0</v>
      </c>
      <c r="O22" s="15">
        <f t="shared" si="0"/>
        <v>39</v>
      </c>
      <c r="P22" s="15">
        <f t="shared" si="1"/>
        <v>90</v>
      </c>
      <c r="R22" s="38" t="s">
        <v>90</v>
      </c>
      <c r="S22" s="39">
        <f>MAX(S10:S12)</f>
        <v>71</v>
      </c>
      <c r="T22" s="39">
        <f t="shared" ref="T22:AF22" si="14">MAX(T10:T12)</f>
        <v>22</v>
      </c>
      <c r="U22" s="39">
        <f t="shared" si="14"/>
        <v>13</v>
      </c>
      <c r="V22" s="39">
        <f t="shared" si="14"/>
        <v>43</v>
      </c>
      <c r="W22" s="39">
        <f t="shared" si="14"/>
        <v>2</v>
      </c>
      <c r="X22" s="39">
        <f t="shared" si="14"/>
        <v>0</v>
      </c>
      <c r="Y22" s="39">
        <f t="shared" si="14"/>
        <v>31</v>
      </c>
      <c r="Z22" s="39">
        <f t="shared" si="14"/>
        <v>6</v>
      </c>
      <c r="AA22" s="39">
        <f t="shared" si="14"/>
        <v>1</v>
      </c>
      <c r="AB22" s="39">
        <f t="shared" si="14"/>
        <v>0</v>
      </c>
      <c r="AC22" s="39">
        <f t="shared" si="14"/>
        <v>458</v>
      </c>
      <c r="AD22" s="39">
        <f t="shared" si="14"/>
        <v>0</v>
      </c>
      <c r="AE22" s="40">
        <f t="shared" si="14"/>
        <v>182</v>
      </c>
      <c r="AF22" s="40">
        <f t="shared" si="14"/>
        <v>596</v>
      </c>
    </row>
    <row r="23" spans="2:32" ht="23.1" customHeight="1" x14ac:dyDescent="0.25">
      <c r="B23" s="23" t="s">
        <v>50</v>
      </c>
      <c r="C23" s="50">
        <v>23</v>
      </c>
      <c r="D23" s="50">
        <v>5</v>
      </c>
      <c r="E23" s="50">
        <v>6</v>
      </c>
      <c r="F23" s="50">
        <v>18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97</v>
      </c>
      <c r="N23" s="50">
        <v>0</v>
      </c>
      <c r="O23" s="15">
        <f t="shared" si="0"/>
        <v>57</v>
      </c>
      <c r="P23" s="15">
        <f t="shared" si="1"/>
        <v>154</v>
      </c>
      <c r="R23" s="38" t="s">
        <v>91</v>
      </c>
      <c r="S23" s="39">
        <f>MAX(S13:S18)</f>
        <v>302</v>
      </c>
      <c r="T23" s="39">
        <f t="shared" ref="T23:AF23" si="15">MAX(T13:T18)</f>
        <v>31</v>
      </c>
      <c r="U23" s="39">
        <f t="shared" si="15"/>
        <v>27</v>
      </c>
      <c r="V23" s="39">
        <f t="shared" si="15"/>
        <v>41</v>
      </c>
      <c r="W23" s="39">
        <f t="shared" si="15"/>
        <v>1</v>
      </c>
      <c r="X23" s="39">
        <f t="shared" si="15"/>
        <v>0</v>
      </c>
      <c r="Y23" s="39">
        <f t="shared" si="15"/>
        <v>29</v>
      </c>
      <c r="Z23" s="39">
        <f t="shared" si="15"/>
        <v>7</v>
      </c>
      <c r="AA23" s="39">
        <f t="shared" si="15"/>
        <v>3</v>
      </c>
      <c r="AB23" s="39">
        <f t="shared" si="15"/>
        <v>1</v>
      </c>
      <c r="AC23" s="39">
        <f t="shared" si="15"/>
        <v>319</v>
      </c>
      <c r="AD23" s="39">
        <f t="shared" si="15"/>
        <v>0</v>
      </c>
      <c r="AE23" s="40">
        <f t="shared" si="15"/>
        <v>381</v>
      </c>
      <c r="AF23" s="40">
        <f t="shared" si="15"/>
        <v>588</v>
      </c>
    </row>
    <row r="24" spans="2:32" ht="23.1" customHeight="1" x14ac:dyDescent="0.25">
      <c r="B24" s="23" t="s">
        <v>51</v>
      </c>
      <c r="C24" s="50">
        <v>17</v>
      </c>
      <c r="D24" s="50">
        <v>5</v>
      </c>
      <c r="E24" s="50">
        <v>9</v>
      </c>
      <c r="F24" s="50">
        <v>10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81</v>
      </c>
      <c r="N24" s="50">
        <v>0</v>
      </c>
      <c r="O24" s="15">
        <f t="shared" si="0"/>
        <v>46</v>
      </c>
      <c r="P24" s="15">
        <f t="shared" si="1"/>
        <v>127</v>
      </c>
      <c r="R24" s="38" t="s">
        <v>92</v>
      </c>
      <c r="S24" s="39">
        <f>MAX(S19:S21)</f>
        <v>218</v>
      </c>
      <c r="T24" s="39">
        <f t="shared" ref="T24:AF24" si="16">MAX(T19:T21)</f>
        <v>46</v>
      </c>
      <c r="U24" s="39">
        <f t="shared" si="16"/>
        <v>30</v>
      </c>
      <c r="V24" s="39">
        <f t="shared" si="16"/>
        <v>75</v>
      </c>
      <c r="W24" s="39">
        <f t="shared" si="16"/>
        <v>3</v>
      </c>
      <c r="X24" s="39">
        <f t="shared" si="16"/>
        <v>0</v>
      </c>
      <c r="Y24" s="39">
        <f t="shared" si="16"/>
        <v>22</v>
      </c>
      <c r="Z24" s="39">
        <f t="shared" si="16"/>
        <v>8</v>
      </c>
      <c r="AA24" s="39">
        <f t="shared" si="16"/>
        <v>3</v>
      </c>
      <c r="AB24" s="39">
        <f t="shared" si="16"/>
        <v>0</v>
      </c>
      <c r="AC24" s="39">
        <f t="shared" si="16"/>
        <v>346</v>
      </c>
      <c r="AD24" s="39">
        <f t="shared" si="16"/>
        <v>0</v>
      </c>
      <c r="AE24" s="40">
        <f t="shared" si="16"/>
        <v>393</v>
      </c>
      <c r="AF24" s="40">
        <f t="shared" si="16"/>
        <v>739</v>
      </c>
    </row>
    <row r="25" spans="2:32" ht="23.1" customHeight="1" x14ac:dyDescent="0.25">
      <c r="B25" s="23" t="s">
        <v>52</v>
      </c>
      <c r="C25" s="50">
        <v>30</v>
      </c>
      <c r="D25" s="50">
        <v>5</v>
      </c>
      <c r="E25" s="50">
        <v>9</v>
      </c>
      <c r="F25" s="50">
        <v>9</v>
      </c>
      <c r="G25" s="50">
        <v>0</v>
      </c>
      <c r="H25" s="50">
        <v>0</v>
      </c>
      <c r="I25" s="50">
        <v>6</v>
      </c>
      <c r="J25" s="50">
        <v>2</v>
      </c>
      <c r="K25" s="50">
        <v>1</v>
      </c>
      <c r="L25" s="50">
        <v>0</v>
      </c>
      <c r="M25" s="50">
        <v>90</v>
      </c>
      <c r="N25" s="50">
        <v>0</v>
      </c>
      <c r="O25" s="15">
        <f t="shared" si="0"/>
        <v>62</v>
      </c>
      <c r="P25" s="15">
        <f t="shared" si="1"/>
        <v>152</v>
      </c>
      <c r="R25" s="37" t="s">
        <v>85</v>
      </c>
      <c r="S25" s="35">
        <f t="shared" ref="S25:AF25" si="17">SUM(S10:S12)</f>
        <v>180</v>
      </c>
      <c r="T25" s="16">
        <f t="shared" si="17"/>
        <v>40</v>
      </c>
      <c r="U25" s="16">
        <f t="shared" si="17"/>
        <v>35</v>
      </c>
      <c r="V25" s="16">
        <f t="shared" si="17"/>
        <v>91</v>
      </c>
      <c r="W25" s="16">
        <f t="shared" si="17"/>
        <v>4</v>
      </c>
      <c r="X25" s="16">
        <f t="shared" si="17"/>
        <v>0</v>
      </c>
      <c r="Y25" s="16">
        <f t="shared" si="17"/>
        <v>44</v>
      </c>
      <c r="Z25" s="16">
        <f t="shared" si="17"/>
        <v>11</v>
      </c>
      <c r="AA25" s="16">
        <f t="shared" si="17"/>
        <v>1</v>
      </c>
      <c r="AB25" s="16">
        <f t="shared" si="17"/>
        <v>0</v>
      </c>
      <c r="AC25" s="16">
        <f t="shared" si="17"/>
        <v>1059</v>
      </c>
      <c r="AD25" s="16">
        <f t="shared" si="17"/>
        <v>0</v>
      </c>
      <c r="AE25" s="32">
        <f t="shared" si="17"/>
        <v>406</v>
      </c>
      <c r="AF25" s="32">
        <f t="shared" si="17"/>
        <v>1465</v>
      </c>
    </row>
    <row r="26" spans="2:32" ht="23.1" customHeight="1" x14ac:dyDescent="0.25">
      <c r="B26" s="23" t="s">
        <v>53</v>
      </c>
      <c r="C26" s="50">
        <v>27</v>
      </c>
      <c r="D26" s="50">
        <v>14</v>
      </c>
      <c r="E26" s="50">
        <v>10</v>
      </c>
      <c r="F26" s="50">
        <v>17</v>
      </c>
      <c r="G26" s="50">
        <v>1</v>
      </c>
      <c r="H26" s="50">
        <v>0</v>
      </c>
      <c r="I26" s="50">
        <v>9</v>
      </c>
      <c r="J26" s="50">
        <v>3</v>
      </c>
      <c r="K26" s="50">
        <v>1</v>
      </c>
      <c r="L26" s="50">
        <v>0</v>
      </c>
      <c r="M26" s="50">
        <v>80</v>
      </c>
      <c r="N26" s="50">
        <v>0</v>
      </c>
      <c r="O26" s="15">
        <f t="shared" si="0"/>
        <v>82</v>
      </c>
      <c r="P26" s="15">
        <f t="shared" si="1"/>
        <v>162</v>
      </c>
      <c r="R26" s="28" t="s">
        <v>86</v>
      </c>
      <c r="S26" s="16">
        <f t="shared" ref="S26:AF26" si="18">SUM(S13:S18)</f>
        <v>705</v>
      </c>
      <c r="T26" s="16">
        <f t="shared" si="18"/>
        <v>118</v>
      </c>
      <c r="U26" s="16">
        <f t="shared" si="18"/>
        <v>112</v>
      </c>
      <c r="V26" s="16">
        <f t="shared" si="18"/>
        <v>167</v>
      </c>
      <c r="W26" s="16">
        <f t="shared" si="18"/>
        <v>3</v>
      </c>
      <c r="X26" s="16">
        <f t="shared" si="18"/>
        <v>0</v>
      </c>
      <c r="Y26" s="16">
        <f t="shared" si="18"/>
        <v>133</v>
      </c>
      <c r="Z26" s="16">
        <f t="shared" si="18"/>
        <v>30</v>
      </c>
      <c r="AA26" s="16">
        <f t="shared" si="18"/>
        <v>9</v>
      </c>
      <c r="AB26" s="16">
        <f t="shared" si="18"/>
        <v>2</v>
      </c>
      <c r="AC26" s="16">
        <f t="shared" si="18"/>
        <v>1364</v>
      </c>
      <c r="AD26" s="16">
        <f t="shared" si="18"/>
        <v>0</v>
      </c>
      <c r="AE26" s="32">
        <f t="shared" si="18"/>
        <v>1279</v>
      </c>
      <c r="AF26" s="32">
        <f t="shared" si="18"/>
        <v>2643</v>
      </c>
    </row>
    <row r="27" spans="2:32" ht="23.1" customHeight="1" x14ac:dyDescent="0.25">
      <c r="B27" s="23" t="s">
        <v>54</v>
      </c>
      <c r="C27" s="50">
        <v>16</v>
      </c>
      <c r="D27" s="50">
        <v>5</v>
      </c>
      <c r="E27" s="50">
        <v>7</v>
      </c>
      <c r="F27" s="50">
        <v>6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60</v>
      </c>
      <c r="N27" s="50">
        <v>0</v>
      </c>
      <c r="O27" s="15">
        <f t="shared" si="0"/>
        <v>37</v>
      </c>
      <c r="P27" s="15">
        <f t="shared" si="1"/>
        <v>97</v>
      </c>
      <c r="R27" s="29" t="s">
        <v>87</v>
      </c>
      <c r="S27" s="16">
        <f t="shared" ref="S27:AF27" si="19">SUM(S19:S21)</f>
        <v>602</v>
      </c>
      <c r="T27" s="16">
        <f t="shared" si="19"/>
        <v>119</v>
      </c>
      <c r="U27" s="16">
        <f t="shared" si="19"/>
        <v>85</v>
      </c>
      <c r="V27" s="16">
        <f t="shared" si="19"/>
        <v>154</v>
      </c>
      <c r="W27" s="16">
        <f t="shared" si="19"/>
        <v>5</v>
      </c>
      <c r="X27" s="16">
        <f t="shared" si="19"/>
        <v>0</v>
      </c>
      <c r="Y27" s="16">
        <f t="shared" si="19"/>
        <v>55</v>
      </c>
      <c r="Z27" s="16">
        <f t="shared" si="19"/>
        <v>16</v>
      </c>
      <c r="AA27" s="16">
        <f t="shared" si="19"/>
        <v>4</v>
      </c>
      <c r="AB27" s="16">
        <f t="shared" si="19"/>
        <v>0</v>
      </c>
      <c r="AC27" s="16">
        <f t="shared" si="19"/>
        <v>886</v>
      </c>
      <c r="AD27" s="16">
        <f t="shared" si="19"/>
        <v>0</v>
      </c>
      <c r="AE27" s="32">
        <f t="shared" si="19"/>
        <v>1040</v>
      </c>
      <c r="AF27" s="32">
        <f t="shared" si="19"/>
        <v>1926</v>
      </c>
    </row>
    <row r="28" spans="2:32" ht="23.1" customHeight="1" x14ac:dyDescent="0.25">
      <c r="B28" s="23" t="s">
        <v>55</v>
      </c>
      <c r="C28" s="50">
        <v>15</v>
      </c>
      <c r="D28" s="50">
        <v>2</v>
      </c>
      <c r="E28" s="50">
        <v>6</v>
      </c>
      <c r="F28" s="50">
        <v>6</v>
      </c>
      <c r="G28" s="50">
        <v>0</v>
      </c>
      <c r="H28" s="50">
        <v>0</v>
      </c>
      <c r="I28" s="50">
        <v>7</v>
      </c>
      <c r="J28" s="50">
        <v>0</v>
      </c>
      <c r="K28" s="50">
        <v>1</v>
      </c>
      <c r="L28" s="50">
        <v>1</v>
      </c>
      <c r="M28" s="50">
        <v>50</v>
      </c>
      <c r="N28" s="50">
        <v>0</v>
      </c>
      <c r="O28" s="15">
        <f t="shared" si="0"/>
        <v>38</v>
      </c>
      <c r="P28" s="15">
        <f t="shared" si="1"/>
        <v>88</v>
      </c>
      <c r="R28" s="5" t="s">
        <v>17</v>
      </c>
      <c r="S28" s="16">
        <f t="shared" ref="S28:AF28" si="20">SUM(S10:S21)</f>
        <v>1487</v>
      </c>
      <c r="T28" s="16">
        <f t="shared" si="20"/>
        <v>277</v>
      </c>
      <c r="U28" s="16">
        <f t="shared" si="20"/>
        <v>232</v>
      </c>
      <c r="V28" s="16">
        <f t="shared" si="20"/>
        <v>412</v>
      </c>
      <c r="W28" s="16">
        <f t="shared" si="20"/>
        <v>12</v>
      </c>
      <c r="X28" s="16">
        <f t="shared" si="20"/>
        <v>0</v>
      </c>
      <c r="Y28" s="16">
        <f t="shared" si="20"/>
        <v>232</v>
      </c>
      <c r="Z28" s="16">
        <f t="shared" si="20"/>
        <v>57</v>
      </c>
      <c r="AA28" s="16">
        <f t="shared" si="20"/>
        <v>14</v>
      </c>
      <c r="AB28" s="16">
        <f t="shared" si="20"/>
        <v>2</v>
      </c>
      <c r="AC28" s="16">
        <f t="shared" si="20"/>
        <v>3309</v>
      </c>
      <c r="AD28" s="16">
        <f t="shared" si="20"/>
        <v>0</v>
      </c>
      <c r="AE28" s="32">
        <f t="shared" si="20"/>
        <v>2725</v>
      </c>
      <c r="AF28" s="32">
        <f t="shared" si="20"/>
        <v>6034</v>
      </c>
    </row>
    <row r="29" spans="2:32" ht="23.1" customHeight="1" x14ac:dyDescent="0.25">
      <c r="B29" s="23" t="s">
        <v>56</v>
      </c>
      <c r="C29" s="50">
        <v>20</v>
      </c>
      <c r="D29" s="50">
        <v>6</v>
      </c>
      <c r="E29" s="50">
        <v>2</v>
      </c>
      <c r="F29" s="50">
        <v>7</v>
      </c>
      <c r="G29" s="50">
        <v>0</v>
      </c>
      <c r="H29" s="50">
        <v>0</v>
      </c>
      <c r="I29" s="50">
        <v>8</v>
      </c>
      <c r="J29" s="50">
        <v>1</v>
      </c>
      <c r="K29" s="50">
        <v>0</v>
      </c>
      <c r="L29" s="50">
        <v>0</v>
      </c>
      <c r="M29" s="50">
        <v>65</v>
      </c>
      <c r="N29" s="50">
        <v>0</v>
      </c>
      <c r="O29" s="15">
        <f t="shared" si="0"/>
        <v>44</v>
      </c>
      <c r="P29" s="15">
        <f t="shared" si="1"/>
        <v>109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4</v>
      </c>
      <c r="E30" s="50">
        <v>2</v>
      </c>
      <c r="F30" s="50">
        <v>4</v>
      </c>
      <c r="G30" s="50">
        <v>0</v>
      </c>
      <c r="H30" s="50">
        <v>0</v>
      </c>
      <c r="I30" s="50">
        <v>12</v>
      </c>
      <c r="J30" s="50">
        <v>1</v>
      </c>
      <c r="K30" s="50">
        <v>0</v>
      </c>
      <c r="L30" s="50">
        <v>0</v>
      </c>
      <c r="M30" s="50">
        <v>44</v>
      </c>
      <c r="N30" s="50">
        <v>0</v>
      </c>
      <c r="O30" s="15">
        <f t="shared" si="0"/>
        <v>42</v>
      </c>
      <c r="P30" s="15">
        <f t="shared" si="1"/>
        <v>86</v>
      </c>
    </row>
    <row r="31" spans="2:32" ht="23.1" customHeight="1" x14ac:dyDescent="0.25">
      <c r="B31" s="24" t="s">
        <v>58</v>
      </c>
      <c r="C31" s="50">
        <v>19</v>
      </c>
      <c r="D31" s="50">
        <v>6</v>
      </c>
      <c r="E31" s="50">
        <v>1</v>
      </c>
      <c r="F31" s="50">
        <v>4</v>
      </c>
      <c r="G31" s="50">
        <v>0</v>
      </c>
      <c r="H31" s="50">
        <v>0</v>
      </c>
      <c r="I31" s="50">
        <v>11</v>
      </c>
      <c r="J31" s="50">
        <v>1</v>
      </c>
      <c r="K31" s="50">
        <v>1</v>
      </c>
      <c r="L31" s="50">
        <v>1</v>
      </c>
      <c r="M31" s="50">
        <v>62</v>
      </c>
      <c r="N31" s="50">
        <v>0</v>
      </c>
      <c r="O31" s="15">
        <f t="shared" si="0"/>
        <v>44</v>
      </c>
      <c r="P31" s="15">
        <f t="shared" si="1"/>
        <v>106</v>
      </c>
    </row>
    <row r="32" spans="2:32" ht="23.1" customHeight="1" x14ac:dyDescent="0.25">
      <c r="B32" s="24" t="s">
        <v>59</v>
      </c>
      <c r="C32" s="50">
        <v>11</v>
      </c>
      <c r="D32" s="50">
        <v>1</v>
      </c>
      <c r="E32" s="50">
        <v>4</v>
      </c>
      <c r="F32" s="50">
        <v>4</v>
      </c>
      <c r="G32" s="50">
        <v>0</v>
      </c>
      <c r="H32" s="50">
        <v>0</v>
      </c>
      <c r="I32" s="50">
        <v>3</v>
      </c>
      <c r="J32" s="50">
        <v>2</v>
      </c>
      <c r="K32" s="50">
        <v>1</v>
      </c>
      <c r="L32" s="50">
        <v>0</v>
      </c>
      <c r="M32" s="50">
        <v>39</v>
      </c>
      <c r="N32" s="50">
        <v>0</v>
      </c>
      <c r="O32" s="15">
        <f t="shared" si="0"/>
        <v>26</v>
      </c>
      <c r="P32" s="15">
        <f t="shared" si="1"/>
        <v>65</v>
      </c>
    </row>
    <row r="33" spans="2:20" ht="23.1" customHeight="1" x14ac:dyDescent="0.25">
      <c r="B33" s="23" t="s">
        <v>60</v>
      </c>
      <c r="C33" s="50">
        <v>8</v>
      </c>
      <c r="D33" s="50">
        <v>1</v>
      </c>
      <c r="E33" s="50">
        <v>1</v>
      </c>
      <c r="F33" s="50">
        <v>2</v>
      </c>
      <c r="G33" s="50">
        <v>0</v>
      </c>
      <c r="H33" s="50">
        <v>0</v>
      </c>
      <c r="I33" s="50">
        <v>3</v>
      </c>
      <c r="J33" s="50">
        <v>3</v>
      </c>
      <c r="K33" s="50">
        <v>0</v>
      </c>
      <c r="L33" s="50">
        <v>0</v>
      </c>
      <c r="M33" s="50">
        <v>30</v>
      </c>
      <c r="N33" s="50">
        <v>0</v>
      </c>
      <c r="O33" s="15">
        <f t="shared" si="0"/>
        <v>18</v>
      </c>
      <c r="P33" s="15">
        <f t="shared" si="1"/>
        <v>48</v>
      </c>
    </row>
    <row r="34" spans="2:20" ht="23.1" customHeight="1" x14ac:dyDescent="0.25">
      <c r="B34" s="24" t="s">
        <v>61</v>
      </c>
      <c r="C34" s="50">
        <v>32</v>
      </c>
      <c r="D34" s="50">
        <v>6</v>
      </c>
      <c r="E34" s="50">
        <v>5</v>
      </c>
      <c r="F34" s="50">
        <v>9</v>
      </c>
      <c r="G34" s="50">
        <v>0</v>
      </c>
      <c r="H34" s="50">
        <v>0</v>
      </c>
      <c r="I34" s="50">
        <v>3</v>
      </c>
      <c r="J34" s="50">
        <v>4</v>
      </c>
      <c r="K34" s="50">
        <v>2</v>
      </c>
      <c r="L34" s="50">
        <v>0</v>
      </c>
      <c r="M34" s="50">
        <v>59</v>
      </c>
      <c r="N34" s="50">
        <v>0</v>
      </c>
      <c r="O34" s="15">
        <f t="shared" si="0"/>
        <v>61</v>
      </c>
      <c r="P34" s="15">
        <f t="shared" si="1"/>
        <v>120</v>
      </c>
    </row>
    <row r="35" spans="2:20" ht="23.1" customHeight="1" x14ac:dyDescent="0.25">
      <c r="B35" s="24" t="s">
        <v>62</v>
      </c>
      <c r="C35" s="50">
        <v>9</v>
      </c>
      <c r="D35" s="50">
        <v>2</v>
      </c>
      <c r="E35" s="50">
        <v>1</v>
      </c>
      <c r="F35" s="50">
        <v>6</v>
      </c>
      <c r="G35" s="50">
        <v>1</v>
      </c>
      <c r="H35" s="50">
        <v>0</v>
      </c>
      <c r="I35" s="50">
        <v>4</v>
      </c>
      <c r="J35" s="50">
        <v>1</v>
      </c>
      <c r="K35" s="50">
        <v>1</v>
      </c>
      <c r="L35" s="50">
        <v>0</v>
      </c>
      <c r="M35" s="50">
        <v>28</v>
      </c>
      <c r="N35" s="50">
        <v>0</v>
      </c>
      <c r="O35" s="15">
        <f t="shared" si="0"/>
        <v>25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23</v>
      </c>
      <c r="D36" s="50">
        <v>3</v>
      </c>
      <c r="E36" s="50">
        <v>3</v>
      </c>
      <c r="F36" s="50">
        <v>7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45</v>
      </c>
      <c r="N36" s="50">
        <v>0</v>
      </c>
      <c r="O36" s="15">
        <f t="shared" si="0"/>
        <v>39</v>
      </c>
      <c r="P36" s="15">
        <f t="shared" si="1"/>
        <v>84</v>
      </c>
    </row>
    <row r="37" spans="2:20" ht="23.1" customHeight="1" x14ac:dyDescent="0.25">
      <c r="B37" s="23" t="s">
        <v>64</v>
      </c>
      <c r="C37" s="50">
        <v>18</v>
      </c>
      <c r="D37" s="50">
        <v>5</v>
      </c>
      <c r="E37" s="50">
        <v>4</v>
      </c>
      <c r="F37" s="50">
        <v>3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0</v>
      </c>
      <c r="M37" s="50">
        <v>45</v>
      </c>
      <c r="N37" s="50">
        <v>0</v>
      </c>
      <c r="O37" s="15">
        <f t="shared" si="0"/>
        <v>35</v>
      </c>
      <c r="P37" s="15">
        <f t="shared" si="1"/>
        <v>80</v>
      </c>
    </row>
    <row r="38" spans="2:20" ht="23.1" customHeight="1" x14ac:dyDescent="0.25">
      <c r="B38" s="24" t="s">
        <v>65</v>
      </c>
      <c r="C38" s="50">
        <v>24</v>
      </c>
      <c r="D38" s="50">
        <v>5</v>
      </c>
      <c r="E38" s="50">
        <v>3</v>
      </c>
      <c r="F38" s="50">
        <v>10</v>
      </c>
      <c r="G38" s="50">
        <v>1</v>
      </c>
      <c r="H38" s="50">
        <v>0</v>
      </c>
      <c r="I38" s="50">
        <v>10</v>
      </c>
      <c r="J38" s="50">
        <v>0</v>
      </c>
      <c r="K38" s="50">
        <v>0</v>
      </c>
      <c r="L38" s="50">
        <v>0</v>
      </c>
      <c r="M38" s="50">
        <v>69</v>
      </c>
      <c r="N38" s="50">
        <v>0</v>
      </c>
      <c r="O38" s="15">
        <f t="shared" si="0"/>
        <v>53</v>
      </c>
      <c r="P38" s="15">
        <f t="shared" si="1"/>
        <v>122</v>
      </c>
    </row>
    <row r="39" spans="2:20" ht="23.1" customHeight="1" x14ac:dyDescent="0.25">
      <c r="B39" s="24" t="s">
        <v>66</v>
      </c>
      <c r="C39" s="50">
        <v>26</v>
      </c>
      <c r="D39" s="50">
        <v>3</v>
      </c>
      <c r="E39" s="50">
        <v>3</v>
      </c>
      <c r="F39" s="50">
        <v>8</v>
      </c>
      <c r="G39" s="50">
        <v>0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53</v>
      </c>
      <c r="N39" s="50">
        <v>0</v>
      </c>
      <c r="O39" s="15">
        <f t="shared" si="0"/>
        <v>46</v>
      </c>
      <c r="P39" s="15">
        <f t="shared" si="1"/>
        <v>99</v>
      </c>
    </row>
    <row r="40" spans="2:20" ht="23.1" customHeight="1" x14ac:dyDescent="0.25">
      <c r="B40" s="24" t="s">
        <v>67</v>
      </c>
      <c r="C40" s="50">
        <v>21</v>
      </c>
      <c r="D40" s="50">
        <v>1</v>
      </c>
      <c r="E40" s="50">
        <v>4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43</v>
      </c>
      <c r="N40" s="50">
        <v>0</v>
      </c>
      <c r="O40" s="15">
        <f t="shared" si="0"/>
        <v>31</v>
      </c>
      <c r="P40" s="15">
        <f t="shared" si="1"/>
        <v>74</v>
      </c>
    </row>
    <row r="41" spans="2:20" ht="23.1" customHeight="1" x14ac:dyDescent="0.25">
      <c r="B41" s="23" t="s">
        <v>68</v>
      </c>
      <c r="C41" s="50">
        <v>231</v>
      </c>
      <c r="D41" s="50">
        <v>6</v>
      </c>
      <c r="E41" s="50">
        <v>3</v>
      </c>
      <c r="F41" s="50">
        <v>4</v>
      </c>
      <c r="G41" s="50">
        <v>0</v>
      </c>
      <c r="H41" s="50">
        <v>0</v>
      </c>
      <c r="I41" s="50">
        <v>6</v>
      </c>
      <c r="J41" s="50">
        <v>1</v>
      </c>
      <c r="K41" s="50">
        <v>0</v>
      </c>
      <c r="L41" s="50">
        <v>0</v>
      </c>
      <c r="M41" s="50">
        <v>42</v>
      </c>
      <c r="N41" s="50">
        <v>0</v>
      </c>
      <c r="O41" s="15">
        <f t="shared" si="0"/>
        <v>251</v>
      </c>
      <c r="P41" s="15">
        <f t="shared" si="1"/>
        <v>293</v>
      </c>
    </row>
    <row r="42" spans="2:20" ht="23.1" customHeight="1" x14ac:dyDescent="0.25">
      <c r="B42" s="24" t="s">
        <v>69</v>
      </c>
      <c r="C42" s="50">
        <v>15</v>
      </c>
      <c r="D42" s="50">
        <v>2</v>
      </c>
      <c r="E42" s="50">
        <v>4</v>
      </c>
      <c r="F42" s="50">
        <v>7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45</v>
      </c>
      <c r="N42" s="50">
        <v>0</v>
      </c>
      <c r="O42" s="15">
        <f t="shared" si="0"/>
        <v>29</v>
      </c>
      <c r="P42" s="15">
        <f t="shared" si="1"/>
        <v>74</v>
      </c>
    </row>
    <row r="43" spans="2:20" ht="23.1" customHeight="1" x14ac:dyDescent="0.25">
      <c r="B43" s="23" t="s">
        <v>70</v>
      </c>
      <c r="C43" s="50">
        <v>12</v>
      </c>
      <c r="D43" s="50">
        <v>8</v>
      </c>
      <c r="E43" s="50">
        <v>5</v>
      </c>
      <c r="F43" s="50">
        <v>9</v>
      </c>
      <c r="G43" s="50">
        <v>0</v>
      </c>
      <c r="H43" s="50">
        <v>0</v>
      </c>
      <c r="I43" s="50">
        <v>8</v>
      </c>
      <c r="J43" s="50">
        <v>2</v>
      </c>
      <c r="K43" s="50">
        <v>1</v>
      </c>
      <c r="L43" s="50">
        <v>0</v>
      </c>
      <c r="M43" s="50">
        <v>70</v>
      </c>
      <c r="N43" s="50">
        <v>0</v>
      </c>
      <c r="O43" s="15">
        <f t="shared" si="0"/>
        <v>45</v>
      </c>
      <c r="P43" s="15">
        <f t="shared" si="1"/>
        <v>115</v>
      </c>
    </row>
    <row r="44" spans="2:20" ht="23.1" customHeight="1" x14ac:dyDescent="0.25">
      <c r="B44" s="25" t="s">
        <v>71</v>
      </c>
      <c r="C44" s="50">
        <v>32</v>
      </c>
      <c r="D44" s="50">
        <v>14</v>
      </c>
      <c r="E44" s="50">
        <v>10</v>
      </c>
      <c r="F44" s="50">
        <v>6</v>
      </c>
      <c r="G44" s="50">
        <v>0</v>
      </c>
      <c r="H44" s="50">
        <v>0</v>
      </c>
      <c r="I44" s="50">
        <v>5</v>
      </c>
      <c r="J44" s="50">
        <v>3</v>
      </c>
      <c r="K44" s="50">
        <v>0</v>
      </c>
      <c r="L44" s="50">
        <v>0</v>
      </c>
      <c r="M44" s="50">
        <v>51</v>
      </c>
      <c r="N44" s="50">
        <v>0</v>
      </c>
      <c r="O44" s="15">
        <f t="shared" si="0"/>
        <v>70</v>
      </c>
      <c r="P44" s="15">
        <f t="shared" si="1"/>
        <v>121</v>
      </c>
    </row>
    <row r="45" spans="2:20" ht="23.1" customHeight="1" x14ac:dyDescent="0.25">
      <c r="B45" s="23" t="s">
        <v>72</v>
      </c>
      <c r="C45" s="50">
        <v>31</v>
      </c>
      <c r="D45" s="50">
        <v>7</v>
      </c>
      <c r="E45" s="50">
        <v>7</v>
      </c>
      <c r="F45" s="50">
        <v>5</v>
      </c>
      <c r="G45" s="50">
        <v>0</v>
      </c>
      <c r="H45" s="50">
        <v>0</v>
      </c>
      <c r="I45" s="50">
        <v>9</v>
      </c>
      <c r="J45" s="50">
        <v>0</v>
      </c>
      <c r="K45" s="50">
        <v>0</v>
      </c>
      <c r="L45" s="50">
        <v>0</v>
      </c>
      <c r="M45" s="50">
        <v>65</v>
      </c>
      <c r="N45" s="50">
        <v>0</v>
      </c>
      <c r="O45" s="15">
        <f t="shared" si="0"/>
        <v>59</v>
      </c>
      <c r="P45" s="15">
        <f t="shared" si="1"/>
        <v>124</v>
      </c>
    </row>
    <row r="46" spans="2:20" ht="23.1" customHeight="1" x14ac:dyDescent="0.25">
      <c r="B46" s="24" t="s">
        <v>73</v>
      </c>
      <c r="C46" s="50">
        <v>42</v>
      </c>
      <c r="D46" s="50">
        <v>10</v>
      </c>
      <c r="E46" s="50">
        <v>10</v>
      </c>
      <c r="F46" s="50">
        <v>6</v>
      </c>
      <c r="G46" s="50">
        <v>0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76</v>
      </c>
      <c r="N46" s="50">
        <v>0</v>
      </c>
      <c r="O46" s="15">
        <f t="shared" si="0"/>
        <v>76</v>
      </c>
      <c r="P46" s="15">
        <f t="shared" si="1"/>
        <v>152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9</v>
      </c>
      <c r="E47" s="50">
        <v>6</v>
      </c>
      <c r="F47" s="50">
        <v>11</v>
      </c>
      <c r="G47" s="50">
        <v>1</v>
      </c>
      <c r="H47" s="50">
        <v>0</v>
      </c>
      <c r="I47" s="50">
        <v>6</v>
      </c>
      <c r="J47" s="50">
        <v>0</v>
      </c>
      <c r="K47" s="50">
        <v>0</v>
      </c>
      <c r="L47" s="50">
        <v>0</v>
      </c>
      <c r="M47" s="50">
        <v>61</v>
      </c>
      <c r="N47" s="50">
        <v>0</v>
      </c>
      <c r="O47" s="15">
        <f t="shared" si="0"/>
        <v>63</v>
      </c>
      <c r="P47" s="15">
        <f t="shared" si="1"/>
        <v>124</v>
      </c>
      <c r="R47" s="8"/>
      <c r="T47"/>
    </row>
    <row r="48" spans="2:20" ht="23.1" customHeight="1" x14ac:dyDescent="0.25">
      <c r="B48" s="24" t="s">
        <v>75</v>
      </c>
      <c r="C48" s="50">
        <v>57</v>
      </c>
      <c r="D48" s="50">
        <v>9</v>
      </c>
      <c r="E48" s="50">
        <v>8</v>
      </c>
      <c r="F48" s="50">
        <v>8</v>
      </c>
      <c r="G48" s="50">
        <v>0</v>
      </c>
      <c r="H48" s="50">
        <v>0</v>
      </c>
      <c r="I48" s="50">
        <v>4</v>
      </c>
      <c r="J48" s="50">
        <v>1</v>
      </c>
      <c r="K48" s="50">
        <v>0</v>
      </c>
      <c r="L48" s="50">
        <v>0</v>
      </c>
      <c r="M48" s="50">
        <v>67</v>
      </c>
      <c r="N48" s="50">
        <v>0</v>
      </c>
      <c r="O48" s="15">
        <f t="shared" si="0"/>
        <v>87</v>
      </c>
      <c r="P48" s="15">
        <f t="shared" si="1"/>
        <v>154</v>
      </c>
      <c r="R48" s="8"/>
      <c r="T48"/>
    </row>
    <row r="49" spans="2:20" ht="23.1" customHeight="1" x14ac:dyDescent="0.25">
      <c r="B49" s="23" t="s">
        <v>76</v>
      </c>
      <c r="C49" s="50">
        <v>38</v>
      </c>
      <c r="D49" s="50">
        <v>5</v>
      </c>
      <c r="E49" s="50">
        <v>6</v>
      </c>
      <c r="F49" s="50">
        <v>3</v>
      </c>
      <c r="G49" s="50">
        <v>2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43</v>
      </c>
      <c r="N49" s="50">
        <v>0</v>
      </c>
      <c r="O49" s="15">
        <f t="shared" si="0"/>
        <v>57</v>
      </c>
      <c r="P49" s="15">
        <f t="shared" si="1"/>
        <v>100</v>
      </c>
      <c r="R49" s="8"/>
      <c r="T49"/>
    </row>
    <row r="50" spans="2:20" ht="23.1" customHeight="1" x14ac:dyDescent="0.25">
      <c r="B50" s="24" t="s">
        <v>77</v>
      </c>
      <c r="C50" s="50">
        <v>43</v>
      </c>
      <c r="D50" s="50">
        <v>13</v>
      </c>
      <c r="E50" s="50">
        <v>3</v>
      </c>
      <c r="F50" s="50">
        <v>14</v>
      </c>
      <c r="G50" s="50">
        <v>0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60</v>
      </c>
      <c r="N50" s="50">
        <v>0</v>
      </c>
      <c r="O50" s="15">
        <f t="shared" si="0"/>
        <v>78</v>
      </c>
      <c r="P50" s="15">
        <f t="shared" si="1"/>
        <v>138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7</v>
      </c>
      <c r="E51" s="50">
        <v>7</v>
      </c>
      <c r="F51" s="50">
        <v>20</v>
      </c>
      <c r="G51" s="50">
        <v>0</v>
      </c>
      <c r="H51" s="50">
        <v>0</v>
      </c>
      <c r="I51" s="50">
        <v>5</v>
      </c>
      <c r="J51" s="50">
        <v>1</v>
      </c>
      <c r="K51" s="50">
        <v>1</v>
      </c>
      <c r="L51" s="50">
        <v>0</v>
      </c>
      <c r="M51" s="50">
        <v>98</v>
      </c>
      <c r="N51" s="50">
        <v>0</v>
      </c>
      <c r="O51" s="15">
        <f t="shared" si="0"/>
        <v>111</v>
      </c>
      <c r="P51" s="15">
        <f t="shared" si="1"/>
        <v>209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11</v>
      </c>
      <c r="E52" s="50">
        <v>12</v>
      </c>
      <c r="F52" s="50">
        <v>12</v>
      </c>
      <c r="G52" s="50">
        <v>0</v>
      </c>
      <c r="H52" s="50">
        <v>0</v>
      </c>
      <c r="I52" s="50">
        <v>2</v>
      </c>
      <c r="J52" s="50">
        <v>4</v>
      </c>
      <c r="K52" s="50">
        <v>0</v>
      </c>
      <c r="L52" s="50">
        <v>0</v>
      </c>
      <c r="M52" s="50">
        <v>88</v>
      </c>
      <c r="N52" s="50">
        <v>0</v>
      </c>
      <c r="O52" s="15">
        <f t="shared" si="0"/>
        <v>101</v>
      </c>
      <c r="P52" s="15">
        <f t="shared" si="1"/>
        <v>189</v>
      </c>
      <c r="R52" s="8"/>
      <c r="T52"/>
    </row>
    <row r="53" spans="2:20" ht="23.1" customHeight="1" x14ac:dyDescent="0.25">
      <c r="B53" s="23" t="s">
        <v>80</v>
      </c>
      <c r="C53" s="50">
        <v>44</v>
      </c>
      <c r="D53" s="50">
        <v>15</v>
      </c>
      <c r="E53" s="50">
        <v>6</v>
      </c>
      <c r="F53" s="50">
        <v>5</v>
      </c>
      <c r="G53" s="50">
        <v>0</v>
      </c>
      <c r="H53" s="50">
        <v>0</v>
      </c>
      <c r="I53" s="50">
        <v>1</v>
      </c>
      <c r="J53" s="50">
        <v>1</v>
      </c>
      <c r="K53" s="50">
        <v>2</v>
      </c>
      <c r="L53" s="50">
        <v>0</v>
      </c>
      <c r="M53" s="50">
        <v>47</v>
      </c>
      <c r="N53" s="50">
        <v>0</v>
      </c>
      <c r="O53" s="15">
        <f t="shared" si="0"/>
        <v>74</v>
      </c>
      <c r="P53" s="15">
        <f t="shared" si="1"/>
        <v>121</v>
      </c>
      <c r="R53" s="8"/>
      <c r="T53"/>
    </row>
    <row r="54" spans="2:20" ht="23.1" customHeight="1" x14ac:dyDescent="0.25">
      <c r="B54" s="23" t="s">
        <v>81</v>
      </c>
      <c r="C54" s="50">
        <v>48</v>
      </c>
      <c r="D54" s="50">
        <v>8</v>
      </c>
      <c r="E54" s="50">
        <v>7</v>
      </c>
      <c r="F54" s="50">
        <v>18</v>
      </c>
      <c r="G54" s="50">
        <v>0</v>
      </c>
      <c r="H54" s="50">
        <v>0</v>
      </c>
      <c r="I54" s="50">
        <v>10</v>
      </c>
      <c r="J54" s="50">
        <v>2</v>
      </c>
      <c r="K54" s="50">
        <v>1</v>
      </c>
      <c r="L54" s="50">
        <v>0</v>
      </c>
      <c r="M54" s="50">
        <v>60</v>
      </c>
      <c r="N54" s="50">
        <v>0</v>
      </c>
      <c r="O54" s="15">
        <f t="shared" si="0"/>
        <v>94</v>
      </c>
      <c r="P54" s="15">
        <f t="shared" si="1"/>
        <v>154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18</v>
      </c>
      <c r="E55" s="50">
        <v>8</v>
      </c>
      <c r="F55" s="50">
        <v>25</v>
      </c>
      <c r="G55" s="50">
        <v>2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105</v>
      </c>
      <c r="N55" s="50">
        <v>0</v>
      </c>
      <c r="O55" s="15">
        <f t="shared" si="0"/>
        <v>117</v>
      </c>
      <c r="P55" s="15">
        <f t="shared" si="1"/>
        <v>222</v>
      </c>
      <c r="R55" s="8"/>
      <c r="T55"/>
    </row>
    <row r="56" spans="2:20" ht="23.1" customHeight="1" x14ac:dyDescent="0.25">
      <c r="B56" s="23" t="s">
        <v>83</v>
      </c>
      <c r="C56" s="50">
        <v>60</v>
      </c>
      <c r="D56" s="50">
        <v>10</v>
      </c>
      <c r="E56" s="50">
        <v>9</v>
      </c>
      <c r="F56" s="50">
        <v>18</v>
      </c>
      <c r="G56" s="50">
        <v>0</v>
      </c>
      <c r="H56" s="50">
        <v>0</v>
      </c>
      <c r="I56" s="50">
        <v>7</v>
      </c>
      <c r="J56" s="50">
        <v>4</v>
      </c>
      <c r="K56" s="50">
        <v>0</v>
      </c>
      <c r="L56" s="50">
        <v>0</v>
      </c>
      <c r="M56" s="50">
        <v>96</v>
      </c>
      <c r="N56" s="50">
        <v>0</v>
      </c>
      <c r="O56" s="15">
        <f t="shared" si="0"/>
        <v>108</v>
      </c>
      <c r="P56" s="15">
        <f t="shared" si="1"/>
        <v>204</v>
      </c>
      <c r="R56" s="8"/>
      <c r="T56"/>
    </row>
    <row r="57" spans="2:20" ht="23.1" customHeight="1" x14ac:dyDescent="0.25">
      <c r="B57" s="23" t="s">
        <v>84</v>
      </c>
      <c r="C57" s="50">
        <v>50</v>
      </c>
      <c r="D57" s="50">
        <v>4</v>
      </c>
      <c r="E57" s="50">
        <v>3</v>
      </c>
      <c r="F57" s="50">
        <v>14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85</v>
      </c>
      <c r="N57" s="50">
        <v>0</v>
      </c>
      <c r="O57" s="15">
        <f t="shared" si="0"/>
        <v>74</v>
      </c>
      <c r="P57" s="15">
        <f t="shared" si="1"/>
        <v>159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1487</v>
      </c>
      <c r="D58" s="16">
        <f t="shared" si="21"/>
        <v>277</v>
      </c>
      <c r="E58" s="16">
        <f t="shared" si="21"/>
        <v>232</v>
      </c>
      <c r="F58" s="16">
        <f t="shared" si="21"/>
        <v>412</v>
      </c>
      <c r="G58" s="16">
        <f t="shared" si="21"/>
        <v>12</v>
      </c>
      <c r="H58" s="16">
        <f t="shared" si="21"/>
        <v>0</v>
      </c>
      <c r="I58" s="16">
        <f t="shared" si="21"/>
        <v>232</v>
      </c>
      <c r="J58" s="16">
        <f t="shared" si="21"/>
        <v>57</v>
      </c>
      <c r="K58" s="16">
        <f t="shared" si="21"/>
        <v>14</v>
      </c>
      <c r="L58" s="16">
        <f t="shared" si="21"/>
        <v>2</v>
      </c>
      <c r="M58" s="16">
        <f t="shared" si="21"/>
        <v>3309</v>
      </c>
      <c r="N58" s="16">
        <f t="shared" si="21"/>
        <v>0</v>
      </c>
      <c r="O58" s="16">
        <f t="shared" si="21"/>
        <v>2725</v>
      </c>
      <c r="P58" s="16">
        <f t="shared" si="21"/>
        <v>6034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0.24643685780576732</v>
      </c>
      <c r="D59" s="43">
        <f t="shared" si="22"/>
        <v>4.5906529665230358E-2</v>
      </c>
      <c r="E59" s="43">
        <f t="shared" si="22"/>
        <v>3.8448790188929403E-2</v>
      </c>
      <c r="F59" s="43">
        <f t="shared" si="22"/>
        <v>6.8279748094133244E-2</v>
      </c>
      <c r="G59" s="43">
        <f t="shared" si="22"/>
        <v>1.9887305270135896E-3</v>
      </c>
      <c r="H59" s="43">
        <f t="shared" si="22"/>
        <v>0</v>
      </c>
      <c r="I59" s="43">
        <f t="shared" si="22"/>
        <v>3.8448790188929403E-2</v>
      </c>
      <c r="J59" s="43">
        <f t="shared" si="22"/>
        <v>9.4464700033145502E-3</v>
      </c>
      <c r="K59" s="43">
        <f t="shared" si="22"/>
        <v>2.3201856148491878E-3</v>
      </c>
      <c r="L59" s="43">
        <f t="shared" si="22"/>
        <v>3.3145508783559825E-4</v>
      </c>
      <c r="M59" s="43">
        <f t="shared" si="22"/>
        <v>0.54839244282399735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0.54568807339449543</v>
      </c>
      <c r="D60" s="44">
        <f t="shared" ref="D60:N60" si="23">D58/$O$58</f>
        <v>0.10165137614678899</v>
      </c>
      <c r="E60" s="44">
        <f t="shared" si="23"/>
        <v>8.5137614678899076E-2</v>
      </c>
      <c r="F60" s="44">
        <f t="shared" si="23"/>
        <v>0.15119266055045871</v>
      </c>
      <c r="G60" s="44">
        <f t="shared" si="23"/>
        <v>4.4036697247706426E-3</v>
      </c>
      <c r="H60" s="44">
        <f t="shared" si="23"/>
        <v>0</v>
      </c>
      <c r="I60" s="44">
        <f t="shared" si="23"/>
        <v>8.5137614678899076E-2</v>
      </c>
      <c r="J60" s="44">
        <f t="shared" si="23"/>
        <v>2.0917431192660551E-2</v>
      </c>
      <c r="K60" s="44">
        <f t="shared" si="23"/>
        <v>5.1376146788990823E-3</v>
      </c>
      <c r="L60" s="44">
        <f t="shared" si="23"/>
        <v>7.3394495412844036E-4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K49" sqref="K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70">
        <f>'29.07 NSOOBA-KYEBANDO'!G5:H5</f>
        <v>29</v>
      </c>
      <c r="H5" s="71"/>
      <c r="I5" s="14"/>
      <c r="J5" s="2" t="s">
        <v>5</v>
      </c>
      <c r="K5" s="70" t="str">
        <f>'29.07 NSOOBA-KYEBANDO'!K5:L5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NSOOBA-KYEBANDO'!D6:E6</f>
        <v>NSOOBA</v>
      </c>
      <c r="E6" s="71"/>
      <c r="F6" s="2" t="s">
        <v>2</v>
      </c>
      <c r="G6" s="70" t="str">
        <f>'29.07 NSOOBA-KYEBANDO'!G6:H6</f>
        <v>KYEBANDO</v>
      </c>
      <c r="H6" s="71"/>
      <c r="J6" s="2" t="s">
        <v>21</v>
      </c>
      <c r="K6" s="70" t="str">
        <f>'29.07 NSOOBA-KYEBANDO'!K6:L6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104</v>
      </c>
      <c r="D10" s="50">
        <v>31</v>
      </c>
      <c r="E10" s="50">
        <v>3</v>
      </c>
      <c r="F10" s="50">
        <v>53</v>
      </c>
      <c r="G10" s="50">
        <v>0</v>
      </c>
      <c r="H10" s="50">
        <v>0</v>
      </c>
      <c r="I10" s="50">
        <v>5</v>
      </c>
      <c r="J10" s="50">
        <v>0</v>
      </c>
      <c r="K10" s="50">
        <v>1</v>
      </c>
      <c r="L10" s="50">
        <v>0</v>
      </c>
      <c r="M10" s="50">
        <v>116</v>
      </c>
      <c r="N10" s="50">
        <v>0</v>
      </c>
      <c r="O10" s="15">
        <f t="shared" ref="O10:O57" si="0">SUM(C10:L10,N10)</f>
        <v>197</v>
      </c>
      <c r="P10" s="15">
        <f t="shared" ref="P10:P57" si="1">SUM(C10:N10)</f>
        <v>313</v>
      </c>
      <c r="R10" s="1" t="s">
        <v>6</v>
      </c>
      <c r="S10" s="17">
        <f t="shared" ref="S10:AF10" si="2">SUM(C10:C13)</f>
        <v>394</v>
      </c>
      <c r="T10" s="17">
        <f t="shared" si="2"/>
        <v>69</v>
      </c>
      <c r="U10" s="17">
        <f t="shared" si="2"/>
        <v>24</v>
      </c>
      <c r="V10" s="17">
        <f t="shared" si="2"/>
        <v>176</v>
      </c>
      <c r="W10" s="17">
        <f t="shared" si="2"/>
        <v>3</v>
      </c>
      <c r="X10" s="17">
        <f t="shared" si="2"/>
        <v>0</v>
      </c>
      <c r="Y10" s="17">
        <f t="shared" si="2"/>
        <v>22</v>
      </c>
      <c r="Z10" s="17">
        <f t="shared" si="2"/>
        <v>2</v>
      </c>
      <c r="AA10" s="17">
        <f t="shared" si="2"/>
        <v>2</v>
      </c>
      <c r="AB10" s="17">
        <f t="shared" si="2"/>
        <v>2</v>
      </c>
      <c r="AC10" s="17">
        <f t="shared" si="2"/>
        <v>598</v>
      </c>
      <c r="AD10" s="17">
        <f t="shared" si="2"/>
        <v>0</v>
      </c>
      <c r="AE10" s="31">
        <f t="shared" si="2"/>
        <v>694</v>
      </c>
      <c r="AF10" s="31">
        <f t="shared" si="2"/>
        <v>1292</v>
      </c>
    </row>
    <row r="11" spans="2:32" s="6" customFormat="1" ht="23.1" customHeight="1" x14ac:dyDescent="0.25">
      <c r="B11" s="23" t="s">
        <v>38</v>
      </c>
      <c r="C11" s="50">
        <v>99</v>
      </c>
      <c r="D11" s="50">
        <v>13</v>
      </c>
      <c r="E11" s="50">
        <v>6</v>
      </c>
      <c r="F11" s="50">
        <v>37</v>
      </c>
      <c r="G11" s="50">
        <v>1</v>
      </c>
      <c r="H11" s="50">
        <v>0</v>
      </c>
      <c r="I11" s="50">
        <v>8</v>
      </c>
      <c r="J11" s="50">
        <v>0</v>
      </c>
      <c r="K11" s="50">
        <v>0</v>
      </c>
      <c r="L11" s="50">
        <v>0</v>
      </c>
      <c r="M11" s="50">
        <v>119</v>
      </c>
      <c r="N11" s="50">
        <v>0</v>
      </c>
      <c r="O11" s="15">
        <f t="shared" si="0"/>
        <v>164</v>
      </c>
      <c r="P11" s="15">
        <f t="shared" si="1"/>
        <v>283</v>
      </c>
      <c r="R11" s="1" t="s">
        <v>7</v>
      </c>
      <c r="S11" s="17">
        <f t="shared" ref="S11:AF11" si="3">SUM(C14:C17)</f>
        <v>241</v>
      </c>
      <c r="T11" s="17">
        <f t="shared" si="3"/>
        <v>34</v>
      </c>
      <c r="U11" s="17">
        <f t="shared" si="3"/>
        <v>19</v>
      </c>
      <c r="V11" s="17">
        <f t="shared" si="3"/>
        <v>159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694</v>
      </c>
      <c r="AD11" s="17">
        <f t="shared" si="3"/>
        <v>0</v>
      </c>
      <c r="AE11" s="31">
        <f t="shared" si="3"/>
        <v>470</v>
      </c>
      <c r="AF11" s="31">
        <f t="shared" si="3"/>
        <v>1164</v>
      </c>
    </row>
    <row r="12" spans="2:32" ht="23.1" customHeight="1" x14ac:dyDescent="0.25">
      <c r="B12" s="23" t="s">
        <v>39</v>
      </c>
      <c r="C12" s="50">
        <v>102</v>
      </c>
      <c r="D12" s="50">
        <v>17</v>
      </c>
      <c r="E12" s="50">
        <v>7</v>
      </c>
      <c r="F12" s="50">
        <v>42</v>
      </c>
      <c r="G12" s="50">
        <v>1</v>
      </c>
      <c r="H12" s="50">
        <v>0</v>
      </c>
      <c r="I12" s="50">
        <v>2</v>
      </c>
      <c r="J12" s="50">
        <v>0</v>
      </c>
      <c r="K12" s="50">
        <v>1</v>
      </c>
      <c r="L12" s="50">
        <v>2</v>
      </c>
      <c r="M12" s="50">
        <v>192</v>
      </c>
      <c r="N12" s="50">
        <v>0</v>
      </c>
      <c r="O12" s="15">
        <f t="shared" si="0"/>
        <v>174</v>
      </c>
      <c r="P12" s="15">
        <f t="shared" si="1"/>
        <v>366</v>
      </c>
      <c r="R12" s="1" t="s">
        <v>8</v>
      </c>
      <c r="S12" s="17">
        <f t="shared" ref="S12:AF12" si="4">SUM(C18:C21)</f>
        <v>205</v>
      </c>
      <c r="T12" s="17">
        <f t="shared" si="4"/>
        <v>39</v>
      </c>
      <c r="U12" s="17">
        <f t="shared" si="4"/>
        <v>15</v>
      </c>
      <c r="V12" s="17">
        <f t="shared" si="4"/>
        <v>77</v>
      </c>
      <c r="W12" s="17">
        <f t="shared" si="4"/>
        <v>4</v>
      </c>
      <c r="X12" s="17">
        <f t="shared" si="4"/>
        <v>0</v>
      </c>
      <c r="Y12" s="17">
        <f t="shared" si="4"/>
        <v>16</v>
      </c>
      <c r="Z12" s="17">
        <f t="shared" si="4"/>
        <v>3</v>
      </c>
      <c r="AA12" s="17">
        <f t="shared" si="4"/>
        <v>2</v>
      </c>
      <c r="AB12" s="17">
        <f t="shared" si="4"/>
        <v>0</v>
      </c>
      <c r="AC12" s="17">
        <f t="shared" si="4"/>
        <v>549</v>
      </c>
      <c r="AD12" s="17">
        <f t="shared" si="4"/>
        <v>0</v>
      </c>
      <c r="AE12" s="31">
        <f t="shared" si="4"/>
        <v>361</v>
      </c>
      <c r="AF12" s="31">
        <f t="shared" si="4"/>
        <v>910</v>
      </c>
    </row>
    <row r="13" spans="2:32" ht="23.1" customHeight="1" x14ac:dyDescent="0.25">
      <c r="B13" s="23" t="s">
        <v>40</v>
      </c>
      <c r="C13" s="50">
        <v>89</v>
      </c>
      <c r="D13" s="50">
        <v>8</v>
      </c>
      <c r="E13" s="50">
        <v>8</v>
      </c>
      <c r="F13" s="50">
        <v>44</v>
      </c>
      <c r="G13" s="50">
        <v>1</v>
      </c>
      <c r="H13" s="50">
        <v>0</v>
      </c>
      <c r="I13" s="50">
        <v>7</v>
      </c>
      <c r="J13" s="50">
        <v>2</v>
      </c>
      <c r="K13" s="50">
        <v>0</v>
      </c>
      <c r="L13" s="50">
        <v>0</v>
      </c>
      <c r="M13" s="50">
        <v>171</v>
      </c>
      <c r="N13" s="50">
        <v>0</v>
      </c>
      <c r="O13" s="15">
        <f t="shared" si="0"/>
        <v>159</v>
      </c>
      <c r="P13" s="15">
        <f t="shared" si="1"/>
        <v>330</v>
      </c>
      <c r="R13" s="1" t="s">
        <v>9</v>
      </c>
      <c r="S13" s="17">
        <f t="shared" ref="S13:AF13" si="5">SUM(C22:C25)</f>
        <v>154</v>
      </c>
      <c r="T13" s="17">
        <f t="shared" si="5"/>
        <v>29</v>
      </c>
      <c r="U13" s="17">
        <f t="shared" si="5"/>
        <v>15</v>
      </c>
      <c r="V13" s="17">
        <f t="shared" si="5"/>
        <v>42</v>
      </c>
      <c r="W13" s="17">
        <f t="shared" si="5"/>
        <v>0</v>
      </c>
      <c r="X13" s="17">
        <f t="shared" si="5"/>
        <v>0</v>
      </c>
      <c r="Y13" s="17">
        <f t="shared" si="5"/>
        <v>17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261</v>
      </c>
      <c r="AD13" s="17">
        <f t="shared" si="5"/>
        <v>0</v>
      </c>
      <c r="AE13" s="31">
        <f t="shared" si="5"/>
        <v>259</v>
      </c>
      <c r="AF13" s="31">
        <f t="shared" si="5"/>
        <v>520</v>
      </c>
    </row>
    <row r="14" spans="2:32" ht="23.1" customHeight="1" x14ac:dyDescent="0.25">
      <c r="B14" s="23" t="s">
        <v>41</v>
      </c>
      <c r="C14" s="50">
        <v>52</v>
      </c>
      <c r="D14" s="50">
        <v>7</v>
      </c>
      <c r="E14" s="50">
        <v>4</v>
      </c>
      <c r="F14" s="50">
        <v>54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207</v>
      </c>
      <c r="N14" s="50">
        <v>0</v>
      </c>
      <c r="O14" s="15">
        <f t="shared" si="0"/>
        <v>119</v>
      </c>
      <c r="P14" s="15">
        <f t="shared" si="1"/>
        <v>326</v>
      </c>
      <c r="R14" s="1" t="s">
        <v>10</v>
      </c>
      <c r="S14" s="17">
        <f t="shared" ref="S14:AF14" si="6">SUM(C26:C29)</f>
        <v>61</v>
      </c>
      <c r="T14" s="17">
        <f t="shared" si="6"/>
        <v>20</v>
      </c>
      <c r="U14" s="17">
        <f t="shared" si="6"/>
        <v>14</v>
      </c>
      <c r="V14" s="17">
        <f t="shared" si="6"/>
        <v>30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205</v>
      </c>
      <c r="AD14" s="17">
        <f t="shared" si="6"/>
        <v>0</v>
      </c>
      <c r="AE14" s="31">
        <f t="shared" si="6"/>
        <v>137</v>
      </c>
      <c r="AF14" s="31">
        <f t="shared" si="6"/>
        <v>342</v>
      </c>
    </row>
    <row r="15" spans="2:32" ht="23.1" customHeight="1" x14ac:dyDescent="0.25">
      <c r="B15" s="23" t="s">
        <v>42</v>
      </c>
      <c r="C15" s="50">
        <v>68</v>
      </c>
      <c r="D15" s="50">
        <v>5</v>
      </c>
      <c r="E15" s="50">
        <v>5</v>
      </c>
      <c r="F15" s="50">
        <v>42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171</v>
      </c>
      <c r="N15" s="50">
        <v>0</v>
      </c>
      <c r="O15" s="15">
        <f t="shared" si="0"/>
        <v>123</v>
      </c>
      <c r="P15" s="15">
        <f t="shared" si="1"/>
        <v>294</v>
      </c>
      <c r="R15" s="1" t="s">
        <v>11</v>
      </c>
      <c r="S15" s="17">
        <f t="shared" ref="S15:AF15" si="7">SUM(C30:C33)</f>
        <v>69</v>
      </c>
      <c r="T15" s="17">
        <f t="shared" si="7"/>
        <v>25</v>
      </c>
      <c r="U15" s="17">
        <f t="shared" si="7"/>
        <v>9</v>
      </c>
      <c r="V15" s="17">
        <f t="shared" si="7"/>
        <v>32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5</v>
      </c>
      <c r="AA15" s="17">
        <f t="shared" si="7"/>
        <v>1</v>
      </c>
      <c r="AB15" s="17">
        <f t="shared" si="7"/>
        <v>1</v>
      </c>
      <c r="AC15" s="17">
        <f t="shared" si="7"/>
        <v>207</v>
      </c>
      <c r="AD15" s="17">
        <f t="shared" si="7"/>
        <v>0</v>
      </c>
      <c r="AE15" s="31">
        <f t="shared" si="7"/>
        <v>151</v>
      </c>
      <c r="AF15" s="31">
        <f t="shared" si="7"/>
        <v>358</v>
      </c>
    </row>
    <row r="16" spans="2:32" ht="23.1" customHeight="1" x14ac:dyDescent="0.25">
      <c r="B16" s="23" t="s">
        <v>43</v>
      </c>
      <c r="C16" s="50">
        <v>66</v>
      </c>
      <c r="D16" s="50">
        <v>13</v>
      </c>
      <c r="E16" s="50">
        <v>6</v>
      </c>
      <c r="F16" s="50">
        <v>39</v>
      </c>
      <c r="G16" s="50">
        <v>0</v>
      </c>
      <c r="H16" s="50">
        <v>0</v>
      </c>
      <c r="I16" s="50">
        <v>7</v>
      </c>
      <c r="J16" s="50">
        <v>2</v>
      </c>
      <c r="K16" s="50">
        <v>0</v>
      </c>
      <c r="L16" s="50">
        <v>0</v>
      </c>
      <c r="M16" s="50">
        <v>163</v>
      </c>
      <c r="N16" s="50">
        <v>0</v>
      </c>
      <c r="O16" s="15">
        <f t="shared" si="0"/>
        <v>133</v>
      </c>
      <c r="P16" s="15">
        <f t="shared" si="1"/>
        <v>296</v>
      </c>
      <c r="R16" s="1" t="s">
        <v>12</v>
      </c>
      <c r="S16" s="17">
        <f t="shared" ref="S16:AF16" si="8">SUM(C34:C37)</f>
        <v>52</v>
      </c>
      <c r="T16" s="17">
        <f t="shared" si="8"/>
        <v>18</v>
      </c>
      <c r="U16" s="17">
        <f t="shared" si="8"/>
        <v>11</v>
      </c>
      <c r="V16" s="17">
        <f t="shared" si="8"/>
        <v>27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164</v>
      </c>
      <c r="AD16" s="17">
        <f t="shared" si="8"/>
        <v>0</v>
      </c>
      <c r="AE16" s="31">
        <f t="shared" si="8"/>
        <v>122</v>
      </c>
      <c r="AF16" s="31">
        <f t="shared" si="8"/>
        <v>286</v>
      </c>
    </row>
    <row r="17" spans="2:32" ht="23.1" customHeight="1" x14ac:dyDescent="0.25">
      <c r="B17" s="23" t="s">
        <v>44</v>
      </c>
      <c r="C17" s="50">
        <v>55</v>
      </c>
      <c r="D17" s="50">
        <v>9</v>
      </c>
      <c r="E17" s="50">
        <v>4</v>
      </c>
      <c r="F17" s="50">
        <v>24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153</v>
      </c>
      <c r="N17" s="50">
        <v>0</v>
      </c>
      <c r="O17" s="15">
        <f t="shared" si="0"/>
        <v>95</v>
      </c>
      <c r="P17" s="15">
        <f t="shared" si="1"/>
        <v>248</v>
      </c>
      <c r="R17" s="1" t="s">
        <v>13</v>
      </c>
      <c r="S17" s="17">
        <f t="shared" ref="S17:AF17" si="9">SUM(C38:C41)</f>
        <v>76</v>
      </c>
      <c r="T17" s="17">
        <f t="shared" si="9"/>
        <v>12</v>
      </c>
      <c r="U17" s="17">
        <f t="shared" si="9"/>
        <v>13</v>
      </c>
      <c r="V17" s="17">
        <f t="shared" si="9"/>
        <v>13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135</v>
      </c>
      <c r="AD17" s="17">
        <f t="shared" si="9"/>
        <v>0</v>
      </c>
      <c r="AE17" s="31">
        <f t="shared" si="9"/>
        <v>129</v>
      </c>
      <c r="AF17" s="31">
        <f t="shared" si="9"/>
        <v>264</v>
      </c>
    </row>
    <row r="18" spans="2:32" ht="23.1" customHeight="1" x14ac:dyDescent="0.25">
      <c r="B18" s="23" t="s">
        <v>45</v>
      </c>
      <c r="C18" s="50">
        <v>64</v>
      </c>
      <c r="D18" s="50">
        <v>10</v>
      </c>
      <c r="E18" s="50">
        <v>4</v>
      </c>
      <c r="F18" s="50">
        <v>30</v>
      </c>
      <c r="G18" s="50">
        <v>1</v>
      </c>
      <c r="H18" s="50">
        <v>0</v>
      </c>
      <c r="I18" s="50">
        <v>4</v>
      </c>
      <c r="J18" s="50">
        <v>2</v>
      </c>
      <c r="K18" s="50">
        <v>1</v>
      </c>
      <c r="L18" s="50">
        <v>0</v>
      </c>
      <c r="M18" s="50">
        <v>145</v>
      </c>
      <c r="N18" s="50">
        <v>0</v>
      </c>
      <c r="O18" s="15">
        <f t="shared" si="0"/>
        <v>116</v>
      </c>
      <c r="P18" s="15">
        <f t="shared" si="1"/>
        <v>261</v>
      </c>
      <c r="R18" s="1" t="s">
        <v>14</v>
      </c>
      <c r="S18" s="17">
        <f t="shared" ref="S18:AF18" si="10">SUM(C42:C45)</f>
        <v>66</v>
      </c>
      <c r="T18" s="17">
        <f t="shared" si="10"/>
        <v>16</v>
      </c>
      <c r="U18" s="17">
        <f t="shared" si="10"/>
        <v>17</v>
      </c>
      <c r="V18" s="17">
        <f t="shared" si="10"/>
        <v>21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151</v>
      </c>
      <c r="AD18" s="17">
        <f t="shared" si="10"/>
        <v>0</v>
      </c>
      <c r="AE18" s="31">
        <f t="shared" si="10"/>
        <v>136</v>
      </c>
      <c r="AF18" s="31">
        <f t="shared" si="10"/>
        <v>287</v>
      </c>
    </row>
    <row r="19" spans="2:32" ht="23.1" customHeight="1" x14ac:dyDescent="0.25">
      <c r="B19" s="23" t="s">
        <v>46</v>
      </c>
      <c r="C19" s="50">
        <v>47</v>
      </c>
      <c r="D19" s="50">
        <v>9</v>
      </c>
      <c r="E19" s="50">
        <v>2</v>
      </c>
      <c r="F19" s="50">
        <v>15</v>
      </c>
      <c r="G19" s="50">
        <v>3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111</v>
      </c>
      <c r="N19" s="50">
        <v>0</v>
      </c>
      <c r="O19" s="15">
        <f t="shared" si="0"/>
        <v>79</v>
      </c>
      <c r="P19" s="15">
        <f t="shared" si="1"/>
        <v>190</v>
      </c>
      <c r="R19" s="1" t="s">
        <v>15</v>
      </c>
      <c r="S19" s="17">
        <f t="shared" ref="S19:AF19" si="11">SUM(C46:C49)</f>
        <v>78</v>
      </c>
      <c r="T19" s="17">
        <f t="shared" si="11"/>
        <v>16</v>
      </c>
      <c r="U19" s="17">
        <f t="shared" si="11"/>
        <v>9</v>
      </c>
      <c r="V19" s="17">
        <f t="shared" si="11"/>
        <v>22</v>
      </c>
      <c r="W19" s="17">
        <f t="shared" si="11"/>
        <v>1</v>
      </c>
      <c r="X19" s="17">
        <f t="shared" si="11"/>
        <v>0</v>
      </c>
      <c r="Y19" s="17">
        <f t="shared" si="11"/>
        <v>13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209</v>
      </c>
      <c r="AD19" s="17">
        <f t="shared" si="11"/>
        <v>0</v>
      </c>
      <c r="AE19" s="31">
        <f t="shared" si="11"/>
        <v>143</v>
      </c>
      <c r="AF19" s="31">
        <f t="shared" si="11"/>
        <v>352</v>
      </c>
    </row>
    <row r="20" spans="2:32" ht="23.1" customHeight="1" x14ac:dyDescent="0.25">
      <c r="B20" s="23" t="s">
        <v>47</v>
      </c>
      <c r="C20" s="50">
        <v>54</v>
      </c>
      <c r="D20" s="50">
        <v>10</v>
      </c>
      <c r="E20" s="50">
        <v>3</v>
      </c>
      <c r="F20" s="50">
        <v>22</v>
      </c>
      <c r="G20" s="50">
        <v>0</v>
      </c>
      <c r="H20" s="50">
        <v>0</v>
      </c>
      <c r="I20" s="50">
        <v>4</v>
      </c>
      <c r="J20" s="50">
        <v>1</v>
      </c>
      <c r="K20" s="50">
        <v>1</v>
      </c>
      <c r="L20" s="50">
        <v>0</v>
      </c>
      <c r="M20" s="50">
        <v>106</v>
      </c>
      <c r="N20" s="50">
        <v>0</v>
      </c>
      <c r="O20" s="15">
        <f t="shared" si="0"/>
        <v>95</v>
      </c>
      <c r="P20" s="15">
        <f t="shared" si="1"/>
        <v>201</v>
      </c>
      <c r="R20" s="1" t="s">
        <v>16</v>
      </c>
      <c r="S20" s="17">
        <f t="shared" ref="S20:AF20" si="12">SUM(C50:C53)</f>
        <v>77</v>
      </c>
      <c r="T20" s="17">
        <f t="shared" si="12"/>
        <v>23</v>
      </c>
      <c r="U20" s="17">
        <f t="shared" si="12"/>
        <v>9</v>
      </c>
      <c r="V20" s="17">
        <f t="shared" si="12"/>
        <v>23</v>
      </c>
      <c r="W20" s="17">
        <f t="shared" si="12"/>
        <v>2</v>
      </c>
      <c r="X20" s="17">
        <f t="shared" si="12"/>
        <v>0</v>
      </c>
      <c r="Y20" s="17">
        <f t="shared" si="12"/>
        <v>21</v>
      </c>
      <c r="Z20" s="17">
        <f t="shared" si="12"/>
        <v>0</v>
      </c>
      <c r="AA20" s="17">
        <f t="shared" si="12"/>
        <v>1</v>
      </c>
      <c r="AB20" s="17">
        <f t="shared" si="12"/>
        <v>0</v>
      </c>
      <c r="AC20" s="17">
        <f t="shared" si="12"/>
        <v>249</v>
      </c>
      <c r="AD20" s="17">
        <f t="shared" si="12"/>
        <v>0</v>
      </c>
      <c r="AE20" s="31">
        <f t="shared" si="12"/>
        <v>156</v>
      </c>
      <c r="AF20" s="31">
        <f t="shared" si="12"/>
        <v>405</v>
      </c>
    </row>
    <row r="21" spans="2:32" ht="23.1" customHeight="1" x14ac:dyDescent="0.25">
      <c r="B21" s="23" t="s">
        <v>48</v>
      </c>
      <c r="C21" s="50">
        <v>40</v>
      </c>
      <c r="D21" s="50">
        <v>10</v>
      </c>
      <c r="E21" s="50">
        <v>6</v>
      </c>
      <c r="F21" s="50">
        <v>10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0</v>
      </c>
      <c r="M21" s="50">
        <v>187</v>
      </c>
      <c r="N21" s="50">
        <v>0</v>
      </c>
      <c r="O21" s="15">
        <f t="shared" si="0"/>
        <v>71</v>
      </c>
      <c r="P21" s="15">
        <f t="shared" si="1"/>
        <v>258</v>
      </c>
      <c r="R21" s="36" t="s">
        <v>20</v>
      </c>
      <c r="S21" s="34">
        <f t="shared" ref="S21:AF21" si="13">SUM(C54:C57)</f>
        <v>58</v>
      </c>
      <c r="T21" s="17">
        <f t="shared" si="13"/>
        <v>11</v>
      </c>
      <c r="U21" s="17">
        <f t="shared" si="13"/>
        <v>11</v>
      </c>
      <c r="V21" s="17">
        <f t="shared" si="13"/>
        <v>25</v>
      </c>
      <c r="W21" s="17">
        <f t="shared" si="13"/>
        <v>5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243</v>
      </c>
      <c r="AD21" s="17">
        <f t="shared" si="13"/>
        <v>0</v>
      </c>
      <c r="AE21" s="31">
        <f t="shared" si="13"/>
        <v>122</v>
      </c>
      <c r="AF21" s="31">
        <f t="shared" si="13"/>
        <v>365</v>
      </c>
    </row>
    <row r="22" spans="2:32" ht="23.1" customHeight="1" x14ac:dyDescent="0.25">
      <c r="B22" s="23" t="s">
        <v>49</v>
      </c>
      <c r="C22" s="50">
        <v>45</v>
      </c>
      <c r="D22" s="50">
        <v>8</v>
      </c>
      <c r="E22" s="50">
        <v>4</v>
      </c>
      <c r="F22" s="50">
        <v>13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78</v>
      </c>
      <c r="N22" s="50">
        <v>0</v>
      </c>
      <c r="O22" s="15">
        <f t="shared" si="0"/>
        <v>71</v>
      </c>
      <c r="P22" s="15">
        <f t="shared" si="1"/>
        <v>149</v>
      </c>
      <c r="R22" s="38" t="s">
        <v>90</v>
      </c>
      <c r="S22" s="39">
        <f>MAX(S10:S12)</f>
        <v>394</v>
      </c>
      <c r="T22" s="39">
        <f t="shared" ref="T22:AF22" si="14">MAX(T10:T12)</f>
        <v>69</v>
      </c>
      <c r="U22" s="39">
        <f t="shared" si="14"/>
        <v>24</v>
      </c>
      <c r="V22" s="39">
        <f t="shared" si="14"/>
        <v>176</v>
      </c>
      <c r="W22" s="39">
        <f t="shared" si="14"/>
        <v>4</v>
      </c>
      <c r="X22" s="39">
        <f t="shared" si="14"/>
        <v>0</v>
      </c>
      <c r="Y22" s="39">
        <f t="shared" si="14"/>
        <v>22</v>
      </c>
      <c r="Z22" s="39">
        <f t="shared" si="14"/>
        <v>3</v>
      </c>
      <c r="AA22" s="39">
        <f t="shared" si="14"/>
        <v>2</v>
      </c>
      <c r="AB22" s="39">
        <f t="shared" si="14"/>
        <v>2</v>
      </c>
      <c r="AC22" s="39">
        <f t="shared" si="14"/>
        <v>694</v>
      </c>
      <c r="AD22" s="39">
        <f t="shared" si="14"/>
        <v>0</v>
      </c>
      <c r="AE22" s="40">
        <f t="shared" si="14"/>
        <v>694</v>
      </c>
      <c r="AF22" s="40">
        <f t="shared" si="14"/>
        <v>1292</v>
      </c>
    </row>
    <row r="23" spans="2:32" ht="23.1" customHeight="1" x14ac:dyDescent="0.25">
      <c r="B23" s="23" t="s">
        <v>50</v>
      </c>
      <c r="C23" s="50">
        <v>27</v>
      </c>
      <c r="D23" s="50">
        <v>7</v>
      </c>
      <c r="E23" s="50">
        <v>6</v>
      </c>
      <c r="F23" s="50">
        <v>7</v>
      </c>
      <c r="G23" s="50">
        <v>0</v>
      </c>
      <c r="H23" s="50">
        <v>0</v>
      </c>
      <c r="I23" s="50">
        <v>7</v>
      </c>
      <c r="J23" s="50">
        <v>0</v>
      </c>
      <c r="K23" s="50">
        <v>0</v>
      </c>
      <c r="L23" s="50">
        <v>0</v>
      </c>
      <c r="M23" s="50">
        <v>58</v>
      </c>
      <c r="N23" s="50">
        <v>0</v>
      </c>
      <c r="O23" s="15">
        <f t="shared" si="0"/>
        <v>54</v>
      </c>
      <c r="P23" s="15">
        <f t="shared" si="1"/>
        <v>112</v>
      </c>
      <c r="R23" s="38" t="s">
        <v>91</v>
      </c>
      <c r="S23" s="39">
        <f>MAX(S13:S18)</f>
        <v>154</v>
      </c>
      <c r="T23" s="39">
        <f t="shared" ref="T23:AF23" si="15">MAX(T13:T18)</f>
        <v>29</v>
      </c>
      <c r="U23" s="39">
        <f t="shared" si="15"/>
        <v>17</v>
      </c>
      <c r="V23" s="39">
        <f t="shared" si="15"/>
        <v>42</v>
      </c>
      <c r="W23" s="39">
        <f t="shared" si="15"/>
        <v>1</v>
      </c>
      <c r="X23" s="39">
        <f t="shared" si="15"/>
        <v>0</v>
      </c>
      <c r="Y23" s="39">
        <f t="shared" si="15"/>
        <v>17</v>
      </c>
      <c r="Z23" s="39">
        <f t="shared" si="15"/>
        <v>5</v>
      </c>
      <c r="AA23" s="39">
        <f t="shared" si="15"/>
        <v>1</v>
      </c>
      <c r="AB23" s="39">
        <f t="shared" si="15"/>
        <v>1</v>
      </c>
      <c r="AC23" s="39">
        <f t="shared" si="15"/>
        <v>261</v>
      </c>
      <c r="AD23" s="39">
        <f t="shared" si="15"/>
        <v>0</v>
      </c>
      <c r="AE23" s="40">
        <f t="shared" si="15"/>
        <v>259</v>
      </c>
      <c r="AF23" s="40">
        <f t="shared" si="15"/>
        <v>520</v>
      </c>
    </row>
    <row r="24" spans="2:32" ht="23.1" customHeight="1" x14ac:dyDescent="0.25">
      <c r="B24" s="23" t="s">
        <v>51</v>
      </c>
      <c r="C24" s="50">
        <v>46</v>
      </c>
      <c r="D24" s="50">
        <v>8</v>
      </c>
      <c r="E24" s="50">
        <v>2</v>
      </c>
      <c r="F24" s="50">
        <v>14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65</v>
      </c>
      <c r="N24" s="50">
        <v>0</v>
      </c>
      <c r="O24" s="15">
        <f t="shared" si="0"/>
        <v>75</v>
      </c>
      <c r="P24" s="15">
        <f t="shared" si="1"/>
        <v>140</v>
      </c>
      <c r="R24" s="38" t="s">
        <v>92</v>
      </c>
      <c r="S24" s="39">
        <f>MAX(S19:S21)</f>
        <v>78</v>
      </c>
      <c r="T24" s="39">
        <f t="shared" ref="T24:AF24" si="16">MAX(T19:T21)</f>
        <v>23</v>
      </c>
      <c r="U24" s="39">
        <f t="shared" si="16"/>
        <v>11</v>
      </c>
      <c r="V24" s="39">
        <f t="shared" si="16"/>
        <v>25</v>
      </c>
      <c r="W24" s="39">
        <f t="shared" si="16"/>
        <v>5</v>
      </c>
      <c r="X24" s="39">
        <f t="shared" si="16"/>
        <v>0</v>
      </c>
      <c r="Y24" s="39">
        <f t="shared" si="16"/>
        <v>21</v>
      </c>
      <c r="Z24" s="39">
        <f t="shared" si="16"/>
        <v>3</v>
      </c>
      <c r="AA24" s="39">
        <f t="shared" si="16"/>
        <v>2</v>
      </c>
      <c r="AB24" s="39">
        <f t="shared" si="16"/>
        <v>0</v>
      </c>
      <c r="AC24" s="39">
        <f t="shared" si="16"/>
        <v>249</v>
      </c>
      <c r="AD24" s="39">
        <f t="shared" si="16"/>
        <v>0</v>
      </c>
      <c r="AE24" s="40">
        <f t="shared" si="16"/>
        <v>156</v>
      </c>
      <c r="AF24" s="40">
        <f t="shared" si="16"/>
        <v>405</v>
      </c>
    </row>
    <row r="25" spans="2:32" ht="23.1" customHeight="1" x14ac:dyDescent="0.25">
      <c r="B25" s="23" t="s">
        <v>52</v>
      </c>
      <c r="C25" s="50">
        <v>36</v>
      </c>
      <c r="D25" s="50">
        <v>6</v>
      </c>
      <c r="E25" s="50">
        <v>3</v>
      </c>
      <c r="F25" s="50">
        <v>8</v>
      </c>
      <c r="G25" s="50">
        <v>0</v>
      </c>
      <c r="H25" s="50">
        <v>0</v>
      </c>
      <c r="I25" s="50">
        <v>5</v>
      </c>
      <c r="J25" s="50">
        <v>1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59</v>
      </c>
      <c r="P25" s="15">
        <f t="shared" si="1"/>
        <v>119</v>
      </c>
      <c r="R25" s="37" t="s">
        <v>85</v>
      </c>
      <c r="S25" s="35">
        <f t="shared" ref="S25:AF25" si="17">SUM(S10:S12)</f>
        <v>840</v>
      </c>
      <c r="T25" s="16">
        <f t="shared" si="17"/>
        <v>142</v>
      </c>
      <c r="U25" s="16">
        <f t="shared" si="17"/>
        <v>58</v>
      </c>
      <c r="V25" s="16">
        <f t="shared" si="17"/>
        <v>412</v>
      </c>
      <c r="W25" s="16">
        <f t="shared" si="17"/>
        <v>7</v>
      </c>
      <c r="X25" s="16">
        <f t="shared" si="17"/>
        <v>0</v>
      </c>
      <c r="Y25" s="16">
        <f t="shared" si="17"/>
        <v>52</v>
      </c>
      <c r="Z25" s="16">
        <f t="shared" si="17"/>
        <v>8</v>
      </c>
      <c r="AA25" s="16">
        <f t="shared" si="17"/>
        <v>4</v>
      </c>
      <c r="AB25" s="16">
        <f t="shared" si="17"/>
        <v>2</v>
      </c>
      <c r="AC25" s="16">
        <f t="shared" si="17"/>
        <v>1841</v>
      </c>
      <c r="AD25" s="16">
        <f t="shared" si="17"/>
        <v>0</v>
      </c>
      <c r="AE25" s="32">
        <f t="shared" si="17"/>
        <v>1525</v>
      </c>
      <c r="AF25" s="32">
        <f t="shared" si="17"/>
        <v>3366</v>
      </c>
    </row>
    <row r="26" spans="2:32" ht="23.1" customHeight="1" x14ac:dyDescent="0.25">
      <c r="B26" s="23" t="s">
        <v>53</v>
      </c>
      <c r="C26" s="50">
        <v>12</v>
      </c>
      <c r="D26" s="50">
        <v>3</v>
      </c>
      <c r="E26" s="50">
        <v>4</v>
      </c>
      <c r="F26" s="50">
        <v>8</v>
      </c>
      <c r="G26" s="50">
        <v>0</v>
      </c>
      <c r="H26" s="50">
        <v>0</v>
      </c>
      <c r="I26" s="50">
        <v>5</v>
      </c>
      <c r="J26" s="50">
        <v>0</v>
      </c>
      <c r="K26" s="50">
        <v>0</v>
      </c>
      <c r="L26" s="50">
        <v>0</v>
      </c>
      <c r="M26" s="50">
        <v>68</v>
      </c>
      <c r="N26" s="50">
        <v>0</v>
      </c>
      <c r="O26" s="15">
        <f t="shared" si="0"/>
        <v>32</v>
      </c>
      <c r="P26" s="15">
        <f t="shared" si="1"/>
        <v>100</v>
      </c>
      <c r="R26" s="28" t="s">
        <v>86</v>
      </c>
      <c r="S26" s="16">
        <f t="shared" ref="S26:AF26" si="18">SUM(S13:S18)</f>
        <v>478</v>
      </c>
      <c r="T26" s="16">
        <f t="shared" si="18"/>
        <v>120</v>
      </c>
      <c r="U26" s="16">
        <f t="shared" si="18"/>
        <v>79</v>
      </c>
      <c r="V26" s="16">
        <f t="shared" si="18"/>
        <v>165</v>
      </c>
      <c r="W26" s="16">
        <f t="shared" si="18"/>
        <v>1</v>
      </c>
      <c r="X26" s="16">
        <f t="shared" si="18"/>
        <v>0</v>
      </c>
      <c r="Y26" s="16">
        <f t="shared" si="18"/>
        <v>75</v>
      </c>
      <c r="Z26" s="16">
        <f t="shared" si="18"/>
        <v>13</v>
      </c>
      <c r="AA26" s="16">
        <f t="shared" si="18"/>
        <v>2</v>
      </c>
      <c r="AB26" s="16">
        <f t="shared" si="18"/>
        <v>1</v>
      </c>
      <c r="AC26" s="16">
        <f t="shared" si="18"/>
        <v>1123</v>
      </c>
      <c r="AD26" s="16">
        <f t="shared" si="18"/>
        <v>0</v>
      </c>
      <c r="AE26" s="32">
        <f t="shared" si="18"/>
        <v>934</v>
      </c>
      <c r="AF26" s="32">
        <f t="shared" si="18"/>
        <v>2057</v>
      </c>
    </row>
    <row r="27" spans="2:32" ht="23.1" customHeight="1" x14ac:dyDescent="0.25">
      <c r="B27" s="23" t="s">
        <v>54</v>
      </c>
      <c r="C27" s="50">
        <v>12</v>
      </c>
      <c r="D27" s="50">
        <v>3</v>
      </c>
      <c r="E27" s="50">
        <v>2</v>
      </c>
      <c r="F27" s="50">
        <v>9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52</v>
      </c>
      <c r="N27" s="50">
        <v>0</v>
      </c>
      <c r="O27" s="15">
        <f t="shared" si="0"/>
        <v>27</v>
      </c>
      <c r="P27" s="15">
        <f t="shared" si="1"/>
        <v>79</v>
      </c>
      <c r="R27" s="29" t="s">
        <v>87</v>
      </c>
      <c r="S27" s="16">
        <f t="shared" ref="S27:AF27" si="19">SUM(S19:S21)</f>
        <v>213</v>
      </c>
      <c r="T27" s="16">
        <f t="shared" si="19"/>
        <v>50</v>
      </c>
      <c r="U27" s="16">
        <f t="shared" si="19"/>
        <v>29</v>
      </c>
      <c r="V27" s="16">
        <f t="shared" si="19"/>
        <v>70</v>
      </c>
      <c r="W27" s="16">
        <f t="shared" si="19"/>
        <v>8</v>
      </c>
      <c r="X27" s="16">
        <f t="shared" si="19"/>
        <v>0</v>
      </c>
      <c r="Y27" s="16">
        <f t="shared" si="19"/>
        <v>43</v>
      </c>
      <c r="Z27" s="16">
        <f t="shared" si="19"/>
        <v>4</v>
      </c>
      <c r="AA27" s="16">
        <f t="shared" si="19"/>
        <v>4</v>
      </c>
      <c r="AB27" s="16">
        <f t="shared" si="19"/>
        <v>0</v>
      </c>
      <c r="AC27" s="16">
        <f t="shared" si="19"/>
        <v>701</v>
      </c>
      <c r="AD27" s="16">
        <f t="shared" si="19"/>
        <v>0</v>
      </c>
      <c r="AE27" s="32">
        <f t="shared" si="19"/>
        <v>421</v>
      </c>
      <c r="AF27" s="32">
        <f t="shared" si="19"/>
        <v>1122</v>
      </c>
    </row>
    <row r="28" spans="2:32" ht="23.1" customHeight="1" x14ac:dyDescent="0.25">
      <c r="B28" s="23" t="s">
        <v>55</v>
      </c>
      <c r="C28" s="50">
        <v>21</v>
      </c>
      <c r="D28" s="50">
        <v>6</v>
      </c>
      <c r="E28" s="50">
        <v>3</v>
      </c>
      <c r="F28" s="50">
        <v>8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40</v>
      </c>
      <c r="P28" s="15">
        <f t="shared" si="1"/>
        <v>85</v>
      </c>
      <c r="R28" s="5" t="s">
        <v>17</v>
      </c>
      <c r="S28" s="16">
        <f t="shared" ref="S28:AF28" si="20">SUM(S10:S21)</f>
        <v>1531</v>
      </c>
      <c r="T28" s="16">
        <f t="shared" si="20"/>
        <v>312</v>
      </c>
      <c r="U28" s="16">
        <f t="shared" si="20"/>
        <v>166</v>
      </c>
      <c r="V28" s="16">
        <f t="shared" si="20"/>
        <v>647</v>
      </c>
      <c r="W28" s="16">
        <f t="shared" si="20"/>
        <v>16</v>
      </c>
      <c r="X28" s="16">
        <f t="shared" si="20"/>
        <v>0</v>
      </c>
      <c r="Y28" s="16">
        <f t="shared" si="20"/>
        <v>170</v>
      </c>
      <c r="Z28" s="16">
        <f t="shared" si="20"/>
        <v>25</v>
      </c>
      <c r="AA28" s="16">
        <f t="shared" si="20"/>
        <v>10</v>
      </c>
      <c r="AB28" s="16">
        <f t="shared" si="20"/>
        <v>3</v>
      </c>
      <c r="AC28" s="16">
        <f t="shared" si="20"/>
        <v>3665</v>
      </c>
      <c r="AD28" s="16">
        <f t="shared" si="20"/>
        <v>0</v>
      </c>
      <c r="AE28" s="32">
        <f t="shared" si="20"/>
        <v>2880</v>
      </c>
      <c r="AF28" s="32">
        <f t="shared" si="20"/>
        <v>6545</v>
      </c>
    </row>
    <row r="29" spans="2:32" ht="23.1" customHeight="1" x14ac:dyDescent="0.25">
      <c r="B29" s="23" t="s">
        <v>56</v>
      </c>
      <c r="C29" s="50">
        <v>16</v>
      </c>
      <c r="D29" s="50">
        <v>8</v>
      </c>
      <c r="E29" s="50">
        <v>5</v>
      </c>
      <c r="F29" s="50">
        <v>5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40</v>
      </c>
      <c r="N29" s="50">
        <v>0</v>
      </c>
      <c r="O29" s="15">
        <f t="shared" si="0"/>
        <v>38</v>
      </c>
      <c r="P29" s="15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4</v>
      </c>
      <c r="E30" s="50">
        <v>2</v>
      </c>
      <c r="F30" s="50">
        <v>8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0</v>
      </c>
      <c r="M30" s="50">
        <v>58</v>
      </c>
      <c r="N30" s="50">
        <v>0</v>
      </c>
      <c r="O30" s="15">
        <f t="shared" si="0"/>
        <v>43</v>
      </c>
      <c r="P30" s="15">
        <f t="shared" si="1"/>
        <v>101</v>
      </c>
    </row>
    <row r="31" spans="2:32" ht="23.1" customHeight="1" x14ac:dyDescent="0.25">
      <c r="B31" s="24" t="s">
        <v>58</v>
      </c>
      <c r="C31" s="50">
        <v>22</v>
      </c>
      <c r="D31" s="50">
        <v>14</v>
      </c>
      <c r="E31" s="50">
        <v>2</v>
      </c>
      <c r="F31" s="50">
        <v>8</v>
      </c>
      <c r="G31" s="50">
        <v>0</v>
      </c>
      <c r="H31" s="50">
        <v>0</v>
      </c>
      <c r="I31" s="50">
        <v>3</v>
      </c>
      <c r="J31" s="50">
        <v>2</v>
      </c>
      <c r="K31" s="50">
        <v>1</v>
      </c>
      <c r="L31" s="50">
        <v>0</v>
      </c>
      <c r="M31" s="50">
        <v>61</v>
      </c>
      <c r="N31" s="50">
        <v>0</v>
      </c>
      <c r="O31" s="15">
        <f t="shared" si="0"/>
        <v>52</v>
      </c>
      <c r="P31" s="15">
        <f t="shared" si="1"/>
        <v>113</v>
      </c>
    </row>
    <row r="32" spans="2:32" ht="23.1" customHeight="1" x14ac:dyDescent="0.25">
      <c r="B32" s="24" t="s">
        <v>59</v>
      </c>
      <c r="C32" s="50">
        <v>15</v>
      </c>
      <c r="D32" s="50">
        <v>3</v>
      </c>
      <c r="E32" s="50">
        <v>2</v>
      </c>
      <c r="F32" s="50">
        <v>11</v>
      </c>
      <c r="G32" s="50">
        <v>0</v>
      </c>
      <c r="H32" s="50">
        <v>0</v>
      </c>
      <c r="I32" s="50">
        <v>1</v>
      </c>
      <c r="J32" s="50">
        <v>2</v>
      </c>
      <c r="K32" s="50">
        <v>0</v>
      </c>
      <c r="L32" s="50">
        <v>0</v>
      </c>
      <c r="M32" s="50">
        <v>54</v>
      </c>
      <c r="N32" s="50">
        <v>0</v>
      </c>
      <c r="O32" s="15">
        <f t="shared" si="0"/>
        <v>34</v>
      </c>
      <c r="P32" s="15">
        <f t="shared" si="1"/>
        <v>88</v>
      </c>
    </row>
    <row r="33" spans="2:20" ht="23.1" customHeight="1" x14ac:dyDescent="0.25">
      <c r="B33" s="23" t="s">
        <v>60</v>
      </c>
      <c r="C33" s="50">
        <v>9</v>
      </c>
      <c r="D33" s="50">
        <v>4</v>
      </c>
      <c r="E33" s="50">
        <v>3</v>
      </c>
      <c r="F33" s="50">
        <v>5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34</v>
      </c>
      <c r="N33" s="50">
        <v>0</v>
      </c>
      <c r="O33" s="15">
        <f t="shared" si="0"/>
        <v>22</v>
      </c>
      <c r="P33" s="15">
        <f t="shared" si="1"/>
        <v>56</v>
      </c>
    </row>
    <row r="34" spans="2:20" ht="23.1" customHeight="1" x14ac:dyDescent="0.25">
      <c r="B34" s="24" t="s">
        <v>61</v>
      </c>
      <c r="C34" s="50">
        <v>9</v>
      </c>
      <c r="D34" s="50">
        <v>3</v>
      </c>
      <c r="E34" s="50">
        <v>3</v>
      </c>
      <c r="F34" s="50">
        <v>6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0</v>
      </c>
      <c r="M34" s="50">
        <v>34</v>
      </c>
      <c r="N34" s="50">
        <v>0</v>
      </c>
      <c r="O34" s="15">
        <f t="shared" si="0"/>
        <v>25</v>
      </c>
      <c r="P34" s="15">
        <f t="shared" si="1"/>
        <v>59</v>
      </c>
    </row>
    <row r="35" spans="2:20" ht="23.1" customHeight="1" x14ac:dyDescent="0.25">
      <c r="B35" s="24" t="s">
        <v>62</v>
      </c>
      <c r="C35" s="50">
        <v>14</v>
      </c>
      <c r="D35" s="50">
        <v>3</v>
      </c>
      <c r="E35" s="50">
        <v>3</v>
      </c>
      <c r="F35" s="50">
        <v>5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42</v>
      </c>
      <c r="N35" s="50">
        <v>0</v>
      </c>
      <c r="O35" s="15">
        <f t="shared" si="0"/>
        <v>26</v>
      </c>
      <c r="P35" s="15">
        <f t="shared" si="1"/>
        <v>68</v>
      </c>
    </row>
    <row r="36" spans="2:20" ht="23.1" customHeight="1" x14ac:dyDescent="0.25">
      <c r="B36" s="24" t="s">
        <v>63</v>
      </c>
      <c r="C36" s="50">
        <v>19</v>
      </c>
      <c r="D36" s="50">
        <v>7</v>
      </c>
      <c r="E36" s="50">
        <v>3</v>
      </c>
      <c r="F36" s="50">
        <v>8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52</v>
      </c>
      <c r="N36" s="50">
        <v>0</v>
      </c>
      <c r="O36" s="15">
        <f t="shared" si="0"/>
        <v>42</v>
      </c>
      <c r="P36" s="15">
        <f t="shared" si="1"/>
        <v>94</v>
      </c>
    </row>
    <row r="37" spans="2:20" ht="23.1" customHeight="1" x14ac:dyDescent="0.25">
      <c r="B37" s="23" t="s">
        <v>64</v>
      </c>
      <c r="C37" s="50">
        <v>10</v>
      </c>
      <c r="D37" s="50">
        <v>5</v>
      </c>
      <c r="E37" s="50">
        <v>2</v>
      </c>
      <c r="F37" s="50">
        <v>8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29</v>
      </c>
      <c r="P37" s="15">
        <f t="shared" si="1"/>
        <v>65</v>
      </c>
    </row>
    <row r="38" spans="2:20" ht="23.1" customHeight="1" x14ac:dyDescent="0.25">
      <c r="B38" s="24" t="s">
        <v>65</v>
      </c>
      <c r="C38" s="50">
        <v>23</v>
      </c>
      <c r="D38" s="50">
        <v>2</v>
      </c>
      <c r="E38" s="50">
        <v>3</v>
      </c>
      <c r="F38" s="50">
        <v>3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35</v>
      </c>
      <c r="N38" s="50">
        <v>0</v>
      </c>
      <c r="O38" s="15">
        <f t="shared" si="0"/>
        <v>37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22</v>
      </c>
      <c r="D39" s="50">
        <v>6</v>
      </c>
      <c r="E39" s="50">
        <v>3</v>
      </c>
      <c r="F39" s="50">
        <v>4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31</v>
      </c>
      <c r="N39" s="50">
        <v>0</v>
      </c>
      <c r="O39" s="15">
        <f t="shared" si="0"/>
        <v>38</v>
      </c>
      <c r="P39" s="15">
        <f t="shared" si="1"/>
        <v>69</v>
      </c>
    </row>
    <row r="40" spans="2:20" ht="23.1" customHeight="1" x14ac:dyDescent="0.25">
      <c r="B40" s="24" t="s">
        <v>67</v>
      </c>
      <c r="C40" s="50">
        <v>13</v>
      </c>
      <c r="D40" s="50">
        <v>1</v>
      </c>
      <c r="E40" s="50">
        <v>3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22</v>
      </c>
      <c r="P40" s="15">
        <f t="shared" si="1"/>
        <v>58</v>
      </c>
    </row>
    <row r="41" spans="2:20" ht="23.1" customHeight="1" x14ac:dyDescent="0.25">
      <c r="B41" s="23" t="s">
        <v>68</v>
      </c>
      <c r="C41" s="50">
        <v>18</v>
      </c>
      <c r="D41" s="50">
        <v>3</v>
      </c>
      <c r="E41" s="50">
        <v>4</v>
      </c>
      <c r="F41" s="50">
        <v>4</v>
      </c>
      <c r="G41" s="50">
        <v>1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33</v>
      </c>
      <c r="N41" s="50">
        <v>0</v>
      </c>
      <c r="O41" s="15">
        <f t="shared" si="0"/>
        <v>32</v>
      </c>
      <c r="P41" s="15">
        <f t="shared" si="1"/>
        <v>65</v>
      </c>
    </row>
    <row r="42" spans="2:20" ht="23.1" customHeight="1" x14ac:dyDescent="0.25">
      <c r="B42" s="24" t="s">
        <v>69</v>
      </c>
      <c r="C42" s="50">
        <v>16</v>
      </c>
      <c r="D42" s="50">
        <v>4</v>
      </c>
      <c r="E42" s="50">
        <v>2</v>
      </c>
      <c r="F42" s="50">
        <v>5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30</v>
      </c>
      <c r="P42" s="15">
        <f t="shared" si="1"/>
        <v>65</v>
      </c>
    </row>
    <row r="43" spans="2:20" ht="23.1" customHeight="1" x14ac:dyDescent="0.25">
      <c r="B43" s="23" t="s">
        <v>70</v>
      </c>
      <c r="C43" s="50">
        <v>16</v>
      </c>
      <c r="D43" s="50">
        <v>4</v>
      </c>
      <c r="E43" s="50">
        <v>7</v>
      </c>
      <c r="F43" s="50">
        <v>7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40</v>
      </c>
      <c r="P43" s="15">
        <f t="shared" si="1"/>
        <v>80</v>
      </c>
    </row>
    <row r="44" spans="2:20" ht="23.1" customHeight="1" x14ac:dyDescent="0.25">
      <c r="B44" s="25" t="s">
        <v>71</v>
      </c>
      <c r="C44" s="50">
        <v>15</v>
      </c>
      <c r="D44" s="50">
        <v>3</v>
      </c>
      <c r="E44" s="50">
        <v>4</v>
      </c>
      <c r="F44" s="50">
        <v>5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0"/>
        <v>31</v>
      </c>
      <c r="P44" s="15">
        <f t="shared" si="1"/>
        <v>70</v>
      </c>
    </row>
    <row r="45" spans="2:20" ht="23.1" customHeight="1" x14ac:dyDescent="0.25">
      <c r="B45" s="23" t="s">
        <v>72</v>
      </c>
      <c r="C45" s="50">
        <v>19</v>
      </c>
      <c r="D45" s="50">
        <v>5</v>
      </c>
      <c r="E45" s="50">
        <v>4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37</v>
      </c>
      <c r="N45" s="50">
        <v>0</v>
      </c>
      <c r="O45" s="15">
        <f t="shared" si="0"/>
        <v>35</v>
      </c>
      <c r="P45" s="15">
        <f t="shared" si="1"/>
        <v>72</v>
      </c>
    </row>
    <row r="46" spans="2:20" ht="23.1" customHeight="1" x14ac:dyDescent="0.25">
      <c r="B46" s="24" t="s">
        <v>73</v>
      </c>
      <c r="C46" s="50">
        <v>20</v>
      </c>
      <c r="D46" s="50">
        <v>5</v>
      </c>
      <c r="E46" s="50">
        <v>3</v>
      </c>
      <c r="F46" s="50">
        <v>6</v>
      </c>
      <c r="G46" s="50">
        <v>0</v>
      </c>
      <c r="H46" s="50">
        <v>0</v>
      </c>
      <c r="I46" s="50">
        <v>3</v>
      </c>
      <c r="J46" s="50">
        <v>2</v>
      </c>
      <c r="K46" s="50">
        <v>0</v>
      </c>
      <c r="L46" s="50">
        <v>0</v>
      </c>
      <c r="M46" s="50">
        <v>48</v>
      </c>
      <c r="N46" s="50">
        <v>0</v>
      </c>
      <c r="O46" s="15">
        <f t="shared" si="0"/>
        <v>39</v>
      </c>
      <c r="P46" s="15">
        <f t="shared" si="1"/>
        <v>87</v>
      </c>
      <c r="R46" s="8"/>
      <c r="T46"/>
    </row>
    <row r="47" spans="2:20" ht="23.1" customHeight="1" x14ac:dyDescent="0.25">
      <c r="B47" s="24" t="s">
        <v>74</v>
      </c>
      <c r="C47" s="50">
        <v>18</v>
      </c>
      <c r="D47" s="50">
        <v>3</v>
      </c>
      <c r="E47" s="50">
        <v>2</v>
      </c>
      <c r="F47" s="50">
        <v>6</v>
      </c>
      <c r="G47" s="50">
        <v>0</v>
      </c>
      <c r="H47" s="50">
        <v>0</v>
      </c>
      <c r="I47" s="50">
        <v>7</v>
      </c>
      <c r="J47" s="50">
        <v>0</v>
      </c>
      <c r="K47" s="50">
        <v>0</v>
      </c>
      <c r="L47" s="50">
        <v>0</v>
      </c>
      <c r="M47" s="50">
        <v>41</v>
      </c>
      <c r="N47" s="50">
        <v>0</v>
      </c>
      <c r="O47" s="15">
        <f t="shared" si="0"/>
        <v>36</v>
      </c>
      <c r="P47" s="15">
        <f t="shared" si="1"/>
        <v>77</v>
      </c>
      <c r="R47" s="8"/>
      <c r="T47"/>
    </row>
    <row r="48" spans="2:20" ht="23.1" customHeight="1" x14ac:dyDescent="0.25">
      <c r="B48" s="24" t="s">
        <v>75</v>
      </c>
      <c r="C48" s="50">
        <v>19</v>
      </c>
      <c r="D48" s="50">
        <v>6</v>
      </c>
      <c r="E48" s="50">
        <v>2</v>
      </c>
      <c r="F48" s="50">
        <v>7</v>
      </c>
      <c r="G48" s="50">
        <v>0</v>
      </c>
      <c r="H48" s="50">
        <v>0</v>
      </c>
      <c r="I48" s="50">
        <v>1</v>
      </c>
      <c r="J48" s="50">
        <v>0</v>
      </c>
      <c r="K48" s="50">
        <v>1</v>
      </c>
      <c r="L48" s="50">
        <v>0</v>
      </c>
      <c r="M48" s="50">
        <v>55</v>
      </c>
      <c r="N48" s="50">
        <v>0</v>
      </c>
      <c r="O48" s="15">
        <f t="shared" si="0"/>
        <v>36</v>
      </c>
      <c r="P48" s="15">
        <f t="shared" si="1"/>
        <v>91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2</v>
      </c>
      <c r="E49" s="50">
        <v>2</v>
      </c>
      <c r="F49" s="50">
        <v>3</v>
      </c>
      <c r="G49" s="50">
        <v>1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65</v>
      </c>
      <c r="N49" s="50">
        <v>0</v>
      </c>
      <c r="O49" s="15">
        <f t="shared" si="0"/>
        <v>32</v>
      </c>
      <c r="P49" s="15">
        <f t="shared" si="1"/>
        <v>97</v>
      </c>
      <c r="R49" s="8"/>
      <c r="T49"/>
    </row>
    <row r="50" spans="2:20" ht="23.1" customHeight="1" x14ac:dyDescent="0.25">
      <c r="B50" s="24" t="s">
        <v>77</v>
      </c>
      <c r="C50" s="50">
        <v>24</v>
      </c>
      <c r="D50" s="50">
        <v>7</v>
      </c>
      <c r="E50" s="50">
        <v>0</v>
      </c>
      <c r="F50" s="50">
        <v>9</v>
      </c>
      <c r="G50" s="50">
        <v>0</v>
      </c>
      <c r="H50" s="50">
        <v>0</v>
      </c>
      <c r="I50" s="50">
        <v>5</v>
      </c>
      <c r="J50" s="50">
        <v>0</v>
      </c>
      <c r="K50" s="50">
        <v>1</v>
      </c>
      <c r="L50" s="50">
        <v>0</v>
      </c>
      <c r="M50" s="50">
        <v>60</v>
      </c>
      <c r="N50" s="50">
        <v>0</v>
      </c>
      <c r="O50" s="15">
        <f t="shared" si="0"/>
        <v>46</v>
      </c>
      <c r="P50" s="15">
        <f t="shared" si="1"/>
        <v>106</v>
      </c>
      <c r="R50" s="8"/>
      <c r="T50"/>
    </row>
    <row r="51" spans="2:20" ht="23.1" customHeight="1" x14ac:dyDescent="0.25">
      <c r="B51" s="24" t="s">
        <v>78</v>
      </c>
      <c r="C51" s="50">
        <v>23</v>
      </c>
      <c r="D51" s="50">
        <v>3</v>
      </c>
      <c r="E51" s="50">
        <v>5</v>
      </c>
      <c r="F51" s="50">
        <v>7</v>
      </c>
      <c r="G51" s="50">
        <v>1</v>
      </c>
      <c r="H51" s="50">
        <v>0</v>
      </c>
      <c r="I51" s="50">
        <v>6</v>
      </c>
      <c r="J51" s="50">
        <v>0</v>
      </c>
      <c r="K51" s="50">
        <v>0</v>
      </c>
      <c r="L51" s="50">
        <v>0</v>
      </c>
      <c r="M51" s="50">
        <v>67</v>
      </c>
      <c r="N51" s="50">
        <v>0</v>
      </c>
      <c r="O51" s="15">
        <f t="shared" si="0"/>
        <v>45</v>
      </c>
      <c r="P51" s="15">
        <f t="shared" si="1"/>
        <v>112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7</v>
      </c>
      <c r="E52" s="50">
        <v>2</v>
      </c>
      <c r="F52" s="50">
        <v>5</v>
      </c>
      <c r="G52" s="50">
        <v>0</v>
      </c>
      <c r="H52" s="50">
        <v>0</v>
      </c>
      <c r="I52" s="50">
        <v>7</v>
      </c>
      <c r="J52" s="50">
        <v>0</v>
      </c>
      <c r="K52" s="50">
        <v>0</v>
      </c>
      <c r="L52" s="50">
        <v>0</v>
      </c>
      <c r="M52" s="50">
        <v>67</v>
      </c>
      <c r="N52" s="50">
        <v>0</v>
      </c>
      <c r="O52" s="15">
        <f t="shared" si="0"/>
        <v>38</v>
      </c>
      <c r="P52" s="15">
        <f t="shared" si="1"/>
        <v>105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6</v>
      </c>
      <c r="E53" s="50">
        <v>2</v>
      </c>
      <c r="F53" s="50">
        <v>2</v>
      </c>
      <c r="G53" s="50">
        <v>1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27</v>
      </c>
      <c r="P53" s="15">
        <f t="shared" si="1"/>
        <v>82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2</v>
      </c>
      <c r="E54" s="50">
        <v>6</v>
      </c>
      <c r="F54" s="50">
        <v>6</v>
      </c>
      <c r="G54" s="50">
        <v>1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72</v>
      </c>
      <c r="N54" s="50">
        <v>0</v>
      </c>
      <c r="O54" s="15">
        <f t="shared" si="0"/>
        <v>35</v>
      </c>
      <c r="P54" s="15">
        <f t="shared" si="1"/>
        <v>107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3</v>
      </c>
      <c r="E55" s="50">
        <v>1</v>
      </c>
      <c r="F55" s="50">
        <v>9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77</v>
      </c>
      <c r="N55" s="50">
        <v>0</v>
      </c>
      <c r="O55" s="15">
        <f t="shared" si="0"/>
        <v>34</v>
      </c>
      <c r="P55" s="15">
        <f t="shared" si="1"/>
        <v>111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3</v>
      </c>
      <c r="E56" s="50">
        <v>4</v>
      </c>
      <c r="F56" s="50">
        <v>6</v>
      </c>
      <c r="G56" s="50">
        <v>1</v>
      </c>
      <c r="H56" s="50">
        <v>0</v>
      </c>
      <c r="I56" s="50">
        <v>2</v>
      </c>
      <c r="J56" s="50">
        <v>1</v>
      </c>
      <c r="K56" s="50">
        <v>2</v>
      </c>
      <c r="L56" s="50">
        <v>0</v>
      </c>
      <c r="M56" s="50">
        <v>49</v>
      </c>
      <c r="N56" s="50">
        <v>0</v>
      </c>
      <c r="O56" s="15">
        <f t="shared" si="0"/>
        <v>30</v>
      </c>
      <c r="P56" s="15">
        <f t="shared" si="1"/>
        <v>79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3</v>
      </c>
      <c r="E57" s="50">
        <v>0</v>
      </c>
      <c r="F57" s="50">
        <v>4</v>
      </c>
      <c r="G57" s="50">
        <v>3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23</v>
      </c>
      <c r="P57" s="15">
        <f t="shared" si="1"/>
        <v>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1531</v>
      </c>
      <c r="D58" s="16">
        <f t="shared" si="21"/>
        <v>312</v>
      </c>
      <c r="E58" s="16">
        <f t="shared" si="21"/>
        <v>166</v>
      </c>
      <c r="F58" s="16">
        <f t="shared" si="21"/>
        <v>647</v>
      </c>
      <c r="G58" s="16">
        <f t="shared" si="21"/>
        <v>16</v>
      </c>
      <c r="H58" s="16">
        <f t="shared" si="21"/>
        <v>0</v>
      </c>
      <c r="I58" s="16">
        <f t="shared" si="21"/>
        <v>170</v>
      </c>
      <c r="J58" s="16">
        <f t="shared" si="21"/>
        <v>25</v>
      </c>
      <c r="K58" s="16">
        <f t="shared" si="21"/>
        <v>10</v>
      </c>
      <c r="L58" s="16">
        <f t="shared" si="21"/>
        <v>3</v>
      </c>
      <c r="M58" s="16">
        <f t="shared" si="21"/>
        <v>3665</v>
      </c>
      <c r="N58" s="16">
        <f t="shared" si="21"/>
        <v>0</v>
      </c>
      <c r="O58" s="16">
        <f t="shared" si="21"/>
        <v>2880</v>
      </c>
      <c r="P58" s="16">
        <f t="shared" si="21"/>
        <v>6545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0.23391902215431626</v>
      </c>
      <c r="D59" s="43">
        <f t="shared" si="22"/>
        <v>4.7669977081741789E-2</v>
      </c>
      <c r="E59" s="43">
        <f t="shared" si="22"/>
        <v>2.5362872421695951E-2</v>
      </c>
      <c r="F59" s="43">
        <f t="shared" si="22"/>
        <v>9.8854087089381204E-2</v>
      </c>
      <c r="G59" s="43">
        <f t="shared" si="22"/>
        <v>2.4446142093200915E-3</v>
      </c>
      <c r="H59" s="43">
        <f t="shared" si="22"/>
        <v>0</v>
      </c>
      <c r="I59" s="43">
        <f t="shared" si="22"/>
        <v>2.5974025974025976E-2</v>
      </c>
      <c r="J59" s="43">
        <f t="shared" si="22"/>
        <v>3.8197097020626434E-3</v>
      </c>
      <c r="K59" s="43">
        <f t="shared" si="22"/>
        <v>1.5278838808250573E-3</v>
      </c>
      <c r="L59" s="43">
        <f t="shared" si="22"/>
        <v>4.5836516424751719E-4</v>
      </c>
      <c r="M59" s="43">
        <f t="shared" si="22"/>
        <v>0.55996944232238355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0.53159722222222228</v>
      </c>
      <c r="D60" s="44">
        <f t="shared" ref="D60:N60" si="23">D58/$O$58</f>
        <v>0.10833333333333334</v>
      </c>
      <c r="E60" s="44">
        <f t="shared" si="23"/>
        <v>5.7638888888888892E-2</v>
      </c>
      <c r="F60" s="44">
        <f t="shared" si="23"/>
        <v>0.22465277777777778</v>
      </c>
      <c r="G60" s="44">
        <f t="shared" si="23"/>
        <v>5.5555555555555558E-3</v>
      </c>
      <c r="H60" s="44">
        <f t="shared" si="23"/>
        <v>0</v>
      </c>
      <c r="I60" s="44">
        <f t="shared" si="23"/>
        <v>5.9027777777777776E-2</v>
      </c>
      <c r="J60" s="44">
        <f t="shared" si="23"/>
        <v>8.6805555555555559E-3</v>
      </c>
      <c r="K60" s="44">
        <f t="shared" si="23"/>
        <v>3.472222222222222E-3</v>
      </c>
      <c r="L60" s="44">
        <f t="shared" si="23"/>
        <v>1.0416666666666667E-3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2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'31.08 NSOOBA-KYEBANDO'!D5</f>
        <v>31.07.19</v>
      </c>
      <c r="E5" s="3"/>
      <c r="F5" s="41" t="s">
        <v>1</v>
      </c>
      <c r="G5" s="70">
        <f>'29.07 NSOOBA-KYEBANDO'!G5:H5</f>
        <v>29</v>
      </c>
      <c r="H5" s="71"/>
      <c r="I5" s="14"/>
      <c r="J5" s="2" t="s">
        <v>5</v>
      </c>
      <c r="K5" s="70" t="str">
        <f>'29.07 NSOOBA-KYEBANDO'!K5:L5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'29.07 KYEBANDO-NSOOBA'!G6:H6</f>
        <v>NSOOBA</v>
      </c>
      <c r="H6" s="71"/>
      <c r="J6" s="2" t="s">
        <v>21</v>
      </c>
      <c r="K6" s="70" t="str">
        <f>'29.07 NSOOBA-KYEBANDO'!K6:L6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2</v>
      </c>
      <c r="E10" s="50">
        <v>5</v>
      </c>
      <c r="F10" s="50">
        <v>4</v>
      </c>
      <c r="G10" s="50">
        <v>2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48</v>
      </c>
      <c r="N10" s="50">
        <v>0</v>
      </c>
      <c r="O10" s="15">
        <f t="shared" ref="O10:O57" si="0">SUM(C10:L10,N10)</f>
        <v>40</v>
      </c>
      <c r="P10" s="15">
        <f t="shared" ref="P10:P57" si="1">SUM(C10:N10)</f>
        <v>88</v>
      </c>
      <c r="R10" s="1" t="s">
        <v>6</v>
      </c>
      <c r="S10" s="17">
        <f t="shared" ref="S10:AF10" si="2">SUM(C10:C13)</f>
        <v>81</v>
      </c>
      <c r="T10" s="17">
        <f t="shared" si="2"/>
        <v>6</v>
      </c>
      <c r="U10" s="17">
        <f t="shared" si="2"/>
        <v>13</v>
      </c>
      <c r="V10" s="17">
        <f t="shared" si="2"/>
        <v>26</v>
      </c>
      <c r="W10" s="17">
        <f t="shared" si="2"/>
        <v>2</v>
      </c>
      <c r="X10" s="17">
        <f t="shared" si="2"/>
        <v>0</v>
      </c>
      <c r="Y10" s="17">
        <f t="shared" si="2"/>
        <v>5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307</v>
      </c>
      <c r="AD10" s="17">
        <f t="shared" si="2"/>
        <v>0</v>
      </c>
      <c r="AE10" s="31">
        <f t="shared" si="2"/>
        <v>135</v>
      </c>
      <c r="AF10" s="31">
        <f t="shared" si="2"/>
        <v>442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4</v>
      </c>
      <c r="E11" s="50">
        <v>2</v>
      </c>
      <c r="F11" s="50">
        <v>9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70</v>
      </c>
      <c r="N11" s="50">
        <v>0</v>
      </c>
      <c r="O11" s="15">
        <f t="shared" si="0"/>
        <v>28</v>
      </c>
      <c r="P11" s="15">
        <f t="shared" si="1"/>
        <v>98</v>
      </c>
      <c r="R11" s="1" t="s">
        <v>7</v>
      </c>
      <c r="S11" s="17">
        <f t="shared" ref="S11:AF11" si="3">SUM(C14:C17)</f>
        <v>72</v>
      </c>
      <c r="T11" s="17">
        <f t="shared" si="3"/>
        <v>14</v>
      </c>
      <c r="U11" s="17">
        <f t="shared" si="3"/>
        <v>16</v>
      </c>
      <c r="V11" s="17">
        <f t="shared" si="3"/>
        <v>28</v>
      </c>
      <c r="W11" s="17">
        <f t="shared" si="3"/>
        <v>4</v>
      </c>
      <c r="X11" s="17">
        <f t="shared" si="3"/>
        <v>0</v>
      </c>
      <c r="Y11" s="17">
        <f t="shared" si="3"/>
        <v>7</v>
      </c>
      <c r="Z11" s="17">
        <f t="shared" si="3"/>
        <v>5</v>
      </c>
      <c r="AA11" s="17">
        <f t="shared" si="3"/>
        <v>2</v>
      </c>
      <c r="AB11" s="17">
        <f t="shared" si="3"/>
        <v>1</v>
      </c>
      <c r="AC11" s="17">
        <f t="shared" si="3"/>
        <v>278</v>
      </c>
      <c r="AD11" s="17">
        <f t="shared" si="3"/>
        <v>0</v>
      </c>
      <c r="AE11" s="31">
        <f t="shared" si="3"/>
        <v>149</v>
      </c>
      <c r="AF11" s="31">
        <f t="shared" si="3"/>
        <v>427</v>
      </c>
    </row>
    <row r="12" spans="2:32" ht="23.1" customHeight="1" x14ac:dyDescent="0.25">
      <c r="B12" s="23" t="s">
        <v>39</v>
      </c>
      <c r="C12" s="50">
        <v>23</v>
      </c>
      <c r="D12" s="50">
        <v>0</v>
      </c>
      <c r="E12" s="50">
        <v>4</v>
      </c>
      <c r="F12" s="50">
        <v>7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92</v>
      </c>
      <c r="N12" s="50">
        <v>0</v>
      </c>
      <c r="O12" s="15">
        <f t="shared" si="0"/>
        <v>36</v>
      </c>
      <c r="P12" s="15">
        <f t="shared" si="1"/>
        <v>128</v>
      </c>
      <c r="R12" s="1" t="s">
        <v>8</v>
      </c>
      <c r="S12" s="17">
        <f t="shared" ref="S12:AF12" si="4">SUM(C18:C21)</f>
        <v>76</v>
      </c>
      <c r="T12" s="17">
        <f t="shared" si="4"/>
        <v>24</v>
      </c>
      <c r="U12" s="17">
        <f t="shared" si="4"/>
        <v>22</v>
      </c>
      <c r="V12" s="17">
        <f t="shared" si="4"/>
        <v>42</v>
      </c>
      <c r="W12" s="17">
        <f t="shared" si="4"/>
        <v>1</v>
      </c>
      <c r="X12" s="17">
        <f t="shared" si="4"/>
        <v>0</v>
      </c>
      <c r="Y12" s="17">
        <f t="shared" si="4"/>
        <v>22</v>
      </c>
      <c r="Z12" s="17">
        <f t="shared" si="4"/>
        <v>7</v>
      </c>
      <c r="AA12" s="17">
        <f t="shared" si="4"/>
        <v>3</v>
      </c>
      <c r="AB12" s="17">
        <f t="shared" si="4"/>
        <v>0</v>
      </c>
      <c r="AC12" s="17">
        <f t="shared" si="4"/>
        <v>389</v>
      </c>
      <c r="AD12" s="17">
        <f t="shared" si="4"/>
        <v>0</v>
      </c>
      <c r="AE12" s="31">
        <f t="shared" si="4"/>
        <v>197</v>
      </c>
      <c r="AF12" s="31">
        <f t="shared" si="4"/>
        <v>586</v>
      </c>
    </row>
    <row r="13" spans="2:32" ht="23.1" customHeight="1" x14ac:dyDescent="0.25">
      <c r="B13" s="23" t="s">
        <v>40</v>
      </c>
      <c r="C13" s="50">
        <v>20</v>
      </c>
      <c r="D13" s="50">
        <v>0</v>
      </c>
      <c r="E13" s="50">
        <v>2</v>
      </c>
      <c r="F13" s="50">
        <v>6</v>
      </c>
      <c r="G13" s="50">
        <v>0</v>
      </c>
      <c r="H13" s="50">
        <v>0</v>
      </c>
      <c r="I13" s="50">
        <v>1</v>
      </c>
      <c r="J13" s="50">
        <v>1</v>
      </c>
      <c r="K13" s="50">
        <v>1</v>
      </c>
      <c r="L13" s="50">
        <v>0</v>
      </c>
      <c r="M13" s="50">
        <v>97</v>
      </c>
      <c r="N13" s="50">
        <v>0</v>
      </c>
      <c r="O13" s="15">
        <f t="shared" si="0"/>
        <v>31</v>
      </c>
      <c r="P13" s="15">
        <f t="shared" si="1"/>
        <v>128</v>
      </c>
      <c r="R13" s="1" t="s">
        <v>9</v>
      </c>
      <c r="S13" s="17">
        <f t="shared" ref="S13:AF13" si="5">SUM(C22:C25)</f>
        <v>69</v>
      </c>
      <c r="T13" s="17">
        <f t="shared" si="5"/>
        <v>19</v>
      </c>
      <c r="U13" s="17">
        <f t="shared" si="5"/>
        <v>28</v>
      </c>
      <c r="V13" s="17">
        <f t="shared" si="5"/>
        <v>43</v>
      </c>
      <c r="W13" s="17">
        <f t="shared" si="5"/>
        <v>1</v>
      </c>
      <c r="X13" s="17">
        <f t="shared" si="5"/>
        <v>0</v>
      </c>
      <c r="Y13" s="17">
        <f t="shared" si="5"/>
        <v>28</v>
      </c>
      <c r="Z13" s="17">
        <f t="shared" si="5"/>
        <v>3</v>
      </c>
      <c r="AA13" s="17">
        <f t="shared" si="5"/>
        <v>3</v>
      </c>
      <c r="AB13" s="17">
        <f t="shared" si="5"/>
        <v>1</v>
      </c>
      <c r="AC13" s="17">
        <f t="shared" si="5"/>
        <v>316</v>
      </c>
      <c r="AD13" s="17">
        <f t="shared" si="5"/>
        <v>0</v>
      </c>
      <c r="AE13" s="31">
        <f t="shared" si="5"/>
        <v>195</v>
      </c>
      <c r="AF13" s="31">
        <f t="shared" si="5"/>
        <v>511</v>
      </c>
    </row>
    <row r="14" spans="2:32" ht="23.1" customHeight="1" x14ac:dyDescent="0.25">
      <c r="B14" s="23" t="s">
        <v>41</v>
      </c>
      <c r="C14" s="50">
        <v>19</v>
      </c>
      <c r="D14" s="50">
        <v>7</v>
      </c>
      <c r="E14" s="50">
        <v>4</v>
      </c>
      <c r="F14" s="50">
        <v>9</v>
      </c>
      <c r="G14" s="50">
        <v>1</v>
      </c>
      <c r="H14" s="50">
        <v>0</v>
      </c>
      <c r="I14" s="50">
        <v>2</v>
      </c>
      <c r="J14" s="50">
        <v>2</v>
      </c>
      <c r="K14" s="50">
        <v>1</v>
      </c>
      <c r="L14" s="50">
        <v>1</v>
      </c>
      <c r="M14" s="50">
        <v>85</v>
      </c>
      <c r="N14" s="50">
        <v>0</v>
      </c>
      <c r="O14" s="15">
        <f t="shared" si="0"/>
        <v>46</v>
      </c>
      <c r="P14" s="15">
        <f t="shared" si="1"/>
        <v>131</v>
      </c>
      <c r="R14" s="1" t="s">
        <v>10</v>
      </c>
      <c r="S14" s="17">
        <f t="shared" ref="S14:AF14" si="6">SUM(C26:C29)</f>
        <v>70</v>
      </c>
      <c r="T14" s="17">
        <f t="shared" si="6"/>
        <v>16</v>
      </c>
      <c r="U14" s="17">
        <f t="shared" si="6"/>
        <v>11</v>
      </c>
      <c r="V14" s="17">
        <f t="shared" si="6"/>
        <v>26</v>
      </c>
      <c r="W14" s="17">
        <f t="shared" si="6"/>
        <v>1</v>
      </c>
      <c r="X14" s="17">
        <f t="shared" si="6"/>
        <v>0</v>
      </c>
      <c r="Y14" s="17">
        <f t="shared" si="6"/>
        <v>15</v>
      </c>
      <c r="Z14" s="17">
        <f t="shared" si="6"/>
        <v>8</v>
      </c>
      <c r="AA14" s="17">
        <f t="shared" si="6"/>
        <v>2</v>
      </c>
      <c r="AB14" s="17">
        <f t="shared" si="6"/>
        <v>0</v>
      </c>
      <c r="AC14" s="17">
        <f t="shared" si="6"/>
        <v>170</v>
      </c>
      <c r="AD14" s="17">
        <f t="shared" si="6"/>
        <v>0</v>
      </c>
      <c r="AE14" s="31">
        <f t="shared" si="6"/>
        <v>149</v>
      </c>
      <c r="AF14" s="31">
        <f t="shared" si="6"/>
        <v>319</v>
      </c>
    </row>
    <row r="15" spans="2:32" ht="23.1" customHeight="1" x14ac:dyDescent="0.25">
      <c r="B15" s="23" t="s">
        <v>42</v>
      </c>
      <c r="C15" s="50">
        <v>20</v>
      </c>
      <c r="D15" s="50">
        <v>1</v>
      </c>
      <c r="E15" s="50">
        <v>2</v>
      </c>
      <c r="F15" s="50">
        <v>6</v>
      </c>
      <c r="G15" s="50">
        <v>0</v>
      </c>
      <c r="H15" s="50">
        <v>0</v>
      </c>
      <c r="I15" s="50">
        <v>3</v>
      </c>
      <c r="J15" s="50">
        <v>2</v>
      </c>
      <c r="K15" s="50">
        <v>1</v>
      </c>
      <c r="L15" s="50">
        <v>0</v>
      </c>
      <c r="M15" s="50">
        <v>75</v>
      </c>
      <c r="N15" s="50">
        <v>0</v>
      </c>
      <c r="O15" s="15">
        <f t="shared" si="0"/>
        <v>35</v>
      </c>
      <c r="P15" s="15">
        <f t="shared" si="1"/>
        <v>110</v>
      </c>
      <c r="R15" s="1" t="s">
        <v>11</v>
      </c>
      <c r="S15" s="17">
        <f t="shared" ref="S15:AF15" si="7">SUM(C30:C33)</f>
        <v>62</v>
      </c>
      <c r="T15" s="17">
        <f t="shared" si="7"/>
        <v>21</v>
      </c>
      <c r="U15" s="17">
        <f t="shared" si="7"/>
        <v>20</v>
      </c>
      <c r="V15" s="17">
        <f t="shared" si="7"/>
        <v>29</v>
      </c>
      <c r="W15" s="17">
        <f t="shared" si="7"/>
        <v>4</v>
      </c>
      <c r="X15" s="17">
        <f t="shared" si="7"/>
        <v>0</v>
      </c>
      <c r="Y15" s="17">
        <f t="shared" si="7"/>
        <v>94</v>
      </c>
      <c r="Z15" s="17">
        <f t="shared" si="7"/>
        <v>5</v>
      </c>
      <c r="AA15" s="17">
        <f t="shared" si="7"/>
        <v>3</v>
      </c>
      <c r="AB15" s="17">
        <f t="shared" si="7"/>
        <v>1</v>
      </c>
      <c r="AC15" s="17">
        <f t="shared" si="7"/>
        <v>240</v>
      </c>
      <c r="AD15" s="17">
        <f t="shared" si="7"/>
        <v>0</v>
      </c>
      <c r="AE15" s="31">
        <f t="shared" si="7"/>
        <v>239</v>
      </c>
      <c r="AF15" s="31">
        <f t="shared" si="7"/>
        <v>479</v>
      </c>
    </row>
    <row r="16" spans="2:32" ht="23.1" customHeight="1" x14ac:dyDescent="0.25">
      <c r="B16" s="23" t="s">
        <v>43</v>
      </c>
      <c r="C16" s="50">
        <v>17</v>
      </c>
      <c r="D16" s="50">
        <v>2</v>
      </c>
      <c r="E16" s="50">
        <v>3</v>
      </c>
      <c r="F16" s="50">
        <v>6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19</v>
      </c>
      <c r="N16" s="50">
        <v>0</v>
      </c>
      <c r="O16" s="15">
        <f t="shared" si="0"/>
        <v>31</v>
      </c>
      <c r="P16" s="15">
        <f t="shared" si="1"/>
        <v>50</v>
      </c>
      <c r="R16" s="1" t="s">
        <v>12</v>
      </c>
      <c r="S16" s="17">
        <f t="shared" ref="S16:AF16" si="8">SUM(C34:C37)</f>
        <v>88</v>
      </c>
      <c r="T16" s="17">
        <f t="shared" si="8"/>
        <v>21</v>
      </c>
      <c r="U16" s="17">
        <f t="shared" si="8"/>
        <v>16</v>
      </c>
      <c r="V16" s="17">
        <f t="shared" si="8"/>
        <v>32</v>
      </c>
      <c r="W16" s="17">
        <f t="shared" si="8"/>
        <v>2</v>
      </c>
      <c r="X16" s="17">
        <f t="shared" si="8"/>
        <v>0</v>
      </c>
      <c r="Y16" s="17">
        <f t="shared" si="8"/>
        <v>16</v>
      </c>
      <c r="Z16" s="17">
        <f t="shared" si="8"/>
        <v>4</v>
      </c>
      <c r="AA16" s="17">
        <f t="shared" si="8"/>
        <v>3</v>
      </c>
      <c r="AB16" s="17">
        <f t="shared" si="8"/>
        <v>0</v>
      </c>
      <c r="AC16" s="17">
        <f t="shared" si="8"/>
        <v>259</v>
      </c>
      <c r="AD16" s="17">
        <f t="shared" si="8"/>
        <v>0</v>
      </c>
      <c r="AE16" s="31">
        <f t="shared" si="8"/>
        <v>182</v>
      </c>
      <c r="AF16" s="31">
        <f t="shared" si="8"/>
        <v>441</v>
      </c>
    </row>
    <row r="17" spans="2:32" ht="23.1" customHeight="1" x14ac:dyDescent="0.25">
      <c r="B17" s="23" t="s">
        <v>44</v>
      </c>
      <c r="C17" s="50">
        <v>16</v>
      </c>
      <c r="D17" s="50">
        <v>4</v>
      </c>
      <c r="E17" s="50">
        <v>7</v>
      </c>
      <c r="F17" s="50">
        <v>7</v>
      </c>
      <c r="G17" s="50">
        <v>3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99</v>
      </c>
      <c r="N17" s="50">
        <v>0</v>
      </c>
      <c r="O17" s="15">
        <f t="shared" si="0"/>
        <v>37</v>
      </c>
      <c r="P17" s="15">
        <f t="shared" si="1"/>
        <v>136</v>
      </c>
      <c r="R17" s="1" t="s">
        <v>13</v>
      </c>
      <c r="S17" s="17">
        <f t="shared" ref="S17:AF17" si="9">SUM(C38:C41)</f>
        <v>88</v>
      </c>
      <c r="T17" s="17">
        <f t="shared" si="9"/>
        <v>24</v>
      </c>
      <c r="U17" s="17">
        <f t="shared" si="9"/>
        <v>18</v>
      </c>
      <c r="V17" s="17">
        <f t="shared" si="9"/>
        <v>17</v>
      </c>
      <c r="W17" s="17">
        <f t="shared" si="9"/>
        <v>1</v>
      </c>
      <c r="X17" s="17">
        <f t="shared" si="9"/>
        <v>0</v>
      </c>
      <c r="Y17" s="17">
        <f t="shared" si="9"/>
        <v>24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216</v>
      </c>
      <c r="AD17" s="17">
        <f t="shared" si="9"/>
        <v>0</v>
      </c>
      <c r="AE17" s="31">
        <f t="shared" si="9"/>
        <v>177</v>
      </c>
      <c r="AF17" s="31">
        <f t="shared" si="9"/>
        <v>393</v>
      </c>
    </row>
    <row r="18" spans="2:32" ht="23.1" customHeight="1" x14ac:dyDescent="0.25">
      <c r="B18" s="23" t="s">
        <v>45</v>
      </c>
      <c r="C18" s="50">
        <v>11</v>
      </c>
      <c r="D18" s="50">
        <v>8</v>
      </c>
      <c r="E18" s="50">
        <v>5</v>
      </c>
      <c r="F18" s="50">
        <v>13</v>
      </c>
      <c r="G18" s="50">
        <v>1</v>
      </c>
      <c r="H18" s="50">
        <v>0</v>
      </c>
      <c r="I18" s="50">
        <v>1</v>
      </c>
      <c r="J18" s="50">
        <v>3</v>
      </c>
      <c r="K18" s="50">
        <v>0</v>
      </c>
      <c r="L18" s="50">
        <v>0</v>
      </c>
      <c r="M18" s="50">
        <v>95</v>
      </c>
      <c r="N18" s="50">
        <v>0</v>
      </c>
      <c r="O18" s="15">
        <f t="shared" si="0"/>
        <v>42</v>
      </c>
      <c r="P18" s="15">
        <f t="shared" si="1"/>
        <v>137</v>
      </c>
      <c r="R18" s="1" t="s">
        <v>14</v>
      </c>
      <c r="S18" s="17">
        <f t="shared" ref="S18:AF18" si="10">SUM(C42:C45)</f>
        <v>91</v>
      </c>
      <c r="T18" s="17">
        <f t="shared" si="10"/>
        <v>27</v>
      </c>
      <c r="U18" s="17">
        <f t="shared" si="10"/>
        <v>23</v>
      </c>
      <c r="V18" s="17">
        <f t="shared" si="10"/>
        <v>19</v>
      </c>
      <c r="W18" s="17">
        <f t="shared" si="10"/>
        <v>1</v>
      </c>
      <c r="X18" s="17">
        <f t="shared" si="10"/>
        <v>0</v>
      </c>
      <c r="Y18" s="17">
        <f t="shared" si="10"/>
        <v>24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223</v>
      </c>
      <c r="AD18" s="17">
        <f t="shared" si="10"/>
        <v>0</v>
      </c>
      <c r="AE18" s="31">
        <f t="shared" si="10"/>
        <v>190</v>
      </c>
      <c r="AF18" s="31">
        <f t="shared" si="10"/>
        <v>413</v>
      </c>
    </row>
    <row r="19" spans="2:32" ht="23.1" customHeight="1" x14ac:dyDescent="0.25">
      <c r="B19" s="23" t="s">
        <v>46</v>
      </c>
      <c r="C19" s="50">
        <v>24</v>
      </c>
      <c r="D19" s="50">
        <v>7</v>
      </c>
      <c r="E19" s="50">
        <v>9</v>
      </c>
      <c r="F19" s="50">
        <v>18</v>
      </c>
      <c r="G19" s="50">
        <v>0</v>
      </c>
      <c r="H19" s="50">
        <v>0</v>
      </c>
      <c r="I19" s="50">
        <v>6</v>
      </c>
      <c r="J19" s="50">
        <v>1</v>
      </c>
      <c r="K19" s="50">
        <v>1</v>
      </c>
      <c r="L19" s="50">
        <v>0</v>
      </c>
      <c r="M19" s="50">
        <v>116</v>
      </c>
      <c r="N19" s="50">
        <v>0</v>
      </c>
      <c r="O19" s="15">
        <f t="shared" si="0"/>
        <v>66</v>
      </c>
      <c r="P19" s="15">
        <f t="shared" si="1"/>
        <v>182</v>
      </c>
      <c r="R19" s="1" t="s">
        <v>15</v>
      </c>
      <c r="S19" s="17">
        <f t="shared" ref="S19:AF19" si="11">SUM(C46:C49)</f>
        <v>141</v>
      </c>
      <c r="T19" s="17">
        <f t="shared" si="11"/>
        <v>14</v>
      </c>
      <c r="U19" s="17">
        <f t="shared" si="11"/>
        <v>18</v>
      </c>
      <c r="V19" s="17">
        <f t="shared" si="11"/>
        <v>26</v>
      </c>
      <c r="W19" s="17">
        <f t="shared" si="11"/>
        <v>2</v>
      </c>
      <c r="X19" s="17">
        <f t="shared" si="11"/>
        <v>0</v>
      </c>
      <c r="Y19" s="17">
        <f t="shared" si="11"/>
        <v>11</v>
      </c>
      <c r="Z19" s="17">
        <f t="shared" si="11"/>
        <v>6</v>
      </c>
      <c r="AA19" s="17">
        <f t="shared" si="11"/>
        <v>1</v>
      </c>
      <c r="AB19" s="17">
        <f t="shared" si="11"/>
        <v>0</v>
      </c>
      <c r="AC19" s="17">
        <f t="shared" si="11"/>
        <v>224</v>
      </c>
      <c r="AD19" s="17">
        <f t="shared" si="11"/>
        <v>0</v>
      </c>
      <c r="AE19" s="31">
        <f t="shared" si="11"/>
        <v>219</v>
      </c>
      <c r="AF19" s="31">
        <f t="shared" si="11"/>
        <v>443</v>
      </c>
    </row>
    <row r="20" spans="2:32" ht="23.1" customHeight="1" x14ac:dyDescent="0.25">
      <c r="B20" s="23" t="s">
        <v>47</v>
      </c>
      <c r="C20" s="50">
        <v>19</v>
      </c>
      <c r="D20" s="50">
        <v>9</v>
      </c>
      <c r="E20" s="50">
        <v>6</v>
      </c>
      <c r="F20" s="50">
        <v>7</v>
      </c>
      <c r="G20" s="50">
        <v>0</v>
      </c>
      <c r="H20" s="50">
        <v>0</v>
      </c>
      <c r="I20" s="50">
        <v>8</v>
      </c>
      <c r="J20" s="50">
        <v>1</v>
      </c>
      <c r="K20" s="50">
        <v>2</v>
      </c>
      <c r="L20" s="50">
        <v>0</v>
      </c>
      <c r="M20" s="50">
        <v>103</v>
      </c>
      <c r="N20" s="50">
        <v>0</v>
      </c>
      <c r="O20" s="15">
        <f t="shared" si="0"/>
        <v>52</v>
      </c>
      <c r="P20" s="15">
        <f t="shared" si="1"/>
        <v>155</v>
      </c>
      <c r="R20" s="1" t="s">
        <v>16</v>
      </c>
      <c r="S20" s="17">
        <f t="shared" ref="S20:AF20" si="12">SUM(C50:C53)</f>
        <v>252</v>
      </c>
      <c r="T20" s="17">
        <f t="shared" si="12"/>
        <v>36</v>
      </c>
      <c r="U20" s="17">
        <f t="shared" si="12"/>
        <v>48</v>
      </c>
      <c r="V20" s="17">
        <f t="shared" si="12"/>
        <v>56</v>
      </c>
      <c r="W20" s="17">
        <f t="shared" si="12"/>
        <v>4</v>
      </c>
      <c r="X20" s="17">
        <f t="shared" si="12"/>
        <v>0</v>
      </c>
      <c r="Y20" s="17">
        <f t="shared" si="12"/>
        <v>18</v>
      </c>
      <c r="Z20" s="17">
        <f t="shared" si="12"/>
        <v>6</v>
      </c>
      <c r="AA20" s="17">
        <f t="shared" si="12"/>
        <v>2</v>
      </c>
      <c r="AB20" s="17">
        <f t="shared" si="12"/>
        <v>0</v>
      </c>
      <c r="AC20" s="17">
        <f t="shared" si="12"/>
        <v>381</v>
      </c>
      <c r="AD20" s="17">
        <f t="shared" si="12"/>
        <v>0</v>
      </c>
      <c r="AE20" s="31">
        <f t="shared" si="12"/>
        <v>422</v>
      </c>
      <c r="AF20" s="31">
        <f t="shared" si="12"/>
        <v>803</v>
      </c>
    </row>
    <row r="21" spans="2:32" ht="23.1" customHeight="1" x14ac:dyDescent="0.25">
      <c r="B21" s="23" t="s">
        <v>48</v>
      </c>
      <c r="C21" s="50">
        <v>22</v>
      </c>
      <c r="D21" s="50">
        <v>0</v>
      </c>
      <c r="E21" s="50">
        <v>2</v>
      </c>
      <c r="F21" s="50">
        <v>4</v>
      </c>
      <c r="G21" s="50">
        <v>0</v>
      </c>
      <c r="H21" s="50">
        <v>0</v>
      </c>
      <c r="I21" s="50">
        <v>7</v>
      </c>
      <c r="J21" s="50">
        <v>2</v>
      </c>
      <c r="K21" s="50">
        <v>0</v>
      </c>
      <c r="L21" s="50">
        <v>0</v>
      </c>
      <c r="M21" s="50">
        <v>75</v>
      </c>
      <c r="N21" s="50">
        <v>0</v>
      </c>
      <c r="O21" s="15">
        <f t="shared" si="0"/>
        <v>37</v>
      </c>
      <c r="P21" s="15">
        <f t="shared" si="1"/>
        <v>112</v>
      </c>
      <c r="R21" s="36" t="s">
        <v>20</v>
      </c>
      <c r="S21" s="34">
        <f t="shared" ref="S21:AF21" si="13">SUM(C54:C57)</f>
        <v>295</v>
      </c>
      <c r="T21" s="17">
        <f t="shared" si="13"/>
        <v>33</v>
      </c>
      <c r="U21" s="17">
        <f t="shared" si="13"/>
        <v>33</v>
      </c>
      <c r="V21" s="17">
        <f t="shared" si="13"/>
        <v>70</v>
      </c>
      <c r="W21" s="17">
        <f t="shared" si="13"/>
        <v>4</v>
      </c>
      <c r="X21" s="17">
        <f t="shared" si="13"/>
        <v>0</v>
      </c>
      <c r="Y21" s="17">
        <f t="shared" si="13"/>
        <v>34</v>
      </c>
      <c r="Z21" s="17">
        <f t="shared" si="13"/>
        <v>10</v>
      </c>
      <c r="AA21" s="17">
        <f t="shared" si="13"/>
        <v>2</v>
      </c>
      <c r="AB21" s="17">
        <f t="shared" si="13"/>
        <v>0</v>
      </c>
      <c r="AC21" s="17">
        <f t="shared" si="13"/>
        <v>511</v>
      </c>
      <c r="AD21" s="17">
        <f t="shared" si="13"/>
        <v>0</v>
      </c>
      <c r="AE21" s="31">
        <f t="shared" si="13"/>
        <v>481</v>
      </c>
      <c r="AF21" s="31">
        <f t="shared" si="13"/>
        <v>992</v>
      </c>
    </row>
    <row r="22" spans="2:32" ht="23.1" customHeight="1" x14ac:dyDescent="0.25">
      <c r="B22" s="23" t="s">
        <v>49</v>
      </c>
      <c r="C22" s="50">
        <v>16</v>
      </c>
      <c r="D22" s="50">
        <v>3</v>
      </c>
      <c r="E22" s="50">
        <v>10</v>
      </c>
      <c r="F22" s="50">
        <v>15</v>
      </c>
      <c r="G22" s="50">
        <v>0</v>
      </c>
      <c r="H22" s="50">
        <v>0</v>
      </c>
      <c r="I22" s="50">
        <v>7</v>
      </c>
      <c r="J22" s="50">
        <v>0</v>
      </c>
      <c r="K22" s="50">
        <v>1</v>
      </c>
      <c r="L22" s="50">
        <v>0</v>
      </c>
      <c r="M22" s="50">
        <v>80</v>
      </c>
      <c r="N22" s="50">
        <v>0</v>
      </c>
      <c r="O22" s="15">
        <f t="shared" si="0"/>
        <v>52</v>
      </c>
      <c r="P22" s="15">
        <f t="shared" si="1"/>
        <v>132</v>
      </c>
      <c r="R22" s="38" t="s">
        <v>90</v>
      </c>
      <c r="S22" s="39">
        <f>MAX(S10:S12)</f>
        <v>81</v>
      </c>
      <c r="T22" s="39">
        <f t="shared" ref="T22:AF22" si="14">MAX(T10:T12)</f>
        <v>24</v>
      </c>
      <c r="U22" s="39">
        <f t="shared" si="14"/>
        <v>22</v>
      </c>
      <c r="V22" s="39">
        <f t="shared" si="14"/>
        <v>42</v>
      </c>
      <c r="W22" s="39">
        <f t="shared" si="14"/>
        <v>4</v>
      </c>
      <c r="X22" s="39">
        <f t="shared" si="14"/>
        <v>0</v>
      </c>
      <c r="Y22" s="39">
        <f t="shared" si="14"/>
        <v>22</v>
      </c>
      <c r="Z22" s="39">
        <f t="shared" si="14"/>
        <v>7</v>
      </c>
      <c r="AA22" s="39">
        <f t="shared" si="14"/>
        <v>3</v>
      </c>
      <c r="AB22" s="39">
        <f t="shared" si="14"/>
        <v>1</v>
      </c>
      <c r="AC22" s="39">
        <f t="shared" si="14"/>
        <v>389</v>
      </c>
      <c r="AD22" s="39">
        <f t="shared" si="14"/>
        <v>0</v>
      </c>
      <c r="AE22" s="40">
        <f t="shared" si="14"/>
        <v>197</v>
      </c>
      <c r="AF22" s="40">
        <f t="shared" si="14"/>
        <v>586</v>
      </c>
    </row>
    <row r="23" spans="2:32" ht="23.1" customHeight="1" x14ac:dyDescent="0.25">
      <c r="B23" s="23" t="s">
        <v>50</v>
      </c>
      <c r="C23" s="50">
        <v>18</v>
      </c>
      <c r="D23" s="50">
        <v>10</v>
      </c>
      <c r="E23" s="50">
        <v>5</v>
      </c>
      <c r="F23" s="50">
        <v>7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82</v>
      </c>
      <c r="N23" s="50">
        <v>0</v>
      </c>
      <c r="O23" s="15">
        <f t="shared" si="0"/>
        <v>47</v>
      </c>
      <c r="P23" s="15">
        <f t="shared" si="1"/>
        <v>129</v>
      </c>
      <c r="R23" s="38" t="s">
        <v>91</v>
      </c>
      <c r="S23" s="39">
        <f>MAX(S13:S18)</f>
        <v>91</v>
      </c>
      <c r="T23" s="39">
        <f t="shared" ref="T23:AF23" si="15">MAX(T13:T18)</f>
        <v>27</v>
      </c>
      <c r="U23" s="39">
        <f t="shared" si="15"/>
        <v>28</v>
      </c>
      <c r="V23" s="39">
        <f t="shared" si="15"/>
        <v>43</v>
      </c>
      <c r="W23" s="39">
        <f t="shared" si="15"/>
        <v>4</v>
      </c>
      <c r="X23" s="39">
        <f t="shared" si="15"/>
        <v>0</v>
      </c>
      <c r="Y23" s="39">
        <f t="shared" si="15"/>
        <v>94</v>
      </c>
      <c r="Z23" s="39">
        <f t="shared" si="15"/>
        <v>8</v>
      </c>
      <c r="AA23" s="39">
        <f t="shared" si="15"/>
        <v>3</v>
      </c>
      <c r="AB23" s="39">
        <f t="shared" si="15"/>
        <v>1</v>
      </c>
      <c r="AC23" s="39">
        <f t="shared" si="15"/>
        <v>316</v>
      </c>
      <c r="AD23" s="39">
        <f t="shared" si="15"/>
        <v>0</v>
      </c>
      <c r="AE23" s="40">
        <f t="shared" si="15"/>
        <v>239</v>
      </c>
      <c r="AF23" s="40">
        <f t="shared" si="15"/>
        <v>511</v>
      </c>
    </row>
    <row r="24" spans="2:32" ht="23.1" customHeight="1" x14ac:dyDescent="0.25">
      <c r="B24" s="23" t="s">
        <v>51</v>
      </c>
      <c r="C24" s="50">
        <v>16</v>
      </c>
      <c r="D24" s="50">
        <v>5</v>
      </c>
      <c r="E24" s="50">
        <v>5</v>
      </c>
      <c r="F24" s="50">
        <v>13</v>
      </c>
      <c r="G24" s="50">
        <v>0</v>
      </c>
      <c r="H24" s="50">
        <v>0</v>
      </c>
      <c r="I24" s="50">
        <v>8</v>
      </c>
      <c r="J24" s="50">
        <v>2</v>
      </c>
      <c r="K24" s="50">
        <v>0</v>
      </c>
      <c r="L24" s="50">
        <v>0</v>
      </c>
      <c r="M24" s="50">
        <v>82</v>
      </c>
      <c r="N24" s="50">
        <v>0</v>
      </c>
      <c r="O24" s="15">
        <f t="shared" si="0"/>
        <v>49</v>
      </c>
      <c r="P24" s="15">
        <f t="shared" si="1"/>
        <v>131</v>
      </c>
      <c r="R24" s="38" t="s">
        <v>92</v>
      </c>
      <c r="S24" s="39">
        <f>MAX(S19:S21)</f>
        <v>295</v>
      </c>
      <c r="T24" s="39">
        <f t="shared" ref="T24:AF24" si="16">MAX(T19:T21)</f>
        <v>36</v>
      </c>
      <c r="U24" s="39">
        <f t="shared" si="16"/>
        <v>48</v>
      </c>
      <c r="V24" s="39">
        <f t="shared" si="16"/>
        <v>70</v>
      </c>
      <c r="W24" s="39">
        <f t="shared" si="16"/>
        <v>4</v>
      </c>
      <c r="X24" s="39">
        <f t="shared" si="16"/>
        <v>0</v>
      </c>
      <c r="Y24" s="39">
        <f t="shared" si="16"/>
        <v>34</v>
      </c>
      <c r="Z24" s="39">
        <f t="shared" si="16"/>
        <v>10</v>
      </c>
      <c r="AA24" s="39">
        <f t="shared" si="16"/>
        <v>2</v>
      </c>
      <c r="AB24" s="39">
        <f t="shared" si="16"/>
        <v>0</v>
      </c>
      <c r="AC24" s="39">
        <f t="shared" si="16"/>
        <v>511</v>
      </c>
      <c r="AD24" s="39">
        <f t="shared" si="16"/>
        <v>0</v>
      </c>
      <c r="AE24" s="40">
        <f t="shared" si="16"/>
        <v>481</v>
      </c>
      <c r="AF24" s="40">
        <f t="shared" si="16"/>
        <v>992</v>
      </c>
    </row>
    <row r="25" spans="2:32" ht="23.1" customHeight="1" x14ac:dyDescent="0.25">
      <c r="B25" s="23" t="s">
        <v>52</v>
      </c>
      <c r="C25" s="50">
        <v>19</v>
      </c>
      <c r="D25" s="50">
        <v>1</v>
      </c>
      <c r="E25" s="50">
        <v>8</v>
      </c>
      <c r="F25" s="50">
        <v>8</v>
      </c>
      <c r="G25" s="50">
        <v>1</v>
      </c>
      <c r="H25" s="50">
        <v>0</v>
      </c>
      <c r="I25" s="50">
        <v>7</v>
      </c>
      <c r="J25" s="50">
        <v>0</v>
      </c>
      <c r="K25" s="50">
        <v>2</v>
      </c>
      <c r="L25" s="50">
        <v>1</v>
      </c>
      <c r="M25" s="50">
        <v>72</v>
      </c>
      <c r="N25" s="50">
        <v>0</v>
      </c>
      <c r="O25" s="15">
        <f t="shared" si="0"/>
        <v>47</v>
      </c>
      <c r="P25" s="15">
        <f t="shared" si="1"/>
        <v>119</v>
      </c>
      <c r="R25" s="37" t="s">
        <v>85</v>
      </c>
      <c r="S25" s="35">
        <f t="shared" ref="S25:AF25" si="17">SUM(S10:S12)</f>
        <v>229</v>
      </c>
      <c r="T25" s="16">
        <f t="shared" si="17"/>
        <v>44</v>
      </c>
      <c r="U25" s="16">
        <f t="shared" si="17"/>
        <v>51</v>
      </c>
      <c r="V25" s="16">
        <f t="shared" si="17"/>
        <v>96</v>
      </c>
      <c r="W25" s="16">
        <f t="shared" si="17"/>
        <v>7</v>
      </c>
      <c r="X25" s="16">
        <f t="shared" si="17"/>
        <v>0</v>
      </c>
      <c r="Y25" s="16">
        <f t="shared" si="17"/>
        <v>34</v>
      </c>
      <c r="Z25" s="16">
        <f t="shared" si="17"/>
        <v>13</v>
      </c>
      <c r="AA25" s="16">
        <f t="shared" si="17"/>
        <v>6</v>
      </c>
      <c r="AB25" s="16">
        <f t="shared" si="17"/>
        <v>1</v>
      </c>
      <c r="AC25" s="16">
        <f t="shared" si="17"/>
        <v>974</v>
      </c>
      <c r="AD25" s="16">
        <f t="shared" si="17"/>
        <v>0</v>
      </c>
      <c r="AE25" s="32">
        <f t="shared" si="17"/>
        <v>481</v>
      </c>
      <c r="AF25" s="32">
        <f t="shared" si="17"/>
        <v>1455</v>
      </c>
    </row>
    <row r="26" spans="2:32" ht="23.1" customHeight="1" x14ac:dyDescent="0.25">
      <c r="B26" s="23" t="s">
        <v>53</v>
      </c>
      <c r="C26" s="50">
        <v>19</v>
      </c>
      <c r="D26" s="50">
        <v>4</v>
      </c>
      <c r="E26" s="50">
        <v>1</v>
      </c>
      <c r="F26" s="50">
        <v>7</v>
      </c>
      <c r="G26" s="50">
        <v>0</v>
      </c>
      <c r="H26" s="50">
        <v>0</v>
      </c>
      <c r="I26" s="50">
        <v>6</v>
      </c>
      <c r="J26" s="50">
        <v>1</v>
      </c>
      <c r="K26" s="50">
        <v>1</v>
      </c>
      <c r="L26" s="50">
        <v>0</v>
      </c>
      <c r="M26" s="50">
        <v>47</v>
      </c>
      <c r="N26" s="50">
        <v>0</v>
      </c>
      <c r="O26" s="15">
        <f t="shared" si="0"/>
        <v>39</v>
      </c>
      <c r="P26" s="15">
        <f t="shared" si="1"/>
        <v>86</v>
      </c>
      <c r="R26" s="28" t="s">
        <v>86</v>
      </c>
      <c r="S26" s="16">
        <f t="shared" ref="S26:AF26" si="18">SUM(S13:S18)</f>
        <v>468</v>
      </c>
      <c r="T26" s="16">
        <f t="shared" si="18"/>
        <v>128</v>
      </c>
      <c r="U26" s="16">
        <f t="shared" si="18"/>
        <v>116</v>
      </c>
      <c r="V26" s="16">
        <f t="shared" si="18"/>
        <v>166</v>
      </c>
      <c r="W26" s="16">
        <f t="shared" si="18"/>
        <v>10</v>
      </c>
      <c r="X26" s="16">
        <f t="shared" si="18"/>
        <v>0</v>
      </c>
      <c r="Y26" s="16">
        <f t="shared" si="18"/>
        <v>201</v>
      </c>
      <c r="Z26" s="16">
        <f t="shared" si="18"/>
        <v>29</v>
      </c>
      <c r="AA26" s="16">
        <f t="shared" si="18"/>
        <v>12</v>
      </c>
      <c r="AB26" s="16">
        <f t="shared" si="18"/>
        <v>2</v>
      </c>
      <c r="AC26" s="16">
        <f t="shared" si="18"/>
        <v>1424</v>
      </c>
      <c r="AD26" s="16">
        <f t="shared" si="18"/>
        <v>0</v>
      </c>
      <c r="AE26" s="32">
        <f t="shared" si="18"/>
        <v>1132</v>
      </c>
      <c r="AF26" s="32">
        <f t="shared" si="18"/>
        <v>2556</v>
      </c>
    </row>
    <row r="27" spans="2:32" ht="23.1" customHeight="1" x14ac:dyDescent="0.25">
      <c r="B27" s="23" t="s">
        <v>54</v>
      </c>
      <c r="C27" s="50">
        <v>22</v>
      </c>
      <c r="D27" s="50">
        <v>1</v>
      </c>
      <c r="E27" s="50">
        <v>4</v>
      </c>
      <c r="F27" s="50">
        <v>4</v>
      </c>
      <c r="G27" s="50">
        <v>0</v>
      </c>
      <c r="H27" s="50">
        <v>0</v>
      </c>
      <c r="I27" s="50">
        <v>4</v>
      </c>
      <c r="J27" s="50">
        <v>3</v>
      </c>
      <c r="K27" s="50">
        <v>0</v>
      </c>
      <c r="L27" s="50">
        <v>0</v>
      </c>
      <c r="M27" s="50">
        <v>61</v>
      </c>
      <c r="N27" s="50">
        <v>0</v>
      </c>
      <c r="O27" s="15">
        <f t="shared" si="0"/>
        <v>38</v>
      </c>
      <c r="P27" s="15">
        <f t="shared" si="1"/>
        <v>99</v>
      </c>
      <c r="R27" s="29" t="s">
        <v>87</v>
      </c>
      <c r="S27" s="16">
        <f t="shared" ref="S27:AF27" si="19">SUM(S19:S21)</f>
        <v>688</v>
      </c>
      <c r="T27" s="16">
        <f t="shared" si="19"/>
        <v>83</v>
      </c>
      <c r="U27" s="16">
        <f t="shared" si="19"/>
        <v>99</v>
      </c>
      <c r="V27" s="16">
        <f t="shared" si="19"/>
        <v>152</v>
      </c>
      <c r="W27" s="16">
        <f t="shared" si="19"/>
        <v>10</v>
      </c>
      <c r="X27" s="16">
        <f t="shared" si="19"/>
        <v>0</v>
      </c>
      <c r="Y27" s="16">
        <f t="shared" si="19"/>
        <v>63</v>
      </c>
      <c r="Z27" s="16">
        <f t="shared" si="19"/>
        <v>22</v>
      </c>
      <c r="AA27" s="16">
        <f t="shared" si="19"/>
        <v>5</v>
      </c>
      <c r="AB27" s="16">
        <f t="shared" si="19"/>
        <v>0</v>
      </c>
      <c r="AC27" s="16">
        <f t="shared" si="19"/>
        <v>1116</v>
      </c>
      <c r="AD27" s="16">
        <f t="shared" si="19"/>
        <v>0</v>
      </c>
      <c r="AE27" s="32">
        <f t="shared" si="19"/>
        <v>1122</v>
      </c>
      <c r="AF27" s="32">
        <f t="shared" si="19"/>
        <v>2238</v>
      </c>
    </row>
    <row r="28" spans="2:32" ht="23.1" customHeight="1" x14ac:dyDescent="0.25">
      <c r="B28" s="23" t="s">
        <v>55</v>
      </c>
      <c r="C28" s="50">
        <v>19</v>
      </c>
      <c r="D28" s="50">
        <v>8</v>
      </c>
      <c r="E28" s="50">
        <v>4</v>
      </c>
      <c r="F28" s="50">
        <v>12</v>
      </c>
      <c r="G28" s="50">
        <v>1</v>
      </c>
      <c r="H28" s="50">
        <v>0</v>
      </c>
      <c r="I28" s="50">
        <v>2</v>
      </c>
      <c r="J28" s="50">
        <v>4</v>
      </c>
      <c r="K28" s="50">
        <v>1</v>
      </c>
      <c r="L28" s="50">
        <v>0</v>
      </c>
      <c r="M28" s="50">
        <v>12</v>
      </c>
      <c r="N28" s="50">
        <v>0</v>
      </c>
      <c r="O28" s="15">
        <f t="shared" si="0"/>
        <v>51</v>
      </c>
      <c r="P28" s="15">
        <f t="shared" si="1"/>
        <v>63</v>
      </c>
      <c r="R28" s="5" t="s">
        <v>17</v>
      </c>
      <c r="S28" s="16">
        <f t="shared" ref="S28:AF28" si="20">SUM(S10:S21)</f>
        <v>1385</v>
      </c>
      <c r="T28" s="16">
        <f t="shared" si="20"/>
        <v>255</v>
      </c>
      <c r="U28" s="16">
        <f t="shared" si="20"/>
        <v>266</v>
      </c>
      <c r="V28" s="16">
        <f t="shared" si="20"/>
        <v>414</v>
      </c>
      <c r="W28" s="16">
        <f t="shared" si="20"/>
        <v>27</v>
      </c>
      <c r="X28" s="16">
        <f t="shared" si="20"/>
        <v>0</v>
      </c>
      <c r="Y28" s="16">
        <f t="shared" si="20"/>
        <v>298</v>
      </c>
      <c r="Z28" s="16">
        <f t="shared" si="20"/>
        <v>64</v>
      </c>
      <c r="AA28" s="16">
        <f t="shared" si="20"/>
        <v>23</v>
      </c>
      <c r="AB28" s="16">
        <f t="shared" si="20"/>
        <v>3</v>
      </c>
      <c r="AC28" s="16">
        <f t="shared" si="20"/>
        <v>3514</v>
      </c>
      <c r="AD28" s="16">
        <f t="shared" si="20"/>
        <v>0</v>
      </c>
      <c r="AE28" s="32">
        <f t="shared" si="20"/>
        <v>2735</v>
      </c>
      <c r="AF28" s="32">
        <f t="shared" si="20"/>
        <v>6249</v>
      </c>
    </row>
    <row r="29" spans="2:32" ht="23.1" customHeight="1" x14ac:dyDescent="0.25">
      <c r="B29" s="23" t="s">
        <v>56</v>
      </c>
      <c r="C29" s="50">
        <v>10</v>
      </c>
      <c r="D29" s="50">
        <v>3</v>
      </c>
      <c r="E29" s="50">
        <v>2</v>
      </c>
      <c r="F29" s="50">
        <v>3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50</v>
      </c>
      <c r="N29" s="50">
        <v>0</v>
      </c>
      <c r="O29" s="15">
        <f t="shared" si="0"/>
        <v>21</v>
      </c>
      <c r="P29" s="15">
        <f t="shared" si="1"/>
        <v>71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4</v>
      </c>
      <c r="E30" s="50">
        <v>6</v>
      </c>
      <c r="F30" s="50">
        <v>12</v>
      </c>
      <c r="G30" s="50">
        <v>2</v>
      </c>
      <c r="H30" s="50">
        <v>0</v>
      </c>
      <c r="I30" s="50">
        <v>6</v>
      </c>
      <c r="J30" s="50">
        <v>1</v>
      </c>
      <c r="K30" s="50">
        <v>1</v>
      </c>
      <c r="L30" s="50">
        <v>0</v>
      </c>
      <c r="M30" s="50">
        <v>60</v>
      </c>
      <c r="N30" s="50">
        <v>0</v>
      </c>
      <c r="O30" s="15">
        <f t="shared" si="0"/>
        <v>47</v>
      </c>
      <c r="P30" s="15">
        <f t="shared" si="1"/>
        <v>107</v>
      </c>
    </row>
    <row r="31" spans="2:32" ht="23.1" customHeight="1" x14ac:dyDescent="0.25">
      <c r="B31" s="24" t="s">
        <v>58</v>
      </c>
      <c r="C31" s="50">
        <v>9</v>
      </c>
      <c r="D31" s="50">
        <v>2</v>
      </c>
      <c r="E31" s="50">
        <v>1</v>
      </c>
      <c r="F31" s="50">
        <v>2</v>
      </c>
      <c r="G31" s="50">
        <v>0</v>
      </c>
      <c r="H31" s="50">
        <v>0</v>
      </c>
      <c r="I31" s="50">
        <v>5</v>
      </c>
      <c r="J31" s="50">
        <v>3</v>
      </c>
      <c r="K31" s="50">
        <v>1</v>
      </c>
      <c r="L31" s="50">
        <v>1</v>
      </c>
      <c r="M31" s="50">
        <v>50</v>
      </c>
      <c r="N31" s="50">
        <v>0</v>
      </c>
      <c r="O31" s="15">
        <f t="shared" si="0"/>
        <v>24</v>
      </c>
      <c r="P31" s="15">
        <f t="shared" si="1"/>
        <v>74</v>
      </c>
    </row>
    <row r="32" spans="2:32" ht="23.1" customHeight="1" x14ac:dyDescent="0.25">
      <c r="B32" s="24" t="s">
        <v>59</v>
      </c>
      <c r="C32" s="50">
        <v>16</v>
      </c>
      <c r="D32" s="50">
        <v>9</v>
      </c>
      <c r="E32" s="50">
        <v>8</v>
      </c>
      <c r="F32" s="50">
        <v>8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74</v>
      </c>
      <c r="N32" s="50">
        <v>0</v>
      </c>
      <c r="O32" s="15">
        <f t="shared" si="0"/>
        <v>46</v>
      </c>
      <c r="P32" s="15">
        <f t="shared" si="1"/>
        <v>120</v>
      </c>
    </row>
    <row r="33" spans="2:20" ht="23.1" customHeight="1" x14ac:dyDescent="0.25">
      <c r="B33" s="23" t="s">
        <v>60</v>
      </c>
      <c r="C33" s="50">
        <v>22</v>
      </c>
      <c r="D33" s="50">
        <v>6</v>
      </c>
      <c r="E33" s="50">
        <v>5</v>
      </c>
      <c r="F33" s="50">
        <v>7</v>
      </c>
      <c r="G33" s="50">
        <v>2</v>
      </c>
      <c r="H33" s="50">
        <v>0</v>
      </c>
      <c r="I33" s="50">
        <v>78</v>
      </c>
      <c r="J33" s="50">
        <v>1</v>
      </c>
      <c r="K33" s="50">
        <v>1</v>
      </c>
      <c r="L33" s="50">
        <v>0</v>
      </c>
      <c r="M33" s="50">
        <v>56</v>
      </c>
      <c r="N33" s="50">
        <v>0</v>
      </c>
      <c r="O33" s="15">
        <f t="shared" si="0"/>
        <v>122</v>
      </c>
      <c r="P33" s="15">
        <f t="shared" si="1"/>
        <v>178</v>
      </c>
    </row>
    <row r="34" spans="2:20" ht="23.1" customHeight="1" x14ac:dyDescent="0.25">
      <c r="B34" s="24" t="s">
        <v>61</v>
      </c>
      <c r="C34" s="50">
        <v>25</v>
      </c>
      <c r="D34" s="50">
        <v>7</v>
      </c>
      <c r="E34" s="50">
        <v>5</v>
      </c>
      <c r="F34" s="50">
        <v>15</v>
      </c>
      <c r="G34" s="50">
        <v>2</v>
      </c>
      <c r="H34" s="50">
        <v>0</v>
      </c>
      <c r="I34" s="50">
        <v>6</v>
      </c>
      <c r="J34" s="50">
        <v>1</v>
      </c>
      <c r="K34" s="50">
        <v>2</v>
      </c>
      <c r="L34" s="50">
        <v>0</v>
      </c>
      <c r="M34" s="50">
        <v>83</v>
      </c>
      <c r="N34" s="50">
        <v>0</v>
      </c>
      <c r="O34" s="15">
        <f t="shared" si="0"/>
        <v>63</v>
      </c>
      <c r="P34" s="15">
        <f t="shared" si="1"/>
        <v>146</v>
      </c>
    </row>
    <row r="35" spans="2:20" ht="23.1" customHeight="1" x14ac:dyDescent="0.25">
      <c r="B35" s="24" t="s">
        <v>62</v>
      </c>
      <c r="C35" s="50">
        <v>28</v>
      </c>
      <c r="D35" s="50">
        <v>5</v>
      </c>
      <c r="E35" s="50">
        <v>4</v>
      </c>
      <c r="F35" s="50">
        <v>7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63</v>
      </c>
      <c r="N35" s="50">
        <v>0</v>
      </c>
      <c r="O35" s="15">
        <f t="shared" si="0"/>
        <v>47</v>
      </c>
      <c r="P35" s="15">
        <f t="shared" si="1"/>
        <v>110</v>
      </c>
    </row>
    <row r="36" spans="2:20" ht="23.1" customHeight="1" x14ac:dyDescent="0.25">
      <c r="B36" s="24" t="s">
        <v>63</v>
      </c>
      <c r="C36" s="50">
        <v>19</v>
      </c>
      <c r="D36" s="50">
        <v>3</v>
      </c>
      <c r="E36" s="50">
        <v>6</v>
      </c>
      <c r="F36" s="50">
        <v>6</v>
      </c>
      <c r="G36" s="50">
        <v>0</v>
      </c>
      <c r="H36" s="50">
        <v>0</v>
      </c>
      <c r="I36" s="50">
        <v>6</v>
      </c>
      <c r="J36" s="50">
        <v>1</v>
      </c>
      <c r="K36" s="50">
        <v>1</v>
      </c>
      <c r="L36" s="50">
        <v>0</v>
      </c>
      <c r="M36" s="50">
        <v>68</v>
      </c>
      <c r="N36" s="50">
        <v>0</v>
      </c>
      <c r="O36" s="15">
        <f t="shared" si="0"/>
        <v>42</v>
      </c>
      <c r="P36" s="15">
        <f t="shared" si="1"/>
        <v>110</v>
      </c>
    </row>
    <row r="37" spans="2:20" ht="23.1" customHeight="1" x14ac:dyDescent="0.25">
      <c r="B37" s="23" t="s">
        <v>64</v>
      </c>
      <c r="C37" s="50">
        <v>16</v>
      </c>
      <c r="D37" s="50">
        <v>6</v>
      </c>
      <c r="E37" s="50">
        <v>1</v>
      </c>
      <c r="F37" s="50">
        <v>4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45</v>
      </c>
      <c r="N37" s="50">
        <v>0</v>
      </c>
      <c r="O37" s="15">
        <f t="shared" si="0"/>
        <v>30</v>
      </c>
      <c r="P37" s="15">
        <f t="shared" si="1"/>
        <v>75</v>
      </c>
    </row>
    <row r="38" spans="2:20" ht="23.1" customHeight="1" x14ac:dyDescent="0.25">
      <c r="B38" s="24" t="s">
        <v>65</v>
      </c>
      <c r="C38" s="50">
        <v>25</v>
      </c>
      <c r="D38" s="50">
        <v>5</v>
      </c>
      <c r="E38" s="50">
        <v>6</v>
      </c>
      <c r="F38" s="50">
        <v>5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56</v>
      </c>
      <c r="N38" s="50">
        <v>0</v>
      </c>
      <c r="O38" s="15">
        <f t="shared" si="0"/>
        <v>47</v>
      </c>
      <c r="P38" s="15">
        <f t="shared" si="1"/>
        <v>103</v>
      </c>
    </row>
    <row r="39" spans="2:20" ht="23.1" customHeight="1" x14ac:dyDescent="0.25">
      <c r="B39" s="24" t="s">
        <v>66</v>
      </c>
      <c r="C39" s="50">
        <v>26</v>
      </c>
      <c r="D39" s="50">
        <v>13</v>
      </c>
      <c r="E39" s="50">
        <v>9</v>
      </c>
      <c r="F39" s="50">
        <v>6</v>
      </c>
      <c r="G39" s="50">
        <v>1</v>
      </c>
      <c r="H39" s="50">
        <v>0</v>
      </c>
      <c r="I39" s="50">
        <v>12</v>
      </c>
      <c r="J39" s="50">
        <v>2</v>
      </c>
      <c r="K39" s="50">
        <v>1</v>
      </c>
      <c r="L39" s="50">
        <v>0</v>
      </c>
      <c r="M39" s="50">
        <v>84</v>
      </c>
      <c r="N39" s="50">
        <v>0</v>
      </c>
      <c r="O39" s="15">
        <f t="shared" si="0"/>
        <v>70</v>
      </c>
      <c r="P39" s="15">
        <f t="shared" si="1"/>
        <v>154</v>
      </c>
    </row>
    <row r="40" spans="2:20" ht="23.1" customHeight="1" x14ac:dyDescent="0.25">
      <c r="B40" s="24" t="s">
        <v>67</v>
      </c>
      <c r="C40" s="50">
        <v>21</v>
      </c>
      <c r="D40" s="50">
        <v>5</v>
      </c>
      <c r="E40" s="50">
        <v>2</v>
      </c>
      <c r="F40" s="50">
        <v>4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44</v>
      </c>
      <c r="N40" s="50">
        <v>0</v>
      </c>
      <c r="O40" s="15">
        <f t="shared" si="0"/>
        <v>35</v>
      </c>
      <c r="P40" s="15">
        <f t="shared" si="1"/>
        <v>79</v>
      </c>
    </row>
    <row r="41" spans="2:20" ht="23.1" customHeight="1" x14ac:dyDescent="0.25">
      <c r="B41" s="23" t="s">
        <v>68</v>
      </c>
      <c r="C41" s="50">
        <v>16</v>
      </c>
      <c r="D41" s="50">
        <v>1</v>
      </c>
      <c r="E41" s="50">
        <v>1</v>
      </c>
      <c r="F41" s="50">
        <v>2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25</v>
      </c>
      <c r="P41" s="15">
        <f t="shared" si="1"/>
        <v>57</v>
      </c>
    </row>
    <row r="42" spans="2:20" ht="23.1" customHeight="1" x14ac:dyDescent="0.25">
      <c r="B42" s="24" t="s">
        <v>69</v>
      </c>
      <c r="C42" s="50">
        <v>26</v>
      </c>
      <c r="D42" s="50">
        <v>5</v>
      </c>
      <c r="E42" s="50">
        <v>5</v>
      </c>
      <c r="F42" s="50">
        <v>7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49</v>
      </c>
      <c r="N42" s="50">
        <v>0</v>
      </c>
      <c r="O42" s="15">
        <f t="shared" si="0"/>
        <v>46</v>
      </c>
      <c r="P42" s="15">
        <f t="shared" si="1"/>
        <v>95</v>
      </c>
    </row>
    <row r="43" spans="2:20" ht="23.1" customHeight="1" x14ac:dyDescent="0.25">
      <c r="B43" s="23" t="s">
        <v>70</v>
      </c>
      <c r="C43" s="50">
        <v>17</v>
      </c>
      <c r="D43" s="50">
        <v>9</v>
      </c>
      <c r="E43" s="50">
        <v>7</v>
      </c>
      <c r="F43" s="50">
        <v>2</v>
      </c>
      <c r="G43" s="50">
        <v>1</v>
      </c>
      <c r="H43" s="50">
        <v>0</v>
      </c>
      <c r="I43" s="50">
        <v>7</v>
      </c>
      <c r="J43" s="50">
        <v>1</v>
      </c>
      <c r="K43" s="50">
        <v>0</v>
      </c>
      <c r="L43" s="50">
        <v>0</v>
      </c>
      <c r="M43" s="50">
        <v>60</v>
      </c>
      <c r="N43" s="50">
        <v>0</v>
      </c>
      <c r="O43" s="15">
        <f t="shared" si="0"/>
        <v>44</v>
      </c>
      <c r="P43" s="15">
        <f t="shared" si="1"/>
        <v>104</v>
      </c>
    </row>
    <row r="44" spans="2:20" ht="23.1" customHeight="1" x14ac:dyDescent="0.25">
      <c r="B44" s="25" t="s">
        <v>71</v>
      </c>
      <c r="C44" s="50">
        <v>16</v>
      </c>
      <c r="D44" s="50">
        <v>6</v>
      </c>
      <c r="E44" s="50">
        <v>4</v>
      </c>
      <c r="F44" s="50">
        <v>3</v>
      </c>
      <c r="G44" s="50">
        <v>0</v>
      </c>
      <c r="H44" s="50">
        <v>0</v>
      </c>
      <c r="I44" s="50">
        <v>6</v>
      </c>
      <c r="J44" s="50">
        <v>0</v>
      </c>
      <c r="K44" s="50">
        <v>0</v>
      </c>
      <c r="L44" s="50">
        <v>0</v>
      </c>
      <c r="M44" s="50">
        <v>47</v>
      </c>
      <c r="N44" s="50">
        <v>0</v>
      </c>
      <c r="O44" s="15">
        <f t="shared" si="0"/>
        <v>35</v>
      </c>
      <c r="P44" s="15">
        <f t="shared" si="1"/>
        <v>82</v>
      </c>
    </row>
    <row r="45" spans="2:20" ht="23.1" customHeight="1" x14ac:dyDescent="0.25">
      <c r="B45" s="23" t="s">
        <v>72</v>
      </c>
      <c r="C45" s="50">
        <v>32</v>
      </c>
      <c r="D45" s="50">
        <v>7</v>
      </c>
      <c r="E45" s="50">
        <v>7</v>
      </c>
      <c r="F45" s="50">
        <v>7</v>
      </c>
      <c r="G45" s="50">
        <v>0</v>
      </c>
      <c r="H45" s="50">
        <v>0</v>
      </c>
      <c r="I45" s="50">
        <v>9</v>
      </c>
      <c r="J45" s="50">
        <v>3</v>
      </c>
      <c r="K45" s="50">
        <v>0</v>
      </c>
      <c r="L45" s="50">
        <v>0</v>
      </c>
      <c r="M45" s="50">
        <v>67</v>
      </c>
      <c r="N45" s="50">
        <v>0</v>
      </c>
      <c r="O45" s="15">
        <f t="shared" si="0"/>
        <v>65</v>
      </c>
      <c r="P45" s="15">
        <f t="shared" si="1"/>
        <v>132</v>
      </c>
    </row>
    <row r="46" spans="2:20" ht="23.1" customHeight="1" x14ac:dyDescent="0.25">
      <c r="B46" s="24" t="s">
        <v>73</v>
      </c>
      <c r="C46" s="50">
        <v>25</v>
      </c>
      <c r="D46" s="50">
        <v>1</v>
      </c>
      <c r="E46" s="50">
        <v>1</v>
      </c>
      <c r="F46" s="50">
        <v>5</v>
      </c>
      <c r="G46" s="50">
        <v>0</v>
      </c>
      <c r="H46" s="50">
        <v>0</v>
      </c>
      <c r="I46" s="50">
        <v>2</v>
      </c>
      <c r="J46" s="50">
        <v>5</v>
      </c>
      <c r="K46" s="50">
        <v>0</v>
      </c>
      <c r="L46" s="50">
        <v>0</v>
      </c>
      <c r="M46" s="50">
        <v>39</v>
      </c>
      <c r="N46" s="50">
        <v>0</v>
      </c>
      <c r="O46" s="15">
        <f t="shared" si="0"/>
        <v>39</v>
      </c>
      <c r="P46" s="15">
        <f t="shared" si="1"/>
        <v>78</v>
      </c>
      <c r="R46" s="8"/>
      <c r="T46"/>
    </row>
    <row r="47" spans="2:20" ht="23.1" customHeight="1" x14ac:dyDescent="0.25">
      <c r="B47" s="24" t="s">
        <v>74</v>
      </c>
      <c r="C47" s="50">
        <v>44</v>
      </c>
      <c r="D47" s="50">
        <v>6</v>
      </c>
      <c r="E47" s="50">
        <v>12</v>
      </c>
      <c r="F47" s="50">
        <v>11</v>
      </c>
      <c r="G47" s="50">
        <v>1</v>
      </c>
      <c r="H47" s="50">
        <v>0</v>
      </c>
      <c r="I47" s="50">
        <v>3</v>
      </c>
      <c r="J47" s="50">
        <v>0</v>
      </c>
      <c r="K47" s="50">
        <v>1</v>
      </c>
      <c r="L47" s="50">
        <v>0</v>
      </c>
      <c r="M47" s="50">
        <v>63</v>
      </c>
      <c r="N47" s="50">
        <v>0</v>
      </c>
      <c r="O47" s="15">
        <f t="shared" si="0"/>
        <v>78</v>
      </c>
      <c r="P47" s="15">
        <f t="shared" si="1"/>
        <v>141</v>
      </c>
      <c r="R47" s="8"/>
      <c r="T47"/>
    </row>
    <row r="48" spans="2:20" ht="23.1" customHeight="1" x14ac:dyDescent="0.25">
      <c r="B48" s="24" t="s">
        <v>75</v>
      </c>
      <c r="C48" s="50">
        <v>44</v>
      </c>
      <c r="D48" s="50">
        <v>5</v>
      </c>
      <c r="E48" s="50">
        <v>4</v>
      </c>
      <c r="F48" s="50">
        <v>5</v>
      </c>
      <c r="G48" s="50">
        <v>1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62</v>
      </c>
      <c r="N48" s="50">
        <v>0</v>
      </c>
      <c r="O48" s="15">
        <f t="shared" si="0"/>
        <v>65</v>
      </c>
      <c r="P48" s="15">
        <f t="shared" si="1"/>
        <v>127</v>
      </c>
      <c r="R48" s="8"/>
      <c r="T48"/>
    </row>
    <row r="49" spans="2:20" ht="23.1" customHeight="1" x14ac:dyDescent="0.25">
      <c r="B49" s="23" t="s">
        <v>76</v>
      </c>
      <c r="C49" s="50">
        <v>28</v>
      </c>
      <c r="D49" s="50">
        <v>2</v>
      </c>
      <c r="E49" s="50">
        <v>1</v>
      </c>
      <c r="F49" s="50">
        <v>5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37</v>
      </c>
      <c r="P49" s="15">
        <f t="shared" si="1"/>
        <v>97</v>
      </c>
      <c r="R49" s="8"/>
      <c r="T49"/>
    </row>
    <row r="50" spans="2:20" ht="23.1" customHeight="1" x14ac:dyDescent="0.25">
      <c r="B50" s="24" t="s">
        <v>77</v>
      </c>
      <c r="C50" s="50">
        <v>37</v>
      </c>
      <c r="D50" s="50">
        <v>3</v>
      </c>
      <c r="E50" s="50">
        <v>15</v>
      </c>
      <c r="F50" s="50">
        <v>9</v>
      </c>
      <c r="G50" s="50">
        <v>2</v>
      </c>
      <c r="H50" s="50">
        <v>0</v>
      </c>
      <c r="I50" s="50">
        <v>2</v>
      </c>
      <c r="J50" s="50">
        <v>2</v>
      </c>
      <c r="K50" s="50">
        <v>0</v>
      </c>
      <c r="L50" s="50">
        <v>0</v>
      </c>
      <c r="M50" s="50">
        <v>79</v>
      </c>
      <c r="N50" s="50">
        <v>0</v>
      </c>
      <c r="O50" s="15">
        <f t="shared" si="0"/>
        <v>70</v>
      </c>
      <c r="P50" s="15">
        <f t="shared" si="1"/>
        <v>149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16</v>
      </c>
      <c r="E51" s="50">
        <v>11</v>
      </c>
      <c r="F51" s="50">
        <v>10</v>
      </c>
      <c r="G51" s="50">
        <v>0</v>
      </c>
      <c r="H51" s="50">
        <v>0</v>
      </c>
      <c r="I51" s="50">
        <v>10</v>
      </c>
      <c r="J51" s="50">
        <v>1</v>
      </c>
      <c r="K51" s="50">
        <v>0</v>
      </c>
      <c r="L51" s="50">
        <v>0</v>
      </c>
      <c r="M51" s="50">
        <v>87</v>
      </c>
      <c r="N51" s="50">
        <v>0</v>
      </c>
      <c r="O51" s="15">
        <f t="shared" si="0"/>
        <v>103</v>
      </c>
      <c r="P51" s="15">
        <f t="shared" si="1"/>
        <v>190</v>
      </c>
      <c r="R51" s="8"/>
      <c r="T51"/>
    </row>
    <row r="52" spans="2:20" ht="23.1" customHeight="1" x14ac:dyDescent="0.25">
      <c r="B52" s="24" t="s">
        <v>79</v>
      </c>
      <c r="C52" s="50">
        <v>75</v>
      </c>
      <c r="D52" s="50">
        <v>9</v>
      </c>
      <c r="E52" s="50">
        <v>9</v>
      </c>
      <c r="F52" s="50">
        <v>20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103</v>
      </c>
      <c r="N52" s="50">
        <v>0</v>
      </c>
      <c r="O52" s="15">
        <f t="shared" si="0"/>
        <v>118</v>
      </c>
      <c r="P52" s="15">
        <f t="shared" si="1"/>
        <v>221</v>
      </c>
      <c r="R52" s="8"/>
      <c r="T52"/>
    </row>
    <row r="53" spans="2:20" ht="23.1" customHeight="1" x14ac:dyDescent="0.25">
      <c r="B53" s="23" t="s">
        <v>80</v>
      </c>
      <c r="C53" s="50">
        <v>85</v>
      </c>
      <c r="D53" s="50">
        <v>8</v>
      </c>
      <c r="E53" s="50">
        <v>13</v>
      </c>
      <c r="F53" s="50">
        <v>17</v>
      </c>
      <c r="G53" s="50">
        <v>2</v>
      </c>
      <c r="H53" s="50">
        <v>0</v>
      </c>
      <c r="I53" s="50">
        <v>2</v>
      </c>
      <c r="J53" s="50">
        <v>2</v>
      </c>
      <c r="K53" s="50">
        <v>2</v>
      </c>
      <c r="L53" s="50">
        <v>0</v>
      </c>
      <c r="M53" s="50">
        <v>112</v>
      </c>
      <c r="N53" s="50">
        <v>0</v>
      </c>
      <c r="O53" s="15">
        <f t="shared" si="0"/>
        <v>131</v>
      </c>
      <c r="P53" s="15">
        <f t="shared" si="1"/>
        <v>243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7</v>
      </c>
      <c r="E54" s="50">
        <v>12</v>
      </c>
      <c r="F54" s="50">
        <v>3</v>
      </c>
      <c r="G54" s="50">
        <v>1</v>
      </c>
      <c r="H54" s="50">
        <v>0</v>
      </c>
      <c r="I54" s="50">
        <v>7</v>
      </c>
      <c r="J54" s="50">
        <v>2</v>
      </c>
      <c r="K54" s="50">
        <v>0</v>
      </c>
      <c r="L54" s="50">
        <v>0</v>
      </c>
      <c r="M54" s="50">
        <v>120</v>
      </c>
      <c r="N54" s="50">
        <v>0</v>
      </c>
      <c r="O54" s="15">
        <f t="shared" si="0"/>
        <v>112</v>
      </c>
      <c r="P54" s="15">
        <f t="shared" si="1"/>
        <v>232</v>
      </c>
      <c r="R54" s="8"/>
      <c r="T54"/>
    </row>
    <row r="55" spans="2:20" ht="23.1" customHeight="1" x14ac:dyDescent="0.25">
      <c r="B55" s="23" t="s">
        <v>82</v>
      </c>
      <c r="C55" s="50">
        <v>85</v>
      </c>
      <c r="D55" s="50">
        <v>7</v>
      </c>
      <c r="E55" s="50">
        <v>9</v>
      </c>
      <c r="F55" s="50">
        <v>22</v>
      </c>
      <c r="G55" s="50">
        <v>3</v>
      </c>
      <c r="H55" s="50">
        <v>0</v>
      </c>
      <c r="I55" s="50">
        <v>9</v>
      </c>
      <c r="J55" s="50">
        <v>3</v>
      </c>
      <c r="K55" s="50">
        <v>1</v>
      </c>
      <c r="L55" s="50">
        <v>0</v>
      </c>
      <c r="M55" s="50">
        <v>155</v>
      </c>
      <c r="N55" s="50">
        <v>0</v>
      </c>
      <c r="O55" s="15">
        <f t="shared" si="0"/>
        <v>139</v>
      </c>
      <c r="P55" s="15">
        <f t="shared" si="1"/>
        <v>294</v>
      </c>
      <c r="R55" s="8"/>
      <c r="T55"/>
    </row>
    <row r="56" spans="2:20" ht="23.1" customHeight="1" x14ac:dyDescent="0.25">
      <c r="B56" s="23" t="s">
        <v>83</v>
      </c>
      <c r="C56" s="50">
        <v>75</v>
      </c>
      <c r="D56" s="50">
        <v>11</v>
      </c>
      <c r="E56" s="50">
        <v>3</v>
      </c>
      <c r="F56" s="50">
        <v>28</v>
      </c>
      <c r="G56" s="50">
        <v>0</v>
      </c>
      <c r="H56" s="50">
        <v>0</v>
      </c>
      <c r="I56" s="50">
        <v>12</v>
      </c>
      <c r="J56" s="50">
        <v>2</v>
      </c>
      <c r="K56" s="50">
        <v>1</v>
      </c>
      <c r="L56" s="50">
        <v>0</v>
      </c>
      <c r="M56" s="50">
        <v>135</v>
      </c>
      <c r="N56" s="50">
        <v>0</v>
      </c>
      <c r="O56" s="15">
        <f t="shared" si="0"/>
        <v>132</v>
      </c>
      <c r="P56" s="15">
        <f t="shared" si="1"/>
        <v>267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8</v>
      </c>
      <c r="E57" s="50">
        <v>9</v>
      </c>
      <c r="F57" s="50">
        <v>17</v>
      </c>
      <c r="G57" s="50">
        <v>0</v>
      </c>
      <c r="H57" s="50">
        <v>0</v>
      </c>
      <c r="I57" s="50">
        <v>6</v>
      </c>
      <c r="J57" s="50">
        <v>3</v>
      </c>
      <c r="K57" s="50">
        <v>0</v>
      </c>
      <c r="L57" s="50">
        <v>0</v>
      </c>
      <c r="M57" s="50">
        <v>101</v>
      </c>
      <c r="N57" s="50">
        <v>0</v>
      </c>
      <c r="O57" s="15">
        <f t="shared" si="0"/>
        <v>98</v>
      </c>
      <c r="P57" s="15">
        <f t="shared" si="1"/>
        <v>199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1385</v>
      </c>
      <c r="D58" s="16">
        <f t="shared" si="21"/>
        <v>255</v>
      </c>
      <c r="E58" s="16">
        <f t="shared" si="21"/>
        <v>266</v>
      </c>
      <c r="F58" s="16">
        <f t="shared" si="21"/>
        <v>414</v>
      </c>
      <c r="G58" s="16">
        <f t="shared" si="21"/>
        <v>27</v>
      </c>
      <c r="H58" s="16">
        <f t="shared" si="21"/>
        <v>0</v>
      </c>
      <c r="I58" s="16">
        <f t="shared" si="21"/>
        <v>298</v>
      </c>
      <c r="J58" s="16">
        <f t="shared" si="21"/>
        <v>64</v>
      </c>
      <c r="K58" s="16">
        <f t="shared" si="21"/>
        <v>23</v>
      </c>
      <c r="L58" s="16">
        <f t="shared" si="21"/>
        <v>3</v>
      </c>
      <c r="M58" s="16">
        <f t="shared" si="21"/>
        <v>3514</v>
      </c>
      <c r="N58" s="16">
        <f t="shared" si="21"/>
        <v>0</v>
      </c>
      <c r="O58" s="16">
        <f t="shared" si="21"/>
        <v>2735</v>
      </c>
      <c r="P58" s="16">
        <f t="shared" si="21"/>
        <v>6249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0.22163546167386783</v>
      </c>
      <c r="D59" s="43">
        <f t="shared" si="22"/>
        <v>4.0806529044647141E-2</v>
      </c>
      <c r="E59" s="43">
        <f t="shared" si="22"/>
        <v>4.2566810689710355E-2</v>
      </c>
      <c r="F59" s="43">
        <f t="shared" si="22"/>
        <v>6.6250600096015369E-2</v>
      </c>
      <c r="G59" s="43">
        <f t="shared" si="22"/>
        <v>4.3206913106096975E-3</v>
      </c>
      <c r="H59" s="43">
        <f t="shared" si="22"/>
        <v>0</v>
      </c>
      <c r="I59" s="43">
        <f t="shared" si="22"/>
        <v>4.7687630020803326E-2</v>
      </c>
      <c r="J59" s="43">
        <f t="shared" si="22"/>
        <v>1.0241638662185949E-2</v>
      </c>
      <c r="K59" s="43">
        <f t="shared" si="22"/>
        <v>3.6805888942230756E-3</v>
      </c>
      <c r="L59" s="43">
        <f t="shared" si="22"/>
        <v>4.8007681228996637E-4</v>
      </c>
      <c r="M59" s="43">
        <f t="shared" si="22"/>
        <v>0.56232997279564734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0.50639853747714803</v>
      </c>
      <c r="D60" s="44">
        <f t="shared" ref="D60:N60" si="23">D58/$O$58</f>
        <v>9.3235831809872036E-2</v>
      </c>
      <c r="E60" s="44">
        <f t="shared" si="23"/>
        <v>9.7257769652650816E-2</v>
      </c>
      <c r="F60" s="44">
        <f t="shared" si="23"/>
        <v>0.15137111517367458</v>
      </c>
      <c r="G60" s="44">
        <f t="shared" si="23"/>
        <v>9.872029250457038E-3</v>
      </c>
      <c r="H60" s="44">
        <f t="shared" si="23"/>
        <v>0</v>
      </c>
      <c r="I60" s="44">
        <f t="shared" si="23"/>
        <v>0.10895795246800731</v>
      </c>
      <c r="J60" s="44">
        <f t="shared" si="23"/>
        <v>2.3400365630712981E-2</v>
      </c>
      <c r="K60" s="44">
        <f t="shared" si="23"/>
        <v>8.4095063985374779E-3</v>
      </c>
      <c r="L60" s="44">
        <f t="shared" si="23"/>
        <v>1.0968921389396709E-3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M106" sqref="M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70">
        <f>'02.08 KYEBANDO-NSOOBA'!G5:H5</f>
        <v>29</v>
      </c>
      <c r="H5" s="71"/>
      <c r="I5" s="14"/>
      <c r="J5" s="2" t="s">
        <v>5</v>
      </c>
      <c r="K5" s="70" t="str">
        <f>'02.08 KYEBANDO-NSOOBA'!K5:L5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NSOOBA-KYEBANDO'!D6:E6</f>
        <v>NSOOBA</v>
      </c>
      <c r="E6" s="71"/>
      <c r="F6" s="2" t="s">
        <v>2</v>
      </c>
      <c r="G6" s="70" t="str">
        <f>'29.07 NSOOBA-KYEBANDO'!G6:H6</f>
        <v>KYEBANDO</v>
      </c>
      <c r="H6" s="71"/>
      <c r="J6" s="2" t="s">
        <v>21</v>
      </c>
      <c r="K6" s="70" t="str">
        <f>'02.08 KYEBANDO-NSOOBA'!K6:L6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74</v>
      </c>
      <c r="D10" s="50">
        <v>8</v>
      </c>
      <c r="E10" s="50">
        <v>4</v>
      </c>
      <c r="F10" s="50">
        <v>25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105</v>
      </c>
      <c r="N10" s="50">
        <v>0</v>
      </c>
      <c r="O10" s="15">
        <f t="shared" ref="O10:O57" si="0">SUM(C10:L10,N10)</f>
        <v>115</v>
      </c>
      <c r="P10" s="15">
        <f t="shared" ref="P10:P57" si="1">SUM(C10:N10)</f>
        <v>220</v>
      </c>
      <c r="R10" s="1" t="s">
        <v>6</v>
      </c>
      <c r="S10" s="17">
        <f t="shared" ref="S10:AF10" si="2">SUM(C10:C13)</f>
        <v>321</v>
      </c>
      <c r="T10" s="17">
        <f t="shared" si="2"/>
        <v>51</v>
      </c>
      <c r="U10" s="17">
        <f t="shared" si="2"/>
        <v>23</v>
      </c>
      <c r="V10" s="17">
        <f t="shared" si="2"/>
        <v>151</v>
      </c>
      <c r="W10" s="17">
        <f t="shared" si="2"/>
        <v>1</v>
      </c>
      <c r="X10" s="17">
        <f t="shared" si="2"/>
        <v>0</v>
      </c>
      <c r="Y10" s="17">
        <f t="shared" si="2"/>
        <v>15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627</v>
      </c>
      <c r="AD10" s="17">
        <f t="shared" si="2"/>
        <v>0</v>
      </c>
      <c r="AE10" s="31">
        <f t="shared" si="2"/>
        <v>562</v>
      </c>
      <c r="AF10" s="31">
        <f t="shared" si="2"/>
        <v>1189</v>
      </c>
    </row>
    <row r="11" spans="2:32" s="6" customFormat="1" ht="23.1" customHeight="1" x14ac:dyDescent="0.25">
      <c r="B11" s="45" t="s">
        <v>38</v>
      </c>
      <c r="C11" s="50">
        <v>77</v>
      </c>
      <c r="D11" s="50">
        <v>13</v>
      </c>
      <c r="E11" s="50">
        <v>7</v>
      </c>
      <c r="F11" s="50">
        <v>47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241</v>
      </c>
      <c r="N11" s="50">
        <v>0</v>
      </c>
      <c r="O11" s="15">
        <f t="shared" si="0"/>
        <v>148</v>
      </c>
      <c r="P11" s="15">
        <f t="shared" si="1"/>
        <v>389</v>
      </c>
      <c r="R11" s="1" t="s">
        <v>7</v>
      </c>
      <c r="S11" s="17">
        <f t="shared" ref="S11:AF11" si="3">SUM(C14:C17)</f>
        <v>265</v>
      </c>
      <c r="T11" s="17">
        <f t="shared" si="3"/>
        <v>50</v>
      </c>
      <c r="U11" s="17">
        <f t="shared" si="3"/>
        <v>19</v>
      </c>
      <c r="V11" s="17">
        <f t="shared" si="3"/>
        <v>173</v>
      </c>
      <c r="W11" s="17">
        <f t="shared" si="3"/>
        <v>1</v>
      </c>
      <c r="X11" s="17">
        <f t="shared" si="3"/>
        <v>2</v>
      </c>
      <c r="Y11" s="17">
        <f t="shared" si="3"/>
        <v>17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557</v>
      </c>
      <c r="AD11" s="17">
        <f t="shared" si="3"/>
        <v>0</v>
      </c>
      <c r="AE11" s="31">
        <f t="shared" si="3"/>
        <v>527</v>
      </c>
      <c r="AF11" s="31">
        <f t="shared" si="3"/>
        <v>1084</v>
      </c>
    </row>
    <row r="12" spans="2:32" ht="23.1" customHeight="1" x14ac:dyDescent="0.25">
      <c r="B12" s="45" t="s">
        <v>39</v>
      </c>
      <c r="C12" s="50">
        <v>86</v>
      </c>
      <c r="D12" s="50">
        <v>13</v>
      </c>
      <c r="E12" s="50">
        <v>7</v>
      </c>
      <c r="F12" s="50">
        <v>47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124</v>
      </c>
      <c r="N12" s="50">
        <v>0</v>
      </c>
      <c r="O12" s="15">
        <f t="shared" si="0"/>
        <v>158</v>
      </c>
      <c r="P12" s="15">
        <f t="shared" si="1"/>
        <v>282</v>
      </c>
      <c r="R12" s="1" t="s">
        <v>8</v>
      </c>
      <c r="S12" s="17">
        <f t="shared" ref="S12:AF12" si="4">SUM(C18:C21)</f>
        <v>180</v>
      </c>
      <c r="T12" s="17">
        <f t="shared" si="4"/>
        <v>38</v>
      </c>
      <c r="U12" s="17">
        <f t="shared" si="4"/>
        <v>18</v>
      </c>
      <c r="V12" s="17">
        <f t="shared" si="4"/>
        <v>62</v>
      </c>
      <c r="W12" s="17">
        <f t="shared" si="4"/>
        <v>1</v>
      </c>
      <c r="X12" s="17">
        <f t="shared" si="4"/>
        <v>0</v>
      </c>
      <c r="Y12" s="17">
        <f t="shared" si="4"/>
        <v>21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393</v>
      </c>
      <c r="AD12" s="17">
        <f t="shared" si="4"/>
        <v>0</v>
      </c>
      <c r="AE12" s="31">
        <f t="shared" si="4"/>
        <v>321</v>
      </c>
      <c r="AF12" s="31">
        <f t="shared" si="4"/>
        <v>714</v>
      </c>
    </row>
    <row r="13" spans="2:32" ht="23.1" customHeight="1" x14ac:dyDescent="0.25">
      <c r="B13" s="45" t="s">
        <v>40</v>
      </c>
      <c r="C13" s="50">
        <v>84</v>
      </c>
      <c r="D13" s="50">
        <v>17</v>
      </c>
      <c r="E13" s="50">
        <v>5</v>
      </c>
      <c r="F13" s="50">
        <v>32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157</v>
      </c>
      <c r="N13" s="50">
        <v>0</v>
      </c>
      <c r="O13" s="15">
        <f t="shared" si="0"/>
        <v>141</v>
      </c>
      <c r="P13" s="15">
        <f t="shared" si="1"/>
        <v>298</v>
      </c>
      <c r="R13" s="1" t="s">
        <v>9</v>
      </c>
      <c r="S13" s="17">
        <f t="shared" ref="S13:AF13" si="5">SUM(C22:C25)</f>
        <v>119</v>
      </c>
      <c r="T13" s="17">
        <f t="shared" si="5"/>
        <v>26</v>
      </c>
      <c r="U13" s="17">
        <f t="shared" si="5"/>
        <v>13</v>
      </c>
      <c r="V13" s="17">
        <f t="shared" si="5"/>
        <v>32</v>
      </c>
      <c r="W13" s="17">
        <f t="shared" si="5"/>
        <v>1</v>
      </c>
      <c r="X13" s="17">
        <f t="shared" si="5"/>
        <v>1</v>
      </c>
      <c r="Y13" s="17">
        <f t="shared" si="5"/>
        <v>11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244</v>
      </c>
      <c r="AD13" s="17">
        <f t="shared" si="5"/>
        <v>0</v>
      </c>
      <c r="AE13" s="31">
        <f t="shared" si="5"/>
        <v>204</v>
      </c>
      <c r="AF13" s="31">
        <f t="shared" si="5"/>
        <v>448</v>
      </c>
    </row>
    <row r="14" spans="2:32" ht="23.1" customHeight="1" x14ac:dyDescent="0.25">
      <c r="B14" s="45" t="s">
        <v>41</v>
      </c>
      <c r="C14" s="50">
        <v>61</v>
      </c>
      <c r="D14" s="50">
        <v>5</v>
      </c>
      <c r="E14" s="50">
        <v>3</v>
      </c>
      <c r="F14" s="50">
        <v>47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145</v>
      </c>
      <c r="N14" s="50">
        <v>0</v>
      </c>
      <c r="O14" s="15">
        <f t="shared" si="0"/>
        <v>119</v>
      </c>
      <c r="P14" s="15">
        <f t="shared" si="1"/>
        <v>264</v>
      </c>
      <c r="R14" s="1" t="s">
        <v>10</v>
      </c>
      <c r="S14" s="17">
        <f t="shared" ref="S14:AF14" si="6">SUM(C26:C29)</f>
        <v>87</v>
      </c>
      <c r="T14" s="17">
        <f t="shared" si="6"/>
        <v>25</v>
      </c>
      <c r="U14" s="17">
        <f t="shared" si="6"/>
        <v>11</v>
      </c>
      <c r="V14" s="17">
        <f t="shared" si="6"/>
        <v>17</v>
      </c>
      <c r="W14" s="17">
        <f t="shared" si="6"/>
        <v>0</v>
      </c>
      <c r="X14" s="17">
        <f t="shared" si="6"/>
        <v>0</v>
      </c>
      <c r="Y14" s="17">
        <f t="shared" si="6"/>
        <v>20</v>
      </c>
      <c r="Z14" s="17">
        <f t="shared" si="6"/>
        <v>4</v>
      </c>
      <c r="AA14" s="17">
        <f t="shared" si="6"/>
        <v>1</v>
      </c>
      <c r="AB14" s="17">
        <f t="shared" si="6"/>
        <v>0</v>
      </c>
      <c r="AC14" s="17">
        <f t="shared" si="6"/>
        <v>196</v>
      </c>
      <c r="AD14" s="17">
        <f t="shared" si="6"/>
        <v>0</v>
      </c>
      <c r="AE14" s="31">
        <f t="shared" si="6"/>
        <v>165</v>
      </c>
      <c r="AF14" s="31">
        <f t="shared" si="6"/>
        <v>361</v>
      </c>
    </row>
    <row r="15" spans="2:32" ht="23.1" customHeight="1" x14ac:dyDescent="0.25">
      <c r="B15" s="45" t="s">
        <v>42</v>
      </c>
      <c r="C15" s="50">
        <v>76</v>
      </c>
      <c r="D15" s="50">
        <v>13</v>
      </c>
      <c r="E15" s="50">
        <v>8</v>
      </c>
      <c r="F15" s="50">
        <v>57</v>
      </c>
      <c r="G15" s="50">
        <v>1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174</v>
      </c>
      <c r="N15" s="50">
        <v>0</v>
      </c>
      <c r="O15" s="15">
        <f t="shared" si="0"/>
        <v>159</v>
      </c>
      <c r="P15" s="15">
        <f t="shared" si="1"/>
        <v>333</v>
      </c>
      <c r="R15" s="1" t="s">
        <v>11</v>
      </c>
      <c r="S15" s="17">
        <f t="shared" ref="S15:AF15" si="7">SUM(C30:C33)</f>
        <v>59</v>
      </c>
      <c r="T15" s="17">
        <f t="shared" si="7"/>
        <v>13</v>
      </c>
      <c r="U15" s="17">
        <f t="shared" si="7"/>
        <v>12</v>
      </c>
      <c r="V15" s="17">
        <f t="shared" si="7"/>
        <v>20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126</v>
      </c>
      <c r="AD15" s="17">
        <f t="shared" si="7"/>
        <v>0</v>
      </c>
      <c r="AE15" s="31">
        <f t="shared" si="7"/>
        <v>117</v>
      </c>
      <c r="AF15" s="31">
        <f t="shared" si="7"/>
        <v>243</v>
      </c>
    </row>
    <row r="16" spans="2:32" ht="23.1" customHeight="1" x14ac:dyDescent="0.25">
      <c r="B16" s="45" t="s">
        <v>43</v>
      </c>
      <c r="C16" s="50">
        <v>77</v>
      </c>
      <c r="D16" s="50">
        <v>17</v>
      </c>
      <c r="E16" s="50">
        <v>5</v>
      </c>
      <c r="F16" s="50">
        <v>36</v>
      </c>
      <c r="G16" s="50">
        <v>0</v>
      </c>
      <c r="H16" s="50">
        <v>1</v>
      </c>
      <c r="I16" s="50">
        <v>7</v>
      </c>
      <c r="J16" s="50">
        <v>0</v>
      </c>
      <c r="K16" s="50">
        <v>0</v>
      </c>
      <c r="L16" s="50">
        <v>0</v>
      </c>
      <c r="M16" s="50">
        <v>132</v>
      </c>
      <c r="N16" s="50">
        <v>0</v>
      </c>
      <c r="O16" s="15">
        <f t="shared" si="0"/>
        <v>143</v>
      </c>
      <c r="P16" s="15">
        <f t="shared" si="1"/>
        <v>275</v>
      </c>
      <c r="R16" s="1" t="s">
        <v>12</v>
      </c>
      <c r="S16" s="17">
        <f t="shared" ref="S16:AF16" si="8">SUM(C34:C37)</f>
        <v>66</v>
      </c>
      <c r="T16" s="17">
        <f t="shared" si="8"/>
        <v>13</v>
      </c>
      <c r="U16" s="17">
        <f t="shared" si="8"/>
        <v>7</v>
      </c>
      <c r="V16" s="17">
        <f t="shared" si="8"/>
        <v>17</v>
      </c>
      <c r="W16" s="17">
        <f t="shared" si="8"/>
        <v>1</v>
      </c>
      <c r="X16" s="17">
        <f t="shared" si="8"/>
        <v>0</v>
      </c>
      <c r="Y16" s="17">
        <f t="shared" si="8"/>
        <v>15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131</v>
      </c>
      <c r="AD16" s="17">
        <f t="shared" si="8"/>
        <v>0</v>
      </c>
      <c r="AE16" s="31">
        <f t="shared" si="8"/>
        <v>119</v>
      </c>
      <c r="AF16" s="31">
        <f t="shared" si="8"/>
        <v>250</v>
      </c>
    </row>
    <row r="17" spans="2:32" ht="23.1" customHeight="1" x14ac:dyDescent="0.25">
      <c r="B17" s="45" t="s">
        <v>44</v>
      </c>
      <c r="C17" s="50">
        <v>51</v>
      </c>
      <c r="D17" s="50">
        <v>15</v>
      </c>
      <c r="E17" s="50">
        <v>3</v>
      </c>
      <c r="F17" s="50">
        <v>33</v>
      </c>
      <c r="G17" s="50">
        <v>0</v>
      </c>
      <c r="H17" s="50">
        <v>1</v>
      </c>
      <c r="I17" s="50">
        <v>3</v>
      </c>
      <c r="J17" s="50">
        <v>0</v>
      </c>
      <c r="K17" s="50">
        <v>0</v>
      </c>
      <c r="L17" s="50">
        <v>0</v>
      </c>
      <c r="M17" s="50">
        <v>106</v>
      </c>
      <c r="N17" s="50">
        <v>0</v>
      </c>
      <c r="O17" s="15">
        <f t="shared" si="0"/>
        <v>106</v>
      </c>
      <c r="P17" s="15">
        <f t="shared" si="1"/>
        <v>212</v>
      </c>
      <c r="R17" s="1" t="s">
        <v>13</v>
      </c>
      <c r="S17" s="17">
        <f t="shared" ref="S17:AF17" si="9">SUM(C38:C41)</f>
        <v>47</v>
      </c>
      <c r="T17" s="17">
        <f t="shared" si="9"/>
        <v>15</v>
      </c>
      <c r="U17" s="17">
        <f t="shared" si="9"/>
        <v>3</v>
      </c>
      <c r="V17" s="17">
        <f t="shared" si="9"/>
        <v>15</v>
      </c>
      <c r="W17" s="17">
        <f t="shared" si="9"/>
        <v>1</v>
      </c>
      <c r="X17" s="17">
        <f t="shared" si="9"/>
        <v>0</v>
      </c>
      <c r="Y17" s="17">
        <f t="shared" si="9"/>
        <v>12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133</v>
      </c>
      <c r="AD17" s="17">
        <f t="shared" si="9"/>
        <v>0</v>
      </c>
      <c r="AE17" s="31">
        <f t="shared" si="9"/>
        <v>95</v>
      </c>
      <c r="AF17" s="31">
        <f t="shared" si="9"/>
        <v>228</v>
      </c>
    </row>
    <row r="18" spans="2:32" ht="23.1" customHeight="1" x14ac:dyDescent="0.25">
      <c r="B18" s="45" t="s">
        <v>45</v>
      </c>
      <c r="C18" s="50">
        <v>59</v>
      </c>
      <c r="D18" s="50">
        <v>8</v>
      </c>
      <c r="E18" s="50">
        <v>5</v>
      </c>
      <c r="F18" s="50">
        <v>21</v>
      </c>
      <c r="G18" s="50">
        <v>0</v>
      </c>
      <c r="H18" s="50">
        <v>0</v>
      </c>
      <c r="I18" s="50">
        <v>7</v>
      </c>
      <c r="J18" s="50">
        <v>0</v>
      </c>
      <c r="K18" s="50">
        <v>0</v>
      </c>
      <c r="L18" s="50">
        <v>0</v>
      </c>
      <c r="M18" s="50">
        <v>126</v>
      </c>
      <c r="N18" s="50">
        <v>0</v>
      </c>
      <c r="O18" s="15">
        <f t="shared" si="0"/>
        <v>100</v>
      </c>
      <c r="P18" s="15">
        <f t="shared" si="1"/>
        <v>226</v>
      </c>
      <c r="R18" s="1" t="s">
        <v>14</v>
      </c>
      <c r="S18" s="17">
        <f t="shared" ref="S18:AF18" si="10">SUM(C42:C45)</f>
        <v>54</v>
      </c>
      <c r="T18" s="17">
        <f t="shared" si="10"/>
        <v>9</v>
      </c>
      <c r="U18" s="17">
        <f t="shared" si="10"/>
        <v>21</v>
      </c>
      <c r="V18" s="17">
        <f t="shared" si="10"/>
        <v>21</v>
      </c>
      <c r="W18" s="17">
        <f t="shared" si="10"/>
        <v>0</v>
      </c>
      <c r="X18" s="17">
        <f t="shared" si="10"/>
        <v>0</v>
      </c>
      <c r="Y18" s="17">
        <f t="shared" si="10"/>
        <v>20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144</v>
      </c>
      <c r="AD18" s="17">
        <f t="shared" si="10"/>
        <v>0</v>
      </c>
      <c r="AE18" s="31">
        <f t="shared" si="10"/>
        <v>127</v>
      </c>
      <c r="AF18" s="31">
        <f t="shared" si="10"/>
        <v>271</v>
      </c>
    </row>
    <row r="19" spans="2:32" ht="23.1" customHeight="1" x14ac:dyDescent="0.25">
      <c r="B19" s="45" t="s">
        <v>46</v>
      </c>
      <c r="C19" s="50">
        <v>44</v>
      </c>
      <c r="D19" s="50">
        <v>8</v>
      </c>
      <c r="E19" s="50">
        <v>4</v>
      </c>
      <c r="F19" s="50">
        <v>14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95</v>
      </c>
      <c r="N19" s="50">
        <v>0</v>
      </c>
      <c r="O19" s="15">
        <f t="shared" si="0"/>
        <v>76</v>
      </c>
      <c r="P19" s="15">
        <f t="shared" si="1"/>
        <v>171</v>
      </c>
      <c r="R19" s="1" t="s">
        <v>15</v>
      </c>
      <c r="S19" s="17">
        <f t="shared" ref="S19:AF19" si="11">SUM(C46:C49)</f>
        <v>66</v>
      </c>
      <c r="T19" s="17">
        <f t="shared" si="11"/>
        <v>16</v>
      </c>
      <c r="U19" s="17">
        <f t="shared" si="11"/>
        <v>8</v>
      </c>
      <c r="V19" s="17">
        <f t="shared" si="11"/>
        <v>25</v>
      </c>
      <c r="W19" s="17">
        <f t="shared" si="11"/>
        <v>1</v>
      </c>
      <c r="X19" s="17">
        <f t="shared" si="11"/>
        <v>0</v>
      </c>
      <c r="Y19" s="17">
        <f t="shared" si="11"/>
        <v>13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157</v>
      </c>
      <c r="AD19" s="17">
        <f t="shared" si="11"/>
        <v>0</v>
      </c>
      <c r="AE19" s="31">
        <f t="shared" si="11"/>
        <v>132</v>
      </c>
      <c r="AF19" s="31">
        <f t="shared" si="11"/>
        <v>289</v>
      </c>
    </row>
    <row r="20" spans="2:32" ht="23.1" customHeight="1" x14ac:dyDescent="0.25">
      <c r="B20" s="45" t="s">
        <v>47</v>
      </c>
      <c r="C20" s="50">
        <v>54</v>
      </c>
      <c r="D20" s="50">
        <v>12</v>
      </c>
      <c r="E20" s="50">
        <v>5</v>
      </c>
      <c r="F20" s="50">
        <v>15</v>
      </c>
      <c r="G20" s="50">
        <v>1</v>
      </c>
      <c r="H20" s="50">
        <v>0</v>
      </c>
      <c r="I20" s="50">
        <v>6</v>
      </c>
      <c r="J20" s="50">
        <v>0</v>
      </c>
      <c r="K20" s="50">
        <v>0</v>
      </c>
      <c r="L20" s="50">
        <v>0</v>
      </c>
      <c r="M20" s="50">
        <v>80</v>
      </c>
      <c r="N20" s="50">
        <v>0</v>
      </c>
      <c r="O20" s="15">
        <f t="shared" si="0"/>
        <v>93</v>
      </c>
      <c r="P20" s="15">
        <f t="shared" si="1"/>
        <v>173</v>
      </c>
      <c r="R20" s="1" t="s">
        <v>16</v>
      </c>
      <c r="S20" s="17">
        <f t="shared" ref="S20:AF20" si="12">SUM(C50:C53)</f>
        <v>66</v>
      </c>
      <c r="T20" s="17">
        <f t="shared" si="12"/>
        <v>16</v>
      </c>
      <c r="U20" s="17">
        <f t="shared" si="12"/>
        <v>8</v>
      </c>
      <c r="V20" s="17">
        <f t="shared" si="12"/>
        <v>25</v>
      </c>
      <c r="W20" s="17">
        <f t="shared" si="12"/>
        <v>1</v>
      </c>
      <c r="X20" s="17">
        <f t="shared" si="12"/>
        <v>0</v>
      </c>
      <c r="Y20" s="17">
        <f t="shared" si="12"/>
        <v>11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188</v>
      </c>
      <c r="AD20" s="17">
        <f t="shared" si="12"/>
        <v>0</v>
      </c>
      <c r="AE20" s="31">
        <f t="shared" si="12"/>
        <v>127</v>
      </c>
      <c r="AF20" s="31">
        <f t="shared" si="12"/>
        <v>315</v>
      </c>
    </row>
    <row r="21" spans="2:32" ht="23.1" customHeight="1" x14ac:dyDescent="0.25">
      <c r="B21" s="45" t="s">
        <v>48</v>
      </c>
      <c r="C21" s="50">
        <v>23</v>
      </c>
      <c r="D21" s="50">
        <v>10</v>
      </c>
      <c r="E21" s="50">
        <v>4</v>
      </c>
      <c r="F21" s="50">
        <v>12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92</v>
      </c>
      <c r="N21" s="50">
        <v>0</v>
      </c>
      <c r="O21" s="15">
        <f t="shared" si="0"/>
        <v>52</v>
      </c>
      <c r="P21" s="15">
        <f t="shared" si="1"/>
        <v>144</v>
      </c>
      <c r="R21" s="36" t="s">
        <v>20</v>
      </c>
      <c r="S21" s="34">
        <f t="shared" ref="S21:AF21" si="13">SUM(C54:C57)</f>
        <v>62</v>
      </c>
      <c r="T21" s="17">
        <f t="shared" si="13"/>
        <v>10</v>
      </c>
      <c r="U21" s="17">
        <f t="shared" si="13"/>
        <v>8</v>
      </c>
      <c r="V21" s="17">
        <f t="shared" si="13"/>
        <v>25</v>
      </c>
      <c r="W21" s="17">
        <f t="shared" si="13"/>
        <v>1</v>
      </c>
      <c r="X21" s="17">
        <f t="shared" si="13"/>
        <v>0</v>
      </c>
      <c r="Y21" s="17">
        <f t="shared" si="13"/>
        <v>13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260</v>
      </c>
      <c r="AD21" s="17">
        <f t="shared" si="13"/>
        <v>0</v>
      </c>
      <c r="AE21" s="31">
        <f t="shared" si="13"/>
        <v>119</v>
      </c>
      <c r="AF21" s="31">
        <f t="shared" si="13"/>
        <v>379</v>
      </c>
    </row>
    <row r="22" spans="2:32" ht="23.1" customHeight="1" x14ac:dyDescent="0.25">
      <c r="B22" s="45" t="s">
        <v>49</v>
      </c>
      <c r="C22" s="50">
        <v>37</v>
      </c>
      <c r="D22" s="50">
        <v>7</v>
      </c>
      <c r="E22" s="50">
        <v>3</v>
      </c>
      <c r="F22" s="50">
        <v>12</v>
      </c>
      <c r="G22" s="50">
        <v>1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60</v>
      </c>
      <c r="N22" s="50">
        <v>0</v>
      </c>
      <c r="O22" s="15">
        <f t="shared" si="0"/>
        <v>64</v>
      </c>
      <c r="P22" s="15">
        <f t="shared" si="1"/>
        <v>124</v>
      </c>
      <c r="R22" s="36" t="s">
        <v>146</v>
      </c>
      <c r="S22" s="34">
        <f>SUM(C58:C61)</f>
        <v>39</v>
      </c>
      <c r="T22" s="34">
        <f t="shared" ref="T22:AF22" si="14">SUM(D58:D61)</f>
        <v>13</v>
      </c>
      <c r="U22" s="34">
        <f t="shared" si="14"/>
        <v>21</v>
      </c>
      <c r="V22" s="34">
        <f t="shared" si="14"/>
        <v>25</v>
      </c>
      <c r="W22" s="34">
        <f t="shared" si="14"/>
        <v>1</v>
      </c>
      <c r="X22" s="34">
        <f t="shared" si="14"/>
        <v>0</v>
      </c>
      <c r="Y22" s="34">
        <f t="shared" si="14"/>
        <v>23</v>
      </c>
      <c r="Z22" s="34">
        <f t="shared" si="14"/>
        <v>4</v>
      </c>
      <c r="AA22" s="34">
        <f t="shared" si="14"/>
        <v>0</v>
      </c>
      <c r="AB22" s="34">
        <f t="shared" si="14"/>
        <v>0</v>
      </c>
      <c r="AC22" s="34">
        <f t="shared" si="14"/>
        <v>249</v>
      </c>
      <c r="AD22" s="34">
        <f t="shared" si="14"/>
        <v>0</v>
      </c>
      <c r="AE22" s="31">
        <f t="shared" si="14"/>
        <v>126</v>
      </c>
      <c r="AF22" s="31">
        <f t="shared" si="14"/>
        <v>375</v>
      </c>
    </row>
    <row r="23" spans="2:32" ht="23.1" customHeight="1" x14ac:dyDescent="0.25">
      <c r="B23" s="45" t="s">
        <v>50</v>
      </c>
      <c r="C23" s="50">
        <v>25</v>
      </c>
      <c r="D23" s="50">
        <v>3</v>
      </c>
      <c r="E23" s="50">
        <v>2</v>
      </c>
      <c r="F23" s="50">
        <v>6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0</v>
      </c>
      <c r="M23" s="50">
        <v>71</v>
      </c>
      <c r="N23" s="50">
        <v>0</v>
      </c>
      <c r="O23" s="15">
        <f t="shared" si="0"/>
        <v>38</v>
      </c>
      <c r="P23" s="15">
        <f t="shared" si="1"/>
        <v>109</v>
      </c>
      <c r="R23" s="36" t="s">
        <v>147</v>
      </c>
      <c r="S23" s="34">
        <f>SUM(C62:C65)</f>
        <v>39</v>
      </c>
      <c r="T23" s="34">
        <f t="shared" ref="T23:AF23" si="15">SUM(D62:D65)</f>
        <v>4</v>
      </c>
      <c r="U23" s="34">
        <f t="shared" si="15"/>
        <v>2</v>
      </c>
      <c r="V23" s="34">
        <f t="shared" si="15"/>
        <v>11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196</v>
      </c>
      <c r="AD23" s="34">
        <f t="shared" si="15"/>
        <v>0</v>
      </c>
      <c r="AE23" s="31">
        <f t="shared" si="15"/>
        <v>61</v>
      </c>
      <c r="AF23" s="31">
        <f t="shared" si="15"/>
        <v>257</v>
      </c>
    </row>
    <row r="24" spans="2:32" ht="23.1" customHeight="1" x14ac:dyDescent="0.25">
      <c r="B24" s="45" t="s">
        <v>51</v>
      </c>
      <c r="C24" s="50">
        <v>29</v>
      </c>
      <c r="D24" s="50">
        <v>7</v>
      </c>
      <c r="E24" s="50">
        <v>0</v>
      </c>
      <c r="F24" s="50">
        <v>5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63</v>
      </c>
      <c r="N24" s="50">
        <v>0</v>
      </c>
      <c r="O24" s="15">
        <f t="shared" si="0"/>
        <v>44</v>
      </c>
      <c r="P24" s="15">
        <f t="shared" si="1"/>
        <v>107</v>
      </c>
      <c r="R24" s="36" t="s">
        <v>148</v>
      </c>
      <c r="S24" s="34">
        <f>SUM(C66:C69)</f>
        <v>45</v>
      </c>
      <c r="T24" s="34">
        <f t="shared" ref="T24:AF24" si="16">SUM(D66:D69)</f>
        <v>7</v>
      </c>
      <c r="U24" s="34">
        <f t="shared" si="16"/>
        <v>3</v>
      </c>
      <c r="V24" s="34">
        <f t="shared" si="16"/>
        <v>9</v>
      </c>
      <c r="W24" s="34">
        <f t="shared" si="16"/>
        <v>0</v>
      </c>
      <c r="X24" s="34">
        <f t="shared" si="16"/>
        <v>0</v>
      </c>
      <c r="Y24" s="34">
        <f t="shared" si="16"/>
        <v>9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151</v>
      </c>
      <c r="AD24" s="34">
        <f t="shared" si="16"/>
        <v>0</v>
      </c>
      <c r="AE24" s="31">
        <f t="shared" si="16"/>
        <v>74</v>
      </c>
      <c r="AF24" s="31">
        <f t="shared" si="16"/>
        <v>225</v>
      </c>
    </row>
    <row r="25" spans="2:32" ht="23.1" customHeight="1" x14ac:dyDescent="0.25">
      <c r="B25" s="45" t="s">
        <v>52</v>
      </c>
      <c r="C25" s="50">
        <v>28</v>
      </c>
      <c r="D25" s="50">
        <v>9</v>
      </c>
      <c r="E25" s="50">
        <v>8</v>
      </c>
      <c r="F25" s="50">
        <v>9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50</v>
      </c>
      <c r="N25" s="50">
        <v>0</v>
      </c>
      <c r="O25" s="15">
        <f t="shared" si="0"/>
        <v>58</v>
      </c>
      <c r="P25" s="15">
        <f t="shared" si="1"/>
        <v>108</v>
      </c>
      <c r="R25" s="36" t="s">
        <v>149</v>
      </c>
      <c r="S25" s="34">
        <f>SUM(C70:C73)</f>
        <v>19</v>
      </c>
      <c r="T25" s="34">
        <f t="shared" ref="T25:AF25" si="17">SUM(D70:D73)</f>
        <v>1</v>
      </c>
      <c r="U25" s="34">
        <f t="shared" si="17"/>
        <v>3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71</v>
      </c>
      <c r="AD25" s="34">
        <f t="shared" si="17"/>
        <v>0</v>
      </c>
      <c r="AE25" s="31">
        <f t="shared" si="17"/>
        <v>26</v>
      </c>
      <c r="AF25" s="31">
        <f t="shared" si="17"/>
        <v>97</v>
      </c>
    </row>
    <row r="26" spans="2:32" ht="23.1" customHeight="1" x14ac:dyDescent="0.25">
      <c r="B26" s="45" t="s">
        <v>53</v>
      </c>
      <c r="C26" s="50">
        <v>30</v>
      </c>
      <c r="D26" s="50">
        <v>9</v>
      </c>
      <c r="E26" s="50">
        <v>2</v>
      </c>
      <c r="F26" s="50">
        <v>3</v>
      </c>
      <c r="G26" s="50">
        <v>0</v>
      </c>
      <c r="H26" s="50">
        <v>0</v>
      </c>
      <c r="I26" s="50">
        <v>6</v>
      </c>
      <c r="J26" s="50">
        <v>2</v>
      </c>
      <c r="K26" s="50">
        <v>0</v>
      </c>
      <c r="L26" s="50">
        <v>0</v>
      </c>
      <c r="M26" s="50">
        <v>44</v>
      </c>
      <c r="N26" s="50">
        <v>0</v>
      </c>
      <c r="O26" s="15">
        <f t="shared" si="0"/>
        <v>52</v>
      </c>
      <c r="P26" s="15">
        <f t="shared" si="1"/>
        <v>96</v>
      </c>
      <c r="R26" s="36" t="s">
        <v>150</v>
      </c>
      <c r="S26" s="34">
        <f>SUM(C74:C77)</f>
        <v>14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55</v>
      </c>
      <c r="AD26" s="34">
        <f t="shared" si="18"/>
        <v>0</v>
      </c>
      <c r="AE26" s="31">
        <f t="shared" si="18"/>
        <v>19</v>
      </c>
      <c r="AF26" s="31">
        <f t="shared" si="18"/>
        <v>74</v>
      </c>
    </row>
    <row r="27" spans="2:32" ht="23.1" customHeight="1" x14ac:dyDescent="0.25">
      <c r="B27" s="45" t="s">
        <v>54</v>
      </c>
      <c r="C27" s="50">
        <v>21</v>
      </c>
      <c r="D27" s="50">
        <v>7</v>
      </c>
      <c r="E27" s="50">
        <v>4</v>
      </c>
      <c r="F27" s="50">
        <v>8</v>
      </c>
      <c r="G27" s="50">
        <v>0</v>
      </c>
      <c r="H27" s="50">
        <v>0</v>
      </c>
      <c r="I27" s="50">
        <v>6</v>
      </c>
      <c r="J27" s="50">
        <v>1</v>
      </c>
      <c r="K27" s="50">
        <v>0</v>
      </c>
      <c r="L27" s="50">
        <v>0</v>
      </c>
      <c r="M27" s="50">
        <v>61</v>
      </c>
      <c r="N27" s="50">
        <v>0</v>
      </c>
      <c r="O27" s="15">
        <f t="shared" si="0"/>
        <v>47</v>
      </c>
      <c r="P27" s="15">
        <f t="shared" si="1"/>
        <v>108</v>
      </c>
      <c r="R27" s="36" t="s">
        <v>151</v>
      </c>
      <c r="S27" s="34">
        <f>SUM(C78:C81)</f>
        <v>13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29</v>
      </c>
      <c r="AD27" s="34">
        <f t="shared" si="19"/>
        <v>0</v>
      </c>
      <c r="AE27" s="31">
        <f t="shared" si="19"/>
        <v>17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21</v>
      </c>
      <c r="D28" s="50">
        <v>4</v>
      </c>
      <c r="E28" s="50">
        <v>2</v>
      </c>
      <c r="F28" s="50">
        <v>3</v>
      </c>
      <c r="G28" s="50">
        <v>0</v>
      </c>
      <c r="H28" s="50">
        <v>0</v>
      </c>
      <c r="I28" s="50">
        <v>4</v>
      </c>
      <c r="J28" s="50">
        <v>0</v>
      </c>
      <c r="K28" s="50">
        <v>1</v>
      </c>
      <c r="L28" s="50">
        <v>0</v>
      </c>
      <c r="M28" s="50">
        <v>41</v>
      </c>
      <c r="N28" s="50">
        <v>0</v>
      </c>
      <c r="O28" s="15">
        <f t="shared" si="0"/>
        <v>35</v>
      </c>
      <c r="P28" s="15">
        <f t="shared" si="1"/>
        <v>76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12</v>
      </c>
      <c r="AD28" s="34">
        <f t="shared" si="20"/>
        <v>0</v>
      </c>
      <c r="AE28" s="31">
        <f t="shared" si="20"/>
        <v>8</v>
      </c>
      <c r="AF28" s="31">
        <f t="shared" si="20"/>
        <v>20</v>
      </c>
    </row>
    <row r="29" spans="2:32" ht="23.1" customHeight="1" x14ac:dyDescent="0.25">
      <c r="B29" s="45" t="s">
        <v>56</v>
      </c>
      <c r="C29" s="50">
        <v>15</v>
      </c>
      <c r="D29" s="50">
        <v>5</v>
      </c>
      <c r="E29" s="50">
        <v>3</v>
      </c>
      <c r="F29" s="50">
        <v>3</v>
      </c>
      <c r="G29" s="50">
        <v>0</v>
      </c>
      <c r="H29" s="50">
        <v>0</v>
      </c>
      <c r="I29" s="50">
        <v>4</v>
      </c>
      <c r="J29" s="50">
        <v>1</v>
      </c>
      <c r="K29" s="50">
        <v>0</v>
      </c>
      <c r="L29" s="50">
        <v>0</v>
      </c>
      <c r="M29" s="50">
        <v>50</v>
      </c>
      <c r="N29" s="50">
        <v>0</v>
      </c>
      <c r="O29" s="15">
        <f t="shared" si="0"/>
        <v>31</v>
      </c>
      <c r="P29" s="15">
        <f t="shared" si="1"/>
        <v>81</v>
      </c>
      <c r="R29" s="36" t="s">
        <v>153</v>
      </c>
      <c r="S29" s="34">
        <f>SUM(C86:C89)</f>
        <v>4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7</v>
      </c>
      <c r="AD29" s="34">
        <f t="shared" si="21"/>
        <v>0</v>
      </c>
      <c r="AE29" s="31">
        <f t="shared" si="21"/>
        <v>5</v>
      </c>
      <c r="AF29" s="31">
        <f t="shared" si="21"/>
        <v>12</v>
      </c>
    </row>
    <row r="30" spans="2:32" ht="23.1" customHeight="1" x14ac:dyDescent="0.25">
      <c r="B30" s="45" t="s">
        <v>57</v>
      </c>
      <c r="C30" s="50">
        <v>17</v>
      </c>
      <c r="D30" s="50">
        <v>1</v>
      </c>
      <c r="E30" s="50">
        <v>4</v>
      </c>
      <c r="F30" s="50">
        <v>6</v>
      </c>
      <c r="G30" s="50">
        <v>0</v>
      </c>
      <c r="H30" s="50">
        <v>0</v>
      </c>
      <c r="I30" s="50">
        <v>3</v>
      </c>
      <c r="J30" s="50">
        <v>0</v>
      </c>
      <c r="K30" s="50">
        <v>1</v>
      </c>
      <c r="L30" s="50">
        <v>0</v>
      </c>
      <c r="M30" s="50">
        <v>46</v>
      </c>
      <c r="N30" s="50">
        <v>0</v>
      </c>
      <c r="O30" s="15">
        <f t="shared" si="0"/>
        <v>32</v>
      </c>
      <c r="P30" s="15">
        <f t="shared" si="1"/>
        <v>78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15</v>
      </c>
      <c r="AD30" s="34">
        <f t="shared" si="22"/>
        <v>0</v>
      </c>
      <c r="AE30" s="31">
        <f t="shared" si="22"/>
        <v>1</v>
      </c>
      <c r="AF30" s="31">
        <f t="shared" si="22"/>
        <v>16</v>
      </c>
    </row>
    <row r="31" spans="2:32" ht="23.1" customHeight="1" x14ac:dyDescent="0.25">
      <c r="B31" s="46" t="s">
        <v>58</v>
      </c>
      <c r="C31" s="50">
        <v>16</v>
      </c>
      <c r="D31" s="50">
        <v>4</v>
      </c>
      <c r="E31" s="50">
        <v>4</v>
      </c>
      <c r="F31" s="50">
        <v>5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27</v>
      </c>
      <c r="N31" s="50">
        <v>0</v>
      </c>
      <c r="O31" s="15">
        <f t="shared" si="0"/>
        <v>33</v>
      </c>
      <c r="P31" s="15">
        <f t="shared" si="1"/>
        <v>60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5</v>
      </c>
      <c r="AD31" s="34">
        <f t="shared" si="23"/>
        <v>0</v>
      </c>
      <c r="AE31" s="31">
        <f t="shared" si="23"/>
        <v>7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12</v>
      </c>
      <c r="D32" s="50">
        <v>3</v>
      </c>
      <c r="E32" s="50">
        <v>1</v>
      </c>
      <c r="F32" s="50">
        <v>5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29</v>
      </c>
      <c r="N32" s="50">
        <v>0</v>
      </c>
      <c r="O32" s="15">
        <f t="shared" si="0"/>
        <v>22</v>
      </c>
      <c r="P32" s="15">
        <f t="shared" si="1"/>
        <v>51</v>
      </c>
      <c r="R32" s="33" t="s">
        <v>156</v>
      </c>
      <c r="S32" s="34">
        <f>SUM(C98:C101)</f>
        <v>21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20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30</v>
      </c>
      <c r="AD32" s="34">
        <f t="shared" si="24"/>
        <v>0</v>
      </c>
      <c r="AE32" s="31">
        <f t="shared" si="24"/>
        <v>47</v>
      </c>
      <c r="AF32" s="31">
        <f t="shared" si="24"/>
        <v>77</v>
      </c>
    </row>
    <row r="33" spans="2:32" ht="23.1" customHeight="1" x14ac:dyDescent="0.25">
      <c r="B33" s="45" t="s">
        <v>60</v>
      </c>
      <c r="C33" s="50">
        <v>14</v>
      </c>
      <c r="D33" s="50">
        <v>5</v>
      </c>
      <c r="E33" s="50">
        <v>3</v>
      </c>
      <c r="F33" s="50">
        <v>4</v>
      </c>
      <c r="G33" s="50">
        <v>0</v>
      </c>
      <c r="H33" s="50">
        <v>0</v>
      </c>
      <c r="I33" s="50">
        <v>3</v>
      </c>
      <c r="J33" s="50">
        <v>0</v>
      </c>
      <c r="K33" s="50">
        <v>1</v>
      </c>
      <c r="L33" s="50">
        <v>0</v>
      </c>
      <c r="M33" s="50">
        <v>24</v>
      </c>
      <c r="N33" s="50">
        <v>0</v>
      </c>
      <c r="O33" s="15">
        <f t="shared" si="0"/>
        <v>30</v>
      </c>
      <c r="P33" s="15">
        <f t="shared" si="1"/>
        <v>54</v>
      </c>
      <c r="R33" s="33" t="s">
        <v>157</v>
      </c>
      <c r="S33" s="34">
        <f>SUM(C102:C105)</f>
        <v>297</v>
      </c>
      <c r="T33" s="34">
        <f t="shared" ref="T33:AF33" si="25">SUM(D102:D105)</f>
        <v>31</v>
      </c>
      <c r="U33" s="34">
        <f t="shared" si="25"/>
        <v>18</v>
      </c>
      <c r="V33" s="34">
        <f t="shared" si="25"/>
        <v>111</v>
      </c>
      <c r="W33" s="34">
        <f t="shared" si="25"/>
        <v>0</v>
      </c>
      <c r="X33" s="34">
        <f t="shared" si="25"/>
        <v>4</v>
      </c>
      <c r="Y33" s="34">
        <f t="shared" si="25"/>
        <v>11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187</v>
      </c>
      <c r="AD33" s="34">
        <f t="shared" si="25"/>
        <v>0</v>
      </c>
      <c r="AE33" s="31">
        <f t="shared" si="25"/>
        <v>472</v>
      </c>
      <c r="AF33" s="31">
        <f t="shared" si="25"/>
        <v>659</v>
      </c>
    </row>
    <row r="34" spans="2:32" ht="23.1" customHeight="1" x14ac:dyDescent="0.25">
      <c r="B34" s="46" t="s">
        <v>61</v>
      </c>
      <c r="C34" s="50">
        <v>19</v>
      </c>
      <c r="D34" s="50">
        <v>4</v>
      </c>
      <c r="E34" s="50">
        <v>1</v>
      </c>
      <c r="F34" s="50">
        <v>5</v>
      </c>
      <c r="G34" s="50">
        <v>1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39</v>
      </c>
      <c r="N34" s="50">
        <v>0</v>
      </c>
      <c r="O34" s="15">
        <f t="shared" si="0"/>
        <v>34</v>
      </c>
      <c r="P34" s="15">
        <f t="shared" si="1"/>
        <v>73</v>
      </c>
      <c r="R34" s="38" t="s">
        <v>90</v>
      </c>
      <c r="S34" s="39">
        <f t="shared" ref="S34:AF34" si="26">MAX(S10:S12)</f>
        <v>321</v>
      </c>
      <c r="T34" s="39">
        <f t="shared" si="26"/>
        <v>51</v>
      </c>
      <c r="U34" s="39">
        <f t="shared" si="26"/>
        <v>23</v>
      </c>
      <c r="V34" s="39">
        <f t="shared" si="26"/>
        <v>173</v>
      </c>
      <c r="W34" s="39">
        <f t="shared" si="26"/>
        <v>1</v>
      </c>
      <c r="X34" s="39">
        <f t="shared" si="26"/>
        <v>2</v>
      </c>
      <c r="Y34" s="39">
        <f t="shared" si="26"/>
        <v>21</v>
      </c>
      <c r="Z34" s="39">
        <f t="shared" si="26"/>
        <v>1</v>
      </c>
      <c r="AA34" s="39">
        <f t="shared" si="26"/>
        <v>0</v>
      </c>
      <c r="AB34" s="39">
        <f t="shared" si="26"/>
        <v>0</v>
      </c>
      <c r="AC34" s="39">
        <f t="shared" si="26"/>
        <v>627</v>
      </c>
      <c r="AD34" s="39">
        <f t="shared" si="26"/>
        <v>0</v>
      </c>
      <c r="AE34" s="40">
        <f t="shared" si="26"/>
        <v>562</v>
      </c>
      <c r="AF34" s="40">
        <f t="shared" si="26"/>
        <v>1189</v>
      </c>
    </row>
    <row r="35" spans="2:32" ht="23.1" customHeight="1" x14ac:dyDescent="0.25">
      <c r="B35" s="46" t="s">
        <v>62</v>
      </c>
      <c r="C35" s="50">
        <v>15</v>
      </c>
      <c r="D35" s="50">
        <v>1</v>
      </c>
      <c r="E35" s="50">
        <v>1</v>
      </c>
      <c r="F35" s="50">
        <v>3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24</v>
      </c>
      <c r="P35" s="15">
        <f t="shared" si="1"/>
        <v>59</v>
      </c>
      <c r="R35" s="38" t="s">
        <v>91</v>
      </c>
      <c r="S35" s="39">
        <f t="shared" ref="S35:AF35" si="27">MAX(S13:S18)</f>
        <v>119</v>
      </c>
      <c r="T35" s="39">
        <f t="shared" si="27"/>
        <v>26</v>
      </c>
      <c r="U35" s="39">
        <f t="shared" si="27"/>
        <v>21</v>
      </c>
      <c r="V35" s="39">
        <f t="shared" si="27"/>
        <v>32</v>
      </c>
      <c r="W35" s="39">
        <f t="shared" si="27"/>
        <v>1</v>
      </c>
      <c r="X35" s="39">
        <f t="shared" si="27"/>
        <v>1</v>
      </c>
      <c r="Y35" s="39">
        <f t="shared" si="27"/>
        <v>20</v>
      </c>
      <c r="Z35" s="39">
        <f t="shared" si="27"/>
        <v>4</v>
      </c>
      <c r="AA35" s="39">
        <f t="shared" si="27"/>
        <v>2</v>
      </c>
      <c r="AB35" s="39">
        <f t="shared" si="27"/>
        <v>2</v>
      </c>
      <c r="AC35" s="39">
        <f t="shared" si="27"/>
        <v>244</v>
      </c>
      <c r="AD35" s="39">
        <f t="shared" si="27"/>
        <v>0</v>
      </c>
      <c r="AE35" s="40">
        <f t="shared" si="27"/>
        <v>204</v>
      </c>
      <c r="AF35" s="40">
        <f t="shared" si="27"/>
        <v>448</v>
      </c>
    </row>
    <row r="36" spans="2:32" ht="23.1" customHeight="1" x14ac:dyDescent="0.25">
      <c r="B36" s="46" t="s">
        <v>63</v>
      </c>
      <c r="C36" s="50">
        <v>21</v>
      </c>
      <c r="D36" s="50">
        <v>5</v>
      </c>
      <c r="E36" s="50">
        <v>3</v>
      </c>
      <c r="F36" s="50">
        <v>6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31</v>
      </c>
      <c r="N36" s="50">
        <v>0</v>
      </c>
      <c r="O36" s="15">
        <f t="shared" si="0"/>
        <v>38</v>
      </c>
      <c r="P36" s="15">
        <f t="shared" si="1"/>
        <v>69</v>
      </c>
      <c r="R36" s="38" t="s">
        <v>92</v>
      </c>
      <c r="S36" s="39">
        <f t="shared" ref="S36:AF36" si="28">MAX(S19:S21)</f>
        <v>66</v>
      </c>
      <c r="T36" s="39">
        <f t="shared" si="28"/>
        <v>16</v>
      </c>
      <c r="U36" s="39">
        <f t="shared" si="28"/>
        <v>8</v>
      </c>
      <c r="V36" s="39">
        <f t="shared" si="28"/>
        <v>25</v>
      </c>
      <c r="W36" s="39">
        <f t="shared" si="28"/>
        <v>1</v>
      </c>
      <c r="X36" s="39">
        <f t="shared" si="28"/>
        <v>0</v>
      </c>
      <c r="Y36" s="39">
        <f t="shared" si="28"/>
        <v>13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260</v>
      </c>
      <c r="AD36" s="39">
        <f t="shared" si="28"/>
        <v>0</v>
      </c>
      <c r="AE36" s="40">
        <f t="shared" si="28"/>
        <v>132</v>
      </c>
      <c r="AF36" s="40">
        <f t="shared" si="28"/>
        <v>379</v>
      </c>
    </row>
    <row r="37" spans="2:32" ht="23.1" customHeight="1" x14ac:dyDescent="0.25">
      <c r="B37" s="45" t="s">
        <v>64</v>
      </c>
      <c r="C37" s="50">
        <v>11</v>
      </c>
      <c r="D37" s="50">
        <v>3</v>
      </c>
      <c r="E37" s="50">
        <v>2</v>
      </c>
      <c r="F37" s="50">
        <v>3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26</v>
      </c>
      <c r="N37" s="50">
        <v>0</v>
      </c>
      <c r="O37" s="15">
        <f t="shared" si="0"/>
        <v>23</v>
      </c>
      <c r="P37" s="15">
        <f t="shared" si="1"/>
        <v>49</v>
      </c>
      <c r="R37" s="37" t="s">
        <v>85</v>
      </c>
      <c r="S37" s="35">
        <f t="shared" ref="S37:AF37" si="29">SUM(S10:S12)</f>
        <v>766</v>
      </c>
      <c r="T37" s="16">
        <f t="shared" si="29"/>
        <v>139</v>
      </c>
      <c r="U37" s="16">
        <f t="shared" si="29"/>
        <v>60</v>
      </c>
      <c r="V37" s="16">
        <f t="shared" si="29"/>
        <v>386</v>
      </c>
      <c r="W37" s="16">
        <f t="shared" si="29"/>
        <v>3</v>
      </c>
      <c r="X37" s="16">
        <f t="shared" si="29"/>
        <v>2</v>
      </c>
      <c r="Y37" s="16">
        <f t="shared" si="29"/>
        <v>53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1577</v>
      </c>
      <c r="AD37" s="16">
        <f t="shared" si="29"/>
        <v>0</v>
      </c>
      <c r="AE37" s="32">
        <f t="shared" si="29"/>
        <v>1410</v>
      </c>
      <c r="AF37" s="32">
        <f t="shared" si="29"/>
        <v>2987</v>
      </c>
    </row>
    <row r="38" spans="2:32" ht="23.1" customHeight="1" x14ac:dyDescent="0.25">
      <c r="B38" s="46" t="s">
        <v>65</v>
      </c>
      <c r="C38" s="50">
        <v>17</v>
      </c>
      <c r="D38" s="50">
        <v>3</v>
      </c>
      <c r="E38" s="50">
        <v>0</v>
      </c>
      <c r="F38" s="50">
        <v>4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2</v>
      </c>
      <c r="M38" s="50">
        <v>33</v>
      </c>
      <c r="N38" s="50">
        <v>0</v>
      </c>
      <c r="O38" s="15">
        <f t="shared" si="0"/>
        <v>28</v>
      </c>
      <c r="P38" s="15">
        <f t="shared" si="1"/>
        <v>61</v>
      </c>
      <c r="R38" s="28" t="s">
        <v>86</v>
      </c>
      <c r="S38" s="16">
        <f t="shared" ref="S38:AF38" si="30">SUM(S13:S18)</f>
        <v>432</v>
      </c>
      <c r="T38" s="16">
        <f t="shared" si="30"/>
        <v>101</v>
      </c>
      <c r="U38" s="16">
        <f t="shared" si="30"/>
        <v>67</v>
      </c>
      <c r="V38" s="16">
        <f t="shared" si="30"/>
        <v>122</v>
      </c>
      <c r="W38" s="16">
        <f t="shared" si="30"/>
        <v>3</v>
      </c>
      <c r="X38" s="16">
        <f t="shared" si="30"/>
        <v>1</v>
      </c>
      <c r="Y38" s="16">
        <f t="shared" si="30"/>
        <v>89</v>
      </c>
      <c r="Z38" s="16">
        <f t="shared" si="30"/>
        <v>7</v>
      </c>
      <c r="AA38" s="16">
        <f t="shared" si="30"/>
        <v>3</v>
      </c>
      <c r="AB38" s="16">
        <f t="shared" si="30"/>
        <v>2</v>
      </c>
      <c r="AC38" s="16">
        <f t="shared" si="30"/>
        <v>974</v>
      </c>
      <c r="AD38" s="16">
        <f t="shared" si="30"/>
        <v>0</v>
      </c>
      <c r="AE38" s="32">
        <f t="shared" si="30"/>
        <v>827</v>
      </c>
      <c r="AF38" s="32">
        <f t="shared" si="30"/>
        <v>1801</v>
      </c>
    </row>
    <row r="39" spans="2:32" ht="23.1" customHeight="1" x14ac:dyDescent="0.25">
      <c r="B39" s="46" t="s">
        <v>66</v>
      </c>
      <c r="C39" s="50">
        <v>5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23</v>
      </c>
      <c r="N39" s="50">
        <v>0</v>
      </c>
      <c r="O39" s="15">
        <f t="shared" si="0"/>
        <v>9</v>
      </c>
      <c r="P39" s="15">
        <f t="shared" si="1"/>
        <v>32</v>
      </c>
      <c r="R39" s="29" t="s">
        <v>87</v>
      </c>
      <c r="S39" s="16">
        <f t="shared" ref="S39:AF39" si="31">SUM(S19:S21)</f>
        <v>194</v>
      </c>
      <c r="T39" s="16">
        <f t="shared" si="31"/>
        <v>42</v>
      </c>
      <c r="U39" s="16">
        <f t="shared" si="31"/>
        <v>24</v>
      </c>
      <c r="V39" s="16">
        <f t="shared" si="31"/>
        <v>75</v>
      </c>
      <c r="W39" s="16">
        <f t="shared" si="31"/>
        <v>3</v>
      </c>
      <c r="X39" s="16">
        <f t="shared" si="31"/>
        <v>0</v>
      </c>
      <c r="Y39" s="16">
        <f t="shared" si="31"/>
        <v>37</v>
      </c>
      <c r="Z39" s="16">
        <f t="shared" si="31"/>
        <v>3</v>
      </c>
      <c r="AA39" s="16">
        <f t="shared" si="31"/>
        <v>0</v>
      </c>
      <c r="AB39" s="16">
        <f t="shared" si="31"/>
        <v>0</v>
      </c>
      <c r="AC39" s="16">
        <f t="shared" si="31"/>
        <v>605</v>
      </c>
      <c r="AD39" s="16">
        <f t="shared" si="31"/>
        <v>0</v>
      </c>
      <c r="AE39" s="32">
        <f t="shared" si="31"/>
        <v>378</v>
      </c>
      <c r="AF39" s="32">
        <f t="shared" si="31"/>
        <v>983</v>
      </c>
    </row>
    <row r="40" spans="2:32" ht="23.1" customHeight="1" x14ac:dyDescent="0.25">
      <c r="B40" s="46" t="s">
        <v>67</v>
      </c>
      <c r="C40" s="50">
        <v>16</v>
      </c>
      <c r="D40" s="50">
        <v>7</v>
      </c>
      <c r="E40" s="50">
        <v>2</v>
      </c>
      <c r="F40" s="50">
        <v>4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45</v>
      </c>
      <c r="N40" s="50">
        <v>0</v>
      </c>
      <c r="O40" s="15">
        <f t="shared" si="0"/>
        <v>32</v>
      </c>
      <c r="P40" s="15">
        <f t="shared" si="1"/>
        <v>77</v>
      </c>
      <c r="R40" s="5" t="s">
        <v>17</v>
      </c>
      <c r="S40" s="16">
        <f t="shared" ref="S40:AF40" si="32">SUM(S10:S21)</f>
        <v>1392</v>
      </c>
      <c r="T40" s="16">
        <f t="shared" si="32"/>
        <v>282</v>
      </c>
      <c r="U40" s="16">
        <f t="shared" si="32"/>
        <v>151</v>
      </c>
      <c r="V40" s="16">
        <f t="shared" si="32"/>
        <v>583</v>
      </c>
      <c r="W40" s="16">
        <f t="shared" si="32"/>
        <v>9</v>
      </c>
      <c r="X40" s="16">
        <f t="shared" si="32"/>
        <v>3</v>
      </c>
      <c r="Y40" s="16">
        <f t="shared" si="32"/>
        <v>179</v>
      </c>
      <c r="Z40" s="16">
        <f t="shared" si="32"/>
        <v>11</v>
      </c>
      <c r="AA40" s="16">
        <f t="shared" si="32"/>
        <v>3</v>
      </c>
      <c r="AB40" s="16">
        <f t="shared" si="32"/>
        <v>2</v>
      </c>
      <c r="AC40" s="16">
        <f t="shared" si="32"/>
        <v>3156</v>
      </c>
      <c r="AD40" s="16">
        <f t="shared" si="32"/>
        <v>0</v>
      </c>
      <c r="AE40" s="32">
        <f t="shared" si="32"/>
        <v>2615</v>
      </c>
      <c r="AF40" s="32">
        <f t="shared" si="32"/>
        <v>5771</v>
      </c>
    </row>
    <row r="41" spans="2:32" ht="23.1" customHeight="1" x14ac:dyDescent="0.25">
      <c r="B41" s="45" t="s">
        <v>68</v>
      </c>
      <c r="C41" s="50">
        <v>9</v>
      </c>
      <c r="D41" s="50">
        <v>4</v>
      </c>
      <c r="E41" s="50">
        <v>0</v>
      </c>
      <c r="F41" s="50">
        <v>7</v>
      </c>
      <c r="G41" s="50">
        <v>1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32</v>
      </c>
      <c r="N41" s="50">
        <v>0</v>
      </c>
      <c r="O41" s="15">
        <f t="shared" si="0"/>
        <v>26</v>
      </c>
      <c r="P41" s="15">
        <f t="shared" si="1"/>
        <v>58</v>
      </c>
      <c r="R41" s="5" t="s">
        <v>159</v>
      </c>
      <c r="S41" s="16">
        <f>SUM(S10:S33)</f>
        <v>1890</v>
      </c>
      <c r="T41" s="16">
        <f t="shared" ref="T41:AF41" si="33">SUM(T10:T33)</f>
        <v>342</v>
      </c>
      <c r="U41" s="16">
        <f t="shared" si="33"/>
        <v>204</v>
      </c>
      <c r="V41" s="16">
        <f t="shared" si="33"/>
        <v>768</v>
      </c>
      <c r="W41" s="16">
        <f t="shared" si="33"/>
        <v>10</v>
      </c>
      <c r="X41" s="16">
        <f t="shared" si="33"/>
        <v>7</v>
      </c>
      <c r="Y41" s="16">
        <f t="shared" si="33"/>
        <v>235</v>
      </c>
      <c r="Z41" s="16">
        <f t="shared" si="33"/>
        <v>15</v>
      </c>
      <c r="AA41" s="16">
        <f t="shared" si="33"/>
        <v>4</v>
      </c>
      <c r="AB41" s="16">
        <f t="shared" si="33"/>
        <v>3</v>
      </c>
      <c r="AC41" s="16">
        <f t="shared" si="33"/>
        <v>4163</v>
      </c>
      <c r="AD41" s="16">
        <f t="shared" si="33"/>
        <v>0</v>
      </c>
      <c r="AE41" s="32">
        <f t="shared" si="33"/>
        <v>3478</v>
      </c>
      <c r="AF41" s="32">
        <f t="shared" si="33"/>
        <v>7641</v>
      </c>
    </row>
    <row r="42" spans="2:32" ht="23.1" customHeight="1" x14ac:dyDescent="0.25">
      <c r="B42" s="46" t="s">
        <v>69</v>
      </c>
      <c r="C42" s="50">
        <v>10</v>
      </c>
      <c r="D42" s="50">
        <v>3</v>
      </c>
      <c r="E42" s="50">
        <v>11</v>
      </c>
      <c r="F42" s="50">
        <v>5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26</v>
      </c>
      <c r="N42" s="50">
        <v>0</v>
      </c>
      <c r="O42" s="15">
        <f t="shared" si="0"/>
        <v>32</v>
      </c>
      <c r="P42" s="15">
        <f t="shared" si="1"/>
        <v>58</v>
      </c>
      <c r="R42" s="5" t="s">
        <v>160</v>
      </c>
      <c r="S42" s="48">
        <f>S41/S40</f>
        <v>1.3577586206896552</v>
      </c>
      <c r="T42" s="48">
        <f t="shared" ref="T42:AF42" si="34">T41/T40</f>
        <v>1.2127659574468086</v>
      </c>
      <c r="U42" s="48">
        <f t="shared" si="34"/>
        <v>1.3509933774834437</v>
      </c>
      <c r="V42" s="48">
        <f t="shared" si="34"/>
        <v>1.3173241852487136</v>
      </c>
      <c r="W42" s="48">
        <f t="shared" si="34"/>
        <v>1.1111111111111112</v>
      </c>
      <c r="X42" s="48">
        <f t="shared" si="34"/>
        <v>2.3333333333333335</v>
      </c>
      <c r="Y42" s="48">
        <f t="shared" si="34"/>
        <v>1.3128491620111731</v>
      </c>
      <c r="Z42" s="48">
        <f t="shared" si="34"/>
        <v>1.3636363636363635</v>
      </c>
      <c r="AA42" s="48">
        <f t="shared" si="34"/>
        <v>1.3333333333333333</v>
      </c>
      <c r="AB42" s="48">
        <f t="shared" si="34"/>
        <v>1.5</v>
      </c>
      <c r="AC42" s="48">
        <f t="shared" si="34"/>
        <v>1.3190747782002534</v>
      </c>
      <c r="AD42" s="48" t="e">
        <f t="shared" si="34"/>
        <v>#DIV/0!</v>
      </c>
      <c r="AE42" s="48">
        <f t="shared" si="34"/>
        <v>1.3300191204588909</v>
      </c>
      <c r="AF42" s="48">
        <f t="shared" si="34"/>
        <v>1.3240339629180384</v>
      </c>
    </row>
    <row r="43" spans="2:32" ht="23.1" customHeight="1" x14ac:dyDescent="0.25">
      <c r="B43" s="45" t="s">
        <v>70</v>
      </c>
      <c r="C43" s="50">
        <v>16</v>
      </c>
      <c r="D43" s="50">
        <v>3</v>
      </c>
      <c r="E43" s="50">
        <v>4</v>
      </c>
      <c r="F43" s="50">
        <v>8</v>
      </c>
      <c r="G43" s="50">
        <v>0</v>
      </c>
      <c r="H43" s="50">
        <v>0</v>
      </c>
      <c r="I43" s="50">
        <v>5</v>
      </c>
      <c r="J43" s="50">
        <v>2</v>
      </c>
      <c r="K43" s="50">
        <v>0</v>
      </c>
      <c r="L43" s="50">
        <v>0</v>
      </c>
      <c r="M43" s="50">
        <v>38</v>
      </c>
      <c r="N43" s="50">
        <v>0</v>
      </c>
      <c r="O43" s="15">
        <f t="shared" si="0"/>
        <v>38</v>
      </c>
      <c r="P43" s="15">
        <f t="shared" si="1"/>
        <v>76</v>
      </c>
    </row>
    <row r="44" spans="2:32" ht="23.1" customHeight="1" x14ac:dyDescent="0.25">
      <c r="B44" s="47" t="s">
        <v>71</v>
      </c>
      <c r="C44" s="50">
        <v>15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0"/>
        <v>27</v>
      </c>
      <c r="P44" s="15">
        <f t="shared" si="1"/>
        <v>66</v>
      </c>
    </row>
    <row r="45" spans="2:32" ht="23.1" customHeight="1" x14ac:dyDescent="0.25">
      <c r="B45" s="45" t="s">
        <v>72</v>
      </c>
      <c r="C45" s="50">
        <v>13</v>
      </c>
      <c r="D45" s="50">
        <v>2</v>
      </c>
      <c r="E45" s="50">
        <v>4</v>
      </c>
      <c r="F45" s="50">
        <v>4</v>
      </c>
      <c r="G45" s="50">
        <v>0</v>
      </c>
      <c r="H45" s="50">
        <v>0</v>
      </c>
      <c r="I45" s="50">
        <v>7</v>
      </c>
      <c r="J45" s="50">
        <v>0</v>
      </c>
      <c r="K45" s="50">
        <v>0</v>
      </c>
      <c r="L45" s="50">
        <v>0</v>
      </c>
      <c r="M45" s="50">
        <v>41</v>
      </c>
      <c r="N45" s="50">
        <v>0</v>
      </c>
      <c r="O45" s="15">
        <f t="shared" si="0"/>
        <v>30</v>
      </c>
      <c r="P45" s="15">
        <f t="shared" si="1"/>
        <v>71</v>
      </c>
    </row>
    <row r="46" spans="2:32" ht="23.1" customHeight="1" x14ac:dyDescent="0.25">
      <c r="B46" s="46" t="s">
        <v>73</v>
      </c>
      <c r="C46" s="50">
        <v>14</v>
      </c>
      <c r="D46" s="50">
        <v>4</v>
      </c>
      <c r="E46" s="50">
        <v>2</v>
      </c>
      <c r="F46" s="50">
        <v>9</v>
      </c>
      <c r="G46" s="50">
        <v>1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41</v>
      </c>
      <c r="N46" s="50">
        <v>0</v>
      </c>
      <c r="O46" s="15">
        <f t="shared" si="0"/>
        <v>34</v>
      </c>
      <c r="P46" s="15">
        <f t="shared" si="1"/>
        <v>75</v>
      </c>
      <c r="R46" s="8"/>
      <c r="T46"/>
    </row>
    <row r="47" spans="2:32" ht="23.1" customHeight="1" x14ac:dyDescent="0.25">
      <c r="B47" s="46" t="s">
        <v>74</v>
      </c>
      <c r="C47" s="50">
        <v>17</v>
      </c>
      <c r="D47" s="50">
        <v>4</v>
      </c>
      <c r="E47" s="50">
        <v>2</v>
      </c>
      <c r="F47" s="50">
        <v>6</v>
      </c>
      <c r="G47" s="50">
        <v>0</v>
      </c>
      <c r="H47" s="50">
        <v>0</v>
      </c>
      <c r="I47" s="50">
        <v>4</v>
      </c>
      <c r="J47" s="50">
        <v>3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36</v>
      </c>
      <c r="P47" s="15">
        <f t="shared" si="1"/>
        <v>76</v>
      </c>
      <c r="R47" s="8"/>
      <c r="T47"/>
    </row>
    <row r="48" spans="2:32" ht="23.1" customHeight="1" x14ac:dyDescent="0.25">
      <c r="B48" s="46" t="s">
        <v>75</v>
      </c>
      <c r="C48" s="50">
        <v>18</v>
      </c>
      <c r="D48" s="50">
        <v>2</v>
      </c>
      <c r="E48" s="50">
        <v>3</v>
      </c>
      <c r="F48" s="50">
        <v>5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30</v>
      </c>
      <c r="N48" s="50">
        <v>0</v>
      </c>
      <c r="O48" s="15">
        <f t="shared" si="0"/>
        <v>30</v>
      </c>
      <c r="P48" s="15">
        <f t="shared" si="1"/>
        <v>60</v>
      </c>
      <c r="R48" s="8"/>
      <c r="T48"/>
    </row>
    <row r="49" spans="2:20" ht="23.1" customHeight="1" x14ac:dyDescent="0.25">
      <c r="B49" s="45" t="s">
        <v>76</v>
      </c>
      <c r="C49" s="50">
        <v>17</v>
      </c>
      <c r="D49" s="50">
        <v>6</v>
      </c>
      <c r="E49" s="50">
        <v>1</v>
      </c>
      <c r="F49" s="50">
        <v>5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46</v>
      </c>
      <c r="N49" s="50">
        <v>0</v>
      </c>
      <c r="O49" s="15">
        <f t="shared" si="0"/>
        <v>32</v>
      </c>
      <c r="P49" s="15">
        <f t="shared" si="1"/>
        <v>78</v>
      </c>
      <c r="R49" s="8"/>
      <c r="T49"/>
    </row>
    <row r="50" spans="2:20" ht="23.1" customHeight="1" x14ac:dyDescent="0.25">
      <c r="B50" s="46" t="s">
        <v>77</v>
      </c>
      <c r="C50" s="50">
        <v>14</v>
      </c>
      <c r="D50" s="50">
        <v>4</v>
      </c>
      <c r="E50" s="50">
        <v>2</v>
      </c>
      <c r="F50" s="50">
        <v>9</v>
      </c>
      <c r="G50" s="50">
        <v>1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33</v>
      </c>
      <c r="P50" s="15">
        <f t="shared" si="1"/>
        <v>63</v>
      </c>
      <c r="R50" s="8"/>
      <c r="T50"/>
    </row>
    <row r="51" spans="2:20" ht="23.1" customHeight="1" x14ac:dyDescent="0.25">
      <c r="B51" s="46" t="s">
        <v>78</v>
      </c>
      <c r="C51" s="50">
        <v>17</v>
      </c>
      <c r="D51" s="50">
        <v>4</v>
      </c>
      <c r="E51" s="50">
        <v>2</v>
      </c>
      <c r="F51" s="50">
        <v>6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34</v>
      </c>
      <c r="N51" s="50">
        <v>0</v>
      </c>
      <c r="O51" s="15">
        <f t="shared" si="0"/>
        <v>32</v>
      </c>
      <c r="P51" s="15">
        <f t="shared" si="1"/>
        <v>66</v>
      </c>
      <c r="R51" s="8"/>
      <c r="T51"/>
    </row>
    <row r="52" spans="2:20" ht="23.1" customHeight="1" x14ac:dyDescent="0.25">
      <c r="B52" s="46" t="s">
        <v>79</v>
      </c>
      <c r="C52" s="50">
        <v>18</v>
      </c>
      <c r="D52" s="50">
        <v>2</v>
      </c>
      <c r="E52" s="50">
        <v>3</v>
      </c>
      <c r="F52" s="50">
        <v>5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64</v>
      </c>
      <c r="N52" s="50">
        <v>0</v>
      </c>
      <c r="O52" s="15">
        <f t="shared" si="0"/>
        <v>30</v>
      </c>
      <c r="P52" s="15">
        <f t="shared" si="1"/>
        <v>94</v>
      </c>
      <c r="R52" s="8"/>
      <c r="T52"/>
    </row>
    <row r="53" spans="2:20" ht="23.1" customHeight="1" x14ac:dyDescent="0.25">
      <c r="B53" s="45" t="s">
        <v>80</v>
      </c>
      <c r="C53" s="50">
        <v>17</v>
      </c>
      <c r="D53" s="50">
        <v>6</v>
      </c>
      <c r="E53" s="50">
        <v>1</v>
      </c>
      <c r="F53" s="50">
        <v>5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60</v>
      </c>
      <c r="N53" s="50">
        <v>0</v>
      </c>
      <c r="O53" s="15">
        <f t="shared" si="0"/>
        <v>32</v>
      </c>
      <c r="P53" s="15">
        <f t="shared" si="1"/>
        <v>92</v>
      </c>
      <c r="R53" s="8"/>
      <c r="T53"/>
    </row>
    <row r="54" spans="2:20" ht="23.1" customHeight="1" x14ac:dyDescent="0.25">
      <c r="B54" s="45" t="s">
        <v>81</v>
      </c>
      <c r="C54" s="50">
        <v>20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5</v>
      </c>
      <c r="J54" s="50">
        <v>0</v>
      </c>
      <c r="K54" s="50">
        <v>0</v>
      </c>
      <c r="L54" s="50">
        <v>0</v>
      </c>
      <c r="M54" s="50">
        <v>77</v>
      </c>
      <c r="N54" s="50">
        <v>0</v>
      </c>
      <c r="O54" s="15">
        <f t="shared" si="0"/>
        <v>30</v>
      </c>
      <c r="P54" s="15">
        <f t="shared" si="1"/>
        <v>107</v>
      </c>
      <c r="R54" s="8"/>
      <c r="T54"/>
    </row>
    <row r="55" spans="2:20" ht="23.1" customHeight="1" x14ac:dyDescent="0.25">
      <c r="B55" s="45" t="s">
        <v>82</v>
      </c>
      <c r="C55" s="50">
        <v>19</v>
      </c>
      <c r="D55" s="50">
        <v>3</v>
      </c>
      <c r="E55" s="50">
        <v>0</v>
      </c>
      <c r="F55" s="50">
        <v>9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34</v>
      </c>
      <c r="P55" s="15">
        <f t="shared" si="1"/>
        <v>84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3</v>
      </c>
      <c r="E56" s="50">
        <v>3</v>
      </c>
      <c r="F56" s="50">
        <v>5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58</v>
      </c>
      <c r="N56" s="50">
        <v>0</v>
      </c>
      <c r="O56" s="15">
        <f t="shared" si="0"/>
        <v>29</v>
      </c>
      <c r="P56" s="15">
        <f t="shared" si="1"/>
        <v>87</v>
      </c>
      <c r="R56" s="8"/>
      <c r="T56"/>
    </row>
    <row r="57" spans="2:20" ht="23.1" customHeight="1" x14ac:dyDescent="0.25">
      <c r="B57" s="45" t="s">
        <v>84</v>
      </c>
      <c r="C57" s="50">
        <v>11</v>
      </c>
      <c r="D57" s="50">
        <v>4</v>
      </c>
      <c r="E57" s="50">
        <v>2</v>
      </c>
      <c r="F57" s="50">
        <v>9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26</v>
      </c>
      <c r="P57" s="15">
        <f t="shared" si="1"/>
        <v>101</v>
      </c>
      <c r="R57" s="8"/>
      <c r="T57"/>
    </row>
    <row r="58" spans="2:20" ht="23.1" customHeight="1" x14ac:dyDescent="0.25">
      <c r="B58" s="45" t="s">
        <v>99</v>
      </c>
      <c r="C58" s="50">
        <v>11</v>
      </c>
      <c r="D58" s="50">
        <v>3</v>
      </c>
      <c r="E58" s="50">
        <v>2</v>
      </c>
      <c r="F58" s="50">
        <v>5</v>
      </c>
      <c r="G58" s="50">
        <v>1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70</v>
      </c>
      <c r="N58" s="50">
        <v>0</v>
      </c>
      <c r="O58" s="15">
        <f t="shared" ref="O58:O105" si="35">SUM(C58:L58,N58)</f>
        <v>24</v>
      </c>
      <c r="P58" s="15">
        <f t="shared" ref="P58:P105" si="36">SUM(C58:N58)</f>
        <v>94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1</v>
      </c>
      <c r="E59" s="50">
        <v>2</v>
      </c>
      <c r="F59" s="50">
        <v>6</v>
      </c>
      <c r="G59" s="50">
        <v>0</v>
      </c>
      <c r="H59" s="50">
        <v>0</v>
      </c>
      <c r="I59" s="50">
        <v>3</v>
      </c>
      <c r="J59" s="50">
        <v>1</v>
      </c>
      <c r="K59" s="50">
        <v>0</v>
      </c>
      <c r="L59" s="50">
        <v>0</v>
      </c>
      <c r="M59" s="50">
        <v>44</v>
      </c>
      <c r="N59" s="50">
        <v>0</v>
      </c>
      <c r="O59" s="15">
        <f t="shared" si="35"/>
        <v>20</v>
      </c>
      <c r="P59" s="15">
        <f t="shared" si="36"/>
        <v>64</v>
      </c>
      <c r="R59" s="8"/>
      <c r="T59"/>
    </row>
    <row r="60" spans="2:20" ht="23.1" customHeight="1" x14ac:dyDescent="0.25">
      <c r="B60" s="45" t="s">
        <v>101</v>
      </c>
      <c r="C60" s="50">
        <v>6</v>
      </c>
      <c r="D60" s="50">
        <v>5</v>
      </c>
      <c r="E60" s="50">
        <v>2</v>
      </c>
      <c r="F60" s="50">
        <v>5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65</v>
      </c>
      <c r="N60" s="50">
        <v>0</v>
      </c>
      <c r="O60" s="15">
        <f t="shared" si="35"/>
        <v>21</v>
      </c>
      <c r="P60" s="15">
        <f t="shared" si="36"/>
        <v>86</v>
      </c>
      <c r="R60" s="8"/>
      <c r="T60"/>
    </row>
    <row r="61" spans="2:20" ht="23.1" customHeight="1" x14ac:dyDescent="0.25">
      <c r="B61" s="45" t="s">
        <v>102</v>
      </c>
      <c r="C61" s="50">
        <v>15</v>
      </c>
      <c r="D61" s="50">
        <v>4</v>
      </c>
      <c r="E61" s="50">
        <v>15</v>
      </c>
      <c r="F61" s="50">
        <v>9</v>
      </c>
      <c r="G61" s="50">
        <v>0</v>
      </c>
      <c r="H61" s="50">
        <v>0</v>
      </c>
      <c r="I61" s="50">
        <v>15</v>
      </c>
      <c r="J61" s="50">
        <v>3</v>
      </c>
      <c r="K61" s="50">
        <v>0</v>
      </c>
      <c r="L61" s="50">
        <v>0</v>
      </c>
      <c r="M61" s="50">
        <v>70</v>
      </c>
      <c r="N61" s="50">
        <v>0</v>
      </c>
      <c r="O61" s="15">
        <f t="shared" si="35"/>
        <v>61</v>
      </c>
      <c r="P61" s="15">
        <f t="shared" si="36"/>
        <v>131</v>
      </c>
      <c r="R61" s="8"/>
      <c r="T61"/>
    </row>
    <row r="62" spans="2:20" ht="23.1" customHeight="1" x14ac:dyDescent="0.25">
      <c r="B62" s="45" t="s">
        <v>107</v>
      </c>
      <c r="C62" s="50">
        <v>9</v>
      </c>
      <c r="D62" s="50">
        <v>2</v>
      </c>
      <c r="E62" s="50">
        <v>2</v>
      </c>
      <c r="F62" s="50">
        <v>3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50</v>
      </c>
      <c r="N62" s="50">
        <v>0</v>
      </c>
      <c r="O62" s="15">
        <f t="shared" si="35"/>
        <v>19</v>
      </c>
      <c r="P62" s="15">
        <f t="shared" si="36"/>
        <v>69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1</v>
      </c>
      <c r="E63" s="50">
        <v>0</v>
      </c>
      <c r="F63" s="50">
        <v>2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62</v>
      </c>
      <c r="N63" s="50">
        <v>0</v>
      </c>
      <c r="O63" s="15">
        <f t="shared" si="35"/>
        <v>20</v>
      </c>
      <c r="P63" s="15">
        <f t="shared" si="36"/>
        <v>82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1</v>
      </c>
      <c r="E64" s="50">
        <v>0</v>
      </c>
      <c r="F64" s="50">
        <v>2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55</v>
      </c>
      <c r="N64" s="50">
        <v>0</v>
      </c>
      <c r="O64" s="15">
        <f t="shared" si="35"/>
        <v>14</v>
      </c>
      <c r="P64" s="15">
        <f t="shared" si="36"/>
        <v>69</v>
      </c>
      <c r="R64" s="8"/>
      <c r="T64"/>
    </row>
    <row r="65" spans="2:20" ht="23.1" customHeight="1" x14ac:dyDescent="0.25">
      <c r="B65" s="45" t="s">
        <v>158</v>
      </c>
      <c r="C65" s="50">
        <v>4</v>
      </c>
      <c r="D65" s="50">
        <v>0</v>
      </c>
      <c r="E65" s="50">
        <v>0</v>
      </c>
      <c r="F65" s="50">
        <v>4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29</v>
      </c>
      <c r="N65" s="50">
        <v>0</v>
      </c>
      <c r="O65" s="15">
        <f t="shared" si="35"/>
        <v>8</v>
      </c>
      <c r="P65" s="15">
        <f t="shared" si="36"/>
        <v>37</v>
      </c>
      <c r="R65" s="8"/>
      <c r="T65"/>
    </row>
    <row r="66" spans="2:20" ht="23.1" customHeight="1" x14ac:dyDescent="0.25">
      <c r="B66" s="45" t="s">
        <v>103</v>
      </c>
      <c r="C66" s="50">
        <v>12</v>
      </c>
      <c r="D66" s="50">
        <v>1</v>
      </c>
      <c r="E66" s="50">
        <v>1</v>
      </c>
      <c r="F66" s="50">
        <v>4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38</v>
      </c>
      <c r="N66" s="50">
        <v>0</v>
      </c>
      <c r="O66" s="15">
        <f t="shared" si="35"/>
        <v>20</v>
      </c>
      <c r="P66" s="15">
        <f t="shared" si="36"/>
        <v>58</v>
      </c>
      <c r="R66" s="8"/>
      <c r="T66"/>
    </row>
    <row r="67" spans="2:20" ht="23.1" customHeight="1" x14ac:dyDescent="0.25">
      <c r="B67" s="45" t="s">
        <v>104</v>
      </c>
      <c r="C67" s="50">
        <v>10</v>
      </c>
      <c r="D67" s="50">
        <v>3</v>
      </c>
      <c r="E67" s="50">
        <v>1</v>
      </c>
      <c r="F67" s="50">
        <v>1</v>
      </c>
      <c r="G67" s="50">
        <v>0</v>
      </c>
      <c r="H67" s="50">
        <v>0</v>
      </c>
      <c r="I67" s="50">
        <v>3</v>
      </c>
      <c r="J67" s="50">
        <v>0</v>
      </c>
      <c r="K67" s="50">
        <v>0</v>
      </c>
      <c r="L67" s="50">
        <v>0</v>
      </c>
      <c r="M67" s="50">
        <v>39</v>
      </c>
      <c r="N67" s="50">
        <v>0</v>
      </c>
      <c r="O67" s="15">
        <f t="shared" si="35"/>
        <v>18</v>
      </c>
      <c r="P67" s="15">
        <f t="shared" si="36"/>
        <v>57</v>
      </c>
      <c r="R67" s="8"/>
      <c r="T67"/>
    </row>
    <row r="68" spans="2:20" ht="23.1" customHeight="1" x14ac:dyDescent="0.25">
      <c r="B68" s="45" t="s">
        <v>105</v>
      </c>
      <c r="C68" s="50">
        <v>11</v>
      </c>
      <c r="D68" s="50">
        <v>3</v>
      </c>
      <c r="E68" s="50">
        <v>1</v>
      </c>
      <c r="F68" s="50">
        <v>3</v>
      </c>
      <c r="G68" s="50">
        <v>0</v>
      </c>
      <c r="H68" s="50">
        <v>0</v>
      </c>
      <c r="I68" s="50">
        <v>1</v>
      </c>
      <c r="J68" s="50">
        <v>0</v>
      </c>
      <c r="K68" s="50">
        <v>1</v>
      </c>
      <c r="L68" s="50">
        <v>0</v>
      </c>
      <c r="M68" s="50">
        <v>28</v>
      </c>
      <c r="N68" s="50">
        <v>0</v>
      </c>
      <c r="O68" s="15">
        <f t="shared" si="35"/>
        <v>20</v>
      </c>
      <c r="P68" s="15">
        <f t="shared" si="36"/>
        <v>48</v>
      </c>
      <c r="R68" s="8"/>
      <c r="T68"/>
    </row>
    <row r="69" spans="2:20" ht="23.1" customHeight="1" x14ac:dyDescent="0.25">
      <c r="B69" s="45" t="s">
        <v>106</v>
      </c>
      <c r="C69" s="50">
        <v>12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0</v>
      </c>
      <c r="M69" s="50">
        <v>46</v>
      </c>
      <c r="N69" s="50">
        <v>0</v>
      </c>
      <c r="O69" s="15">
        <f t="shared" si="35"/>
        <v>16</v>
      </c>
      <c r="P69" s="15">
        <f t="shared" si="36"/>
        <v>62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1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19</v>
      </c>
      <c r="N70" s="50">
        <v>0</v>
      </c>
      <c r="O70" s="15">
        <f t="shared" si="35"/>
        <v>5</v>
      </c>
      <c r="P70" s="15">
        <f t="shared" si="36"/>
        <v>24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16</v>
      </c>
      <c r="N71" s="50">
        <v>0</v>
      </c>
      <c r="O71" s="15">
        <f t="shared" si="35"/>
        <v>4</v>
      </c>
      <c r="P71" s="15">
        <f t="shared" si="36"/>
        <v>20</v>
      </c>
      <c r="R71" s="8"/>
      <c r="T71"/>
    </row>
    <row r="72" spans="2:20" ht="23.1" customHeight="1" x14ac:dyDescent="0.25">
      <c r="B72" s="45" t="s">
        <v>112</v>
      </c>
      <c r="C72" s="50">
        <v>5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20</v>
      </c>
      <c r="N72" s="50">
        <v>0</v>
      </c>
      <c r="O72" s="15">
        <f t="shared" si="35"/>
        <v>6</v>
      </c>
      <c r="P72" s="15">
        <f t="shared" si="36"/>
        <v>26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0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16</v>
      </c>
      <c r="N73" s="50">
        <v>0</v>
      </c>
      <c r="O73" s="15">
        <f t="shared" si="35"/>
        <v>11</v>
      </c>
      <c r="P73" s="15">
        <f t="shared" si="36"/>
        <v>27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16</v>
      </c>
      <c r="N74" s="50">
        <v>0</v>
      </c>
      <c r="O74" s="15">
        <f t="shared" si="35"/>
        <v>7</v>
      </c>
      <c r="P74" s="15">
        <f t="shared" si="36"/>
        <v>23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1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15</v>
      </c>
      <c r="N75" s="50">
        <v>0</v>
      </c>
      <c r="O75" s="15">
        <f t="shared" si="35"/>
        <v>7</v>
      </c>
      <c r="P75" s="15">
        <f t="shared" si="36"/>
        <v>22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18</v>
      </c>
      <c r="N76" s="50">
        <v>0</v>
      </c>
      <c r="O76" s="15">
        <f t="shared" si="35"/>
        <v>3</v>
      </c>
      <c r="P76" s="15">
        <f t="shared" si="36"/>
        <v>21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6</v>
      </c>
      <c r="N77" s="50">
        <v>0</v>
      </c>
      <c r="O77" s="15">
        <f t="shared" si="35"/>
        <v>2</v>
      </c>
      <c r="P77" s="15">
        <f t="shared" si="36"/>
        <v>8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5</v>
      </c>
      <c r="N78" s="50">
        <v>0</v>
      </c>
      <c r="O78" s="15">
        <f t="shared" si="35"/>
        <v>1</v>
      </c>
      <c r="P78" s="15">
        <f t="shared" si="36"/>
        <v>6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0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</v>
      </c>
      <c r="N79" s="50">
        <v>0</v>
      </c>
      <c r="O79" s="15">
        <f t="shared" si="35"/>
        <v>8</v>
      </c>
      <c r="P79" s="15">
        <f t="shared" si="36"/>
        <v>15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0</v>
      </c>
      <c r="E80" s="50">
        <v>1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5</v>
      </c>
      <c r="N80" s="50">
        <v>0</v>
      </c>
      <c r="O80" s="15">
        <f t="shared" si="35"/>
        <v>8</v>
      </c>
      <c r="P80" s="15">
        <f t="shared" si="36"/>
        <v>13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12</v>
      </c>
      <c r="N81" s="50">
        <v>0</v>
      </c>
      <c r="O81" s="15">
        <f t="shared" si="35"/>
        <v>0</v>
      </c>
      <c r="P81" s="15">
        <f t="shared" si="36"/>
        <v>12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5">
        <f t="shared" si="35"/>
        <v>4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5">
        <f t="shared" si="35"/>
        <v>2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1</v>
      </c>
      <c r="P84" s="15">
        <f t="shared" si="36"/>
        <v>2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5"/>
        <v>1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1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1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1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8</v>
      </c>
      <c r="N90" s="50">
        <v>0</v>
      </c>
      <c r="O90" s="15">
        <f t="shared" si="35"/>
        <v>1</v>
      </c>
      <c r="P90" s="15">
        <f t="shared" si="36"/>
        <v>9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3</v>
      </c>
      <c r="N93" s="50">
        <v>0</v>
      </c>
      <c r="O93" s="15">
        <f t="shared" si="35"/>
        <v>0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2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3</v>
      </c>
      <c r="P97" s="15">
        <f t="shared" si="36"/>
        <v>6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1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7</v>
      </c>
      <c r="N98" s="50">
        <v>0</v>
      </c>
      <c r="O98" s="15">
        <f t="shared" si="35"/>
        <v>7</v>
      </c>
      <c r="P98" s="15">
        <f t="shared" si="36"/>
        <v>14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5">
        <f t="shared" si="35"/>
        <v>5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0</v>
      </c>
      <c r="F100" s="50">
        <v>6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9</v>
      </c>
      <c r="N100" s="50">
        <v>0</v>
      </c>
      <c r="O100" s="15">
        <f t="shared" si="35"/>
        <v>10</v>
      </c>
      <c r="P100" s="15">
        <f t="shared" si="36"/>
        <v>19</v>
      </c>
      <c r="R100" s="8"/>
      <c r="T100"/>
    </row>
    <row r="101" spans="2:20" ht="23.1" customHeight="1" x14ac:dyDescent="0.25">
      <c r="B101" s="45" t="s">
        <v>141</v>
      </c>
      <c r="C101" s="50">
        <v>12</v>
      </c>
      <c r="D101" s="50">
        <v>1</v>
      </c>
      <c r="E101" s="50">
        <v>1</v>
      </c>
      <c r="F101" s="50">
        <v>10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10</v>
      </c>
      <c r="N101" s="50">
        <v>0</v>
      </c>
      <c r="O101" s="15">
        <f t="shared" si="35"/>
        <v>25</v>
      </c>
      <c r="P101" s="15">
        <f t="shared" si="36"/>
        <v>35</v>
      </c>
      <c r="R101" s="8"/>
      <c r="T101"/>
    </row>
    <row r="102" spans="2:20" ht="23.1" customHeight="1" x14ac:dyDescent="0.25">
      <c r="B102" s="46" t="s">
        <v>142</v>
      </c>
      <c r="C102" s="50">
        <v>42</v>
      </c>
      <c r="D102" s="50">
        <v>5</v>
      </c>
      <c r="E102" s="50">
        <v>1</v>
      </c>
      <c r="F102" s="50">
        <v>5</v>
      </c>
      <c r="G102" s="50">
        <v>0</v>
      </c>
      <c r="H102" s="50">
        <v>0</v>
      </c>
      <c r="I102" s="50">
        <v>4</v>
      </c>
      <c r="J102" s="50">
        <v>0</v>
      </c>
      <c r="K102" s="50">
        <v>0</v>
      </c>
      <c r="L102" s="50">
        <v>0</v>
      </c>
      <c r="M102" s="50">
        <v>19</v>
      </c>
      <c r="N102" s="50">
        <v>0</v>
      </c>
      <c r="O102" s="15">
        <f t="shared" si="35"/>
        <v>57</v>
      </c>
      <c r="P102" s="15">
        <f t="shared" si="36"/>
        <v>76</v>
      </c>
      <c r="R102" s="8"/>
      <c r="T102"/>
    </row>
    <row r="103" spans="2:20" ht="23.1" customHeight="1" x14ac:dyDescent="0.25">
      <c r="B103" s="45" t="s">
        <v>143</v>
      </c>
      <c r="C103" s="50">
        <v>45</v>
      </c>
      <c r="D103" s="50">
        <v>12</v>
      </c>
      <c r="E103" s="50">
        <v>6</v>
      </c>
      <c r="F103" s="50">
        <v>26</v>
      </c>
      <c r="G103" s="50">
        <v>0</v>
      </c>
      <c r="H103" s="50">
        <v>4</v>
      </c>
      <c r="I103" s="50">
        <v>0</v>
      </c>
      <c r="J103" s="50">
        <v>0</v>
      </c>
      <c r="K103" s="50">
        <v>0</v>
      </c>
      <c r="L103" s="50">
        <v>0</v>
      </c>
      <c r="M103" s="50">
        <v>25</v>
      </c>
      <c r="N103" s="50">
        <v>0</v>
      </c>
      <c r="O103" s="15">
        <f t="shared" si="35"/>
        <v>93</v>
      </c>
      <c r="P103" s="15">
        <f t="shared" si="36"/>
        <v>118</v>
      </c>
      <c r="R103" s="8"/>
      <c r="T103"/>
    </row>
    <row r="104" spans="2:20" ht="23.1" customHeight="1" x14ac:dyDescent="0.25">
      <c r="B104" s="47" t="s">
        <v>144</v>
      </c>
      <c r="C104" s="50">
        <v>96</v>
      </c>
      <c r="D104" s="50">
        <v>10</v>
      </c>
      <c r="E104" s="50">
        <v>5</v>
      </c>
      <c r="F104" s="50">
        <v>50</v>
      </c>
      <c r="G104" s="50">
        <v>0</v>
      </c>
      <c r="H104" s="50">
        <v>0</v>
      </c>
      <c r="I104" s="50">
        <v>6</v>
      </c>
      <c r="J104" s="50">
        <v>0</v>
      </c>
      <c r="K104" s="50">
        <v>0</v>
      </c>
      <c r="L104" s="50">
        <v>0</v>
      </c>
      <c r="M104" s="50">
        <v>38</v>
      </c>
      <c r="N104" s="50">
        <v>0</v>
      </c>
      <c r="O104" s="15">
        <f t="shared" si="35"/>
        <v>167</v>
      </c>
      <c r="P104" s="15">
        <f t="shared" si="36"/>
        <v>205</v>
      </c>
      <c r="R104" s="8"/>
      <c r="T104"/>
    </row>
    <row r="105" spans="2:20" ht="23.1" customHeight="1" x14ac:dyDescent="0.25">
      <c r="B105" s="45" t="s">
        <v>145</v>
      </c>
      <c r="C105" s="50">
        <v>114</v>
      </c>
      <c r="D105" s="50">
        <v>4</v>
      </c>
      <c r="E105" s="50">
        <v>6</v>
      </c>
      <c r="F105" s="50">
        <v>30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105</v>
      </c>
      <c r="N105" s="50">
        <v>0</v>
      </c>
      <c r="O105" s="15">
        <f t="shared" si="35"/>
        <v>155</v>
      </c>
      <c r="P105" s="15">
        <f t="shared" si="36"/>
        <v>260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1890</v>
      </c>
      <c r="D106" s="16">
        <f t="shared" ref="D106:P106" si="37">SUM(D10:D105)</f>
        <v>342</v>
      </c>
      <c r="E106" s="16">
        <f t="shared" si="37"/>
        <v>204</v>
      </c>
      <c r="F106" s="16">
        <f t="shared" si="37"/>
        <v>768</v>
      </c>
      <c r="G106" s="16">
        <f t="shared" si="37"/>
        <v>10</v>
      </c>
      <c r="H106" s="16">
        <f t="shared" si="37"/>
        <v>7</v>
      </c>
      <c r="I106" s="16">
        <f t="shared" si="37"/>
        <v>235</v>
      </c>
      <c r="J106" s="16">
        <f t="shared" si="37"/>
        <v>15</v>
      </c>
      <c r="K106" s="16">
        <f t="shared" si="37"/>
        <v>4</v>
      </c>
      <c r="L106" s="16">
        <f t="shared" si="37"/>
        <v>3</v>
      </c>
      <c r="M106" s="16">
        <f t="shared" si="37"/>
        <v>4163</v>
      </c>
      <c r="N106" s="16">
        <f t="shared" si="37"/>
        <v>0</v>
      </c>
      <c r="O106" s="16">
        <f t="shared" si="37"/>
        <v>3478</v>
      </c>
      <c r="P106" s="16">
        <f t="shared" si="37"/>
        <v>7641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0.24734982332155478</v>
      </c>
      <c r="D107" s="43">
        <f t="shared" si="38"/>
        <v>4.47585394581861E-2</v>
      </c>
      <c r="E107" s="43">
        <f t="shared" si="38"/>
        <v>2.6698076168040832E-2</v>
      </c>
      <c r="F107" s="43">
        <f t="shared" si="38"/>
        <v>0.10051040439733019</v>
      </c>
      <c r="G107" s="43">
        <f t="shared" si="38"/>
        <v>1.3087292239235702E-3</v>
      </c>
      <c r="H107" s="43">
        <f t="shared" si="38"/>
        <v>9.1611045674649917E-4</v>
      </c>
      <c r="I107" s="43">
        <f t="shared" si="38"/>
        <v>3.07551367622039E-2</v>
      </c>
      <c r="J107" s="43">
        <f t="shared" si="38"/>
        <v>1.9630938358853552E-3</v>
      </c>
      <c r="K107" s="43">
        <f t="shared" si="38"/>
        <v>5.2349168956942809E-4</v>
      </c>
      <c r="L107" s="43">
        <f t="shared" si="38"/>
        <v>3.9261876717707107E-4</v>
      </c>
      <c r="M107" s="43">
        <f t="shared" si="38"/>
        <v>0.54482397591938225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0.54341575618171367</v>
      </c>
      <c r="D108" s="44">
        <f t="shared" ref="D108:N108" si="39">D106/$O$106</f>
        <v>9.8332374928119609E-2</v>
      </c>
      <c r="E108" s="44">
        <f t="shared" si="39"/>
        <v>5.8654399079930995E-2</v>
      </c>
      <c r="F108" s="44">
        <f t="shared" si="39"/>
        <v>0.22081656124209315</v>
      </c>
      <c r="G108" s="44">
        <f t="shared" si="39"/>
        <v>2.8752156411730881E-3</v>
      </c>
      <c r="H108" s="44">
        <f t="shared" si="39"/>
        <v>2.0126509488211618E-3</v>
      </c>
      <c r="I108" s="44">
        <f t="shared" si="39"/>
        <v>6.7567567567567571E-2</v>
      </c>
      <c r="J108" s="44">
        <f t="shared" si="39"/>
        <v>4.3128234617596318E-3</v>
      </c>
      <c r="K108" s="44">
        <f t="shared" si="39"/>
        <v>1.1500862564692352E-3</v>
      </c>
      <c r="L108" s="44">
        <f t="shared" si="39"/>
        <v>8.6256469235192635E-4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4" zoomScale="60" workbookViewId="0">
      <selection activeCell="L102" sqref="L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NSOOBA-KYEBANDO-24h'!D5</f>
        <v>01.08.19</v>
      </c>
      <c r="E5" s="3"/>
      <c r="F5" s="41" t="s">
        <v>1</v>
      </c>
      <c r="G5" s="70">
        <f>'01.08 NSOOBA-KYEBANDO-24h'!G5:H5</f>
        <v>29</v>
      </c>
      <c r="H5" s="71"/>
      <c r="I5" s="14"/>
      <c r="J5" s="2" t="s">
        <v>5</v>
      </c>
      <c r="K5" s="70" t="str">
        <f>'01.08 NSOOBA-KYEBANDO-24h'!K5:L5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'30.07 KYEBANDO-NSOOBA'!G6:H6</f>
        <v>NSOOBA</v>
      </c>
      <c r="H6" s="71"/>
      <c r="J6" s="2" t="s">
        <v>21</v>
      </c>
      <c r="K6" s="70" t="str">
        <f>'01.08 NSOOBA-KYEBANDO-24h'!K6:L6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</v>
      </c>
      <c r="D10" s="50">
        <v>2</v>
      </c>
      <c r="E10" s="50">
        <v>6</v>
      </c>
      <c r="F10" s="50">
        <v>10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73" si="0">SUM(C10:L10,N10)</f>
        <v>37</v>
      </c>
      <c r="P10" s="15">
        <f t="shared" ref="P10:P73" si="1">SUM(C10:N10)</f>
        <v>99</v>
      </c>
      <c r="R10" s="1" t="s">
        <v>6</v>
      </c>
      <c r="S10" s="17">
        <f t="shared" ref="S10:AF10" si="2">SUM(C10:C13)</f>
        <v>42</v>
      </c>
      <c r="T10" s="17">
        <f t="shared" si="2"/>
        <v>9</v>
      </c>
      <c r="U10" s="17">
        <f t="shared" si="2"/>
        <v>12</v>
      </c>
      <c r="V10" s="17">
        <f t="shared" si="2"/>
        <v>30</v>
      </c>
      <c r="W10" s="17">
        <f t="shared" si="2"/>
        <v>3</v>
      </c>
      <c r="X10" s="17">
        <f t="shared" si="2"/>
        <v>0</v>
      </c>
      <c r="Y10" s="17">
        <f t="shared" si="2"/>
        <v>7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289</v>
      </c>
      <c r="AD10" s="17">
        <f t="shared" si="2"/>
        <v>0</v>
      </c>
      <c r="AE10" s="31">
        <f t="shared" si="2"/>
        <v>105</v>
      </c>
      <c r="AF10" s="31">
        <f t="shared" si="2"/>
        <v>394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1</v>
      </c>
      <c r="E11" s="50">
        <v>1</v>
      </c>
      <c r="F11" s="50">
        <v>4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53</v>
      </c>
      <c r="N11" s="50">
        <v>0</v>
      </c>
      <c r="O11" s="15">
        <f t="shared" si="0"/>
        <v>20</v>
      </c>
      <c r="P11" s="15">
        <f t="shared" si="1"/>
        <v>73</v>
      </c>
      <c r="R11" s="1" t="s">
        <v>7</v>
      </c>
      <c r="S11" s="17">
        <f t="shared" ref="S11:AF11" si="3">SUM(C14:C17)</f>
        <v>69</v>
      </c>
      <c r="T11" s="17">
        <f t="shared" si="3"/>
        <v>13</v>
      </c>
      <c r="U11" s="17">
        <f t="shared" si="3"/>
        <v>26</v>
      </c>
      <c r="V11" s="17">
        <f t="shared" si="3"/>
        <v>29</v>
      </c>
      <c r="W11" s="17">
        <f t="shared" si="3"/>
        <v>3</v>
      </c>
      <c r="X11" s="17">
        <f t="shared" si="3"/>
        <v>0</v>
      </c>
      <c r="Y11" s="17">
        <f t="shared" si="3"/>
        <v>19</v>
      </c>
      <c r="Z11" s="17">
        <f t="shared" si="3"/>
        <v>2</v>
      </c>
      <c r="AA11" s="17">
        <f t="shared" si="3"/>
        <v>1</v>
      </c>
      <c r="AB11" s="17">
        <f t="shared" si="3"/>
        <v>0</v>
      </c>
      <c r="AC11" s="17">
        <f t="shared" si="3"/>
        <v>278</v>
      </c>
      <c r="AD11" s="17">
        <f t="shared" si="3"/>
        <v>0</v>
      </c>
      <c r="AE11" s="31">
        <f t="shared" si="3"/>
        <v>162</v>
      </c>
      <c r="AF11" s="31">
        <f t="shared" si="3"/>
        <v>440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3</v>
      </c>
      <c r="F12" s="50">
        <v>5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81</v>
      </c>
      <c r="N12" s="50">
        <v>0</v>
      </c>
      <c r="O12" s="15">
        <f t="shared" si="0"/>
        <v>15</v>
      </c>
      <c r="P12" s="15">
        <f t="shared" si="1"/>
        <v>96</v>
      </c>
      <c r="R12" s="1" t="s">
        <v>8</v>
      </c>
      <c r="S12" s="17">
        <f t="shared" ref="S12:AF12" si="4">SUM(C18:C21)</f>
        <v>80</v>
      </c>
      <c r="T12" s="17">
        <f t="shared" si="4"/>
        <v>18</v>
      </c>
      <c r="U12" s="17">
        <f t="shared" si="4"/>
        <v>21</v>
      </c>
      <c r="V12" s="17">
        <f t="shared" si="4"/>
        <v>32</v>
      </c>
      <c r="W12" s="17">
        <f t="shared" si="4"/>
        <v>1</v>
      </c>
      <c r="X12" s="17">
        <f t="shared" si="4"/>
        <v>0</v>
      </c>
      <c r="Y12" s="17">
        <f t="shared" si="4"/>
        <v>19</v>
      </c>
      <c r="Z12" s="17">
        <f t="shared" si="4"/>
        <v>1</v>
      </c>
      <c r="AA12" s="17">
        <f t="shared" si="4"/>
        <v>5</v>
      </c>
      <c r="AB12" s="17">
        <f t="shared" si="4"/>
        <v>0</v>
      </c>
      <c r="AC12" s="17">
        <f t="shared" si="4"/>
        <v>246</v>
      </c>
      <c r="AD12" s="17">
        <f t="shared" si="4"/>
        <v>0</v>
      </c>
      <c r="AE12" s="31">
        <f t="shared" si="4"/>
        <v>177</v>
      </c>
      <c r="AF12" s="31">
        <f t="shared" si="4"/>
        <v>423</v>
      </c>
    </row>
    <row r="13" spans="2:32" ht="23.1" customHeight="1" x14ac:dyDescent="0.25">
      <c r="B13" s="45" t="s">
        <v>40</v>
      </c>
      <c r="C13" s="50">
        <v>11</v>
      </c>
      <c r="D13" s="50">
        <v>4</v>
      </c>
      <c r="E13" s="50">
        <v>2</v>
      </c>
      <c r="F13" s="50">
        <v>11</v>
      </c>
      <c r="G13" s="50">
        <v>2</v>
      </c>
      <c r="H13" s="50">
        <v>0</v>
      </c>
      <c r="I13" s="50">
        <v>1</v>
      </c>
      <c r="J13" s="50">
        <v>1</v>
      </c>
      <c r="K13" s="50">
        <v>1</v>
      </c>
      <c r="L13" s="50">
        <v>0</v>
      </c>
      <c r="M13" s="50">
        <v>93</v>
      </c>
      <c r="N13" s="50">
        <v>0</v>
      </c>
      <c r="O13" s="15">
        <f t="shared" si="0"/>
        <v>33</v>
      </c>
      <c r="P13" s="15">
        <f t="shared" si="1"/>
        <v>126</v>
      </c>
      <c r="R13" s="1" t="s">
        <v>9</v>
      </c>
      <c r="S13" s="17">
        <f t="shared" ref="S13:AF13" si="5">SUM(C22:C25)</f>
        <v>58</v>
      </c>
      <c r="T13" s="17">
        <f t="shared" si="5"/>
        <v>10</v>
      </c>
      <c r="U13" s="17">
        <f t="shared" si="5"/>
        <v>7</v>
      </c>
      <c r="V13" s="17">
        <f t="shared" si="5"/>
        <v>15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6</v>
      </c>
      <c r="AA13" s="17">
        <f t="shared" si="5"/>
        <v>1</v>
      </c>
      <c r="AB13" s="17">
        <f t="shared" si="5"/>
        <v>2</v>
      </c>
      <c r="AC13" s="17">
        <f t="shared" si="5"/>
        <v>370</v>
      </c>
      <c r="AD13" s="17">
        <f t="shared" si="5"/>
        <v>0</v>
      </c>
      <c r="AE13" s="31">
        <f t="shared" si="5"/>
        <v>104</v>
      </c>
      <c r="AF13" s="31">
        <f t="shared" si="5"/>
        <v>474</v>
      </c>
    </row>
    <row r="14" spans="2:32" ht="23.1" customHeight="1" x14ac:dyDescent="0.25">
      <c r="B14" s="45" t="s">
        <v>41</v>
      </c>
      <c r="C14" s="50">
        <v>17</v>
      </c>
      <c r="D14" s="50">
        <v>1</v>
      </c>
      <c r="E14" s="50">
        <v>3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0</v>
      </c>
      <c r="M14" s="50">
        <v>53</v>
      </c>
      <c r="N14" s="50">
        <v>0</v>
      </c>
      <c r="O14" s="15">
        <f t="shared" si="0"/>
        <v>26</v>
      </c>
      <c r="P14" s="15">
        <f t="shared" si="1"/>
        <v>79</v>
      </c>
      <c r="R14" s="1" t="s">
        <v>10</v>
      </c>
      <c r="S14" s="17">
        <f t="shared" ref="S14:AF14" si="6">SUM(C26:C29)</f>
        <v>67</v>
      </c>
      <c r="T14" s="17">
        <f t="shared" si="6"/>
        <v>8</v>
      </c>
      <c r="U14" s="17">
        <f t="shared" si="6"/>
        <v>11</v>
      </c>
      <c r="V14" s="17">
        <f t="shared" si="6"/>
        <v>25</v>
      </c>
      <c r="W14" s="17">
        <f t="shared" si="6"/>
        <v>1</v>
      </c>
      <c r="X14" s="17">
        <f t="shared" si="6"/>
        <v>0</v>
      </c>
      <c r="Y14" s="17">
        <f t="shared" si="6"/>
        <v>13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294</v>
      </c>
      <c r="AD14" s="17">
        <f t="shared" si="6"/>
        <v>0</v>
      </c>
      <c r="AE14" s="31">
        <f t="shared" si="6"/>
        <v>127</v>
      </c>
      <c r="AF14" s="31">
        <f t="shared" si="6"/>
        <v>421</v>
      </c>
    </row>
    <row r="15" spans="2:32" ht="23.1" customHeight="1" x14ac:dyDescent="0.25">
      <c r="B15" s="45" t="s">
        <v>42</v>
      </c>
      <c r="C15" s="50">
        <v>17</v>
      </c>
      <c r="D15" s="50">
        <v>4</v>
      </c>
      <c r="E15" s="50">
        <v>8</v>
      </c>
      <c r="F15" s="50">
        <v>11</v>
      </c>
      <c r="G15" s="50">
        <v>1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89</v>
      </c>
      <c r="N15" s="50">
        <v>0</v>
      </c>
      <c r="O15" s="15">
        <f t="shared" si="0"/>
        <v>42</v>
      </c>
      <c r="P15" s="15">
        <f t="shared" si="1"/>
        <v>131</v>
      </c>
      <c r="R15" s="1" t="s">
        <v>11</v>
      </c>
      <c r="S15" s="17">
        <f t="shared" ref="S15:AF15" si="7">SUM(C30:C33)</f>
        <v>96</v>
      </c>
      <c r="T15" s="17">
        <f t="shared" si="7"/>
        <v>18</v>
      </c>
      <c r="U15" s="17">
        <f t="shared" si="7"/>
        <v>16</v>
      </c>
      <c r="V15" s="17">
        <f t="shared" si="7"/>
        <v>26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7</v>
      </c>
      <c r="AA15" s="17">
        <f t="shared" si="7"/>
        <v>3</v>
      </c>
      <c r="AB15" s="17">
        <f t="shared" si="7"/>
        <v>0</v>
      </c>
      <c r="AC15" s="17">
        <f t="shared" si="7"/>
        <v>223</v>
      </c>
      <c r="AD15" s="17">
        <f t="shared" si="7"/>
        <v>0</v>
      </c>
      <c r="AE15" s="31">
        <f t="shared" si="7"/>
        <v>179</v>
      </c>
      <c r="AF15" s="31">
        <f t="shared" si="7"/>
        <v>402</v>
      </c>
    </row>
    <row r="16" spans="2:32" ht="23.1" customHeight="1" x14ac:dyDescent="0.25">
      <c r="B16" s="45" t="s">
        <v>43</v>
      </c>
      <c r="C16" s="50">
        <v>14</v>
      </c>
      <c r="D16" s="50">
        <v>4</v>
      </c>
      <c r="E16" s="50">
        <v>6</v>
      </c>
      <c r="F16" s="50">
        <v>8</v>
      </c>
      <c r="G16" s="50">
        <v>1</v>
      </c>
      <c r="H16" s="50">
        <v>0</v>
      </c>
      <c r="I16" s="50">
        <v>7</v>
      </c>
      <c r="J16" s="50">
        <v>0</v>
      </c>
      <c r="K16" s="50">
        <v>0</v>
      </c>
      <c r="L16" s="50">
        <v>0</v>
      </c>
      <c r="M16" s="50">
        <v>77</v>
      </c>
      <c r="N16" s="50">
        <v>0</v>
      </c>
      <c r="O16" s="15">
        <f t="shared" si="0"/>
        <v>40</v>
      </c>
      <c r="P16" s="15">
        <f t="shared" si="1"/>
        <v>117</v>
      </c>
      <c r="R16" s="1" t="s">
        <v>12</v>
      </c>
      <c r="S16" s="17">
        <f t="shared" ref="S16:AF16" si="8">SUM(C34:C37)</f>
        <v>107</v>
      </c>
      <c r="T16" s="17">
        <f t="shared" si="8"/>
        <v>16</v>
      </c>
      <c r="U16" s="17">
        <f t="shared" si="8"/>
        <v>24</v>
      </c>
      <c r="V16" s="17">
        <f t="shared" si="8"/>
        <v>21</v>
      </c>
      <c r="W16" s="17">
        <f t="shared" si="8"/>
        <v>2</v>
      </c>
      <c r="X16" s="17">
        <f t="shared" si="8"/>
        <v>2</v>
      </c>
      <c r="Y16" s="17">
        <f t="shared" si="8"/>
        <v>16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224</v>
      </c>
      <c r="AD16" s="17">
        <f t="shared" si="8"/>
        <v>0</v>
      </c>
      <c r="AE16" s="31">
        <f t="shared" si="8"/>
        <v>193</v>
      </c>
      <c r="AF16" s="31">
        <f t="shared" si="8"/>
        <v>417</v>
      </c>
    </row>
    <row r="17" spans="2:32" ht="23.1" customHeight="1" x14ac:dyDescent="0.25">
      <c r="B17" s="45" t="s">
        <v>44</v>
      </c>
      <c r="C17" s="50">
        <v>21</v>
      </c>
      <c r="D17" s="50">
        <v>4</v>
      </c>
      <c r="E17" s="50">
        <v>9</v>
      </c>
      <c r="F17" s="50">
        <v>9</v>
      </c>
      <c r="G17" s="50">
        <v>1</v>
      </c>
      <c r="H17" s="50">
        <v>0</v>
      </c>
      <c r="I17" s="50">
        <v>9</v>
      </c>
      <c r="J17" s="50">
        <v>1</v>
      </c>
      <c r="K17" s="50">
        <v>0</v>
      </c>
      <c r="L17" s="50">
        <v>0</v>
      </c>
      <c r="M17" s="50">
        <v>59</v>
      </c>
      <c r="N17" s="50">
        <v>0</v>
      </c>
      <c r="O17" s="15">
        <f t="shared" si="0"/>
        <v>54</v>
      </c>
      <c r="P17" s="15">
        <f t="shared" si="1"/>
        <v>113</v>
      </c>
      <c r="R17" s="1" t="s">
        <v>13</v>
      </c>
      <c r="S17" s="17">
        <f t="shared" ref="S17:AF17" si="9">SUM(C38:C41)</f>
        <v>101</v>
      </c>
      <c r="T17" s="17">
        <f t="shared" si="9"/>
        <v>8</v>
      </c>
      <c r="U17" s="17">
        <f t="shared" si="9"/>
        <v>21</v>
      </c>
      <c r="V17" s="17">
        <f t="shared" si="9"/>
        <v>23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5</v>
      </c>
      <c r="AA17" s="17">
        <f t="shared" si="9"/>
        <v>1</v>
      </c>
      <c r="AB17" s="17">
        <f t="shared" si="9"/>
        <v>1</v>
      </c>
      <c r="AC17" s="17">
        <f t="shared" si="9"/>
        <v>220</v>
      </c>
      <c r="AD17" s="17">
        <f t="shared" si="9"/>
        <v>0</v>
      </c>
      <c r="AE17" s="31">
        <f t="shared" si="9"/>
        <v>170</v>
      </c>
      <c r="AF17" s="31">
        <f t="shared" si="9"/>
        <v>390</v>
      </c>
    </row>
    <row r="18" spans="2:32" ht="23.1" customHeight="1" x14ac:dyDescent="0.25">
      <c r="B18" s="45" t="s">
        <v>45</v>
      </c>
      <c r="C18" s="50">
        <v>13</v>
      </c>
      <c r="D18" s="50">
        <v>5</v>
      </c>
      <c r="E18" s="50">
        <v>4</v>
      </c>
      <c r="F18" s="50">
        <v>8</v>
      </c>
      <c r="G18" s="50">
        <v>1</v>
      </c>
      <c r="H18" s="50">
        <v>0</v>
      </c>
      <c r="I18" s="50">
        <v>4</v>
      </c>
      <c r="J18" s="50">
        <v>0</v>
      </c>
      <c r="K18" s="50">
        <v>1</v>
      </c>
      <c r="L18" s="50">
        <v>0</v>
      </c>
      <c r="M18" s="50">
        <v>37</v>
      </c>
      <c r="N18" s="50">
        <v>0</v>
      </c>
      <c r="O18" s="15">
        <f t="shared" si="0"/>
        <v>36</v>
      </c>
      <c r="P18" s="15">
        <f t="shared" si="1"/>
        <v>73</v>
      </c>
      <c r="R18" s="1" t="s">
        <v>14</v>
      </c>
      <c r="S18" s="17">
        <f t="shared" ref="S18:AF18" si="10">SUM(C42:C45)</f>
        <v>94</v>
      </c>
      <c r="T18" s="17">
        <f t="shared" si="10"/>
        <v>16</v>
      </c>
      <c r="U18" s="17">
        <f t="shared" si="10"/>
        <v>14</v>
      </c>
      <c r="V18" s="17">
        <f t="shared" si="10"/>
        <v>15</v>
      </c>
      <c r="W18" s="17">
        <f t="shared" si="10"/>
        <v>0</v>
      </c>
      <c r="X18" s="17">
        <f t="shared" si="10"/>
        <v>1</v>
      </c>
      <c r="Y18" s="17">
        <f t="shared" si="10"/>
        <v>14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205</v>
      </c>
      <c r="AD18" s="17">
        <f t="shared" si="10"/>
        <v>0</v>
      </c>
      <c r="AE18" s="31">
        <f t="shared" si="10"/>
        <v>160</v>
      </c>
      <c r="AF18" s="31">
        <f t="shared" si="10"/>
        <v>365</v>
      </c>
    </row>
    <row r="19" spans="2:32" ht="23.1" customHeight="1" x14ac:dyDescent="0.25">
      <c r="B19" s="45" t="s">
        <v>46</v>
      </c>
      <c r="C19" s="50">
        <v>21</v>
      </c>
      <c r="D19" s="50">
        <v>6</v>
      </c>
      <c r="E19" s="50">
        <v>8</v>
      </c>
      <c r="F19" s="50">
        <v>8</v>
      </c>
      <c r="G19" s="50">
        <v>0</v>
      </c>
      <c r="H19" s="50">
        <v>0</v>
      </c>
      <c r="I19" s="50">
        <v>4</v>
      </c>
      <c r="J19" s="50">
        <v>1</v>
      </c>
      <c r="K19" s="50">
        <v>1</v>
      </c>
      <c r="L19" s="50">
        <v>0</v>
      </c>
      <c r="M19" s="50">
        <v>68</v>
      </c>
      <c r="N19" s="50">
        <v>0</v>
      </c>
      <c r="O19" s="15">
        <f t="shared" si="0"/>
        <v>49</v>
      </c>
      <c r="P19" s="15">
        <f t="shared" si="1"/>
        <v>117</v>
      </c>
      <c r="R19" s="1" t="s">
        <v>15</v>
      </c>
      <c r="S19" s="17">
        <f t="shared" ref="S19:AF19" si="11">SUM(C46:C49)</f>
        <v>115</v>
      </c>
      <c r="T19" s="17">
        <f t="shared" si="11"/>
        <v>27</v>
      </c>
      <c r="U19" s="17">
        <f t="shared" si="11"/>
        <v>15</v>
      </c>
      <c r="V19" s="17">
        <f t="shared" si="11"/>
        <v>25</v>
      </c>
      <c r="W19" s="17">
        <f t="shared" si="11"/>
        <v>2</v>
      </c>
      <c r="X19" s="17">
        <f t="shared" si="11"/>
        <v>7</v>
      </c>
      <c r="Y19" s="17">
        <f t="shared" si="11"/>
        <v>10</v>
      </c>
      <c r="Z19" s="17">
        <f t="shared" si="11"/>
        <v>2</v>
      </c>
      <c r="AA19" s="17">
        <f t="shared" si="11"/>
        <v>2</v>
      </c>
      <c r="AB19" s="17">
        <f t="shared" si="11"/>
        <v>80</v>
      </c>
      <c r="AC19" s="17">
        <f t="shared" si="11"/>
        <v>191</v>
      </c>
      <c r="AD19" s="17">
        <f t="shared" si="11"/>
        <v>0</v>
      </c>
      <c r="AE19" s="31">
        <f t="shared" si="11"/>
        <v>285</v>
      </c>
      <c r="AF19" s="31">
        <f t="shared" si="11"/>
        <v>476</v>
      </c>
    </row>
    <row r="20" spans="2:32" ht="23.1" customHeight="1" x14ac:dyDescent="0.25">
      <c r="B20" s="45" t="s">
        <v>47</v>
      </c>
      <c r="C20" s="50">
        <v>17</v>
      </c>
      <c r="D20" s="50">
        <v>3</v>
      </c>
      <c r="E20" s="50">
        <v>2</v>
      </c>
      <c r="F20" s="50">
        <v>10</v>
      </c>
      <c r="G20" s="50">
        <v>0</v>
      </c>
      <c r="H20" s="50">
        <v>0</v>
      </c>
      <c r="I20" s="50">
        <v>4</v>
      </c>
      <c r="J20" s="50">
        <v>0</v>
      </c>
      <c r="K20" s="50">
        <v>2</v>
      </c>
      <c r="L20" s="50">
        <v>0</v>
      </c>
      <c r="M20" s="50">
        <v>66</v>
      </c>
      <c r="N20" s="50">
        <v>0</v>
      </c>
      <c r="O20" s="15">
        <f t="shared" si="0"/>
        <v>38</v>
      </c>
      <c r="P20" s="15">
        <f t="shared" si="1"/>
        <v>104</v>
      </c>
      <c r="R20" s="1" t="s">
        <v>16</v>
      </c>
      <c r="S20" s="17">
        <f t="shared" ref="S20:AF20" si="12">SUM(C50:C53)</f>
        <v>200</v>
      </c>
      <c r="T20" s="17">
        <f t="shared" si="12"/>
        <v>42</v>
      </c>
      <c r="U20" s="17">
        <f t="shared" si="12"/>
        <v>31</v>
      </c>
      <c r="V20" s="17">
        <f t="shared" si="12"/>
        <v>31</v>
      </c>
      <c r="W20" s="17">
        <f t="shared" si="12"/>
        <v>1</v>
      </c>
      <c r="X20" s="17">
        <f t="shared" si="12"/>
        <v>0</v>
      </c>
      <c r="Y20" s="17">
        <f t="shared" si="12"/>
        <v>22</v>
      </c>
      <c r="Z20" s="17">
        <f t="shared" si="12"/>
        <v>5</v>
      </c>
      <c r="AA20" s="17">
        <f t="shared" si="12"/>
        <v>1</v>
      </c>
      <c r="AB20" s="17">
        <f t="shared" si="12"/>
        <v>1</v>
      </c>
      <c r="AC20" s="17">
        <f t="shared" si="12"/>
        <v>319</v>
      </c>
      <c r="AD20" s="17">
        <f t="shared" si="12"/>
        <v>0</v>
      </c>
      <c r="AE20" s="31">
        <f t="shared" si="12"/>
        <v>334</v>
      </c>
      <c r="AF20" s="31">
        <f t="shared" si="12"/>
        <v>653</v>
      </c>
    </row>
    <row r="21" spans="2:32" ht="23.1" customHeight="1" x14ac:dyDescent="0.25">
      <c r="B21" s="45" t="s">
        <v>48</v>
      </c>
      <c r="C21" s="50">
        <v>29</v>
      </c>
      <c r="D21" s="50">
        <v>4</v>
      </c>
      <c r="E21" s="50">
        <v>7</v>
      </c>
      <c r="F21" s="50">
        <v>6</v>
      </c>
      <c r="G21" s="50">
        <v>0</v>
      </c>
      <c r="H21" s="50">
        <v>0</v>
      </c>
      <c r="I21" s="50">
        <v>7</v>
      </c>
      <c r="J21" s="50">
        <v>0</v>
      </c>
      <c r="K21" s="50">
        <v>1</v>
      </c>
      <c r="L21" s="50">
        <v>0</v>
      </c>
      <c r="M21" s="50">
        <v>75</v>
      </c>
      <c r="N21" s="50">
        <v>0</v>
      </c>
      <c r="O21" s="15">
        <f t="shared" si="0"/>
        <v>54</v>
      </c>
      <c r="P21" s="15">
        <f t="shared" si="1"/>
        <v>129</v>
      </c>
      <c r="R21" s="36" t="s">
        <v>20</v>
      </c>
      <c r="S21" s="34">
        <f t="shared" ref="S21:AF21" si="13">SUM(C54:C57)</f>
        <v>250</v>
      </c>
      <c r="T21" s="17">
        <f t="shared" si="13"/>
        <v>46</v>
      </c>
      <c r="U21" s="17">
        <f t="shared" si="13"/>
        <v>31</v>
      </c>
      <c r="V21" s="17">
        <f t="shared" si="13"/>
        <v>59</v>
      </c>
      <c r="W21" s="17">
        <f t="shared" si="13"/>
        <v>1</v>
      </c>
      <c r="X21" s="17">
        <f t="shared" si="13"/>
        <v>0</v>
      </c>
      <c r="Y21" s="17">
        <f t="shared" si="13"/>
        <v>30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355</v>
      </c>
      <c r="AD21" s="17">
        <f t="shared" si="13"/>
        <v>0</v>
      </c>
      <c r="AE21" s="31">
        <f t="shared" si="13"/>
        <v>421</v>
      </c>
      <c r="AF21" s="31">
        <f t="shared" si="13"/>
        <v>776</v>
      </c>
    </row>
    <row r="22" spans="2:32" ht="23.1" customHeight="1" x14ac:dyDescent="0.25">
      <c r="B22" s="45" t="s">
        <v>49</v>
      </c>
      <c r="C22" s="50">
        <v>22</v>
      </c>
      <c r="D22" s="50">
        <v>2</v>
      </c>
      <c r="E22" s="50">
        <v>2</v>
      </c>
      <c r="F22" s="50">
        <v>4</v>
      </c>
      <c r="G22" s="50">
        <v>1</v>
      </c>
      <c r="H22" s="50">
        <v>0</v>
      </c>
      <c r="I22" s="50">
        <v>1</v>
      </c>
      <c r="J22" s="50">
        <v>3</v>
      </c>
      <c r="K22" s="50">
        <v>0</v>
      </c>
      <c r="L22" s="50">
        <v>0</v>
      </c>
      <c r="M22" s="50">
        <v>100</v>
      </c>
      <c r="N22" s="50">
        <v>0</v>
      </c>
      <c r="O22" s="15">
        <f t="shared" si="0"/>
        <v>35</v>
      </c>
      <c r="P22" s="15">
        <f t="shared" si="1"/>
        <v>135</v>
      </c>
      <c r="R22" s="36" t="s">
        <v>146</v>
      </c>
      <c r="S22" s="34">
        <f>SUM(C58:C61)</f>
        <v>207</v>
      </c>
      <c r="T22" s="34">
        <f t="shared" ref="T22:AF22" si="14">SUM(D58:D61)</f>
        <v>23</v>
      </c>
      <c r="U22" s="34">
        <f t="shared" si="14"/>
        <v>8</v>
      </c>
      <c r="V22" s="34">
        <f t="shared" si="14"/>
        <v>47</v>
      </c>
      <c r="W22" s="34">
        <f t="shared" si="14"/>
        <v>3</v>
      </c>
      <c r="X22" s="34">
        <f t="shared" si="14"/>
        <v>3</v>
      </c>
      <c r="Y22" s="34">
        <f t="shared" si="14"/>
        <v>14</v>
      </c>
      <c r="Z22" s="34">
        <f t="shared" si="14"/>
        <v>2</v>
      </c>
      <c r="AA22" s="34">
        <f t="shared" si="14"/>
        <v>5</v>
      </c>
      <c r="AB22" s="34">
        <f t="shared" si="14"/>
        <v>0</v>
      </c>
      <c r="AC22" s="34">
        <f t="shared" si="14"/>
        <v>281</v>
      </c>
      <c r="AD22" s="34">
        <f t="shared" si="14"/>
        <v>0</v>
      </c>
      <c r="AE22" s="31">
        <f t="shared" si="14"/>
        <v>312</v>
      </c>
      <c r="AF22" s="31">
        <f t="shared" si="14"/>
        <v>593</v>
      </c>
    </row>
    <row r="23" spans="2:32" ht="23.1" customHeight="1" x14ac:dyDescent="0.25">
      <c r="B23" s="45" t="s">
        <v>50</v>
      </c>
      <c r="C23" s="50">
        <v>6</v>
      </c>
      <c r="D23" s="50">
        <v>3</v>
      </c>
      <c r="E23" s="50">
        <v>2</v>
      </c>
      <c r="F23" s="50">
        <v>5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1</v>
      </c>
      <c r="M23" s="50">
        <v>105</v>
      </c>
      <c r="N23" s="50">
        <v>0</v>
      </c>
      <c r="O23" s="15">
        <f t="shared" si="0"/>
        <v>20</v>
      </c>
      <c r="P23" s="15">
        <f t="shared" si="1"/>
        <v>125</v>
      </c>
      <c r="R23" s="36" t="s">
        <v>147</v>
      </c>
      <c r="S23" s="34">
        <f>SUM(C62:C65)</f>
        <v>150</v>
      </c>
      <c r="T23" s="34">
        <f t="shared" ref="T23:AF23" si="15">SUM(D62:D65)</f>
        <v>10</v>
      </c>
      <c r="U23" s="34">
        <f t="shared" si="15"/>
        <v>12</v>
      </c>
      <c r="V23" s="34">
        <f t="shared" si="15"/>
        <v>82</v>
      </c>
      <c r="W23" s="34">
        <f t="shared" si="15"/>
        <v>4</v>
      </c>
      <c r="X23" s="34">
        <f t="shared" si="15"/>
        <v>1</v>
      </c>
      <c r="Y23" s="34">
        <f t="shared" si="15"/>
        <v>12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250</v>
      </c>
      <c r="AD23" s="34">
        <f t="shared" si="15"/>
        <v>0</v>
      </c>
      <c r="AE23" s="31">
        <f t="shared" si="15"/>
        <v>271</v>
      </c>
      <c r="AF23" s="31">
        <f t="shared" si="15"/>
        <v>521</v>
      </c>
    </row>
    <row r="24" spans="2:32" ht="23.1" customHeight="1" x14ac:dyDescent="0.25">
      <c r="B24" s="45" t="s">
        <v>51</v>
      </c>
      <c r="C24" s="50">
        <v>17</v>
      </c>
      <c r="D24" s="50">
        <v>1</v>
      </c>
      <c r="E24" s="50">
        <v>2</v>
      </c>
      <c r="F24" s="50">
        <v>3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80</v>
      </c>
      <c r="N24" s="50">
        <v>0</v>
      </c>
      <c r="O24" s="15">
        <f t="shared" si="0"/>
        <v>24</v>
      </c>
      <c r="P24" s="15">
        <f t="shared" si="1"/>
        <v>104</v>
      </c>
      <c r="R24" s="36" t="s">
        <v>148</v>
      </c>
      <c r="S24" s="34">
        <f>SUM(C66:C69)</f>
        <v>102</v>
      </c>
      <c r="T24" s="34">
        <f t="shared" ref="T24:AF24" si="16">SUM(D66:D69)</f>
        <v>9</v>
      </c>
      <c r="U24" s="34">
        <f t="shared" si="16"/>
        <v>10</v>
      </c>
      <c r="V24" s="34">
        <f t="shared" si="16"/>
        <v>41</v>
      </c>
      <c r="W24" s="34">
        <f t="shared" si="16"/>
        <v>1</v>
      </c>
      <c r="X24" s="34">
        <f t="shared" si="16"/>
        <v>0</v>
      </c>
      <c r="Y24" s="34">
        <f t="shared" si="16"/>
        <v>1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169</v>
      </c>
      <c r="AD24" s="34">
        <f t="shared" si="16"/>
        <v>0</v>
      </c>
      <c r="AE24" s="31">
        <f t="shared" si="16"/>
        <v>166</v>
      </c>
      <c r="AF24" s="31">
        <f t="shared" si="16"/>
        <v>335</v>
      </c>
    </row>
    <row r="25" spans="2:32" ht="23.1" customHeight="1" x14ac:dyDescent="0.25">
      <c r="B25" s="45" t="s">
        <v>52</v>
      </c>
      <c r="C25" s="50">
        <v>13</v>
      </c>
      <c r="D25" s="50">
        <v>4</v>
      </c>
      <c r="E25" s="50">
        <v>1</v>
      </c>
      <c r="F25" s="50">
        <v>3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1</v>
      </c>
      <c r="M25" s="50">
        <v>85</v>
      </c>
      <c r="N25" s="50">
        <v>0</v>
      </c>
      <c r="O25" s="15">
        <f t="shared" si="0"/>
        <v>25</v>
      </c>
      <c r="P25" s="15">
        <f t="shared" si="1"/>
        <v>110</v>
      </c>
      <c r="R25" s="36" t="s">
        <v>149</v>
      </c>
      <c r="S25" s="34">
        <f>SUM(C70:C73)</f>
        <v>51</v>
      </c>
      <c r="T25" s="34">
        <f t="shared" ref="T25:AF25" si="17">SUM(D70:D73)</f>
        <v>7</v>
      </c>
      <c r="U25" s="34">
        <f t="shared" si="17"/>
        <v>6</v>
      </c>
      <c r="V25" s="34">
        <f t="shared" si="17"/>
        <v>10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69</v>
      </c>
      <c r="AD25" s="34">
        <f t="shared" si="17"/>
        <v>0</v>
      </c>
      <c r="AE25" s="31">
        <f t="shared" si="17"/>
        <v>75</v>
      </c>
      <c r="AF25" s="31">
        <f t="shared" si="17"/>
        <v>144</v>
      </c>
    </row>
    <row r="26" spans="2:32" ht="23.1" customHeight="1" x14ac:dyDescent="0.25">
      <c r="B26" s="45" t="s">
        <v>53</v>
      </c>
      <c r="C26" s="50">
        <v>15</v>
      </c>
      <c r="D26" s="50">
        <v>0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55</v>
      </c>
      <c r="N26" s="50">
        <v>0</v>
      </c>
      <c r="O26" s="15">
        <f t="shared" si="0"/>
        <v>20</v>
      </c>
      <c r="P26" s="15">
        <f t="shared" si="1"/>
        <v>75</v>
      </c>
      <c r="R26" s="36" t="s">
        <v>150</v>
      </c>
      <c r="S26" s="34">
        <f>SUM(C74:C77)</f>
        <v>28</v>
      </c>
      <c r="T26" s="34">
        <f t="shared" ref="T26:AF26" si="18">SUM(D74:D77)</f>
        <v>6</v>
      </c>
      <c r="U26" s="34">
        <f t="shared" si="18"/>
        <v>5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2</v>
      </c>
      <c r="AB26" s="34">
        <f t="shared" si="18"/>
        <v>0</v>
      </c>
      <c r="AC26" s="34">
        <f t="shared" si="18"/>
        <v>57</v>
      </c>
      <c r="AD26" s="34">
        <f t="shared" si="18"/>
        <v>0</v>
      </c>
      <c r="AE26" s="31">
        <f t="shared" si="18"/>
        <v>44</v>
      </c>
      <c r="AF26" s="31">
        <f t="shared" si="18"/>
        <v>101</v>
      </c>
    </row>
    <row r="27" spans="2:32" ht="23.1" customHeight="1" x14ac:dyDescent="0.25">
      <c r="B27" s="45" t="s">
        <v>54</v>
      </c>
      <c r="C27" s="50">
        <v>19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64</v>
      </c>
      <c r="N27" s="50">
        <v>0</v>
      </c>
      <c r="O27" s="15">
        <f t="shared" si="0"/>
        <v>23</v>
      </c>
      <c r="P27" s="15">
        <f t="shared" si="1"/>
        <v>87</v>
      </c>
      <c r="R27" s="36" t="s">
        <v>151</v>
      </c>
      <c r="S27" s="34">
        <f>SUM(C78:C81)</f>
        <v>25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4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44</v>
      </c>
      <c r="AD27" s="34">
        <f t="shared" si="19"/>
        <v>0</v>
      </c>
      <c r="AE27" s="31">
        <f t="shared" si="19"/>
        <v>31</v>
      </c>
      <c r="AF27" s="31">
        <f t="shared" si="19"/>
        <v>75</v>
      </c>
    </row>
    <row r="28" spans="2:32" ht="23.1" customHeight="1" x14ac:dyDescent="0.25">
      <c r="B28" s="45" t="s">
        <v>55</v>
      </c>
      <c r="C28" s="50">
        <v>22</v>
      </c>
      <c r="D28" s="50">
        <v>2</v>
      </c>
      <c r="E28" s="50">
        <v>1</v>
      </c>
      <c r="F28" s="50">
        <v>15</v>
      </c>
      <c r="G28" s="50">
        <v>0</v>
      </c>
      <c r="H28" s="50">
        <v>0</v>
      </c>
      <c r="I28" s="50">
        <v>9</v>
      </c>
      <c r="J28" s="50">
        <v>1</v>
      </c>
      <c r="K28" s="50">
        <v>0</v>
      </c>
      <c r="L28" s="50">
        <v>0</v>
      </c>
      <c r="M28" s="50">
        <v>95</v>
      </c>
      <c r="N28" s="50">
        <v>0</v>
      </c>
      <c r="O28" s="15">
        <f t="shared" si="0"/>
        <v>50</v>
      </c>
      <c r="P28" s="15">
        <f t="shared" si="1"/>
        <v>145</v>
      </c>
      <c r="R28" s="36" t="s">
        <v>152</v>
      </c>
      <c r="S28" s="34">
        <f>SUM(C82:C85)</f>
        <v>12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23</v>
      </c>
      <c r="AD28" s="34">
        <f t="shared" si="20"/>
        <v>0</v>
      </c>
      <c r="AE28" s="31">
        <f t="shared" si="20"/>
        <v>13</v>
      </c>
      <c r="AF28" s="31">
        <f t="shared" si="20"/>
        <v>36</v>
      </c>
    </row>
    <row r="29" spans="2:32" ht="23.1" customHeight="1" x14ac:dyDescent="0.25">
      <c r="B29" s="45" t="s">
        <v>56</v>
      </c>
      <c r="C29" s="50">
        <v>11</v>
      </c>
      <c r="D29" s="50">
        <v>6</v>
      </c>
      <c r="E29" s="50">
        <v>6</v>
      </c>
      <c r="F29" s="50">
        <v>6</v>
      </c>
      <c r="G29" s="50">
        <v>1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80</v>
      </c>
      <c r="N29" s="50">
        <v>0</v>
      </c>
      <c r="O29" s="15">
        <f t="shared" si="0"/>
        <v>34</v>
      </c>
      <c r="P29" s="15">
        <f t="shared" si="1"/>
        <v>114</v>
      </c>
      <c r="R29" s="36" t="s">
        <v>153</v>
      </c>
      <c r="S29" s="34">
        <f>SUM(C86:C89)</f>
        <v>3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14</v>
      </c>
      <c r="AD29" s="34">
        <f t="shared" si="21"/>
        <v>0</v>
      </c>
      <c r="AE29" s="31">
        <f t="shared" si="21"/>
        <v>4</v>
      </c>
      <c r="AF29" s="31">
        <f t="shared" si="21"/>
        <v>18</v>
      </c>
    </row>
    <row r="30" spans="2:32" ht="23.1" customHeight="1" x14ac:dyDescent="0.25">
      <c r="B30" s="45" t="s">
        <v>57</v>
      </c>
      <c r="C30" s="50">
        <v>20</v>
      </c>
      <c r="D30" s="50">
        <v>6</v>
      </c>
      <c r="E30" s="50">
        <v>7</v>
      </c>
      <c r="F30" s="50">
        <v>8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55</v>
      </c>
      <c r="N30" s="50">
        <v>0</v>
      </c>
      <c r="O30" s="15">
        <f t="shared" si="0"/>
        <v>43</v>
      </c>
      <c r="P30" s="15">
        <f t="shared" si="1"/>
        <v>98</v>
      </c>
      <c r="R30" s="36" t="s">
        <v>154</v>
      </c>
      <c r="S30" s="34">
        <f>SUM(C90:C93)</f>
        <v>4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13</v>
      </c>
      <c r="AD30" s="34">
        <f t="shared" si="22"/>
        <v>0</v>
      </c>
      <c r="AE30" s="31">
        <f t="shared" si="22"/>
        <v>6</v>
      </c>
      <c r="AF30" s="31">
        <f t="shared" si="22"/>
        <v>19</v>
      </c>
    </row>
    <row r="31" spans="2:32" ht="23.1" customHeight="1" x14ac:dyDescent="0.25">
      <c r="B31" s="46" t="s">
        <v>58</v>
      </c>
      <c r="C31" s="50">
        <v>19</v>
      </c>
      <c r="D31" s="50">
        <v>7</v>
      </c>
      <c r="E31" s="50">
        <v>4</v>
      </c>
      <c r="F31" s="50">
        <v>4</v>
      </c>
      <c r="G31" s="50">
        <v>0</v>
      </c>
      <c r="H31" s="50">
        <v>0</v>
      </c>
      <c r="I31" s="50">
        <v>5</v>
      </c>
      <c r="J31" s="50">
        <v>0</v>
      </c>
      <c r="K31" s="50">
        <v>1</v>
      </c>
      <c r="L31" s="50">
        <v>0</v>
      </c>
      <c r="M31" s="50">
        <v>60</v>
      </c>
      <c r="N31" s="50">
        <v>0</v>
      </c>
      <c r="O31" s="15">
        <f t="shared" si="0"/>
        <v>40</v>
      </c>
      <c r="P31" s="15">
        <f t="shared" si="1"/>
        <v>100</v>
      </c>
      <c r="R31" s="36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10</v>
      </c>
      <c r="AD31" s="34">
        <f t="shared" si="23"/>
        <v>0</v>
      </c>
      <c r="AE31" s="31">
        <f t="shared" si="23"/>
        <v>6</v>
      </c>
      <c r="AF31" s="31">
        <f t="shared" si="23"/>
        <v>16</v>
      </c>
    </row>
    <row r="32" spans="2:32" ht="23.1" customHeight="1" x14ac:dyDescent="0.25">
      <c r="B32" s="46" t="s">
        <v>59</v>
      </c>
      <c r="C32" s="50">
        <v>30</v>
      </c>
      <c r="D32" s="50">
        <v>5</v>
      </c>
      <c r="E32" s="50">
        <v>3</v>
      </c>
      <c r="F32" s="50">
        <v>5</v>
      </c>
      <c r="G32" s="50">
        <v>0</v>
      </c>
      <c r="H32" s="50">
        <v>0</v>
      </c>
      <c r="I32" s="50">
        <v>3</v>
      </c>
      <c r="J32" s="50">
        <v>2</v>
      </c>
      <c r="K32" s="50">
        <v>2</v>
      </c>
      <c r="L32" s="50">
        <v>0</v>
      </c>
      <c r="M32" s="50">
        <v>65</v>
      </c>
      <c r="N32" s="50">
        <v>0</v>
      </c>
      <c r="O32" s="15">
        <f t="shared" si="0"/>
        <v>50</v>
      </c>
      <c r="P32" s="15">
        <f t="shared" si="1"/>
        <v>115</v>
      </c>
      <c r="R32" s="33" t="s">
        <v>156</v>
      </c>
      <c r="S32" s="34">
        <f>SUM(C98:C101)</f>
        <v>8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8</v>
      </c>
      <c r="W32" s="34">
        <f t="shared" si="24"/>
        <v>1</v>
      </c>
      <c r="X32" s="34">
        <f t="shared" si="24"/>
        <v>0</v>
      </c>
      <c r="Y32" s="34">
        <f t="shared" si="24"/>
        <v>0</v>
      </c>
      <c r="Z32" s="34">
        <f t="shared" si="24"/>
        <v>3</v>
      </c>
      <c r="AA32" s="34">
        <f t="shared" si="24"/>
        <v>0</v>
      </c>
      <c r="AB32" s="34">
        <f t="shared" si="24"/>
        <v>0</v>
      </c>
      <c r="AC32" s="34">
        <f t="shared" si="24"/>
        <v>21</v>
      </c>
      <c r="AD32" s="34">
        <f t="shared" si="24"/>
        <v>0</v>
      </c>
      <c r="AE32" s="31">
        <f t="shared" si="24"/>
        <v>22</v>
      </c>
      <c r="AF32" s="31">
        <f t="shared" si="24"/>
        <v>43</v>
      </c>
    </row>
    <row r="33" spans="2:32" ht="23.1" customHeight="1" x14ac:dyDescent="0.25">
      <c r="B33" s="45" t="s">
        <v>60</v>
      </c>
      <c r="C33" s="50">
        <v>27</v>
      </c>
      <c r="D33" s="50">
        <v>0</v>
      </c>
      <c r="E33" s="50">
        <v>2</v>
      </c>
      <c r="F33" s="50">
        <v>9</v>
      </c>
      <c r="G33" s="50">
        <v>0</v>
      </c>
      <c r="H33" s="50">
        <v>0</v>
      </c>
      <c r="I33" s="50">
        <v>3</v>
      </c>
      <c r="J33" s="50">
        <v>5</v>
      </c>
      <c r="K33" s="50">
        <v>0</v>
      </c>
      <c r="L33" s="50">
        <v>0</v>
      </c>
      <c r="M33" s="50">
        <v>43</v>
      </c>
      <c r="N33" s="50">
        <v>0</v>
      </c>
      <c r="O33" s="15">
        <f t="shared" si="0"/>
        <v>46</v>
      </c>
      <c r="P33" s="15">
        <f t="shared" si="1"/>
        <v>89</v>
      </c>
      <c r="R33" s="33" t="s">
        <v>157</v>
      </c>
      <c r="S33" s="34">
        <f>SUM(C102:C105)</f>
        <v>9</v>
      </c>
      <c r="T33" s="34">
        <f t="shared" ref="T33:AF33" si="25">SUM(D102:D105)</f>
        <v>4</v>
      </c>
      <c r="U33" s="34">
        <f t="shared" si="25"/>
        <v>1</v>
      </c>
      <c r="V33" s="34">
        <f t="shared" si="25"/>
        <v>6</v>
      </c>
      <c r="W33" s="34">
        <f t="shared" si="25"/>
        <v>2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27</v>
      </c>
      <c r="AD33" s="34">
        <f t="shared" si="25"/>
        <v>0</v>
      </c>
      <c r="AE33" s="31">
        <f t="shared" si="25"/>
        <v>23</v>
      </c>
      <c r="AF33" s="31">
        <f t="shared" si="25"/>
        <v>50</v>
      </c>
    </row>
    <row r="34" spans="2:32" ht="23.1" customHeight="1" x14ac:dyDescent="0.25">
      <c r="B34" s="46" t="s">
        <v>61</v>
      </c>
      <c r="C34" s="50">
        <v>35</v>
      </c>
      <c r="D34" s="50">
        <v>5</v>
      </c>
      <c r="E34" s="50">
        <v>3</v>
      </c>
      <c r="F34" s="50">
        <v>9</v>
      </c>
      <c r="G34" s="50">
        <v>2</v>
      </c>
      <c r="H34" s="50">
        <v>1</v>
      </c>
      <c r="I34" s="50">
        <v>5</v>
      </c>
      <c r="J34" s="50">
        <v>0</v>
      </c>
      <c r="K34" s="50">
        <v>0</v>
      </c>
      <c r="L34" s="50">
        <v>0</v>
      </c>
      <c r="M34" s="50">
        <v>46</v>
      </c>
      <c r="N34" s="50">
        <v>0</v>
      </c>
      <c r="O34" s="15">
        <f t="shared" si="0"/>
        <v>60</v>
      </c>
      <c r="P34" s="15">
        <f t="shared" si="1"/>
        <v>106</v>
      </c>
      <c r="R34" s="38" t="s">
        <v>90</v>
      </c>
      <c r="S34" s="39">
        <f t="shared" ref="S34:AF34" si="26">MAX(S10:S12)</f>
        <v>80</v>
      </c>
      <c r="T34" s="39">
        <f t="shared" si="26"/>
        <v>18</v>
      </c>
      <c r="U34" s="39">
        <f t="shared" si="26"/>
        <v>26</v>
      </c>
      <c r="V34" s="39">
        <f t="shared" si="26"/>
        <v>32</v>
      </c>
      <c r="W34" s="39">
        <f t="shared" si="26"/>
        <v>3</v>
      </c>
      <c r="X34" s="39">
        <f t="shared" si="26"/>
        <v>0</v>
      </c>
      <c r="Y34" s="39">
        <f t="shared" si="26"/>
        <v>19</v>
      </c>
      <c r="Z34" s="39">
        <f t="shared" si="26"/>
        <v>2</v>
      </c>
      <c r="AA34" s="39">
        <f t="shared" si="26"/>
        <v>5</v>
      </c>
      <c r="AB34" s="39">
        <f t="shared" si="26"/>
        <v>0</v>
      </c>
      <c r="AC34" s="39">
        <f t="shared" si="26"/>
        <v>289</v>
      </c>
      <c r="AD34" s="39">
        <f t="shared" si="26"/>
        <v>0</v>
      </c>
      <c r="AE34" s="40">
        <f t="shared" si="26"/>
        <v>177</v>
      </c>
      <c r="AF34" s="40">
        <f t="shared" si="26"/>
        <v>440</v>
      </c>
    </row>
    <row r="35" spans="2:32" ht="23.1" customHeight="1" x14ac:dyDescent="0.25">
      <c r="B35" s="46" t="s">
        <v>62</v>
      </c>
      <c r="C35" s="50">
        <v>24</v>
      </c>
      <c r="D35" s="50">
        <v>3</v>
      </c>
      <c r="E35" s="50">
        <v>7</v>
      </c>
      <c r="F35" s="50">
        <v>4</v>
      </c>
      <c r="G35" s="50">
        <v>0</v>
      </c>
      <c r="H35" s="50">
        <v>1</v>
      </c>
      <c r="I35" s="50">
        <v>4</v>
      </c>
      <c r="J35" s="50">
        <v>1</v>
      </c>
      <c r="K35" s="50">
        <v>3</v>
      </c>
      <c r="L35" s="50">
        <v>0</v>
      </c>
      <c r="M35" s="50">
        <v>66</v>
      </c>
      <c r="N35" s="50">
        <v>0</v>
      </c>
      <c r="O35" s="15">
        <f t="shared" si="0"/>
        <v>47</v>
      </c>
      <c r="P35" s="15">
        <f t="shared" si="1"/>
        <v>113</v>
      </c>
      <c r="R35" s="38" t="s">
        <v>91</v>
      </c>
      <c r="S35" s="39">
        <f t="shared" ref="S35:AF35" si="27">MAX(S13:S18)</f>
        <v>107</v>
      </c>
      <c r="T35" s="39">
        <f t="shared" si="27"/>
        <v>18</v>
      </c>
      <c r="U35" s="39">
        <f t="shared" si="27"/>
        <v>24</v>
      </c>
      <c r="V35" s="39">
        <f t="shared" si="27"/>
        <v>26</v>
      </c>
      <c r="W35" s="39">
        <f t="shared" si="27"/>
        <v>2</v>
      </c>
      <c r="X35" s="39">
        <f t="shared" si="27"/>
        <v>2</v>
      </c>
      <c r="Y35" s="39">
        <f t="shared" si="27"/>
        <v>16</v>
      </c>
      <c r="Z35" s="39">
        <f t="shared" si="27"/>
        <v>7</v>
      </c>
      <c r="AA35" s="39">
        <f t="shared" si="27"/>
        <v>3</v>
      </c>
      <c r="AB35" s="39">
        <f t="shared" si="27"/>
        <v>2</v>
      </c>
      <c r="AC35" s="39">
        <f t="shared" si="27"/>
        <v>370</v>
      </c>
      <c r="AD35" s="39">
        <f t="shared" si="27"/>
        <v>0</v>
      </c>
      <c r="AE35" s="40">
        <f t="shared" si="27"/>
        <v>193</v>
      </c>
      <c r="AF35" s="40">
        <f t="shared" si="27"/>
        <v>474</v>
      </c>
    </row>
    <row r="36" spans="2:32" ht="23.1" customHeight="1" x14ac:dyDescent="0.25">
      <c r="B36" s="46" t="s">
        <v>63</v>
      </c>
      <c r="C36" s="50">
        <v>26</v>
      </c>
      <c r="D36" s="50">
        <v>4</v>
      </c>
      <c r="E36" s="50">
        <v>9</v>
      </c>
      <c r="F36" s="50">
        <v>5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47</v>
      </c>
      <c r="P36" s="15">
        <f t="shared" si="1"/>
        <v>107</v>
      </c>
      <c r="R36" s="38" t="s">
        <v>92</v>
      </c>
      <c r="S36" s="39">
        <f t="shared" ref="S36:AF36" si="28">MAX(S19:S21)</f>
        <v>250</v>
      </c>
      <c r="T36" s="39">
        <f t="shared" si="28"/>
        <v>46</v>
      </c>
      <c r="U36" s="39">
        <f t="shared" si="28"/>
        <v>31</v>
      </c>
      <c r="V36" s="39">
        <f t="shared" si="28"/>
        <v>59</v>
      </c>
      <c r="W36" s="39">
        <f t="shared" si="28"/>
        <v>2</v>
      </c>
      <c r="X36" s="39">
        <f t="shared" si="28"/>
        <v>7</v>
      </c>
      <c r="Y36" s="39">
        <f t="shared" si="28"/>
        <v>30</v>
      </c>
      <c r="Z36" s="39">
        <f t="shared" si="28"/>
        <v>5</v>
      </c>
      <c r="AA36" s="39">
        <f t="shared" si="28"/>
        <v>2</v>
      </c>
      <c r="AB36" s="39">
        <f t="shared" si="28"/>
        <v>80</v>
      </c>
      <c r="AC36" s="39">
        <f t="shared" si="28"/>
        <v>355</v>
      </c>
      <c r="AD36" s="39">
        <f t="shared" si="28"/>
        <v>0</v>
      </c>
      <c r="AE36" s="40">
        <f t="shared" si="28"/>
        <v>421</v>
      </c>
      <c r="AF36" s="40">
        <f t="shared" si="28"/>
        <v>776</v>
      </c>
    </row>
    <row r="37" spans="2:32" ht="23.1" customHeight="1" x14ac:dyDescent="0.25">
      <c r="B37" s="45" t="s">
        <v>64</v>
      </c>
      <c r="C37" s="50">
        <v>22</v>
      </c>
      <c r="D37" s="50">
        <v>4</v>
      </c>
      <c r="E37" s="50">
        <v>5</v>
      </c>
      <c r="F37" s="50">
        <v>3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52</v>
      </c>
      <c r="N37" s="50">
        <v>0</v>
      </c>
      <c r="O37" s="15">
        <f t="shared" si="0"/>
        <v>39</v>
      </c>
      <c r="P37" s="15">
        <f t="shared" si="1"/>
        <v>91</v>
      </c>
      <c r="R37" s="37" t="s">
        <v>85</v>
      </c>
      <c r="S37" s="35">
        <f t="shared" ref="S37:AF37" si="29">SUM(S10:S12)</f>
        <v>191</v>
      </c>
      <c r="T37" s="16">
        <f t="shared" si="29"/>
        <v>40</v>
      </c>
      <c r="U37" s="16">
        <f t="shared" si="29"/>
        <v>59</v>
      </c>
      <c r="V37" s="16">
        <f t="shared" si="29"/>
        <v>91</v>
      </c>
      <c r="W37" s="16">
        <f t="shared" si="29"/>
        <v>7</v>
      </c>
      <c r="X37" s="16">
        <f t="shared" si="29"/>
        <v>0</v>
      </c>
      <c r="Y37" s="16">
        <f t="shared" si="29"/>
        <v>45</v>
      </c>
      <c r="Z37" s="16">
        <f t="shared" si="29"/>
        <v>4</v>
      </c>
      <c r="AA37" s="16">
        <f t="shared" si="29"/>
        <v>7</v>
      </c>
      <c r="AB37" s="16">
        <f t="shared" si="29"/>
        <v>0</v>
      </c>
      <c r="AC37" s="16">
        <f t="shared" si="29"/>
        <v>813</v>
      </c>
      <c r="AD37" s="16">
        <f t="shared" si="29"/>
        <v>0</v>
      </c>
      <c r="AE37" s="32">
        <f t="shared" si="29"/>
        <v>444</v>
      </c>
      <c r="AF37" s="32">
        <f t="shared" si="29"/>
        <v>1257</v>
      </c>
    </row>
    <row r="38" spans="2:32" ht="23.1" customHeight="1" x14ac:dyDescent="0.25">
      <c r="B38" s="46" t="s">
        <v>65</v>
      </c>
      <c r="C38" s="50">
        <v>19</v>
      </c>
      <c r="D38" s="50">
        <v>3</v>
      </c>
      <c r="E38" s="50">
        <v>7</v>
      </c>
      <c r="F38" s="50">
        <v>9</v>
      </c>
      <c r="G38" s="50">
        <v>0</v>
      </c>
      <c r="H38" s="50">
        <v>0</v>
      </c>
      <c r="I38" s="50">
        <v>3</v>
      </c>
      <c r="J38" s="50">
        <v>2</v>
      </c>
      <c r="K38" s="50">
        <v>0</v>
      </c>
      <c r="L38" s="50">
        <v>0</v>
      </c>
      <c r="M38" s="50">
        <v>69</v>
      </c>
      <c r="N38" s="50">
        <v>0</v>
      </c>
      <c r="O38" s="15">
        <f t="shared" si="0"/>
        <v>43</v>
      </c>
      <c r="P38" s="15">
        <f t="shared" si="1"/>
        <v>112</v>
      </c>
      <c r="R38" s="28" t="s">
        <v>86</v>
      </c>
      <c r="S38" s="16">
        <f t="shared" ref="S38:AF38" si="30">SUM(S13:S18)</f>
        <v>523</v>
      </c>
      <c r="T38" s="16">
        <f t="shared" si="30"/>
        <v>76</v>
      </c>
      <c r="U38" s="16">
        <f t="shared" si="30"/>
        <v>93</v>
      </c>
      <c r="V38" s="16">
        <f t="shared" si="30"/>
        <v>125</v>
      </c>
      <c r="W38" s="16">
        <f t="shared" si="30"/>
        <v>4</v>
      </c>
      <c r="X38" s="16">
        <f t="shared" si="30"/>
        <v>3</v>
      </c>
      <c r="Y38" s="16">
        <f t="shared" si="30"/>
        <v>70</v>
      </c>
      <c r="Z38" s="16">
        <f t="shared" si="30"/>
        <v>28</v>
      </c>
      <c r="AA38" s="16">
        <f t="shared" si="30"/>
        <v>8</v>
      </c>
      <c r="AB38" s="16">
        <f t="shared" si="30"/>
        <v>3</v>
      </c>
      <c r="AC38" s="16">
        <f t="shared" si="30"/>
        <v>1536</v>
      </c>
      <c r="AD38" s="16">
        <f t="shared" si="30"/>
        <v>0</v>
      </c>
      <c r="AE38" s="32">
        <f t="shared" si="30"/>
        <v>933</v>
      </c>
      <c r="AF38" s="32">
        <f t="shared" si="30"/>
        <v>2469</v>
      </c>
    </row>
    <row r="39" spans="2:32" ht="23.1" customHeight="1" x14ac:dyDescent="0.25">
      <c r="B39" s="46" t="s">
        <v>66</v>
      </c>
      <c r="C39" s="50">
        <v>30</v>
      </c>
      <c r="D39" s="50">
        <v>4</v>
      </c>
      <c r="E39" s="50">
        <v>5</v>
      </c>
      <c r="F39" s="50">
        <v>6</v>
      </c>
      <c r="G39" s="50">
        <v>0</v>
      </c>
      <c r="H39" s="50">
        <v>0</v>
      </c>
      <c r="I39" s="50">
        <v>5</v>
      </c>
      <c r="J39" s="50">
        <v>1</v>
      </c>
      <c r="K39" s="50">
        <v>1</v>
      </c>
      <c r="L39" s="50">
        <v>0</v>
      </c>
      <c r="M39" s="50">
        <v>56</v>
      </c>
      <c r="N39" s="50">
        <v>0</v>
      </c>
      <c r="O39" s="15">
        <f t="shared" si="0"/>
        <v>52</v>
      </c>
      <c r="P39" s="15">
        <f t="shared" si="1"/>
        <v>108</v>
      </c>
      <c r="R39" s="29" t="s">
        <v>87</v>
      </c>
      <c r="S39" s="16">
        <f t="shared" ref="S39:AF39" si="31">SUM(S19:S21)</f>
        <v>565</v>
      </c>
      <c r="T39" s="16">
        <f t="shared" si="31"/>
        <v>115</v>
      </c>
      <c r="U39" s="16">
        <f t="shared" si="31"/>
        <v>77</v>
      </c>
      <c r="V39" s="16">
        <f t="shared" si="31"/>
        <v>115</v>
      </c>
      <c r="W39" s="16">
        <f t="shared" si="31"/>
        <v>4</v>
      </c>
      <c r="X39" s="16">
        <f t="shared" si="31"/>
        <v>7</v>
      </c>
      <c r="Y39" s="16">
        <f t="shared" si="31"/>
        <v>62</v>
      </c>
      <c r="Z39" s="16">
        <f t="shared" si="31"/>
        <v>9</v>
      </c>
      <c r="AA39" s="16">
        <f t="shared" si="31"/>
        <v>5</v>
      </c>
      <c r="AB39" s="16">
        <f t="shared" si="31"/>
        <v>81</v>
      </c>
      <c r="AC39" s="16">
        <f t="shared" si="31"/>
        <v>865</v>
      </c>
      <c r="AD39" s="16">
        <f t="shared" si="31"/>
        <v>0</v>
      </c>
      <c r="AE39" s="32">
        <f t="shared" si="31"/>
        <v>1040</v>
      </c>
      <c r="AF39" s="32">
        <f t="shared" si="31"/>
        <v>1905</v>
      </c>
    </row>
    <row r="40" spans="2:32" ht="23.1" customHeight="1" x14ac:dyDescent="0.25">
      <c r="B40" s="46" t="s">
        <v>67</v>
      </c>
      <c r="C40" s="50">
        <v>17</v>
      </c>
      <c r="D40" s="50">
        <v>0</v>
      </c>
      <c r="E40" s="50">
        <v>3</v>
      </c>
      <c r="F40" s="50">
        <v>4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1</v>
      </c>
      <c r="M40" s="50">
        <v>45</v>
      </c>
      <c r="N40" s="50">
        <v>0</v>
      </c>
      <c r="O40" s="15">
        <f t="shared" si="0"/>
        <v>27</v>
      </c>
      <c r="P40" s="15">
        <f t="shared" si="1"/>
        <v>72</v>
      </c>
      <c r="R40" s="5" t="s">
        <v>17</v>
      </c>
      <c r="S40" s="16">
        <f t="shared" ref="S40:AF40" si="32">SUM(S10:S21)</f>
        <v>1279</v>
      </c>
      <c r="T40" s="16">
        <f t="shared" si="32"/>
        <v>231</v>
      </c>
      <c r="U40" s="16">
        <f t="shared" si="32"/>
        <v>229</v>
      </c>
      <c r="V40" s="16">
        <f t="shared" si="32"/>
        <v>331</v>
      </c>
      <c r="W40" s="16">
        <f t="shared" si="32"/>
        <v>15</v>
      </c>
      <c r="X40" s="16">
        <f t="shared" si="32"/>
        <v>10</v>
      </c>
      <c r="Y40" s="16">
        <f t="shared" si="32"/>
        <v>177</v>
      </c>
      <c r="Z40" s="16">
        <f t="shared" si="32"/>
        <v>41</v>
      </c>
      <c r="AA40" s="16">
        <f t="shared" si="32"/>
        <v>20</v>
      </c>
      <c r="AB40" s="16">
        <f t="shared" si="32"/>
        <v>84</v>
      </c>
      <c r="AC40" s="16">
        <f t="shared" si="32"/>
        <v>3214</v>
      </c>
      <c r="AD40" s="16">
        <f t="shared" si="32"/>
        <v>0</v>
      </c>
      <c r="AE40" s="32">
        <f t="shared" si="32"/>
        <v>2417</v>
      </c>
      <c r="AF40" s="32">
        <f t="shared" si="32"/>
        <v>5631</v>
      </c>
    </row>
    <row r="41" spans="2:32" ht="23.1" customHeight="1" x14ac:dyDescent="0.25">
      <c r="B41" s="45" t="s">
        <v>68</v>
      </c>
      <c r="C41" s="50">
        <v>35</v>
      </c>
      <c r="D41" s="50">
        <v>1</v>
      </c>
      <c r="E41" s="50">
        <v>6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48</v>
      </c>
      <c r="P41" s="15">
        <f t="shared" si="1"/>
        <v>98</v>
      </c>
      <c r="R41" s="5" t="s">
        <v>159</v>
      </c>
      <c r="S41" s="16">
        <f>SUM(S10:S33)</f>
        <v>1882</v>
      </c>
      <c r="T41" s="16">
        <f t="shared" ref="T41:AF41" si="33">SUM(T10:T33)</f>
        <v>292</v>
      </c>
      <c r="U41" s="16">
        <f t="shared" si="33"/>
        <v>273</v>
      </c>
      <c r="V41" s="16">
        <f t="shared" si="33"/>
        <v>533</v>
      </c>
      <c r="W41" s="16">
        <f t="shared" si="33"/>
        <v>26</v>
      </c>
      <c r="X41" s="16">
        <f t="shared" si="33"/>
        <v>14</v>
      </c>
      <c r="Y41" s="16">
        <f t="shared" si="33"/>
        <v>209</v>
      </c>
      <c r="Z41" s="16">
        <f t="shared" si="33"/>
        <v>49</v>
      </c>
      <c r="AA41" s="16">
        <f t="shared" si="33"/>
        <v>27</v>
      </c>
      <c r="AB41" s="16">
        <f t="shared" si="33"/>
        <v>85</v>
      </c>
      <c r="AC41" s="16">
        <f t="shared" si="33"/>
        <v>4192</v>
      </c>
      <c r="AD41" s="16">
        <f t="shared" si="33"/>
        <v>0</v>
      </c>
      <c r="AE41" s="32">
        <f t="shared" si="33"/>
        <v>3390</v>
      </c>
      <c r="AF41" s="32">
        <f t="shared" si="33"/>
        <v>7582</v>
      </c>
    </row>
    <row r="42" spans="2:32" ht="23.1" customHeight="1" x14ac:dyDescent="0.25">
      <c r="B42" s="46" t="s">
        <v>69</v>
      </c>
      <c r="C42" s="50">
        <v>25</v>
      </c>
      <c r="D42" s="50">
        <v>9</v>
      </c>
      <c r="E42" s="50">
        <v>5</v>
      </c>
      <c r="F42" s="50">
        <v>7</v>
      </c>
      <c r="G42" s="50">
        <v>0</v>
      </c>
      <c r="H42" s="50">
        <v>0</v>
      </c>
      <c r="I42" s="50">
        <v>6</v>
      </c>
      <c r="J42" s="50">
        <v>1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53</v>
      </c>
      <c r="P42" s="15">
        <f t="shared" si="1"/>
        <v>108</v>
      </c>
      <c r="R42" s="5" t="s">
        <v>160</v>
      </c>
      <c r="S42" s="48">
        <f>S41/S40</f>
        <v>1.4714620797498046</v>
      </c>
      <c r="T42" s="48">
        <f t="shared" ref="T42:AF42" si="34">T41/T40</f>
        <v>1.2640692640692641</v>
      </c>
      <c r="U42" s="48">
        <f t="shared" si="34"/>
        <v>1.1921397379912664</v>
      </c>
      <c r="V42" s="48">
        <f t="shared" si="34"/>
        <v>1.6102719033232629</v>
      </c>
      <c r="W42" s="48">
        <f t="shared" si="34"/>
        <v>1.7333333333333334</v>
      </c>
      <c r="X42" s="48">
        <f t="shared" si="34"/>
        <v>1.4</v>
      </c>
      <c r="Y42" s="48">
        <f t="shared" si="34"/>
        <v>1.1807909604519775</v>
      </c>
      <c r="Z42" s="48">
        <f t="shared" si="34"/>
        <v>1.1951219512195121</v>
      </c>
      <c r="AA42" s="48">
        <f t="shared" si="34"/>
        <v>1.35</v>
      </c>
      <c r="AB42" s="48">
        <f t="shared" si="34"/>
        <v>1.0119047619047619</v>
      </c>
      <c r="AC42" s="48">
        <f t="shared" si="34"/>
        <v>1.3042937149968885</v>
      </c>
      <c r="AD42" s="48" t="e">
        <f t="shared" si="34"/>
        <v>#DIV/0!</v>
      </c>
      <c r="AE42" s="48">
        <f t="shared" si="34"/>
        <v>1.4025651634257343</v>
      </c>
      <c r="AF42" s="48">
        <f t="shared" si="34"/>
        <v>1.346474871248446</v>
      </c>
    </row>
    <row r="43" spans="2:32" ht="23.1" customHeight="1" x14ac:dyDescent="0.25">
      <c r="B43" s="45" t="s">
        <v>70</v>
      </c>
      <c r="C43" s="50">
        <v>24</v>
      </c>
      <c r="D43" s="50">
        <v>0</v>
      </c>
      <c r="E43" s="50">
        <v>3</v>
      </c>
      <c r="F43" s="50">
        <v>2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0</v>
      </c>
      <c r="M43" s="50">
        <v>49</v>
      </c>
      <c r="N43" s="50">
        <v>0</v>
      </c>
      <c r="O43" s="15">
        <f t="shared" si="0"/>
        <v>33</v>
      </c>
      <c r="P43" s="15">
        <f t="shared" si="1"/>
        <v>82</v>
      </c>
    </row>
    <row r="44" spans="2:32" ht="23.1" customHeight="1" x14ac:dyDescent="0.25">
      <c r="B44" s="47" t="s">
        <v>71</v>
      </c>
      <c r="C44" s="50">
        <v>23</v>
      </c>
      <c r="D44" s="50">
        <v>4</v>
      </c>
      <c r="E44" s="50">
        <v>2</v>
      </c>
      <c r="F44" s="50">
        <v>0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49</v>
      </c>
      <c r="N44" s="50">
        <v>0</v>
      </c>
      <c r="O44" s="15">
        <f t="shared" si="0"/>
        <v>34</v>
      </c>
      <c r="P44" s="15">
        <f t="shared" si="1"/>
        <v>83</v>
      </c>
    </row>
    <row r="45" spans="2:32" ht="23.1" customHeight="1" x14ac:dyDescent="0.25">
      <c r="B45" s="45" t="s">
        <v>72</v>
      </c>
      <c r="C45" s="50">
        <v>22</v>
      </c>
      <c r="D45" s="50">
        <v>3</v>
      </c>
      <c r="E45" s="50">
        <v>4</v>
      </c>
      <c r="F45" s="50">
        <v>6</v>
      </c>
      <c r="G45" s="50">
        <v>0</v>
      </c>
      <c r="H45" s="50">
        <v>1</v>
      </c>
      <c r="I45" s="50">
        <v>3</v>
      </c>
      <c r="J45" s="50">
        <v>1</v>
      </c>
      <c r="K45" s="50">
        <v>0</v>
      </c>
      <c r="L45" s="50"/>
      <c r="M45" s="50">
        <v>52</v>
      </c>
      <c r="N45" s="50">
        <v>0</v>
      </c>
      <c r="O45" s="15">
        <f t="shared" si="0"/>
        <v>40</v>
      </c>
      <c r="P45" s="15">
        <f t="shared" si="1"/>
        <v>92</v>
      </c>
    </row>
    <row r="46" spans="2:32" ht="23.1" customHeight="1" x14ac:dyDescent="0.25">
      <c r="B46" s="46" t="s">
        <v>73</v>
      </c>
      <c r="C46" s="50">
        <v>30</v>
      </c>
      <c r="D46" s="50">
        <v>6</v>
      </c>
      <c r="E46" s="50">
        <v>5</v>
      </c>
      <c r="F46" s="50">
        <v>8</v>
      </c>
      <c r="G46" s="50">
        <v>1</v>
      </c>
      <c r="H46" s="50">
        <v>0</v>
      </c>
      <c r="I46" s="50">
        <v>3</v>
      </c>
      <c r="J46" s="50">
        <v>0</v>
      </c>
      <c r="K46" s="50">
        <v>1</v>
      </c>
      <c r="L46" s="50">
        <v>0</v>
      </c>
      <c r="M46" s="50">
        <v>49</v>
      </c>
      <c r="N46" s="50">
        <v>0</v>
      </c>
      <c r="O46" s="15">
        <f t="shared" si="0"/>
        <v>54</v>
      </c>
      <c r="P46" s="15">
        <f t="shared" si="1"/>
        <v>103</v>
      </c>
      <c r="R46" s="8"/>
      <c r="T46"/>
    </row>
    <row r="47" spans="2:32" ht="23.1" customHeight="1" x14ac:dyDescent="0.25">
      <c r="B47" s="46" t="s">
        <v>74</v>
      </c>
      <c r="C47" s="50">
        <v>39</v>
      </c>
      <c r="D47" s="50">
        <v>4</v>
      </c>
      <c r="E47" s="50">
        <v>6</v>
      </c>
      <c r="F47" s="50">
        <v>10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71</v>
      </c>
      <c r="N47" s="50">
        <v>0</v>
      </c>
      <c r="O47" s="15">
        <f t="shared" si="0"/>
        <v>64</v>
      </c>
      <c r="P47" s="15">
        <f t="shared" si="1"/>
        <v>135</v>
      </c>
      <c r="R47" s="8"/>
      <c r="T47"/>
    </row>
    <row r="48" spans="2:32" ht="23.1" customHeight="1" x14ac:dyDescent="0.25">
      <c r="B48" s="46" t="s">
        <v>75</v>
      </c>
      <c r="C48" s="50">
        <v>35</v>
      </c>
      <c r="D48" s="50">
        <v>5</v>
      </c>
      <c r="E48" s="50">
        <v>3</v>
      </c>
      <c r="F48" s="50">
        <v>7</v>
      </c>
      <c r="G48" s="50">
        <v>1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71</v>
      </c>
      <c r="N48" s="50">
        <v>0</v>
      </c>
      <c r="O48" s="15">
        <f t="shared" si="0"/>
        <v>54</v>
      </c>
      <c r="P48" s="15">
        <f t="shared" si="1"/>
        <v>125</v>
      </c>
      <c r="R48" s="8"/>
      <c r="T48"/>
    </row>
    <row r="49" spans="2:20" ht="23.1" customHeight="1" x14ac:dyDescent="0.25">
      <c r="B49" s="45" t="s">
        <v>76</v>
      </c>
      <c r="C49" s="50">
        <v>11</v>
      </c>
      <c r="D49" s="50">
        <v>12</v>
      </c>
      <c r="E49" s="50">
        <v>1</v>
      </c>
      <c r="F49" s="50">
        <v>0</v>
      </c>
      <c r="G49" s="50">
        <v>0</v>
      </c>
      <c r="H49" s="50">
        <v>7</v>
      </c>
      <c r="I49" s="50">
        <v>0</v>
      </c>
      <c r="J49" s="50">
        <v>2</v>
      </c>
      <c r="K49" s="50">
        <v>0</v>
      </c>
      <c r="L49" s="50">
        <v>80</v>
      </c>
      <c r="M49" s="50">
        <v>0</v>
      </c>
      <c r="N49" s="50">
        <v>0</v>
      </c>
      <c r="O49" s="15">
        <f t="shared" si="0"/>
        <v>113</v>
      </c>
      <c r="P49" s="15">
        <f t="shared" si="1"/>
        <v>113</v>
      </c>
      <c r="R49" s="8"/>
      <c r="T49"/>
    </row>
    <row r="50" spans="2:20" ht="23.1" customHeight="1" x14ac:dyDescent="0.25">
      <c r="B50" s="46" t="s">
        <v>77</v>
      </c>
      <c r="C50" s="50">
        <v>38</v>
      </c>
      <c r="D50" s="50">
        <v>7</v>
      </c>
      <c r="E50" s="50">
        <v>6</v>
      </c>
      <c r="F50" s="50">
        <v>6</v>
      </c>
      <c r="G50" s="50">
        <v>0</v>
      </c>
      <c r="H50" s="50">
        <v>0</v>
      </c>
      <c r="I50" s="50">
        <v>8</v>
      </c>
      <c r="J50" s="50">
        <v>1</v>
      </c>
      <c r="K50" s="50">
        <v>0</v>
      </c>
      <c r="L50" s="50">
        <v>1</v>
      </c>
      <c r="M50" s="50">
        <v>72</v>
      </c>
      <c r="N50" s="50">
        <v>0</v>
      </c>
      <c r="O50" s="15">
        <f t="shared" si="0"/>
        <v>67</v>
      </c>
      <c r="P50" s="15">
        <f t="shared" si="1"/>
        <v>139</v>
      </c>
      <c r="R50" s="8"/>
      <c r="T50"/>
    </row>
    <row r="51" spans="2:20" ht="23.1" customHeight="1" x14ac:dyDescent="0.25">
      <c r="B51" s="46" t="s">
        <v>78</v>
      </c>
      <c r="C51" s="50">
        <v>33</v>
      </c>
      <c r="D51" s="50">
        <v>7</v>
      </c>
      <c r="E51" s="50">
        <v>1</v>
      </c>
      <c r="F51" s="50">
        <v>5</v>
      </c>
      <c r="G51" s="50">
        <v>1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53</v>
      </c>
      <c r="N51" s="50">
        <v>0</v>
      </c>
      <c r="O51" s="15">
        <f t="shared" si="0"/>
        <v>51</v>
      </c>
      <c r="P51" s="15">
        <f t="shared" si="1"/>
        <v>104</v>
      </c>
      <c r="R51" s="8"/>
      <c r="T51"/>
    </row>
    <row r="52" spans="2:20" ht="23.1" customHeight="1" x14ac:dyDescent="0.25">
      <c r="B52" s="46" t="s">
        <v>79</v>
      </c>
      <c r="C52" s="50">
        <v>65</v>
      </c>
      <c r="D52" s="50">
        <v>16</v>
      </c>
      <c r="E52" s="50">
        <v>13</v>
      </c>
      <c r="F52" s="50">
        <v>19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94</v>
      </c>
      <c r="N52" s="50">
        <v>0</v>
      </c>
      <c r="O52" s="15">
        <f t="shared" si="0"/>
        <v>118</v>
      </c>
      <c r="P52" s="15">
        <f t="shared" si="1"/>
        <v>212</v>
      </c>
      <c r="R52" s="8"/>
      <c r="T52"/>
    </row>
    <row r="53" spans="2:20" ht="23.1" customHeight="1" x14ac:dyDescent="0.25">
      <c r="B53" s="45" t="s">
        <v>80</v>
      </c>
      <c r="C53" s="50">
        <v>64</v>
      </c>
      <c r="D53" s="50">
        <v>12</v>
      </c>
      <c r="E53" s="50">
        <v>11</v>
      </c>
      <c r="F53" s="50">
        <v>1</v>
      </c>
      <c r="G53" s="50">
        <v>0</v>
      </c>
      <c r="H53" s="50">
        <v>0</v>
      </c>
      <c r="I53" s="50">
        <v>6</v>
      </c>
      <c r="J53" s="50">
        <v>3</v>
      </c>
      <c r="K53" s="50">
        <v>1</v>
      </c>
      <c r="L53" s="50">
        <v>0</v>
      </c>
      <c r="M53" s="50">
        <v>100</v>
      </c>
      <c r="N53" s="50">
        <v>0</v>
      </c>
      <c r="O53" s="15">
        <f t="shared" si="0"/>
        <v>98</v>
      </c>
      <c r="P53" s="15">
        <f t="shared" si="1"/>
        <v>198</v>
      </c>
      <c r="R53" s="8"/>
      <c r="T53"/>
    </row>
    <row r="54" spans="2:20" ht="23.1" customHeight="1" x14ac:dyDescent="0.25">
      <c r="B54" s="45" t="s">
        <v>81</v>
      </c>
      <c r="C54" s="50">
        <v>74</v>
      </c>
      <c r="D54" s="50">
        <v>11</v>
      </c>
      <c r="E54" s="50">
        <v>13</v>
      </c>
      <c r="F54" s="50">
        <v>4</v>
      </c>
      <c r="G54" s="50">
        <v>0</v>
      </c>
      <c r="H54" s="50">
        <v>0</v>
      </c>
      <c r="I54" s="50">
        <v>10</v>
      </c>
      <c r="J54" s="50">
        <v>0</v>
      </c>
      <c r="K54" s="50">
        <v>0</v>
      </c>
      <c r="L54" s="50">
        <v>0</v>
      </c>
      <c r="M54" s="50">
        <v>112</v>
      </c>
      <c r="N54" s="50">
        <v>0</v>
      </c>
      <c r="O54" s="15">
        <f t="shared" si="0"/>
        <v>112</v>
      </c>
      <c r="P54" s="15">
        <f t="shared" si="1"/>
        <v>224</v>
      </c>
      <c r="R54" s="8"/>
      <c r="T54"/>
    </row>
    <row r="55" spans="2:20" ht="23.1" customHeight="1" x14ac:dyDescent="0.25">
      <c r="B55" s="45" t="s">
        <v>82</v>
      </c>
      <c r="C55" s="50">
        <v>56</v>
      </c>
      <c r="D55" s="50">
        <v>4</v>
      </c>
      <c r="E55" s="50">
        <v>7</v>
      </c>
      <c r="F55" s="50">
        <v>13</v>
      </c>
      <c r="G55" s="50">
        <v>0</v>
      </c>
      <c r="H55" s="50">
        <v>0</v>
      </c>
      <c r="I55" s="50">
        <v>3</v>
      </c>
      <c r="J55" s="50">
        <v>0</v>
      </c>
      <c r="K55" s="50">
        <v>2</v>
      </c>
      <c r="L55" s="50">
        <v>0</v>
      </c>
      <c r="M55" s="50">
        <v>78</v>
      </c>
      <c r="N55" s="50">
        <v>0</v>
      </c>
      <c r="O55" s="15">
        <f t="shared" si="0"/>
        <v>85</v>
      </c>
      <c r="P55" s="15">
        <f t="shared" si="1"/>
        <v>163</v>
      </c>
      <c r="R55" s="8"/>
      <c r="T55"/>
    </row>
    <row r="56" spans="2:20" ht="23.1" customHeight="1" x14ac:dyDescent="0.25">
      <c r="B56" s="45" t="s">
        <v>83</v>
      </c>
      <c r="C56" s="50">
        <v>60</v>
      </c>
      <c r="D56" s="50">
        <v>15</v>
      </c>
      <c r="E56" s="50">
        <v>7</v>
      </c>
      <c r="F56" s="50">
        <v>19</v>
      </c>
      <c r="G56" s="50">
        <v>1</v>
      </c>
      <c r="H56" s="50">
        <v>0</v>
      </c>
      <c r="I56" s="50">
        <v>10</v>
      </c>
      <c r="J56" s="50">
        <v>0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112</v>
      </c>
      <c r="P56" s="15">
        <f t="shared" si="1"/>
        <v>187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16</v>
      </c>
      <c r="E57" s="50">
        <v>4</v>
      </c>
      <c r="F57" s="50">
        <v>23</v>
      </c>
      <c r="G57" s="50">
        <v>0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112</v>
      </c>
      <c r="P57" s="15">
        <f t="shared" si="1"/>
        <v>202</v>
      </c>
      <c r="R57" s="8"/>
      <c r="T57"/>
    </row>
    <row r="58" spans="2:20" ht="23.1" customHeight="1" x14ac:dyDescent="0.25">
      <c r="B58" s="45" t="s">
        <v>99</v>
      </c>
      <c r="C58" s="50">
        <v>52</v>
      </c>
      <c r="D58" s="50">
        <v>7</v>
      </c>
      <c r="E58" s="50">
        <v>6</v>
      </c>
      <c r="F58" s="50">
        <v>19</v>
      </c>
      <c r="G58" s="50">
        <v>1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71</v>
      </c>
      <c r="N58" s="50">
        <v>0</v>
      </c>
      <c r="O58" s="15">
        <f t="shared" si="0"/>
        <v>88</v>
      </c>
      <c r="P58" s="15">
        <f t="shared" si="1"/>
        <v>159</v>
      </c>
      <c r="R58" s="8"/>
      <c r="T58"/>
    </row>
    <row r="59" spans="2:20" ht="23.1" customHeight="1" x14ac:dyDescent="0.25">
      <c r="B59" s="45" t="s">
        <v>100</v>
      </c>
      <c r="C59" s="50">
        <v>55</v>
      </c>
      <c r="D59" s="50">
        <v>3</v>
      </c>
      <c r="E59" s="50">
        <v>1</v>
      </c>
      <c r="F59" s="50">
        <v>25</v>
      </c>
      <c r="G59" s="50">
        <v>1</v>
      </c>
      <c r="H59" s="50">
        <v>0</v>
      </c>
      <c r="I59" s="50">
        <v>5</v>
      </c>
      <c r="J59" s="50">
        <v>2</v>
      </c>
      <c r="K59" s="50">
        <v>5</v>
      </c>
      <c r="L59" s="50">
        <v>0</v>
      </c>
      <c r="M59" s="50">
        <v>60</v>
      </c>
      <c r="N59" s="50">
        <v>0</v>
      </c>
      <c r="O59" s="15">
        <f t="shared" si="0"/>
        <v>97</v>
      </c>
      <c r="P59" s="15">
        <f t="shared" si="1"/>
        <v>157</v>
      </c>
      <c r="R59" s="8"/>
      <c r="T59"/>
    </row>
    <row r="60" spans="2:20" ht="23.1" customHeight="1" x14ac:dyDescent="0.25">
      <c r="B60" s="45" t="s">
        <v>101</v>
      </c>
      <c r="C60" s="50">
        <v>40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65</v>
      </c>
      <c r="N60" s="50">
        <v>0</v>
      </c>
      <c r="O60" s="15">
        <f t="shared" si="0"/>
        <v>42</v>
      </c>
      <c r="P60" s="15">
        <f t="shared" si="1"/>
        <v>107</v>
      </c>
      <c r="R60" s="8"/>
      <c r="T60"/>
    </row>
    <row r="61" spans="2:20" ht="23.1" customHeight="1" x14ac:dyDescent="0.25">
      <c r="B61" s="45" t="s">
        <v>102</v>
      </c>
      <c r="C61" s="50">
        <v>60</v>
      </c>
      <c r="D61" s="50">
        <v>13</v>
      </c>
      <c r="E61" s="50">
        <v>1</v>
      </c>
      <c r="F61" s="50">
        <v>3</v>
      </c>
      <c r="G61" s="50">
        <v>1</v>
      </c>
      <c r="H61" s="50">
        <v>3</v>
      </c>
      <c r="I61" s="50">
        <v>4</v>
      </c>
      <c r="J61" s="50">
        <v>0</v>
      </c>
      <c r="K61" s="50">
        <v>0</v>
      </c>
      <c r="L61" s="50">
        <v>0</v>
      </c>
      <c r="M61" s="50">
        <v>85</v>
      </c>
      <c r="N61" s="50">
        <v>0</v>
      </c>
      <c r="O61" s="15">
        <f t="shared" si="0"/>
        <v>85</v>
      </c>
      <c r="P61" s="15">
        <f t="shared" si="1"/>
        <v>170</v>
      </c>
      <c r="R61" s="8"/>
      <c r="T61"/>
    </row>
    <row r="62" spans="2:20" ht="23.1" customHeight="1" x14ac:dyDescent="0.25">
      <c r="B62" s="45" t="s">
        <v>107</v>
      </c>
      <c r="C62" s="50">
        <v>51</v>
      </c>
      <c r="D62" s="50">
        <v>1</v>
      </c>
      <c r="E62" s="50">
        <v>2</v>
      </c>
      <c r="F62" s="50">
        <v>36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85</v>
      </c>
      <c r="N62" s="50">
        <v>0</v>
      </c>
      <c r="O62" s="15">
        <f t="shared" si="0"/>
        <v>93</v>
      </c>
      <c r="P62" s="15">
        <f t="shared" si="1"/>
        <v>178</v>
      </c>
      <c r="R62" s="8"/>
      <c r="T62"/>
    </row>
    <row r="63" spans="2:20" ht="23.1" customHeight="1" x14ac:dyDescent="0.25">
      <c r="B63" s="45" t="s">
        <v>108</v>
      </c>
      <c r="C63" s="50">
        <v>40</v>
      </c>
      <c r="D63" s="50">
        <v>4</v>
      </c>
      <c r="E63" s="50">
        <v>5</v>
      </c>
      <c r="F63" s="50">
        <v>21</v>
      </c>
      <c r="G63" s="50">
        <v>1</v>
      </c>
      <c r="H63" s="50">
        <v>0</v>
      </c>
      <c r="I63" s="50">
        <v>6</v>
      </c>
      <c r="J63" s="50">
        <v>0</v>
      </c>
      <c r="K63" s="50">
        <v>0</v>
      </c>
      <c r="L63" s="50">
        <v>0</v>
      </c>
      <c r="M63" s="50">
        <v>71</v>
      </c>
      <c r="N63" s="50">
        <v>0</v>
      </c>
      <c r="O63" s="15">
        <f t="shared" si="0"/>
        <v>77</v>
      </c>
      <c r="P63" s="15">
        <f t="shared" si="1"/>
        <v>148</v>
      </c>
      <c r="R63" s="8"/>
      <c r="T63"/>
    </row>
    <row r="64" spans="2:20" ht="23.1" customHeight="1" x14ac:dyDescent="0.25">
      <c r="B64" s="45" t="s">
        <v>109</v>
      </c>
      <c r="C64" s="50">
        <v>24</v>
      </c>
      <c r="D64" s="50">
        <v>3</v>
      </c>
      <c r="E64" s="50">
        <v>2</v>
      </c>
      <c r="F64" s="50">
        <v>20</v>
      </c>
      <c r="G64" s="50">
        <v>1</v>
      </c>
      <c r="H64" s="50">
        <v>1</v>
      </c>
      <c r="I64" s="50">
        <v>2</v>
      </c>
      <c r="J64" s="50">
        <v>0</v>
      </c>
      <c r="K64" s="50">
        <v>0</v>
      </c>
      <c r="L64" s="50">
        <v>0</v>
      </c>
      <c r="M64" s="50">
        <v>59</v>
      </c>
      <c r="N64" s="50">
        <v>0</v>
      </c>
      <c r="O64" s="15">
        <f t="shared" si="0"/>
        <v>53</v>
      </c>
      <c r="P64" s="15">
        <f t="shared" si="1"/>
        <v>112</v>
      </c>
      <c r="R64" s="8"/>
      <c r="T64"/>
    </row>
    <row r="65" spans="2:20" ht="23.1" customHeight="1" x14ac:dyDescent="0.25">
      <c r="B65" s="45" t="s">
        <v>158</v>
      </c>
      <c r="C65" s="50">
        <v>35</v>
      </c>
      <c r="D65" s="50">
        <v>2</v>
      </c>
      <c r="E65" s="50">
        <v>3</v>
      </c>
      <c r="F65" s="50">
        <v>5</v>
      </c>
      <c r="G65" s="50">
        <v>2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35</v>
      </c>
      <c r="N65" s="50">
        <v>0</v>
      </c>
      <c r="O65" s="15">
        <f t="shared" si="0"/>
        <v>48</v>
      </c>
      <c r="P65" s="15">
        <f t="shared" si="1"/>
        <v>83</v>
      </c>
      <c r="R65" s="8"/>
      <c r="T65"/>
    </row>
    <row r="66" spans="2:20" ht="23.1" customHeight="1" x14ac:dyDescent="0.25">
      <c r="B66" s="45" t="s">
        <v>103</v>
      </c>
      <c r="C66" s="50">
        <v>30</v>
      </c>
      <c r="D66" s="50">
        <v>4</v>
      </c>
      <c r="E66" s="50">
        <v>5</v>
      </c>
      <c r="F66" s="50">
        <v>22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60</v>
      </c>
      <c r="N66" s="50">
        <v>0</v>
      </c>
      <c r="O66" s="15">
        <f t="shared" si="0"/>
        <v>63</v>
      </c>
      <c r="P66" s="15">
        <f t="shared" si="1"/>
        <v>123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1</v>
      </c>
      <c r="E67" s="50">
        <v>0</v>
      </c>
      <c r="F67" s="50">
        <v>10</v>
      </c>
      <c r="G67" s="50">
        <v>1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40</v>
      </c>
      <c r="N67" s="50">
        <v>0</v>
      </c>
      <c r="O67" s="15">
        <f t="shared" si="0"/>
        <v>42</v>
      </c>
      <c r="P67" s="15">
        <f t="shared" si="1"/>
        <v>82</v>
      </c>
      <c r="R67" s="8"/>
      <c r="T67"/>
    </row>
    <row r="68" spans="2:20" ht="23.1" customHeight="1" x14ac:dyDescent="0.25">
      <c r="B68" s="45" t="s">
        <v>105</v>
      </c>
      <c r="C68" s="50">
        <v>30</v>
      </c>
      <c r="D68" s="50">
        <v>1</v>
      </c>
      <c r="E68" s="50">
        <v>3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35</v>
      </c>
      <c r="N68" s="50">
        <v>0</v>
      </c>
      <c r="O68" s="15">
        <f t="shared" si="0"/>
        <v>35</v>
      </c>
      <c r="P68" s="15">
        <f t="shared" si="1"/>
        <v>70</v>
      </c>
      <c r="R68" s="8"/>
      <c r="T68"/>
    </row>
    <row r="69" spans="2:20" ht="23.1" customHeight="1" x14ac:dyDescent="0.25">
      <c r="B69" s="45" t="s">
        <v>106</v>
      </c>
      <c r="C69" s="50">
        <v>12</v>
      </c>
      <c r="D69" s="50">
        <v>3</v>
      </c>
      <c r="E69" s="50">
        <v>2</v>
      </c>
      <c r="F69" s="50">
        <v>9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34</v>
      </c>
      <c r="N69" s="50">
        <v>0</v>
      </c>
      <c r="O69" s="15">
        <f t="shared" si="0"/>
        <v>26</v>
      </c>
      <c r="P69" s="15">
        <f t="shared" si="1"/>
        <v>60</v>
      </c>
      <c r="R69" s="8"/>
      <c r="T69"/>
    </row>
    <row r="70" spans="2:20" ht="23.1" customHeight="1" x14ac:dyDescent="0.25">
      <c r="B70" s="45" t="s">
        <v>110</v>
      </c>
      <c r="C70" s="50">
        <v>19</v>
      </c>
      <c r="D70" s="50">
        <v>0</v>
      </c>
      <c r="E70" s="50">
        <v>0</v>
      </c>
      <c r="F70" s="50">
        <v>2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17</v>
      </c>
      <c r="N70" s="50">
        <v>0</v>
      </c>
      <c r="O70" s="15">
        <f t="shared" si="0"/>
        <v>21</v>
      </c>
      <c r="P70" s="15">
        <f t="shared" si="1"/>
        <v>38</v>
      </c>
      <c r="R70" s="8"/>
      <c r="T70"/>
    </row>
    <row r="71" spans="2:20" ht="23.1" customHeight="1" x14ac:dyDescent="0.25">
      <c r="B71" s="45" t="s">
        <v>111</v>
      </c>
      <c r="C71" s="50">
        <v>12</v>
      </c>
      <c r="D71" s="50">
        <v>2</v>
      </c>
      <c r="E71" s="50">
        <v>1</v>
      </c>
      <c r="F71" s="50">
        <v>3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20</v>
      </c>
      <c r="N71" s="50">
        <v>0</v>
      </c>
      <c r="O71" s="15">
        <f t="shared" si="0"/>
        <v>18</v>
      </c>
      <c r="P71" s="15">
        <f t="shared" si="1"/>
        <v>38</v>
      </c>
      <c r="R71" s="8"/>
      <c r="T71"/>
    </row>
    <row r="72" spans="2:20" ht="23.1" customHeight="1" x14ac:dyDescent="0.25">
      <c r="B72" s="45" t="s">
        <v>112</v>
      </c>
      <c r="C72" s="50">
        <v>11</v>
      </c>
      <c r="D72" s="50">
        <v>4</v>
      </c>
      <c r="E72" s="50">
        <v>3</v>
      </c>
      <c r="F72" s="50">
        <v>4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22</v>
      </c>
      <c r="N72" s="50">
        <v>0</v>
      </c>
      <c r="O72" s="15">
        <f t="shared" si="0"/>
        <v>23</v>
      </c>
      <c r="P72" s="15">
        <f t="shared" si="1"/>
        <v>45</v>
      </c>
      <c r="R72" s="8"/>
      <c r="T72"/>
    </row>
    <row r="73" spans="2:20" ht="23.1" customHeight="1" x14ac:dyDescent="0.25">
      <c r="B73" s="45" t="s">
        <v>113</v>
      </c>
      <c r="C73" s="50">
        <v>9</v>
      </c>
      <c r="D73" s="50">
        <v>1</v>
      </c>
      <c r="E73" s="50">
        <v>2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10</v>
      </c>
      <c r="N73" s="50">
        <v>0</v>
      </c>
      <c r="O73" s="15">
        <f t="shared" si="0"/>
        <v>13</v>
      </c>
      <c r="P73" s="15">
        <f t="shared" si="1"/>
        <v>23</v>
      </c>
      <c r="R73" s="8"/>
      <c r="T73"/>
    </row>
    <row r="74" spans="2:20" ht="23.1" customHeight="1" x14ac:dyDescent="0.25">
      <c r="B74" s="45" t="s">
        <v>114</v>
      </c>
      <c r="C74" s="50">
        <v>9</v>
      </c>
      <c r="D74" s="50">
        <v>2</v>
      </c>
      <c r="E74" s="50">
        <v>2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20</v>
      </c>
      <c r="N74" s="50">
        <v>0</v>
      </c>
      <c r="O74" s="15">
        <f t="shared" ref="O74:O105" si="35">SUM(C74:L74,N74)</f>
        <v>15</v>
      </c>
      <c r="P74" s="15">
        <f t="shared" ref="P74:P105" si="36">SUM(C74:N74)</f>
        <v>35</v>
      </c>
      <c r="R74" s="8"/>
      <c r="T74"/>
    </row>
    <row r="75" spans="2:20" ht="23.1" customHeight="1" x14ac:dyDescent="0.25">
      <c r="B75" s="45" t="s">
        <v>115</v>
      </c>
      <c r="C75" s="50">
        <v>9</v>
      </c>
      <c r="D75" s="50">
        <v>1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1</v>
      </c>
      <c r="L75" s="50">
        <v>0</v>
      </c>
      <c r="M75" s="50">
        <v>14</v>
      </c>
      <c r="N75" s="50">
        <v>0</v>
      </c>
      <c r="O75" s="15">
        <f t="shared" si="35"/>
        <v>13</v>
      </c>
      <c r="P75" s="15">
        <f t="shared" si="36"/>
        <v>27</v>
      </c>
      <c r="R75" s="8"/>
      <c r="T75"/>
    </row>
    <row r="76" spans="2:20" ht="23.1" customHeight="1" x14ac:dyDescent="0.25">
      <c r="B76" s="45" t="s">
        <v>116</v>
      </c>
      <c r="C76" s="50">
        <v>4</v>
      </c>
      <c r="D76" s="50">
        <v>1</v>
      </c>
      <c r="E76" s="50">
        <v>1</v>
      </c>
      <c r="F76" s="50">
        <v>1</v>
      </c>
      <c r="G76" s="50">
        <v>0</v>
      </c>
      <c r="H76" s="50">
        <v>0</v>
      </c>
      <c r="I76" s="50">
        <v>0</v>
      </c>
      <c r="J76" s="50">
        <v>0</v>
      </c>
      <c r="K76" s="50">
        <v>1</v>
      </c>
      <c r="L76" s="50">
        <v>0</v>
      </c>
      <c r="M76" s="50">
        <v>9</v>
      </c>
      <c r="N76" s="50">
        <v>0</v>
      </c>
      <c r="O76" s="15">
        <f t="shared" si="35"/>
        <v>8</v>
      </c>
      <c r="P76" s="15">
        <f t="shared" si="36"/>
        <v>17</v>
      </c>
      <c r="R76" s="8"/>
      <c r="T76"/>
    </row>
    <row r="77" spans="2:20" ht="23.1" customHeight="1" x14ac:dyDescent="0.25">
      <c r="B77" s="45" t="s">
        <v>117</v>
      </c>
      <c r="C77" s="50">
        <v>6</v>
      </c>
      <c r="D77" s="50">
        <v>2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14</v>
      </c>
      <c r="N77" s="50">
        <v>0</v>
      </c>
      <c r="O77" s="15">
        <f t="shared" si="35"/>
        <v>8</v>
      </c>
      <c r="P77" s="15">
        <f t="shared" si="36"/>
        <v>22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8</v>
      </c>
      <c r="N78" s="50">
        <v>0</v>
      </c>
      <c r="O78" s="15">
        <f t="shared" si="35"/>
        <v>4</v>
      </c>
      <c r="P78" s="15">
        <f t="shared" si="36"/>
        <v>12</v>
      </c>
      <c r="R78" s="8"/>
      <c r="T78"/>
    </row>
    <row r="79" spans="2:20" ht="23.1" customHeight="1" x14ac:dyDescent="0.25">
      <c r="B79" s="45" t="s">
        <v>119</v>
      </c>
      <c r="C79" s="50">
        <v>6</v>
      </c>
      <c r="D79" s="50">
        <v>0</v>
      </c>
      <c r="E79" s="50">
        <v>1</v>
      </c>
      <c r="F79" s="50">
        <v>2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12</v>
      </c>
      <c r="N79" s="50">
        <v>0</v>
      </c>
      <c r="O79" s="15">
        <f t="shared" si="35"/>
        <v>9</v>
      </c>
      <c r="P79" s="15">
        <f t="shared" si="36"/>
        <v>21</v>
      </c>
      <c r="R79" s="8"/>
      <c r="T79"/>
    </row>
    <row r="80" spans="2:20" ht="23.1" customHeight="1" x14ac:dyDescent="0.25">
      <c r="B80" s="47" t="s">
        <v>120</v>
      </c>
      <c r="C80" s="50">
        <v>8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7</v>
      </c>
      <c r="N80" s="50">
        <v>0</v>
      </c>
      <c r="O80" s="15">
        <f t="shared" si="35"/>
        <v>10</v>
      </c>
      <c r="P80" s="15">
        <f t="shared" si="36"/>
        <v>17</v>
      </c>
      <c r="R80" s="8"/>
      <c r="T80"/>
    </row>
    <row r="81" spans="2:20" ht="23.1" customHeight="1" x14ac:dyDescent="0.25">
      <c r="B81" s="45" t="s">
        <v>121</v>
      </c>
      <c r="C81" s="50">
        <v>7</v>
      </c>
      <c r="D81" s="50">
        <v>0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17</v>
      </c>
      <c r="N81" s="50">
        <v>0</v>
      </c>
      <c r="O81" s="15">
        <f t="shared" si="35"/>
        <v>8</v>
      </c>
      <c r="P81" s="15">
        <f t="shared" si="36"/>
        <v>25</v>
      </c>
      <c r="R81" s="8"/>
      <c r="T81"/>
    </row>
    <row r="82" spans="2:20" ht="23.1" customHeight="1" x14ac:dyDescent="0.25">
      <c r="B82" s="46" t="s">
        <v>122</v>
      </c>
      <c r="C82" s="50">
        <v>6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8</v>
      </c>
      <c r="N82" s="50">
        <v>0</v>
      </c>
      <c r="O82" s="15">
        <f t="shared" si="35"/>
        <v>7</v>
      </c>
      <c r="P82" s="15">
        <f t="shared" si="36"/>
        <v>15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6</v>
      </c>
      <c r="N83" s="50">
        <v>0</v>
      </c>
      <c r="O83" s="15">
        <f t="shared" si="35"/>
        <v>1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2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6</v>
      </c>
      <c r="N85" s="50">
        <v>0</v>
      </c>
      <c r="O85" s="15">
        <f t="shared" si="35"/>
        <v>3</v>
      </c>
      <c r="P85" s="15">
        <f t="shared" si="36"/>
        <v>9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5">
        <f t="shared" si="35"/>
        <v>2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0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2</v>
      </c>
      <c r="P88" s="15">
        <f t="shared" si="36"/>
        <v>6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0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1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1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2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</v>
      </c>
      <c r="N93" s="50">
        <v>0</v>
      </c>
      <c r="O93" s="15">
        <f t="shared" si="35"/>
        <v>2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1</v>
      </c>
      <c r="M94" s="50">
        <v>2</v>
      </c>
      <c r="N94" s="50">
        <v>0</v>
      </c>
      <c r="O94" s="15">
        <f t="shared" si="35"/>
        <v>2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2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1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5">
        <f t="shared" si="35"/>
        <v>1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1</v>
      </c>
      <c r="E98" s="50">
        <v>0</v>
      </c>
      <c r="F98" s="50">
        <v>2</v>
      </c>
      <c r="G98" s="50">
        <v>1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5</v>
      </c>
      <c r="P98" s="15">
        <f t="shared" si="36"/>
        <v>9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5">
        <f t="shared" si="35"/>
        <v>6</v>
      </c>
      <c r="P99" s="15">
        <f t="shared" si="36"/>
        <v>10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10</v>
      </c>
      <c r="N100" s="50">
        <v>0</v>
      </c>
      <c r="O100" s="15">
        <f t="shared" si="35"/>
        <v>5</v>
      </c>
      <c r="P100" s="15">
        <f t="shared" si="36"/>
        <v>15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3</v>
      </c>
      <c r="G101" s="50">
        <v>0</v>
      </c>
      <c r="H101" s="50">
        <v>0</v>
      </c>
      <c r="I101" s="50">
        <v>0</v>
      </c>
      <c r="J101" s="50">
        <v>2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6</v>
      </c>
      <c r="P101" s="15">
        <f t="shared" si="36"/>
        <v>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2</v>
      </c>
      <c r="E102" s="50">
        <v>0</v>
      </c>
      <c r="F102" s="50">
        <v>3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10</v>
      </c>
      <c r="P102" s="15">
        <f t="shared" si="36"/>
        <v>16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2</v>
      </c>
      <c r="E103" s="50">
        <v>0</v>
      </c>
      <c r="F103" s="50">
        <v>0</v>
      </c>
      <c r="G103" s="50">
        <v>1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15</v>
      </c>
      <c r="N103" s="50">
        <v>0</v>
      </c>
      <c r="O103" s="15">
        <f t="shared" si="35"/>
        <v>4</v>
      </c>
      <c r="P103" s="15">
        <f t="shared" si="36"/>
        <v>19</v>
      </c>
      <c r="R103" s="8"/>
      <c r="T103"/>
    </row>
    <row r="104" spans="2:20" ht="23.1" customHeight="1" x14ac:dyDescent="0.25">
      <c r="B104" s="47" t="s">
        <v>144</v>
      </c>
      <c r="C104" s="50">
        <v>4</v>
      </c>
      <c r="D104" s="50">
        <v>0</v>
      </c>
      <c r="E104" s="50">
        <v>1</v>
      </c>
      <c r="F104" s="50">
        <v>2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3</v>
      </c>
      <c r="N104" s="50">
        <v>0</v>
      </c>
      <c r="O104" s="15">
        <f t="shared" si="35"/>
        <v>8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3</v>
      </c>
      <c r="N105" s="50">
        <v>0</v>
      </c>
      <c r="O105" s="15">
        <f t="shared" si="35"/>
        <v>1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1882</v>
      </c>
      <c r="D106" s="16">
        <f t="shared" ref="D106:P106" si="37">SUM(D10:D105)</f>
        <v>292</v>
      </c>
      <c r="E106" s="16">
        <f t="shared" si="37"/>
        <v>273</v>
      </c>
      <c r="F106" s="16">
        <f t="shared" si="37"/>
        <v>533</v>
      </c>
      <c r="G106" s="16">
        <f t="shared" si="37"/>
        <v>26</v>
      </c>
      <c r="H106" s="16">
        <f t="shared" si="37"/>
        <v>14</v>
      </c>
      <c r="I106" s="16">
        <f t="shared" si="37"/>
        <v>209</v>
      </c>
      <c r="J106" s="16">
        <f t="shared" si="37"/>
        <v>49</v>
      </c>
      <c r="K106" s="16">
        <f t="shared" si="37"/>
        <v>27</v>
      </c>
      <c r="L106" s="16">
        <f t="shared" si="37"/>
        <v>85</v>
      </c>
      <c r="M106" s="16">
        <f t="shared" si="37"/>
        <v>4192</v>
      </c>
      <c r="N106" s="16">
        <f t="shared" si="37"/>
        <v>0</v>
      </c>
      <c r="O106" s="16">
        <f t="shared" si="37"/>
        <v>3390</v>
      </c>
      <c r="P106" s="16">
        <f t="shared" si="37"/>
        <v>7582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0.24821946715906093</v>
      </c>
      <c r="D107" s="43">
        <f t="shared" si="38"/>
        <v>3.8512265892904247E-2</v>
      </c>
      <c r="E107" s="43">
        <f t="shared" si="38"/>
        <v>3.6006330783434452E-2</v>
      </c>
      <c r="F107" s="43">
        <f t="shared" si="38"/>
        <v>7.029807438670535E-2</v>
      </c>
      <c r="G107" s="43">
        <f t="shared" si="38"/>
        <v>3.4291743603270903E-3</v>
      </c>
      <c r="H107" s="43">
        <f t="shared" si="38"/>
        <v>1.8464785017145871E-3</v>
      </c>
      <c r="I107" s="43">
        <f t="shared" si="38"/>
        <v>2.7565286204167767E-2</v>
      </c>
      <c r="J107" s="43">
        <f t="shared" si="38"/>
        <v>6.462674756001055E-3</v>
      </c>
      <c r="K107" s="43">
        <f t="shared" si="38"/>
        <v>3.5610656818781325E-3</v>
      </c>
      <c r="L107" s="43">
        <f t="shared" si="38"/>
        <v>1.1210762331838564E-2</v>
      </c>
      <c r="M107" s="43">
        <f t="shared" si="38"/>
        <v>0.5528884199419678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0.55516224188790564</v>
      </c>
      <c r="D108" s="44">
        <f t="shared" ref="D108:N108" si="39">D106/$O$106</f>
        <v>8.6135693215339232E-2</v>
      </c>
      <c r="E108" s="44">
        <f t="shared" si="39"/>
        <v>8.0530973451327439E-2</v>
      </c>
      <c r="F108" s="44">
        <f t="shared" si="39"/>
        <v>0.15722713864306784</v>
      </c>
      <c r="G108" s="44">
        <f t="shared" si="39"/>
        <v>7.6696165191740412E-3</v>
      </c>
      <c r="H108" s="44">
        <f t="shared" si="39"/>
        <v>4.1297935103244837E-3</v>
      </c>
      <c r="I108" s="44">
        <f t="shared" si="39"/>
        <v>6.1651917404129793E-2</v>
      </c>
      <c r="J108" s="44">
        <f t="shared" si="39"/>
        <v>1.4454277286135693E-2</v>
      </c>
      <c r="K108" s="44">
        <f t="shared" si="39"/>
        <v>7.9646017699115043E-3</v>
      </c>
      <c r="L108" s="44">
        <f t="shared" si="39"/>
        <v>2.5073746312684365E-2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3" t="str">
        <f>'29.07 NSOOBA-KYEBANDO'!C3:G3</f>
        <v>MCC - C1 - STN029 - RING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59">
        <f>'31.08 KYEBANDO-NSOOBA'!G5:H5</f>
        <v>29</v>
      </c>
      <c r="H5" s="60"/>
      <c r="I5" s="14"/>
      <c r="J5" s="2" t="s">
        <v>5</v>
      </c>
      <c r="K5" s="59" t="str">
        <f>'31.08 KYEBANDO-NSOOBA'!K5:L5</f>
        <v>NAKAWA JULIET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'29.07 NSOOBA-KYEBANDO'!D6:E6</f>
        <v>NSOOBA</v>
      </c>
      <c r="E6" s="60"/>
      <c r="F6" s="2" t="s">
        <v>2</v>
      </c>
      <c r="G6" s="59" t="str">
        <f>'29.07 NSOOBA-KYEBANDO'!G6:H6</f>
        <v>KYEBANDO</v>
      </c>
      <c r="H6" s="60"/>
      <c r="J6" s="2" t="s">
        <v>21</v>
      </c>
      <c r="K6" s="59" t="str">
        <f>'31.08 KYEBANDO-NSOOBA'!K6:L6</f>
        <v>STEVEN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20</v>
      </c>
      <c r="E10" s="50">
        <v>4</v>
      </c>
      <c r="F10" s="50">
        <v>45</v>
      </c>
      <c r="G10" s="50">
        <v>1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110</v>
      </c>
      <c r="N10" s="50">
        <v>0</v>
      </c>
      <c r="O10" s="15">
        <f t="shared" ref="O10:O57" si="0">SUM(C10:L10,N10)</f>
        <v>82</v>
      </c>
      <c r="P10" s="15">
        <f t="shared" ref="P10:P57" si="1">SUM(C10:N10)</f>
        <v>192</v>
      </c>
      <c r="R10" s="1" t="s">
        <v>6</v>
      </c>
      <c r="S10" s="17">
        <f t="shared" ref="S10:AF10" si="2">SUM(C10:C13)</f>
        <v>262</v>
      </c>
      <c r="T10" s="17">
        <f t="shared" si="2"/>
        <v>72</v>
      </c>
      <c r="U10" s="17">
        <f t="shared" si="2"/>
        <v>22</v>
      </c>
      <c r="V10" s="17">
        <f t="shared" si="2"/>
        <v>175</v>
      </c>
      <c r="W10" s="17">
        <f t="shared" si="2"/>
        <v>1</v>
      </c>
      <c r="X10" s="17">
        <f t="shared" si="2"/>
        <v>1</v>
      </c>
      <c r="Y10" s="17">
        <f t="shared" si="2"/>
        <v>13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467</v>
      </c>
      <c r="AD10" s="17">
        <f t="shared" si="2"/>
        <v>0</v>
      </c>
      <c r="AE10" s="31">
        <f t="shared" si="2"/>
        <v>547</v>
      </c>
      <c r="AF10" s="31">
        <f t="shared" si="2"/>
        <v>1014</v>
      </c>
    </row>
    <row r="11" spans="2:32" s="6" customFormat="1" ht="23.1" customHeight="1" x14ac:dyDescent="0.25">
      <c r="B11" s="23" t="s">
        <v>38</v>
      </c>
      <c r="C11" s="50">
        <v>78</v>
      </c>
      <c r="D11" s="50">
        <v>19</v>
      </c>
      <c r="E11" s="50">
        <v>4</v>
      </c>
      <c r="F11" s="50">
        <v>37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80</v>
      </c>
      <c r="N11" s="50">
        <v>0</v>
      </c>
      <c r="O11" s="15">
        <f t="shared" si="0"/>
        <v>138</v>
      </c>
      <c r="P11" s="15">
        <f t="shared" si="1"/>
        <v>218</v>
      </c>
      <c r="R11" s="1" t="s">
        <v>7</v>
      </c>
      <c r="S11" s="17">
        <f t="shared" ref="S11:AF11" si="3">SUM(C14:C17)</f>
        <v>190</v>
      </c>
      <c r="T11" s="17">
        <f t="shared" si="3"/>
        <v>27</v>
      </c>
      <c r="U11" s="17">
        <f t="shared" si="3"/>
        <v>20</v>
      </c>
      <c r="V11" s="17">
        <f t="shared" si="3"/>
        <v>85</v>
      </c>
      <c r="W11" s="17">
        <f t="shared" si="3"/>
        <v>3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497</v>
      </c>
      <c r="AD11" s="17">
        <f t="shared" si="3"/>
        <v>0</v>
      </c>
      <c r="AE11" s="31">
        <f t="shared" si="3"/>
        <v>333</v>
      </c>
      <c r="AF11" s="31">
        <f t="shared" si="3"/>
        <v>830</v>
      </c>
    </row>
    <row r="12" spans="2:32" ht="23.1" customHeight="1" x14ac:dyDescent="0.25">
      <c r="B12" s="23" t="s">
        <v>39</v>
      </c>
      <c r="C12" s="50">
        <v>91</v>
      </c>
      <c r="D12" s="50">
        <v>10</v>
      </c>
      <c r="E12" s="50">
        <v>7</v>
      </c>
      <c r="F12" s="50">
        <v>43</v>
      </c>
      <c r="G12" s="50">
        <v>0</v>
      </c>
      <c r="H12" s="50">
        <v>0</v>
      </c>
      <c r="I12" s="50">
        <v>7</v>
      </c>
      <c r="J12" s="50">
        <v>0</v>
      </c>
      <c r="K12" s="50">
        <v>0</v>
      </c>
      <c r="L12" s="50">
        <v>0</v>
      </c>
      <c r="M12" s="50">
        <v>155</v>
      </c>
      <c r="N12" s="50">
        <v>0</v>
      </c>
      <c r="O12" s="15">
        <f t="shared" si="0"/>
        <v>158</v>
      </c>
      <c r="P12" s="15">
        <f t="shared" si="1"/>
        <v>313</v>
      </c>
      <c r="R12" s="1" t="s">
        <v>8</v>
      </c>
      <c r="S12" s="17">
        <f t="shared" ref="S12:AF12" si="4">SUM(C18:C21)</f>
        <v>234</v>
      </c>
      <c r="T12" s="17">
        <f t="shared" si="4"/>
        <v>44</v>
      </c>
      <c r="U12" s="17">
        <f t="shared" si="4"/>
        <v>13</v>
      </c>
      <c r="V12" s="17">
        <f t="shared" si="4"/>
        <v>131</v>
      </c>
      <c r="W12" s="17">
        <f t="shared" si="4"/>
        <v>0</v>
      </c>
      <c r="X12" s="17">
        <f t="shared" si="4"/>
        <v>0</v>
      </c>
      <c r="Y12" s="17">
        <f t="shared" si="4"/>
        <v>27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400</v>
      </c>
      <c r="AD12" s="17">
        <f t="shared" si="4"/>
        <v>0</v>
      </c>
      <c r="AE12" s="31">
        <f t="shared" si="4"/>
        <v>452</v>
      </c>
      <c r="AF12" s="31">
        <f t="shared" si="4"/>
        <v>852</v>
      </c>
    </row>
    <row r="13" spans="2:32" ht="23.1" customHeight="1" x14ac:dyDescent="0.25">
      <c r="B13" s="23" t="s">
        <v>40</v>
      </c>
      <c r="C13" s="50">
        <v>83</v>
      </c>
      <c r="D13" s="50">
        <v>23</v>
      </c>
      <c r="E13" s="50">
        <v>7</v>
      </c>
      <c r="F13" s="50">
        <v>50</v>
      </c>
      <c r="G13" s="50">
        <v>0</v>
      </c>
      <c r="H13" s="50">
        <v>1</v>
      </c>
      <c r="I13" s="50">
        <v>4</v>
      </c>
      <c r="J13" s="50">
        <v>1</v>
      </c>
      <c r="K13" s="50">
        <v>0</v>
      </c>
      <c r="L13" s="50">
        <v>0</v>
      </c>
      <c r="M13" s="50">
        <v>122</v>
      </c>
      <c r="N13" s="50">
        <v>0</v>
      </c>
      <c r="O13" s="15">
        <f t="shared" si="0"/>
        <v>169</v>
      </c>
      <c r="P13" s="15">
        <f t="shared" si="1"/>
        <v>291</v>
      </c>
      <c r="R13" s="1" t="s">
        <v>9</v>
      </c>
      <c r="S13" s="17">
        <f t="shared" ref="S13:AF13" si="5">SUM(C22:C25)</f>
        <v>129</v>
      </c>
      <c r="T13" s="17">
        <f t="shared" si="5"/>
        <v>26</v>
      </c>
      <c r="U13" s="17">
        <f t="shared" si="5"/>
        <v>16</v>
      </c>
      <c r="V13" s="17">
        <f t="shared" si="5"/>
        <v>46</v>
      </c>
      <c r="W13" s="17">
        <f t="shared" si="5"/>
        <v>1</v>
      </c>
      <c r="X13" s="17">
        <f t="shared" si="5"/>
        <v>0</v>
      </c>
      <c r="Y13" s="17">
        <f t="shared" si="5"/>
        <v>16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191</v>
      </c>
      <c r="AD13" s="17">
        <f t="shared" si="5"/>
        <v>0</v>
      </c>
      <c r="AE13" s="31">
        <f t="shared" si="5"/>
        <v>237</v>
      </c>
      <c r="AF13" s="31">
        <f t="shared" si="5"/>
        <v>428</v>
      </c>
    </row>
    <row r="14" spans="2:32" ht="23.1" customHeight="1" x14ac:dyDescent="0.25">
      <c r="B14" s="23" t="s">
        <v>41</v>
      </c>
      <c r="C14" s="50">
        <v>61</v>
      </c>
      <c r="D14" s="50">
        <v>6</v>
      </c>
      <c r="E14" s="50">
        <v>1</v>
      </c>
      <c r="F14" s="50">
        <v>25</v>
      </c>
      <c r="G14" s="50">
        <v>1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129</v>
      </c>
      <c r="N14" s="50">
        <v>0</v>
      </c>
      <c r="O14" s="15">
        <f t="shared" si="0"/>
        <v>94</v>
      </c>
      <c r="P14" s="15">
        <f t="shared" si="1"/>
        <v>223</v>
      </c>
      <c r="R14" s="1" t="s">
        <v>10</v>
      </c>
      <c r="S14" s="17">
        <f t="shared" ref="S14:AF14" si="6">SUM(C26:C29)</f>
        <v>84</v>
      </c>
      <c r="T14" s="17">
        <f t="shared" si="6"/>
        <v>23</v>
      </c>
      <c r="U14" s="17">
        <f t="shared" si="6"/>
        <v>15</v>
      </c>
      <c r="V14" s="17">
        <f t="shared" si="6"/>
        <v>35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121</v>
      </c>
      <c r="AD14" s="17">
        <f t="shared" si="6"/>
        <v>0</v>
      </c>
      <c r="AE14" s="31">
        <f t="shared" si="6"/>
        <v>163</v>
      </c>
      <c r="AF14" s="31">
        <f t="shared" si="6"/>
        <v>284</v>
      </c>
    </row>
    <row r="15" spans="2:32" ht="23.1" customHeight="1" x14ac:dyDescent="0.25">
      <c r="B15" s="23" t="s">
        <v>42</v>
      </c>
      <c r="C15" s="50">
        <v>31</v>
      </c>
      <c r="D15" s="50">
        <v>5</v>
      </c>
      <c r="E15" s="50">
        <v>6</v>
      </c>
      <c r="F15" s="50">
        <v>17</v>
      </c>
      <c r="G15" s="50">
        <v>1</v>
      </c>
      <c r="H15" s="50">
        <v>0</v>
      </c>
      <c r="I15" s="50">
        <v>6</v>
      </c>
      <c r="J15" s="50">
        <v>0</v>
      </c>
      <c r="K15" s="50">
        <v>0</v>
      </c>
      <c r="L15" s="50">
        <v>0</v>
      </c>
      <c r="M15" s="50">
        <v>161</v>
      </c>
      <c r="N15" s="50">
        <v>0</v>
      </c>
      <c r="O15" s="15">
        <f t="shared" si="0"/>
        <v>66</v>
      </c>
      <c r="P15" s="15">
        <f t="shared" si="1"/>
        <v>227</v>
      </c>
      <c r="R15" s="1" t="s">
        <v>11</v>
      </c>
      <c r="S15" s="17">
        <f t="shared" ref="S15:AF15" si="7">SUM(C30:C33)</f>
        <v>70</v>
      </c>
      <c r="T15" s="17">
        <f t="shared" si="7"/>
        <v>16</v>
      </c>
      <c r="U15" s="17">
        <f t="shared" si="7"/>
        <v>10</v>
      </c>
      <c r="V15" s="17">
        <f t="shared" si="7"/>
        <v>24</v>
      </c>
      <c r="W15" s="17">
        <f t="shared" si="7"/>
        <v>1</v>
      </c>
      <c r="X15" s="17">
        <f t="shared" si="7"/>
        <v>0</v>
      </c>
      <c r="Y15" s="17">
        <f t="shared" si="7"/>
        <v>11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115</v>
      </c>
      <c r="AD15" s="17">
        <f t="shared" si="7"/>
        <v>0</v>
      </c>
      <c r="AE15" s="31">
        <f t="shared" si="7"/>
        <v>132</v>
      </c>
      <c r="AF15" s="31">
        <f t="shared" si="7"/>
        <v>247</v>
      </c>
    </row>
    <row r="16" spans="2:32" ht="23.1" customHeight="1" x14ac:dyDescent="0.25">
      <c r="B16" s="23" t="s">
        <v>43</v>
      </c>
      <c r="C16" s="50">
        <v>58</v>
      </c>
      <c r="D16" s="50">
        <v>6</v>
      </c>
      <c r="E16" s="50">
        <v>7</v>
      </c>
      <c r="F16" s="50">
        <v>30</v>
      </c>
      <c r="G16" s="50">
        <v>1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96</v>
      </c>
      <c r="N16" s="50">
        <v>0</v>
      </c>
      <c r="O16" s="15">
        <f t="shared" si="0"/>
        <v>103</v>
      </c>
      <c r="P16" s="15">
        <f t="shared" si="1"/>
        <v>199</v>
      </c>
      <c r="R16" s="1" t="s">
        <v>12</v>
      </c>
      <c r="S16" s="17">
        <f t="shared" ref="S16:AF16" si="8">SUM(C34:C37)</f>
        <v>76</v>
      </c>
      <c r="T16" s="17">
        <f t="shared" si="8"/>
        <v>9</v>
      </c>
      <c r="U16" s="17">
        <f t="shared" si="8"/>
        <v>10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116</v>
      </c>
      <c r="AD16" s="17">
        <f t="shared" si="8"/>
        <v>0</v>
      </c>
      <c r="AE16" s="31">
        <f t="shared" si="8"/>
        <v>126</v>
      </c>
      <c r="AF16" s="31">
        <f t="shared" si="8"/>
        <v>242</v>
      </c>
    </row>
    <row r="17" spans="2:32" ht="23.1" customHeight="1" x14ac:dyDescent="0.25">
      <c r="B17" s="23" t="s">
        <v>44</v>
      </c>
      <c r="C17" s="50">
        <v>40</v>
      </c>
      <c r="D17" s="50">
        <v>10</v>
      </c>
      <c r="E17" s="50">
        <v>6</v>
      </c>
      <c r="F17" s="50">
        <v>13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111</v>
      </c>
      <c r="N17" s="50">
        <v>0</v>
      </c>
      <c r="O17" s="15">
        <f t="shared" si="0"/>
        <v>70</v>
      </c>
      <c r="P17" s="15">
        <f t="shared" si="1"/>
        <v>181</v>
      </c>
      <c r="R17" s="1" t="s">
        <v>13</v>
      </c>
      <c r="S17" s="17">
        <f t="shared" ref="S17:AF17" si="9">SUM(C38:C41)</f>
        <v>61</v>
      </c>
      <c r="T17" s="17">
        <f t="shared" si="9"/>
        <v>17</v>
      </c>
      <c r="U17" s="17">
        <f t="shared" si="9"/>
        <v>12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166</v>
      </c>
      <c r="AD17" s="17">
        <f t="shared" si="9"/>
        <v>0</v>
      </c>
      <c r="AE17" s="31">
        <f t="shared" si="9"/>
        <v>111</v>
      </c>
      <c r="AF17" s="31">
        <f t="shared" si="9"/>
        <v>277</v>
      </c>
    </row>
    <row r="18" spans="2:32" ht="23.1" customHeight="1" x14ac:dyDescent="0.25">
      <c r="B18" s="23" t="s">
        <v>45</v>
      </c>
      <c r="C18" s="50">
        <v>55</v>
      </c>
      <c r="D18" s="50">
        <v>4</v>
      </c>
      <c r="E18" s="50">
        <v>3</v>
      </c>
      <c r="F18" s="50">
        <v>39</v>
      </c>
      <c r="G18" s="50">
        <v>0</v>
      </c>
      <c r="H18" s="50">
        <v>0</v>
      </c>
      <c r="I18" s="50">
        <v>7</v>
      </c>
      <c r="J18" s="50">
        <v>1</v>
      </c>
      <c r="K18" s="50">
        <v>0</v>
      </c>
      <c r="L18" s="50">
        <v>0</v>
      </c>
      <c r="M18" s="50">
        <v>125</v>
      </c>
      <c r="N18" s="50">
        <v>0</v>
      </c>
      <c r="O18" s="15">
        <f t="shared" si="0"/>
        <v>109</v>
      </c>
      <c r="P18" s="15">
        <f t="shared" si="1"/>
        <v>234</v>
      </c>
      <c r="R18" s="1" t="s">
        <v>14</v>
      </c>
      <c r="S18" s="17">
        <f t="shared" ref="S18:AF18" si="10">SUM(C42:C45)</f>
        <v>73</v>
      </c>
      <c r="T18" s="17">
        <f t="shared" si="10"/>
        <v>30</v>
      </c>
      <c r="U18" s="17">
        <f t="shared" si="10"/>
        <v>9</v>
      </c>
      <c r="V18" s="17">
        <f t="shared" si="10"/>
        <v>31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148</v>
      </c>
      <c r="AD18" s="17">
        <f t="shared" si="10"/>
        <v>0</v>
      </c>
      <c r="AE18" s="31">
        <f t="shared" si="10"/>
        <v>150</v>
      </c>
      <c r="AF18" s="31">
        <f t="shared" si="10"/>
        <v>298</v>
      </c>
    </row>
    <row r="19" spans="2:32" ht="23.1" customHeight="1" x14ac:dyDescent="0.25">
      <c r="B19" s="23" t="s">
        <v>46</v>
      </c>
      <c r="C19" s="50">
        <v>60</v>
      </c>
      <c r="D19" s="50">
        <v>14</v>
      </c>
      <c r="E19" s="50">
        <v>1</v>
      </c>
      <c r="F19" s="50">
        <v>33</v>
      </c>
      <c r="G19" s="50">
        <v>0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135</v>
      </c>
      <c r="N19" s="50">
        <v>0</v>
      </c>
      <c r="O19" s="15">
        <f t="shared" si="0"/>
        <v>116</v>
      </c>
      <c r="P19" s="15">
        <f t="shared" si="1"/>
        <v>251</v>
      </c>
      <c r="R19" s="1" t="s">
        <v>15</v>
      </c>
      <c r="S19" s="17">
        <f t="shared" ref="S19:AF19" si="11">SUM(C46:C49)</f>
        <v>69</v>
      </c>
      <c r="T19" s="17">
        <f t="shared" si="11"/>
        <v>22</v>
      </c>
      <c r="U19" s="17">
        <f t="shared" si="11"/>
        <v>12</v>
      </c>
      <c r="V19" s="17">
        <f t="shared" si="11"/>
        <v>19</v>
      </c>
      <c r="W19" s="17">
        <f t="shared" si="11"/>
        <v>1</v>
      </c>
      <c r="X19" s="17">
        <f t="shared" si="11"/>
        <v>0</v>
      </c>
      <c r="Y19" s="17">
        <f t="shared" si="11"/>
        <v>12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159</v>
      </c>
      <c r="AD19" s="17">
        <f t="shared" si="11"/>
        <v>0</v>
      </c>
      <c r="AE19" s="31">
        <f t="shared" si="11"/>
        <v>139</v>
      </c>
      <c r="AF19" s="31">
        <f t="shared" si="11"/>
        <v>298</v>
      </c>
    </row>
    <row r="20" spans="2:32" ht="23.1" customHeight="1" x14ac:dyDescent="0.25">
      <c r="B20" s="23" t="s">
        <v>47</v>
      </c>
      <c r="C20" s="50">
        <v>57</v>
      </c>
      <c r="D20" s="50">
        <v>12</v>
      </c>
      <c r="E20" s="50">
        <v>5</v>
      </c>
      <c r="F20" s="50">
        <v>28</v>
      </c>
      <c r="G20" s="50">
        <v>0</v>
      </c>
      <c r="H20" s="50">
        <v>0</v>
      </c>
      <c r="I20" s="50">
        <v>10</v>
      </c>
      <c r="J20" s="50">
        <v>1</v>
      </c>
      <c r="K20" s="50">
        <v>0</v>
      </c>
      <c r="L20" s="50">
        <v>0</v>
      </c>
      <c r="M20" s="50">
        <v>80</v>
      </c>
      <c r="N20" s="50">
        <v>0</v>
      </c>
      <c r="O20" s="15">
        <f t="shared" si="0"/>
        <v>113</v>
      </c>
      <c r="P20" s="15">
        <f t="shared" si="1"/>
        <v>193</v>
      </c>
      <c r="R20" s="1" t="s">
        <v>16</v>
      </c>
      <c r="S20" s="17">
        <f t="shared" ref="S20:AF20" si="12">SUM(C50:C53)</f>
        <v>67</v>
      </c>
      <c r="T20" s="17">
        <f t="shared" si="12"/>
        <v>14</v>
      </c>
      <c r="U20" s="17">
        <f t="shared" si="12"/>
        <v>10</v>
      </c>
      <c r="V20" s="17">
        <f t="shared" si="12"/>
        <v>24</v>
      </c>
      <c r="W20" s="17">
        <f t="shared" si="12"/>
        <v>3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167</v>
      </c>
      <c r="AD20" s="17">
        <f t="shared" si="12"/>
        <v>0</v>
      </c>
      <c r="AE20" s="31">
        <f t="shared" si="12"/>
        <v>125</v>
      </c>
      <c r="AF20" s="31">
        <f t="shared" si="12"/>
        <v>292</v>
      </c>
    </row>
    <row r="21" spans="2:32" ht="23.1" customHeight="1" x14ac:dyDescent="0.25">
      <c r="B21" s="23" t="s">
        <v>48</v>
      </c>
      <c r="C21" s="50">
        <v>62</v>
      </c>
      <c r="D21" s="50">
        <v>14</v>
      </c>
      <c r="E21" s="50">
        <v>4</v>
      </c>
      <c r="F21" s="50">
        <v>31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114</v>
      </c>
      <c r="P21" s="15">
        <f t="shared" si="1"/>
        <v>174</v>
      </c>
      <c r="R21" s="36" t="s">
        <v>20</v>
      </c>
      <c r="S21" s="34">
        <f t="shared" ref="S21:AF21" si="13">SUM(C54:C57)</f>
        <v>65</v>
      </c>
      <c r="T21" s="17">
        <f t="shared" si="13"/>
        <v>18</v>
      </c>
      <c r="U21" s="17">
        <f t="shared" si="13"/>
        <v>10</v>
      </c>
      <c r="V21" s="17">
        <f t="shared" si="13"/>
        <v>17</v>
      </c>
      <c r="W21" s="17">
        <f t="shared" si="13"/>
        <v>2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231</v>
      </c>
      <c r="AD21" s="17">
        <f t="shared" si="13"/>
        <v>0</v>
      </c>
      <c r="AE21" s="31">
        <f t="shared" si="13"/>
        <v>116</v>
      </c>
      <c r="AF21" s="31">
        <f t="shared" si="13"/>
        <v>347</v>
      </c>
    </row>
    <row r="22" spans="2:32" ht="23.1" customHeight="1" x14ac:dyDescent="0.25">
      <c r="B22" s="23" t="s">
        <v>49</v>
      </c>
      <c r="C22" s="50">
        <v>37</v>
      </c>
      <c r="D22" s="50">
        <v>4</v>
      </c>
      <c r="E22" s="50">
        <v>2</v>
      </c>
      <c r="F22" s="50">
        <v>15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65</v>
      </c>
      <c r="N22" s="50">
        <v>0</v>
      </c>
      <c r="O22" s="15">
        <f t="shared" si="0"/>
        <v>62</v>
      </c>
      <c r="P22" s="15">
        <f t="shared" si="1"/>
        <v>127</v>
      </c>
      <c r="R22" s="38" t="s">
        <v>90</v>
      </c>
      <c r="S22" s="39">
        <f>MAX(S10:S12)</f>
        <v>262</v>
      </c>
      <c r="T22" s="39">
        <f t="shared" ref="T22:AF22" si="14">MAX(T10:T12)</f>
        <v>72</v>
      </c>
      <c r="U22" s="39">
        <f t="shared" si="14"/>
        <v>22</v>
      </c>
      <c r="V22" s="39">
        <f t="shared" si="14"/>
        <v>175</v>
      </c>
      <c r="W22" s="39">
        <f t="shared" si="14"/>
        <v>3</v>
      </c>
      <c r="X22" s="39">
        <f t="shared" si="14"/>
        <v>1</v>
      </c>
      <c r="Y22" s="39">
        <f t="shared" si="14"/>
        <v>27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497</v>
      </c>
      <c r="AD22" s="39">
        <f t="shared" si="14"/>
        <v>0</v>
      </c>
      <c r="AE22" s="40">
        <f t="shared" si="14"/>
        <v>547</v>
      </c>
      <c r="AF22" s="40">
        <f t="shared" si="14"/>
        <v>1014</v>
      </c>
    </row>
    <row r="23" spans="2:32" ht="23.1" customHeight="1" x14ac:dyDescent="0.25">
      <c r="B23" s="23" t="s">
        <v>50</v>
      </c>
      <c r="C23" s="50">
        <v>32</v>
      </c>
      <c r="D23" s="50">
        <v>8</v>
      </c>
      <c r="E23" s="50">
        <v>3</v>
      </c>
      <c r="F23" s="50">
        <v>3</v>
      </c>
      <c r="G23" s="50">
        <v>0</v>
      </c>
      <c r="H23" s="50">
        <v>0</v>
      </c>
      <c r="I23" s="50">
        <v>3</v>
      </c>
      <c r="J23" s="50">
        <v>0</v>
      </c>
      <c r="K23" s="50">
        <v>1</v>
      </c>
      <c r="L23" s="50">
        <v>0</v>
      </c>
      <c r="M23" s="50">
        <v>30</v>
      </c>
      <c r="N23" s="50">
        <v>0</v>
      </c>
      <c r="O23" s="15">
        <f t="shared" si="0"/>
        <v>50</v>
      </c>
      <c r="P23" s="15">
        <f t="shared" si="1"/>
        <v>80</v>
      </c>
      <c r="R23" s="38" t="s">
        <v>91</v>
      </c>
      <c r="S23" s="39">
        <f>MAX(S13:S18)</f>
        <v>129</v>
      </c>
      <c r="T23" s="39">
        <f t="shared" ref="T23:AF23" si="15">MAX(T13:T18)</f>
        <v>30</v>
      </c>
      <c r="U23" s="39">
        <f t="shared" si="15"/>
        <v>16</v>
      </c>
      <c r="V23" s="39">
        <f t="shared" si="15"/>
        <v>46</v>
      </c>
      <c r="W23" s="39">
        <f t="shared" si="15"/>
        <v>1</v>
      </c>
      <c r="X23" s="39">
        <f t="shared" si="15"/>
        <v>0</v>
      </c>
      <c r="Y23" s="39">
        <f t="shared" si="15"/>
        <v>16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191</v>
      </c>
      <c r="AD23" s="39">
        <f t="shared" si="15"/>
        <v>0</v>
      </c>
      <c r="AE23" s="40">
        <f t="shared" si="15"/>
        <v>237</v>
      </c>
      <c r="AF23" s="40">
        <f t="shared" si="15"/>
        <v>428</v>
      </c>
    </row>
    <row r="24" spans="2:32" ht="23.1" customHeight="1" x14ac:dyDescent="0.25">
      <c r="B24" s="23" t="s">
        <v>51</v>
      </c>
      <c r="C24" s="50">
        <v>35</v>
      </c>
      <c r="D24" s="50">
        <v>8</v>
      </c>
      <c r="E24" s="50">
        <v>6</v>
      </c>
      <c r="F24" s="50">
        <v>13</v>
      </c>
      <c r="G24" s="50">
        <v>1</v>
      </c>
      <c r="H24" s="50">
        <v>0</v>
      </c>
      <c r="I24" s="50">
        <v>7</v>
      </c>
      <c r="J24" s="50">
        <v>0</v>
      </c>
      <c r="K24" s="50">
        <v>0</v>
      </c>
      <c r="L24" s="50">
        <v>0</v>
      </c>
      <c r="M24" s="50">
        <v>40</v>
      </c>
      <c r="N24" s="50">
        <v>0</v>
      </c>
      <c r="O24" s="15">
        <f t="shared" si="0"/>
        <v>70</v>
      </c>
      <c r="P24" s="15">
        <f t="shared" si="1"/>
        <v>110</v>
      </c>
      <c r="R24" s="38" t="s">
        <v>92</v>
      </c>
      <c r="S24" s="39">
        <f>MAX(S19:S21)</f>
        <v>69</v>
      </c>
      <c r="T24" s="39">
        <f t="shared" ref="T24:AF24" si="16">MAX(T19:T21)</f>
        <v>22</v>
      </c>
      <c r="U24" s="39">
        <f t="shared" si="16"/>
        <v>12</v>
      </c>
      <c r="V24" s="39">
        <f t="shared" si="16"/>
        <v>24</v>
      </c>
      <c r="W24" s="39">
        <f t="shared" si="16"/>
        <v>3</v>
      </c>
      <c r="X24" s="39">
        <f t="shared" si="16"/>
        <v>0</v>
      </c>
      <c r="Y24" s="39">
        <f t="shared" si="16"/>
        <v>12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231</v>
      </c>
      <c r="AD24" s="39">
        <f t="shared" si="16"/>
        <v>0</v>
      </c>
      <c r="AE24" s="40">
        <f t="shared" si="16"/>
        <v>139</v>
      </c>
      <c r="AF24" s="40">
        <f t="shared" si="16"/>
        <v>347</v>
      </c>
    </row>
    <row r="25" spans="2:32" ht="23.1" customHeight="1" x14ac:dyDescent="0.25">
      <c r="B25" s="23" t="s">
        <v>52</v>
      </c>
      <c r="C25" s="50">
        <v>25</v>
      </c>
      <c r="D25" s="50">
        <v>6</v>
      </c>
      <c r="E25" s="50">
        <v>5</v>
      </c>
      <c r="F25" s="50">
        <v>15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56</v>
      </c>
      <c r="N25" s="50">
        <v>0</v>
      </c>
      <c r="O25" s="15">
        <f t="shared" si="0"/>
        <v>55</v>
      </c>
      <c r="P25" s="15">
        <f t="shared" si="1"/>
        <v>111</v>
      </c>
      <c r="R25" s="37" t="s">
        <v>85</v>
      </c>
      <c r="S25" s="35">
        <f t="shared" ref="S25:AF25" si="17">SUM(S10:S12)</f>
        <v>686</v>
      </c>
      <c r="T25" s="16">
        <f t="shared" si="17"/>
        <v>143</v>
      </c>
      <c r="U25" s="16">
        <f t="shared" si="17"/>
        <v>55</v>
      </c>
      <c r="V25" s="16">
        <f t="shared" si="17"/>
        <v>391</v>
      </c>
      <c r="W25" s="16">
        <f t="shared" si="17"/>
        <v>4</v>
      </c>
      <c r="X25" s="16">
        <f t="shared" si="17"/>
        <v>1</v>
      </c>
      <c r="Y25" s="16">
        <f t="shared" si="17"/>
        <v>48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1364</v>
      </c>
      <c r="AD25" s="16">
        <f t="shared" si="17"/>
        <v>0</v>
      </c>
      <c r="AE25" s="32">
        <f t="shared" si="17"/>
        <v>1332</v>
      </c>
      <c r="AF25" s="32">
        <f t="shared" si="17"/>
        <v>2696</v>
      </c>
    </row>
    <row r="26" spans="2:32" ht="23.1" customHeight="1" x14ac:dyDescent="0.25">
      <c r="B26" s="23" t="s">
        <v>53</v>
      </c>
      <c r="C26" s="50">
        <v>24</v>
      </c>
      <c r="D26" s="50">
        <v>5</v>
      </c>
      <c r="E26" s="50">
        <v>5</v>
      </c>
      <c r="F26" s="50">
        <v>9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36</v>
      </c>
      <c r="N26" s="50">
        <v>0</v>
      </c>
      <c r="O26" s="15">
        <f t="shared" si="0"/>
        <v>43</v>
      </c>
      <c r="P26" s="15">
        <f t="shared" si="1"/>
        <v>79</v>
      </c>
      <c r="R26" s="28" t="s">
        <v>86</v>
      </c>
      <c r="S26" s="16">
        <f t="shared" ref="S26:AF26" si="18">SUM(S13:S18)</f>
        <v>493</v>
      </c>
      <c r="T26" s="16">
        <f t="shared" si="18"/>
        <v>121</v>
      </c>
      <c r="U26" s="16">
        <f t="shared" si="18"/>
        <v>72</v>
      </c>
      <c r="V26" s="16">
        <f t="shared" si="18"/>
        <v>163</v>
      </c>
      <c r="W26" s="16">
        <f t="shared" si="18"/>
        <v>3</v>
      </c>
      <c r="X26" s="16">
        <f t="shared" si="18"/>
        <v>0</v>
      </c>
      <c r="Y26" s="16">
        <f t="shared" si="18"/>
        <v>61</v>
      </c>
      <c r="Z26" s="16">
        <f t="shared" si="18"/>
        <v>3</v>
      </c>
      <c r="AA26" s="16">
        <f t="shared" si="18"/>
        <v>3</v>
      </c>
      <c r="AB26" s="16">
        <f t="shared" si="18"/>
        <v>0</v>
      </c>
      <c r="AC26" s="16">
        <f t="shared" si="18"/>
        <v>857</v>
      </c>
      <c r="AD26" s="16">
        <f t="shared" si="18"/>
        <v>0</v>
      </c>
      <c r="AE26" s="32">
        <f t="shared" si="18"/>
        <v>919</v>
      </c>
      <c r="AF26" s="32">
        <f t="shared" si="18"/>
        <v>1776</v>
      </c>
    </row>
    <row r="27" spans="2:32" ht="23.1" customHeight="1" x14ac:dyDescent="0.25">
      <c r="B27" s="23" t="s">
        <v>54</v>
      </c>
      <c r="C27" s="50">
        <v>20</v>
      </c>
      <c r="D27" s="50">
        <v>5</v>
      </c>
      <c r="E27" s="50">
        <v>3</v>
      </c>
      <c r="F27" s="50">
        <v>10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40</v>
      </c>
      <c r="P27" s="15">
        <f t="shared" si="1"/>
        <v>66</v>
      </c>
      <c r="R27" s="29" t="s">
        <v>87</v>
      </c>
      <c r="S27" s="16">
        <f t="shared" ref="S27:AF27" si="19">SUM(S19:S21)</f>
        <v>201</v>
      </c>
      <c r="T27" s="16">
        <f t="shared" si="19"/>
        <v>54</v>
      </c>
      <c r="U27" s="16">
        <f t="shared" si="19"/>
        <v>32</v>
      </c>
      <c r="V27" s="16">
        <f t="shared" si="19"/>
        <v>60</v>
      </c>
      <c r="W27" s="16">
        <f t="shared" si="19"/>
        <v>6</v>
      </c>
      <c r="X27" s="16">
        <f t="shared" si="19"/>
        <v>0</v>
      </c>
      <c r="Y27" s="16">
        <f t="shared" si="19"/>
        <v>22</v>
      </c>
      <c r="Z27" s="16">
        <f t="shared" si="19"/>
        <v>5</v>
      </c>
      <c r="AA27" s="16">
        <f t="shared" si="19"/>
        <v>0</v>
      </c>
      <c r="AB27" s="16">
        <f t="shared" si="19"/>
        <v>0</v>
      </c>
      <c r="AC27" s="16">
        <f t="shared" si="19"/>
        <v>557</v>
      </c>
      <c r="AD27" s="16">
        <f t="shared" si="19"/>
        <v>0</v>
      </c>
      <c r="AE27" s="32">
        <f t="shared" si="19"/>
        <v>380</v>
      </c>
      <c r="AF27" s="32">
        <f t="shared" si="19"/>
        <v>937</v>
      </c>
    </row>
    <row r="28" spans="2:32" ht="23.1" customHeight="1" x14ac:dyDescent="0.25">
      <c r="B28" s="23" t="s">
        <v>55</v>
      </c>
      <c r="C28" s="50">
        <v>16</v>
      </c>
      <c r="D28" s="50">
        <v>5</v>
      </c>
      <c r="E28" s="50">
        <v>3</v>
      </c>
      <c r="F28" s="50">
        <v>9</v>
      </c>
      <c r="G28" s="50">
        <v>1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28</v>
      </c>
      <c r="N28" s="50">
        <v>0</v>
      </c>
      <c r="O28" s="15">
        <f t="shared" si="0"/>
        <v>36</v>
      </c>
      <c r="P28" s="15">
        <f t="shared" si="1"/>
        <v>64</v>
      </c>
      <c r="R28" s="5" t="s">
        <v>17</v>
      </c>
      <c r="S28" s="16">
        <f t="shared" ref="S28:AF28" si="20">SUM(S10:S21)</f>
        <v>1380</v>
      </c>
      <c r="T28" s="16">
        <f t="shared" si="20"/>
        <v>318</v>
      </c>
      <c r="U28" s="16">
        <f t="shared" si="20"/>
        <v>159</v>
      </c>
      <c r="V28" s="16">
        <f t="shared" si="20"/>
        <v>614</v>
      </c>
      <c r="W28" s="16">
        <f t="shared" si="20"/>
        <v>13</v>
      </c>
      <c r="X28" s="16">
        <f t="shared" si="20"/>
        <v>1</v>
      </c>
      <c r="Y28" s="16">
        <f t="shared" si="20"/>
        <v>131</v>
      </c>
      <c r="Z28" s="16">
        <f t="shared" si="20"/>
        <v>12</v>
      </c>
      <c r="AA28" s="16">
        <f t="shared" si="20"/>
        <v>3</v>
      </c>
      <c r="AB28" s="16">
        <f t="shared" si="20"/>
        <v>0</v>
      </c>
      <c r="AC28" s="16">
        <f t="shared" si="20"/>
        <v>2778</v>
      </c>
      <c r="AD28" s="16">
        <f t="shared" si="20"/>
        <v>0</v>
      </c>
      <c r="AE28" s="32">
        <f t="shared" si="20"/>
        <v>2631</v>
      </c>
      <c r="AF28" s="32">
        <f t="shared" si="20"/>
        <v>5409</v>
      </c>
    </row>
    <row r="29" spans="2:32" ht="23.1" customHeight="1" x14ac:dyDescent="0.25">
      <c r="B29" s="23" t="s">
        <v>56</v>
      </c>
      <c r="C29" s="50">
        <v>24</v>
      </c>
      <c r="D29" s="50">
        <v>8</v>
      </c>
      <c r="E29" s="50">
        <v>4</v>
      </c>
      <c r="F29" s="50">
        <v>7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31</v>
      </c>
      <c r="N29" s="50">
        <v>0</v>
      </c>
      <c r="O29" s="15">
        <f t="shared" si="0"/>
        <v>44</v>
      </c>
      <c r="P29" s="15">
        <f t="shared" si="1"/>
        <v>75</v>
      </c>
      <c r="R29"/>
      <c r="S29" s="20"/>
      <c r="T29" s="19"/>
    </row>
    <row r="30" spans="2:32" ht="23.1" customHeight="1" x14ac:dyDescent="0.25">
      <c r="B30" s="23" t="s">
        <v>57</v>
      </c>
      <c r="C30" s="50">
        <v>19</v>
      </c>
      <c r="D30" s="50">
        <v>3</v>
      </c>
      <c r="E30" s="50">
        <v>5</v>
      </c>
      <c r="F30" s="50">
        <v>7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35</v>
      </c>
      <c r="P30" s="15">
        <f t="shared" si="1"/>
        <v>61</v>
      </c>
    </row>
    <row r="31" spans="2:32" ht="23.1" customHeight="1" x14ac:dyDescent="0.25">
      <c r="B31" s="24" t="s">
        <v>58</v>
      </c>
      <c r="C31" s="50">
        <v>15</v>
      </c>
      <c r="D31" s="50">
        <v>3</v>
      </c>
      <c r="E31" s="50">
        <v>0</v>
      </c>
      <c r="F31" s="50">
        <v>7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19</v>
      </c>
      <c r="N31" s="50">
        <v>0</v>
      </c>
      <c r="O31" s="15">
        <f t="shared" si="0"/>
        <v>27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29</v>
      </c>
      <c r="D32" s="50">
        <v>6</v>
      </c>
      <c r="E32" s="50">
        <v>0</v>
      </c>
      <c r="F32" s="50">
        <v>6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5">
        <f t="shared" si="0"/>
        <v>44</v>
      </c>
      <c r="P32" s="15">
        <f t="shared" si="1"/>
        <v>64</v>
      </c>
    </row>
    <row r="33" spans="2:20" ht="23.1" customHeight="1" x14ac:dyDescent="0.25">
      <c r="B33" s="23" t="s">
        <v>60</v>
      </c>
      <c r="C33" s="50">
        <v>7</v>
      </c>
      <c r="D33" s="50">
        <v>4</v>
      </c>
      <c r="E33" s="50">
        <v>5</v>
      </c>
      <c r="F33" s="50">
        <v>4</v>
      </c>
      <c r="G33" s="50">
        <v>0</v>
      </c>
      <c r="H33" s="50">
        <v>0</v>
      </c>
      <c r="I33" s="50">
        <v>6</v>
      </c>
      <c r="J33" s="50">
        <v>0</v>
      </c>
      <c r="K33" s="50">
        <v>0</v>
      </c>
      <c r="L33" s="50">
        <v>0</v>
      </c>
      <c r="M33" s="50">
        <v>50</v>
      </c>
      <c r="N33" s="50">
        <v>0</v>
      </c>
      <c r="O33" s="15">
        <f t="shared" si="0"/>
        <v>26</v>
      </c>
      <c r="P33" s="15">
        <f t="shared" si="1"/>
        <v>76</v>
      </c>
    </row>
    <row r="34" spans="2:20" ht="23.1" customHeight="1" x14ac:dyDescent="0.25">
      <c r="B34" s="24" t="s">
        <v>61</v>
      </c>
      <c r="C34" s="50">
        <v>11</v>
      </c>
      <c r="D34" s="50">
        <v>1</v>
      </c>
      <c r="E34" s="50">
        <v>2</v>
      </c>
      <c r="F34" s="50">
        <v>5</v>
      </c>
      <c r="G34" s="50">
        <v>0</v>
      </c>
      <c r="H34" s="50">
        <v>0</v>
      </c>
      <c r="I34" s="50">
        <v>5</v>
      </c>
      <c r="J34" s="50">
        <v>0</v>
      </c>
      <c r="K34" s="50">
        <v>1</v>
      </c>
      <c r="L34" s="50">
        <v>0</v>
      </c>
      <c r="M34" s="50">
        <v>40</v>
      </c>
      <c r="N34" s="50">
        <v>0</v>
      </c>
      <c r="O34" s="15">
        <f t="shared" si="0"/>
        <v>25</v>
      </c>
      <c r="P34" s="15">
        <f t="shared" si="1"/>
        <v>65</v>
      </c>
    </row>
    <row r="35" spans="2:20" ht="23.1" customHeight="1" x14ac:dyDescent="0.25">
      <c r="B35" s="24" t="s">
        <v>62</v>
      </c>
      <c r="C35" s="50">
        <v>27</v>
      </c>
      <c r="D35" s="50">
        <v>4</v>
      </c>
      <c r="E35" s="50">
        <v>4</v>
      </c>
      <c r="F35" s="50">
        <v>5</v>
      </c>
      <c r="G35" s="50">
        <v>0</v>
      </c>
      <c r="H35" s="50">
        <v>0</v>
      </c>
      <c r="I35" s="50">
        <v>2</v>
      </c>
      <c r="J35" s="50">
        <v>1</v>
      </c>
      <c r="K35" s="50">
        <v>1</v>
      </c>
      <c r="L35" s="50">
        <v>0</v>
      </c>
      <c r="M35" s="50">
        <v>34</v>
      </c>
      <c r="N35" s="50">
        <v>0</v>
      </c>
      <c r="O35" s="15">
        <f t="shared" si="0"/>
        <v>44</v>
      </c>
      <c r="P35" s="15">
        <f t="shared" si="1"/>
        <v>78</v>
      </c>
    </row>
    <row r="36" spans="2:20" ht="23.1" customHeight="1" x14ac:dyDescent="0.25">
      <c r="B36" s="24" t="s">
        <v>63</v>
      </c>
      <c r="C36" s="50">
        <v>14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21</v>
      </c>
      <c r="N36" s="50">
        <v>0</v>
      </c>
      <c r="O36" s="15">
        <f t="shared" si="0"/>
        <v>21</v>
      </c>
      <c r="P36" s="15">
        <f t="shared" si="1"/>
        <v>42</v>
      </c>
    </row>
    <row r="37" spans="2:20" ht="23.1" customHeight="1" x14ac:dyDescent="0.25">
      <c r="B37" s="23" t="s">
        <v>64</v>
      </c>
      <c r="C37" s="50">
        <v>24</v>
      </c>
      <c r="D37" s="50">
        <v>3</v>
      </c>
      <c r="E37" s="50">
        <v>3</v>
      </c>
      <c r="F37" s="50">
        <v>3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36</v>
      </c>
      <c r="P37" s="15">
        <f t="shared" si="1"/>
        <v>57</v>
      </c>
    </row>
    <row r="38" spans="2:20" ht="23.1" customHeight="1" x14ac:dyDescent="0.25">
      <c r="B38" s="24" t="s">
        <v>65</v>
      </c>
      <c r="C38" s="50">
        <v>23</v>
      </c>
      <c r="D38" s="50">
        <v>7</v>
      </c>
      <c r="E38" s="50">
        <v>3</v>
      </c>
      <c r="F38" s="50">
        <v>3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38</v>
      </c>
      <c r="P38" s="15">
        <f t="shared" si="1"/>
        <v>93</v>
      </c>
    </row>
    <row r="39" spans="2:20" ht="23.1" customHeight="1" x14ac:dyDescent="0.25">
      <c r="B39" s="24" t="s">
        <v>66</v>
      </c>
      <c r="C39" s="50">
        <v>13</v>
      </c>
      <c r="D39" s="50">
        <v>3</v>
      </c>
      <c r="E39" s="50">
        <v>2</v>
      </c>
      <c r="F39" s="50">
        <v>6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40</v>
      </c>
      <c r="N39" s="50">
        <v>0</v>
      </c>
      <c r="O39" s="15">
        <f t="shared" si="0"/>
        <v>26</v>
      </c>
      <c r="P39" s="15">
        <f t="shared" si="1"/>
        <v>66</v>
      </c>
    </row>
    <row r="40" spans="2:20" ht="23.1" customHeight="1" x14ac:dyDescent="0.25">
      <c r="B40" s="24" t="s">
        <v>67</v>
      </c>
      <c r="C40" s="50">
        <v>10</v>
      </c>
      <c r="D40" s="50">
        <v>4</v>
      </c>
      <c r="E40" s="50">
        <v>2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40</v>
      </c>
      <c r="N40" s="50">
        <v>0</v>
      </c>
      <c r="O40" s="15">
        <f t="shared" si="0"/>
        <v>21</v>
      </c>
      <c r="P40" s="15">
        <f t="shared" si="1"/>
        <v>61</v>
      </c>
    </row>
    <row r="41" spans="2:20" ht="23.1" customHeight="1" x14ac:dyDescent="0.25">
      <c r="B41" s="23" t="s">
        <v>68</v>
      </c>
      <c r="C41" s="50">
        <v>15</v>
      </c>
      <c r="D41" s="50">
        <v>3</v>
      </c>
      <c r="E41" s="50">
        <v>5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26</v>
      </c>
      <c r="P41" s="15">
        <f t="shared" si="1"/>
        <v>57</v>
      </c>
    </row>
    <row r="42" spans="2:20" ht="23.1" customHeight="1" x14ac:dyDescent="0.25">
      <c r="B42" s="24" t="s">
        <v>69</v>
      </c>
      <c r="C42" s="50">
        <v>19</v>
      </c>
      <c r="D42" s="50">
        <v>13</v>
      </c>
      <c r="E42" s="50">
        <v>3</v>
      </c>
      <c r="F42" s="50">
        <v>8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44</v>
      </c>
      <c r="P42" s="15">
        <f t="shared" si="1"/>
        <v>99</v>
      </c>
    </row>
    <row r="43" spans="2:20" ht="23.1" customHeight="1" x14ac:dyDescent="0.25">
      <c r="B43" s="23" t="s">
        <v>70</v>
      </c>
      <c r="C43" s="50">
        <v>22</v>
      </c>
      <c r="D43" s="50">
        <v>5</v>
      </c>
      <c r="E43" s="50">
        <v>2</v>
      </c>
      <c r="F43" s="50">
        <v>10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43</v>
      </c>
      <c r="N43" s="50">
        <v>0</v>
      </c>
      <c r="O43" s="15">
        <f t="shared" si="0"/>
        <v>40</v>
      </c>
      <c r="P43" s="15">
        <f t="shared" si="1"/>
        <v>83</v>
      </c>
    </row>
    <row r="44" spans="2:20" ht="23.1" customHeight="1" x14ac:dyDescent="0.25">
      <c r="B44" s="25" t="s">
        <v>71</v>
      </c>
      <c r="C44" s="50">
        <v>14</v>
      </c>
      <c r="D44" s="50">
        <v>7</v>
      </c>
      <c r="E44" s="50">
        <v>3</v>
      </c>
      <c r="F44" s="50">
        <v>7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25</v>
      </c>
      <c r="N44" s="50">
        <v>0</v>
      </c>
      <c r="O44" s="15">
        <f t="shared" si="0"/>
        <v>35</v>
      </c>
      <c r="P44" s="15">
        <f t="shared" si="1"/>
        <v>60</v>
      </c>
    </row>
    <row r="45" spans="2:20" ht="23.1" customHeight="1" x14ac:dyDescent="0.25">
      <c r="B45" s="23" t="s">
        <v>72</v>
      </c>
      <c r="C45" s="50">
        <v>18</v>
      </c>
      <c r="D45" s="50">
        <v>5</v>
      </c>
      <c r="E45" s="50">
        <v>1</v>
      </c>
      <c r="F45" s="50">
        <v>6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31</v>
      </c>
      <c r="P45" s="15">
        <f t="shared" si="1"/>
        <v>56</v>
      </c>
    </row>
    <row r="46" spans="2:20" ht="23.1" customHeight="1" x14ac:dyDescent="0.25">
      <c r="B46" s="24" t="s">
        <v>73</v>
      </c>
      <c r="C46" s="50">
        <v>21</v>
      </c>
      <c r="D46" s="50">
        <v>10</v>
      </c>
      <c r="E46" s="50">
        <v>5</v>
      </c>
      <c r="F46" s="50">
        <v>4</v>
      </c>
      <c r="G46" s="50">
        <v>0</v>
      </c>
      <c r="H46" s="50">
        <v>0</v>
      </c>
      <c r="I46" s="50">
        <v>7</v>
      </c>
      <c r="J46" s="50">
        <v>3</v>
      </c>
      <c r="K46" s="50">
        <v>0</v>
      </c>
      <c r="L46" s="50">
        <v>0</v>
      </c>
      <c r="M46" s="50">
        <v>39</v>
      </c>
      <c r="N46" s="50">
        <v>0</v>
      </c>
      <c r="O46" s="15">
        <f t="shared" si="0"/>
        <v>50</v>
      </c>
      <c r="P46" s="15">
        <f t="shared" si="1"/>
        <v>89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4</v>
      </c>
      <c r="E47" s="50">
        <v>3</v>
      </c>
      <c r="F47" s="50">
        <v>4</v>
      </c>
      <c r="G47" s="50">
        <v>1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44</v>
      </c>
      <c r="N47" s="50">
        <v>0</v>
      </c>
      <c r="O47" s="15">
        <f t="shared" si="0"/>
        <v>30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5</v>
      </c>
      <c r="E48" s="50">
        <v>1</v>
      </c>
      <c r="F48" s="50">
        <v>5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28</v>
      </c>
      <c r="P48" s="15">
        <f t="shared" si="1"/>
        <v>68</v>
      </c>
      <c r="R48" s="8"/>
      <c r="T48"/>
    </row>
    <row r="49" spans="2:20" ht="23.1" customHeight="1" x14ac:dyDescent="0.25">
      <c r="B49" s="23" t="s">
        <v>76</v>
      </c>
      <c r="C49" s="50">
        <v>17</v>
      </c>
      <c r="D49" s="50">
        <v>3</v>
      </c>
      <c r="E49" s="50">
        <v>3</v>
      </c>
      <c r="F49" s="50">
        <v>6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36</v>
      </c>
      <c r="N49" s="50">
        <v>0</v>
      </c>
      <c r="O49" s="15">
        <f t="shared" si="0"/>
        <v>31</v>
      </c>
      <c r="P49" s="15">
        <f t="shared" si="1"/>
        <v>67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5</v>
      </c>
      <c r="E50" s="50">
        <v>0</v>
      </c>
      <c r="F50" s="50">
        <v>4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44</v>
      </c>
      <c r="N50" s="50">
        <v>0</v>
      </c>
      <c r="O50" s="15">
        <f t="shared" si="0"/>
        <v>25</v>
      </c>
      <c r="P50" s="15">
        <f t="shared" si="1"/>
        <v>69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2</v>
      </c>
      <c r="E51" s="50">
        <v>3</v>
      </c>
      <c r="F51" s="50">
        <v>7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26</v>
      </c>
      <c r="N51" s="50">
        <v>0</v>
      </c>
      <c r="O51" s="15">
        <f t="shared" si="0"/>
        <v>29</v>
      </c>
      <c r="P51" s="15">
        <f t="shared" si="1"/>
        <v>55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2</v>
      </c>
      <c r="E52" s="50">
        <v>4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42</v>
      </c>
      <c r="N52" s="50">
        <v>0</v>
      </c>
      <c r="O52" s="15">
        <f t="shared" si="0"/>
        <v>28</v>
      </c>
      <c r="P52" s="15">
        <f t="shared" si="1"/>
        <v>70</v>
      </c>
      <c r="R52" s="8"/>
      <c r="T52"/>
    </row>
    <row r="53" spans="2:20" ht="23.1" customHeight="1" x14ac:dyDescent="0.25">
      <c r="B53" s="23" t="s">
        <v>80</v>
      </c>
      <c r="C53" s="50">
        <v>20</v>
      </c>
      <c r="D53" s="50">
        <v>5</v>
      </c>
      <c r="E53" s="50">
        <v>3</v>
      </c>
      <c r="F53" s="50">
        <v>9</v>
      </c>
      <c r="G53" s="50">
        <v>2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43</v>
      </c>
      <c r="P53" s="15">
        <f t="shared" si="1"/>
        <v>98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4</v>
      </c>
      <c r="E54" s="50">
        <v>3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52</v>
      </c>
      <c r="N54" s="50">
        <v>0</v>
      </c>
      <c r="O54" s="15">
        <f t="shared" si="0"/>
        <v>25</v>
      </c>
      <c r="P54" s="15">
        <f t="shared" si="1"/>
        <v>77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9</v>
      </c>
      <c r="E55" s="50">
        <v>4</v>
      </c>
      <c r="F55" s="50">
        <v>3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65</v>
      </c>
      <c r="N55" s="50">
        <v>0</v>
      </c>
      <c r="O55" s="15">
        <f t="shared" si="0"/>
        <v>38</v>
      </c>
      <c r="P55" s="15">
        <f t="shared" si="1"/>
        <v>103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3</v>
      </c>
      <c r="E56" s="50">
        <v>2</v>
      </c>
      <c r="F56" s="50">
        <v>10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55</v>
      </c>
      <c r="N56" s="50">
        <v>0</v>
      </c>
      <c r="O56" s="15">
        <f t="shared" si="0"/>
        <v>33</v>
      </c>
      <c r="P56" s="15">
        <f t="shared" si="1"/>
        <v>88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2</v>
      </c>
      <c r="E57" s="50">
        <v>1</v>
      </c>
      <c r="F57" s="50">
        <v>3</v>
      </c>
      <c r="G57" s="50">
        <v>2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59</v>
      </c>
      <c r="N57" s="50">
        <v>0</v>
      </c>
      <c r="O57" s="15">
        <f t="shared" si="0"/>
        <v>20</v>
      </c>
      <c r="P57" s="15">
        <f t="shared" si="1"/>
        <v>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1380</v>
      </c>
      <c r="D58" s="16">
        <f t="shared" si="21"/>
        <v>318</v>
      </c>
      <c r="E58" s="16">
        <f t="shared" si="21"/>
        <v>159</v>
      </c>
      <c r="F58" s="16">
        <f t="shared" si="21"/>
        <v>614</v>
      </c>
      <c r="G58" s="16">
        <f t="shared" si="21"/>
        <v>13</v>
      </c>
      <c r="H58" s="16">
        <f t="shared" si="21"/>
        <v>1</v>
      </c>
      <c r="I58" s="16">
        <f t="shared" si="21"/>
        <v>131</v>
      </c>
      <c r="J58" s="16">
        <f t="shared" si="21"/>
        <v>12</v>
      </c>
      <c r="K58" s="16">
        <f t="shared" si="21"/>
        <v>3</v>
      </c>
      <c r="L58" s="16">
        <f t="shared" si="21"/>
        <v>0</v>
      </c>
      <c r="M58" s="16">
        <f t="shared" si="21"/>
        <v>2778</v>
      </c>
      <c r="N58" s="16">
        <f t="shared" si="21"/>
        <v>0</v>
      </c>
      <c r="O58" s="16">
        <f t="shared" si="21"/>
        <v>2631</v>
      </c>
      <c r="P58" s="16">
        <f t="shared" si="21"/>
        <v>5409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0.25513033832501386</v>
      </c>
      <c r="D59" s="43">
        <f t="shared" si="22"/>
        <v>5.8790904048807546E-2</v>
      </c>
      <c r="E59" s="43">
        <f t="shared" si="22"/>
        <v>2.9395452024403773E-2</v>
      </c>
      <c r="F59" s="43">
        <f t="shared" si="22"/>
        <v>0.11351451284895545</v>
      </c>
      <c r="G59" s="43">
        <f t="shared" si="22"/>
        <v>2.4034017378443337E-3</v>
      </c>
      <c r="H59" s="43">
        <f t="shared" si="22"/>
        <v>1.8487705675725643E-4</v>
      </c>
      <c r="I59" s="43">
        <f t="shared" si="22"/>
        <v>2.4218894435200592E-2</v>
      </c>
      <c r="J59" s="43">
        <f t="shared" si="22"/>
        <v>2.2185246810870773E-3</v>
      </c>
      <c r="K59" s="43">
        <f t="shared" si="22"/>
        <v>5.5463117027176932E-4</v>
      </c>
      <c r="L59" s="43">
        <f t="shared" si="22"/>
        <v>0</v>
      </c>
      <c r="M59" s="43">
        <f t="shared" si="22"/>
        <v>0.51358846367165834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0.52451539338654507</v>
      </c>
      <c r="D60" s="44">
        <f t="shared" ref="D60:N60" si="23">D58/$O$58</f>
        <v>0.12086659064994298</v>
      </c>
      <c r="E60" s="44">
        <f t="shared" si="23"/>
        <v>6.0433295324971492E-2</v>
      </c>
      <c r="F60" s="44">
        <f t="shared" si="23"/>
        <v>0.23337134169517293</v>
      </c>
      <c r="G60" s="44">
        <f t="shared" si="23"/>
        <v>4.9410870391486126E-3</v>
      </c>
      <c r="H60" s="44">
        <f t="shared" si="23"/>
        <v>3.8008361839604712E-4</v>
      </c>
      <c r="I60" s="44">
        <f t="shared" si="23"/>
        <v>4.9790954009882177E-2</v>
      </c>
      <c r="J60" s="44">
        <f t="shared" si="23"/>
        <v>4.5610034207525657E-3</v>
      </c>
      <c r="K60" s="44">
        <f t="shared" si="23"/>
        <v>1.1402508551881414E-3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A58" sqref="A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NSOOBA-KYEBANDO'!D5</f>
        <v>02.07.19</v>
      </c>
      <c r="E5" s="3"/>
      <c r="F5" s="41" t="s">
        <v>1</v>
      </c>
      <c r="G5" s="70">
        <f>'02.08 NSOOBA-KYEBANDO'!G5:H5</f>
        <v>29</v>
      </c>
      <c r="H5" s="71"/>
      <c r="I5" s="14"/>
      <c r="J5" s="2" t="s">
        <v>5</v>
      </c>
      <c r="K5" s="70" t="str">
        <f>'02.08 NSOOBA-KYEBANDO'!K5:L5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'29.07 KYEBANDO-NSOOBA'!G6:H6</f>
        <v>NSOOBA</v>
      </c>
      <c r="H6" s="71"/>
      <c r="J6" s="2" t="s">
        <v>21</v>
      </c>
      <c r="K6" s="70" t="str">
        <f>'02.08 NSOOBA-KYEBANDO'!K6:L6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2</v>
      </c>
      <c r="E10" s="50">
        <v>2</v>
      </c>
      <c r="F10" s="50">
        <v>3</v>
      </c>
      <c r="G10" s="50">
        <v>0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27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42</v>
      </c>
      <c r="T10" s="17">
        <f t="shared" si="2"/>
        <v>7</v>
      </c>
      <c r="U10" s="17">
        <f t="shared" si="2"/>
        <v>6</v>
      </c>
      <c r="V10" s="17">
        <f t="shared" si="2"/>
        <v>23</v>
      </c>
      <c r="W10" s="17">
        <f t="shared" si="2"/>
        <v>1</v>
      </c>
      <c r="X10" s="17">
        <f t="shared" si="2"/>
        <v>0</v>
      </c>
      <c r="Y10" s="17">
        <f t="shared" si="2"/>
        <v>9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236</v>
      </c>
      <c r="AD10" s="17">
        <f t="shared" si="2"/>
        <v>0</v>
      </c>
      <c r="AE10" s="31">
        <f t="shared" si="2"/>
        <v>92</v>
      </c>
      <c r="AF10" s="31">
        <f t="shared" si="2"/>
        <v>328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1</v>
      </c>
      <c r="E11" s="50">
        <v>0</v>
      </c>
      <c r="F11" s="50">
        <v>9</v>
      </c>
      <c r="G11" s="50">
        <v>1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50</v>
      </c>
      <c r="N11" s="50">
        <v>0</v>
      </c>
      <c r="O11" s="15">
        <f t="shared" si="0"/>
        <v>24</v>
      </c>
      <c r="P11" s="15">
        <f t="shared" si="1"/>
        <v>74</v>
      </c>
      <c r="R11" s="1" t="s">
        <v>7</v>
      </c>
      <c r="S11" s="17">
        <f t="shared" ref="S11:AF11" si="3">SUM(C14:C17)</f>
        <v>49</v>
      </c>
      <c r="T11" s="17">
        <f t="shared" si="3"/>
        <v>12</v>
      </c>
      <c r="U11" s="17">
        <f t="shared" si="3"/>
        <v>7</v>
      </c>
      <c r="V11" s="17">
        <f t="shared" si="3"/>
        <v>24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5</v>
      </c>
      <c r="AA11" s="17">
        <f t="shared" si="3"/>
        <v>1</v>
      </c>
      <c r="AB11" s="17">
        <f t="shared" si="3"/>
        <v>0</v>
      </c>
      <c r="AC11" s="17">
        <f t="shared" si="3"/>
        <v>405</v>
      </c>
      <c r="AD11" s="17">
        <f t="shared" si="3"/>
        <v>0</v>
      </c>
      <c r="AE11" s="31">
        <f t="shared" si="3"/>
        <v>107</v>
      </c>
      <c r="AF11" s="31">
        <f t="shared" si="3"/>
        <v>512</v>
      </c>
    </row>
    <row r="12" spans="2:32" ht="23.1" customHeight="1" x14ac:dyDescent="0.25">
      <c r="B12" s="23" t="s">
        <v>39</v>
      </c>
      <c r="C12" s="50">
        <v>13</v>
      </c>
      <c r="D12" s="50">
        <v>2</v>
      </c>
      <c r="E12" s="50">
        <v>0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81</v>
      </c>
      <c r="N12" s="50">
        <v>0</v>
      </c>
      <c r="O12" s="15">
        <f t="shared" si="0"/>
        <v>22</v>
      </c>
      <c r="P12" s="15">
        <f t="shared" si="1"/>
        <v>103</v>
      </c>
      <c r="R12" s="1" t="s">
        <v>8</v>
      </c>
      <c r="S12" s="17">
        <f t="shared" ref="S12:AF12" si="4">SUM(C18:C21)</f>
        <v>50</v>
      </c>
      <c r="T12" s="17">
        <f t="shared" si="4"/>
        <v>21</v>
      </c>
      <c r="U12" s="17">
        <f t="shared" si="4"/>
        <v>16</v>
      </c>
      <c r="V12" s="17">
        <f t="shared" si="4"/>
        <v>29</v>
      </c>
      <c r="W12" s="17">
        <f t="shared" si="4"/>
        <v>3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294</v>
      </c>
      <c r="AD12" s="17">
        <f t="shared" si="4"/>
        <v>0</v>
      </c>
      <c r="AE12" s="31">
        <f t="shared" si="4"/>
        <v>131</v>
      </c>
      <c r="AF12" s="31">
        <f t="shared" si="4"/>
        <v>425</v>
      </c>
    </row>
    <row r="13" spans="2:32" ht="23.1" customHeight="1" x14ac:dyDescent="0.25">
      <c r="B13" s="23" t="s">
        <v>40</v>
      </c>
      <c r="C13" s="50">
        <v>11</v>
      </c>
      <c r="D13" s="50">
        <v>2</v>
      </c>
      <c r="E13" s="50">
        <v>4</v>
      </c>
      <c r="F13" s="50">
        <v>6</v>
      </c>
      <c r="G13" s="50">
        <v>0</v>
      </c>
      <c r="H13" s="50">
        <v>0</v>
      </c>
      <c r="I13" s="50">
        <v>3</v>
      </c>
      <c r="J13" s="50">
        <v>1</v>
      </c>
      <c r="K13" s="50">
        <v>0</v>
      </c>
      <c r="L13" s="50">
        <v>0</v>
      </c>
      <c r="M13" s="50">
        <v>78</v>
      </c>
      <c r="N13" s="50">
        <v>0</v>
      </c>
      <c r="O13" s="15">
        <f t="shared" si="0"/>
        <v>27</v>
      </c>
      <c r="P13" s="15">
        <f t="shared" si="1"/>
        <v>105</v>
      </c>
      <c r="R13" s="1" t="s">
        <v>9</v>
      </c>
      <c r="S13" s="17">
        <f t="shared" ref="S13:AF13" si="5">SUM(C22:C25)</f>
        <v>87</v>
      </c>
      <c r="T13" s="17">
        <f t="shared" si="5"/>
        <v>25</v>
      </c>
      <c r="U13" s="17">
        <f t="shared" si="5"/>
        <v>25</v>
      </c>
      <c r="V13" s="17">
        <f t="shared" si="5"/>
        <v>56</v>
      </c>
      <c r="W13" s="17">
        <f t="shared" si="5"/>
        <v>4</v>
      </c>
      <c r="X13" s="17">
        <f t="shared" si="5"/>
        <v>0</v>
      </c>
      <c r="Y13" s="17">
        <f t="shared" si="5"/>
        <v>26</v>
      </c>
      <c r="Z13" s="17">
        <f t="shared" si="5"/>
        <v>11</v>
      </c>
      <c r="AA13" s="17">
        <f t="shared" si="5"/>
        <v>5</v>
      </c>
      <c r="AB13" s="17">
        <f t="shared" si="5"/>
        <v>0</v>
      </c>
      <c r="AC13" s="17">
        <f t="shared" si="5"/>
        <v>347</v>
      </c>
      <c r="AD13" s="17">
        <f t="shared" si="5"/>
        <v>0</v>
      </c>
      <c r="AE13" s="31">
        <f t="shared" si="5"/>
        <v>239</v>
      </c>
      <c r="AF13" s="31">
        <f t="shared" si="5"/>
        <v>586</v>
      </c>
    </row>
    <row r="14" spans="2:32" ht="23.1" customHeight="1" x14ac:dyDescent="0.25">
      <c r="B14" s="23" t="s">
        <v>41</v>
      </c>
      <c r="C14" s="50">
        <v>12</v>
      </c>
      <c r="D14" s="50">
        <v>3</v>
      </c>
      <c r="E14" s="50">
        <v>3</v>
      </c>
      <c r="F14" s="50">
        <v>3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95</v>
      </c>
      <c r="N14" s="50">
        <v>0</v>
      </c>
      <c r="O14" s="15">
        <f t="shared" si="0"/>
        <v>25</v>
      </c>
      <c r="P14" s="15">
        <f t="shared" si="1"/>
        <v>120</v>
      </c>
      <c r="R14" s="1" t="s">
        <v>10</v>
      </c>
      <c r="S14" s="17">
        <f t="shared" ref="S14:AF14" si="6">SUM(C26:C29)</f>
        <v>90</v>
      </c>
      <c r="T14" s="17">
        <f t="shared" si="6"/>
        <v>30</v>
      </c>
      <c r="U14" s="17">
        <f t="shared" si="6"/>
        <v>27</v>
      </c>
      <c r="V14" s="17">
        <f t="shared" si="6"/>
        <v>26</v>
      </c>
      <c r="W14" s="17">
        <f t="shared" si="6"/>
        <v>0</v>
      </c>
      <c r="X14" s="17">
        <f t="shared" si="6"/>
        <v>6</v>
      </c>
      <c r="Y14" s="17">
        <f t="shared" si="6"/>
        <v>15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283</v>
      </c>
      <c r="AD14" s="17">
        <f t="shared" si="6"/>
        <v>0</v>
      </c>
      <c r="AE14" s="31">
        <f t="shared" si="6"/>
        <v>197</v>
      </c>
      <c r="AF14" s="31">
        <f t="shared" si="6"/>
        <v>480</v>
      </c>
    </row>
    <row r="15" spans="2:32" ht="23.1" customHeight="1" x14ac:dyDescent="0.25">
      <c r="B15" s="23" t="s">
        <v>42</v>
      </c>
      <c r="C15" s="50">
        <v>12</v>
      </c>
      <c r="D15" s="50">
        <v>1</v>
      </c>
      <c r="E15" s="50">
        <v>1</v>
      </c>
      <c r="F15" s="50">
        <v>6</v>
      </c>
      <c r="G15" s="50">
        <v>1</v>
      </c>
      <c r="H15" s="50">
        <v>0</v>
      </c>
      <c r="I15" s="50">
        <v>2</v>
      </c>
      <c r="J15" s="50">
        <v>2</v>
      </c>
      <c r="K15" s="50">
        <v>0</v>
      </c>
      <c r="L15" s="50">
        <v>0</v>
      </c>
      <c r="M15" s="50">
        <v>104</v>
      </c>
      <c r="N15" s="50">
        <v>0</v>
      </c>
      <c r="O15" s="15">
        <f t="shared" si="0"/>
        <v>25</v>
      </c>
      <c r="P15" s="15">
        <f t="shared" si="1"/>
        <v>129</v>
      </c>
      <c r="R15" s="1" t="s">
        <v>11</v>
      </c>
      <c r="S15" s="17">
        <f t="shared" ref="S15:AF15" si="7">SUM(C30:C33)</f>
        <v>99</v>
      </c>
      <c r="T15" s="17">
        <f t="shared" si="7"/>
        <v>24</v>
      </c>
      <c r="U15" s="17">
        <f t="shared" si="7"/>
        <v>16</v>
      </c>
      <c r="V15" s="17">
        <f t="shared" si="7"/>
        <v>36</v>
      </c>
      <c r="W15" s="17">
        <f t="shared" si="7"/>
        <v>2</v>
      </c>
      <c r="X15" s="17">
        <f t="shared" si="7"/>
        <v>0</v>
      </c>
      <c r="Y15" s="17">
        <f t="shared" si="7"/>
        <v>23</v>
      </c>
      <c r="Z15" s="17">
        <f t="shared" si="7"/>
        <v>8</v>
      </c>
      <c r="AA15" s="17">
        <f t="shared" si="7"/>
        <v>2</v>
      </c>
      <c r="AB15" s="17">
        <f t="shared" si="7"/>
        <v>0</v>
      </c>
      <c r="AC15" s="17">
        <f t="shared" si="7"/>
        <v>265</v>
      </c>
      <c r="AD15" s="17">
        <f t="shared" si="7"/>
        <v>0</v>
      </c>
      <c r="AE15" s="31">
        <f t="shared" si="7"/>
        <v>210</v>
      </c>
      <c r="AF15" s="31">
        <f t="shared" si="7"/>
        <v>475</v>
      </c>
    </row>
    <row r="16" spans="2:32" ht="23.1" customHeight="1" x14ac:dyDescent="0.25">
      <c r="B16" s="23" t="s">
        <v>43</v>
      </c>
      <c r="C16" s="50">
        <v>11</v>
      </c>
      <c r="D16" s="50">
        <v>5</v>
      </c>
      <c r="E16" s="50">
        <v>0</v>
      </c>
      <c r="F16" s="50">
        <v>7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106</v>
      </c>
      <c r="N16" s="50">
        <v>0</v>
      </c>
      <c r="O16" s="15">
        <f t="shared" si="0"/>
        <v>25</v>
      </c>
      <c r="P16" s="15">
        <f t="shared" si="1"/>
        <v>131</v>
      </c>
      <c r="R16" s="1" t="s">
        <v>12</v>
      </c>
      <c r="S16" s="17">
        <f t="shared" ref="S16:AF16" si="8">SUM(C34:C37)</f>
        <v>93</v>
      </c>
      <c r="T16" s="17">
        <f t="shared" si="8"/>
        <v>19</v>
      </c>
      <c r="U16" s="17">
        <f t="shared" si="8"/>
        <v>25</v>
      </c>
      <c r="V16" s="17">
        <f t="shared" si="8"/>
        <v>32</v>
      </c>
      <c r="W16" s="17">
        <f t="shared" si="8"/>
        <v>0</v>
      </c>
      <c r="X16" s="17">
        <f t="shared" si="8"/>
        <v>1</v>
      </c>
      <c r="Y16" s="17">
        <f t="shared" si="8"/>
        <v>15</v>
      </c>
      <c r="Z16" s="17">
        <f t="shared" si="8"/>
        <v>5</v>
      </c>
      <c r="AA16" s="17">
        <f t="shared" si="8"/>
        <v>2</v>
      </c>
      <c r="AB16" s="17">
        <f t="shared" si="8"/>
        <v>0</v>
      </c>
      <c r="AC16" s="17">
        <f t="shared" si="8"/>
        <v>200</v>
      </c>
      <c r="AD16" s="17">
        <f t="shared" si="8"/>
        <v>0</v>
      </c>
      <c r="AE16" s="31">
        <f t="shared" si="8"/>
        <v>192</v>
      </c>
      <c r="AF16" s="31">
        <f t="shared" si="8"/>
        <v>392</v>
      </c>
    </row>
    <row r="17" spans="2:32" ht="23.1" customHeight="1" x14ac:dyDescent="0.25">
      <c r="B17" s="23" t="s">
        <v>44</v>
      </c>
      <c r="C17" s="50">
        <v>14</v>
      </c>
      <c r="D17" s="50">
        <v>3</v>
      </c>
      <c r="E17" s="50">
        <v>3</v>
      </c>
      <c r="F17" s="50">
        <v>8</v>
      </c>
      <c r="G17" s="50">
        <v>0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100</v>
      </c>
      <c r="N17" s="50">
        <v>0</v>
      </c>
      <c r="O17" s="15">
        <f t="shared" si="0"/>
        <v>32</v>
      </c>
      <c r="P17" s="15">
        <f t="shared" si="1"/>
        <v>132</v>
      </c>
      <c r="R17" s="1" t="s">
        <v>13</v>
      </c>
      <c r="S17" s="17">
        <f t="shared" ref="S17:AF17" si="9">SUM(C38:C41)</f>
        <v>125</v>
      </c>
      <c r="T17" s="17">
        <f t="shared" si="9"/>
        <v>15</v>
      </c>
      <c r="U17" s="17">
        <f t="shared" si="9"/>
        <v>9</v>
      </c>
      <c r="V17" s="17">
        <f t="shared" si="9"/>
        <v>11</v>
      </c>
      <c r="W17" s="17">
        <f t="shared" si="9"/>
        <v>2</v>
      </c>
      <c r="X17" s="17">
        <f t="shared" si="9"/>
        <v>0</v>
      </c>
      <c r="Y17" s="17">
        <f t="shared" si="9"/>
        <v>13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214</v>
      </c>
      <c r="AD17" s="17">
        <f t="shared" si="9"/>
        <v>0</v>
      </c>
      <c r="AE17" s="31">
        <f t="shared" si="9"/>
        <v>178</v>
      </c>
      <c r="AF17" s="31">
        <f t="shared" si="9"/>
        <v>392</v>
      </c>
    </row>
    <row r="18" spans="2:32" ht="23.1" customHeight="1" x14ac:dyDescent="0.25">
      <c r="B18" s="23" t="s">
        <v>45</v>
      </c>
      <c r="C18" s="50">
        <v>16</v>
      </c>
      <c r="D18" s="50">
        <v>5</v>
      </c>
      <c r="E18" s="50">
        <v>4</v>
      </c>
      <c r="F18" s="50">
        <v>10</v>
      </c>
      <c r="G18" s="50">
        <v>1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105</v>
      </c>
      <c r="N18" s="50">
        <v>0</v>
      </c>
      <c r="O18" s="15">
        <f t="shared" si="0"/>
        <v>38</v>
      </c>
      <c r="P18" s="15">
        <f t="shared" si="1"/>
        <v>143</v>
      </c>
      <c r="R18" s="1" t="s">
        <v>14</v>
      </c>
      <c r="S18" s="17">
        <f t="shared" ref="S18:AF18" si="10">SUM(C42:C45)</f>
        <v>93</v>
      </c>
      <c r="T18" s="17">
        <f t="shared" si="10"/>
        <v>13</v>
      </c>
      <c r="U18" s="17">
        <f t="shared" si="10"/>
        <v>17</v>
      </c>
      <c r="V18" s="17">
        <f t="shared" si="10"/>
        <v>18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218</v>
      </c>
      <c r="AD18" s="17">
        <f t="shared" si="10"/>
        <v>0</v>
      </c>
      <c r="AE18" s="31">
        <f t="shared" si="10"/>
        <v>159</v>
      </c>
      <c r="AF18" s="31">
        <f t="shared" si="10"/>
        <v>377</v>
      </c>
    </row>
    <row r="19" spans="2:32" ht="23.1" customHeight="1" x14ac:dyDescent="0.25">
      <c r="B19" s="23" t="s">
        <v>46</v>
      </c>
      <c r="C19" s="50">
        <v>4</v>
      </c>
      <c r="D19" s="50">
        <v>3</v>
      </c>
      <c r="E19" s="50">
        <v>1</v>
      </c>
      <c r="F19" s="50">
        <v>4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52</v>
      </c>
      <c r="N19" s="50">
        <v>0</v>
      </c>
      <c r="O19" s="15">
        <f t="shared" si="0"/>
        <v>12</v>
      </c>
      <c r="P19" s="15">
        <f t="shared" si="1"/>
        <v>64</v>
      </c>
      <c r="R19" s="1" t="s">
        <v>15</v>
      </c>
      <c r="S19" s="17">
        <f t="shared" ref="S19:AF19" si="11">SUM(C46:C49)</f>
        <v>146</v>
      </c>
      <c r="T19" s="17">
        <f t="shared" si="11"/>
        <v>27</v>
      </c>
      <c r="U19" s="17">
        <f t="shared" si="11"/>
        <v>28</v>
      </c>
      <c r="V19" s="17">
        <f t="shared" si="11"/>
        <v>30</v>
      </c>
      <c r="W19" s="17">
        <f t="shared" si="11"/>
        <v>1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4</v>
      </c>
      <c r="AB19" s="17">
        <f t="shared" si="11"/>
        <v>0</v>
      </c>
      <c r="AC19" s="17">
        <f t="shared" si="11"/>
        <v>216</v>
      </c>
      <c r="AD19" s="17">
        <f t="shared" si="11"/>
        <v>0</v>
      </c>
      <c r="AE19" s="31">
        <f t="shared" si="11"/>
        <v>253</v>
      </c>
      <c r="AF19" s="31">
        <f t="shared" si="11"/>
        <v>469</v>
      </c>
    </row>
    <row r="20" spans="2:32" ht="23.1" customHeight="1" x14ac:dyDescent="0.25">
      <c r="B20" s="23" t="s">
        <v>47</v>
      </c>
      <c r="C20" s="50">
        <v>7</v>
      </c>
      <c r="D20" s="50">
        <v>2</v>
      </c>
      <c r="E20" s="50">
        <v>4</v>
      </c>
      <c r="F20" s="50">
        <v>6</v>
      </c>
      <c r="G20" s="50">
        <v>1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49</v>
      </c>
      <c r="N20" s="50">
        <v>0</v>
      </c>
      <c r="O20" s="15">
        <f t="shared" si="0"/>
        <v>22</v>
      </c>
      <c r="P20" s="15">
        <f t="shared" si="1"/>
        <v>71</v>
      </c>
      <c r="R20" s="1" t="s">
        <v>16</v>
      </c>
      <c r="S20" s="17">
        <f t="shared" ref="S20:AF20" si="12">SUM(C50:C53)</f>
        <v>233</v>
      </c>
      <c r="T20" s="17">
        <f t="shared" si="12"/>
        <v>36</v>
      </c>
      <c r="U20" s="17">
        <f t="shared" si="12"/>
        <v>26</v>
      </c>
      <c r="V20" s="17">
        <f t="shared" si="12"/>
        <v>35</v>
      </c>
      <c r="W20" s="17">
        <f t="shared" si="12"/>
        <v>3</v>
      </c>
      <c r="X20" s="17">
        <f t="shared" si="12"/>
        <v>0</v>
      </c>
      <c r="Y20" s="17">
        <f t="shared" si="12"/>
        <v>19</v>
      </c>
      <c r="Z20" s="17">
        <f t="shared" si="12"/>
        <v>5</v>
      </c>
      <c r="AA20" s="17">
        <f t="shared" si="12"/>
        <v>1</v>
      </c>
      <c r="AB20" s="17">
        <f t="shared" si="12"/>
        <v>0</v>
      </c>
      <c r="AC20" s="17">
        <f t="shared" si="12"/>
        <v>375</v>
      </c>
      <c r="AD20" s="17">
        <f t="shared" si="12"/>
        <v>0</v>
      </c>
      <c r="AE20" s="31">
        <f t="shared" si="12"/>
        <v>358</v>
      </c>
      <c r="AF20" s="31">
        <f t="shared" si="12"/>
        <v>733</v>
      </c>
    </row>
    <row r="21" spans="2:32" ht="23.1" customHeight="1" x14ac:dyDescent="0.25">
      <c r="B21" s="23" t="s">
        <v>48</v>
      </c>
      <c r="C21" s="50">
        <v>23</v>
      </c>
      <c r="D21" s="50">
        <v>11</v>
      </c>
      <c r="E21" s="50">
        <v>7</v>
      </c>
      <c r="F21" s="50">
        <v>9</v>
      </c>
      <c r="G21" s="50">
        <v>1</v>
      </c>
      <c r="H21" s="50">
        <v>0</v>
      </c>
      <c r="I21" s="50">
        <v>6</v>
      </c>
      <c r="J21" s="50">
        <v>1</v>
      </c>
      <c r="K21" s="50">
        <v>1</v>
      </c>
      <c r="L21" s="50">
        <v>0</v>
      </c>
      <c r="M21" s="50">
        <v>88</v>
      </c>
      <c r="N21" s="50">
        <v>0</v>
      </c>
      <c r="O21" s="15">
        <f t="shared" si="0"/>
        <v>59</v>
      </c>
      <c r="P21" s="15">
        <f t="shared" si="1"/>
        <v>147</v>
      </c>
      <c r="R21" s="36" t="s">
        <v>20</v>
      </c>
      <c r="S21" s="34">
        <f t="shared" ref="S21:AF21" si="13">SUM(C54:C57)</f>
        <v>218</v>
      </c>
      <c r="T21" s="17">
        <f t="shared" si="13"/>
        <v>24</v>
      </c>
      <c r="U21" s="17">
        <f t="shared" si="13"/>
        <v>19</v>
      </c>
      <c r="V21" s="17">
        <f t="shared" si="13"/>
        <v>41</v>
      </c>
      <c r="W21" s="17">
        <f t="shared" si="13"/>
        <v>2</v>
      </c>
      <c r="X21" s="17">
        <f t="shared" si="13"/>
        <v>0</v>
      </c>
      <c r="Y21" s="17">
        <f t="shared" si="13"/>
        <v>14</v>
      </c>
      <c r="Z21" s="17">
        <f t="shared" si="13"/>
        <v>5</v>
      </c>
      <c r="AA21" s="17">
        <f t="shared" si="13"/>
        <v>0</v>
      </c>
      <c r="AB21" s="17">
        <f t="shared" si="13"/>
        <v>1</v>
      </c>
      <c r="AC21" s="17">
        <f t="shared" si="13"/>
        <v>365</v>
      </c>
      <c r="AD21" s="17">
        <f t="shared" si="13"/>
        <v>0</v>
      </c>
      <c r="AE21" s="31">
        <f t="shared" si="13"/>
        <v>324</v>
      </c>
      <c r="AF21" s="31">
        <f t="shared" si="13"/>
        <v>689</v>
      </c>
    </row>
    <row r="22" spans="2:32" ht="23.1" customHeight="1" x14ac:dyDescent="0.25">
      <c r="B22" s="23" t="s">
        <v>49</v>
      </c>
      <c r="C22" s="50">
        <v>30</v>
      </c>
      <c r="D22" s="50">
        <v>5</v>
      </c>
      <c r="E22" s="50">
        <v>7</v>
      </c>
      <c r="F22" s="50">
        <v>14</v>
      </c>
      <c r="G22" s="50">
        <v>0</v>
      </c>
      <c r="H22" s="50">
        <v>0</v>
      </c>
      <c r="I22" s="50">
        <v>10</v>
      </c>
      <c r="J22" s="50">
        <v>1</v>
      </c>
      <c r="K22" s="50">
        <v>3</v>
      </c>
      <c r="L22" s="50">
        <v>0</v>
      </c>
      <c r="M22" s="50">
        <v>96</v>
      </c>
      <c r="N22" s="50">
        <v>0</v>
      </c>
      <c r="O22" s="15">
        <f t="shared" si="0"/>
        <v>70</v>
      </c>
      <c r="P22" s="15">
        <f t="shared" si="1"/>
        <v>166</v>
      </c>
      <c r="R22" s="38" t="s">
        <v>90</v>
      </c>
      <c r="S22" s="39">
        <f>MAX(S10:S12)</f>
        <v>50</v>
      </c>
      <c r="T22" s="39">
        <f t="shared" ref="T22:AF22" si="14">MAX(T10:T12)</f>
        <v>21</v>
      </c>
      <c r="U22" s="39">
        <f t="shared" si="14"/>
        <v>16</v>
      </c>
      <c r="V22" s="39">
        <f t="shared" si="14"/>
        <v>29</v>
      </c>
      <c r="W22" s="39">
        <f t="shared" si="14"/>
        <v>3</v>
      </c>
      <c r="X22" s="39">
        <f t="shared" si="14"/>
        <v>0</v>
      </c>
      <c r="Y22" s="39">
        <f t="shared" si="14"/>
        <v>9</v>
      </c>
      <c r="Z22" s="39">
        <f t="shared" si="14"/>
        <v>5</v>
      </c>
      <c r="AA22" s="39">
        <f t="shared" si="14"/>
        <v>2</v>
      </c>
      <c r="AB22" s="39">
        <f t="shared" si="14"/>
        <v>0</v>
      </c>
      <c r="AC22" s="39">
        <f t="shared" si="14"/>
        <v>405</v>
      </c>
      <c r="AD22" s="39">
        <f t="shared" si="14"/>
        <v>0</v>
      </c>
      <c r="AE22" s="40">
        <f t="shared" si="14"/>
        <v>131</v>
      </c>
      <c r="AF22" s="40">
        <f t="shared" si="14"/>
        <v>512</v>
      </c>
    </row>
    <row r="23" spans="2:32" ht="23.1" customHeight="1" x14ac:dyDescent="0.25">
      <c r="B23" s="23" t="s">
        <v>50</v>
      </c>
      <c r="C23" s="50">
        <v>19</v>
      </c>
      <c r="D23" s="50">
        <v>2</v>
      </c>
      <c r="E23" s="50">
        <v>2</v>
      </c>
      <c r="F23" s="50">
        <v>15</v>
      </c>
      <c r="G23" s="50">
        <v>3</v>
      </c>
      <c r="H23" s="50">
        <v>0</v>
      </c>
      <c r="I23" s="50">
        <v>3</v>
      </c>
      <c r="J23" s="50">
        <v>2</v>
      </c>
      <c r="K23" s="50">
        <v>1</v>
      </c>
      <c r="L23" s="50">
        <v>0</v>
      </c>
      <c r="M23" s="50">
        <v>74</v>
      </c>
      <c r="N23" s="50">
        <v>0</v>
      </c>
      <c r="O23" s="15">
        <f t="shared" si="0"/>
        <v>47</v>
      </c>
      <c r="P23" s="15">
        <f t="shared" si="1"/>
        <v>121</v>
      </c>
      <c r="R23" s="38" t="s">
        <v>91</v>
      </c>
      <c r="S23" s="39">
        <f>MAX(S13:S18)</f>
        <v>125</v>
      </c>
      <c r="T23" s="39">
        <f t="shared" ref="T23:AF23" si="15">MAX(T13:T18)</f>
        <v>30</v>
      </c>
      <c r="U23" s="39">
        <f t="shared" si="15"/>
        <v>27</v>
      </c>
      <c r="V23" s="39">
        <f t="shared" si="15"/>
        <v>56</v>
      </c>
      <c r="W23" s="39">
        <f t="shared" si="15"/>
        <v>4</v>
      </c>
      <c r="X23" s="39">
        <f t="shared" si="15"/>
        <v>6</v>
      </c>
      <c r="Y23" s="39">
        <f t="shared" si="15"/>
        <v>26</v>
      </c>
      <c r="Z23" s="39">
        <f t="shared" si="15"/>
        <v>11</v>
      </c>
      <c r="AA23" s="39">
        <f t="shared" si="15"/>
        <v>5</v>
      </c>
      <c r="AB23" s="39">
        <f t="shared" si="15"/>
        <v>0</v>
      </c>
      <c r="AC23" s="39">
        <f t="shared" si="15"/>
        <v>347</v>
      </c>
      <c r="AD23" s="39">
        <f t="shared" si="15"/>
        <v>0</v>
      </c>
      <c r="AE23" s="40">
        <f t="shared" si="15"/>
        <v>239</v>
      </c>
      <c r="AF23" s="40">
        <f t="shared" si="15"/>
        <v>586</v>
      </c>
    </row>
    <row r="24" spans="2:32" ht="23.1" customHeight="1" x14ac:dyDescent="0.25">
      <c r="B24" s="23" t="s">
        <v>51</v>
      </c>
      <c r="C24" s="50">
        <v>13</v>
      </c>
      <c r="D24" s="50">
        <v>9</v>
      </c>
      <c r="E24" s="50">
        <v>10</v>
      </c>
      <c r="F24" s="50">
        <v>12</v>
      </c>
      <c r="G24" s="50">
        <v>0</v>
      </c>
      <c r="H24" s="50">
        <v>0</v>
      </c>
      <c r="I24" s="50">
        <v>8</v>
      </c>
      <c r="J24" s="50">
        <v>5</v>
      </c>
      <c r="K24" s="50">
        <v>0</v>
      </c>
      <c r="L24" s="50">
        <v>0</v>
      </c>
      <c r="M24" s="50">
        <v>90</v>
      </c>
      <c r="N24" s="50">
        <v>0</v>
      </c>
      <c r="O24" s="15">
        <f t="shared" si="0"/>
        <v>57</v>
      </c>
      <c r="P24" s="15">
        <f t="shared" si="1"/>
        <v>147</v>
      </c>
      <c r="R24" s="38" t="s">
        <v>92</v>
      </c>
      <c r="S24" s="39">
        <f>MAX(S19:S21)</f>
        <v>233</v>
      </c>
      <c r="T24" s="39">
        <f t="shared" ref="T24:AF24" si="16">MAX(T19:T21)</f>
        <v>36</v>
      </c>
      <c r="U24" s="39">
        <f t="shared" si="16"/>
        <v>28</v>
      </c>
      <c r="V24" s="39">
        <f t="shared" si="16"/>
        <v>41</v>
      </c>
      <c r="W24" s="39">
        <f t="shared" si="16"/>
        <v>3</v>
      </c>
      <c r="X24" s="39">
        <f t="shared" si="16"/>
        <v>0</v>
      </c>
      <c r="Y24" s="39">
        <f t="shared" si="16"/>
        <v>19</v>
      </c>
      <c r="Z24" s="39">
        <f t="shared" si="16"/>
        <v>5</v>
      </c>
      <c r="AA24" s="39">
        <f t="shared" si="16"/>
        <v>4</v>
      </c>
      <c r="AB24" s="39">
        <f t="shared" si="16"/>
        <v>1</v>
      </c>
      <c r="AC24" s="39">
        <f t="shared" si="16"/>
        <v>375</v>
      </c>
      <c r="AD24" s="39">
        <f t="shared" si="16"/>
        <v>0</v>
      </c>
      <c r="AE24" s="40">
        <f t="shared" si="16"/>
        <v>358</v>
      </c>
      <c r="AF24" s="40">
        <f t="shared" si="16"/>
        <v>733</v>
      </c>
    </row>
    <row r="25" spans="2:32" ht="23.1" customHeight="1" x14ac:dyDescent="0.25">
      <c r="B25" s="23" t="s">
        <v>52</v>
      </c>
      <c r="C25" s="50">
        <v>25</v>
      </c>
      <c r="D25" s="50">
        <v>9</v>
      </c>
      <c r="E25" s="50">
        <v>6</v>
      </c>
      <c r="F25" s="50">
        <v>15</v>
      </c>
      <c r="G25" s="50">
        <v>1</v>
      </c>
      <c r="H25" s="50">
        <v>0</v>
      </c>
      <c r="I25" s="50">
        <v>5</v>
      </c>
      <c r="J25" s="50">
        <v>3</v>
      </c>
      <c r="K25" s="50">
        <v>1</v>
      </c>
      <c r="L25" s="50">
        <v>0</v>
      </c>
      <c r="M25" s="50">
        <v>87</v>
      </c>
      <c r="N25" s="50">
        <v>0</v>
      </c>
      <c r="O25" s="15">
        <f t="shared" si="0"/>
        <v>65</v>
      </c>
      <c r="P25" s="15">
        <f t="shared" si="1"/>
        <v>152</v>
      </c>
      <c r="R25" s="37" t="s">
        <v>85</v>
      </c>
      <c r="S25" s="35">
        <f t="shared" ref="S25:AF25" si="17">SUM(S10:S12)</f>
        <v>141</v>
      </c>
      <c r="T25" s="16">
        <f t="shared" si="17"/>
        <v>40</v>
      </c>
      <c r="U25" s="16">
        <f t="shared" si="17"/>
        <v>29</v>
      </c>
      <c r="V25" s="16">
        <f t="shared" si="17"/>
        <v>76</v>
      </c>
      <c r="W25" s="16">
        <f t="shared" si="17"/>
        <v>5</v>
      </c>
      <c r="X25" s="16">
        <f t="shared" si="17"/>
        <v>0</v>
      </c>
      <c r="Y25" s="16">
        <f t="shared" si="17"/>
        <v>26</v>
      </c>
      <c r="Z25" s="16">
        <f t="shared" si="17"/>
        <v>10</v>
      </c>
      <c r="AA25" s="16">
        <f t="shared" si="17"/>
        <v>3</v>
      </c>
      <c r="AB25" s="16">
        <f t="shared" si="17"/>
        <v>0</v>
      </c>
      <c r="AC25" s="16">
        <f t="shared" si="17"/>
        <v>935</v>
      </c>
      <c r="AD25" s="16">
        <f t="shared" si="17"/>
        <v>0</v>
      </c>
      <c r="AE25" s="32">
        <f t="shared" si="17"/>
        <v>330</v>
      </c>
      <c r="AF25" s="32">
        <f t="shared" si="17"/>
        <v>1265</v>
      </c>
    </row>
    <row r="26" spans="2:32" ht="23.1" customHeight="1" x14ac:dyDescent="0.25">
      <c r="B26" s="23" t="s">
        <v>53</v>
      </c>
      <c r="C26" s="50">
        <v>24</v>
      </c>
      <c r="D26" s="50">
        <v>7</v>
      </c>
      <c r="E26" s="50">
        <v>7</v>
      </c>
      <c r="F26" s="50">
        <v>10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0</v>
      </c>
      <c r="M26" s="50">
        <v>71</v>
      </c>
      <c r="N26" s="50">
        <v>0</v>
      </c>
      <c r="O26" s="15">
        <f t="shared" si="0"/>
        <v>54</v>
      </c>
      <c r="P26" s="15">
        <f t="shared" si="1"/>
        <v>125</v>
      </c>
      <c r="R26" s="28" t="s">
        <v>86</v>
      </c>
      <c r="S26" s="16">
        <f t="shared" ref="S26:AF26" si="18">SUM(S13:S18)</f>
        <v>587</v>
      </c>
      <c r="T26" s="16">
        <f t="shared" si="18"/>
        <v>126</v>
      </c>
      <c r="U26" s="16">
        <f t="shared" si="18"/>
        <v>119</v>
      </c>
      <c r="V26" s="16">
        <f t="shared" si="18"/>
        <v>179</v>
      </c>
      <c r="W26" s="16">
        <f t="shared" si="18"/>
        <v>8</v>
      </c>
      <c r="X26" s="16">
        <f t="shared" si="18"/>
        <v>7</v>
      </c>
      <c r="Y26" s="16">
        <f t="shared" si="18"/>
        <v>109</v>
      </c>
      <c r="Z26" s="16">
        <f t="shared" si="18"/>
        <v>30</v>
      </c>
      <c r="AA26" s="16">
        <f t="shared" si="18"/>
        <v>10</v>
      </c>
      <c r="AB26" s="16">
        <f t="shared" si="18"/>
        <v>0</v>
      </c>
      <c r="AC26" s="16">
        <f t="shared" si="18"/>
        <v>1527</v>
      </c>
      <c r="AD26" s="16">
        <f t="shared" si="18"/>
        <v>0</v>
      </c>
      <c r="AE26" s="32">
        <f t="shared" si="18"/>
        <v>1175</v>
      </c>
      <c r="AF26" s="32">
        <f t="shared" si="18"/>
        <v>2702</v>
      </c>
    </row>
    <row r="27" spans="2:32" ht="23.1" customHeight="1" x14ac:dyDescent="0.25">
      <c r="B27" s="23" t="s">
        <v>54</v>
      </c>
      <c r="C27" s="50">
        <v>34</v>
      </c>
      <c r="D27" s="50">
        <v>14</v>
      </c>
      <c r="E27" s="50">
        <v>10</v>
      </c>
      <c r="F27" s="50">
        <v>16</v>
      </c>
      <c r="G27" s="50">
        <v>0</v>
      </c>
      <c r="H27" s="50">
        <v>0</v>
      </c>
      <c r="I27" s="50">
        <v>9</v>
      </c>
      <c r="J27" s="50">
        <v>1</v>
      </c>
      <c r="K27" s="50">
        <v>0</v>
      </c>
      <c r="L27" s="50">
        <v>0</v>
      </c>
      <c r="M27" s="50">
        <v>61</v>
      </c>
      <c r="N27" s="50">
        <v>0</v>
      </c>
      <c r="O27" s="15">
        <f t="shared" si="0"/>
        <v>84</v>
      </c>
      <c r="P27" s="15">
        <f t="shared" si="1"/>
        <v>145</v>
      </c>
      <c r="R27" s="29" t="s">
        <v>87</v>
      </c>
      <c r="S27" s="16">
        <f t="shared" ref="S27:AF27" si="19">SUM(S19:S21)</f>
        <v>597</v>
      </c>
      <c r="T27" s="16">
        <f t="shared" si="19"/>
        <v>87</v>
      </c>
      <c r="U27" s="16">
        <f t="shared" si="19"/>
        <v>73</v>
      </c>
      <c r="V27" s="16">
        <f t="shared" si="19"/>
        <v>106</v>
      </c>
      <c r="W27" s="16">
        <f t="shared" si="19"/>
        <v>6</v>
      </c>
      <c r="X27" s="16">
        <f t="shared" si="19"/>
        <v>0</v>
      </c>
      <c r="Y27" s="16">
        <f t="shared" si="19"/>
        <v>49</v>
      </c>
      <c r="Z27" s="16">
        <f t="shared" si="19"/>
        <v>11</v>
      </c>
      <c r="AA27" s="16">
        <f t="shared" si="19"/>
        <v>5</v>
      </c>
      <c r="AB27" s="16">
        <f t="shared" si="19"/>
        <v>1</v>
      </c>
      <c r="AC27" s="16">
        <f t="shared" si="19"/>
        <v>956</v>
      </c>
      <c r="AD27" s="16">
        <f t="shared" si="19"/>
        <v>0</v>
      </c>
      <c r="AE27" s="32">
        <f t="shared" si="19"/>
        <v>935</v>
      </c>
      <c r="AF27" s="32">
        <f t="shared" si="19"/>
        <v>1891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88</v>
      </c>
      <c r="N28" s="50">
        <v>0</v>
      </c>
      <c r="O28" s="15">
        <f t="shared" si="0"/>
        <v>0</v>
      </c>
      <c r="P28" s="15">
        <f t="shared" si="1"/>
        <v>88</v>
      </c>
      <c r="R28" s="5" t="s">
        <v>17</v>
      </c>
      <c r="S28" s="16">
        <f t="shared" ref="S28:AF28" si="20">SUM(S10:S21)</f>
        <v>1325</v>
      </c>
      <c r="T28" s="16">
        <f t="shared" si="20"/>
        <v>253</v>
      </c>
      <c r="U28" s="16">
        <f t="shared" si="20"/>
        <v>221</v>
      </c>
      <c r="V28" s="16">
        <f t="shared" si="20"/>
        <v>361</v>
      </c>
      <c r="W28" s="16">
        <f t="shared" si="20"/>
        <v>19</v>
      </c>
      <c r="X28" s="16">
        <f t="shared" si="20"/>
        <v>7</v>
      </c>
      <c r="Y28" s="16">
        <f t="shared" si="20"/>
        <v>184</v>
      </c>
      <c r="Z28" s="16">
        <f t="shared" si="20"/>
        <v>51</v>
      </c>
      <c r="AA28" s="16">
        <f t="shared" si="20"/>
        <v>18</v>
      </c>
      <c r="AB28" s="16">
        <f t="shared" si="20"/>
        <v>1</v>
      </c>
      <c r="AC28" s="16">
        <f t="shared" si="20"/>
        <v>3418</v>
      </c>
      <c r="AD28" s="16">
        <f t="shared" si="20"/>
        <v>0</v>
      </c>
      <c r="AE28" s="32">
        <f t="shared" si="20"/>
        <v>2440</v>
      </c>
      <c r="AF28" s="32">
        <f t="shared" si="20"/>
        <v>5858</v>
      </c>
    </row>
    <row r="29" spans="2:32" ht="23.1" customHeight="1" x14ac:dyDescent="0.25">
      <c r="B29" s="23" t="s">
        <v>56</v>
      </c>
      <c r="C29" s="50">
        <v>32</v>
      </c>
      <c r="D29" s="50">
        <v>9</v>
      </c>
      <c r="E29" s="50">
        <v>10</v>
      </c>
      <c r="F29" s="50">
        <v>0</v>
      </c>
      <c r="G29" s="50">
        <v>0</v>
      </c>
      <c r="H29" s="50">
        <v>6</v>
      </c>
      <c r="I29" s="50">
        <v>1</v>
      </c>
      <c r="J29" s="50">
        <v>1</v>
      </c>
      <c r="K29" s="50">
        <v>0</v>
      </c>
      <c r="L29" s="50">
        <v>0</v>
      </c>
      <c r="M29" s="50">
        <v>63</v>
      </c>
      <c r="N29" s="50">
        <v>0</v>
      </c>
      <c r="O29" s="15">
        <f t="shared" si="0"/>
        <v>59</v>
      </c>
      <c r="P29" s="15">
        <f t="shared" si="1"/>
        <v>122</v>
      </c>
      <c r="R29"/>
      <c r="S29" s="20"/>
      <c r="T29" s="19"/>
    </row>
    <row r="30" spans="2:32" ht="23.1" customHeight="1" x14ac:dyDescent="0.25">
      <c r="B30" s="23" t="s">
        <v>57</v>
      </c>
      <c r="C30" s="50">
        <v>28</v>
      </c>
      <c r="D30" s="50">
        <v>4</v>
      </c>
      <c r="E30" s="50">
        <v>6</v>
      </c>
      <c r="F30" s="50">
        <v>5</v>
      </c>
      <c r="G30" s="50">
        <v>0</v>
      </c>
      <c r="H30" s="50">
        <v>0</v>
      </c>
      <c r="I30" s="50">
        <v>6</v>
      </c>
      <c r="J30" s="50">
        <v>5</v>
      </c>
      <c r="K30" s="50">
        <v>1</v>
      </c>
      <c r="L30" s="50">
        <v>0</v>
      </c>
      <c r="M30" s="50">
        <v>69</v>
      </c>
      <c r="N30" s="50">
        <v>0</v>
      </c>
      <c r="O30" s="15">
        <f t="shared" si="0"/>
        <v>55</v>
      </c>
      <c r="P30" s="15">
        <f t="shared" si="1"/>
        <v>124</v>
      </c>
    </row>
    <row r="31" spans="2:32" ht="23.1" customHeight="1" x14ac:dyDescent="0.25">
      <c r="B31" s="24" t="s">
        <v>58</v>
      </c>
      <c r="C31" s="50">
        <v>27</v>
      </c>
      <c r="D31" s="50">
        <v>6</v>
      </c>
      <c r="E31" s="50">
        <v>3</v>
      </c>
      <c r="F31" s="50">
        <v>6</v>
      </c>
      <c r="G31" s="50">
        <v>0</v>
      </c>
      <c r="H31" s="50">
        <v>0</v>
      </c>
      <c r="I31" s="50">
        <v>4</v>
      </c>
      <c r="J31" s="50">
        <v>0</v>
      </c>
      <c r="K31" s="50">
        <v>1</v>
      </c>
      <c r="L31" s="50">
        <v>0</v>
      </c>
      <c r="M31" s="50">
        <v>41</v>
      </c>
      <c r="N31" s="50">
        <v>0</v>
      </c>
      <c r="O31" s="15">
        <f t="shared" si="0"/>
        <v>47</v>
      </c>
      <c r="P31" s="15">
        <f t="shared" si="1"/>
        <v>88</v>
      </c>
    </row>
    <row r="32" spans="2:32" ht="23.1" customHeight="1" x14ac:dyDescent="0.25">
      <c r="B32" s="24" t="s">
        <v>59</v>
      </c>
      <c r="C32" s="50">
        <v>19</v>
      </c>
      <c r="D32" s="50">
        <v>7</v>
      </c>
      <c r="E32" s="50">
        <v>4</v>
      </c>
      <c r="F32" s="50">
        <v>11</v>
      </c>
      <c r="G32" s="50">
        <v>0</v>
      </c>
      <c r="H32" s="50">
        <v>0</v>
      </c>
      <c r="I32" s="50">
        <v>9</v>
      </c>
      <c r="J32" s="50">
        <v>2</v>
      </c>
      <c r="K32" s="50">
        <v>0</v>
      </c>
      <c r="L32" s="50">
        <v>0</v>
      </c>
      <c r="M32" s="50">
        <v>60</v>
      </c>
      <c r="N32" s="50">
        <v>0</v>
      </c>
      <c r="O32" s="15">
        <f t="shared" si="0"/>
        <v>52</v>
      </c>
      <c r="P32" s="15">
        <f t="shared" si="1"/>
        <v>112</v>
      </c>
    </row>
    <row r="33" spans="2:20" ht="23.1" customHeight="1" x14ac:dyDescent="0.25">
      <c r="B33" s="23" t="s">
        <v>60</v>
      </c>
      <c r="C33" s="50">
        <v>25</v>
      </c>
      <c r="D33" s="50">
        <v>7</v>
      </c>
      <c r="E33" s="50">
        <v>3</v>
      </c>
      <c r="F33" s="50">
        <v>14</v>
      </c>
      <c r="G33" s="50">
        <v>2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95</v>
      </c>
      <c r="N33" s="50">
        <v>0</v>
      </c>
      <c r="O33" s="15">
        <f t="shared" si="0"/>
        <v>56</v>
      </c>
      <c r="P33" s="15">
        <f t="shared" si="1"/>
        <v>151</v>
      </c>
    </row>
    <row r="34" spans="2:20" ht="23.1" customHeight="1" x14ac:dyDescent="0.25">
      <c r="B34" s="24" t="s">
        <v>61</v>
      </c>
      <c r="C34" s="50">
        <v>30</v>
      </c>
      <c r="D34" s="50">
        <v>6</v>
      </c>
      <c r="E34" s="50">
        <v>5</v>
      </c>
      <c r="F34" s="50">
        <v>8</v>
      </c>
      <c r="G34" s="50">
        <v>0</v>
      </c>
      <c r="H34" s="50">
        <v>0</v>
      </c>
      <c r="I34" s="50">
        <v>3</v>
      </c>
      <c r="J34" s="50">
        <v>0</v>
      </c>
      <c r="K34" s="50">
        <v>1</v>
      </c>
      <c r="L34" s="50">
        <v>0</v>
      </c>
      <c r="M34" s="50">
        <v>56</v>
      </c>
      <c r="N34" s="50">
        <v>0</v>
      </c>
      <c r="O34" s="15">
        <f t="shared" si="0"/>
        <v>53</v>
      </c>
      <c r="P34" s="15">
        <f t="shared" si="1"/>
        <v>109</v>
      </c>
    </row>
    <row r="35" spans="2:20" ht="23.1" customHeight="1" x14ac:dyDescent="0.25">
      <c r="B35" s="24" t="s">
        <v>62</v>
      </c>
      <c r="C35" s="50">
        <v>16</v>
      </c>
      <c r="D35" s="50">
        <v>3</v>
      </c>
      <c r="E35" s="50">
        <v>5</v>
      </c>
      <c r="F35" s="50">
        <v>5</v>
      </c>
      <c r="G35" s="50">
        <v>0</v>
      </c>
      <c r="H35" s="50">
        <v>1</v>
      </c>
      <c r="I35" s="50">
        <v>2</v>
      </c>
      <c r="J35" s="50">
        <v>1</v>
      </c>
      <c r="K35" s="50">
        <v>1</v>
      </c>
      <c r="L35" s="50">
        <v>0</v>
      </c>
      <c r="M35" s="50">
        <v>88</v>
      </c>
      <c r="N35" s="50">
        <v>0</v>
      </c>
      <c r="O35" s="15">
        <f t="shared" si="0"/>
        <v>34</v>
      </c>
      <c r="P35" s="15">
        <f t="shared" si="1"/>
        <v>122</v>
      </c>
    </row>
    <row r="36" spans="2:20" ht="23.1" customHeight="1" x14ac:dyDescent="0.25">
      <c r="B36" s="24" t="s">
        <v>63</v>
      </c>
      <c r="C36" s="50">
        <v>19</v>
      </c>
      <c r="D36" s="50">
        <v>6</v>
      </c>
      <c r="E36" s="50">
        <v>11</v>
      </c>
      <c r="F36" s="50">
        <v>14</v>
      </c>
      <c r="G36" s="50">
        <v>0</v>
      </c>
      <c r="H36" s="50">
        <v>0</v>
      </c>
      <c r="I36" s="50">
        <v>6</v>
      </c>
      <c r="J36" s="50">
        <v>3</v>
      </c>
      <c r="K36" s="50">
        <v>0</v>
      </c>
      <c r="L36" s="50">
        <v>0</v>
      </c>
      <c r="M36" s="50">
        <v>18</v>
      </c>
      <c r="N36" s="50">
        <v>0</v>
      </c>
      <c r="O36" s="15">
        <f t="shared" si="0"/>
        <v>59</v>
      </c>
      <c r="P36" s="15">
        <f t="shared" si="1"/>
        <v>77</v>
      </c>
    </row>
    <row r="37" spans="2:20" ht="23.1" customHeight="1" x14ac:dyDescent="0.25">
      <c r="B37" s="23" t="s">
        <v>64</v>
      </c>
      <c r="C37" s="50">
        <v>28</v>
      </c>
      <c r="D37" s="50">
        <v>4</v>
      </c>
      <c r="E37" s="50">
        <v>4</v>
      </c>
      <c r="F37" s="50">
        <v>5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0</v>
      </c>
      <c r="M37" s="50">
        <v>38</v>
      </c>
      <c r="N37" s="50">
        <v>0</v>
      </c>
      <c r="O37" s="15">
        <f t="shared" si="0"/>
        <v>46</v>
      </c>
      <c r="P37" s="15">
        <f t="shared" si="1"/>
        <v>84</v>
      </c>
    </row>
    <row r="38" spans="2:20" ht="23.1" customHeight="1" x14ac:dyDescent="0.25">
      <c r="B38" s="24" t="s">
        <v>65</v>
      </c>
      <c r="C38" s="50">
        <v>40</v>
      </c>
      <c r="D38" s="50">
        <v>11</v>
      </c>
      <c r="E38" s="50">
        <v>3</v>
      </c>
      <c r="F38" s="50">
        <v>5</v>
      </c>
      <c r="G38" s="50">
        <v>1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65</v>
      </c>
      <c r="N38" s="50">
        <v>0</v>
      </c>
      <c r="O38" s="15">
        <f t="shared" si="0"/>
        <v>63</v>
      </c>
      <c r="P38" s="15">
        <f t="shared" si="1"/>
        <v>128</v>
      </c>
    </row>
    <row r="39" spans="2:20" ht="23.1" customHeight="1" x14ac:dyDescent="0.25">
      <c r="B39" s="24" t="s">
        <v>66</v>
      </c>
      <c r="C39" s="50">
        <v>45</v>
      </c>
      <c r="D39" s="50">
        <v>0</v>
      </c>
      <c r="E39" s="50">
        <v>3</v>
      </c>
      <c r="F39" s="50">
        <v>2</v>
      </c>
      <c r="G39" s="50">
        <v>0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54</v>
      </c>
      <c r="P39" s="15">
        <f t="shared" si="1"/>
        <v>124</v>
      </c>
    </row>
    <row r="40" spans="2:20" ht="23.1" customHeight="1" x14ac:dyDescent="0.25">
      <c r="B40" s="24" t="s">
        <v>67</v>
      </c>
      <c r="C40" s="50">
        <v>19</v>
      </c>
      <c r="D40" s="50">
        <v>3</v>
      </c>
      <c r="E40" s="50">
        <v>2</v>
      </c>
      <c r="F40" s="50">
        <v>2</v>
      </c>
      <c r="G40" s="50">
        <v>1</v>
      </c>
      <c r="H40" s="50">
        <v>0</v>
      </c>
      <c r="I40" s="50">
        <v>4</v>
      </c>
      <c r="J40" s="50">
        <v>3</v>
      </c>
      <c r="K40" s="50">
        <v>0</v>
      </c>
      <c r="L40" s="50">
        <v>0</v>
      </c>
      <c r="M40" s="50">
        <v>40</v>
      </c>
      <c r="N40" s="50">
        <v>0</v>
      </c>
      <c r="O40" s="15">
        <f t="shared" si="0"/>
        <v>34</v>
      </c>
      <c r="P40" s="15">
        <f t="shared" si="1"/>
        <v>74</v>
      </c>
    </row>
    <row r="41" spans="2:20" ht="23.1" customHeight="1" x14ac:dyDescent="0.25">
      <c r="B41" s="23" t="s">
        <v>68</v>
      </c>
      <c r="C41" s="50">
        <v>21</v>
      </c>
      <c r="D41" s="50">
        <v>1</v>
      </c>
      <c r="E41" s="50">
        <v>1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39</v>
      </c>
      <c r="N41" s="50">
        <v>0</v>
      </c>
      <c r="O41" s="15">
        <f t="shared" si="0"/>
        <v>27</v>
      </c>
      <c r="P41" s="15">
        <f t="shared" si="1"/>
        <v>66</v>
      </c>
    </row>
    <row r="42" spans="2:20" ht="23.1" customHeight="1" x14ac:dyDescent="0.25">
      <c r="B42" s="24" t="s">
        <v>69</v>
      </c>
      <c r="C42" s="50">
        <v>25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32</v>
      </c>
      <c r="P42" s="15">
        <f t="shared" si="1"/>
        <v>82</v>
      </c>
    </row>
    <row r="43" spans="2:20" ht="23.1" customHeight="1" x14ac:dyDescent="0.25">
      <c r="B43" s="23" t="s">
        <v>70</v>
      </c>
      <c r="C43" s="50">
        <v>10</v>
      </c>
      <c r="D43" s="50">
        <v>3</v>
      </c>
      <c r="E43" s="50">
        <v>3</v>
      </c>
      <c r="F43" s="50">
        <v>2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22</v>
      </c>
      <c r="P43" s="15">
        <f t="shared" si="1"/>
        <v>72</v>
      </c>
    </row>
    <row r="44" spans="2:20" ht="23.1" customHeight="1" x14ac:dyDescent="0.25">
      <c r="B44" s="25" t="s">
        <v>71</v>
      </c>
      <c r="C44" s="50">
        <v>24</v>
      </c>
      <c r="D44" s="50">
        <v>6</v>
      </c>
      <c r="E44" s="50">
        <v>2</v>
      </c>
      <c r="F44" s="50">
        <v>4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39</v>
      </c>
      <c r="P44" s="15">
        <f t="shared" si="1"/>
        <v>89</v>
      </c>
    </row>
    <row r="45" spans="2:20" ht="23.1" customHeight="1" x14ac:dyDescent="0.25">
      <c r="B45" s="23" t="s">
        <v>72</v>
      </c>
      <c r="C45" s="50">
        <v>34</v>
      </c>
      <c r="D45" s="50">
        <v>3</v>
      </c>
      <c r="E45" s="50">
        <v>12</v>
      </c>
      <c r="F45" s="50">
        <v>10</v>
      </c>
      <c r="G45" s="50">
        <v>0</v>
      </c>
      <c r="H45" s="50">
        <v>0</v>
      </c>
      <c r="I45" s="50">
        <v>6</v>
      </c>
      <c r="J45" s="50">
        <v>0</v>
      </c>
      <c r="K45" s="50">
        <v>1</v>
      </c>
      <c r="L45" s="50">
        <v>0</v>
      </c>
      <c r="M45" s="50">
        <v>68</v>
      </c>
      <c r="N45" s="50">
        <v>0</v>
      </c>
      <c r="O45" s="15">
        <f t="shared" si="0"/>
        <v>66</v>
      </c>
      <c r="P45" s="15">
        <f t="shared" si="1"/>
        <v>134</v>
      </c>
    </row>
    <row r="46" spans="2:20" ht="23.1" customHeight="1" x14ac:dyDescent="0.25">
      <c r="B46" s="24" t="s">
        <v>73</v>
      </c>
      <c r="C46" s="50">
        <v>35</v>
      </c>
      <c r="D46" s="50">
        <v>3</v>
      </c>
      <c r="E46" s="50">
        <v>8</v>
      </c>
      <c r="F46" s="50">
        <v>9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72</v>
      </c>
      <c r="N46" s="50">
        <v>0</v>
      </c>
      <c r="O46" s="15">
        <f t="shared" si="0"/>
        <v>59</v>
      </c>
      <c r="P46" s="15">
        <f t="shared" si="1"/>
        <v>131</v>
      </c>
      <c r="R46" s="8"/>
      <c r="T46"/>
    </row>
    <row r="47" spans="2:20" ht="23.1" customHeight="1" x14ac:dyDescent="0.25">
      <c r="B47" s="24" t="s">
        <v>74</v>
      </c>
      <c r="C47" s="50">
        <v>31</v>
      </c>
      <c r="D47" s="50">
        <v>5</v>
      </c>
      <c r="E47" s="50">
        <v>6</v>
      </c>
      <c r="F47" s="50">
        <v>4</v>
      </c>
      <c r="G47" s="50">
        <v>0</v>
      </c>
      <c r="H47" s="50">
        <v>0</v>
      </c>
      <c r="I47" s="50">
        <v>4</v>
      </c>
      <c r="J47" s="50">
        <v>1</v>
      </c>
      <c r="K47" s="50">
        <v>2</v>
      </c>
      <c r="L47" s="50">
        <v>0</v>
      </c>
      <c r="M47" s="50">
        <v>48</v>
      </c>
      <c r="N47" s="50">
        <v>0</v>
      </c>
      <c r="O47" s="15">
        <f t="shared" si="0"/>
        <v>53</v>
      </c>
      <c r="P47" s="15">
        <f t="shared" si="1"/>
        <v>101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6</v>
      </c>
      <c r="E48" s="50">
        <v>4</v>
      </c>
      <c r="F48" s="50">
        <v>8</v>
      </c>
      <c r="G48" s="50">
        <v>1</v>
      </c>
      <c r="H48" s="50">
        <v>0</v>
      </c>
      <c r="I48" s="50">
        <v>3</v>
      </c>
      <c r="J48" s="50">
        <v>0</v>
      </c>
      <c r="K48" s="50">
        <v>1</v>
      </c>
      <c r="L48" s="50">
        <v>0</v>
      </c>
      <c r="M48" s="50">
        <v>44</v>
      </c>
      <c r="N48" s="50">
        <v>0</v>
      </c>
      <c r="O48" s="15">
        <f t="shared" si="0"/>
        <v>58</v>
      </c>
      <c r="P48" s="15">
        <f t="shared" si="1"/>
        <v>102</v>
      </c>
      <c r="R48" s="8"/>
      <c r="T48"/>
    </row>
    <row r="49" spans="2:20" ht="23.1" customHeight="1" x14ac:dyDescent="0.25">
      <c r="B49" s="23" t="s">
        <v>76</v>
      </c>
      <c r="C49" s="50">
        <v>45</v>
      </c>
      <c r="D49" s="50">
        <v>13</v>
      </c>
      <c r="E49" s="50">
        <v>10</v>
      </c>
      <c r="F49" s="50">
        <v>9</v>
      </c>
      <c r="G49" s="50">
        <v>0</v>
      </c>
      <c r="H49" s="50">
        <v>0</v>
      </c>
      <c r="I49" s="50">
        <v>5</v>
      </c>
      <c r="J49" s="50">
        <v>0</v>
      </c>
      <c r="K49" s="50">
        <v>1</v>
      </c>
      <c r="L49" s="50">
        <v>0</v>
      </c>
      <c r="M49" s="50">
        <v>52</v>
      </c>
      <c r="N49" s="50">
        <v>0</v>
      </c>
      <c r="O49" s="15">
        <f t="shared" si="0"/>
        <v>83</v>
      </c>
      <c r="P49" s="15">
        <f t="shared" si="1"/>
        <v>135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14</v>
      </c>
      <c r="E50" s="50">
        <v>11</v>
      </c>
      <c r="F50" s="50">
        <v>16</v>
      </c>
      <c r="G50" s="50">
        <v>2</v>
      </c>
      <c r="H50" s="50">
        <v>0</v>
      </c>
      <c r="I50" s="50">
        <v>1</v>
      </c>
      <c r="J50" s="50">
        <v>2</v>
      </c>
      <c r="K50" s="50">
        <v>1</v>
      </c>
      <c r="L50" s="50">
        <v>0</v>
      </c>
      <c r="M50" s="50">
        <v>85</v>
      </c>
      <c r="N50" s="50">
        <v>0</v>
      </c>
      <c r="O50" s="15">
        <f t="shared" si="0"/>
        <v>107</v>
      </c>
      <c r="P50" s="15">
        <f t="shared" si="1"/>
        <v>192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14</v>
      </c>
      <c r="E51" s="50">
        <v>5</v>
      </c>
      <c r="F51" s="50">
        <v>9</v>
      </c>
      <c r="G51" s="50">
        <v>1</v>
      </c>
      <c r="H51" s="50">
        <v>0</v>
      </c>
      <c r="I51" s="50">
        <v>6</v>
      </c>
      <c r="J51" s="50">
        <v>0</v>
      </c>
      <c r="K51" s="50">
        <v>0</v>
      </c>
      <c r="L51" s="50">
        <v>0</v>
      </c>
      <c r="M51" s="50">
        <v>95</v>
      </c>
      <c r="N51" s="50">
        <v>0</v>
      </c>
      <c r="O51" s="15">
        <f t="shared" si="0"/>
        <v>90</v>
      </c>
      <c r="P51" s="15">
        <f t="shared" si="1"/>
        <v>185</v>
      </c>
      <c r="R51" s="8"/>
      <c r="T51"/>
    </row>
    <row r="52" spans="2:20" ht="23.1" customHeight="1" x14ac:dyDescent="0.25">
      <c r="B52" s="24" t="s">
        <v>79</v>
      </c>
      <c r="C52" s="50">
        <v>53</v>
      </c>
      <c r="D52" s="50">
        <v>5</v>
      </c>
      <c r="E52" s="50">
        <v>7</v>
      </c>
      <c r="F52" s="50">
        <v>5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80</v>
      </c>
      <c r="N52" s="50">
        <v>0</v>
      </c>
      <c r="O52" s="15">
        <f t="shared" si="0"/>
        <v>75</v>
      </c>
      <c r="P52" s="15">
        <f t="shared" si="1"/>
        <v>155</v>
      </c>
      <c r="R52" s="8"/>
      <c r="T52"/>
    </row>
    <row r="53" spans="2:20" ht="23.1" customHeight="1" x14ac:dyDescent="0.25">
      <c r="B53" s="23" t="s">
        <v>80</v>
      </c>
      <c r="C53" s="50">
        <v>65</v>
      </c>
      <c r="D53" s="50">
        <v>3</v>
      </c>
      <c r="E53" s="50">
        <v>3</v>
      </c>
      <c r="F53" s="50">
        <v>5</v>
      </c>
      <c r="G53" s="50">
        <v>0</v>
      </c>
      <c r="H53" s="50">
        <v>0</v>
      </c>
      <c r="I53" s="50">
        <v>8</v>
      </c>
      <c r="J53" s="50">
        <v>2</v>
      </c>
      <c r="K53" s="50">
        <v>0</v>
      </c>
      <c r="L53" s="50">
        <v>0</v>
      </c>
      <c r="M53" s="50">
        <v>115</v>
      </c>
      <c r="N53" s="50">
        <v>0</v>
      </c>
      <c r="O53" s="15">
        <f t="shared" si="0"/>
        <v>86</v>
      </c>
      <c r="P53" s="15">
        <f t="shared" si="1"/>
        <v>201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0</v>
      </c>
      <c r="E54" s="50">
        <v>2</v>
      </c>
      <c r="F54" s="50">
        <v>5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85</v>
      </c>
      <c r="N54" s="50">
        <v>0</v>
      </c>
      <c r="O54" s="15">
        <f t="shared" si="0"/>
        <v>83</v>
      </c>
      <c r="P54" s="15">
        <f t="shared" si="1"/>
        <v>168</v>
      </c>
      <c r="R54" s="8"/>
      <c r="T54"/>
    </row>
    <row r="55" spans="2:20" ht="23.1" customHeight="1" x14ac:dyDescent="0.25">
      <c r="B55" s="23" t="s">
        <v>82</v>
      </c>
      <c r="C55" s="50">
        <v>45</v>
      </c>
      <c r="D55" s="50">
        <v>8</v>
      </c>
      <c r="E55" s="50">
        <v>8</v>
      </c>
      <c r="F55" s="50">
        <v>15</v>
      </c>
      <c r="G55" s="50">
        <v>1</v>
      </c>
      <c r="H55" s="50">
        <v>0</v>
      </c>
      <c r="I55" s="50">
        <v>4</v>
      </c>
      <c r="J55" s="50">
        <v>1</v>
      </c>
      <c r="K55" s="50">
        <v>0</v>
      </c>
      <c r="L55" s="50">
        <v>0</v>
      </c>
      <c r="M55" s="50">
        <v>85</v>
      </c>
      <c r="N55" s="50">
        <v>0</v>
      </c>
      <c r="O55" s="15">
        <f t="shared" si="0"/>
        <v>82</v>
      </c>
      <c r="P55" s="15">
        <f t="shared" si="1"/>
        <v>167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3</v>
      </c>
      <c r="K56" s="50">
        <v>0</v>
      </c>
      <c r="L56" s="50">
        <v>0</v>
      </c>
      <c r="M56" s="50">
        <v>100</v>
      </c>
      <c r="N56" s="50">
        <v>0</v>
      </c>
      <c r="O56" s="15">
        <f t="shared" si="0"/>
        <v>63</v>
      </c>
      <c r="P56" s="15">
        <f t="shared" si="1"/>
        <v>163</v>
      </c>
      <c r="R56" s="8"/>
      <c r="T56"/>
    </row>
    <row r="57" spans="2:20" ht="23.1" customHeight="1" x14ac:dyDescent="0.25">
      <c r="B57" s="23" t="s">
        <v>84</v>
      </c>
      <c r="C57" s="50">
        <v>43</v>
      </c>
      <c r="D57" s="50">
        <v>14</v>
      </c>
      <c r="E57" s="50">
        <v>8</v>
      </c>
      <c r="F57" s="50">
        <v>21</v>
      </c>
      <c r="G57" s="50">
        <v>1</v>
      </c>
      <c r="H57" s="50">
        <v>0</v>
      </c>
      <c r="I57" s="50">
        <v>7</v>
      </c>
      <c r="J57" s="50">
        <v>1</v>
      </c>
      <c r="K57" s="50">
        <v>0</v>
      </c>
      <c r="L57" s="50">
        <v>1</v>
      </c>
      <c r="M57" s="50">
        <v>95</v>
      </c>
      <c r="N57" s="50">
        <v>0</v>
      </c>
      <c r="O57" s="15">
        <f t="shared" si="0"/>
        <v>96</v>
      </c>
      <c r="P57" s="15">
        <f t="shared" si="1"/>
        <v>191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1325</v>
      </c>
      <c r="D58" s="16">
        <f t="shared" si="21"/>
        <v>253</v>
      </c>
      <c r="E58" s="16">
        <f t="shared" si="21"/>
        <v>221</v>
      </c>
      <c r="F58" s="16">
        <f t="shared" si="21"/>
        <v>361</v>
      </c>
      <c r="G58" s="16">
        <f t="shared" si="21"/>
        <v>19</v>
      </c>
      <c r="H58" s="16">
        <f t="shared" si="21"/>
        <v>7</v>
      </c>
      <c r="I58" s="16">
        <f t="shared" si="21"/>
        <v>184</v>
      </c>
      <c r="J58" s="16">
        <f t="shared" si="21"/>
        <v>51</v>
      </c>
      <c r="K58" s="16">
        <f t="shared" si="21"/>
        <v>18</v>
      </c>
      <c r="L58" s="16">
        <f t="shared" si="21"/>
        <v>1</v>
      </c>
      <c r="M58" s="16">
        <f t="shared" si="21"/>
        <v>3418</v>
      </c>
      <c r="N58" s="16">
        <f t="shared" si="21"/>
        <v>0</v>
      </c>
      <c r="O58" s="16">
        <f t="shared" si="21"/>
        <v>2440</v>
      </c>
      <c r="P58" s="16">
        <f t="shared" si="21"/>
        <v>5858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0.22618641174462273</v>
      </c>
      <c r="D59" s="43">
        <f t="shared" si="22"/>
        <v>4.3188801638784566E-2</v>
      </c>
      <c r="E59" s="43">
        <f t="shared" si="22"/>
        <v>3.7726186411744619E-2</v>
      </c>
      <c r="F59" s="43">
        <f t="shared" si="22"/>
        <v>6.1625128030044385E-2</v>
      </c>
      <c r="G59" s="43">
        <f t="shared" si="22"/>
        <v>3.2434277910549677E-3</v>
      </c>
      <c r="H59" s="43">
        <f t="shared" si="22"/>
        <v>1.1949470809149881E-3</v>
      </c>
      <c r="I59" s="43">
        <f t="shared" si="22"/>
        <v>3.1410037555479685E-2</v>
      </c>
      <c r="J59" s="43">
        <f t="shared" si="22"/>
        <v>8.7060430180949128E-3</v>
      </c>
      <c r="K59" s="43">
        <f t="shared" si="22"/>
        <v>3.0727210652099694E-3</v>
      </c>
      <c r="L59" s="43">
        <f t="shared" si="22"/>
        <v>1.707067258449983E-4</v>
      </c>
      <c r="M59" s="43">
        <f t="shared" si="22"/>
        <v>0.58347558893820417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0.54303278688524592</v>
      </c>
      <c r="D60" s="44">
        <f t="shared" ref="D60:N60" si="23">D58/$O$58</f>
        <v>0.10368852459016394</v>
      </c>
      <c r="E60" s="44">
        <f t="shared" si="23"/>
        <v>9.0573770491803277E-2</v>
      </c>
      <c r="F60" s="44">
        <f t="shared" si="23"/>
        <v>0.14795081967213114</v>
      </c>
      <c r="G60" s="44">
        <f t="shared" si="23"/>
        <v>7.7868852459016397E-3</v>
      </c>
      <c r="H60" s="44">
        <f t="shared" si="23"/>
        <v>2.8688524590163933E-3</v>
      </c>
      <c r="I60" s="44">
        <f t="shared" si="23"/>
        <v>7.5409836065573776E-2</v>
      </c>
      <c r="J60" s="44">
        <f t="shared" si="23"/>
        <v>2.0901639344262295E-2</v>
      </c>
      <c r="K60" s="44">
        <f t="shared" si="23"/>
        <v>7.3770491803278691E-3</v>
      </c>
      <c r="L60" s="44">
        <f t="shared" si="23"/>
        <v>4.0983606557377049E-4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B106" sqref="B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'03.80 NSOOBA-KYEBANDO-24h'!D5</f>
        <v>04.08.19</v>
      </c>
      <c r="E5" s="3"/>
      <c r="F5" s="41" t="s">
        <v>1</v>
      </c>
      <c r="G5" s="70">
        <f>'03.80 NSOOBA-KYEBANDO-24h'!G5:H5</f>
        <v>29</v>
      </c>
      <c r="H5" s="71"/>
      <c r="I5" s="14"/>
      <c r="J5" s="2" t="s">
        <v>5</v>
      </c>
      <c r="K5" s="70" t="str">
        <f>'03.80 NSOOBA-KYEBANDO-24h'!K5:L5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'29.07 KYEBANDO-NSOOBA'!G6:H6</f>
        <v>NSOOBA</v>
      </c>
      <c r="H6" s="71"/>
      <c r="J6" s="2" t="s">
        <v>21</v>
      </c>
      <c r="K6" s="70" t="str">
        <f>'03.80 NSOOBA-KYEBANDO-24h'!K6:L6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</v>
      </c>
      <c r="D10" s="50">
        <v>1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73" si="0">SUM(C10:L10,N10)</f>
        <v>15</v>
      </c>
      <c r="P10" s="15">
        <f t="shared" ref="P10:P73" si="1">SUM(C10:N10)</f>
        <v>27</v>
      </c>
      <c r="R10" s="1" t="s">
        <v>6</v>
      </c>
      <c r="S10" s="17">
        <f t="shared" ref="S10:AF10" si="2">SUM(C10:C13)</f>
        <v>42</v>
      </c>
      <c r="T10" s="17">
        <f t="shared" si="2"/>
        <v>9</v>
      </c>
      <c r="U10" s="17">
        <f t="shared" si="2"/>
        <v>10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135</v>
      </c>
      <c r="AD10" s="17">
        <f t="shared" si="2"/>
        <v>0</v>
      </c>
      <c r="AE10" s="31">
        <f t="shared" si="2"/>
        <v>83</v>
      </c>
      <c r="AF10" s="31">
        <f t="shared" si="2"/>
        <v>218</v>
      </c>
    </row>
    <row r="11" spans="2:32" s="6" customFormat="1" ht="23.1" customHeight="1" x14ac:dyDescent="0.25">
      <c r="B11" s="45" t="s">
        <v>38</v>
      </c>
      <c r="C11" s="50">
        <v>9</v>
      </c>
      <c r="D11" s="50">
        <v>0</v>
      </c>
      <c r="E11" s="50">
        <v>1</v>
      </c>
      <c r="F11" s="50">
        <v>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32</v>
      </c>
      <c r="N11" s="50">
        <v>0</v>
      </c>
      <c r="O11" s="15">
        <f t="shared" si="0"/>
        <v>15</v>
      </c>
      <c r="P11" s="15">
        <f t="shared" si="1"/>
        <v>47</v>
      </c>
      <c r="R11" s="1" t="s">
        <v>7</v>
      </c>
      <c r="S11" s="17">
        <f t="shared" ref="S11:AF11" si="3">SUM(C14:C17)</f>
        <v>48</v>
      </c>
      <c r="T11" s="17">
        <f t="shared" si="3"/>
        <v>8</v>
      </c>
      <c r="U11" s="17">
        <f t="shared" si="3"/>
        <v>8</v>
      </c>
      <c r="V11" s="17">
        <f t="shared" si="3"/>
        <v>24</v>
      </c>
      <c r="W11" s="17">
        <f t="shared" si="3"/>
        <v>0</v>
      </c>
      <c r="X11" s="17">
        <f t="shared" si="3"/>
        <v>0</v>
      </c>
      <c r="Y11" s="17">
        <f t="shared" si="3"/>
        <v>10</v>
      </c>
      <c r="Z11" s="17">
        <f t="shared" si="3"/>
        <v>4</v>
      </c>
      <c r="AA11" s="17">
        <f t="shared" si="3"/>
        <v>1</v>
      </c>
      <c r="AB11" s="17">
        <f t="shared" si="3"/>
        <v>0</v>
      </c>
      <c r="AC11" s="17">
        <f t="shared" si="3"/>
        <v>257</v>
      </c>
      <c r="AD11" s="17">
        <f t="shared" si="3"/>
        <v>0</v>
      </c>
      <c r="AE11" s="31">
        <f t="shared" si="3"/>
        <v>103</v>
      </c>
      <c r="AF11" s="31">
        <f t="shared" si="3"/>
        <v>360</v>
      </c>
    </row>
    <row r="12" spans="2:32" ht="23.1" customHeight="1" x14ac:dyDescent="0.25">
      <c r="B12" s="45" t="s">
        <v>39</v>
      </c>
      <c r="C12" s="50">
        <v>5</v>
      </c>
      <c r="D12" s="50">
        <v>5</v>
      </c>
      <c r="E12" s="50">
        <v>6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33</v>
      </c>
      <c r="N12" s="50">
        <v>0</v>
      </c>
      <c r="O12" s="15">
        <f t="shared" si="0"/>
        <v>20</v>
      </c>
      <c r="P12" s="15">
        <f t="shared" si="1"/>
        <v>53</v>
      </c>
      <c r="R12" s="1" t="s">
        <v>8</v>
      </c>
      <c r="S12" s="17">
        <f t="shared" ref="S12:AF12" si="4">SUM(C18:C21)</f>
        <v>52</v>
      </c>
      <c r="T12" s="17">
        <f t="shared" si="4"/>
        <v>23</v>
      </c>
      <c r="U12" s="17">
        <f t="shared" si="4"/>
        <v>15</v>
      </c>
      <c r="V12" s="17">
        <f t="shared" si="4"/>
        <v>36</v>
      </c>
      <c r="W12" s="17">
        <f t="shared" si="4"/>
        <v>0</v>
      </c>
      <c r="X12" s="17">
        <f t="shared" si="4"/>
        <v>0</v>
      </c>
      <c r="Y12" s="17">
        <f t="shared" si="4"/>
        <v>26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257</v>
      </c>
      <c r="AD12" s="17">
        <f t="shared" si="4"/>
        <v>0</v>
      </c>
      <c r="AE12" s="31">
        <f t="shared" si="4"/>
        <v>157</v>
      </c>
      <c r="AF12" s="31">
        <f t="shared" si="4"/>
        <v>414</v>
      </c>
    </row>
    <row r="13" spans="2:32" ht="23.1" customHeight="1" x14ac:dyDescent="0.25">
      <c r="B13" s="45" t="s">
        <v>40</v>
      </c>
      <c r="C13" s="50">
        <v>18</v>
      </c>
      <c r="D13" s="50">
        <v>3</v>
      </c>
      <c r="E13" s="50">
        <v>2</v>
      </c>
      <c r="F13" s="50">
        <v>7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58</v>
      </c>
      <c r="N13" s="50">
        <v>0</v>
      </c>
      <c r="O13" s="15">
        <f t="shared" si="0"/>
        <v>33</v>
      </c>
      <c r="P13" s="15">
        <f t="shared" si="1"/>
        <v>91</v>
      </c>
      <c r="R13" s="1" t="s">
        <v>9</v>
      </c>
      <c r="S13" s="17">
        <f t="shared" ref="S13:AF13" si="5">SUM(C22:C25)</f>
        <v>100</v>
      </c>
      <c r="T13" s="17">
        <f t="shared" si="5"/>
        <v>36</v>
      </c>
      <c r="U13" s="17">
        <f t="shared" si="5"/>
        <v>15</v>
      </c>
      <c r="V13" s="17">
        <f t="shared" si="5"/>
        <v>41</v>
      </c>
      <c r="W13" s="17">
        <f t="shared" si="5"/>
        <v>1</v>
      </c>
      <c r="X13" s="17">
        <f t="shared" si="5"/>
        <v>0</v>
      </c>
      <c r="Y13" s="17">
        <f t="shared" si="5"/>
        <v>31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265</v>
      </c>
      <c r="AD13" s="17">
        <f t="shared" si="5"/>
        <v>0</v>
      </c>
      <c r="AE13" s="31">
        <f t="shared" si="5"/>
        <v>230</v>
      </c>
      <c r="AF13" s="31">
        <f t="shared" si="5"/>
        <v>495</v>
      </c>
    </row>
    <row r="14" spans="2:32" ht="23.1" customHeight="1" x14ac:dyDescent="0.25">
      <c r="B14" s="45" t="s">
        <v>41</v>
      </c>
      <c r="C14" s="50">
        <v>11</v>
      </c>
      <c r="D14" s="50">
        <v>2</v>
      </c>
      <c r="E14" s="50">
        <v>2</v>
      </c>
      <c r="F14" s="50">
        <v>5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22</v>
      </c>
      <c r="P14" s="15">
        <f t="shared" si="1"/>
        <v>62</v>
      </c>
      <c r="R14" s="1" t="s">
        <v>10</v>
      </c>
      <c r="S14" s="17">
        <f t="shared" ref="S14:AF14" si="6">SUM(C26:C29)</f>
        <v>116</v>
      </c>
      <c r="T14" s="17">
        <f t="shared" si="6"/>
        <v>44</v>
      </c>
      <c r="U14" s="17">
        <f t="shared" si="6"/>
        <v>23</v>
      </c>
      <c r="V14" s="17">
        <f t="shared" si="6"/>
        <v>54</v>
      </c>
      <c r="W14" s="17">
        <f t="shared" si="6"/>
        <v>0</v>
      </c>
      <c r="X14" s="17">
        <f t="shared" si="6"/>
        <v>0</v>
      </c>
      <c r="Y14" s="17">
        <f t="shared" si="6"/>
        <v>24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205</v>
      </c>
      <c r="AD14" s="17">
        <f t="shared" si="6"/>
        <v>0</v>
      </c>
      <c r="AE14" s="31">
        <f t="shared" si="6"/>
        <v>262</v>
      </c>
      <c r="AF14" s="31">
        <f t="shared" si="6"/>
        <v>467</v>
      </c>
    </row>
    <row r="15" spans="2:32" ht="23.1" customHeight="1" x14ac:dyDescent="0.25">
      <c r="B15" s="45" t="s">
        <v>42</v>
      </c>
      <c r="C15" s="50">
        <v>10</v>
      </c>
      <c r="D15" s="50">
        <v>2</v>
      </c>
      <c r="E15" s="50">
        <v>1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17</v>
      </c>
      <c r="P15" s="15">
        <f t="shared" si="1"/>
        <v>72</v>
      </c>
      <c r="R15" s="1" t="s">
        <v>11</v>
      </c>
      <c r="S15" s="17">
        <f t="shared" ref="S15:AF15" si="7">SUM(C30:C33)</f>
        <v>125</v>
      </c>
      <c r="T15" s="17">
        <f t="shared" si="7"/>
        <v>31</v>
      </c>
      <c r="U15" s="17">
        <f t="shared" si="7"/>
        <v>21</v>
      </c>
      <c r="V15" s="17">
        <f t="shared" si="7"/>
        <v>45</v>
      </c>
      <c r="W15" s="17">
        <f t="shared" si="7"/>
        <v>1</v>
      </c>
      <c r="X15" s="17">
        <f t="shared" si="7"/>
        <v>0</v>
      </c>
      <c r="Y15" s="17">
        <f t="shared" si="7"/>
        <v>28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178</v>
      </c>
      <c r="AD15" s="17">
        <f t="shared" si="7"/>
        <v>0</v>
      </c>
      <c r="AE15" s="31">
        <f t="shared" si="7"/>
        <v>254</v>
      </c>
      <c r="AF15" s="31">
        <f t="shared" si="7"/>
        <v>432</v>
      </c>
    </row>
    <row r="16" spans="2:32" ht="23.1" customHeight="1" x14ac:dyDescent="0.25">
      <c r="B16" s="45" t="s">
        <v>43</v>
      </c>
      <c r="C16" s="50">
        <v>11</v>
      </c>
      <c r="D16" s="50">
        <v>4</v>
      </c>
      <c r="E16" s="50">
        <v>3</v>
      </c>
      <c r="F16" s="50">
        <v>12</v>
      </c>
      <c r="G16" s="50">
        <v>0</v>
      </c>
      <c r="H16" s="50">
        <v>0</v>
      </c>
      <c r="I16" s="50">
        <v>6</v>
      </c>
      <c r="J16" s="50">
        <v>3</v>
      </c>
      <c r="K16" s="50">
        <v>1</v>
      </c>
      <c r="L16" s="50">
        <v>0</v>
      </c>
      <c r="M16" s="50">
        <v>130</v>
      </c>
      <c r="N16" s="50">
        <v>0</v>
      </c>
      <c r="O16" s="15">
        <f t="shared" si="0"/>
        <v>40</v>
      </c>
      <c r="P16" s="15">
        <f t="shared" si="1"/>
        <v>170</v>
      </c>
      <c r="R16" s="1" t="s">
        <v>12</v>
      </c>
      <c r="S16" s="17">
        <f t="shared" ref="S16:AF16" si="8">SUM(C34:C37)</f>
        <v>136</v>
      </c>
      <c r="T16" s="17">
        <f t="shared" si="8"/>
        <v>21</v>
      </c>
      <c r="U16" s="17">
        <f t="shared" si="8"/>
        <v>22</v>
      </c>
      <c r="V16" s="17">
        <f t="shared" si="8"/>
        <v>33</v>
      </c>
      <c r="W16" s="17">
        <f t="shared" si="8"/>
        <v>1</v>
      </c>
      <c r="X16" s="17">
        <f t="shared" si="8"/>
        <v>1</v>
      </c>
      <c r="Y16" s="17">
        <f t="shared" si="8"/>
        <v>26</v>
      </c>
      <c r="Z16" s="17">
        <f t="shared" si="8"/>
        <v>2</v>
      </c>
      <c r="AA16" s="17">
        <f t="shared" si="8"/>
        <v>4</v>
      </c>
      <c r="AB16" s="17">
        <f t="shared" si="8"/>
        <v>0</v>
      </c>
      <c r="AC16" s="17">
        <f t="shared" si="8"/>
        <v>265</v>
      </c>
      <c r="AD16" s="17">
        <f t="shared" si="8"/>
        <v>0</v>
      </c>
      <c r="AE16" s="31">
        <f t="shared" si="8"/>
        <v>246</v>
      </c>
      <c r="AF16" s="31">
        <f t="shared" si="8"/>
        <v>511</v>
      </c>
    </row>
    <row r="17" spans="2:32" ht="23.1" customHeight="1" x14ac:dyDescent="0.25">
      <c r="B17" s="45" t="s">
        <v>44</v>
      </c>
      <c r="C17" s="50">
        <v>16</v>
      </c>
      <c r="D17" s="50">
        <v>0</v>
      </c>
      <c r="E17" s="50">
        <v>2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32</v>
      </c>
      <c r="N17" s="50">
        <v>0</v>
      </c>
      <c r="O17" s="15">
        <f t="shared" si="0"/>
        <v>24</v>
      </c>
      <c r="P17" s="15">
        <f t="shared" si="1"/>
        <v>56</v>
      </c>
      <c r="R17" s="1" t="s">
        <v>13</v>
      </c>
      <c r="S17" s="17">
        <f t="shared" ref="S17:AF17" si="9">SUM(C38:C41)</f>
        <v>141</v>
      </c>
      <c r="T17" s="17">
        <f t="shared" si="9"/>
        <v>27</v>
      </c>
      <c r="U17" s="17">
        <f t="shared" si="9"/>
        <v>18</v>
      </c>
      <c r="V17" s="17">
        <f t="shared" si="9"/>
        <v>30</v>
      </c>
      <c r="W17" s="17">
        <f t="shared" si="9"/>
        <v>1</v>
      </c>
      <c r="X17" s="17">
        <f t="shared" si="9"/>
        <v>0</v>
      </c>
      <c r="Y17" s="17">
        <f t="shared" si="9"/>
        <v>20</v>
      </c>
      <c r="Z17" s="17">
        <f t="shared" si="9"/>
        <v>0</v>
      </c>
      <c r="AA17" s="17">
        <f t="shared" si="9"/>
        <v>3</v>
      </c>
      <c r="AB17" s="17">
        <f t="shared" si="9"/>
        <v>0</v>
      </c>
      <c r="AC17" s="17">
        <f t="shared" si="9"/>
        <v>224</v>
      </c>
      <c r="AD17" s="17">
        <f t="shared" si="9"/>
        <v>0</v>
      </c>
      <c r="AE17" s="31">
        <f t="shared" si="9"/>
        <v>240</v>
      </c>
      <c r="AF17" s="31">
        <f t="shared" si="9"/>
        <v>464</v>
      </c>
    </row>
    <row r="18" spans="2:32" ht="23.1" customHeight="1" x14ac:dyDescent="0.25">
      <c r="B18" s="45" t="s">
        <v>45</v>
      </c>
      <c r="C18" s="50">
        <v>16</v>
      </c>
      <c r="D18" s="50">
        <v>7</v>
      </c>
      <c r="E18" s="50">
        <v>4</v>
      </c>
      <c r="F18" s="50">
        <v>15</v>
      </c>
      <c r="G18" s="50">
        <v>0</v>
      </c>
      <c r="H18" s="50">
        <v>0</v>
      </c>
      <c r="I18" s="50">
        <v>5</v>
      </c>
      <c r="J18" s="50">
        <v>2</v>
      </c>
      <c r="K18" s="50">
        <v>0</v>
      </c>
      <c r="L18" s="50">
        <v>0</v>
      </c>
      <c r="M18" s="50">
        <v>89</v>
      </c>
      <c r="N18" s="50">
        <v>0</v>
      </c>
      <c r="O18" s="15">
        <f t="shared" si="0"/>
        <v>49</v>
      </c>
      <c r="P18" s="15">
        <f t="shared" si="1"/>
        <v>138</v>
      </c>
      <c r="R18" s="1" t="s">
        <v>14</v>
      </c>
      <c r="S18" s="17">
        <f t="shared" ref="S18:AF18" si="10">SUM(C42:C45)</f>
        <v>163</v>
      </c>
      <c r="T18" s="17">
        <f t="shared" si="10"/>
        <v>29</v>
      </c>
      <c r="U18" s="17">
        <f t="shared" si="10"/>
        <v>30</v>
      </c>
      <c r="V18" s="17">
        <f t="shared" si="10"/>
        <v>44</v>
      </c>
      <c r="W18" s="17">
        <f t="shared" si="10"/>
        <v>3</v>
      </c>
      <c r="X18" s="17">
        <f t="shared" si="10"/>
        <v>0</v>
      </c>
      <c r="Y18" s="17">
        <f t="shared" si="10"/>
        <v>30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272</v>
      </c>
      <c r="AD18" s="17">
        <f t="shared" si="10"/>
        <v>0</v>
      </c>
      <c r="AE18" s="31">
        <f t="shared" si="10"/>
        <v>303</v>
      </c>
      <c r="AF18" s="31">
        <f t="shared" si="10"/>
        <v>575</v>
      </c>
    </row>
    <row r="19" spans="2:32" ht="23.1" customHeight="1" x14ac:dyDescent="0.25">
      <c r="B19" s="45" t="s">
        <v>46</v>
      </c>
      <c r="C19" s="50">
        <v>14</v>
      </c>
      <c r="D19" s="50">
        <v>6</v>
      </c>
      <c r="E19" s="50">
        <v>1</v>
      </c>
      <c r="F19" s="50">
        <v>6</v>
      </c>
      <c r="G19" s="50">
        <v>0</v>
      </c>
      <c r="H19" s="50">
        <v>0</v>
      </c>
      <c r="I19" s="50">
        <v>6</v>
      </c>
      <c r="J19" s="50">
        <v>1</v>
      </c>
      <c r="K19" s="50">
        <v>0</v>
      </c>
      <c r="L19" s="50">
        <v>0</v>
      </c>
      <c r="M19" s="50">
        <v>61</v>
      </c>
      <c r="N19" s="50">
        <v>0</v>
      </c>
      <c r="O19" s="15">
        <f t="shared" si="0"/>
        <v>34</v>
      </c>
      <c r="P19" s="15">
        <f t="shared" si="1"/>
        <v>95</v>
      </c>
      <c r="R19" s="1" t="s">
        <v>15</v>
      </c>
      <c r="S19" s="17">
        <f t="shared" ref="S19:AF19" si="11">SUM(C46:C49)</f>
        <v>154</v>
      </c>
      <c r="T19" s="17">
        <f t="shared" si="11"/>
        <v>21</v>
      </c>
      <c r="U19" s="17">
        <f t="shared" si="11"/>
        <v>16</v>
      </c>
      <c r="V19" s="17">
        <f t="shared" si="11"/>
        <v>37</v>
      </c>
      <c r="W19" s="17">
        <f t="shared" si="11"/>
        <v>0</v>
      </c>
      <c r="X19" s="17">
        <f t="shared" si="11"/>
        <v>0</v>
      </c>
      <c r="Y19" s="17">
        <f t="shared" si="11"/>
        <v>34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241</v>
      </c>
      <c r="AD19" s="17">
        <f t="shared" si="11"/>
        <v>0</v>
      </c>
      <c r="AE19" s="31">
        <f t="shared" si="11"/>
        <v>265</v>
      </c>
      <c r="AF19" s="31">
        <f t="shared" si="11"/>
        <v>506</v>
      </c>
    </row>
    <row r="20" spans="2:32" ht="23.1" customHeight="1" x14ac:dyDescent="0.25">
      <c r="B20" s="45" t="s">
        <v>47</v>
      </c>
      <c r="C20" s="50">
        <v>11</v>
      </c>
      <c r="D20" s="50">
        <v>7</v>
      </c>
      <c r="E20" s="50">
        <v>9</v>
      </c>
      <c r="F20" s="50">
        <v>7</v>
      </c>
      <c r="G20" s="50">
        <v>0</v>
      </c>
      <c r="H20" s="50">
        <v>0</v>
      </c>
      <c r="I20" s="50">
        <v>6</v>
      </c>
      <c r="J20" s="50">
        <v>1</v>
      </c>
      <c r="K20" s="50">
        <v>0</v>
      </c>
      <c r="L20" s="50">
        <v>0</v>
      </c>
      <c r="M20" s="50">
        <v>59</v>
      </c>
      <c r="N20" s="50">
        <v>0</v>
      </c>
      <c r="O20" s="15">
        <f t="shared" si="0"/>
        <v>41</v>
      </c>
      <c r="P20" s="15">
        <f t="shared" si="1"/>
        <v>100</v>
      </c>
      <c r="R20" s="1" t="s">
        <v>16</v>
      </c>
      <c r="S20" s="17">
        <f t="shared" ref="S20:AF20" si="12">SUM(C50:C53)</f>
        <v>187</v>
      </c>
      <c r="T20" s="17">
        <f t="shared" si="12"/>
        <v>27</v>
      </c>
      <c r="U20" s="17">
        <f t="shared" si="12"/>
        <v>27</v>
      </c>
      <c r="V20" s="17">
        <f t="shared" si="12"/>
        <v>53</v>
      </c>
      <c r="W20" s="17">
        <f t="shared" si="12"/>
        <v>3</v>
      </c>
      <c r="X20" s="17">
        <f t="shared" si="12"/>
        <v>1</v>
      </c>
      <c r="Y20" s="17">
        <f t="shared" si="12"/>
        <v>30</v>
      </c>
      <c r="Z20" s="17">
        <f t="shared" si="12"/>
        <v>6</v>
      </c>
      <c r="AA20" s="17">
        <f t="shared" si="12"/>
        <v>1</v>
      </c>
      <c r="AB20" s="17">
        <f t="shared" si="12"/>
        <v>1</v>
      </c>
      <c r="AC20" s="17">
        <f t="shared" si="12"/>
        <v>339</v>
      </c>
      <c r="AD20" s="17">
        <f t="shared" si="12"/>
        <v>0</v>
      </c>
      <c r="AE20" s="31">
        <f t="shared" si="12"/>
        <v>336</v>
      </c>
      <c r="AF20" s="31">
        <f t="shared" si="12"/>
        <v>675</v>
      </c>
    </row>
    <row r="21" spans="2:32" ht="23.1" customHeight="1" x14ac:dyDescent="0.25">
      <c r="B21" s="45" t="s">
        <v>48</v>
      </c>
      <c r="C21" s="50">
        <v>11</v>
      </c>
      <c r="D21" s="50">
        <v>3</v>
      </c>
      <c r="E21" s="50">
        <v>1</v>
      </c>
      <c r="F21" s="50">
        <v>8</v>
      </c>
      <c r="G21" s="50">
        <v>0</v>
      </c>
      <c r="H21" s="50">
        <v>0</v>
      </c>
      <c r="I21" s="50">
        <v>9</v>
      </c>
      <c r="J21" s="50">
        <v>1</v>
      </c>
      <c r="K21" s="50">
        <v>0</v>
      </c>
      <c r="L21" s="50">
        <v>0</v>
      </c>
      <c r="M21" s="50">
        <v>48</v>
      </c>
      <c r="N21" s="50">
        <v>0</v>
      </c>
      <c r="O21" s="15">
        <f t="shared" si="0"/>
        <v>33</v>
      </c>
      <c r="P21" s="15">
        <f t="shared" si="1"/>
        <v>81</v>
      </c>
      <c r="R21" s="36" t="s">
        <v>20</v>
      </c>
      <c r="S21" s="34">
        <f t="shared" ref="S21:AF21" si="13">SUM(C54:C57)</f>
        <v>180</v>
      </c>
      <c r="T21" s="17">
        <f t="shared" si="13"/>
        <v>15</v>
      </c>
      <c r="U21" s="17">
        <f t="shared" si="13"/>
        <v>32</v>
      </c>
      <c r="V21" s="17">
        <f t="shared" si="13"/>
        <v>82</v>
      </c>
      <c r="W21" s="17">
        <f t="shared" si="13"/>
        <v>2</v>
      </c>
      <c r="X21" s="17">
        <f t="shared" si="13"/>
        <v>0</v>
      </c>
      <c r="Y21" s="17">
        <f t="shared" si="13"/>
        <v>30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293</v>
      </c>
      <c r="AD21" s="17">
        <f t="shared" si="13"/>
        <v>0</v>
      </c>
      <c r="AE21" s="31">
        <f t="shared" si="13"/>
        <v>342</v>
      </c>
      <c r="AF21" s="31">
        <f t="shared" si="13"/>
        <v>635</v>
      </c>
    </row>
    <row r="22" spans="2:32" ht="23.1" customHeight="1" x14ac:dyDescent="0.25">
      <c r="B22" s="45" t="s">
        <v>49</v>
      </c>
      <c r="C22" s="50">
        <v>25</v>
      </c>
      <c r="D22" s="50">
        <v>15</v>
      </c>
      <c r="E22" s="50">
        <v>7</v>
      </c>
      <c r="F22" s="50">
        <v>12</v>
      </c>
      <c r="G22" s="50">
        <v>0</v>
      </c>
      <c r="H22" s="50">
        <v>0</v>
      </c>
      <c r="I22" s="50">
        <v>5</v>
      </c>
      <c r="J22" s="50">
        <v>4</v>
      </c>
      <c r="K22" s="50">
        <v>0</v>
      </c>
      <c r="L22" s="50">
        <v>0</v>
      </c>
      <c r="M22" s="50">
        <v>80</v>
      </c>
      <c r="N22" s="50">
        <v>0</v>
      </c>
      <c r="O22" s="15">
        <f t="shared" si="0"/>
        <v>68</v>
      </c>
      <c r="P22" s="15">
        <f t="shared" si="1"/>
        <v>148</v>
      </c>
      <c r="R22" s="36" t="s">
        <v>146</v>
      </c>
      <c r="S22" s="34">
        <f>SUM(C58:C61)</f>
        <v>239</v>
      </c>
      <c r="T22" s="34">
        <f t="shared" ref="T22:AF22" si="14">SUM(D58:D61)</f>
        <v>19</v>
      </c>
      <c r="U22" s="34">
        <f t="shared" si="14"/>
        <v>23</v>
      </c>
      <c r="V22" s="34">
        <f t="shared" si="14"/>
        <v>132</v>
      </c>
      <c r="W22" s="34">
        <f t="shared" si="14"/>
        <v>1</v>
      </c>
      <c r="X22" s="34">
        <f t="shared" si="14"/>
        <v>0</v>
      </c>
      <c r="Y22" s="34">
        <f t="shared" si="14"/>
        <v>23</v>
      </c>
      <c r="Z22" s="34">
        <f t="shared" si="14"/>
        <v>9</v>
      </c>
      <c r="AA22" s="34">
        <f t="shared" si="14"/>
        <v>5</v>
      </c>
      <c r="AB22" s="34">
        <f t="shared" si="14"/>
        <v>2</v>
      </c>
      <c r="AC22" s="34">
        <f t="shared" si="14"/>
        <v>282</v>
      </c>
      <c r="AD22" s="34">
        <f t="shared" si="14"/>
        <v>0</v>
      </c>
      <c r="AE22" s="31">
        <f t="shared" si="14"/>
        <v>453</v>
      </c>
      <c r="AF22" s="31">
        <f t="shared" si="14"/>
        <v>735</v>
      </c>
    </row>
    <row r="23" spans="2:32" ht="23.1" customHeight="1" x14ac:dyDescent="0.25">
      <c r="B23" s="45" t="s">
        <v>50</v>
      </c>
      <c r="C23" s="50">
        <v>18</v>
      </c>
      <c r="D23" s="50">
        <v>4</v>
      </c>
      <c r="E23" s="50">
        <v>3</v>
      </c>
      <c r="F23" s="50">
        <v>13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42</v>
      </c>
      <c r="N23" s="50">
        <v>0</v>
      </c>
      <c r="O23" s="15">
        <f t="shared" si="0"/>
        <v>45</v>
      </c>
      <c r="P23" s="15">
        <f t="shared" si="1"/>
        <v>87</v>
      </c>
      <c r="R23" s="36" t="s">
        <v>147</v>
      </c>
      <c r="S23" s="34">
        <f>SUM(C62:C65)</f>
        <v>257</v>
      </c>
      <c r="T23" s="34">
        <f t="shared" ref="T23:AF23" si="15">SUM(D62:D65)</f>
        <v>25</v>
      </c>
      <c r="U23" s="34">
        <f t="shared" si="15"/>
        <v>24</v>
      </c>
      <c r="V23" s="34">
        <f t="shared" si="15"/>
        <v>169</v>
      </c>
      <c r="W23" s="34">
        <f t="shared" si="15"/>
        <v>3</v>
      </c>
      <c r="X23" s="34">
        <f t="shared" si="15"/>
        <v>2</v>
      </c>
      <c r="Y23" s="34">
        <f t="shared" si="15"/>
        <v>17</v>
      </c>
      <c r="Z23" s="34">
        <f t="shared" si="15"/>
        <v>5</v>
      </c>
      <c r="AA23" s="34">
        <f t="shared" si="15"/>
        <v>1</v>
      </c>
      <c r="AB23" s="34">
        <f t="shared" si="15"/>
        <v>0</v>
      </c>
      <c r="AC23" s="34">
        <f t="shared" si="15"/>
        <v>321</v>
      </c>
      <c r="AD23" s="34">
        <f t="shared" si="15"/>
        <v>0</v>
      </c>
      <c r="AE23" s="31">
        <f t="shared" si="15"/>
        <v>503</v>
      </c>
      <c r="AF23" s="31">
        <f t="shared" si="15"/>
        <v>824</v>
      </c>
    </row>
    <row r="24" spans="2:32" ht="23.1" customHeight="1" x14ac:dyDescent="0.25">
      <c r="B24" s="45" t="s">
        <v>51</v>
      </c>
      <c r="C24" s="50">
        <v>29</v>
      </c>
      <c r="D24" s="50">
        <v>14</v>
      </c>
      <c r="E24" s="50">
        <v>5</v>
      </c>
      <c r="F24" s="50">
        <v>7</v>
      </c>
      <c r="G24" s="50">
        <v>1</v>
      </c>
      <c r="H24" s="50">
        <v>0</v>
      </c>
      <c r="I24" s="50">
        <v>9</v>
      </c>
      <c r="J24" s="50">
        <v>0</v>
      </c>
      <c r="K24" s="50">
        <v>0</v>
      </c>
      <c r="L24" s="50">
        <v>0</v>
      </c>
      <c r="M24" s="50">
        <v>77</v>
      </c>
      <c r="N24" s="50">
        <v>0</v>
      </c>
      <c r="O24" s="15">
        <f t="shared" si="0"/>
        <v>65</v>
      </c>
      <c r="P24" s="15">
        <f t="shared" si="1"/>
        <v>142</v>
      </c>
      <c r="R24" s="36" t="s">
        <v>148</v>
      </c>
      <c r="S24" s="34">
        <f>SUM(C66:C69)</f>
        <v>247</v>
      </c>
      <c r="T24" s="34">
        <f t="shared" ref="T24:AF24" si="16">SUM(D66:D69)</f>
        <v>10</v>
      </c>
      <c r="U24" s="34">
        <f t="shared" si="16"/>
        <v>16</v>
      </c>
      <c r="V24" s="34">
        <f t="shared" si="16"/>
        <v>82</v>
      </c>
      <c r="W24" s="34">
        <f t="shared" si="16"/>
        <v>51</v>
      </c>
      <c r="X24" s="34">
        <f t="shared" si="16"/>
        <v>5</v>
      </c>
      <c r="Y24" s="34">
        <f t="shared" si="16"/>
        <v>11</v>
      </c>
      <c r="Z24" s="34">
        <f t="shared" si="16"/>
        <v>6</v>
      </c>
      <c r="AA24" s="34">
        <f t="shared" si="16"/>
        <v>1</v>
      </c>
      <c r="AB24" s="34">
        <f t="shared" si="16"/>
        <v>1</v>
      </c>
      <c r="AC24" s="34">
        <f t="shared" si="16"/>
        <v>318</v>
      </c>
      <c r="AD24" s="34">
        <f t="shared" si="16"/>
        <v>0</v>
      </c>
      <c r="AE24" s="31">
        <f t="shared" si="16"/>
        <v>430</v>
      </c>
      <c r="AF24" s="31">
        <f t="shared" si="16"/>
        <v>748</v>
      </c>
    </row>
    <row r="25" spans="2:32" ht="23.1" customHeight="1" x14ac:dyDescent="0.25">
      <c r="B25" s="45" t="s">
        <v>52</v>
      </c>
      <c r="C25" s="50">
        <v>28</v>
      </c>
      <c r="D25" s="50">
        <v>3</v>
      </c>
      <c r="E25" s="50">
        <v>0</v>
      </c>
      <c r="F25" s="50">
        <v>9</v>
      </c>
      <c r="G25" s="50">
        <v>0</v>
      </c>
      <c r="H25" s="50">
        <v>0</v>
      </c>
      <c r="I25" s="50">
        <v>11</v>
      </c>
      <c r="J25" s="50">
        <v>1</v>
      </c>
      <c r="K25" s="50">
        <v>0</v>
      </c>
      <c r="L25" s="50">
        <v>0</v>
      </c>
      <c r="M25" s="50">
        <v>66</v>
      </c>
      <c r="N25" s="50">
        <v>0</v>
      </c>
      <c r="O25" s="15">
        <f t="shared" si="0"/>
        <v>52</v>
      </c>
      <c r="P25" s="15">
        <f t="shared" si="1"/>
        <v>118</v>
      </c>
      <c r="R25" s="36" t="s">
        <v>149</v>
      </c>
      <c r="S25" s="34">
        <f>SUM(C70:C73)</f>
        <v>152</v>
      </c>
      <c r="T25" s="34">
        <f t="shared" ref="T25:AF25" si="17">SUM(D70:D73)</f>
        <v>8</v>
      </c>
      <c r="U25" s="34">
        <f t="shared" si="17"/>
        <v>21</v>
      </c>
      <c r="V25" s="34">
        <f t="shared" si="17"/>
        <v>41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210</v>
      </c>
      <c r="AD25" s="34">
        <f t="shared" si="17"/>
        <v>0</v>
      </c>
      <c r="AE25" s="31">
        <f t="shared" si="17"/>
        <v>230</v>
      </c>
      <c r="AF25" s="31">
        <f t="shared" si="17"/>
        <v>440</v>
      </c>
    </row>
    <row r="26" spans="2:32" ht="23.1" customHeight="1" x14ac:dyDescent="0.25">
      <c r="B26" s="45" t="s">
        <v>53</v>
      </c>
      <c r="C26" s="50">
        <v>19</v>
      </c>
      <c r="D26" s="50">
        <v>7</v>
      </c>
      <c r="E26" s="50">
        <v>7</v>
      </c>
      <c r="F26" s="50">
        <v>17</v>
      </c>
      <c r="G26" s="50">
        <v>0</v>
      </c>
      <c r="H26" s="50">
        <v>0</v>
      </c>
      <c r="I26" s="50">
        <v>6</v>
      </c>
      <c r="J26" s="50">
        <v>0</v>
      </c>
      <c r="K26" s="50">
        <v>0</v>
      </c>
      <c r="L26" s="50">
        <v>0</v>
      </c>
      <c r="M26" s="50">
        <v>53</v>
      </c>
      <c r="N26" s="50">
        <v>0</v>
      </c>
      <c r="O26" s="15">
        <f t="shared" si="0"/>
        <v>56</v>
      </c>
      <c r="P26" s="15">
        <f t="shared" si="1"/>
        <v>109</v>
      </c>
      <c r="R26" s="36" t="s">
        <v>150</v>
      </c>
      <c r="S26" s="34">
        <f>SUM(C74:C77)</f>
        <v>110</v>
      </c>
      <c r="T26" s="34">
        <f t="shared" ref="T26:AF26" si="18">SUM(D74:D77)</f>
        <v>11</v>
      </c>
      <c r="U26" s="34">
        <f t="shared" si="18"/>
        <v>16</v>
      </c>
      <c r="V26" s="34">
        <f t="shared" si="18"/>
        <v>15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159</v>
      </c>
      <c r="AD26" s="34">
        <f t="shared" si="18"/>
        <v>0</v>
      </c>
      <c r="AE26" s="31">
        <f t="shared" si="18"/>
        <v>157</v>
      </c>
      <c r="AF26" s="31">
        <f t="shared" si="18"/>
        <v>316</v>
      </c>
    </row>
    <row r="27" spans="2:32" ht="23.1" customHeight="1" x14ac:dyDescent="0.25">
      <c r="B27" s="45" t="s">
        <v>54</v>
      </c>
      <c r="C27" s="50">
        <v>31</v>
      </c>
      <c r="D27" s="50">
        <v>8</v>
      </c>
      <c r="E27" s="50">
        <v>1</v>
      </c>
      <c r="F27" s="50">
        <v>14</v>
      </c>
      <c r="G27" s="50">
        <v>0</v>
      </c>
      <c r="H27" s="50">
        <v>0</v>
      </c>
      <c r="I27" s="50">
        <v>5</v>
      </c>
      <c r="J27" s="50">
        <v>1</v>
      </c>
      <c r="K27" s="50">
        <v>0</v>
      </c>
      <c r="L27" s="50">
        <v>0</v>
      </c>
      <c r="M27" s="50">
        <v>16</v>
      </c>
      <c r="N27" s="50">
        <v>0</v>
      </c>
      <c r="O27" s="15">
        <f t="shared" si="0"/>
        <v>60</v>
      </c>
      <c r="P27" s="15">
        <f t="shared" si="1"/>
        <v>76</v>
      </c>
      <c r="R27" s="36" t="s">
        <v>151</v>
      </c>
      <c r="S27" s="34">
        <f>SUM(C78:C81)</f>
        <v>71</v>
      </c>
      <c r="T27" s="34">
        <f t="shared" ref="T27:AF27" si="19">SUM(D78:D81)</f>
        <v>3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94</v>
      </c>
      <c r="AD27" s="34">
        <f t="shared" si="19"/>
        <v>0</v>
      </c>
      <c r="AE27" s="31">
        <f t="shared" si="19"/>
        <v>76</v>
      </c>
      <c r="AF27" s="31">
        <f t="shared" si="19"/>
        <v>170</v>
      </c>
    </row>
    <row r="28" spans="2:32" ht="23.1" customHeight="1" x14ac:dyDescent="0.25">
      <c r="B28" s="45" t="s">
        <v>55</v>
      </c>
      <c r="C28" s="50">
        <v>30</v>
      </c>
      <c r="D28" s="50">
        <v>14</v>
      </c>
      <c r="E28" s="50">
        <v>1</v>
      </c>
      <c r="F28" s="50">
        <v>14</v>
      </c>
      <c r="G28" s="50">
        <v>0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71</v>
      </c>
      <c r="N28" s="50">
        <v>0</v>
      </c>
      <c r="O28" s="15">
        <f t="shared" si="0"/>
        <v>66</v>
      </c>
      <c r="P28" s="15">
        <f t="shared" si="1"/>
        <v>137</v>
      </c>
      <c r="R28" s="36" t="s">
        <v>152</v>
      </c>
      <c r="S28" s="34">
        <f>SUM(C82:C85)</f>
        <v>53</v>
      </c>
      <c r="T28" s="34">
        <f t="shared" ref="T28:AF28" si="20">SUM(D82:D85)</f>
        <v>6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54</v>
      </c>
      <c r="AD28" s="34">
        <f t="shared" si="20"/>
        <v>0</v>
      </c>
      <c r="AE28" s="31">
        <f t="shared" si="20"/>
        <v>63</v>
      </c>
      <c r="AF28" s="31">
        <f t="shared" si="20"/>
        <v>117</v>
      </c>
    </row>
    <row r="29" spans="2:32" ht="23.1" customHeight="1" x14ac:dyDescent="0.25">
      <c r="B29" s="45" t="s">
        <v>56</v>
      </c>
      <c r="C29" s="50">
        <v>36</v>
      </c>
      <c r="D29" s="50">
        <v>15</v>
      </c>
      <c r="E29" s="50">
        <v>14</v>
      </c>
      <c r="F29" s="50">
        <v>9</v>
      </c>
      <c r="G29" s="50">
        <v>0</v>
      </c>
      <c r="H29" s="50">
        <v>0</v>
      </c>
      <c r="I29" s="50">
        <v>6</v>
      </c>
      <c r="J29" s="50">
        <v>0</v>
      </c>
      <c r="K29" s="50">
        <v>0</v>
      </c>
      <c r="L29" s="50">
        <v>0</v>
      </c>
      <c r="M29" s="50">
        <v>65</v>
      </c>
      <c r="N29" s="50">
        <v>0</v>
      </c>
      <c r="O29" s="15">
        <f t="shared" si="0"/>
        <v>80</v>
      </c>
      <c r="P29" s="15">
        <f t="shared" si="1"/>
        <v>145</v>
      </c>
      <c r="R29" s="36" t="s">
        <v>153</v>
      </c>
      <c r="S29" s="34">
        <f>SUM(C86:C89)</f>
        <v>32</v>
      </c>
      <c r="T29" s="34">
        <f t="shared" ref="T29:AF29" si="21">SUM(D86:D89)</f>
        <v>2</v>
      </c>
      <c r="U29" s="34">
        <f t="shared" si="21"/>
        <v>2</v>
      </c>
      <c r="V29" s="34">
        <f t="shared" si="21"/>
        <v>2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0</v>
      </c>
      <c r="AC29" s="34">
        <f t="shared" si="21"/>
        <v>37</v>
      </c>
      <c r="AD29" s="34">
        <f t="shared" si="21"/>
        <v>0</v>
      </c>
      <c r="AE29" s="31">
        <f t="shared" si="21"/>
        <v>39</v>
      </c>
      <c r="AF29" s="31">
        <f t="shared" si="21"/>
        <v>76</v>
      </c>
    </row>
    <row r="30" spans="2:32" ht="23.1" customHeight="1" x14ac:dyDescent="0.25">
      <c r="B30" s="45" t="s">
        <v>57</v>
      </c>
      <c r="C30" s="50">
        <v>32</v>
      </c>
      <c r="D30" s="50">
        <v>4</v>
      </c>
      <c r="E30" s="50">
        <v>1</v>
      </c>
      <c r="F30" s="50">
        <v>11</v>
      </c>
      <c r="G30" s="50">
        <v>0</v>
      </c>
      <c r="H30" s="50">
        <v>0</v>
      </c>
      <c r="I30" s="50">
        <v>5</v>
      </c>
      <c r="J30" s="50">
        <v>0</v>
      </c>
      <c r="K30" s="50">
        <v>1</v>
      </c>
      <c r="L30" s="50">
        <v>0</v>
      </c>
      <c r="M30" s="50">
        <v>50</v>
      </c>
      <c r="N30" s="50">
        <v>0</v>
      </c>
      <c r="O30" s="15">
        <f t="shared" si="0"/>
        <v>54</v>
      </c>
      <c r="P30" s="15">
        <f t="shared" si="1"/>
        <v>104</v>
      </c>
      <c r="R30" s="36" t="s">
        <v>154</v>
      </c>
      <c r="S30" s="34">
        <f>SUM(C90:C93)</f>
        <v>25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33</v>
      </c>
      <c r="AD30" s="34">
        <f t="shared" si="22"/>
        <v>0</v>
      </c>
      <c r="AE30" s="31">
        <f t="shared" si="22"/>
        <v>30</v>
      </c>
      <c r="AF30" s="31">
        <f t="shared" si="22"/>
        <v>63</v>
      </c>
    </row>
    <row r="31" spans="2:32" ht="23.1" customHeight="1" x14ac:dyDescent="0.25">
      <c r="B31" s="46" t="s">
        <v>58</v>
      </c>
      <c r="C31" s="50">
        <v>35</v>
      </c>
      <c r="D31" s="50">
        <v>7</v>
      </c>
      <c r="E31" s="50">
        <v>7</v>
      </c>
      <c r="F31" s="50">
        <v>12</v>
      </c>
      <c r="G31" s="50">
        <v>1</v>
      </c>
      <c r="H31" s="50">
        <v>0</v>
      </c>
      <c r="I31" s="50">
        <v>9</v>
      </c>
      <c r="J31" s="50">
        <v>0</v>
      </c>
      <c r="K31" s="50">
        <v>0</v>
      </c>
      <c r="L31" s="50">
        <v>0</v>
      </c>
      <c r="M31" s="50">
        <v>60</v>
      </c>
      <c r="N31" s="50">
        <v>0</v>
      </c>
      <c r="O31" s="15">
        <f t="shared" si="0"/>
        <v>71</v>
      </c>
      <c r="P31" s="15">
        <f t="shared" si="1"/>
        <v>131</v>
      </c>
      <c r="R31" s="36" t="s">
        <v>155</v>
      </c>
      <c r="S31" s="34">
        <f>SUM(C94:C97)</f>
        <v>15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30</v>
      </c>
      <c r="AD31" s="34">
        <f t="shared" si="23"/>
        <v>0</v>
      </c>
      <c r="AE31" s="31">
        <f t="shared" si="23"/>
        <v>16</v>
      </c>
      <c r="AF31" s="31">
        <f t="shared" si="23"/>
        <v>46</v>
      </c>
    </row>
    <row r="32" spans="2:32" ht="23.1" customHeight="1" x14ac:dyDescent="0.25">
      <c r="B32" s="46" t="s">
        <v>59</v>
      </c>
      <c r="C32" s="50">
        <v>33</v>
      </c>
      <c r="D32" s="50">
        <v>8</v>
      </c>
      <c r="E32" s="50">
        <v>9</v>
      </c>
      <c r="F32" s="50">
        <v>14</v>
      </c>
      <c r="G32" s="50">
        <v>0</v>
      </c>
      <c r="H32" s="50">
        <v>0</v>
      </c>
      <c r="I32" s="50">
        <v>8</v>
      </c>
      <c r="J32" s="50">
        <v>1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73</v>
      </c>
      <c r="P32" s="15">
        <f t="shared" si="1"/>
        <v>91</v>
      </c>
      <c r="R32" s="33" t="s">
        <v>156</v>
      </c>
      <c r="S32" s="34">
        <f>SUM(C98:C101)</f>
        <v>12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36</v>
      </c>
      <c r="AD32" s="34">
        <f t="shared" si="24"/>
        <v>0</v>
      </c>
      <c r="AE32" s="31">
        <f t="shared" si="24"/>
        <v>20</v>
      </c>
      <c r="AF32" s="31">
        <f t="shared" si="24"/>
        <v>56</v>
      </c>
    </row>
    <row r="33" spans="2:32" ht="23.1" customHeight="1" x14ac:dyDescent="0.25">
      <c r="B33" s="45" t="s">
        <v>60</v>
      </c>
      <c r="C33" s="50">
        <v>25</v>
      </c>
      <c r="D33" s="50">
        <v>12</v>
      </c>
      <c r="E33" s="50">
        <v>4</v>
      </c>
      <c r="F33" s="50">
        <v>8</v>
      </c>
      <c r="G33" s="50">
        <v>0</v>
      </c>
      <c r="H33" s="50">
        <v>0</v>
      </c>
      <c r="I33" s="50">
        <v>6</v>
      </c>
      <c r="J33" s="50">
        <v>1</v>
      </c>
      <c r="K33" s="50">
        <v>0</v>
      </c>
      <c r="L33" s="50">
        <v>0</v>
      </c>
      <c r="M33" s="50">
        <v>50</v>
      </c>
      <c r="N33" s="50">
        <v>0</v>
      </c>
      <c r="O33" s="15">
        <f t="shared" si="0"/>
        <v>56</v>
      </c>
      <c r="P33" s="15">
        <f t="shared" si="1"/>
        <v>106</v>
      </c>
      <c r="R33" s="33" t="s">
        <v>157</v>
      </c>
      <c r="S33" s="34">
        <f>SUM(C102:C105)</f>
        <v>19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6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40</v>
      </c>
      <c r="AD33" s="34">
        <f t="shared" si="25"/>
        <v>0</v>
      </c>
      <c r="AE33" s="31">
        <f t="shared" si="25"/>
        <v>28</v>
      </c>
      <c r="AF33" s="31">
        <f t="shared" si="25"/>
        <v>68</v>
      </c>
    </row>
    <row r="34" spans="2:32" ht="23.1" customHeight="1" x14ac:dyDescent="0.25">
      <c r="B34" s="46" t="s">
        <v>61</v>
      </c>
      <c r="C34" s="50">
        <v>29</v>
      </c>
      <c r="D34" s="50">
        <v>2</v>
      </c>
      <c r="E34" s="50">
        <v>3</v>
      </c>
      <c r="F34" s="50">
        <v>5</v>
      </c>
      <c r="G34" s="50">
        <v>0</v>
      </c>
      <c r="H34" s="50">
        <v>0</v>
      </c>
      <c r="I34" s="50">
        <v>5</v>
      </c>
      <c r="J34" s="50">
        <v>0</v>
      </c>
      <c r="K34" s="50">
        <v>2</v>
      </c>
      <c r="L34" s="50">
        <v>0</v>
      </c>
      <c r="M34" s="50">
        <v>49</v>
      </c>
      <c r="N34" s="50">
        <v>0</v>
      </c>
      <c r="O34" s="15">
        <f t="shared" si="0"/>
        <v>46</v>
      </c>
      <c r="P34" s="15">
        <f t="shared" si="1"/>
        <v>95</v>
      </c>
      <c r="R34" s="38" t="s">
        <v>90</v>
      </c>
      <c r="S34" s="39">
        <f t="shared" ref="S34:AF34" si="26">MAX(S10:S12)</f>
        <v>52</v>
      </c>
      <c r="T34" s="39">
        <f t="shared" si="26"/>
        <v>23</v>
      </c>
      <c r="U34" s="39">
        <f t="shared" si="26"/>
        <v>15</v>
      </c>
      <c r="V34" s="39">
        <f t="shared" si="26"/>
        <v>36</v>
      </c>
      <c r="W34" s="39">
        <f t="shared" si="26"/>
        <v>0</v>
      </c>
      <c r="X34" s="39">
        <f t="shared" si="26"/>
        <v>0</v>
      </c>
      <c r="Y34" s="39">
        <f t="shared" si="26"/>
        <v>26</v>
      </c>
      <c r="Z34" s="39">
        <f t="shared" si="26"/>
        <v>5</v>
      </c>
      <c r="AA34" s="39">
        <f t="shared" si="26"/>
        <v>1</v>
      </c>
      <c r="AB34" s="39">
        <f t="shared" si="26"/>
        <v>0</v>
      </c>
      <c r="AC34" s="39">
        <f t="shared" si="26"/>
        <v>257</v>
      </c>
      <c r="AD34" s="39">
        <f t="shared" si="26"/>
        <v>0</v>
      </c>
      <c r="AE34" s="40">
        <f t="shared" si="26"/>
        <v>157</v>
      </c>
      <c r="AF34" s="40">
        <f t="shared" si="26"/>
        <v>414</v>
      </c>
    </row>
    <row r="35" spans="2:32" ht="23.1" customHeight="1" x14ac:dyDescent="0.25">
      <c r="B35" s="46" t="s">
        <v>62</v>
      </c>
      <c r="C35" s="50">
        <v>46</v>
      </c>
      <c r="D35" s="50">
        <v>6</v>
      </c>
      <c r="E35" s="50">
        <v>5</v>
      </c>
      <c r="F35" s="50">
        <v>12</v>
      </c>
      <c r="G35" s="50">
        <v>0</v>
      </c>
      <c r="H35" s="50">
        <v>0</v>
      </c>
      <c r="I35" s="50">
        <v>11</v>
      </c>
      <c r="J35" s="50">
        <v>1</v>
      </c>
      <c r="K35" s="50">
        <v>2</v>
      </c>
      <c r="L35" s="50">
        <v>0</v>
      </c>
      <c r="M35" s="50">
        <v>95</v>
      </c>
      <c r="N35" s="50">
        <v>0</v>
      </c>
      <c r="O35" s="15">
        <f t="shared" si="0"/>
        <v>83</v>
      </c>
      <c r="P35" s="15">
        <f t="shared" si="1"/>
        <v>178</v>
      </c>
      <c r="R35" s="38" t="s">
        <v>91</v>
      </c>
      <c r="S35" s="39">
        <f t="shared" ref="S35:AF35" si="27">MAX(S13:S18)</f>
        <v>163</v>
      </c>
      <c r="T35" s="39">
        <f t="shared" si="27"/>
        <v>44</v>
      </c>
      <c r="U35" s="39">
        <f t="shared" si="27"/>
        <v>30</v>
      </c>
      <c r="V35" s="39">
        <f t="shared" si="27"/>
        <v>54</v>
      </c>
      <c r="W35" s="39">
        <f t="shared" si="27"/>
        <v>3</v>
      </c>
      <c r="X35" s="39">
        <f t="shared" si="27"/>
        <v>1</v>
      </c>
      <c r="Y35" s="39">
        <f t="shared" si="27"/>
        <v>31</v>
      </c>
      <c r="Z35" s="39">
        <f t="shared" si="27"/>
        <v>6</v>
      </c>
      <c r="AA35" s="39">
        <f t="shared" si="27"/>
        <v>4</v>
      </c>
      <c r="AB35" s="39">
        <f t="shared" si="27"/>
        <v>0</v>
      </c>
      <c r="AC35" s="39">
        <f t="shared" si="27"/>
        <v>272</v>
      </c>
      <c r="AD35" s="39">
        <f t="shared" si="27"/>
        <v>0</v>
      </c>
      <c r="AE35" s="40">
        <f t="shared" si="27"/>
        <v>303</v>
      </c>
      <c r="AF35" s="40">
        <f t="shared" si="27"/>
        <v>575</v>
      </c>
    </row>
    <row r="36" spans="2:32" ht="23.1" customHeight="1" x14ac:dyDescent="0.25">
      <c r="B36" s="46" t="s">
        <v>63</v>
      </c>
      <c r="C36" s="50">
        <v>31</v>
      </c>
      <c r="D36" s="50">
        <v>6</v>
      </c>
      <c r="E36" s="50">
        <v>9</v>
      </c>
      <c r="F36" s="50">
        <v>11</v>
      </c>
      <c r="G36" s="50">
        <v>1</v>
      </c>
      <c r="H36" s="50">
        <v>1</v>
      </c>
      <c r="I36" s="50">
        <v>5</v>
      </c>
      <c r="J36" s="50">
        <v>0</v>
      </c>
      <c r="K36" s="50">
        <v>0</v>
      </c>
      <c r="L36" s="50">
        <v>0</v>
      </c>
      <c r="M36" s="50">
        <v>70</v>
      </c>
      <c r="N36" s="50">
        <v>0</v>
      </c>
      <c r="O36" s="15">
        <f t="shared" si="0"/>
        <v>64</v>
      </c>
      <c r="P36" s="15">
        <f t="shared" si="1"/>
        <v>134</v>
      </c>
      <c r="R36" s="38" t="s">
        <v>92</v>
      </c>
      <c r="S36" s="39">
        <f t="shared" ref="S36:AF36" si="28">MAX(S19:S21)</f>
        <v>187</v>
      </c>
      <c r="T36" s="39">
        <f t="shared" si="28"/>
        <v>27</v>
      </c>
      <c r="U36" s="39">
        <f t="shared" si="28"/>
        <v>32</v>
      </c>
      <c r="V36" s="39">
        <f t="shared" si="28"/>
        <v>82</v>
      </c>
      <c r="W36" s="39">
        <f t="shared" si="28"/>
        <v>3</v>
      </c>
      <c r="X36" s="39">
        <f t="shared" si="28"/>
        <v>1</v>
      </c>
      <c r="Y36" s="39">
        <f t="shared" si="28"/>
        <v>34</v>
      </c>
      <c r="Z36" s="39">
        <f t="shared" si="28"/>
        <v>6</v>
      </c>
      <c r="AA36" s="39">
        <f t="shared" si="28"/>
        <v>1</v>
      </c>
      <c r="AB36" s="39">
        <f t="shared" si="28"/>
        <v>1</v>
      </c>
      <c r="AC36" s="39">
        <f t="shared" si="28"/>
        <v>339</v>
      </c>
      <c r="AD36" s="39">
        <f t="shared" si="28"/>
        <v>0</v>
      </c>
      <c r="AE36" s="40">
        <f t="shared" si="28"/>
        <v>342</v>
      </c>
      <c r="AF36" s="40">
        <f t="shared" si="28"/>
        <v>675</v>
      </c>
    </row>
    <row r="37" spans="2:32" ht="23.1" customHeight="1" x14ac:dyDescent="0.25">
      <c r="B37" s="45" t="s">
        <v>64</v>
      </c>
      <c r="C37" s="50">
        <v>30</v>
      </c>
      <c r="D37" s="50">
        <v>7</v>
      </c>
      <c r="E37" s="50">
        <v>5</v>
      </c>
      <c r="F37" s="50">
        <v>5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0</v>
      </c>
      <c r="M37" s="50">
        <v>51</v>
      </c>
      <c r="N37" s="50">
        <v>0</v>
      </c>
      <c r="O37" s="15">
        <f t="shared" si="0"/>
        <v>53</v>
      </c>
      <c r="P37" s="15">
        <f t="shared" si="1"/>
        <v>104</v>
      </c>
      <c r="R37" s="37" t="s">
        <v>85</v>
      </c>
      <c r="S37" s="35">
        <f t="shared" ref="S37:AF37" si="29">SUM(S10:S12)</f>
        <v>142</v>
      </c>
      <c r="T37" s="16">
        <f t="shared" si="29"/>
        <v>40</v>
      </c>
      <c r="U37" s="16">
        <f t="shared" si="29"/>
        <v>33</v>
      </c>
      <c r="V37" s="16">
        <f t="shared" si="29"/>
        <v>77</v>
      </c>
      <c r="W37" s="16">
        <f t="shared" si="29"/>
        <v>0</v>
      </c>
      <c r="X37" s="16">
        <f t="shared" si="29"/>
        <v>0</v>
      </c>
      <c r="Y37" s="16">
        <f t="shared" si="29"/>
        <v>38</v>
      </c>
      <c r="Z37" s="16">
        <f t="shared" si="29"/>
        <v>12</v>
      </c>
      <c r="AA37" s="16">
        <f t="shared" si="29"/>
        <v>1</v>
      </c>
      <c r="AB37" s="16">
        <f t="shared" si="29"/>
        <v>0</v>
      </c>
      <c r="AC37" s="16">
        <f t="shared" si="29"/>
        <v>649</v>
      </c>
      <c r="AD37" s="16">
        <f t="shared" si="29"/>
        <v>0</v>
      </c>
      <c r="AE37" s="32">
        <f t="shared" si="29"/>
        <v>343</v>
      </c>
      <c r="AF37" s="32">
        <f t="shared" si="29"/>
        <v>992</v>
      </c>
    </row>
    <row r="38" spans="2:32" ht="23.1" customHeight="1" x14ac:dyDescent="0.25">
      <c r="B38" s="46" t="s">
        <v>65</v>
      </c>
      <c r="C38" s="50">
        <v>42</v>
      </c>
      <c r="D38" s="50">
        <v>6</v>
      </c>
      <c r="E38" s="50">
        <v>6</v>
      </c>
      <c r="F38" s="50">
        <v>9</v>
      </c>
      <c r="G38" s="50">
        <v>1</v>
      </c>
      <c r="H38" s="50">
        <v>0</v>
      </c>
      <c r="I38" s="50">
        <v>9</v>
      </c>
      <c r="J38" s="50">
        <v>0</v>
      </c>
      <c r="K38" s="50">
        <v>0</v>
      </c>
      <c r="L38" s="50">
        <v>0</v>
      </c>
      <c r="M38" s="50">
        <v>73</v>
      </c>
      <c r="N38" s="50">
        <v>0</v>
      </c>
      <c r="O38" s="15">
        <f t="shared" si="0"/>
        <v>73</v>
      </c>
      <c r="P38" s="15">
        <f t="shared" si="1"/>
        <v>146</v>
      </c>
      <c r="R38" s="28" t="s">
        <v>86</v>
      </c>
      <c r="S38" s="16">
        <f t="shared" ref="S38:AF38" si="30">SUM(S13:S18)</f>
        <v>781</v>
      </c>
      <c r="T38" s="16">
        <f t="shared" si="30"/>
        <v>188</v>
      </c>
      <c r="U38" s="16">
        <f t="shared" si="30"/>
        <v>129</v>
      </c>
      <c r="V38" s="16">
        <f t="shared" si="30"/>
        <v>247</v>
      </c>
      <c r="W38" s="16">
        <f t="shared" si="30"/>
        <v>7</v>
      </c>
      <c r="X38" s="16">
        <f t="shared" si="30"/>
        <v>1</v>
      </c>
      <c r="Y38" s="16">
        <f t="shared" si="30"/>
        <v>159</v>
      </c>
      <c r="Z38" s="16">
        <f t="shared" si="30"/>
        <v>14</v>
      </c>
      <c r="AA38" s="16">
        <f t="shared" si="30"/>
        <v>9</v>
      </c>
      <c r="AB38" s="16">
        <f t="shared" si="30"/>
        <v>0</v>
      </c>
      <c r="AC38" s="16">
        <f t="shared" si="30"/>
        <v>1409</v>
      </c>
      <c r="AD38" s="16">
        <f t="shared" si="30"/>
        <v>0</v>
      </c>
      <c r="AE38" s="32">
        <f t="shared" si="30"/>
        <v>1535</v>
      </c>
      <c r="AF38" s="32">
        <f t="shared" si="30"/>
        <v>2944</v>
      </c>
    </row>
    <row r="39" spans="2:32" ht="23.1" customHeight="1" x14ac:dyDescent="0.25">
      <c r="B39" s="46" t="s">
        <v>66</v>
      </c>
      <c r="C39" s="50">
        <v>45</v>
      </c>
      <c r="D39" s="50">
        <v>4</v>
      </c>
      <c r="E39" s="50">
        <v>3</v>
      </c>
      <c r="F39" s="50">
        <v>5</v>
      </c>
      <c r="G39" s="50">
        <v>0</v>
      </c>
      <c r="H39" s="50">
        <v>0</v>
      </c>
      <c r="I39" s="50">
        <v>3</v>
      </c>
      <c r="J39" s="50">
        <v>0</v>
      </c>
      <c r="K39" s="50">
        <v>1</v>
      </c>
      <c r="L39" s="50">
        <v>0</v>
      </c>
      <c r="M39" s="50">
        <v>62</v>
      </c>
      <c r="N39" s="50">
        <v>0</v>
      </c>
      <c r="O39" s="15">
        <f t="shared" si="0"/>
        <v>61</v>
      </c>
      <c r="P39" s="15">
        <f t="shared" si="1"/>
        <v>123</v>
      </c>
      <c r="R39" s="29" t="s">
        <v>87</v>
      </c>
      <c r="S39" s="16">
        <f t="shared" ref="S39:AF39" si="31">SUM(S19:S21)</f>
        <v>521</v>
      </c>
      <c r="T39" s="16">
        <f t="shared" si="31"/>
        <v>63</v>
      </c>
      <c r="U39" s="16">
        <f t="shared" si="31"/>
        <v>75</v>
      </c>
      <c r="V39" s="16">
        <f t="shared" si="31"/>
        <v>172</v>
      </c>
      <c r="W39" s="16">
        <f t="shared" si="31"/>
        <v>5</v>
      </c>
      <c r="X39" s="16">
        <f t="shared" si="31"/>
        <v>1</v>
      </c>
      <c r="Y39" s="16">
        <f t="shared" si="31"/>
        <v>94</v>
      </c>
      <c r="Z39" s="16">
        <f t="shared" si="31"/>
        <v>9</v>
      </c>
      <c r="AA39" s="16">
        <f t="shared" si="31"/>
        <v>2</v>
      </c>
      <c r="AB39" s="16">
        <f t="shared" si="31"/>
        <v>1</v>
      </c>
      <c r="AC39" s="16">
        <f t="shared" si="31"/>
        <v>873</v>
      </c>
      <c r="AD39" s="16">
        <f t="shared" si="31"/>
        <v>0</v>
      </c>
      <c r="AE39" s="32">
        <f t="shared" si="31"/>
        <v>943</v>
      </c>
      <c r="AF39" s="32">
        <f t="shared" si="31"/>
        <v>1816</v>
      </c>
    </row>
    <row r="40" spans="2:32" ht="23.1" customHeight="1" x14ac:dyDescent="0.25">
      <c r="B40" s="46" t="s">
        <v>67</v>
      </c>
      <c r="C40" s="50">
        <v>21</v>
      </c>
      <c r="D40" s="50">
        <v>9</v>
      </c>
      <c r="E40" s="50">
        <v>5</v>
      </c>
      <c r="F40" s="50">
        <v>11</v>
      </c>
      <c r="G40" s="50">
        <v>0</v>
      </c>
      <c r="H40" s="50">
        <v>0</v>
      </c>
      <c r="I40" s="50">
        <v>3</v>
      </c>
      <c r="J40" s="50">
        <v>0</v>
      </c>
      <c r="K40" s="50">
        <v>2</v>
      </c>
      <c r="L40" s="50">
        <v>0</v>
      </c>
      <c r="M40" s="50">
        <v>47</v>
      </c>
      <c r="N40" s="50">
        <v>0</v>
      </c>
      <c r="O40" s="15">
        <f t="shared" si="0"/>
        <v>51</v>
      </c>
      <c r="P40" s="15">
        <f t="shared" si="1"/>
        <v>98</v>
      </c>
      <c r="R40" s="5" t="s">
        <v>17</v>
      </c>
      <c r="S40" s="16">
        <f t="shared" ref="S40:AF40" si="32">SUM(S10:S21)</f>
        <v>1444</v>
      </c>
      <c r="T40" s="16">
        <f t="shared" si="32"/>
        <v>291</v>
      </c>
      <c r="U40" s="16">
        <f t="shared" si="32"/>
        <v>237</v>
      </c>
      <c r="V40" s="16">
        <f t="shared" si="32"/>
        <v>496</v>
      </c>
      <c r="W40" s="16">
        <f t="shared" si="32"/>
        <v>12</v>
      </c>
      <c r="X40" s="16">
        <f t="shared" si="32"/>
        <v>2</v>
      </c>
      <c r="Y40" s="16">
        <f t="shared" si="32"/>
        <v>291</v>
      </c>
      <c r="Z40" s="16">
        <f t="shared" si="32"/>
        <v>35</v>
      </c>
      <c r="AA40" s="16">
        <f t="shared" si="32"/>
        <v>12</v>
      </c>
      <c r="AB40" s="16">
        <f t="shared" si="32"/>
        <v>1</v>
      </c>
      <c r="AC40" s="16">
        <f t="shared" si="32"/>
        <v>2931</v>
      </c>
      <c r="AD40" s="16">
        <f t="shared" si="32"/>
        <v>0</v>
      </c>
      <c r="AE40" s="32">
        <f t="shared" si="32"/>
        <v>2821</v>
      </c>
      <c r="AF40" s="32">
        <f t="shared" si="32"/>
        <v>5752</v>
      </c>
    </row>
    <row r="41" spans="2:32" ht="23.1" customHeight="1" x14ac:dyDescent="0.25">
      <c r="B41" s="45" t="s">
        <v>68</v>
      </c>
      <c r="C41" s="50">
        <v>33</v>
      </c>
      <c r="D41" s="50">
        <v>8</v>
      </c>
      <c r="E41" s="50">
        <v>4</v>
      </c>
      <c r="F41" s="50">
        <v>5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42</v>
      </c>
      <c r="N41" s="50">
        <v>0</v>
      </c>
      <c r="O41" s="15">
        <f t="shared" si="0"/>
        <v>55</v>
      </c>
      <c r="P41" s="15">
        <f t="shared" si="1"/>
        <v>97</v>
      </c>
      <c r="R41" s="5" t="s">
        <v>159</v>
      </c>
      <c r="S41" s="16">
        <f>SUM(S10:S33)</f>
        <v>2676</v>
      </c>
      <c r="T41" s="16">
        <f t="shared" ref="T41:AF41" si="33">SUM(T10:T33)</f>
        <v>376</v>
      </c>
      <c r="U41" s="16">
        <f t="shared" si="33"/>
        <v>344</v>
      </c>
      <c r="V41" s="16">
        <f t="shared" si="33"/>
        <v>954</v>
      </c>
      <c r="W41" s="16">
        <f t="shared" si="33"/>
        <v>67</v>
      </c>
      <c r="X41" s="16">
        <f t="shared" si="33"/>
        <v>9</v>
      </c>
      <c r="Y41" s="16">
        <f t="shared" si="33"/>
        <v>353</v>
      </c>
      <c r="Z41" s="16">
        <f t="shared" si="33"/>
        <v>62</v>
      </c>
      <c r="AA41" s="16">
        <f t="shared" si="33"/>
        <v>20</v>
      </c>
      <c r="AB41" s="16">
        <f t="shared" si="33"/>
        <v>5</v>
      </c>
      <c r="AC41" s="16">
        <f t="shared" si="33"/>
        <v>4545</v>
      </c>
      <c r="AD41" s="16">
        <f t="shared" si="33"/>
        <v>0</v>
      </c>
      <c r="AE41" s="32">
        <f t="shared" si="33"/>
        <v>4866</v>
      </c>
      <c r="AF41" s="32">
        <f t="shared" si="33"/>
        <v>9411</v>
      </c>
    </row>
    <row r="42" spans="2:32" ht="23.1" customHeight="1" x14ac:dyDescent="0.25">
      <c r="B42" s="46" t="s">
        <v>69</v>
      </c>
      <c r="C42" s="50">
        <v>39</v>
      </c>
      <c r="D42" s="50">
        <v>9</v>
      </c>
      <c r="E42" s="50">
        <v>7</v>
      </c>
      <c r="F42" s="50">
        <v>16</v>
      </c>
      <c r="G42" s="50">
        <v>2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68</v>
      </c>
      <c r="N42" s="50">
        <v>0</v>
      </c>
      <c r="O42" s="15">
        <f t="shared" si="0"/>
        <v>78</v>
      </c>
      <c r="P42" s="15">
        <f t="shared" si="1"/>
        <v>146</v>
      </c>
      <c r="R42" s="5" t="s">
        <v>160</v>
      </c>
      <c r="S42" s="48">
        <f>S41/S40</f>
        <v>1.8531855955678671</v>
      </c>
      <c r="T42" s="48">
        <f t="shared" ref="T42:AF42" si="34">T41/T40</f>
        <v>1.2920962199312716</v>
      </c>
      <c r="U42" s="48">
        <f t="shared" si="34"/>
        <v>1.4514767932489452</v>
      </c>
      <c r="V42" s="48">
        <f t="shared" si="34"/>
        <v>1.9233870967741935</v>
      </c>
      <c r="W42" s="48">
        <f t="shared" si="34"/>
        <v>5.583333333333333</v>
      </c>
      <c r="X42" s="48">
        <f t="shared" si="34"/>
        <v>4.5</v>
      </c>
      <c r="Y42" s="48">
        <f t="shared" si="34"/>
        <v>1.2130584192439862</v>
      </c>
      <c r="Z42" s="48">
        <f t="shared" si="34"/>
        <v>1.7714285714285714</v>
      </c>
      <c r="AA42" s="48">
        <f t="shared" si="34"/>
        <v>1.6666666666666667</v>
      </c>
      <c r="AB42" s="48">
        <f t="shared" si="34"/>
        <v>5</v>
      </c>
      <c r="AC42" s="48">
        <f t="shared" si="34"/>
        <v>1.5506653019447287</v>
      </c>
      <c r="AD42" s="48" t="e">
        <f t="shared" si="34"/>
        <v>#DIV/0!</v>
      </c>
      <c r="AE42" s="48">
        <f t="shared" si="34"/>
        <v>1.7249202410492732</v>
      </c>
      <c r="AF42" s="48">
        <f t="shared" si="34"/>
        <v>1.6361265646731571</v>
      </c>
    </row>
    <row r="43" spans="2:32" ht="23.1" customHeight="1" x14ac:dyDescent="0.25">
      <c r="B43" s="45" t="s">
        <v>70</v>
      </c>
      <c r="C43" s="50">
        <v>45</v>
      </c>
      <c r="D43" s="50">
        <v>6</v>
      </c>
      <c r="E43" s="50">
        <v>7</v>
      </c>
      <c r="F43" s="50">
        <v>7</v>
      </c>
      <c r="G43" s="50">
        <v>0</v>
      </c>
      <c r="H43" s="50">
        <v>0</v>
      </c>
      <c r="I43" s="50">
        <v>6</v>
      </c>
      <c r="J43" s="50">
        <v>0</v>
      </c>
      <c r="K43" s="50">
        <v>1</v>
      </c>
      <c r="L43" s="50">
        <v>0</v>
      </c>
      <c r="M43" s="50">
        <v>75</v>
      </c>
      <c r="N43" s="50">
        <v>0</v>
      </c>
      <c r="O43" s="15">
        <f t="shared" si="0"/>
        <v>72</v>
      </c>
      <c r="P43" s="15">
        <f t="shared" si="1"/>
        <v>147</v>
      </c>
    </row>
    <row r="44" spans="2:32" ht="23.1" customHeight="1" x14ac:dyDescent="0.25">
      <c r="B44" s="47" t="s">
        <v>71</v>
      </c>
      <c r="C44" s="50">
        <v>47</v>
      </c>
      <c r="D44" s="50">
        <v>9</v>
      </c>
      <c r="E44" s="50">
        <v>7</v>
      </c>
      <c r="F44" s="50">
        <v>8</v>
      </c>
      <c r="G44" s="50">
        <v>0</v>
      </c>
      <c r="H44" s="50">
        <v>0</v>
      </c>
      <c r="I44" s="50">
        <v>10</v>
      </c>
      <c r="J44" s="50">
        <v>1</v>
      </c>
      <c r="K44" s="50">
        <v>0</v>
      </c>
      <c r="L44" s="50">
        <v>0</v>
      </c>
      <c r="M44" s="50">
        <v>63</v>
      </c>
      <c r="N44" s="50">
        <v>0</v>
      </c>
      <c r="O44" s="15">
        <f t="shared" si="0"/>
        <v>82</v>
      </c>
      <c r="P44" s="15">
        <f t="shared" si="1"/>
        <v>145</v>
      </c>
    </row>
    <row r="45" spans="2:32" ht="23.1" customHeight="1" x14ac:dyDescent="0.25">
      <c r="B45" s="45" t="s">
        <v>72</v>
      </c>
      <c r="C45" s="50">
        <v>32</v>
      </c>
      <c r="D45" s="50">
        <v>5</v>
      </c>
      <c r="E45" s="50">
        <v>9</v>
      </c>
      <c r="F45" s="50">
        <v>13</v>
      </c>
      <c r="G45" s="50">
        <v>1</v>
      </c>
      <c r="H45" s="50">
        <v>0</v>
      </c>
      <c r="I45" s="50">
        <v>9</v>
      </c>
      <c r="J45" s="50">
        <v>2</v>
      </c>
      <c r="K45" s="50">
        <v>0</v>
      </c>
      <c r="L45" s="50">
        <v>0</v>
      </c>
      <c r="M45" s="50">
        <v>66</v>
      </c>
      <c r="N45" s="50">
        <v>0</v>
      </c>
      <c r="O45" s="15">
        <f t="shared" si="0"/>
        <v>71</v>
      </c>
      <c r="P45" s="15">
        <f t="shared" si="1"/>
        <v>137</v>
      </c>
    </row>
    <row r="46" spans="2:32" ht="23.1" customHeight="1" x14ac:dyDescent="0.25">
      <c r="B46" s="46" t="s">
        <v>73</v>
      </c>
      <c r="C46" s="50">
        <v>34</v>
      </c>
      <c r="D46" s="50">
        <v>3</v>
      </c>
      <c r="E46" s="50">
        <v>5</v>
      </c>
      <c r="F46" s="50">
        <v>11</v>
      </c>
      <c r="G46" s="50">
        <v>0</v>
      </c>
      <c r="H46" s="50">
        <v>0</v>
      </c>
      <c r="I46" s="50">
        <v>18</v>
      </c>
      <c r="J46" s="50">
        <v>1</v>
      </c>
      <c r="K46" s="50">
        <v>1</v>
      </c>
      <c r="L46" s="50">
        <v>0</v>
      </c>
      <c r="M46" s="50">
        <v>41</v>
      </c>
      <c r="N46" s="50">
        <v>0</v>
      </c>
      <c r="O46" s="15">
        <f t="shared" si="0"/>
        <v>73</v>
      </c>
      <c r="P46" s="15">
        <f t="shared" si="1"/>
        <v>114</v>
      </c>
      <c r="R46" s="8"/>
      <c r="T46"/>
    </row>
    <row r="47" spans="2:32" ht="23.1" customHeight="1" x14ac:dyDescent="0.25">
      <c r="B47" s="46" t="s">
        <v>74</v>
      </c>
      <c r="C47" s="50">
        <v>41</v>
      </c>
      <c r="D47" s="50">
        <v>9</v>
      </c>
      <c r="E47" s="50">
        <v>3</v>
      </c>
      <c r="F47" s="50">
        <v>11</v>
      </c>
      <c r="G47" s="50">
        <v>0</v>
      </c>
      <c r="H47" s="50">
        <v>0</v>
      </c>
      <c r="I47" s="50">
        <v>9</v>
      </c>
      <c r="J47" s="50">
        <v>0</v>
      </c>
      <c r="K47" s="50">
        <v>0</v>
      </c>
      <c r="L47" s="50">
        <v>0</v>
      </c>
      <c r="M47" s="50">
        <v>71</v>
      </c>
      <c r="N47" s="50">
        <v>0</v>
      </c>
      <c r="O47" s="15">
        <f t="shared" si="0"/>
        <v>73</v>
      </c>
      <c r="P47" s="15">
        <f t="shared" si="1"/>
        <v>144</v>
      </c>
      <c r="R47" s="8"/>
      <c r="T47"/>
    </row>
    <row r="48" spans="2:32" ht="23.1" customHeight="1" x14ac:dyDescent="0.25">
      <c r="B48" s="46" t="s">
        <v>75</v>
      </c>
      <c r="C48" s="50">
        <v>48</v>
      </c>
      <c r="D48" s="50">
        <v>1</v>
      </c>
      <c r="E48" s="50">
        <v>4</v>
      </c>
      <c r="F48" s="50">
        <v>12</v>
      </c>
      <c r="G48" s="50">
        <v>0</v>
      </c>
      <c r="H48" s="50">
        <v>0</v>
      </c>
      <c r="I48" s="50">
        <v>6</v>
      </c>
      <c r="J48" s="50">
        <v>1</v>
      </c>
      <c r="K48" s="50">
        <v>0</v>
      </c>
      <c r="L48" s="50">
        <v>0</v>
      </c>
      <c r="M48" s="50">
        <v>74</v>
      </c>
      <c r="N48" s="50">
        <v>0</v>
      </c>
      <c r="O48" s="15">
        <f t="shared" si="0"/>
        <v>72</v>
      </c>
      <c r="P48" s="15">
        <f t="shared" si="1"/>
        <v>146</v>
      </c>
      <c r="R48" s="8"/>
      <c r="T48"/>
    </row>
    <row r="49" spans="2:20" ht="23.1" customHeight="1" x14ac:dyDescent="0.25">
      <c r="B49" s="45" t="s">
        <v>76</v>
      </c>
      <c r="C49" s="50">
        <v>31</v>
      </c>
      <c r="D49" s="50">
        <v>8</v>
      </c>
      <c r="E49" s="50">
        <v>4</v>
      </c>
      <c r="F49" s="50">
        <v>3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47</v>
      </c>
      <c r="P49" s="15">
        <f t="shared" si="1"/>
        <v>102</v>
      </c>
      <c r="R49" s="8"/>
      <c r="T49"/>
    </row>
    <row r="50" spans="2:20" ht="23.1" customHeight="1" x14ac:dyDescent="0.25">
      <c r="B50" s="46" t="s">
        <v>77</v>
      </c>
      <c r="C50" s="50">
        <v>57</v>
      </c>
      <c r="D50" s="50">
        <v>4</v>
      </c>
      <c r="E50" s="50">
        <v>4</v>
      </c>
      <c r="F50" s="50">
        <v>7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0</v>
      </c>
      <c r="M50" s="50">
        <v>73</v>
      </c>
      <c r="N50" s="50">
        <v>0</v>
      </c>
      <c r="O50" s="15">
        <f t="shared" si="0"/>
        <v>78</v>
      </c>
      <c r="P50" s="15">
        <f t="shared" si="1"/>
        <v>151</v>
      </c>
      <c r="R50" s="8"/>
      <c r="T50"/>
    </row>
    <row r="51" spans="2:20" ht="23.1" customHeight="1" x14ac:dyDescent="0.25">
      <c r="B51" s="46" t="s">
        <v>78</v>
      </c>
      <c r="C51" s="50">
        <v>35</v>
      </c>
      <c r="D51" s="50">
        <v>3</v>
      </c>
      <c r="E51" s="50">
        <v>3</v>
      </c>
      <c r="F51" s="50">
        <v>14</v>
      </c>
      <c r="G51" s="50">
        <v>2</v>
      </c>
      <c r="H51" s="50">
        <v>1</v>
      </c>
      <c r="I51" s="50">
        <v>6</v>
      </c>
      <c r="J51" s="50">
        <v>1</v>
      </c>
      <c r="K51" s="50">
        <v>1</v>
      </c>
      <c r="L51" s="50">
        <v>0</v>
      </c>
      <c r="M51" s="50">
        <v>75</v>
      </c>
      <c r="N51" s="50">
        <v>0</v>
      </c>
      <c r="O51" s="15">
        <f t="shared" si="0"/>
        <v>66</v>
      </c>
      <c r="P51" s="15">
        <f t="shared" si="1"/>
        <v>141</v>
      </c>
      <c r="R51" s="8"/>
      <c r="T51"/>
    </row>
    <row r="52" spans="2:20" ht="23.1" customHeight="1" x14ac:dyDescent="0.25">
      <c r="B52" s="46" t="s">
        <v>79</v>
      </c>
      <c r="C52" s="50">
        <v>46</v>
      </c>
      <c r="D52" s="50">
        <v>11</v>
      </c>
      <c r="E52" s="50">
        <v>11</v>
      </c>
      <c r="F52" s="50">
        <v>17</v>
      </c>
      <c r="G52" s="50">
        <v>1</v>
      </c>
      <c r="H52" s="50">
        <v>0</v>
      </c>
      <c r="I52" s="50">
        <v>9</v>
      </c>
      <c r="J52" s="50">
        <v>0</v>
      </c>
      <c r="K52" s="50">
        <v>0</v>
      </c>
      <c r="L52" s="50">
        <v>1</v>
      </c>
      <c r="M52" s="50">
        <v>91</v>
      </c>
      <c r="N52" s="50">
        <v>0</v>
      </c>
      <c r="O52" s="15">
        <f t="shared" si="0"/>
        <v>96</v>
      </c>
      <c r="P52" s="15">
        <f t="shared" si="1"/>
        <v>187</v>
      </c>
      <c r="R52" s="8"/>
      <c r="T52"/>
    </row>
    <row r="53" spans="2:20" ht="23.1" customHeight="1" x14ac:dyDescent="0.25">
      <c r="B53" s="45" t="s">
        <v>80</v>
      </c>
      <c r="C53" s="50">
        <v>49</v>
      </c>
      <c r="D53" s="50">
        <v>9</v>
      </c>
      <c r="E53" s="50">
        <v>9</v>
      </c>
      <c r="F53" s="50">
        <v>15</v>
      </c>
      <c r="G53" s="50">
        <v>0</v>
      </c>
      <c r="H53" s="50">
        <v>0</v>
      </c>
      <c r="I53" s="50">
        <v>10</v>
      </c>
      <c r="J53" s="50">
        <v>4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96</v>
      </c>
      <c r="P53" s="15">
        <f t="shared" si="1"/>
        <v>196</v>
      </c>
      <c r="R53" s="8"/>
      <c r="T53"/>
    </row>
    <row r="54" spans="2:20" ht="23.1" customHeight="1" x14ac:dyDescent="0.25">
      <c r="B54" s="45" t="s">
        <v>81</v>
      </c>
      <c r="C54" s="50">
        <v>42</v>
      </c>
      <c r="D54" s="50">
        <v>4</v>
      </c>
      <c r="E54" s="50">
        <v>9</v>
      </c>
      <c r="F54" s="50">
        <v>25</v>
      </c>
      <c r="G54" s="50">
        <v>1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105</v>
      </c>
      <c r="N54" s="50">
        <v>0</v>
      </c>
      <c r="O54" s="15">
        <f t="shared" si="0"/>
        <v>90</v>
      </c>
      <c r="P54" s="15">
        <f t="shared" si="1"/>
        <v>195</v>
      </c>
      <c r="R54" s="8"/>
      <c r="T54"/>
    </row>
    <row r="55" spans="2:20" ht="23.1" customHeight="1" x14ac:dyDescent="0.25">
      <c r="B55" s="45" t="s">
        <v>82</v>
      </c>
      <c r="C55" s="50">
        <v>44</v>
      </c>
      <c r="D55" s="50">
        <v>4</v>
      </c>
      <c r="E55" s="50">
        <v>4</v>
      </c>
      <c r="F55" s="50">
        <v>19</v>
      </c>
      <c r="G55" s="50">
        <v>0</v>
      </c>
      <c r="H55" s="50">
        <v>0</v>
      </c>
      <c r="I55" s="50">
        <v>6</v>
      </c>
      <c r="J55" s="50">
        <v>0</v>
      </c>
      <c r="K55" s="50">
        <v>0</v>
      </c>
      <c r="L55" s="50">
        <v>0</v>
      </c>
      <c r="M55" s="50">
        <v>73</v>
      </c>
      <c r="N55" s="50">
        <v>0</v>
      </c>
      <c r="O55" s="15">
        <f t="shared" si="0"/>
        <v>77</v>
      </c>
      <c r="P55" s="15">
        <f t="shared" si="1"/>
        <v>150</v>
      </c>
      <c r="R55" s="8"/>
      <c r="T55"/>
    </row>
    <row r="56" spans="2:20" ht="23.1" customHeight="1" x14ac:dyDescent="0.25">
      <c r="B56" s="45" t="s">
        <v>83</v>
      </c>
      <c r="C56" s="50">
        <v>50</v>
      </c>
      <c r="D56" s="50">
        <v>1</v>
      </c>
      <c r="E56" s="50">
        <v>6</v>
      </c>
      <c r="F56" s="50">
        <v>15</v>
      </c>
      <c r="G56" s="50">
        <v>1</v>
      </c>
      <c r="H56" s="50">
        <v>0</v>
      </c>
      <c r="I56" s="50">
        <v>10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83</v>
      </c>
      <c r="P56" s="15">
        <f t="shared" si="1"/>
        <v>101</v>
      </c>
      <c r="R56" s="8"/>
      <c r="T56"/>
    </row>
    <row r="57" spans="2:20" ht="23.1" customHeight="1" x14ac:dyDescent="0.25">
      <c r="B57" s="45" t="s">
        <v>84</v>
      </c>
      <c r="C57" s="50">
        <v>44</v>
      </c>
      <c r="D57" s="50">
        <v>6</v>
      </c>
      <c r="E57" s="50">
        <v>13</v>
      </c>
      <c r="F57" s="50">
        <v>23</v>
      </c>
      <c r="G57" s="50">
        <v>0</v>
      </c>
      <c r="H57" s="50">
        <v>0</v>
      </c>
      <c r="I57" s="50">
        <v>6</v>
      </c>
      <c r="J57" s="50">
        <v>0</v>
      </c>
      <c r="K57" s="50">
        <v>0</v>
      </c>
      <c r="L57" s="50">
        <v>0</v>
      </c>
      <c r="M57" s="50">
        <v>97</v>
      </c>
      <c r="N57" s="50">
        <v>0</v>
      </c>
      <c r="O57" s="15">
        <f t="shared" si="0"/>
        <v>92</v>
      </c>
      <c r="P57" s="15">
        <f t="shared" si="1"/>
        <v>189</v>
      </c>
      <c r="R57" s="8"/>
      <c r="T57"/>
    </row>
    <row r="58" spans="2:20" ht="23.1" customHeight="1" x14ac:dyDescent="0.25">
      <c r="B58" s="45" t="s">
        <v>99</v>
      </c>
      <c r="C58" s="50">
        <v>39</v>
      </c>
      <c r="D58" s="50">
        <v>6</v>
      </c>
      <c r="E58" s="50">
        <v>7</v>
      </c>
      <c r="F58" s="50">
        <v>19</v>
      </c>
      <c r="G58" s="50">
        <v>0</v>
      </c>
      <c r="H58" s="50">
        <v>0</v>
      </c>
      <c r="I58" s="50">
        <v>8</v>
      </c>
      <c r="J58" s="50">
        <v>2</v>
      </c>
      <c r="K58" s="50">
        <v>1</v>
      </c>
      <c r="L58" s="50">
        <v>0</v>
      </c>
      <c r="M58" s="50">
        <v>47</v>
      </c>
      <c r="N58" s="50">
        <v>0</v>
      </c>
      <c r="O58" s="15">
        <f t="shared" si="0"/>
        <v>82</v>
      </c>
      <c r="P58" s="15">
        <f t="shared" si="1"/>
        <v>129</v>
      </c>
      <c r="R58" s="8"/>
      <c r="T58"/>
    </row>
    <row r="59" spans="2:20" ht="23.1" customHeight="1" x14ac:dyDescent="0.25">
      <c r="B59" s="45" t="s">
        <v>100</v>
      </c>
      <c r="C59" s="50">
        <v>48</v>
      </c>
      <c r="D59" s="50">
        <v>5</v>
      </c>
      <c r="E59" s="50">
        <v>6</v>
      </c>
      <c r="F59" s="50">
        <v>30</v>
      </c>
      <c r="G59" s="50">
        <v>0</v>
      </c>
      <c r="H59" s="50">
        <v>0</v>
      </c>
      <c r="I59" s="50">
        <v>6</v>
      </c>
      <c r="J59" s="50">
        <v>2</v>
      </c>
      <c r="K59" s="50">
        <v>1</v>
      </c>
      <c r="L59" s="50">
        <v>0</v>
      </c>
      <c r="M59" s="50">
        <v>62</v>
      </c>
      <c r="N59" s="50">
        <v>0</v>
      </c>
      <c r="O59" s="15">
        <f t="shared" si="0"/>
        <v>98</v>
      </c>
      <c r="P59" s="15">
        <f t="shared" si="1"/>
        <v>160</v>
      </c>
      <c r="R59" s="8"/>
      <c r="T59"/>
    </row>
    <row r="60" spans="2:20" ht="23.1" customHeight="1" x14ac:dyDescent="0.25">
      <c r="B60" s="45" t="s">
        <v>101</v>
      </c>
      <c r="C60" s="50">
        <v>82</v>
      </c>
      <c r="D60" s="50">
        <v>6</v>
      </c>
      <c r="E60" s="50">
        <v>4</v>
      </c>
      <c r="F60" s="50">
        <v>44</v>
      </c>
      <c r="G60" s="50">
        <v>0</v>
      </c>
      <c r="H60" s="50">
        <v>0</v>
      </c>
      <c r="I60" s="50">
        <v>5</v>
      </c>
      <c r="J60" s="50">
        <v>4</v>
      </c>
      <c r="K60" s="50">
        <v>1</v>
      </c>
      <c r="L60" s="50">
        <v>0</v>
      </c>
      <c r="M60" s="50">
        <v>93</v>
      </c>
      <c r="N60" s="50">
        <v>0</v>
      </c>
      <c r="O60" s="15">
        <f t="shared" si="0"/>
        <v>146</v>
      </c>
      <c r="P60" s="15">
        <f t="shared" si="1"/>
        <v>239</v>
      </c>
      <c r="R60" s="8"/>
      <c r="T60"/>
    </row>
    <row r="61" spans="2:20" ht="23.1" customHeight="1" x14ac:dyDescent="0.25">
      <c r="B61" s="45" t="s">
        <v>102</v>
      </c>
      <c r="C61" s="50">
        <v>70</v>
      </c>
      <c r="D61" s="50">
        <v>2</v>
      </c>
      <c r="E61" s="50">
        <v>6</v>
      </c>
      <c r="F61" s="50">
        <v>39</v>
      </c>
      <c r="G61" s="50">
        <v>1</v>
      </c>
      <c r="H61" s="50">
        <v>0</v>
      </c>
      <c r="I61" s="50">
        <v>4</v>
      </c>
      <c r="J61" s="50">
        <v>1</v>
      </c>
      <c r="K61" s="50">
        <v>2</v>
      </c>
      <c r="L61" s="50">
        <v>2</v>
      </c>
      <c r="M61" s="50">
        <v>80</v>
      </c>
      <c r="N61" s="50">
        <v>0</v>
      </c>
      <c r="O61" s="15">
        <f t="shared" si="0"/>
        <v>127</v>
      </c>
      <c r="P61" s="15">
        <f t="shared" si="1"/>
        <v>207</v>
      </c>
      <c r="R61" s="8"/>
      <c r="T61"/>
    </row>
    <row r="62" spans="2:20" ht="23.1" customHeight="1" x14ac:dyDescent="0.25">
      <c r="B62" s="45" t="s">
        <v>107</v>
      </c>
      <c r="C62" s="50">
        <v>72</v>
      </c>
      <c r="D62" s="50">
        <v>7</v>
      </c>
      <c r="E62" s="50">
        <v>6</v>
      </c>
      <c r="F62" s="50">
        <v>45</v>
      </c>
      <c r="G62" s="50">
        <v>1</v>
      </c>
      <c r="H62" s="50">
        <v>0</v>
      </c>
      <c r="I62" s="50">
        <v>6</v>
      </c>
      <c r="J62" s="50">
        <v>3</v>
      </c>
      <c r="K62" s="50">
        <v>1</v>
      </c>
      <c r="L62" s="50">
        <v>0</v>
      </c>
      <c r="M62" s="50">
        <v>86</v>
      </c>
      <c r="N62" s="50">
        <v>0</v>
      </c>
      <c r="O62" s="15">
        <f t="shared" si="0"/>
        <v>141</v>
      </c>
      <c r="P62" s="15">
        <f t="shared" si="1"/>
        <v>227</v>
      </c>
      <c r="R62" s="8"/>
      <c r="T62"/>
    </row>
    <row r="63" spans="2:20" ht="23.1" customHeight="1" x14ac:dyDescent="0.25">
      <c r="B63" s="45" t="s">
        <v>108</v>
      </c>
      <c r="C63" s="50">
        <v>70</v>
      </c>
      <c r="D63" s="50">
        <v>8</v>
      </c>
      <c r="E63" s="50">
        <v>6</v>
      </c>
      <c r="F63" s="50">
        <v>41</v>
      </c>
      <c r="G63" s="50">
        <v>2</v>
      </c>
      <c r="H63" s="50">
        <v>0</v>
      </c>
      <c r="I63" s="50">
        <v>2</v>
      </c>
      <c r="J63" s="50">
        <v>2</v>
      </c>
      <c r="K63" s="50">
        <v>0</v>
      </c>
      <c r="L63" s="50">
        <v>0</v>
      </c>
      <c r="M63" s="50">
        <v>75</v>
      </c>
      <c r="N63" s="50">
        <v>0</v>
      </c>
      <c r="O63" s="15">
        <f t="shared" si="0"/>
        <v>131</v>
      </c>
      <c r="P63" s="15">
        <f t="shared" si="1"/>
        <v>206</v>
      </c>
      <c r="R63" s="8"/>
      <c r="T63"/>
    </row>
    <row r="64" spans="2:20" ht="23.1" customHeight="1" x14ac:dyDescent="0.25">
      <c r="B64" s="45" t="s">
        <v>109</v>
      </c>
      <c r="C64" s="50">
        <v>48</v>
      </c>
      <c r="D64" s="50">
        <v>2</v>
      </c>
      <c r="E64" s="50">
        <v>6</v>
      </c>
      <c r="F64" s="50">
        <v>28</v>
      </c>
      <c r="G64" s="50">
        <v>0</v>
      </c>
      <c r="H64" s="50">
        <v>2</v>
      </c>
      <c r="I64" s="50">
        <v>4</v>
      </c>
      <c r="J64" s="50">
        <v>0</v>
      </c>
      <c r="K64" s="50">
        <v>0</v>
      </c>
      <c r="L64" s="50">
        <v>0</v>
      </c>
      <c r="M64" s="50">
        <v>70</v>
      </c>
      <c r="N64" s="50">
        <v>0</v>
      </c>
      <c r="O64" s="15">
        <f t="shared" si="0"/>
        <v>90</v>
      </c>
      <c r="P64" s="15">
        <f t="shared" si="1"/>
        <v>160</v>
      </c>
      <c r="R64" s="8"/>
      <c r="T64"/>
    </row>
    <row r="65" spans="2:20" ht="23.1" customHeight="1" x14ac:dyDescent="0.25">
      <c r="B65" s="45" t="s">
        <v>158</v>
      </c>
      <c r="C65" s="50">
        <v>67</v>
      </c>
      <c r="D65" s="50">
        <v>8</v>
      </c>
      <c r="E65" s="50">
        <v>6</v>
      </c>
      <c r="F65" s="50">
        <v>55</v>
      </c>
      <c r="G65" s="50">
        <v>0</v>
      </c>
      <c r="H65" s="50">
        <v>0</v>
      </c>
      <c r="I65" s="50">
        <v>5</v>
      </c>
      <c r="J65" s="50">
        <v>0</v>
      </c>
      <c r="K65" s="50">
        <v>0</v>
      </c>
      <c r="L65" s="50">
        <v>0</v>
      </c>
      <c r="M65" s="50">
        <v>90</v>
      </c>
      <c r="N65" s="50">
        <v>0</v>
      </c>
      <c r="O65" s="15">
        <f t="shared" si="0"/>
        <v>141</v>
      </c>
      <c r="P65" s="15">
        <f t="shared" si="1"/>
        <v>231</v>
      </c>
      <c r="R65" s="8"/>
      <c r="T65"/>
    </row>
    <row r="66" spans="2:20" ht="23.1" customHeight="1" x14ac:dyDescent="0.25">
      <c r="B66" s="45" t="s">
        <v>103</v>
      </c>
      <c r="C66" s="50">
        <v>77</v>
      </c>
      <c r="D66" s="50">
        <v>0</v>
      </c>
      <c r="E66" s="50">
        <v>6</v>
      </c>
      <c r="F66" s="50">
        <v>5</v>
      </c>
      <c r="G66" s="50">
        <v>48</v>
      </c>
      <c r="H66" s="50">
        <v>4</v>
      </c>
      <c r="I66" s="50">
        <v>0</v>
      </c>
      <c r="J66" s="50">
        <v>4</v>
      </c>
      <c r="K66" s="50">
        <v>1</v>
      </c>
      <c r="L66" s="50">
        <v>1</v>
      </c>
      <c r="M66" s="50">
        <v>90</v>
      </c>
      <c r="N66" s="50">
        <v>0</v>
      </c>
      <c r="O66" s="15">
        <f t="shared" si="0"/>
        <v>146</v>
      </c>
      <c r="P66" s="15">
        <f t="shared" si="1"/>
        <v>236</v>
      </c>
      <c r="R66" s="8"/>
      <c r="T66"/>
    </row>
    <row r="67" spans="2:20" ht="23.1" customHeight="1" x14ac:dyDescent="0.25">
      <c r="B67" s="45" t="s">
        <v>104</v>
      </c>
      <c r="C67" s="50">
        <v>70</v>
      </c>
      <c r="D67" s="50">
        <v>7</v>
      </c>
      <c r="E67" s="50">
        <v>2</v>
      </c>
      <c r="F67" s="50">
        <v>38</v>
      </c>
      <c r="G67" s="50">
        <v>3</v>
      </c>
      <c r="H67" s="50">
        <v>0</v>
      </c>
      <c r="I67" s="50">
        <v>3</v>
      </c>
      <c r="J67" s="50">
        <v>1</v>
      </c>
      <c r="K67" s="50">
        <v>0</v>
      </c>
      <c r="L67" s="50">
        <v>0</v>
      </c>
      <c r="M67" s="50">
        <v>90</v>
      </c>
      <c r="N67" s="50">
        <v>0</v>
      </c>
      <c r="O67" s="15">
        <f t="shared" si="0"/>
        <v>124</v>
      </c>
      <c r="P67" s="15">
        <f t="shared" si="1"/>
        <v>214</v>
      </c>
      <c r="R67" s="8"/>
      <c r="T67"/>
    </row>
    <row r="68" spans="2:20" ht="23.1" customHeight="1" x14ac:dyDescent="0.25">
      <c r="B68" s="45" t="s">
        <v>105</v>
      </c>
      <c r="C68" s="50">
        <v>55</v>
      </c>
      <c r="D68" s="50">
        <v>2</v>
      </c>
      <c r="E68" s="50">
        <v>3</v>
      </c>
      <c r="F68" s="50">
        <v>33</v>
      </c>
      <c r="G68" s="50">
        <v>0</v>
      </c>
      <c r="H68" s="50">
        <v>1</v>
      </c>
      <c r="I68" s="50">
        <v>4</v>
      </c>
      <c r="J68" s="50">
        <v>1</v>
      </c>
      <c r="K68" s="50">
        <v>0</v>
      </c>
      <c r="L68" s="50">
        <v>0</v>
      </c>
      <c r="M68" s="50">
        <v>81</v>
      </c>
      <c r="N68" s="50">
        <v>0</v>
      </c>
      <c r="O68" s="15">
        <f t="shared" si="0"/>
        <v>99</v>
      </c>
      <c r="P68" s="15">
        <f t="shared" si="1"/>
        <v>180</v>
      </c>
      <c r="R68" s="8"/>
      <c r="T68"/>
    </row>
    <row r="69" spans="2:20" ht="23.1" customHeight="1" x14ac:dyDescent="0.25">
      <c r="B69" s="45" t="s">
        <v>106</v>
      </c>
      <c r="C69" s="50">
        <v>45</v>
      </c>
      <c r="D69" s="50">
        <v>1</v>
      </c>
      <c r="E69" s="50">
        <v>5</v>
      </c>
      <c r="F69" s="50">
        <v>6</v>
      </c>
      <c r="G69" s="50">
        <v>0</v>
      </c>
      <c r="H69" s="50">
        <v>0</v>
      </c>
      <c r="I69" s="50">
        <v>4</v>
      </c>
      <c r="J69" s="50">
        <v>0</v>
      </c>
      <c r="K69" s="50">
        <v>0</v>
      </c>
      <c r="L69" s="50">
        <v>0</v>
      </c>
      <c r="M69" s="50">
        <v>57</v>
      </c>
      <c r="N69" s="50">
        <v>0</v>
      </c>
      <c r="O69" s="15">
        <f t="shared" si="0"/>
        <v>61</v>
      </c>
      <c r="P69" s="15">
        <f t="shared" si="1"/>
        <v>118</v>
      </c>
      <c r="R69" s="8"/>
      <c r="T69"/>
    </row>
    <row r="70" spans="2:20" ht="23.1" customHeight="1" x14ac:dyDescent="0.25">
      <c r="B70" s="45" t="s">
        <v>110</v>
      </c>
      <c r="C70" s="50">
        <v>55</v>
      </c>
      <c r="D70" s="50">
        <v>3</v>
      </c>
      <c r="E70" s="50">
        <v>6</v>
      </c>
      <c r="F70" s="50">
        <v>22</v>
      </c>
      <c r="G70" s="50">
        <v>0</v>
      </c>
      <c r="H70" s="50">
        <v>0</v>
      </c>
      <c r="I70" s="50">
        <v>4</v>
      </c>
      <c r="J70" s="50">
        <v>1</v>
      </c>
      <c r="K70" s="50">
        <v>0</v>
      </c>
      <c r="L70" s="50">
        <v>0</v>
      </c>
      <c r="M70" s="50">
        <v>58</v>
      </c>
      <c r="N70" s="50">
        <v>0</v>
      </c>
      <c r="O70" s="15">
        <f t="shared" si="0"/>
        <v>91</v>
      </c>
      <c r="P70" s="15">
        <f t="shared" si="1"/>
        <v>149</v>
      </c>
      <c r="R70" s="8"/>
      <c r="T70"/>
    </row>
    <row r="71" spans="2:20" ht="23.1" customHeight="1" x14ac:dyDescent="0.25">
      <c r="B71" s="45" t="s">
        <v>111</v>
      </c>
      <c r="C71" s="50">
        <v>54</v>
      </c>
      <c r="D71" s="50">
        <v>0</v>
      </c>
      <c r="E71" s="50">
        <v>5</v>
      </c>
      <c r="F71" s="50">
        <v>11</v>
      </c>
      <c r="G71" s="50">
        <v>0</v>
      </c>
      <c r="H71" s="50">
        <v>0</v>
      </c>
      <c r="I71" s="50">
        <v>2</v>
      </c>
      <c r="J71" s="50">
        <v>1</v>
      </c>
      <c r="K71" s="50">
        <v>0</v>
      </c>
      <c r="L71" s="50">
        <v>0</v>
      </c>
      <c r="M71" s="50">
        <v>66</v>
      </c>
      <c r="N71" s="50">
        <v>0</v>
      </c>
      <c r="O71" s="15">
        <f t="shared" si="0"/>
        <v>73</v>
      </c>
      <c r="P71" s="15">
        <f t="shared" si="1"/>
        <v>139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9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58</v>
      </c>
      <c r="N72" s="50">
        <v>0</v>
      </c>
      <c r="O72" s="15">
        <f t="shared" si="0"/>
        <v>12</v>
      </c>
      <c r="P72" s="15">
        <f t="shared" si="1"/>
        <v>70</v>
      </c>
      <c r="R72" s="8"/>
      <c r="T72"/>
    </row>
    <row r="73" spans="2:20" ht="23.1" customHeight="1" x14ac:dyDescent="0.25">
      <c r="B73" s="45" t="s">
        <v>113</v>
      </c>
      <c r="C73" s="50">
        <v>40</v>
      </c>
      <c r="D73" s="50">
        <v>5</v>
      </c>
      <c r="E73" s="50">
        <v>1</v>
      </c>
      <c r="F73" s="50">
        <v>8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28</v>
      </c>
      <c r="N73" s="50">
        <v>0</v>
      </c>
      <c r="O73" s="15">
        <f t="shared" si="0"/>
        <v>54</v>
      </c>
      <c r="P73" s="15">
        <f t="shared" si="1"/>
        <v>82</v>
      </c>
      <c r="R73" s="8"/>
      <c r="T73"/>
    </row>
    <row r="74" spans="2:20" ht="23.1" customHeight="1" x14ac:dyDescent="0.25">
      <c r="B74" s="45" t="s">
        <v>114</v>
      </c>
      <c r="C74" s="50">
        <v>36</v>
      </c>
      <c r="D74" s="50">
        <v>3</v>
      </c>
      <c r="E74" s="50">
        <v>7</v>
      </c>
      <c r="F74" s="50">
        <v>6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32</v>
      </c>
      <c r="N74" s="50">
        <v>0</v>
      </c>
      <c r="O74" s="15">
        <f t="shared" ref="O74:O105" si="35">SUM(C74:L74,N74)</f>
        <v>54</v>
      </c>
      <c r="P74" s="15">
        <f t="shared" ref="P74:P105" si="36">SUM(C74:N74)</f>
        <v>86</v>
      </c>
      <c r="R74" s="8"/>
      <c r="T74"/>
    </row>
    <row r="75" spans="2:20" ht="23.1" customHeight="1" x14ac:dyDescent="0.25">
      <c r="B75" s="45" t="s">
        <v>115</v>
      </c>
      <c r="C75" s="50">
        <v>32</v>
      </c>
      <c r="D75" s="50">
        <v>2</v>
      </c>
      <c r="E75" s="50">
        <v>1</v>
      </c>
      <c r="F75" s="50">
        <v>3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44</v>
      </c>
      <c r="N75" s="50">
        <v>0</v>
      </c>
      <c r="O75" s="15">
        <f t="shared" si="35"/>
        <v>39</v>
      </c>
      <c r="P75" s="15">
        <f t="shared" si="36"/>
        <v>83</v>
      </c>
      <c r="R75" s="8"/>
      <c r="T75"/>
    </row>
    <row r="76" spans="2:20" ht="23.1" customHeight="1" x14ac:dyDescent="0.25">
      <c r="B76" s="45" t="s">
        <v>116</v>
      </c>
      <c r="C76" s="50">
        <v>21</v>
      </c>
      <c r="D76" s="50">
        <v>4</v>
      </c>
      <c r="E76" s="50">
        <v>3</v>
      </c>
      <c r="F76" s="50">
        <v>2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41</v>
      </c>
      <c r="N76" s="50">
        <v>0</v>
      </c>
      <c r="O76" s="15">
        <f t="shared" si="35"/>
        <v>30</v>
      </c>
      <c r="P76" s="15">
        <f t="shared" si="36"/>
        <v>71</v>
      </c>
      <c r="R76" s="8"/>
      <c r="T76"/>
    </row>
    <row r="77" spans="2:20" ht="23.1" customHeight="1" x14ac:dyDescent="0.25">
      <c r="B77" s="45" t="s">
        <v>117</v>
      </c>
      <c r="C77" s="50">
        <v>21</v>
      </c>
      <c r="D77" s="50">
        <v>2</v>
      </c>
      <c r="E77" s="50">
        <v>5</v>
      </c>
      <c r="F77" s="50">
        <v>4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42</v>
      </c>
      <c r="N77" s="50">
        <v>0</v>
      </c>
      <c r="O77" s="15">
        <f t="shared" si="35"/>
        <v>34</v>
      </c>
      <c r="P77" s="15">
        <f t="shared" si="36"/>
        <v>76</v>
      </c>
      <c r="R77" s="8"/>
      <c r="T77"/>
    </row>
    <row r="78" spans="2:20" ht="23.1" customHeight="1" x14ac:dyDescent="0.25">
      <c r="B78" s="46" t="s">
        <v>118</v>
      </c>
      <c r="C78" s="50">
        <v>13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23</v>
      </c>
      <c r="N78" s="50">
        <v>0</v>
      </c>
      <c r="O78" s="15">
        <f t="shared" si="35"/>
        <v>14</v>
      </c>
      <c r="P78" s="15">
        <f t="shared" si="36"/>
        <v>37</v>
      </c>
      <c r="R78" s="8"/>
      <c r="T78"/>
    </row>
    <row r="79" spans="2:20" ht="23.1" customHeight="1" x14ac:dyDescent="0.25">
      <c r="B79" s="45" t="s">
        <v>119</v>
      </c>
      <c r="C79" s="50">
        <v>17</v>
      </c>
      <c r="D79" s="50">
        <v>0</v>
      </c>
      <c r="E79" s="50">
        <v>0</v>
      </c>
      <c r="F79" s="50">
        <v>2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21</v>
      </c>
      <c r="N79" s="50">
        <v>0</v>
      </c>
      <c r="O79" s="15">
        <f t="shared" si="35"/>
        <v>19</v>
      </c>
      <c r="P79" s="15">
        <f t="shared" si="36"/>
        <v>40</v>
      </c>
      <c r="R79" s="8"/>
      <c r="T79"/>
    </row>
    <row r="80" spans="2:20" ht="23.1" customHeight="1" x14ac:dyDescent="0.25">
      <c r="B80" s="47" t="s">
        <v>120</v>
      </c>
      <c r="C80" s="50">
        <v>20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25</v>
      </c>
      <c r="N80" s="50">
        <v>0</v>
      </c>
      <c r="O80" s="15">
        <f t="shared" si="35"/>
        <v>20</v>
      </c>
      <c r="P80" s="15">
        <f t="shared" si="36"/>
        <v>45</v>
      </c>
      <c r="R80" s="8"/>
      <c r="T80"/>
    </row>
    <row r="81" spans="2:20" ht="23.1" customHeight="1" x14ac:dyDescent="0.25">
      <c r="B81" s="45" t="s">
        <v>121</v>
      </c>
      <c r="C81" s="50">
        <v>21</v>
      </c>
      <c r="D81" s="50">
        <v>2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25</v>
      </c>
      <c r="N81" s="50">
        <v>0</v>
      </c>
      <c r="O81" s="15">
        <f t="shared" si="35"/>
        <v>23</v>
      </c>
      <c r="P81" s="15">
        <f t="shared" si="36"/>
        <v>48</v>
      </c>
      <c r="R81" s="8"/>
      <c r="T81"/>
    </row>
    <row r="82" spans="2:20" ht="23.1" customHeight="1" x14ac:dyDescent="0.25">
      <c r="B82" s="46" t="s">
        <v>122</v>
      </c>
      <c r="C82" s="50">
        <v>10</v>
      </c>
      <c r="D82" s="50">
        <v>1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16</v>
      </c>
      <c r="N82" s="50">
        <v>0</v>
      </c>
      <c r="O82" s="15">
        <f t="shared" si="35"/>
        <v>13</v>
      </c>
      <c r="P82" s="15">
        <f t="shared" si="36"/>
        <v>29</v>
      </c>
      <c r="R82" s="8"/>
      <c r="T82"/>
    </row>
    <row r="83" spans="2:20" ht="23.1" customHeight="1" x14ac:dyDescent="0.25">
      <c r="B83" s="45" t="s">
        <v>123</v>
      </c>
      <c r="C83" s="50">
        <v>13</v>
      </c>
      <c r="D83" s="50">
        <v>2</v>
      </c>
      <c r="E83" s="50">
        <v>0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14</v>
      </c>
      <c r="N83" s="50">
        <v>0</v>
      </c>
      <c r="O83" s="15">
        <f t="shared" si="35"/>
        <v>16</v>
      </c>
      <c r="P83" s="15">
        <f t="shared" si="36"/>
        <v>30</v>
      </c>
      <c r="R83" s="8"/>
      <c r="T83"/>
    </row>
    <row r="84" spans="2:20" ht="23.1" customHeight="1" x14ac:dyDescent="0.25">
      <c r="B84" s="47" t="s">
        <v>124</v>
      </c>
      <c r="C84" s="50">
        <v>15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10</v>
      </c>
      <c r="N84" s="50">
        <v>0</v>
      </c>
      <c r="O84" s="15">
        <f t="shared" si="35"/>
        <v>15</v>
      </c>
      <c r="P84" s="15">
        <f t="shared" si="36"/>
        <v>25</v>
      </c>
      <c r="R84" s="8"/>
      <c r="T84"/>
    </row>
    <row r="85" spans="2:20" ht="23.1" customHeight="1" x14ac:dyDescent="0.25">
      <c r="B85" s="45" t="s">
        <v>125</v>
      </c>
      <c r="C85" s="50">
        <v>15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14</v>
      </c>
      <c r="N85" s="50">
        <v>0</v>
      </c>
      <c r="O85" s="15">
        <f t="shared" si="35"/>
        <v>19</v>
      </c>
      <c r="P85" s="15">
        <f t="shared" si="36"/>
        <v>33</v>
      </c>
      <c r="R85" s="8"/>
      <c r="T85"/>
    </row>
    <row r="86" spans="2:20" ht="23.1" customHeight="1" x14ac:dyDescent="0.25">
      <c r="B86" s="46" t="s">
        <v>126</v>
      </c>
      <c r="C86" s="50">
        <v>15</v>
      </c>
      <c r="D86" s="50">
        <v>1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12</v>
      </c>
      <c r="N86" s="50">
        <v>0</v>
      </c>
      <c r="O86" s="15">
        <f t="shared" si="35"/>
        <v>18</v>
      </c>
      <c r="P86" s="15">
        <f t="shared" si="36"/>
        <v>30</v>
      </c>
      <c r="R86" s="8"/>
      <c r="T86"/>
    </row>
    <row r="87" spans="2:20" ht="23.1" customHeight="1" x14ac:dyDescent="0.25">
      <c r="B87" s="45" t="s">
        <v>127</v>
      </c>
      <c r="C87" s="50">
        <v>10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15</v>
      </c>
      <c r="N87" s="50">
        <v>0</v>
      </c>
      <c r="O87" s="15">
        <f t="shared" si="35"/>
        <v>11</v>
      </c>
      <c r="P87" s="15">
        <f t="shared" si="36"/>
        <v>26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0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1</v>
      </c>
      <c r="E89" s="50">
        <v>1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7</v>
      </c>
      <c r="N89" s="50">
        <v>0</v>
      </c>
      <c r="O89" s="15">
        <f t="shared" si="35"/>
        <v>10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9</v>
      </c>
      <c r="N90" s="50">
        <v>0</v>
      </c>
      <c r="O90" s="15">
        <f t="shared" si="35"/>
        <v>10</v>
      </c>
      <c r="P90" s="15">
        <f t="shared" si="36"/>
        <v>19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9</v>
      </c>
      <c r="N91" s="50">
        <v>0</v>
      </c>
      <c r="O91" s="15">
        <f t="shared" si="35"/>
        <v>6</v>
      </c>
      <c r="P91" s="15">
        <f t="shared" si="36"/>
        <v>15</v>
      </c>
      <c r="R91" s="8"/>
      <c r="T91"/>
    </row>
    <row r="92" spans="2:20" ht="23.1" customHeight="1" x14ac:dyDescent="0.25">
      <c r="B92" s="47" t="s">
        <v>132</v>
      </c>
      <c r="C92" s="50">
        <v>5</v>
      </c>
      <c r="D92" s="50">
        <v>0</v>
      </c>
      <c r="E92" s="50">
        <v>1</v>
      </c>
      <c r="F92" s="50">
        <v>2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10</v>
      </c>
      <c r="N92" s="50">
        <v>0</v>
      </c>
      <c r="O92" s="15">
        <f t="shared" si="35"/>
        <v>8</v>
      </c>
      <c r="P92" s="15">
        <f t="shared" si="36"/>
        <v>18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6</v>
      </c>
      <c r="P93" s="15">
        <f t="shared" si="36"/>
        <v>11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5</v>
      </c>
      <c r="N94" s="50">
        <v>0</v>
      </c>
      <c r="O94" s="15">
        <f t="shared" si="35"/>
        <v>2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9</v>
      </c>
      <c r="N95" s="50">
        <v>0</v>
      </c>
      <c r="O95" s="15">
        <f t="shared" si="35"/>
        <v>5</v>
      </c>
      <c r="P95" s="15">
        <f t="shared" si="36"/>
        <v>14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7</v>
      </c>
      <c r="N96" s="50">
        <v>0</v>
      </c>
      <c r="O96" s="15">
        <f t="shared" si="35"/>
        <v>5</v>
      </c>
      <c r="P96" s="15">
        <f t="shared" si="36"/>
        <v>12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9</v>
      </c>
      <c r="N97" s="50">
        <v>0</v>
      </c>
      <c r="O97" s="15">
        <f t="shared" si="35"/>
        <v>4</v>
      </c>
      <c r="P97" s="15">
        <f t="shared" si="36"/>
        <v>13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4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8</v>
      </c>
      <c r="N99" s="50">
        <v>0</v>
      </c>
      <c r="O99" s="15">
        <f t="shared" si="35"/>
        <v>6</v>
      </c>
      <c r="P99" s="15">
        <f t="shared" si="36"/>
        <v>14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0</v>
      </c>
      <c r="E100" s="50">
        <v>0</v>
      </c>
      <c r="F100" s="50">
        <v>4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20</v>
      </c>
      <c r="N100" s="50">
        <v>0</v>
      </c>
      <c r="O100" s="15">
        <f t="shared" si="35"/>
        <v>9</v>
      </c>
      <c r="P100" s="15">
        <f t="shared" si="36"/>
        <v>29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5</v>
      </c>
      <c r="N101" s="50">
        <v>0</v>
      </c>
      <c r="O101" s="15">
        <f t="shared" si="35"/>
        <v>1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3</v>
      </c>
      <c r="P102" s="15">
        <f t="shared" si="36"/>
        <v>7</v>
      </c>
      <c r="R102" s="8"/>
      <c r="T102"/>
    </row>
    <row r="103" spans="2:20" ht="23.1" customHeight="1" x14ac:dyDescent="0.25">
      <c r="B103" s="45" t="s">
        <v>143</v>
      </c>
      <c r="C103" s="50">
        <v>7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7</v>
      </c>
      <c r="P103" s="15">
        <f t="shared" si="36"/>
        <v>11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1</v>
      </c>
      <c r="F104" s="50">
        <v>5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15</v>
      </c>
      <c r="N104" s="50">
        <v>0</v>
      </c>
      <c r="O104" s="15">
        <f t="shared" si="35"/>
        <v>11</v>
      </c>
      <c r="P104" s="15">
        <f t="shared" si="36"/>
        <v>26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17</v>
      </c>
      <c r="N105" s="50">
        <v>0</v>
      </c>
      <c r="O105" s="15">
        <f t="shared" si="35"/>
        <v>7</v>
      </c>
      <c r="P105" s="15">
        <f t="shared" si="36"/>
        <v>24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2676</v>
      </c>
      <c r="D106" s="16">
        <f t="shared" ref="D106:P106" si="37">SUM(D10:D105)</f>
        <v>376</v>
      </c>
      <c r="E106" s="16">
        <f t="shared" si="37"/>
        <v>344</v>
      </c>
      <c r="F106" s="16">
        <f t="shared" si="37"/>
        <v>954</v>
      </c>
      <c r="G106" s="16">
        <f t="shared" si="37"/>
        <v>67</v>
      </c>
      <c r="H106" s="16">
        <f t="shared" si="37"/>
        <v>9</v>
      </c>
      <c r="I106" s="16">
        <f t="shared" si="37"/>
        <v>353</v>
      </c>
      <c r="J106" s="16">
        <f t="shared" si="37"/>
        <v>62</v>
      </c>
      <c r="K106" s="16">
        <f t="shared" si="37"/>
        <v>20</v>
      </c>
      <c r="L106" s="16">
        <f t="shared" si="37"/>
        <v>5</v>
      </c>
      <c r="M106" s="16">
        <f t="shared" si="37"/>
        <v>4545</v>
      </c>
      <c r="N106" s="16">
        <f t="shared" si="37"/>
        <v>0</v>
      </c>
      <c r="O106" s="16">
        <f t="shared" si="37"/>
        <v>4866</v>
      </c>
      <c r="P106" s="16">
        <f t="shared" si="37"/>
        <v>9411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0.28434810328339177</v>
      </c>
      <c r="D107" s="43">
        <f t="shared" si="38"/>
        <v>3.9953246201253852E-2</v>
      </c>
      <c r="E107" s="43">
        <f t="shared" si="38"/>
        <v>3.6552969928806717E-2</v>
      </c>
      <c r="F107" s="43">
        <f t="shared" si="38"/>
        <v>0.10137073637233025</v>
      </c>
      <c r="G107" s="43">
        <f t="shared" si="38"/>
        <v>7.1193284454361917E-3</v>
      </c>
      <c r="H107" s="43">
        <f t="shared" si="38"/>
        <v>9.5632770162575704E-4</v>
      </c>
      <c r="I107" s="43">
        <f t="shared" si="38"/>
        <v>3.7509297630432474E-2</v>
      </c>
      <c r="J107" s="43">
        <f t="shared" si="38"/>
        <v>6.5880352778663271E-3</v>
      </c>
      <c r="K107" s="43">
        <f t="shared" si="38"/>
        <v>2.1251726702794602E-3</v>
      </c>
      <c r="L107" s="43">
        <f t="shared" si="38"/>
        <v>5.3129316756986506E-4</v>
      </c>
      <c r="M107" s="43">
        <f t="shared" si="38"/>
        <v>0.48294548932100734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0.54993834771886563</v>
      </c>
      <c r="D108" s="44">
        <f t="shared" ref="D108:N108" si="39">D106/$O$106</f>
        <v>7.7270859021783808E-2</v>
      </c>
      <c r="E108" s="44">
        <f t="shared" si="39"/>
        <v>7.0694615700780936E-2</v>
      </c>
      <c r="F108" s="44">
        <f t="shared" si="39"/>
        <v>0.19605425400739829</v>
      </c>
      <c r="G108" s="44">
        <f t="shared" si="39"/>
        <v>1.3769009453349773E-2</v>
      </c>
      <c r="H108" s="44">
        <f t="shared" si="39"/>
        <v>1.8495684340320592E-3</v>
      </c>
      <c r="I108" s="44">
        <f t="shared" si="39"/>
        <v>7.2544184134812992E-2</v>
      </c>
      <c r="J108" s="44">
        <f t="shared" si="39"/>
        <v>1.2741471434443074E-2</v>
      </c>
      <c r="K108" s="44">
        <f t="shared" si="39"/>
        <v>4.110152075626798E-3</v>
      </c>
      <c r="L108" s="44">
        <f t="shared" si="39"/>
        <v>1.0275380189066995E-3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M11" sqref="M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NSOOBA-KYEBANDO'!C3:G3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70">
        <f>'01.08 KYEBANDO-NSOOBA-24h'!G5:H5</f>
        <v>29</v>
      </c>
      <c r="H5" s="71"/>
      <c r="I5" s="14"/>
      <c r="J5" s="2" t="s">
        <v>5</v>
      </c>
      <c r="K5" s="70" t="str">
        <f>'01.08 KYEBANDO-NSOOBA-24h'!K5:L5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NSOOBA-KYEBANDO'!D6:E6</f>
        <v>NSOOBA</v>
      </c>
      <c r="E6" s="71"/>
      <c r="F6" s="2" t="s">
        <v>2</v>
      </c>
      <c r="G6" s="70" t="str">
        <f>'29.07 NSOOBA-KYEBANDO'!G6:H6</f>
        <v>KYEBANDO</v>
      </c>
      <c r="H6" s="71"/>
      <c r="J6" s="2" t="s">
        <v>21</v>
      </c>
      <c r="K6" s="70" t="str">
        <f>'01.08 KYEBANDO-NSOOBA-24h'!K6:L6</f>
        <v>STEVEN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17</v>
      </c>
      <c r="D10" s="50">
        <v>6</v>
      </c>
      <c r="E10" s="50">
        <v>1</v>
      </c>
      <c r="F10" s="50">
        <v>20</v>
      </c>
      <c r="G10" s="50">
        <v>0</v>
      </c>
      <c r="H10" s="50">
        <v>0</v>
      </c>
      <c r="I10" s="50">
        <v>5</v>
      </c>
      <c r="J10" s="50">
        <v>1</v>
      </c>
      <c r="K10" s="50">
        <v>0</v>
      </c>
      <c r="L10" s="50">
        <v>0</v>
      </c>
      <c r="M10" s="50">
        <v>33</v>
      </c>
      <c r="N10" s="50">
        <v>0</v>
      </c>
      <c r="O10" s="15">
        <f t="shared" ref="O10:O73" si="0">SUM(C10:L10,N10)</f>
        <v>50</v>
      </c>
      <c r="P10" s="15">
        <f t="shared" ref="P10:P73" si="1">SUM(C10:N10)</f>
        <v>83</v>
      </c>
      <c r="R10" s="1" t="s">
        <v>6</v>
      </c>
      <c r="S10" s="17">
        <f t="shared" ref="S10:AF10" si="2">SUM(C10:C13)</f>
        <v>114</v>
      </c>
      <c r="T10" s="17">
        <f t="shared" si="2"/>
        <v>28</v>
      </c>
      <c r="U10" s="17">
        <f t="shared" si="2"/>
        <v>5</v>
      </c>
      <c r="V10" s="17">
        <f t="shared" si="2"/>
        <v>87</v>
      </c>
      <c r="W10" s="17">
        <f t="shared" si="2"/>
        <v>0</v>
      </c>
      <c r="X10" s="17">
        <f t="shared" si="2"/>
        <v>0</v>
      </c>
      <c r="Y10" s="17">
        <f t="shared" si="2"/>
        <v>25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220</v>
      </c>
      <c r="AD10" s="17">
        <f t="shared" si="2"/>
        <v>0</v>
      </c>
      <c r="AE10" s="31">
        <f t="shared" si="2"/>
        <v>260</v>
      </c>
      <c r="AF10" s="31">
        <f t="shared" si="2"/>
        <v>480</v>
      </c>
    </row>
    <row r="11" spans="2:32" s="6" customFormat="1" ht="23.1" customHeight="1" x14ac:dyDescent="0.25">
      <c r="B11" s="45" t="s">
        <v>38</v>
      </c>
      <c r="C11" s="50">
        <v>35</v>
      </c>
      <c r="D11" s="50">
        <v>9</v>
      </c>
      <c r="E11" s="50">
        <v>1</v>
      </c>
      <c r="F11" s="50">
        <v>28</v>
      </c>
      <c r="G11" s="50">
        <v>0</v>
      </c>
      <c r="H11" s="50">
        <v>0</v>
      </c>
      <c r="I11" s="50">
        <v>10</v>
      </c>
      <c r="J11" s="50">
        <v>0</v>
      </c>
      <c r="K11" s="50">
        <v>0</v>
      </c>
      <c r="L11" s="50">
        <v>0</v>
      </c>
      <c r="M11" s="50">
        <v>43</v>
      </c>
      <c r="N11" s="50">
        <v>0</v>
      </c>
      <c r="O11" s="15">
        <f t="shared" si="0"/>
        <v>83</v>
      </c>
      <c r="P11" s="15">
        <f t="shared" si="1"/>
        <v>126</v>
      </c>
      <c r="R11" s="1" t="s">
        <v>7</v>
      </c>
      <c r="S11" s="17">
        <f t="shared" ref="S11:AF11" si="3">SUM(C14:C17)</f>
        <v>211</v>
      </c>
      <c r="T11" s="17">
        <f t="shared" si="3"/>
        <v>41</v>
      </c>
      <c r="U11" s="17">
        <f t="shared" si="3"/>
        <v>17</v>
      </c>
      <c r="V11" s="17">
        <f t="shared" si="3"/>
        <v>107</v>
      </c>
      <c r="W11" s="17">
        <f t="shared" si="3"/>
        <v>0</v>
      </c>
      <c r="X11" s="17">
        <f t="shared" si="3"/>
        <v>0</v>
      </c>
      <c r="Y11" s="17">
        <f t="shared" si="3"/>
        <v>25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377</v>
      </c>
      <c r="AD11" s="17">
        <f t="shared" si="3"/>
        <v>0</v>
      </c>
      <c r="AE11" s="31">
        <f t="shared" si="3"/>
        <v>403</v>
      </c>
      <c r="AF11" s="31">
        <f t="shared" si="3"/>
        <v>780</v>
      </c>
    </row>
    <row r="12" spans="2:32" ht="23.1" customHeight="1" x14ac:dyDescent="0.25">
      <c r="B12" s="45" t="s">
        <v>39</v>
      </c>
      <c r="C12" s="50">
        <v>24</v>
      </c>
      <c r="D12" s="50">
        <v>8</v>
      </c>
      <c r="E12" s="50">
        <v>1</v>
      </c>
      <c r="F12" s="50">
        <v>18</v>
      </c>
      <c r="G12" s="50">
        <v>0</v>
      </c>
      <c r="H12" s="50">
        <v>0</v>
      </c>
      <c r="I12" s="50">
        <v>7</v>
      </c>
      <c r="J12" s="50">
        <v>0</v>
      </c>
      <c r="K12" s="50">
        <v>0</v>
      </c>
      <c r="L12" s="50">
        <v>0</v>
      </c>
      <c r="M12" s="50">
        <v>69</v>
      </c>
      <c r="N12" s="50">
        <v>0</v>
      </c>
      <c r="O12" s="15">
        <f t="shared" si="0"/>
        <v>58</v>
      </c>
      <c r="P12" s="15">
        <f t="shared" si="1"/>
        <v>127</v>
      </c>
      <c r="R12" s="1" t="s">
        <v>8</v>
      </c>
      <c r="S12" s="17">
        <f t="shared" ref="S12:AF12" si="4">SUM(C18:C21)</f>
        <v>184</v>
      </c>
      <c r="T12" s="17">
        <f t="shared" si="4"/>
        <v>110</v>
      </c>
      <c r="U12" s="17">
        <f t="shared" si="4"/>
        <v>29</v>
      </c>
      <c r="V12" s="17">
        <f t="shared" si="4"/>
        <v>90</v>
      </c>
      <c r="W12" s="17">
        <f t="shared" si="4"/>
        <v>20</v>
      </c>
      <c r="X12" s="17">
        <f t="shared" si="4"/>
        <v>0</v>
      </c>
      <c r="Y12" s="17">
        <f t="shared" si="4"/>
        <v>21</v>
      </c>
      <c r="Z12" s="17">
        <f t="shared" si="4"/>
        <v>0</v>
      </c>
      <c r="AA12" s="17">
        <f t="shared" si="4"/>
        <v>6</v>
      </c>
      <c r="AB12" s="17">
        <f t="shared" si="4"/>
        <v>0</v>
      </c>
      <c r="AC12" s="17">
        <f t="shared" si="4"/>
        <v>403</v>
      </c>
      <c r="AD12" s="17">
        <f t="shared" si="4"/>
        <v>0</v>
      </c>
      <c r="AE12" s="31">
        <f t="shared" si="4"/>
        <v>460</v>
      </c>
      <c r="AF12" s="31">
        <f t="shared" si="4"/>
        <v>863</v>
      </c>
    </row>
    <row r="13" spans="2:32" ht="23.1" customHeight="1" x14ac:dyDescent="0.25">
      <c r="B13" s="45" t="s">
        <v>40</v>
      </c>
      <c r="C13" s="50">
        <v>38</v>
      </c>
      <c r="D13" s="50">
        <v>5</v>
      </c>
      <c r="E13" s="50">
        <v>2</v>
      </c>
      <c r="F13" s="50">
        <v>21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75</v>
      </c>
      <c r="N13" s="50">
        <v>0</v>
      </c>
      <c r="O13" s="15">
        <f t="shared" si="0"/>
        <v>69</v>
      </c>
      <c r="P13" s="15">
        <f t="shared" si="1"/>
        <v>144</v>
      </c>
      <c r="R13" s="1" t="s">
        <v>9</v>
      </c>
      <c r="S13" s="17">
        <f t="shared" ref="S13:AF13" si="5">SUM(C22:C25)</f>
        <v>185</v>
      </c>
      <c r="T13" s="17">
        <f t="shared" si="5"/>
        <v>44</v>
      </c>
      <c r="U13" s="17">
        <f t="shared" si="5"/>
        <v>24</v>
      </c>
      <c r="V13" s="17">
        <f t="shared" si="5"/>
        <v>53</v>
      </c>
      <c r="W13" s="17">
        <f t="shared" si="5"/>
        <v>0</v>
      </c>
      <c r="X13" s="17">
        <f t="shared" si="5"/>
        <v>0</v>
      </c>
      <c r="Y13" s="17">
        <f t="shared" si="5"/>
        <v>29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321</v>
      </c>
      <c r="AD13" s="17">
        <f t="shared" si="5"/>
        <v>0</v>
      </c>
      <c r="AE13" s="31">
        <f t="shared" si="5"/>
        <v>335</v>
      </c>
      <c r="AF13" s="31">
        <f t="shared" si="5"/>
        <v>656</v>
      </c>
    </row>
    <row r="14" spans="2:32" ht="23.1" customHeight="1" x14ac:dyDescent="0.25">
      <c r="B14" s="45" t="s">
        <v>41</v>
      </c>
      <c r="C14" s="50">
        <v>49</v>
      </c>
      <c r="D14" s="50">
        <v>13</v>
      </c>
      <c r="E14" s="50">
        <v>2</v>
      </c>
      <c r="F14" s="50">
        <v>25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86</v>
      </c>
      <c r="N14" s="50">
        <v>0</v>
      </c>
      <c r="O14" s="15">
        <f t="shared" si="0"/>
        <v>94</v>
      </c>
      <c r="P14" s="15">
        <f t="shared" si="1"/>
        <v>180</v>
      </c>
      <c r="R14" s="1" t="s">
        <v>10</v>
      </c>
      <c r="S14" s="17">
        <f t="shared" ref="S14:AF14" si="6">SUM(C26:C29)</f>
        <v>165</v>
      </c>
      <c r="T14" s="17">
        <f t="shared" si="6"/>
        <v>38</v>
      </c>
      <c r="U14" s="17">
        <f t="shared" si="6"/>
        <v>18</v>
      </c>
      <c r="V14" s="17">
        <f t="shared" si="6"/>
        <v>52</v>
      </c>
      <c r="W14" s="17">
        <f t="shared" si="6"/>
        <v>0</v>
      </c>
      <c r="X14" s="17">
        <f t="shared" si="6"/>
        <v>0</v>
      </c>
      <c r="Y14" s="17">
        <f t="shared" si="6"/>
        <v>23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287</v>
      </c>
      <c r="AD14" s="17">
        <f t="shared" si="6"/>
        <v>0</v>
      </c>
      <c r="AE14" s="31">
        <f t="shared" si="6"/>
        <v>296</v>
      </c>
      <c r="AF14" s="31">
        <f t="shared" si="6"/>
        <v>583</v>
      </c>
    </row>
    <row r="15" spans="2:32" ht="23.1" customHeight="1" x14ac:dyDescent="0.25">
      <c r="B15" s="45" t="s">
        <v>42</v>
      </c>
      <c r="C15" s="50">
        <v>42</v>
      </c>
      <c r="D15" s="50">
        <v>6</v>
      </c>
      <c r="E15" s="50">
        <v>4</v>
      </c>
      <c r="F15" s="50">
        <v>24</v>
      </c>
      <c r="G15" s="50">
        <v>0</v>
      </c>
      <c r="H15" s="50">
        <v>0</v>
      </c>
      <c r="I15" s="50">
        <v>6</v>
      </c>
      <c r="J15" s="50">
        <v>1</v>
      </c>
      <c r="K15" s="50">
        <v>0</v>
      </c>
      <c r="L15" s="50">
        <v>0</v>
      </c>
      <c r="M15" s="50">
        <v>100</v>
      </c>
      <c r="N15" s="50">
        <v>0</v>
      </c>
      <c r="O15" s="15">
        <f t="shared" si="0"/>
        <v>83</v>
      </c>
      <c r="P15" s="15">
        <f t="shared" si="1"/>
        <v>183</v>
      </c>
      <c r="R15" s="1" t="s">
        <v>11</v>
      </c>
      <c r="S15" s="17">
        <f t="shared" ref="S15:AF15" si="7">SUM(C30:C33)</f>
        <v>114</v>
      </c>
      <c r="T15" s="17">
        <f t="shared" si="7"/>
        <v>27</v>
      </c>
      <c r="U15" s="17">
        <f t="shared" si="7"/>
        <v>13</v>
      </c>
      <c r="V15" s="17">
        <f t="shared" si="7"/>
        <v>43</v>
      </c>
      <c r="W15" s="17">
        <f t="shared" si="7"/>
        <v>0</v>
      </c>
      <c r="X15" s="17">
        <f t="shared" si="7"/>
        <v>1</v>
      </c>
      <c r="Y15" s="17">
        <f t="shared" si="7"/>
        <v>37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218</v>
      </c>
      <c r="AD15" s="17">
        <f t="shared" si="7"/>
        <v>0</v>
      </c>
      <c r="AE15" s="31">
        <f t="shared" si="7"/>
        <v>236</v>
      </c>
      <c r="AF15" s="31">
        <f t="shared" si="7"/>
        <v>454</v>
      </c>
    </row>
    <row r="16" spans="2:32" ht="23.1" customHeight="1" x14ac:dyDescent="0.25">
      <c r="B16" s="45" t="s">
        <v>43</v>
      </c>
      <c r="C16" s="50">
        <v>55</v>
      </c>
      <c r="D16" s="50">
        <v>9</v>
      </c>
      <c r="E16" s="50">
        <v>5</v>
      </c>
      <c r="F16" s="50">
        <v>28</v>
      </c>
      <c r="G16" s="50">
        <v>0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106</v>
      </c>
      <c r="N16" s="50">
        <v>0</v>
      </c>
      <c r="O16" s="15">
        <f t="shared" si="0"/>
        <v>102</v>
      </c>
      <c r="P16" s="15">
        <f t="shared" si="1"/>
        <v>208</v>
      </c>
      <c r="R16" s="1" t="s">
        <v>12</v>
      </c>
      <c r="S16" s="17">
        <f t="shared" ref="S16:AF16" si="8">SUM(C34:C37)</f>
        <v>91</v>
      </c>
      <c r="T16" s="17">
        <f t="shared" si="8"/>
        <v>27</v>
      </c>
      <c r="U16" s="17">
        <f t="shared" si="8"/>
        <v>17</v>
      </c>
      <c r="V16" s="17">
        <f t="shared" si="8"/>
        <v>28</v>
      </c>
      <c r="W16" s="17">
        <f t="shared" si="8"/>
        <v>1</v>
      </c>
      <c r="X16" s="17">
        <f t="shared" si="8"/>
        <v>0</v>
      </c>
      <c r="Y16" s="17">
        <f t="shared" si="8"/>
        <v>24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249</v>
      </c>
      <c r="AD16" s="17">
        <f t="shared" si="8"/>
        <v>0</v>
      </c>
      <c r="AE16" s="31">
        <f t="shared" si="8"/>
        <v>192</v>
      </c>
      <c r="AF16" s="31">
        <f t="shared" si="8"/>
        <v>441</v>
      </c>
    </row>
    <row r="17" spans="2:32" ht="23.1" customHeight="1" x14ac:dyDescent="0.25">
      <c r="B17" s="45" t="s">
        <v>44</v>
      </c>
      <c r="C17" s="50">
        <v>65</v>
      </c>
      <c r="D17" s="50">
        <v>13</v>
      </c>
      <c r="E17" s="50">
        <v>6</v>
      </c>
      <c r="F17" s="50">
        <v>30</v>
      </c>
      <c r="G17" s="50">
        <v>0</v>
      </c>
      <c r="H17" s="50">
        <v>0</v>
      </c>
      <c r="I17" s="50">
        <v>9</v>
      </c>
      <c r="J17" s="50">
        <v>1</v>
      </c>
      <c r="K17" s="50">
        <v>0</v>
      </c>
      <c r="L17" s="50">
        <v>0</v>
      </c>
      <c r="M17" s="50">
        <v>85</v>
      </c>
      <c r="N17" s="50">
        <v>0</v>
      </c>
      <c r="O17" s="15">
        <f t="shared" si="0"/>
        <v>124</v>
      </c>
      <c r="P17" s="15">
        <f t="shared" si="1"/>
        <v>209</v>
      </c>
      <c r="R17" s="1" t="s">
        <v>13</v>
      </c>
      <c r="S17" s="17">
        <f t="shared" ref="S17:AF17" si="9">SUM(C38:C41)</f>
        <v>93</v>
      </c>
      <c r="T17" s="17">
        <f t="shared" si="9"/>
        <v>22</v>
      </c>
      <c r="U17" s="17">
        <f t="shared" si="9"/>
        <v>8</v>
      </c>
      <c r="V17" s="17">
        <f t="shared" si="9"/>
        <v>23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175</v>
      </c>
      <c r="AD17" s="17">
        <f t="shared" si="9"/>
        <v>0</v>
      </c>
      <c r="AE17" s="31">
        <f t="shared" si="9"/>
        <v>157</v>
      </c>
      <c r="AF17" s="31">
        <f t="shared" si="9"/>
        <v>332</v>
      </c>
    </row>
    <row r="18" spans="2:32" ht="23.1" customHeight="1" x14ac:dyDescent="0.25">
      <c r="B18" s="45" t="s">
        <v>45</v>
      </c>
      <c r="C18" s="50">
        <v>72</v>
      </c>
      <c r="D18" s="50">
        <v>18</v>
      </c>
      <c r="E18" s="50">
        <v>8</v>
      </c>
      <c r="F18" s="50">
        <v>31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0</v>
      </c>
      <c r="M18" s="50">
        <v>94</v>
      </c>
      <c r="N18" s="50">
        <v>0</v>
      </c>
      <c r="O18" s="15">
        <f t="shared" si="0"/>
        <v>134</v>
      </c>
      <c r="P18" s="15">
        <f t="shared" si="1"/>
        <v>228</v>
      </c>
      <c r="R18" s="1" t="s">
        <v>14</v>
      </c>
      <c r="S18" s="17">
        <f t="shared" ref="S18:AF18" si="10">SUM(C42:C45)</f>
        <v>85</v>
      </c>
      <c r="T18" s="17">
        <f t="shared" si="10"/>
        <v>17</v>
      </c>
      <c r="U18" s="17">
        <f t="shared" si="10"/>
        <v>12</v>
      </c>
      <c r="V18" s="17">
        <f t="shared" si="10"/>
        <v>23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152</v>
      </c>
      <c r="AD18" s="17">
        <f t="shared" si="10"/>
        <v>0</v>
      </c>
      <c r="AE18" s="31">
        <f t="shared" si="10"/>
        <v>152</v>
      </c>
      <c r="AF18" s="31">
        <f t="shared" si="10"/>
        <v>304</v>
      </c>
    </row>
    <row r="19" spans="2:32" ht="23.1" customHeight="1" x14ac:dyDescent="0.25">
      <c r="B19" s="45" t="s">
        <v>46</v>
      </c>
      <c r="C19" s="50">
        <v>61</v>
      </c>
      <c r="D19" s="50">
        <v>9</v>
      </c>
      <c r="E19" s="50">
        <v>4</v>
      </c>
      <c r="F19" s="50">
        <v>32</v>
      </c>
      <c r="G19" s="50">
        <v>0</v>
      </c>
      <c r="H19" s="50">
        <v>0</v>
      </c>
      <c r="I19" s="50">
        <v>9</v>
      </c>
      <c r="J19" s="50">
        <v>0</v>
      </c>
      <c r="K19" s="50">
        <v>0</v>
      </c>
      <c r="L19" s="50">
        <v>0</v>
      </c>
      <c r="M19" s="50">
        <v>110</v>
      </c>
      <c r="N19" s="50">
        <v>0</v>
      </c>
      <c r="O19" s="15">
        <f t="shared" si="0"/>
        <v>115</v>
      </c>
      <c r="P19" s="15">
        <f t="shared" si="1"/>
        <v>225</v>
      </c>
      <c r="R19" s="1" t="s">
        <v>15</v>
      </c>
      <c r="S19" s="17">
        <f t="shared" ref="S19:AF19" si="11">SUM(C46:C49)</f>
        <v>96</v>
      </c>
      <c r="T19" s="17">
        <f t="shared" si="11"/>
        <v>21</v>
      </c>
      <c r="U19" s="17">
        <f t="shared" si="11"/>
        <v>16</v>
      </c>
      <c r="V19" s="17">
        <f t="shared" si="11"/>
        <v>30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132</v>
      </c>
      <c r="AD19" s="17">
        <f t="shared" si="11"/>
        <v>0</v>
      </c>
      <c r="AE19" s="31">
        <f t="shared" si="11"/>
        <v>176</v>
      </c>
      <c r="AF19" s="31">
        <f t="shared" si="11"/>
        <v>308</v>
      </c>
    </row>
    <row r="20" spans="2:32" ht="23.1" customHeight="1" x14ac:dyDescent="0.25">
      <c r="B20" s="45" t="s">
        <v>47</v>
      </c>
      <c r="C20" s="50">
        <v>51</v>
      </c>
      <c r="D20" s="50">
        <v>16</v>
      </c>
      <c r="E20" s="50">
        <v>5</v>
      </c>
      <c r="F20" s="50">
        <v>21</v>
      </c>
      <c r="G20" s="50">
        <v>1</v>
      </c>
      <c r="H20" s="50">
        <v>0</v>
      </c>
      <c r="I20" s="50">
        <v>6</v>
      </c>
      <c r="J20" s="50">
        <v>0</v>
      </c>
      <c r="K20" s="50">
        <v>0</v>
      </c>
      <c r="L20" s="50">
        <v>0</v>
      </c>
      <c r="M20" s="50">
        <v>105</v>
      </c>
      <c r="N20" s="50">
        <v>0</v>
      </c>
      <c r="O20" s="15">
        <f t="shared" si="0"/>
        <v>100</v>
      </c>
      <c r="P20" s="15">
        <f t="shared" si="1"/>
        <v>205</v>
      </c>
      <c r="R20" s="1" t="s">
        <v>16</v>
      </c>
      <c r="S20" s="17">
        <f t="shared" ref="S20:AF20" si="12">SUM(C50:C53)</f>
        <v>80</v>
      </c>
      <c r="T20" s="17">
        <f t="shared" si="12"/>
        <v>26</v>
      </c>
      <c r="U20" s="17">
        <f t="shared" si="12"/>
        <v>13</v>
      </c>
      <c r="V20" s="17">
        <f t="shared" si="12"/>
        <v>27</v>
      </c>
      <c r="W20" s="17">
        <f t="shared" si="12"/>
        <v>1</v>
      </c>
      <c r="X20" s="17">
        <f t="shared" si="12"/>
        <v>0</v>
      </c>
      <c r="Y20" s="17">
        <f t="shared" si="12"/>
        <v>11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224</v>
      </c>
      <c r="AD20" s="17">
        <f t="shared" si="12"/>
        <v>0</v>
      </c>
      <c r="AE20" s="31">
        <f t="shared" si="12"/>
        <v>158</v>
      </c>
      <c r="AF20" s="31">
        <f t="shared" si="12"/>
        <v>382</v>
      </c>
    </row>
    <row r="21" spans="2:32" ht="23.1" customHeight="1" x14ac:dyDescent="0.25">
      <c r="B21" s="45" t="s">
        <v>48</v>
      </c>
      <c r="C21" s="50">
        <v>0</v>
      </c>
      <c r="D21" s="50">
        <v>67</v>
      </c>
      <c r="E21" s="50">
        <v>12</v>
      </c>
      <c r="F21" s="50">
        <v>6</v>
      </c>
      <c r="G21" s="50">
        <v>19</v>
      </c>
      <c r="H21" s="50">
        <v>0</v>
      </c>
      <c r="I21" s="50">
        <v>1</v>
      </c>
      <c r="J21" s="50">
        <v>0</v>
      </c>
      <c r="K21" s="50">
        <v>6</v>
      </c>
      <c r="L21" s="50">
        <v>0</v>
      </c>
      <c r="M21" s="50">
        <v>94</v>
      </c>
      <c r="N21" s="50">
        <v>0</v>
      </c>
      <c r="O21" s="15">
        <f t="shared" si="0"/>
        <v>111</v>
      </c>
      <c r="P21" s="15">
        <f t="shared" si="1"/>
        <v>205</v>
      </c>
      <c r="R21" s="36" t="s">
        <v>20</v>
      </c>
      <c r="S21" s="34">
        <f t="shared" ref="S21:AF21" si="13">SUM(C54:C57)</f>
        <v>79</v>
      </c>
      <c r="T21" s="17">
        <f t="shared" si="13"/>
        <v>14</v>
      </c>
      <c r="U21" s="17">
        <f t="shared" si="13"/>
        <v>4</v>
      </c>
      <c r="V21" s="17">
        <f t="shared" si="13"/>
        <v>26</v>
      </c>
      <c r="W21" s="17">
        <f t="shared" si="13"/>
        <v>0</v>
      </c>
      <c r="X21" s="17">
        <f t="shared" si="13"/>
        <v>0</v>
      </c>
      <c r="Y21" s="17">
        <f t="shared" si="13"/>
        <v>21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188</v>
      </c>
      <c r="AD21" s="17">
        <f t="shared" si="13"/>
        <v>0</v>
      </c>
      <c r="AE21" s="31">
        <f t="shared" si="13"/>
        <v>146</v>
      </c>
      <c r="AF21" s="31">
        <f t="shared" si="13"/>
        <v>334</v>
      </c>
    </row>
    <row r="22" spans="2:32" ht="23.1" customHeight="1" x14ac:dyDescent="0.25">
      <c r="B22" s="45" t="s">
        <v>49</v>
      </c>
      <c r="C22" s="50">
        <v>70</v>
      </c>
      <c r="D22" s="50">
        <v>9</v>
      </c>
      <c r="E22" s="50">
        <v>5</v>
      </c>
      <c r="F22" s="50">
        <v>19</v>
      </c>
      <c r="G22" s="50">
        <v>0</v>
      </c>
      <c r="H22" s="50">
        <v>0</v>
      </c>
      <c r="I22" s="50">
        <v>12</v>
      </c>
      <c r="J22" s="50">
        <v>0</v>
      </c>
      <c r="K22" s="50">
        <v>0</v>
      </c>
      <c r="L22" s="50">
        <v>0</v>
      </c>
      <c r="M22" s="50">
        <v>85</v>
      </c>
      <c r="N22" s="50">
        <v>0</v>
      </c>
      <c r="O22" s="15">
        <f t="shared" si="0"/>
        <v>115</v>
      </c>
      <c r="P22" s="15">
        <f t="shared" si="1"/>
        <v>200</v>
      </c>
      <c r="R22" s="36" t="s">
        <v>146</v>
      </c>
      <c r="S22" s="34">
        <f>SUM(C58:C61)</f>
        <v>69</v>
      </c>
      <c r="T22" s="34">
        <f t="shared" ref="T22:AF22" si="14">SUM(D58:D61)</f>
        <v>25</v>
      </c>
      <c r="U22" s="34">
        <f t="shared" si="14"/>
        <v>16</v>
      </c>
      <c r="V22" s="34">
        <f t="shared" si="14"/>
        <v>24</v>
      </c>
      <c r="W22" s="34">
        <f t="shared" si="14"/>
        <v>2</v>
      </c>
      <c r="X22" s="34">
        <f t="shared" si="14"/>
        <v>2</v>
      </c>
      <c r="Y22" s="34">
        <f t="shared" si="14"/>
        <v>6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168</v>
      </c>
      <c r="AD22" s="34">
        <f t="shared" si="14"/>
        <v>0</v>
      </c>
      <c r="AE22" s="31">
        <f t="shared" si="14"/>
        <v>145</v>
      </c>
      <c r="AF22" s="31">
        <f t="shared" si="14"/>
        <v>313</v>
      </c>
    </row>
    <row r="23" spans="2:32" ht="23.1" customHeight="1" x14ac:dyDescent="0.25">
      <c r="B23" s="45" t="s">
        <v>50</v>
      </c>
      <c r="C23" s="50">
        <v>38</v>
      </c>
      <c r="D23" s="50">
        <v>6</v>
      </c>
      <c r="E23" s="50">
        <v>8</v>
      </c>
      <c r="F23" s="50">
        <v>10</v>
      </c>
      <c r="G23" s="50">
        <v>0</v>
      </c>
      <c r="H23" s="50">
        <v>0</v>
      </c>
      <c r="I23" s="50">
        <v>6</v>
      </c>
      <c r="J23" s="50">
        <v>0</v>
      </c>
      <c r="K23" s="50">
        <v>0</v>
      </c>
      <c r="L23" s="50">
        <v>0</v>
      </c>
      <c r="M23" s="50">
        <v>73</v>
      </c>
      <c r="N23" s="50">
        <v>0</v>
      </c>
      <c r="O23" s="15">
        <f t="shared" si="0"/>
        <v>68</v>
      </c>
      <c r="P23" s="15">
        <f t="shared" si="1"/>
        <v>141</v>
      </c>
      <c r="R23" s="36" t="s">
        <v>147</v>
      </c>
      <c r="S23" s="34">
        <f>SUM(C62:C65)</f>
        <v>92</v>
      </c>
      <c r="T23" s="34">
        <f t="shared" ref="T23:AF23" si="15">SUM(D62:D65)</f>
        <v>27</v>
      </c>
      <c r="U23" s="34">
        <f t="shared" si="15"/>
        <v>14</v>
      </c>
      <c r="V23" s="34">
        <f t="shared" si="15"/>
        <v>15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189</v>
      </c>
      <c r="AD23" s="34">
        <f t="shared" si="15"/>
        <v>0</v>
      </c>
      <c r="AE23" s="31">
        <f t="shared" si="15"/>
        <v>156</v>
      </c>
      <c r="AF23" s="31">
        <f t="shared" si="15"/>
        <v>345</v>
      </c>
    </row>
    <row r="24" spans="2:32" ht="23.1" customHeight="1" x14ac:dyDescent="0.25">
      <c r="B24" s="45" t="s">
        <v>51</v>
      </c>
      <c r="C24" s="50">
        <v>37</v>
      </c>
      <c r="D24" s="50">
        <v>9</v>
      </c>
      <c r="E24" s="50">
        <v>6</v>
      </c>
      <c r="F24" s="50">
        <v>12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75</v>
      </c>
      <c r="N24" s="50">
        <v>0</v>
      </c>
      <c r="O24" s="15">
        <f t="shared" si="0"/>
        <v>67</v>
      </c>
      <c r="P24" s="15">
        <f t="shared" si="1"/>
        <v>142</v>
      </c>
      <c r="R24" s="36" t="s">
        <v>148</v>
      </c>
      <c r="S24" s="34">
        <f>SUM(C66:C69)</f>
        <v>79</v>
      </c>
      <c r="T24" s="34">
        <f t="shared" ref="T24:AF24" si="16">SUM(D66:D69)</f>
        <v>22</v>
      </c>
      <c r="U24" s="34">
        <f t="shared" si="16"/>
        <v>4</v>
      </c>
      <c r="V24" s="34">
        <f t="shared" si="16"/>
        <v>18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0</v>
      </c>
      <c r="AA24" s="34">
        <f t="shared" si="16"/>
        <v>2</v>
      </c>
      <c r="AB24" s="34">
        <f t="shared" si="16"/>
        <v>0</v>
      </c>
      <c r="AC24" s="34">
        <f t="shared" si="16"/>
        <v>150</v>
      </c>
      <c r="AD24" s="34">
        <f t="shared" si="16"/>
        <v>0</v>
      </c>
      <c r="AE24" s="31">
        <f t="shared" si="16"/>
        <v>130</v>
      </c>
      <c r="AF24" s="31">
        <f t="shared" si="16"/>
        <v>280</v>
      </c>
    </row>
    <row r="25" spans="2:32" ht="23.1" customHeight="1" x14ac:dyDescent="0.25">
      <c r="B25" s="45" t="s">
        <v>52</v>
      </c>
      <c r="C25" s="50">
        <v>40</v>
      </c>
      <c r="D25" s="50">
        <v>20</v>
      </c>
      <c r="E25" s="50">
        <v>5</v>
      </c>
      <c r="F25" s="50">
        <v>12</v>
      </c>
      <c r="G25" s="50">
        <v>0</v>
      </c>
      <c r="H25" s="50">
        <v>0</v>
      </c>
      <c r="I25" s="50">
        <v>8</v>
      </c>
      <c r="J25" s="50">
        <v>0</v>
      </c>
      <c r="K25" s="50">
        <v>0</v>
      </c>
      <c r="L25" s="50">
        <v>0</v>
      </c>
      <c r="M25" s="50">
        <v>88</v>
      </c>
      <c r="N25" s="50">
        <v>0</v>
      </c>
      <c r="O25" s="15">
        <f t="shared" si="0"/>
        <v>85</v>
      </c>
      <c r="P25" s="15">
        <f t="shared" si="1"/>
        <v>173</v>
      </c>
      <c r="R25" s="36" t="s">
        <v>149</v>
      </c>
      <c r="S25" s="34">
        <f>SUM(C70:C73)</f>
        <v>56</v>
      </c>
      <c r="T25" s="34">
        <f t="shared" ref="T25:AF25" si="17">SUM(D70:D73)</f>
        <v>10</v>
      </c>
      <c r="U25" s="34">
        <f t="shared" si="17"/>
        <v>8</v>
      </c>
      <c r="V25" s="34">
        <f t="shared" si="17"/>
        <v>9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81</v>
      </c>
      <c r="AD25" s="34">
        <f t="shared" si="17"/>
        <v>0</v>
      </c>
      <c r="AE25" s="31">
        <f t="shared" si="17"/>
        <v>87</v>
      </c>
      <c r="AF25" s="31">
        <f t="shared" si="17"/>
        <v>168</v>
      </c>
    </row>
    <row r="26" spans="2:32" ht="23.1" customHeight="1" x14ac:dyDescent="0.25">
      <c r="B26" s="45" t="s">
        <v>53</v>
      </c>
      <c r="C26" s="50">
        <v>48</v>
      </c>
      <c r="D26" s="50">
        <v>8</v>
      </c>
      <c r="E26" s="50">
        <v>4</v>
      </c>
      <c r="F26" s="50">
        <v>20</v>
      </c>
      <c r="G26" s="50">
        <v>0</v>
      </c>
      <c r="H26" s="50">
        <v>0</v>
      </c>
      <c r="I26" s="50">
        <v>5</v>
      </c>
      <c r="J26" s="50">
        <v>0</v>
      </c>
      <c r="K26" s="50">
        <v>0</v>
      </c>
      <c r="L26" s="50">
        <v>0</v>
      </c>
      <c r="M26" s="50">
        <v>75</v>
      </c>
      <c r="N26" s="50">
        <v>0</v>
      </c>
      <c r="O26" s="15">
        <f t="shared" si="0"/>
        <v>85</v>
      </c>
      <c r="P26" s="15">
        <f t="shared" si="1"/>
        <v>160</v>
      </c>
      <c r="R26" s="36" t="s">
        <v>150</v>
      </c>
      <c r="S26" s="34">
        <f>SUM(C74:C77)</f>
        <v>31</v>
      </c>
      <c r="T26" s="34">
        <f t="shared" ref="T26:AF26" si="18">SUM(D74:D77)</f>
        <v>2</v>
      </c>
      <c r="U26" s="34">
        <f t="shared" si="18"/>
        <v>3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68</v>
      </c>
      <c r="AD26" s="34">
        <f t="shared" si="18"/>
        <v>0</v>
      </c>
      <c r="AE26" s="31">
        <f t="shared" si="18"/>
        <v>43</v>
      </c>
      <c r="AF26" s="31">
        <f t="shared" si="18"/>
        <v>111</v>
      </c>
    </row>
    <row r="27" spans="2:32" ht="23.1" customHeight="1" x14ac:dyDescent="0.25">
      <c r="B27" s="45" t="s">
        <v>54</v>
      </c>
      <c r="C27" s="50">
        <v>38</v>
      </c>
      <c r="D27" s="50">
        <v>8</v>
      </c>
      <c r="E27" s="50">
        <v>2</v>
      </c>
      <c r="F27" s="50">
        <v>11</v>
      </c>
      <c r="G27" s="50">
        <v>0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72</v>
      </c>
      <c r="N27" s="50">
        <v>0</v>
      </c>
      <c r="O27" s="15">
        <f t="shared" si="0"/>
        <v>65</v>
      </c>
      <c r="P27" s="15">
        <f t="shared" si="1"/>
        <v>137</v>
      </c>
      <c r="R27" s="36" t="s">
        <v>151</v>
      </c>
      <c r="S27" s="34">
        <f>SUM(C78:C81)</f>
        <v>22</v>
      </c>
      <c r="T27" s="34">
        <f t="shared" ref="T27:AF27" si="19">SUM(D78:D81)</f>
        <v>3</v>
      </c>
      <c r="U27" s="34">
        <f t="shared" si="19"/>
        <v>2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41</v>
      </c>
      <c r="AD27" s="34">
        <f t="shared" si="19"/>
        <v>0</v>
      </c>
      <c r="AE27" s="31">
        <f t="shared" si="19"/>
        <v>29</v>
      </c>
      <c r="AF27" s="31">
        <f t="shared" si="19"/>
        <v>70</v>
      </c>
    </row>
    <row r="28" spans="2:32" ht="23.1" customHeight="1" x14ac:dyDescent="0.25">
      <c r="B28" s="45" t="s">
        <v>55</v>
      </c>
      <c r="C28" s="50">
        <v>27</v>
      </c>
      <c r="D28" s="50">
        <v>10</v>
      </c>
      <c r="E28" s="50">
        <v>5</v>
      </c>
      <c r="F28" s="50">
        <v>13</v>
      </c>
      <c r="G28" s="50">
        <v>0</v>
      </c>
      <c r="H28" s="50">
        <v>0</v>
      </c>
      <c r="I28" s="50">
        <v>4</v>
      </c>
      <c r="J28" s="50">
        <v>0</v>
      </c>
      <c r="K28" s="50">
        <v>0</v>
      </c>
      <c r="L28" s="50">
        <v>0</v>
      </c>
      <c r="M28" s="50">
        <v>65</v>
      </c>
      <c r="N28" s="50">
        <v>0</v>
      </c>
      <c r="O28" s="15">
        <f t="shared" si="0"/>
        <v>59</v>
      </c>
      <c r="P28" s="15">
        <f t="shared" si="1"/>
        <v>124</v>
      </c>
      <c r="R28" s="36" t="s">
        <v>152</v>
      </c>
      <c r="S28" s="34">
        <f>SUM(C82:C85)</f>
        <v>9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30</v>
      </c>
      <c r="AD28" s="34">
        <f t="shared" si="20"/>
        <v>0</v>
      </c>
      <c r="AE28" s="31">
        <f t="shared" si="20"/>
        <v>11</v>
      </c>
      <c r="AF28" s="31">
        <f t="shared" si="20"/>
        <v>41</v>
      </c>
    </row>
    <row r="29" spans="2:32" ht="23.1" customHeight="1" x14ac:dyDescent="0.25">
      <c r="B29" s="45" t="s">
        <v>56</v>
      </c>
      <c r="C29" s="50">
        <v>52</v>
      </c>
      <c r="D29" s="50">
        <v>12</v>
      </c>
      <c r="E29" s="50">
        <v>7</v>
      </c>
      <c r="F29" s="50">
        <v>8</v>
      </c>
      <c r="G29" s="50">
        <v>0</v>
      </c>
      <c r="H29" s="50">
        <v>0</v>
      </c>
      <c r="I29" s="50">
        <v>8</v>
      </c>
      <c r="J29" s="50">
        <v>0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87</v>
      </c>
      <c r="P29" s="15">
        <f t="shared" si="1"/>
        <v>162</v>
      </c>
      <c r="R29" s="36" t="s">
        <v>153</v>
      </c>
      <c r="S29" s="34">
        <f>SUM(C86:C89)</f>
        <v>10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23</v>
      </c>
      <c r="AD29" s="34">
        <f t="shared" si="21"/>
        <v>0</v>
      </c>
      <c r="AE29" s="31">
        <f t="shared" si="21"/>
        <v>11</v>
      </c>
      <c r="AF29" s="31">
        <f t="shared" si="21"/>
        <v>34</v>
      </c>
    </row>
    <row r="30" spans="2:32" ht="23.1" customHeight="1" x14ac:dyDescent="0.25">
      <c r="B30" s="45" t="s">
        <v>57</v>
      </c>
      <c r="C30" s="50">
        <v>25</v>
      </c>
      <c r="D30" s="50">
        <v>8</v>
      </c>
      <c r="E30" s="50">
        <v>4</v>
      </c>
      <c r="F30" s="50">
        <v>22</v>
      </c>
      <c r="G30" s="50">
        <v>0</v>
      </c>
      <c r="H30" s="50">
        <v>0</v>
      </c>
      <c r="I30" s="50">
        <v>8</v>
      </c>
      <c r="J30" s="50">
        <v>0</v>
      </c>
      <c r="K30" s="50">
        <v>0</v>
      </c>
      <c r="L30" s="50">
        <v>0</v>
      </c>
      <c r="M30" s="50">
        <v>63</v>
      </c>
      <c r="N30" s="50">
        <v>0</v>
      </c>
      <c r="O30" s="15">
        <f t="shared" si="0"/>
        <v>67</v>
      </c>
      <c r="P30" s="15">
        <f t="shared" si="1"/>
        <v>130</v>
      </c>
      <c r="R30" s="36" t="s">
        <v>154</v>
      </c>
      <c r="S30" s="34">
        <f>SUM(C90:C93)</f>
        <v>3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15</v>
      </c>
      <c r="AD30" s="34">
        <f t="shared" si="22"/>
        <v>0</v>
      </c>
      <c r="AE30" s="31">
        <f t="shared" si="22"/>
        <v>4</v>
      </c>
      <c r="AF30" s="31">
        <f t="shared" si="22"/>
        <v>19</v>
      </c>
    </row>
    <row r="31" spans="2:32" ht="23.1" customHeight="1" x14ac:dyDescent="0.25">
      <c r="B31" s="46" t="s">
        <v>58</v>
      </c>
      <c r="C31" s="50">
        <v>25</v>
      </c>
      <c r="D31" s="50">
        <v>10</v>
      </c>
      <c r="E31" s="50">
        <v>0</v>
      </c>
      <c r="F31" s="50">
        <v>12</v>
      </c>
      <c r="G31" s="50">
        <v>0</v>
      </c>
      <c r="H31" s="50">
        <v>0</v>
      </c>
      <c r="I31" s="50">
        <v>7</v>
      </c>
      <c r="J31" s="50">
        <v>0</v>
      </c>
      <c r="K31" s="50">
        <v>0</v>
      </c>
      <c r="L31" s="50">
        <v>0</v>
      </c>
      <c r="M31" s="50">
        <v>59</v>
      </c>
      <c r="N31" s="50">
        <v>0</v>
      </c>
      <c r="O31" s="15">
        <f t="shared" si="0"/>
        <v>54</v>
      </c>
      <c r="P31" s="15">
        <f t="shared" si="1"/>
        <v>113</v>
      </c>
      <c r="R31" s="36" t="s">
        <v>155</v>
      </c>
      <c r="S31" s="34">
        <f>SUM(C94:C97)</f>
        <v>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12</v>
      </c>
      <c r="AD31" s="34">
        <f t="shared" si="23"/>
        <v>0</v>
      </c>
      <c r="AE31" s="31">
        <f t="shared" si="23"/>
        <v>5</v>
      </c>
      <c r="AF31" s="31">
        <f t="shared" si="23"/>
        <v>17</v>
      </c>
    </row>
    <row r="32" spans="2:32" ht="23.1" customHeight="1" x14ac:dyDescent="0.25">
      <c r="B32" s="46" t="s">
        <v>59</v>
      </c>
      <c r="C32" s="50">
        <v>27</v>
      </c>
      <c r="D32" s="50">
        <v>3</v>
      </c>
      <c r="E32" s="50">
        <v>5</v>
      </c>
      <c r="F32" s="50">
        <v>4</v>
      </c>
      <c r="G32" s="50">
        <v>0</v>
      </c>
      <c r="H32" s="50">
        <v>0</v>
      </c>
      <c r="I32" s="50">
        <v>13</v>
      </c>
      <c r="J32" s="50">
        <v>0</v>
      </c>
      <c r="K32" s="50">
        <v>0</v>
      </c>
      <c r="L32" s="50">
        <v>0</v>
      </c>
      <c r="M32" s="50">
        <v>48</v>
      </c>
      <c r="N32" s="50">
        <v>0</v>
      </c>
      <c r="O32" s="15">
        <f t="shared" si="0"/>
        <v>52</v>
      </c>
      <c r="P32" s="15">
        <f t="shared" si="1"/>
        <v>100</v>
      </c>
      <c r="R32" s="33" t="s">
        <v>156</v>
      </c>
      <c r="S32" s="34">
        <f>SUM(C98:C101)</f>
        <v>12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5</v>
      </c>
      <c r="W32" s="34">
        <f t="shared" si="24"/>
        <v>3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24</v>
      </c>
      <c r="AD32" s="34">
        <f t="shared" si="24"/>
        <v>0</v>
      </c>
      <c r="AE32" s="31">
        <f t="shared" si="24"/>
        <v>22</v>
      </c>
      <c r="AF32" s="31">
        <f t="shared" si="24"/>
        <v>46</v>
      </c>
    </row>
    <row r="33" spans="2:32" ht="23.1" customHeight="1" x14ac:dyDescent="0.25">
      <c r="B33" s="45" t="s">
        <v>60</v>
      </c>
      <c r="C33" s="50">
        <v>37</v>
      </c>
      <c r="D33" s="50">
        <v>6</v>
      </c>
      <c r="E33" s="50">
        <v>4</v>
      </c>
      <c r="F33" s="50">
        <v>5</v>
      </c>
      <c r="G33" s="50">
        <v>0</v>
      </c>
      <c r="H33" s="50">
        <v>1</v>
      </c>
      <c r="I33" s="50">
        <v>9</v>
      </c>
      <c r="J33" s="50">
        <v>1</v>
      </c>
      <c r="K33" s="50">
        <v>0</v>
      </c>
      <c r="L33" s="50">
        <v>0</v>
      </c>
      <c r="M33" s="50">
        <v>48</v>
      </c>
      <c r="N33" s="50">
        <v>0</v>
      </c>
      <c r="O33" s="15">
        <f t="shared" si="0"/>
        <v>63</v>
      </c>
      <c r="P33" s="15">
        <f t="shared" si="1"/>
        <v>111</v>
      </c>
      <c r="R33" s="33" t="s">
        <v>157</v>
      </c>
      <c r="S33" s="34">
        <f>SUM(C102:C105)</f>
        <v>14</v>
      </c>
      <c r="T33" s="34">
        <f t="shared" ref="T33:AF33" si="25">SUM(D102:D105)</f>
        <v>13</v>
      </c>
      <c r="U33" s="34">
        <f t="shared" si="25"/>
        <v>5</v>
      </c>
      <c r="V33" s="34">
        <f t="shared" si="25"/>
        <v>21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29</v>
      </c>
      <c r="AD33" s="34">
        <f t="shared" si="25"/>
        <v>0</v>
      </c>
      <c r="AE33" s="31">
        <f t="shared" si="25"/>
        <v>55</v>
      </c>
      <c r="AF33" s="31">
        <f t="shared" si="25"/>
        <v>84</v>
      </c>
    </row>
    <row r="34" spans="2:32" ht="23.1" customHeight="1" x14ac:dyDescent="0.25">
      <c r="B34" s="46" t="s">
        <v>61</v>
      </c>
      <c r="C34" s="50">
        <v>24</v>
      </c>
      <c r="D34" s="50">
        <v>6</v>
      </c>
      <c r="E34" s="50">
        <v>3</v>
      </c>
      <c r="F34" s="50">
        <v>9</v>
      </c>
      <c r="G34" s="50">
        <v>1</v>
      </c>
      <c r="H34" s="50">
        <v>0</v>
      </c>
      <c r="I34" s="50">
        <v>7</v>
      </c>
      <c r="J34" s="50">
        <v>3</v>
      </c>
      <c r="K34" s="50">
        <v>0</v>
      </c>
      <c r="L34" s="50">
        <v>0</v>
      </c>
      <c r="M34" s="50">
        <v>57</v>
      </c>
      <c r="N34" s="50">
        <v>0</v>
      </c>
      <c r="O34" s="15">
        <f t="shared" si="0"/>
        <v>53</v>
      </c>
      <c r="P34" s="15">
        <f t="shared" si="1"/>
        <v>110</v>
      </c>
      <c r="R34" s="38" t="s">
        <v>90</v>
      </c>
      <c r="S34" s="39">
        <f t="shared" ref="S34:AF34" si="26">MAX(S10:S12)</f>
        <v>211</v>
      </c>
      <c r="T34" s="39">
        <f t="shared" si="26"/>
        <v>110</v>
      </c>
      <c r="U34" s="39">
        <f t="shared" si="26"/>
        <v>29</v>
      </c>
      <c r="V34" s="39">
        <f t="shared" si="26"/>
        <v>107</v>
      </c>
      <c r="W34" s="39">
        <f t="shared" si="26"/>
        <v>20</v>
      </c>
      <c r="X34" s="39">
        <f t="shared" si="26"/>
        <v>0</v>
      </c>
      <c r="Y34" s="39">
        <f t="shared" si="26"/>
        <v>25</v>
      </c>
      <c r="Z34" s="39">
        <f t="shared" si="26"/>
        <v>2</v>
      </c>
      <c r="AA34" s="39">
        <f t="shared" si="26"/>
        <v>6</v>
      </c>
      <c r="AB34" s="39">
        <f t="shared" si="26"/>
        <v>0</v>
      </c>
      <c r="AC34" s="39">
        <f t="shared" si="26"/>
        <v>403</v>
      </c>
      <c r="AD34" s="39">
        <f t="shared" si="26"/>
        <v>0</v>
      </c>
      <c r="AE34" s="40">
        <f t="shared" si="26"/>
        <v>460</v>
      </c>
      <c r="AF34" s="40">
        <f t="shared" si="26"/>
        <v>863</v>
      </c>
    </row>
    <row r="35" spans="2:32" ht="23.1" customHeight="1" x14ac:dyDescent="0.25">
      <c r="B35" s="46" t="s">
        <v>62</v>
      </c>
      <c r="C35" s="50">
        <v>23</v>
      </c>
      <c r="D35" s="50">
        <v>11</v>
      </c>
      <c r="E35" s="50">
        <v>7</v>
      </c>
      <c r="F35" s="50">
        <v>5</v>
      </c>
      <c r="G35" s="50">
        <v>0</v>
      </c>
      <c r="H35" s="50">
        <v>0</v>
      </c>
      <c r="I35" s="50">
        <v>11</v>
      </c>
      <c r="J35" s="50">
        <v>1</v>
      </c>
      <c r="K35" s="50">
        <v>0</v>
      </c>
      <c r="L35" s="50">
        <v>0</v>
      </c>
      <c r="M35" s="50">
        <v>64</v>
      </c>
      <c r="N35" s="50">
        <v>0</v>
      </c>
      <c r="O35" s="15">
        <f t="shared" si="0"/>
        <v>58</v>
      </c>
      <c r="P35" s="15">
        <f t="shared" si="1"/>
        <v>122</v>
      </c>
      <c r="R35" s="38" t="s">
        <v>91</v>
      </c>
      <c r="S35" s="39">
        <f t="shared" ref="S35:AF35" si="27">MAX(S13:S18)</f>
        <v>185</v>
      </c>
      <c r="T35" s="39">
        <f t="shared" si="27"/>
        <v>44</v>
      </c>
      <c r="U35" s="39">
        <f t="shared" si="27"/>
        <v>24</v>
      </c>
      <c r="V35" s="39">
        <f t="shared" si="27"/>
        <v>53</v>
      </c>
      <c r="W35" s="39">
        <f t="shared" si="27"/>
        <v>1</v>
      </c>
      <c r="X35" s="39">
        <f t="shared" si="27"/>
        <v>1</v>
      </c>
      <c r="Y35" s="39">
        <f t="shared" si="27"/>
        <v>37</v>
      </c>
      <c r="Z35" s="39">
        <f t="shared" si="27"/>
        <v>4</v>
      </c>
      <c r="AA35" s="39">
        <f t="shared" si="27"/>
        <v>0</v>
      </c>
      <c r="AB35" s="39">
        <f t="shared" si="27"/>
        <v>0</v>
      </c>
      <c r="AC35" s="39">
        <f t="shared" si="27"/>
        <v>321</v>
      </c>
      <c r="AD35" s="39">
        <f t="shared" si="27"/>
        <v>0</v>
      </c>
      <c r="AE35" s="40">
        <f t="shared" si="27"/>
        <v>335</v>
      </c>
      <c r="AF35" s="40">
        <f t="shared" si="27"/>
        <v>656</v>
      </c>
    </row>
    <row r="36" spans="2:32" ht="23.1" customHeight="1" x14ac:dyDescent="0.25">
      <c r="B36" s="46" t="s">
        <v>63</v>
      </c>
      <c r="C36" s="50">
        <v>17</v>
      </c>
      <c r="D36" s="50">
        <v>3</v>
      </c>
      <c r="E36" s="50">
        <v>4</v>
      </c>
      <c r="F36" s="50">
        <v>5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63</v>
      </c>
      <c r="N36" s="50">
        <v>0</v>
      </c>
      <c r="O36" s="15">
        <f t="shared" si="0"/>
        <v>34</v>
      </c>
      <c r="P36" s="15">
        <f t="shared" si="1"/>
        <v>97</v>
      </c>
      <c r="R36" s="38" t="s">
        <v>92</v>
      </c>
      <c r="S36" s="39">
        <f t="shared" ref="S36:AF36" si="28">MAX(S19:S21)</f>
        <v>96</v>
      </c>
      <c r="T36" s="39">
        <f t="shared" si="28"/>
        <v>26</v>
      </c>
      <c r="U36" s="39">
        <f t="shared" si="28"/>
        <v>16</v>
      </c>
      <c r="V36" s="39">
        <f t="shared" si="28"/>
        <v>30</v>
      </c>
      <c r="W36" s="39">
        <f t="shared" si="28"/>
        <v>1</v>
      </c>
      <c r="X36" s="39">
        <f t="shared" si="28"/>
        <v>0</v>
      </c>
      <c r="Y36" s="39">
        <f t="shared" si="28"/>
        <v>21</v>
      </c>
      <c r="Z36" s="39">
        <f t="shared" si="28"/>
        <v>2</v>
      </c>
      <c r="AA36" s="39">
        <f t="shared" si="28"/>
        <v>0</v>
      </c>
      <c r="AB36" s="39">
        <f t="shared" si="28"/>
        <v>0</v>
      </c>
      <c r="AC36" s="39">
        <f t="shared" si="28"/>
        <v>224</v>
      </c>
      <c r="AD36" s="39">
        <f t="shared" si="28"/>
        <v>0</v>
      </c>
      <c r="AE36" s="40">
        <f t="shared" si="28"/>
        <v>176</v>
      </c>
      <c r="AF36" s="40">
        <f t="shared" si="28"/>
        <v>382</v>
      </c>
    </row>
    <row r="37" spans="2:32" ht="23.1" customHeight="1" x14ac:dyDescent="0.25">
      <c r="B37" s="45" t="s">
        <v>64</v>
      </c>
      <c r="C37" s="50">
        <v>27</v>
      </c>
      <c r="D37" s="50">
        <v>7</v>
      </c>
      <c r="E37" s="50">
        <v>3</v>
      </c>
      <c r="F37" s="50">
        <v>9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65</v>
      </c>
      <c r="N37" s="50">
        <v>0</v>
      </c>
      <c r="O37" s="15">
        <f t="shared" si="0"/>
        <v>47</v>
      </c>
      <c r="P37" s="15">
        <f t="shared" si="1"/>
        <v>112</v>
      </c>
      <c r="R37" s="37" t="s">
        <v>85</v>
      </c>
      <c r="S37" s="35">
        <f t="shared" ref="S37:AF37" si="29">SUM(S10:S12)</f>
        <v>509</v>
      </c>
      <c r="T37" s="16">
        <f t="shared" si="29"/>
        <v>179</v>
      </c>
      <c r="U37" s="16">
        <f t="shared" si="29"/>
        <v>51</v>
      </c>
      <c r="V37" s="16">
        <f t="shared" si="29"/>
        <v>284</v>
      </c>
      <c r="W37" s="16">
        <f t="shared" si="29"/>
        <v>20</v>
      </c>
      <c r="X37" s="16">
        <f t="shared" si="29"/>
        <v>0</v>
      </c>
      <c r="Y37" s="16">
        <f t="shared" si="29"/>
        <v>71</v>
      </c>
      <c r="Z37" s="16">
        <f t="shared" si="29"/>
        <v>3</v>
      </c>
      <c r="AA37" s="16">
        <f t="shared" si="29"/>
        <v>6</v>
      </c>
      <c r="AB37" s="16">
        <f t="shared" si="29"/>
        <v>0</v>
      </c>
      <c r="AC37" s="16">
        <f t="shared" si="29"/>
        <v>1000</v>
      </c>
      <c r="AD37" s="16">
        <f t="shared" si="29"/>
        <v>0</v>
      </c>
      <c r="AE37" s="32">
        <f t="shared" si="29"/>
        <v>1123</v>
      </c>
      <c r="AF37" s="32">
        <f t="shared" si="29"/>
        <v>2123</v>
      </c>
    </row>
    <row r="38" spans="2:32" ht="23.1" customHeight="1" x14ac:dyDescent="0.25">
      <c r="B38" s="46" t="s">
        <v>65</v>
      </c>
      <c r="C38" s="50">
        <v>26</v>
      </c>
      <c r="D38" s="50">
        <v>8</v>
      </c>
      <c r="E38" s="50">
        <v>2</v>
      </c>
      <c r="F38" s="50">
        <v>7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48</v>
      </c>
      <c r="N38" s="50">
        <v>0</v>
      </c>
      <c r="O38" s="15">
        <f t="shared" si="0"/>
        <v>46</v>
      </c>
      <c r="P38" s="15">
        <f t="shared" si="1"/>
        <v>94</v>
      </c>
      <c r="R38" s="28" t="s">
        <v>86</v>
      </c>
      <c r="S38" s="16">
        <f t="shared" ref="S38:AF38" si="30">SUM(S13:S18)</f>
        <v>733</v>
      </c>
      <c r="T38" s="16">
        <f t="shared" si="30"/>
        <v>175</v>
      </c>
      <c r="U38" s="16">
        <f t="shared" si="30"/>
        <v>92</v>
      </c>
      <c r="V38" s="16">
        <f t="shared" si="30"/>
        <v>222</v>
      </c>
      <c r="W38" s="16">
        <f t="shared" si="30"/>
        <v>1</v>
      </c>
      <c r="X38" s="16">
        <f t="shared" si="30"/>
        <v>1</v>
      </c>
      <c r="Y38" s="16">
        <f t="shared" si="30"/>
        <v>139</v>
      </c>
      <c r="Z38" s="16">
        <f t="shared" si="30"/>
        <v>5</v>
      </c>
      <c r="AA38" s="16">
        <f t="shared" si="30"/>
        <v>0</v>
      </c>
      <c r="AB38" s="16">
        <f t="shared" si="30"/>
        <v>0</v>
      </c>
      <c r="AC38" s="16">
        <f t="shared" si="30"/>
        <v>1402</v>
      </c>
      <c r="AD38" s="16">
        <f t="shared" si="30"/>
        <v>0</v>
      </c>
      <c r="AE38" s="32">
        <f t="shared" si="30"/>
        <v>1368</v>
      </c>
      <c r="AF38" s="32">
        <f t="shared" si="30"/>
        <v>2770</v>
      </c>
    </row>
    <row r="39" spans="2:32" ht="23.1" customHeight="1" x14ac:dyDescent="0.25">
      <c r="B39" s="46" t="s">
        <v>66</v>
      </c>
      <c r="C39" s="50">
        <v>18</v>
      </c>
      <c r="D39" s="50">
        <v>6</v>
      </c>
      <c r="E39" s="50">
        <v>2</v>
      </c>
      <c r="F39" s="50">
        <v>3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53</v>
      </c>
      <c r="N39" s="50">
        <v>0</v>
      </c>
      <c r="O39" s="15">
        <f t="shared" si="0"/>
        <v>32</v>
      </c>
      <c r="P39" s="15">
        <f t="shared" si="1"/>
        <v>85</v>
      </c>
      <c r="R39" s="29" t="s">
        <v>87</v>
      </c>
      <c r="S39" s="16">
        <f t="shared" ref="S39:AF39" si="31">SUM(S19:S21)</f>
        <v>255</v>
      </c>
      <c r="T39" s="16">
        <f t="shared" si="31"/>
        <v>61</v>
      </c>
      <c r="U39" s="16">
        <f t="shared" si="31"/>
        <v>33</v>
      </c>
      <c r="V39" s="16">
        <f t="shared" si="31"/>
        <v>83</v>
      </c>
      <c r="W39" s="16">
        <f t="shared" si="31"/>
        <v>1</v>
      </c>
      <c r="X39" s="16">
        <f t="shared" si="31"/>
        <v>0</v>
      </c>
      <c r="Y39" s="16">
        <f t="shared" si="31"/>
        <v>45</v>
      </c>
      <c r="Z39" s="16">
        <f t="shared" si="31"/>
        <v>2</v>
      </c>
      <c r="AA39" s="16">
        <f t="shared" si="31"/>
        <v>0</v>
      </c>
      <c r="AB39" s="16">
        <f t="shared" si="31"/>
        <v>0</v>
      </c>
      <c r="AC39" s="16">
        <f t="shared" si="31"/>
        <v>544</v>
      </c>
      <c r="AD39" s="16">
        <f t="shared" si="31"/>
        <v>0</v>
      </c>
      <c r="AE39" s="32">
        <f t="shared" si="31"/>
        <v>480</v>
      </c>
      <c r="AF39" s="32">
        <f t="shared" si="31"/>
        <v>1024</v>
      </c>
    </row>
    <row r="40" spans="2:32" ht="23.1" customHeight="1" x14ac:dyDescent="0.25">
      <c r="B40" s="46" t="s">
        <v>67</v>
      </c>
      <c r="C40" s="50">
        <v>18</v>
      </c>
      <c r="D40" s="50">
        <v>6</v>
      </c>
      <c r="E40" s="50">
        <v>4</v>
      </c>
      <c r="F40" s="50">
        <v>8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39</v>
      </c>
      <c r="P40" s="15">
        <f t="shared" si="1"/>
        <v>85</v>
      </c>
      <c r="R40" s="5" t="s">
        <v>17</v>
      </c>
      <c r="S40" s="16">
        <f t="shared" ref="S40:AF40" si="32">SUM(S10:S21)</f>
        <v>1497</v>
      </c>
      <c r="T40" s="16">
        <f t="shared" si="32"/>
        <v>415</v>
      </c>
      <c r="U40" s="16">
        <f t="shared" si="32"/>
        <v>176</v>
      </c>
      <c r="V40" s="16">
        <f t="shared" si="32"/>
        <v>589</v>
      </c>
      <c r="W40" s="16">
        <f t="shared" si="32"/>
        <v>22</v>
      </c>
      <c r="X40" s="16">
        <f t="shared" si="32"/>
        <v>1</v>
      </c>
      <c r="Y40" s="16">
        <f t="shared" si="32"/>
        <v>255</v>
      </c>
      <c r="Z40" s="16">
        <f t="shared" si="32"/>
        <v>10</v>
      </c>
      <c r="AA40" s="16">
        <f t="shared" si="32"/>
        <v>6</v>
      </c>
      <c r="AB40" s="16">
        <f t="shared" si="32"/>
        <v>0</v>
      </c>
      <c r="AC40" s="16">
        <f t="shared" si="32"/>
        <v>2946</v>
      </c>
      <c r="AD40" s="16">
        <f t="shared" si="32"/>
        <v>0</v>
      </c>
      <c r="AE40" s="32">
        <f t="shared" si="32"/>
        <v>2971</v>
      </c>
      <c r="AF40" s="32">
        <f t="shared" si="32"/>
        <v>5917</v>
      </c>
    </row>
    <row r="41" spans="2:32" ht="23.1" customHeight="1" x14ac:dyDescent="0.25">
      <c r="B41" s="45" t="s">
        <v>68</v>
      </c>
      <c r="C41" s="50">
        <v>31</v>
      </c>
      <c r="D41" s="50">
        <v>2</v>
      </c>
      <c r="E41" s="50">
        <v>0</v>
      </c>
      <c r="F41" s="50">
        <v>5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40</v>
      </c>
      <c r="P41" s="15">
        <f t="shared" si="1"/>
        <v>68</v>
      </c>
      <c r="R41" s="5" t="s">
        <v>159</v>
      </c>
      <c r="S41" s="16">
        <f>SUM(S10:S33)</f>
        <v>1899</v>
      </c>
      <c r="T41" s="16">
        <f t="shared" ref="T41:AF41" si="33">SUM(T10:T33)</f>
        <v>520</v>
      </c>
      <c r="U41" s="16">
        <f t="shared" si="33"/>
        <v>228</v>
      </c>
      <c r="V41" s="16">
        <f t="shared" si="33"/>
        <v>687</v>
      </c>
      <c r="W41" s="16">
        <f t="shared" si="33"/>
        <v>27</v>
      </c>
      <c r="X41" s="16">
        <f t="shared" si="33"/>
        <v>3</v>
      </c>
      <c r="Y41" s="16">
        <f t="shared" si="33"/>
        <v>281</v>
      </c>
      <c r="Z41" s="16">
        <f t="shared" si="33"/>
        <v>15</v>
      </c>
      <c r="AA41" s="16">
        <f t="shared" si="33"/>
        <v>9</v>
      </c>
      <c r="AB41" s="16">
        <f t="shared" si="33"/>
        <v>0</v>
      </c>
      <c r="AC41" s="16">
        <f t="shared" si="33"/>
        <v>3776</v>
      </c>
      <c r="AD41" s="16">
        <f t="shared" si="33"/>
        <v>0</v>
      </c>
      <c r="AE41" s="32">
        <f t="shared" si="33"/>
        <v>3669</v>
      </c>
      <c r="AF41" s="32">
        <f t="shared" si="33"/>
        <v>7445</v>
      </c>
    </row>
    <row r="42" spans="2:32" ht="23.1" customHeight="1" x14ac:dyDescent="0.25">
      <c r="B42" s="46" t="s">
        <v>69</v>
      </c>
      <c r="C42" s="50">
        <v>25</v>
      </c>
      <c r="D42" s="50">
        <v>4</v>
      </c>
      <c r="E42" s="50">
        <v>3</v>
      </c>
      <c r="F42" s="50">
        <v>8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40</v>
      </c>
      <c r="N42" s="50">
        <v>0</v>
      </c>
      <c r="O42" s="15">
        <f t="shared" si="0"/>
        <v>41</v>
      </c>
      <c r="P42" s="15">
        <f t="shared" si="1"/>
        <v>81</v>
      </c>
      <c r="R42" s="5" t="s">
        <v>160</v>
      </c>
      <c r="S42" s="48">
        <f>S41/S40</f>
        <v>1.2685370741482966</v>
      </c>
      <c r="T42" s="48">
        <f t="shared" ref="T42:AF42" si="34">T41/T40</f>
        <v>1.2530120481927711</v>
      </c>
      <c r="U42" s="48">
        <f t="shared" si="34"/>
        <v>1.2954545454545454</v>
      </c>
      <c r="V42" s="48">
        <f t="shared" si="34"/>
        <v>1.166383701188455</v>
      </c>
      <c r="W42" s="48">
        <f t="shared" si="34"/>
        <v>1.2272727272727273</v>
      </c>
      <c r="X42" s="48">
        <f t="shared" si="34"/>
        <v>3</v>
      </c>
      <c r="Y42" s="48">
        <f t="shared" si="34"/>
        <v>1.1019607843137256</v>
      </c>
      <c r="Z42" s="48">
        <f t="shared" si="34"/>
        <v>1.5</v>
      </c>
      <c r="AA42" s="48">
        <f t="shared" si="34"/>
        <v>1.5</v>
      </c>
      <c r="AB42" s="48" t="e">
        <f t="shared" si="34"/>
        <v>#DIV/0!</v>
      </c>
      <c r="AC42" s="48">
        <f t="shared" si="34"/>
        <v>1.2817379497623897</v>
      </c>
      <c r="AD42" s="48" t="e">
        <f t="shared" si="34"/>
        <v>#DIV/0!</v>
      </c>
      <c r="AE42" s="48">
        <f t="shared" si="34"/>
        <v>1.2349377314035679</v>
      </c>
      <c r="AF42" s="48">
        <f t="shared" si="34"/>
        <v>1.2582389724522562</v>
      </c>
    </row>
    <row r="43" spans="2:32" ht="23.1" customHeight="1" x14ac:dyDescent="0.25">
      <c r="B43" s="45" t="s">
        <v>70</v>
      </c>
      <c r="C43" s="50">
        <v>26</v>
      </c>
      <c r="D43" s="50">
        <v>4</v>
      </c>
      <c r="E43" s="50">
        <v>4</v>
      </c>
      <c r="F43" s="50">
        <v>5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36</v>
      </c>
      <c r="N43" s="50">
        <v>0</v>
      </c>
      <c r="O43" s="15">
        <f t="shared" si="0"/>
        <v>39</v>
      </c>
      <c r="P43" s="15">
        <f t="shared" si="1"/>
        <v>75</v>
      </c>
    </row>
    <row r="44" spans="2:32" ht="23.1" customHeight="1" x14ac:dyDescent="0.25">
      <c r="B44" s="47" t="s">
        <v>71</v>
      </c>
      <c r="C44" s="50">
        <v>15</v>
      </c>
      <c r="D44" s="50">
        <v>1</v>
      </c>
      <c r="E44" s="50">
        <v>1</v>
      </c>
      <c r="F44" s="50">
        <v>3</v>
      </c>
      <c r="G44" s="50">
        <v>0</v>
      </c>
      <c r="H44" s="50">
        <v>0</v>
      </c>
      <c r="I44" s="50">
        <v>8</v>
      </c>
      <c r="J44" s="50">
        <v>0</v>
      </c>
      <c r="K44" s="50">
        <v>0</v>
      </c>
      <c r="L44" s="50">
        <v>0</v>
      </c>
      <c r="M44" s="50">
        <v>42</v>
      </c>
      <c r="N44" s="50">
        <v>0</v>
      </c>
      <c r="O44" s="15">
        <f t="shared" si="0"/>
        <v>28</v>
      </c>
      <c r="P44" s="15">
        <f t="shared" si="1"/>
        <v>70</v>
      </c>
    </row>
    <row r="45" spans="2:32" ht="23.1" customHeight="1" x14ac:dyDescent="0.25">
      <c r="B45" s="45" t="s">
        <v>72</v>
      </c>
      <c r="C45" s="50">
        <v>19</v>
      </c>
      <c r="D45" s="50">
        <v>8</v>
      </c>
      <c r="E45" s="50">
        <v>4</v>
      </c>
      <c r="F45" s="50">
        <v>7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0</v>
      </c>
      <c r="M45" s="50">
        <v>34</v>
      </c>
      <c r="N45" s="50">
        <v>0</v>
      </c>
      <c r="O45" s="15">
        <f t="shared" si="0"/>
        <v>44</v>
      </c>
      <c r="P45" s="15">
        <f t="shared" si="1"/>
        <v>78</v>
      </c>
    </row>
    <row r="46" spans="2:32" ht="23.1" customHeight="1" x14ac:dyDescent="0.25">
      <c r="B46" s="46" t="s">
        <v>73</v>
      </c>
      <c r="C46" s="50">
        <v>26</v>
      </c>
      <c r="D46" s="50">
        <v>6</v>
      </c>
      <c r="E46" s="50">
        <v>1</v>
      </c>
      <c r="F46" s="50">
        <v>6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34</v>
      </c>
      <c r="N46" s="50">
        <v>0</v>
      </c>
      <c r="O46" s="15">
        <f t="shared" si="0"/>
        <v>42</v>
      </c>
      <c r="P46" s="15">
        <f t="shared" si="1"/>
        <v>76</v>
      </c>
      <c r="R46" s="8"/>
      <c r="T46"/>
    </row>
    <row r="47" spans="2:32" ht="23.1" customHeight="1" x14ac:dyDescent="0.25">
      <c r="B47" s="46" t="s">
        <v>74</v>
      </c>
      <c r="C47" s="50">
        <v>28</v>
      </c>
      <c r="D47" s="50">
        <v>4</v>
      </c>
      <c r="E47" s="50">
        <v>7</v>
      </c>
      <c r="F47" s="50">
        <v>9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32</v>
      </c>
      <c r="N47" s="50">
        <v>0</v>
      </c>
      <c r="O47" s="15">
        <f t="shared" si="0"/>
        <v>50</v>
      </c>
      <c r="P47" s="15">
        <f t="shared" si="1"/>
        <v>82</v>
      </c>
      <c r="R47" s="8"/>
      <c r="T47"/>
    </row>
    <row r="48" spans="2:32" ht="23.1" customHeight="1" x14ac:dyDescent="0.25">
      <c r="B48" s="46" t="s">
        <v>75</v>
      </c>
      <c r="C48" s="50">
        <v>20</v>
      </c>
      <c r="D48" s="50">
        <v>7</v>
      </c>
      <c r="E48" s="50">
        <v>2</v>
      </c>
      <c r="F48" s="50">
        <v>7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33</v>
      </c>
      <c r="N48" s="50">
        <v>0</v>
      </c>
      <c r="O48" s="15">
        <f t="shared" si="0"/>
        <v>39</v>
      </c>
      <c r="P48" s="15">
        <f t="shared" si="1"/>
        <v>72</v>
      </c>
      <c r="R48" s="8"/>
      <c r="T48"/>
    </row>
    <row r="49" spans="2:20" ht="23.1" customHeight="1" x14ac:dyDescent="0.25">
      <c r="B49" s="45" t="s">
        <v>76</v>
      </c>
      <c r="C49" s="50">
        <v>22</v>
      </c>
      <c r="D49" s="50">
        <v>4</v>
      </c>
      <c r="E49" s="50">
        <v>6</v>
      </c>
      <c r="F49" s="50">
        <v>8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33</v>
      </c>
      <c r="N49" s="50">
        <v>0</v>
      </c>
      <c r="O49" s="15">
        <f t="shared" si="0"/>
        <v>45</v>
      </c>
      <c r="P49" s="15">
        <f t="shared" si="1"/>
        <v>78</v>
      </c>
      <c r="R49" s="8"/>
      <c r="T49"/>
    </row>
    <row r="50" spans="2:20" ht="23.1" customHeight="1" x14ac:dyDescent="0.25">
      <c r="B50" s="46" t="s">
        <v>77</v>
      </c>
      <c r="C50" s="50">
        <v>28</v>
      </c>
      <c r="D50" s="50">
        <v>7</v>
      </c>
      <c r="E50" s="50">
        <v>0</v>
      </c>
      <c r="F50" s="50">
        <v>8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58</v>
      </c>
      <c r="N50" s="50">
        <v>0</v>
      </c>
      <c r="O50" s="15">
        <f t="shared" si="0"/>
        <v>44</v>
      </c>
      <c r="P50" s="15">
        <f t="shared" si="1"/>
        <v>102</v>
      </c>
      <c r="R50" s="8"/>
      <c r="T50"/>
    </row>
    <row r="51" spans="2:20" ht="23.1" customHeight="1" x14ac:dyDescent="0.25">
      <c r="B51" s="46" t="s">
        <v>78</v>
      </c>
      <c r="C51" s="50">
        <v>21</v>
      </c>
      <c r="D51" s="50">
        <v>3</v>
      </c>
      <c r="E51" s="50">
        <v>6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72</v>
      </c>
      <c r="N51" s="50">
        <v>0</v>
      </c>
      <c r="O51" s="15">
        <f t="shared" si="0"/>
        <v>37</v>
      </c>
      <c r="P51" s="15">
        <f t="shared" si="1"/>
        <v>109</v>
      </c>
      <c r="R51" s="8"/>
      <c r="T51"/>
    </row>
    <row r="52" spans="2:20" ht="23.1" customHeight="1" x14ac:dyDescent="0.25">
      <c r="B52" s="46" t="s">
        <v>79</v>
      </c>
      <c r="C52" s="50">
        <v>12</v>
      </c>
      <c r="D52" s="50">
        <v>7</v>
      </c>
      <c r="E52" s="50">
        <v>4</v>
      </c>
      <c r="F52" s="50">
        <v>8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51</v>
      </c>
      <c r="N52" s="50">
        <v>0</v>
      </c>
      <c r="O52" s="15">
        <f t="shared" si="0"/>
        <v>35</v>
      </c>
      <c r="P52" s="15">
        <f t="shared" si="1"/>
        <v>86</v>
      </c>
      <c r="R52" s="8"/>
      <c r="T52"/>
    </row>
    <row r="53" spans="2:20" ht="23.1" customHeight="1" x14ac:dyDescent="0.25">
      <c r="B53" s="45" t="s">
        <v>80</v>
      </c>
      <c r="C53" s="50">
        <v>19</v>
      </c>
      <c r="D53" s="50">
        <v>9</v>
      </c>
      <c r="E53" s="50">
        <v>3</v>
      </c>
      <c r="F53" s="50">
        <v>6</v>
      </c>
      <c r="G53" s="50">
        <v>0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43</v>
      </c>
      <c r="N53" s="50">
        <v>0</v>
      </c>
      <c r="O53" s="15">
        <f t="shared" si="0"/>
        <v>42</v>
      </c>
      <c r="P53" s="15">
        <f t="shared" si="1"/>
        <v>85</v>
      </c>
      <c r="R53" s="8"/>
      <c r="T53"/>
    </row>
    <row r="54" spans="2:20" ht="23.1" customHeight="1" x14ac:dyDescent="0.25">
      <c r="B54" s="45" t="s">
        <v>81</v>
      </c>
      <c r="C54" s="50">
        <v>15</v>
      </c>
      <c r="D54" s="50">
        <v>5</v>
      </c>
      <c r="E54" s="50">
        <v>0</v>
      </c>
      <c r="F54" s="50">
        <v>7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48</v>
      </c>
      <c r="N54" s="50">
        <v>0</v>
      </c>
      <c r="O54" s="15">
        <f t="shared" si="0"/>
        <v>30</v>
      </c>
      <c r="P54" s="15">
        <f t="shared" si="1"/>
        <v>78</v>
      </c>
      <c r="R54" s="8"/>
      <c r="T54"/>
    </row>
    <row r="55" spans="2:20" ht="23.1" customHeight="1" x14ac:dyDescent="0.25">
      <c r="B55" s="45" t="s">
        <v>82</v>
      </c>
      <c r="C55" s="50">
        <v>15</v>
      </c>
      <c r="D55" s="50">
        <v>2</v>
      </c>
      <c r="E55" s="50">
        <v>3</v>
      </c>
      <c r="F55" s="50">
        <v>4</v>
      </c>
      <c r="G55" s="50">
        <v>0</v>
      </c>
      <c r="H55" s="50">
        <v>0</v>
      </c>
      <c r="I55" s="50">
        <v>11</v>
      </c>
      <c r="J55" s="50">
        <v>1</v>
      </c>
      <c r="K55" s="50">
        <v>0</v>
      </c>
      <c r="L55" s="50">
        <v>0</v>
      </c>
      <c r="M55" s="50">
        <v>52</v>
      </c>
      <c r="N55" s="50">
        <v>0</v>
      </c>
      <c r="O55" s="15">
        <f t="shared" si="0"/>
        <v>36</v>
      </c>
      <c r="P55" s="15">
        <f t="shared" si="1"/>
        <v>88</v>
      </c>
      <c r="R55" s="8"/>
      <c r="T55"/>
    </row>
    <row r="56" spans="2:20" ht="23.1" customHeight="1" x14ac:dyDescent="0.25">
      <c r="B56" s="45" t="s">
        <v>83</v>
      </c>
      <c r="C56" s="50">
        <v>26</v>
      </c>
      <c r="D56" s="50">
        <v>1</v>
      </c>
      <c r="E56" s="50">
        <v>1</v>
      </c>
      <c r="F56" s="50">
        <v>8</v>
      </c>
      <c r="G56" s="50">
        <v>0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48</v>
      </c>
      <c r="N56" s="50">
        <v>0</v>
      </c>
      <c r="O56" s="15">
        <f t="shared" si="0"/>
        <v>41</v>
      </c>
      <c r="P56" s="15">
        <f t="shared" si="1"/>
        <v>89</v>
      </c>
      <c r="R56" s="8"/>
      <c r="T56"/>
    </row>
    <row r="57" spans="2:20" ht="23.1" customHeight="1" x14ac:dyDescent="0.25">
      <c r="B57" s="45" t="s">
        <v>84</v>
      </c>
      <c r="C57" s="50">
        <v>23</v>
      </c>
      <c r="D57" s="50">
        <v>6</v>
      </c>
      <c r="E57" s="50">
        <v>0</v>
      </c>
      <c r="F57" s="50">
        <v>7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40</v>
      </c>
      <c r="N57" s="50">
        <v>0</v>
      </c>
      <c r="O57" s="15">
        <f t="shared" si="0"/>
        <v>39</v>
      </c>
      <c r="P57" s="15">
        <f t="shared" si="1"/>
        <v>79</v>
      </c>
      <c r="R57" s="8"/>
      <c r="T57"/>
    </row>
    <row r="58" spans="2:20" ht="23.1" customHeight="1" x14ac:dyDescent="0.25">
      <c r="B58" s="45" t="s">
        <v>99</v>
      </c>
      <c r="C58" s="50">
        <v>27</v>
      </c>
      <c r="D58" s="50">
        <v>8</v>
      </c>
      <c r="E58" s="50">
        <v>8</v>
      </c>
      <c r="F58" s="50">
        <v>8</v>
      </c>
      <c r="G58" s="50">
        <v>0</v>
      </c>
      <c r="H58" s="50">
        <v>0</v>
      </c>
      <c r="I58" s="50">
        <v>3</v>
      </c>
      <c r="J58" s="50">
        <v>0</v>
      </c>
      <c r="K58" s="50">
        <v>1</v>
      </c>
      <c r="L58" s="50">
        <v>0</v>
      </c>
      <c r="M58" s="50">
        <v>55</v>
      </c>
      <c r="N58" s="50">
        <v>0</v>
      </c>
      <c r="O58" s="15">
        <f t="shared" si="0"/>
        <v>55</v>
      </c>
      <c r="P58" s="15">
        <f t="shared" si="1"/>
        <v>110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5</v>
      </c>
      <c r="E59" s="50">
        <v>2</v>
      </c>
      <c r="F59" s="50">
        <v>9</v>
      </c>
      <c r="G59" s="50">
        <v>0</v>
      </c>
      <c r="H59" s="50">
        <v>1</v>
      </c>
      <c r="I59" s="50">
        <v>2</v>
      </c>
      <c r="J59" s="50">
        <v>0</v>
      </c>
      <c r="K59" s="50">
        <v>0</v>
      </c>
      <c r="L59" s="50">
        <v>0</v>
      </c>
      <c r="M59" s="50">
        <v>62</v>
      </c>
      <c r="N59" s="50">
        <v>0</v>
      </c>
      <c r="O59" s="15">
        <f t="shared" si="0"/>
        <v>28</v>
      </c>
      <c r="P59" s="15">
        <f t="shared" si="1"/>
        <v>90</v>
      </c>
      <c r="R59" s="8"/>
      <c r="T59"/>
    </row>
    <row r="60" spans="2:20" ht="23.1" customHeight="1" x14ac:dyDescent="0.25">
      <c r="B60" s="45" t="s">
        <v>101</v>
      </c>
      <c r="C60" s="50">
        <v>33</v>
      </c>
      <c r="D60" s="50">
        <v>12</v>
      </c>
      <c r="E60" s="50">
        <v>6</v>
      </c>
      <c r="F60" s="50">
        <v>7</v>
      </c>
      <c r="G60" s="50">
        <v>2</v>
      </c>
      <c r="H60" s="50">
        <v>1</v>
      </c>
      <c r="I60" s="50">
        <v>1</v>
      </c>
      <c r="J60" s="50">
        <v>0</v>
      </c>
      <c r="K60" s="50">
        <v>0</v>
      </c>
      <c r="L60" s="50">
        <v>0</v>
      </c>
      <c r="M60" s="50">
        <v>51</v>
      </c>
      <c r="N60" s="50">
        <v>0</v>
      </c>
      <c r="O60" s="15">
        <f t="shared" si="0"/>
        <v>62</v>
      </c>
      <c r="P60" s="15">
        <f t="shared" si="1"/>
        <v>113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5" t="s">
        <v>107</v>
      </c>
      <c r="C62" s="50">
        <v>32</v>
      </c>
      <c r="D62" s="50">
        <v>6</v>
      </c>
      <c r="E62" s="50">
        <v>6</v>
      </c>
      <c r="F62" s="50">
        <v>5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54</v>
      </c>
      <c r="N62" s="50">
        <v>0</v>
      </c>
      <c r="O62" s="15">
        <f t="shared" si="0"/>
        <v>52</v>
      </c>
      <c r="P62" s="15">
        <f t="shared" si="1"/>
        <v>106</v>
      </c>
      <c r="R62" s="8"/>
      <c r="T62"/>
    </row>
    <row r="63" spans="2:20" ht="23.1" customHeight="1" x14ac:dyDescent="0.25">
      <c r="B63" s="45" t="s">
        <v>108</v>
      </c>
      <c r="C63" s="50">
        <v>27</v>
      </c>
      <c r="D63" s="50">
        <v>4</v>
      </c>
      <c r="E63" s="50">
        <v>4</v>
      </c>
      <c r="F63" s="50">
        <v>4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51</v>
      </c>
      <c r="N63" s="50">
        <v>0</v>
      </c>
      <c r="O63" s="15">
        <f t="shared" si="0"/>
        <v>41</v>
      </c>
      <c r="P63" s="15">
        <f t="shared" si="1"/>
        <v>92</v>
      </c>
      <c r="R63" s="8"/>
      <c r="T63"/>
    </row>
    <row r="64" spans="2:20" ht="23.1" customHeight="1" x14ac:dyDescent="0.25">
      <c r="B64" s="45" t="s">
        <v>109</v>
      </c>
      <c r="C64" s="50">
        <v>19</v>
      </c>
      <c r="D64" s="50">
        <v>10</v>
      </c>
      <c r="E64" s="50">
        <v>4</v>
      </c>
      <c r="F64" s="50">
        <v>5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61</v>
      </c>
      <c r="N64" s="50">
        <v>0</v>
      </c>
      <c r="O64" s="15">
        <f t="shared" si="0"/>
        <v>39</v>
      </c>
      <c r="P64" s="15">
        <f t="shared" si="1"/>
        <v>100</v>
      </c>
      <c r="R64" s="8"/>
      <c r="T64"/>
    </row>
    <row r="65" spans="2:20" ht="23.1" customHeight="1" x14ac:dyDescent="0.25">
      <c r="B65" s="45" t="s">
        <v>158</v>
      </c>
      <c r="C65" s="50">
        <v>14</v>
      </c>
      <c r="D65" s="50">
        <v>7</v>
      </c>
      <c r="E65" s="50">
        <v>0</v>
      </c>
      <c r="F65" s="50">
        <v>1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23</v>
      </c>
      <c r="N65" s="50">
        <v>0</v>
      </c>
      <c r="O65" s="15">
        <f t="shared" si="0"/>
        <v>24</v>
      </c>
      <c r="P65" s="15">
        <f t="shared" si="1"/>
        <v>47</v>
      </c>
      <c r="R65" s="8"/>
      <c r="T65"/>
    </row>
    <row r="66" spans="2:20" ht="23.1" customHeight="1" x14ac:dyDescent="0.25">
      <c r="B66" s="45" t="s">
        <v>103</v>
      </c>
      <c r="C66" s="50">
        <v>25</v>
      </c>
      <c r="D66" s="50">
        <v>4</v>
      </c>
      <c r="E66" s="50">
        <v>0</v>
      </c>
      <c r="F66" s="50">
        <v>5</v>
      </c>
      <c r="G66" s="50">
        <v>0</v>
      </c>
      <c r="H66" s="50">
        <v>0</v>
      </c>
      <c r="I66" s="50">
        <v>4</v>
      </c>
      <c r="J66" s="50">
        <v>0</v>
      </c>
      <c r="K66" s="50">
        <v>0</v>
      </c>
      <c r="L66" s="50">
        <v>0</v>
      </c>
      <c r="M66" s="50">
        <v>37</v>
      </c>
      <c r="N66" s="50">
        <v>0</v>
      </c>
      <c r="O66" s="15">
        <f t="shared" si="0"/>
        <v>38</v>
      </c>
      <c r="P66" s="15">
        <f t="shared" si="1"/>
        <v>75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6</v>
      </c>
      <c r="E67" s="50">
        <v>2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1</v>
      </c>
      <c r="L67" s="50">
        <v>0</v>
      </c>
      <c r="M67" s="50">
        <v>49</v>
      </c>
      <c r="N67" s="50">
        <v>0</v>
      </c>
      <c r="O67" s="15">
        <f t="shared" si="0"/>
        <v>42</v>
      </c>
      <c r="P67" s="15">
        <f t="shared" si="1"/>
        <v>91</v>
      </c>
      <c r="R67" s="8"/>
      <c r="T67"/>
    </row>
    <row r="68" spans="2:20" ht="23.1" customHeight="1" x14ac:dyDescent="0.25">
      <c r="B68" s="45" t="s">
        <v>105</v>
      </c>
      <c r="C68" s="50">
        <v>16</v>
      </c>
      <c r="D68" s="50">
        <v>10</v>
      </c>
      <c r="E68" s="50">
        <v>2</v>
      </c>
      <c r="F68" s="50">
        <v>7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31</v>
      </c>
      <c r="N68" s="50">
        <v>0</v>
      </c>
      <c r="O68" s="15">
        <f t="shared" si="0"/>
        <v>35</v>
      </c>
      <c r="P68" s="15">
        <f t="shared" si="1"/>
        <v>66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2</v>
      </c>
      <c r="E69" s="50">
        <v>0</v>
      </c>
      <c r="F69" s="50">
        <v>3</v>
      </c>
      <c r="G69" s="50">
        <v>0</v>
      </c>
      <c r="H69" s="50">
        <v>0</v>
      </c>
      <c r="I69" s="50">
        <v>1</v>
      </c>
      <c r="J69" s="50">
        <v>0</v>
      </c>
      <c r="K69" s="50">
        <v>1</v>
      </c>
      <c r="L69" s="50">
        <v>0</v>
      </c>
      <c r="M69" s="50">
        <v>33</v>
      </c>
      <c r="N69" s="50">
        <v>0</v>
      </c>
      <c r="O69" s="15">
        <f t="shared" si="0"/>
        <v>15</v>
      </c>
      <c r="P69" s="15">
        <f t="shared" si="1"/>
        <v>48</v>
      </c>
      <c r="R69" s="8"/>
      <c r="T69"/>
    </row>
    <row r="70" spans="2:20" ht="23.1" customHeight="1" x14ac:dyDescent="0.25">
      <c r="B70" s="45" t="s">
        <v>110</v>
      </c>
      <c r="C70" s="50">
        <v>17</v>
      </c>
      <c r="D70" s="50">
        <v>1</v>
      </c>
      <c r="E70" s="50">
        <v>2</v>
      </c>
      <c r="F70" s="50">
        <v>2</v>
      </c>
      <c r="G70" s="50">
        <v>0</v>
      </c>
      <c r="H70" s="50">
        <v>0</v>
      </c>
      <c r="I70" s="50">
        <v>0</v>
      </c>
      <c r="J70" s="50">
        <v>2</v>
      </c>
      <c r="K70" s="50">
        <v>0</v>
      </c>
      <c r="L70" s="50">
        <v>0</v>
      </c>
      <c r="M70" s="50">
        <v>16</v>
      </c>
      <c r="N70" s="50">
        <v>0</v>
      </c>
      <c r="O70" s="15">
        <f t="shared" si="0"/>
        <v>24</v>
      </c>
      <c r="P70" s="15">
        <f t="shared" si="1"/>
        <v>40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6</v>
      </c>
      <c r="E71" s="50">
        <v>1</v>
      </c>
      <c r="F71" s="50">
        <v>5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21</v>
      </c>
      <c r="N71" s="50">
        <v>0</v>
      </c>
      <c r="O71" s="15">
        <f t="shared" si="0"/>
        <v>18</v>
      </c>
      <c r="P71" s="15">
        <f t="shared" si="1"/>
        <v>39</v>
      </c>
      <c r="R71" s="8"/>
      <c r="T71"/>
    </row>
    <row r="72" spans="2:20" ht="23.1" customHeight="1" x14ac:dyDescent="0.25">
      <c r="B72" s="45" t="s">
        <v>112</v>
      </c>
      <c r="C72" s="50">
        <v>14</v>
      </c>
      <c r="D72" s="50">
        <v>2</v>
      </c>
      <c r="E72" s="50">
        <v>4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23</v>
      </c>
      <c r="N72" s="50">
        <v>0</v>
      </c>
      <c r="O72" s="15">
        <f t="shared" si="0"/>
        <v>21</v>
      </c>
      <c r="P72" s="15">
        <f t="shared" si="1"/>
        <v>44</v>
      </c>
      <c r="R72" s="8"/>
      <c r="T72"/>
    </row>
    <row r="73" spans="2:20" ht="23.1" customHeight="1" x14ac:dyDescent="0.25">
      <c r="B73" s="45" t="s">
        <v>113</v>
      </c>
      <c r="C73" s="50">
        <v>20</v>
      </c>
      <c r="D73" s="50">
        <v>1</v>
      </c>
      <c r="E73" s="50">
        <v>1</v>
      </c>
      <c r="F73" s="50">
        <v>1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21</v>
      </c>
      <c r="N73" s="50">
        <v>0</v>
      </c>
      <c r="O73" s="15">
        <f t="shared" si="0"/>
        <v>24</v>
      </c>
      <c r="P73" s="15">
        <f t="shared" si="1"/>
        <v>45</v>
      </c>
      <c r="R73" s="8"/>
      <c r="T73"/>
    </row>
    <row r="74" spans="2:20" ht="23.1" customHeight="1" x14ac:dyDescent="0.25">
      <c r="B74" s="45" t="s">
        <v>114</v>
      </c>
      <c r="C74" s="50">
        <v>12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22</v>
      </c>
      <c r="N74" s="50">
        <v>0</v>
      </c>
      <c r="O74" s="15">
        <f t="shared" ref="O74:O105" si="35">SUM(C74:L74,N74)</f>
        <v>15</v>
      </c>
      <c r="P74" s="15">
        <f t="shared" ref="P74:P105" si="36">SUM(C74:N74)</f>
        <v>37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1</v>
      </c>
      <c r="E75" s="50">
        <v>1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25</v>
      </c>
      <c r="N75" s="50">
        <v>0</v>
      </c>
      <c r="O75" s="15">
        <f t="shared" si="35"/>
        <v>8</v>
      </c>
      <c r="P75" s="15">
        <f t="shared" si="36"/>
        <v>33</v>
      </c>
      <c r="R75" s="8"/>
      <c r="T75"/>
    </row>
    <row r="76" spans="2:20" ht="23.1" customHeight="1" x14ac:dyDescent="0.25">
      <c r="B76" s="45" t="s">
        <v>116</v>
      </c>
      <c r="C76" s="50">
        <v>11</v>
      </c>
      <c r="D76" s="50">
        <v>0</v>
      </c>
      <c r="E76" s="50">
        <v>1</v>
      </c>
      <c r="F76" s="50">
        <v>3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15</v>
      </c>
      <c r="N76" s="50">
        <v>0</v>
      </c>
      <c r="O76" s="15">
        <f t="shared" si="35"/>
        <v>16</v>
      </c>
      <c r="P76" s="15">
        <f t="shared" si="36"/>
        <v>31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6</v>
      </c>
      <c r="N77" s="50">
        <v>0</v>
      </c>
      <c r="O77" s="15">
        <f t="shared" si="35"/>
        <v>4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2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13</v>
      </c>
      <c r="N78" s="50">
        <v>0</v>
      </c>
      <c r="O78" s="15">
        <f t="shared" si="35"/>
        <v>6</v>
      </c>
      <c r="P78" s="15">
        <f t="shared" si="36"/>
        <v>19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14</v>
      </c>
      <c r="N79" s="50">
        <v>0</v>
      </c>
      <c r="O79" s="15">
        <f t="shared" si="35"/>
        <v>9</v>
      </c>
      <c r="P79" s="15">
        <f t="shared" si="36"/>
        <v>23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9</v>
      </c>
      <c r="N80" s="50">
        <v>0</v>
      </c>
      <c r="O80" s="15">
        <f t="shared" si="35"/>
        <v>2</v>
      </c>
      <c r="P80" s="15">
        <f t="shared" si="36"/>
        <v>11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1</v>
      </c>
      <c r="E81" s="50">
        <v>0</v>
      </c>
      <c r="F81" s="50">
        <v>1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5</v>
      </c>
      <c r="N81" s="50">
        <v>0</v>
      </c>
      <c r="O81" s="15">
        <f t="shared" si="35"/>
        <v>12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8</v>
      </c>
      <c r="N82" s="50">
        <v>0</v>
      </c>
      <c r="O82" s="15">
        <f t="shared" si="35"/>
        <v>4</v>
      </c>
      <c r="P82" s="15">
        <f t="shared" si="36"/>
        <v>12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8</v>
      </c>
      <c r="N83" s="50">
        <v>0</v>
      </c>
      <c r="O83" s="15">
        <f t="shared" si="35"/>
        <v>3</v>
      </c>
      <c r="P83" s="15">
        <f t="shared" si="36"/>
        <v>11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4</v>
      </c>
      <c r="P84" s="15">
        <f t="shared" si="36"/>
        <v>7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11</v>
      </c>
      <c r="N85" s="50">
        <v>0</v>
      </c>
      <c r="O85" s="15">
        <f t="shared" si="35"/>
        <v>0</v>
      </c>
      <c r="P85" s="15">
        <f t="shared" si="36"/>
        <v>11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7</v>
      </c>
      <c r="N87" s="50">
        <v>0</v>
      </c>
      <c r="O87" s="15">
        <f t="shared" si="35"/>
        <v>1</v>
      </c>
      <c r="P87" s="15">
        <f t="shared" si="36"/>
        <v>8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10</v>
      </c>
      <c r="N88" s="50">
        <v>0</v>
      </c>
      <c r="O88" s="15">
        <f t="shared" si="35"/>
        <v>5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3</v>
      </c>
      <c r="P89" s="15">
        <f t="shared" si="36"/>
        <v>7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3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5</v>
      </c>
      <c r="N92" s="50">
        <v>0</v>
      </c>
      <c r="O92" s="15">
        <f t="shared" si="35"/>
        <v>0</v>
      </c>
      <c r="P92" s="15">
        <f t="shared" si="36"/>
        <v>5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0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1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1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5</v>
      </c>
      <c r="N96" s="50">
        <v>0</v>
      </c>
      <c r="O96" s="15">
        <f t="shared" si="35"/>
        <v>1</v>
      </c>
      <c r="P96" s="15">
        <f t="shared" si="36"/>
        <v>6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2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3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6</v>
      </c>
      <c r="N98" s="50">
        <v>0</v>
      </c>
      <c r="O98" s="15">
        <f t="shared" si="35"/>
        <v>7</v>
      </c>
      <c r="P98" s="15">
        <f t="shared" si="36"/>
        <v>13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5">
        <f t="shared" si="35"/>
        <v>6</v>
      </c>
      <c r="P99" s="15">
        <f t="shared" si="36"/>
        <v>10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3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5</v>
      </c>
      <c r="P100" s="15">
        <f t="shared" si="36"/>
        <v>10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2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9</v>
      </c>
      <c r="N101" s="50">
        <v>0</v>
      </c>
      <c r="O101" s="15">
        <f t="shared" si="35"/>
        <v>4</v>
      </c>
      <c r="P101" s="15">
        <f t="shared" si="36"/>
        <v>13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3</v>
      </c>
      <c r="E102" s="50">
        <v>0</v>
      </c>
      <c r="F102" s="50">
        <v>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11</v>
      </c>
      <c r="P102" s="15">
        <f t="shared" si="36"/>
        <v>14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0</v>
      </c>
      <c r="F103" s="50">
        <v>6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12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4</v>
      </c>
      <c r="D104" s="50">
        <v>4</v>
      </c>
      <c r="E104" s="50">
        <v>0</v>
      </c>
      <c r="F104" s="50">
        <v>3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11</v>
      </c>
      <c r="P104" s="15">
        <f t="shared" si="36"/>
        <v>18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4</v>
      </c>
      <c r="E105" s="50">
        <v>5</v>
      </c>
      <c r="F105" s="50">
        <v>7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14</v>
      </c>
      <c r="N105" s="50">
        <v>0</v>
      </c>
      <c r="O105" s="15">
        <f t="shared" si="35"/>
        <v>21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1899</v>
      </c>
      <c r="D106" s="16">
        <f t="shared" ref="D106:P106" si="37">SUM(D10:D105)</f>
        <v>520</v>
      </c>
      <c r="E106" s="16">
        <f t="shared" si="37"/>
        <v>228</v>
      </c>
      <c r="F106" s="16">
        <f t="shared" si="37"/>
        <v>687</v>
      </c>
      <c r="G106" s="16">
        <f t="shared" si="37"/>
        <v>27</v>
      </c>
      <c r="H106" s="16">
        <f t="shared" si="37"/>
        <v>3</v>
      </c>
      <c r="I106" s="16">
        <f t="shared" si="37"/>
        <v>281</v>
      </c>
      <c r="J106" s="16">
        <f t="shared" si="37"/>
        <v>15</v>
      </c>
      <c r="K106" s="16">
        <f t="shared" si="37"/>
        <v>9</v>
      </c>
      <c r="L106" s="16">
        <f t="shared" si="37"/>
        <v>0</v>
      </c>
      <c r="M106" s="16">
        <f t="shared" si="37"/>
        <v>3776</v>
      </c>
      <c r="N106" s="16">
        <f t="shared" si="37"/>
        <v>0</v>
      </c>
      <c r="O106" s="16">
        <f t="shared" si="37"/>
        <v>3669</v>
      </c>
      <c r="P106" s="16">
        <f t="shared" si="37"/>
        <v>7445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0.25507051712558765</v>
      </c>
      <c r="D107" s="43">
        <f t="shared" si="38"/>
        <v>6.9845533915379454E-2</v>
      </c>
      <c r="E107" s="43">
        <f t="shared" si="38"/>
        <v>3.0624580255204835E-2</v>
      </c>
      <c r="F107" s="43">
        <f t="shared" si="38"/>
        <v>9.2276695768972461E-2</v>
      </c>
      <c r="G107" s="43">
        <f t="shared" si="38"/>
        <v>3.6265950302216254E-3</v>
      </c>
      <c r="H107" s="43">
        <f t="shared" si="38"/>
        <v>4.0295500335795837E-4</v>
      </c>
      <c r="I107" s="43">
        <f t="shared" si="38"/>
        <v>3.7743451981195435E-2</v>
      </c>
      <c r="J107" s="43">
        <f t="shared" si="38"/>
        <v>2.0147750167897917E-3</v>
      </c>
      <c r="K107" s="43">
        <f t="shared" si="38"/>
        <v>1.2088650100738751E-3</v>
      </c>
      <c r="L107" s="43">
        <f t="shared" si="38"/>
        <v>0</v>
      </c>
      <c r="M107" s="43">
        <f t="shared" si="38"/>
        <v>0.5071860308932169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0.51757972199509406</v>
      </c>
      <c r="D108" s="44">
        <f t="shared" ref="D108:N108" si="39">D106/$O$106</f>
        <v>0.14172799127827745</v>
      </c>
      <c r="E108" s="44">
        <f t="shared" si="39"/>
        <v>6.2142273098937037E-2</v>
      </c>
      <c r="F108" s="44">
        <f t="shared" si="39"/>
        <v>0.18724448078495504</v>
      </c>
      <c r="G108" s="44">
        <f t="shared" si="39"/>
        <v>7.3589533932951756E-3</v>
      </c>
      <c r="H108" s="44">
        <f t="shared" si="39"/>
        <v>8.1766148814390845E-4</v>
      </c>
      <c r="I108" s="44">
        <f t="shared" si="39"/>
        <v>7.6587626056146094E-2</v>
      </c>
      <c r="J108" s="44">
        <f t="shared" si="39"/>
        <v>4.0883074407195418E-3</v>
      </c>
      <c r="K108" s="44">
        <f t="shared" si="39"/>
        <v>2.4529844644317253E-3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7" zoomScale="60" workbookViewId="0">
      <selection activeCell="G10" sqref="G10:H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3" t="str">
        <f>'29.07 NSOOBA-KYEBANDO'!C3:G3</f>
        <v>MCC - C1 - STN029 - RING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70">
        <f>'03.08 KYEBANDO-NSOOBA-24h'!G5:H5</f>
        <v>29</v>
      </c>
      <c r="H5" s="71"/>
      <c r="I5" s="14"/>
      <c r="J5" s="2" t="s">
        <v>5</v>
      </c>
      <c r="K5" s="59" t="str">
        <f>'03.08 KYEBANDO-NSOOBA-24h'!K5:L5</f>
        <v>NAKAWA JULIET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'29.07 NSOOBA-KYEBANDO'!D6:E6</f>
        <v>NSOOBA</v>
      </c>
      <c r="E6" s="60"/>
      <c r="F6" s="2" t="s">
        <v>2</v>
      </c>
      <c r="G6" s="59" t="str">
        <f>'29.07 NSOOBA-KYEBANDO'!G6:H6</f>
        <v>KYEBANDO</v>
      </c>
      <c r="H6" s="60"/>
      <c r="J6" s="2" t="s">
        <v>21</v>
      </c>
      <c r="K6" s="59" t="s">
        <v>175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2">
        <v>9</v>
      </c>
      <c r="D10" s="52">
        <v>4</v>
      </c>
      <c r="E10" s="52">
        <v>1</v>
      </c>
      <c r="F10" s="52">
        <v>8</v>
      </c>
      <c r="G10" s="52">
        <v>0</v>
      </c>
      <c r="H10" s="52">
        <v>0</v>
      </c>
      <c r="I10" s="52">
        <v>0</v>
      </c>
      <c r="J10" s="52">
        <v>0</v>
      </c>
      <c r="K10" s="52">
        <v>0</v>
      </c>
      <c r="L10" s="52">
        <v>0</v>
      </c>
      <c r="M10" s="52">
        <v>0</v>
      </c>
      <c r="N10" s="52">
        <v>0</v>
      </c>
      <c r="O10" s="15">
        <f t="shared" ref="O10:O57" si="0">SUM(C10:L10,N10)</f>
        <v>22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93</v>
      </c>
      <c r="T10" s="17">
        <f t="shared" si="2"/>
        <v>25</v>
      </c>
      <c r="U10" s="17">
        <f t="shared" si="2"/>
        <v>5</v>
      </c>
      <c r="V10" s="17">
        <f t="shared" si="2"/>
        <v>31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154</v>
      </c>
      <c r="AF10" s="31">
        <f t="shared" si="2"/>
        <v>154</v>
      </c>
    </row>
    <row r="11" spans="2:32" s="6" customFormat="1" ht="23.1" customHeight="1" x14ac:dyDescent="0.25">
      <c r="B11" s="23" t="s">
        <v>38</v>
      </c>
      <c r="C11" s="52">
        <v>11</v>
      </c>
      <c r="D11" s="52">
        <v>5</v>
      </c>
      <c r="E11" s="52">
        <v>1</v>
      </c>
      <c r="F11" s="52">
        <v>9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  <c r="O11" s="15">
        <f t="shared" si="0"/>
        <v>26</v>
      </c>
      <c r="P11" s="15">
        <f t="shared" si="1"/>
        <v>26</v>
      </c>
      <c r="R11" s="1" t="s">
        <v>7</v>
      </c>
      <c r="S11" s="17">
        <f t="shared" ref="S11:AF11" si="3">SUM(C14:C17)</f>
        <v>87</v>
      </c>
      <c r="T11" s="17">
        <f t="shared" si="3"/>
        <v>15</v>
      </c>
      <c r="U11" s="17">
        <f t="shared" si="3"/>
        <v>6</v>
      </c>
      <c r="V11" s="17">
        <f t="shared" si="3"/>
        <v>36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144</v>
      </c>
      <c r="AF11" s="31">
        <f t="shared" si="3"/>
        <v>144</v>
      </c>
    </row>
    <row r="12" spans="2:32" ht="23.1" customHeight="1" x14ac:dyDescent="0.25">
      <c r="B12" s="23" t="s">
        <v>39</v>
      </c>
      <c r="C12" s="52">
        <v>56</v>
      </c>
      <c r="D12" s="52">
        <v>7</v>
      </c>
      <c r="E12" s="52">
        <v>3</v>
      </c>
      <c r="F12" s="52">
        <v>11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0</v>
      </c>
      <c r="N12" s="52">
        <v>0</v>
      </c>
      <c r="O12" s="15">
        <f t="shared" si="0"/>
        <v>77</v>
      </c>
      <c r="P12" s="15">
        <f t="shared" si="1"/>
        <v>77</v>
      </c>
      <c r="R12" s="1" t="s">
        <v>8</v>
      </c>
      <c r="S12" s="17">
        <f t="shared" ref="S12:AF12" si="4">SUM(C18:C21)</f>
        <v>126</v>
      </c>
      <c r="T12" s="17">
        <f t="shared" si="4"/>
        <v>28</v>
      </c>
      <c r="U12" s="17">
        <f t="shared" si="4"/>
        <v>10</v>
      </c>
      <c r="V12" s="17">
        <f t="shared" si="4"/>
        <v>40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204</v>
      </c>
      <c r="AF12" s="31">
        <f t="shared" si="4"/>
        <v>204</v>
      </c>
    </row>
    <row r="13" spans="2:32" ht="23.1" customHeight="1" x14ac:dyDescent="0.25">
      <c r="B13" s="23" t="s">
        <v>40</v>
      </c>
      <c r="C13" s="52">
        <v>17</v>
      </c>
      <c r="D13" s="52">
        <v>9</v>
      </c>
      <c r="E13" s="52">
        <v>0</v>
      </c>
      <c r="F13" s="52">
        <v>3</v>
      </c>
      <c r="G13" s="52">
        <v>0</v>
      </c>
      <c r="H13" s="52">
        <v>0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  <c r="O13" s="15">
        <f t="shared" si="0"/>
        <v>29</v>
      </c>
      <c r="P13" s="15">
        <f t="shared" si="1"/>
        <v>29</v>
      </c>
      <c r="R13" s="1" t="s">
        <v>9</v>
      </c>
      <c r="S13" s="17">
        <f t="shared" ref="S13:AF13" si="5">SUM(C22:C25)</f>
        <v>149</v>
      </c>
      <c r="T13" s="17">
        <f t="shared" si="5"/>
        <v>33</v>
      </c>
      <c r="U13" s="17">
        <f t="shared" si="5"/>
        <v>7</v>
      </c>
      <c r="V13" s="17">
        <f t="shared" si="5"/>
        <v>38</v>
      </c>
      <c r="W13" s="17">
        <f t="shared" si="5"/>
        <v>1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0</v>
      </c>
      <c r="AD13" s="17">
        <f t="shared" si="5"/>
        <v>0</v>
      </c>
      <c r="AE13" s="31">
        <f t="shared" si="5"/>
        <v>228</v>
      </c>
      <c r="AF13" s="31">
        <f t="shared" si="5"/>
        <v>228</v>
      </c>
    </row>
    <row r="14" spans="2:32" ht="23.1" customHeight="1" x14ac:dyDescent="0.25">
      <c r="B14" s="23" t="s">
        <v>41</v>
      </c>
      <c r="C14" s="52">
        <v>17</v>
      </c>
      <c r="D14" s="52">
        <v>2</v>
      </c>
      <c r="E14" s="52">
        <v>2</v>
      </c>
      <c r="F14" s="52">
        <v>8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  <c r="O14" s="15">
        <f t="shared" si="0"/>
        <v>29</v>
      </c>
      <c r="P14" s="15">
        <f t="shared" si="1"/>
        <v>29</v>
      </c>
      <c r="R14" s="1" t="s">
        <v>10</v>
      </c>
      <c r="S14" s="17">
        <f t="shared" ref="S14:AF14" si="6">SUM(C26:C29)</f>
        <v>140</v>
      </c>
      <c r="T14" s="17">
        <f t="shared" si="6"/>
        <v>27</v>
      </c>
      <c r="U14" s="17">
        <f t="shared" si="6"/>
        <v>8</v>
      </c>
      <c r="V14" s="17">
        <f t="shared" si="6"/>
        <v>34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209</v>
      </c>
      <c r="AF14" s="31">
        <f t="shared" si="6"/>
        <v>209</v>
      </c>
    </row>
    <row r="15" spans="2:32" ht="23.1" customHeight="1" x14ac:dyDescent="0.25">
      <c r="B15" s="23" t="s">
        <v>42</v>
      </c>
      <c r="C15" s="52">
        <v>21</v>
      </c>
      <c r="D15" s="52">
        <v>2</v>
      </c>
      <c r="E15" s="52">
        <v>3</v>
      </c>
      <c r="F15" s="52">
        <v>10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0</v>
      </c>
      <c r="O15" s="15">
        <f t="shared" si="0"/>
        <v>36</v>
      </c>
      <c r="P15" s="15">
        <f t="shared" si="1"/>
        <v>36</v>
      </c>
      <c r="R15" s="1" t="s">
        <v>11</v>
      </c>
      <c r="S15" s="17">
        <f t="shared" ref="S15:AF15" si="7">SUM(C30:C33)</f>
        <v>105</v>
      </c>
      <c r="T15" s="17">
        <f t="shared" si="7"/>
        <v>20</v>
      </c>
      <c r="U15" s="17">
        <f t="shared" si="7"/>
        <v>9</v>
      </c>
      <c r="V15" s="17">
        <f t="shared" si="7"/>
        <v>31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0</v>
      </c>
      <c r="AD15" s="17">
        <f t="shared" si="7"/>
        <v>0</v>
      </c>
      <c r="AE15" s="31">
        <f t="shared" si="7"/>
        <v>166</v>
      </c>
      <c r="AF15" s="31">
        <f t="shared" si="7"/>
        <v>166</v>
      </c>
    </row>
    <row r="16" spans="2:32" ht="23.1" customHeight="1" x14ac:dyDescent="0.25">
      <c r="B16" s="23" t="s">
        <v>43</v>
      </c>
      <c r="C16" s="52">
        <v>23</v>
      </c>
      <c r="D16" s="52">
        <v>8</v>
      </c>
      <c r="E16" s="52">
        <v>1</v>
      </c>
      <c r="F16" s="52">
        <v>6</v>
      </c>
      <c r="G16" s="52">
        <v>0</v>
      </c>
      <c r="H16" s="52">
        <v>0</v>
      </c>
      <c r="I16" s="52">
        <v>0</v>
      </c>
      <c r="J16" s="52">
        <v>0</v>
      </c>
      <c r="K16" s="52">
        <v>0</v>
      </c>
      <c r="L16" s="52">
        <v>0</v>
      </c>
      <c r="M16" s="52">
        <v>0</v>
      </c>
      <c r="N16" s="52">
        <v>0</v>
      </c>
      <c r="O16" s="15">
        <f t="shared" si="0"/>
        <v>38</v>
      </c>
      <c r="P16" s="15">
        <f t="shared" si="1"/>
        <v>38</v>
      </c>
      <c r="R16" s="1" t="s">
        <v>12</v>
      </c>
      <c r="S16" s="17">
        <f t="shared" ref="S16:AF16" si="8">SUM(C34:C37)</f>
        <v>75</v>
      </c>
      <c r="T16" s="17">
        <f t="shared" si="8"/>
        <v>20</v>
      </c>
      <c r="U16" s="17">
        <f t="shared" si="8"/>
        <v>7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0</v>
      </c>
      <c r="AD16" s="17">
        <f t="shared" si="8"/>
        <v>0</v>
      </c>
      <c r="AE16" s="31">
        <f t="shared" si="8"/>
        <v>116</v>
      </c>
      <c r="AF16" s="31">
        <f t="shared" si="8"/>
        <v>116</v>
      </c>
    </row>
    <row r="17" spans="2:32" ht="23.1" customHeight="1" x14ac:dyDescent="0.25">
      <c r="B17" s="23" t="s">
        <v>44</v>
      </c>
      <c r="C17" s="52">
        <v>26</v>
      </c>
      <c r="D17" s="52">
        <v>3</v>
      </c>
      <c r="E17" s="52">
        <v>0</v>
      </c>
      <c r="F17" s="52">
        <v>12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  <c r="O17" s="15">
        <f t="shared" si="0"/>
        <v>41</v>
      </c>
      <c r="P17" s="15">
        <f t="shared" si="1"/>
        <v>41</v>
      </c>
      <c r="R17" s="1" t="s">
        <v>13</v>
      </c>
      <c r="S17" s="17">
        <f t="shared" ref="S17:AF17" si="9">SUM(C38:C41)</f>
        <v>89</v>
      </c>
      <c r="T17" s="17">
        <f t="shared" si="9"/>
        <v>13</v>
      </c>
      <c r="U17" s="17">
        <f t="shared" si="9"/>
        <v>9</v>
      </c>
      <c r="V17" s="17">
        <f t="shared" si="9"/>
        <v>21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0</v>
      </c>
      <c r="AD17" s="17">
        <f t="shared" si="9"/>
        <v>0</v>
      </c>
      <c r="AE17" s="31">
        <f t="shared" si="9"/>
        <v>132</v>
      </c>
      <c r="AF17" s="31">
        <f t="shared" si="9"/>
        <v>132</v>
      </c>
    </row>
    <row r="18" spans="2:32" ht="23.1" customHeight="1" x14ac:dyDescent="0.25">
      <c r="B18" s="23" t="s">
        <v>45</v>
      </c>
      <c r="C18" s="52">
        <v>33</v>
      </c>
      <c r="D18" s="52">
        <v>7</v>
      </c>
      <c r="E18" s="52">
        <v>0</v>
      </c>
      <c r="F18" s="52">
        <v>10</v>
      </c>
      <c r="G18" s="52">
        <v>0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  <c r="O18" s="15">
        <f t="shared" si="0"/>
        <v>50</v>
      </c>
      <c r="P18" s="15">
        <f t="shared" si="1"/>
        <v>50</v>
      </c>
      <c r="R18" s="1" t="s">
        <v>14</v>
      </c>
      <c r="S18" s="17">
        <f t="shared" ref="S18:AF18" si="10">SUM(C42:C45)</f>
        <v>74</v>
      </c>
      <c r="T18" s="17">
        <f t="shared" si="10"/>
        <v>14</v>
      </c>
      <c r="U18" s="17">
        <f t="shared" si="10"/>
        <v>5</v>
      </c>
      <c r="V18" s="17">
        <f t="shared" si="10"/>
        <v>19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112</v>
      </c>
      <c r="AF18" s="31">
        <f t="shared" si="10"/>
        <v>112</v>
      </c>
    </row>
    <row r="19" spans="2:32" ht="23.1" customHeight="1" x14ac:dyDescent="0.25">
      <c r="B19" s="23" t="s">
        <v>46</v>
      </c>
      <c r="C19" s="52">
        <v>28</v>
      </c>
      <c r="D19" s="52">
        <v>8</v>
      </c>
      <c r="E19" s="52">
        <v>4</v>
      </c>
      <c r="F19" s="52">
        <v>8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  <c r="O19" s="15">
        <f t="shared" si="0"/>
        <v>48</v>
      </c>
      <c r="P19" s="15">
        <f t="shared" si="1"/>
        <v>48</v>
      </c>
      <c r="R19" s="1" t="s">
        <v>15</v>
      </c>
      <c r="S19" s="17">
        <f t="shared" ref="S19:AF19" si="11">SUM(C46:C49)</f>
        <v>98</v>
      </c>
      <c r="T19" s="17">
        <f t="shared" si="11"/>
        <v>18</v>
      </c>
      <c r="U19" s="17">
        <f t="shared" si="11"/>
        <v>9</v>
      </c>
      <c r="V19" s="17">
        <f t="shared" si="11"/>
        <v>25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0</v>
      </c>
      <c r="AD19" s="17">
        <f t="shared" si="11"/>
        <v>0</v>
      </c>
      <c r="AE19" s="31">
        <f t="shared" si="11"/>
        <v>150</v>
      </c>
      <c r="AF19" s="31">
        <f t="shared" si="11"/>
        <v>150</v>
      </c>
    </row>
    <row r="20" spans="2:32" ht="23.1" customHeight="1" x14ac:dyDescent="0.25">
      <c r="B20" s="23" t="s">
        <v>47</v>
      </c>
      <c r="C20" s="52">
        <v>39</v>
      </c>
      <c r="D20" s="52">
        <v>6</v>
      </c>
      <c r="E20" s="52">
        <v>4</v>
      </c>
      <c r="F20" s="52">
        <v>12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  <c r="O20" s="15">
        <f t="shared" si="0"/>
        <v>61</v>
      </c>
      <c r="P20" s="15">
        <f t="shared" si="1"/>
        <v>61</v>
      </c>
      <c r="R20" s="1" t="s">
        <v>16</v>
      </c>
      <c r="S20" s="17">
        <f t="shared" ref="S20:AF20" si="12">SUM(C50:C53)</f>
        <v>114</v>
      </c>
      <c r="T20" s="17">
        <f t="shared" si="12"/>
        <v>11</v>
      </c>
      <c r="U20" s="17">
        <f t="shared" si="12"/>
        <v>10</v>
      </c>
      <c r="V20" s="17">
        <f t="shared" si="12"/>
        <v>21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0</v>
      </c>
      <c r="AD20" s="17">
        <f t="shared" si="12"/>
        <v>0</v>
      </c>
      <c r="AE20" s="31">
        <f t="shared" si="12"/>
        <v>156</v>
      </c>
      <c r="AF20" s="31">
        <f t="shared" si="12"/>
        <v>156</v>
      </c>
    </row>
    <row r="21" spans="2:32" ht="23.1" customHeight="1" x14ac:dyDescent="0.25">
      <c r="B21" s="23" t="s">
        <v>48</v>
      </c>
      <c r="C21" s="52">
        <v>26</v>
      </c>
      <c r="D21" s="52">
        <v>7</v>
      </c>
      <c r="E21" s="52">
        <v>2</v>
      </c>
      <c r="F21" s="52">
        <v>10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15">
        <f t="shared" si="0"/>
        <v>45</v>
      </c>
      <c r="P21" s="15">
        <f t="shared" si="1"/>
        <v>45</v>
      </c>
      <c r="R21" s="36" t="s">
        <v>20</v>
      </c>
      <c r="S21" s="34">
        <f t="shared" ref="S21:AF21" si="13">SUM(C54:C57)</f>
        <v>99</v>
      </c>
      <c r="T21" s="17">
        <f t="shared" si="13"/>
        <v>11</v>
      </c>
      <c r="U21" s="17">
        <f t="shared" si="13"/>
        <v>6</v>
      </c>
      <c r="V21" s="17">
        <f t="shared" si="13"/>
        <v>28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145</v>
      </c>
      <c r="AF21" s="31">
        <f t="shared" si="13"/>
        <v>145</v>
      </c>
    </row>
    <row r="22" spans="2:32" ht="23.1" customHeight="1" x14ac:dyDescent="0.25">
      <c r="B22" s="23" t="s">
        <v>49</v>
      </c>
      <c r="C22" s="52">
        <v>44</v>
      </c>
      <c r="D22" s="52">
        <v>10</v>
      </c>
      <c r="E22" s="52">
        <v>1</v>
      </c>
      <c r="F22" s="52">
        <v>11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0</v>
      </c>
      <c r="N22" s="52">
        <v>0</v>
      </c>
      <c r="O22" s="15">
        <f t="shared" si="0"/>
        <v>66</v>
      </c>
      <c r="P22" s="15">
        <f t="shared" si="1"/>
        <v>66</v>
      </c>
      <c r="R22" s="38" t="s">
        <v>90</v>
      </c>
      <c r="S22" s="39">
        <f>MAX(S10:S12)</f>
        <v>126</v>
      </c>
      <c r="T22" s="39">
        <f t="shared" ref="T22:AF22" si="14">MAX(T10:T12)</f>
        <v>28</v>
      </c>
      <c r="U22" s="39">
        <f t="shared" si="14"/>
        <v>10</v>
      </c>
      <c r="V22" s="39">
        <f t="shared" si="14"/>
        <v>40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204</v>
      </c>
      <c r="AF22" s="40">
        <f t="shared" si="14"/>
        <v>204</v>
      </c>
    </row>
    <row r="23" spans="2:32" ht="23.1" customHeight="1" x14ac:dyDescent="0.25">
      <c r="B23" s="23" t="s">
        <v>50</v>
      </c>
      <c r="C23" s="52">
        <v>33</v>
      </c>
      <c r="D23" s="52">
        <v>4</v>
      </c>
      <c r="E23" s="52">
        <v>4</v>
      </c>
      <c r="F23" s="52">
        <v>5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15">
        <f t="shared" si="0"/>
        <v>46</v>
      </c>
      <c r="P23" s="15">
        <f t="shared" si="1"/>
        <v>46</v>
      </c>
      <c r="R23" s="38" t="s">
        <v>91</v>
      </c>
      <c r="S23" s="39">
        <f>MAX(S13:S18)</f>
        <v>149</v>
      </c>
      <c r="T23" s="39">
        <f t="shared" ref="T23:AF23" si="15">MAX(T13:T18)</f>
        <v>33</v>
      </c>
      <c r="U23" s="39">
        <f t="shared" si="15"/>
        <v>9</v>
      </c>
      <c r="V23" s="39">
        <f t="shared" si="15"/>
        <v>38</v>
      </c>
      <c r="W23" s="39">
        <f t="shared" si="15"/>
        <v>1</v>
      </c>
      <c r="X23" s="39">
        <f t="shared" si="15"/>
        <v>0</v>
      </c>
      <c r="Y23" s="39">
        <f t="shared" si="15"/>
        <v>0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0</v>
      </c>
      <c r="AD23" s="39">
        <f t="shared" si="15"/>
        <v>0</v>
      </c>
      <c r="AE23" s="40">
        <f t="shared" si="15"/>
        <v>228</v>
      </c>
      <c r="AF23" s="40">
        <f t="shared" si="15"/>
        <v>228</v>
      </c>
    </row>
    <row r="24" spans="2:32" ht="23.1" customHeight="1" x14ac:dyDescent="0.25">
      <c r="B24" s="23" t="s">
        <v>51</v>
      </c>
      <c r="C24" s="52">
        <v>37</v>
      </c>
      <c r="D24" s="52">
        <v>8</v>
      </c>
      <c r="E24" s="52">
        <v>1</v>
      </c>
      <c r="F24" s="52">
        <v>12</v>
      </c>
      <c r="G24" s="52">
        <v>1</v>
      </c>
      <c r="H24" s="52">
        <v>0</v>
      </c>
      <c r="I24" s="52">
        <v>0</v>
      </c>
      <c r="J24" s="52">
        <v>0</v>
      </c>
      <c r="K24" s="52">
        <v>0</v>
      </c>
      <c r="L24" s="52">
        <v>0</v>
      </c>
      <c r="M24" s="52">
        <v>0</v>
      </c>
      <c r="N24" s="52">
        <v>0</v>
      </c>
      <c r="O24" s="15">
        <f t="shared" si="0"/>
        <v>59</v>
      </c>
      <c r="P24" s="15">
        <f t="shared" si="1"/>
        <v>59</v>
      </c>
      <c r="R24" s="38" t="s">
        <v>92</v>
      </c>
      <c r="S24" s="39">
        <f>MAX(S19:S21)</f>
        <v>114</v>
      </c>
      <c r="T24" s="39">
        <f t="shared" ref="T24:AF24" si="16">MAX(T19:T21)</f>
        <v>18</v>
      </c>
      <c r="U24" s="39">
        <f t="shared" si="16"/>
        <v>10</v>
      </c>
      <c r="V24" s="39">
        <f t="shared" si="16"/>
        <v>28</v>
      </c>
      <c r="W24" s="39">
        <f t="shared" si="16"/>
        <v>1</v>
      </c>
      <c r="X24" s="39">
        <f t="shared" si="16"/>
        <v>0</v>
      </c>
      <c r="Y24" s="39">
        <f t="shared" si="16"/>
        <v>0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0</v>
      </c>
      <c r="AD24" s="39">
        <f t="shared" si="16"/>
        <v>0</v>
      </c>
      <c r="AE24" s="40">
        <f t="shared" si="16"/>
        <v>156</v>
      </c>
      <c r="AF24" s="40">
        <f t="shared" si="16"/>
        <v>156</v>
      </c>
    </row>
    <row r="25" spans="2:32" ht="23.1" customHeight="1" x14ac:dyDescent="0.25">
      <c r="B25" s="23" t="s">
        <v>52</v>
      </c>
      <c r="C25" s="52">
        <v>35</v>
      </c>
      <c r="D25" s="52">
        <v>11</v>
      </c>
      <c r="E25" s="52">
        <v>1</v>
      </c>
      <c r="F25" s="52">
        <v>10</v>
      </c>
      <c r="G25" s="52">
        <v>0</v>
      </c>
      <c r="H25" s="52">
        <v>0</v>
      </c>
      <c r="I25" s="52">
        <v>0</v>
      </c>
      <c r="J25" s="52">
        <v>0</v>
      </c>
      <c r="K25" s="52">
        <v>0</v>
      </c>
      <c r="L25" s="52">
        <v>0</v>
      </c>
      <c r="M25" s="52">
        <v>0</v>
      </c>
      <c r="N25" s="52">
        <v>0</v>
      </c>
      <c r="O25" s="15">
        <f t="shared" si="0"/>
        <v>57</v>
      </c>
      <c r="P25" s="15">
        <f t="shared" si="1"/>
        <v>57</v>
      </c>
      <c r="R25" s="37" t="s">
        <v>85</v>
      </c>
      <c r="S25" s="35">
        <f t="shared" ref="S25:AF25" si="17">SUM(S10:S12)</f>
        <v>306</v>
      </c>
      <c r="T25" s="16">
        <f t="shared" si="17"/>
        <v>68</v>
      </c>
      <c r="U25" s="16">
        <f t="shared" si="17"/>
        <v>21</v>
      </c>
      <c r="V25" s="16">
        <f t="shared" si="17"/>
        <v>107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502</v>
      </c>
      <c r="AF25" s="32">
        <f t="shared" si="17"/>
        <v>502</v>
      </c>
    </row>
    <row r="26" spans="2:32" ht="23.1" customHeight="1" x14ac:dyDescent="0.25">
      <c r="B26" s="23" t="s">
        <v>53</v>
      </c>
      <c r="C26" s="52">
        <v>34</v>
      </c>
      <c r="D26" s="52">
        <v>11</v>
      </c>
      <c r="E26" s="52">
        <v>4</v>
      </c>
      <c r="F26" s="52">
        <v>4</v>
      </c>
      <c r="G26" s="52">
        <v>0</v>
      </c>
      <c r="H26" s="52">
        <v>0</v>
      </c>
      <c r="I26" s="52">
        <v>0</v>
      </c>
      <c r="J26" s="52">
        <v>0</v>
      </c>
      <c r="K26" s="52">
        <v>0</v>
      </c>
      <c r="L26" s="52">
        <v>0</v>
      </c>
      <c r="M26" s="52">
        <v>0</v>
      </c>
      <c r="N26" s="52">
        <v>0</v>
      </c>
      <c r="O26" s="15">
        <f t="shared" si="0"/>
        <v>53</v>
      </c>
      <c r="P26" s="15">
        <f t="shared" si="1"/>
        <v>53</v>
      </c>
      <c r="R26" s="28" t="s">
        <v>86</v>
      </c>
      <c r="S26" s="16">
        <f t="shared" ref="S26:AF26" si="18">SUM(S13:S18)</f>
        <v>632</v>
      </c>
      <c r="T26" s="16">
        <f t="shared" si="18"/>
        <v>127</v>
      </c>
      <c r="U26" s="16">
        <f t="shared" si="18"/>
        <v>45</v>
      </c>
      <c r="V26" s="16">
        <f t="shared" si="18"/>
        <v>157</v>
      </c>
      <c r="W26" s="16">
        <f t="shared" si="18"/>
        <v>2</v>
      </c>
      <c r="X26" s="16">
        <f t="shared" si="18"/>
        <v>0</v>
      </c>
      <c r="Y26" s="16">
        <f t="shared" si="18"/>
        <v>0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0</v>
      </c>
      <c r="AD26" s="16">
        <f t="shared" si="18"/>
        <v>0</v>
      </c>
      <c r="AE26" s="32">
        <f t="shared" si="18"/>
        <v>963</v>
      </c>
      <c r="AF26" s="32">
        <f t="shared" si="18"/>
        <v>963</v>
      </c>
    </row>
    <row r="27" spans="2:32" ht="23.1" customHeight="1" x14ac:dyDescent="0.25">
      <c r="B27" s="23" t="s">
        <v>54</v>
      </c>
      <c r="C27" s="52">
        <v>30</v>
      </c>
      <c r="D27" s="52">
        <v>5</v>
      </c>
      <c r="E27" s="52">
        <v>2</v>
      </c>
      <c r="F27" s="52">
        <v>11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15">
        <f t="shared" si="0"/>
        <v>48</v>
      </c>
      <c r="P27" s="15">
        <f t="shared" si="1"/>
        <v>48</v>
      </c>
      <c r="R27" s="29" t="s">
        <v>87</v>
      </c>
      <c r="S27" s="16">
        <f t="shared" ref="S27:AF27" si="19">SUM(S19:S21)</f>
        <v>311</v>
      </c>
      <c r="T27" s="16">
        <f t="shared" si="19"/>
        <v>40</v>
      </c>
      <c r="U27" s="16">
        <f t="shared" si="19"/>
        <v>25</v>
      </c>
      <c r="V27" s="16">
        <f t="shared" si="19"/>
        <v>74</v>
      </c>
      <c r="W27" s="16">
        <f t="shared" si="19"/>
        <v>1</v>
      </c>
      <c r="X27" s="16">
        <f t="shared" si="19"/>
        <v>0</v>
      </c>
      <c r="Y27" s="16">
        <f t="shared" si="19"/>
        <v>0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0</v>
      </c>
      <c r="AD27" s="16">
        <f t="shared" si="19"/>
        <v>0</v>
      </c>
      <c r="AE27" s="32">
        <f t="shared" si="19"/>
        <v>451</v>
      </c>
      <c r="AF27" s="32">
        <f t="shared" si="19"/>
        <v>451</v>
      </c>
    </row>
    <row r="28" spans="2:32" ht="23.1" customHeight="1" x14ac:dyDescent="0.25">
      <c r="B28" s="23" t="s">
        <v>55</v>
      </c>
      <c r="C28" s="52">
        <v>37</v>
      </c>
      <c r="D28" s="52">
        <v>4</v>
      </c>
      <c r="E28" s="52">
        <v>1</v>
      </c>
      <c r="F28" s="52">
        <v>7</v>
      </c>
      <c r="G28" s="52">
        <v>0</v>
      </c>
      <c r="H28" s="52">
        <v>0</v>
      </c>
      <c r="I28" s="52">
        <v>0</v>
      </c>
      <c r="J28" s="52">
        <v>0</v>
      </c>
      <c r="K28" s="52">
        <v>0</v>
      </c>
      <c r="L28" s="52">
        <v>0</v>
      </c>
      <c r="M28" s="52">
        <v>0</v>
      </c>
      <c r="N28" s="52">
        <v>0</v>
      </c>
      <c r="O28" s="15">
        <f t="shared" si="0"/>
        <v>49</v>
      </c>
      <c r="P28" s="15">
        <f t="shared" si="1"/>
        <v>49</v>
      </c>
      <c r="R28" s="5" t="s">
        <v>17</v>
      </c>
      <c r="S28" s="16">
        <f t="shared" ref="S28:AF28" si="20">SUM(S10:S21)</f>
        <v>1249</v>
      </c>
      <c r="T28" s="16">
        <f t="shared" si="20"/>
        <v>235</v>
      </c>
      <c r="U28" s="16">
        <f t="shared" si="20"/>
        <v>91</v>
      </c>
      <c r="V28" s="16">
        <f t="shared" si="20"/>
        <v>338</v>
      </c>
      <c r="W28" s="16">
        <f t="shared" si="20"/>
        <v>3</v>
      </c>
      <c r="X28" s="16">
        <f t="shared" si="20"/>
        <v>0</v>
      </c>
      <c r="Y28" s="16">
        <f t="shared" si="20"/>
        <v>0</v>
      </c>
      <c r="Z28" s="16">
        <f t="shared" si="20"/>
        <v>0</v>
      </c>
      <c r="AA28" s="16">
        <f t="shared" si="20"/>
        <v>0</v>
      </c>
      <c r="AB28" s="16">
        <f t="shared" si="20"/>
        <v>0</v>
      </c>
      <c r="AC28" s="16">
        <f t="shared" si="20"/>
        <v>0</v>
      </c>
      <c r="AD28" s="16">
        <f t="shared" si="20"/>
        <v>0</v>
      </c>
      <c r="AE28" s="32">
        <f t="shared" si="20"/>
        <v>1916</v>
      </c>
      <c r="AF28" s="32">
        <f t="shared" si="20"/>
        <v>1916</v>
      </c>
    </row>
    <row r="29" spans="2:32" ht="23.1" customHeight="1" x14ac:dyDescent="0.25">
      <c r="B29" s="23" t="s">
        <v>56</v>
      </c>
      <c r="C29" s="52">
        <v>39</v>
      </c>
      <c r="D29" s="52">
        <v>7</v>
      </c>
      <c r="E29" s="52">
        <v>1</v>
      </c>
      <c r="F29" s="52">
        <v>12</v>
      </c>
      <c r="G29" s="52">
        <v>0</v>
      </c>
      <c r="H29" s="52">
        <v>0</v>
      </c>
      <c r="I29" s="52">
        <v>0</v>
      </c>
      <c r="J29" s="52">
        <v>0</v>
      </c>
      <c r="K29" s="52">
        <v>0</v>
      </c>
      <c r="L29" s="52">
        <v>0</v>
      </c>
      <c r="M29" s="52">
        <v>0</v>
      </c>
      <c r="N29" s="52">
        <v>0</v>
      </c>
      <c r="O29" s="15">
        <f t="shared" si="0"/>
        <v>59</v>
      </c>
      <c r="P29" s="15">
        <f t="shared" si="1"/>
        <v>59</v>
      </c>
      <c r="R29"/>
      <c r="S29" s="20"/>
      <c r="T29" s="19"/>
    </row>
    <row r="30" spans="2:32" ht="23.1" customHeight="1" x14ac:dyDescent="0.25">
      <c r="B30" s="23" t="s">
        <v>57</v>
      </c>
      <c r="C30" s="52">
        <v>24</v>
      </c>
      <c r="D30" s="52">
        <v>6</v>
      </c>
      <c r="E30" s="52">
        <v>4</v>
      </c>
      <c r="F30" s="52">
        <v>7</v>
      </c>
      <c r="G30" s="52">
        <v>0</v>
      </c>
      <c r="H30" s="52">
        <v>0</v>
      </c>
      <c r="I30" s="52">
        <v>0</v>
      </c>
      <c r="J30" s="52">
        <v>0</v>
      </c>
      <c r="K30" s="52">
        <v>0</v>
      </c>
      <c r="L30" s="52">
        <v>0</v>
      </c>
      <c r="M30" s="52">
        <v>0</v>
      </c>
      <c r="N30" s="52">
        <v>0</v>
      </c>
      <c r="O30" s="15">
        <f t="shared" si="0"/>
        <v>41</v>
      </c>
      <c r="P30" s="15">
        <f t="shared" si="1"/>
        <v>41</v>
      </c>
    </row>
    <row r="31" spans="2:32" ht="23.1" customHeight="1" x14ac:dyDescent="0.25">
      <c r="B31" s="24" t="s">
        <v>58</v>
      </c>
      <c r="C31" s="52">
        <v>24</v>
      </c>
      <c r="D31" s="52">
        <v>5</v>
      </c>
      <c r="E31" s="52">
        <v>4</v>
      </c>
      <c r="F31" s="52">
        <v>11</v>
      </c>
      <c r="G31" s="52">
        <v>0</v>
      </c>
      <c r="H31" s="52">
        <v>0</v>
      </c>
      <c r="I31" s="52">
        <v>0</v>
      </c>
      <c r="J31" s="52">
        <v>0</v>
      </c>
      <c r="K31" s="52">
        <v>0</v>
      </c>
      <c r="L31" s="52">
        <v>0</v>
      </c>
      <c r="M31" s="52">
        <v>0</v>
      </c>
      <c r="N31" s="52">
        <v>0</v>
      </c>
      <c r="O31" s="15">
        <f t="shared" si="0"/>
        <v>44</v>
      </c>
      <c r="P31" s="15">
        <f t="shared" si="1"/>
        <v>44</v>
      </c>
    </row>
    <row r="32" spans="2:32" ht="23.1" customHeight="1" x14ac:dyDescent="0.25">
      <c r="B32" s="24" t="s">
        <v>59</v>
      </c>
      <c r="C32" s="52">
        <v>29</v>
      </c>
      <c r="D32" s="52">
        <v>4</v>
      </c>
      <c r="E32" s="52">
        <v>1</v>
      </c>
      <c r="F32" s="52">
        <v>5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15">
        <f t="shared" si="0"/>
        <v>39</v>
      </c>
      <c r="P32" s="15">
        <f t="shared" si="1"/>
        <v>39</v>
      </c>
    </row>
    <row r="33" spans="2:20" ht="23.1" customHeight="1" x14ac:dyDescent="0.25">
      <c r="B33" s="23" t="s">
        <v>60</v>
      </c>
      <c r="C33" s="52">
        <v>28</v>
      </c>
      <c r="D33" s="52">
        <v>5</v>
      </c>
      <c r="E33" s="52">
        <v>0</v>
      </c>
      <c r="F33" s="52">
        <v>8</v>
      </c>
      <c r="G33" s="52">
        <v>1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15">
        <f t="shared" si="0"/>
        <v>42</v>
      </c>
      <c r="P33" s="15">
        <f t="shared" si="1"/>
        <v>42</v>
      </c>
    </row>
    <row r="34" spans="2:20" ht="23.1" customHeight="1" x14ac:dyDescent="0.25">
      <c r="B34" s="24" t="s">
        <v>61</v>
      </c>
      <c r="C34" s="52">
        <v>13</v>
      </c>
      <c r="D34" s="52">
        <v>7</v>
      </c>
      <c r="E34" s="52">
        <v>2</v>
      </c>
      <c r="F34" s="52">
        <v>6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0</v>
      </c>
      <c r="M34" s="52">
        <v>0</v>
      </c>
      <c r="N34" s="52">
        <v>0</v>
      </c>
      <c r="O34" s="15">
        <f t="shared" si="0"/>
        <v>28</v>
      </c>
      <c r="P34" s="15">
        <f t="shared" si="1"/>
        <v>28</v>
      </c>
    </row>
    <row r="35" spans="2:20" ht="23.1" customHeight="1" x14ac:dyDescent="0.25">
      <c r="B35" s="24" t="s">
        <v>62</v>
      </c>
      <c r="C35" s="52">
        <v>21</v>
      </c>
      <c r="D35" s="52">
        <v>4</v>
      </c>
      <c r="E35" s="52">
        <v>1</v>
      </c>
      <c r="F35" s="52">
        <v>2</v>
      </c>
      <c r="G35" s="52">
        <v>0</v>
      </c>
      <c r="H35" s="52">
        <v>0</v>
      </c>
      <c r="I35" s="52">
        <v>0</v>
      </c>
      <c r="J35" s="52">
        <v>0</v>
      </c>
      <c r="K35" s="52">
        <v>0</v>
      </c>
      <c r="L35" s="52">
        <v>0</v>
      </c>
      <c r="M35" s="52">
        <v>0</v>
      </c>
      <c r="N35" s="52">
        <v>0</v>
      </c>
      <c r="O35" s="15">
        <f t="shared" si="0"/>
        <v>28</v>
      </c>
      <c r="P35" s="15">
        <f t="shared" si="1"/>
        <v>28</v>
      </c>
    </row>
    <row r="36" spans="2:20" ht="23.1" customHeight="1" x14ac:dyDescent="0.25">
      <c r="B36" s="24" t="s">
        <v>63</v>
      </c>
      <c r="C36" s="52">
        <v>21</v>
      </c>
      <c r="D36" s="52">
        <v>8</v>
      </c>
      <c r="E36" s="52">
        <v>3</v>
      </c>
      <c r="F36" s="52">
        <v>3</v>
      </c>
      <c r="G36" s="52">
        <v>0</v>
      </c>
      <c r="H36" s="52">
        <v>0</v>
      </c>
      <c r="I36" s="52">
        <v>0</v>
      </c>
      <c r="J36" s="52">
        <v>0</v>
      </c>
      <c r="K36" s="52">
        <v>0</v>
      </c>
      <c r="L36" s="52">
        <v>0</v>
      </c>
      <c r="M36" s="52">
        <v>0</v>
      </c>
      <c r="N36" s="52">
        <v>0</v>
      </c>
      <c r="O36" s="15">
        <f t="shared" si="0"/>
        <v>35</v>
      </c>
      <c r="P36" s="15">
        <f t="shared" si="1"/>
        <v>35</v>
      </c>
    </row>
    <row r="37" spans="2:20" ht="23.1" customHeight="1" x14ac:dyDescent="0.25">
      <c r="B37" s="23" t="s">
        <v>64</v>
      </c>
      <c r="C37" s="52">
        <v>20</v>
      </c>
      <c r="D37" s="52">
        <v>1</v>
      </c>
      <c r="E37" s="52">
        <v>1</v>
      </c>
      <c r="F37" s="52">
        <v>3</v>
      </c>
      <c r="G37" s="52">
        <v>0</v>
      </c>
      <c r="H37" s="52">
        <v>0</v>
      </c>
      <c r="I37" s="52">
        <v>0</v>
      </c>
      <c r="J37" s="52">
        <v>0</v>
      </c>
      <c r="K37" s="52">
        <v>0</v>
      </c>
      <c r="L37" s="52">
        <v>0</v>
      </c>
      <c r="M37" s="52">
        <v>0</v>
      </c>
      <c r="N37" s="52">
        <v>0</v>
      </c>
      <c r="O37" s="15">
        <f t="shared" si="0"/>
        <v>25</v>
      </c>
      <c r="P37" s="15">
        <f t="shared" si="1"/>
        <v>25</v>
      </c>
    </row>
    <row r="38" spans="2:20" ht="23.1" customHeight="1" x14ac:dyDescent="0.25">
      <c r="B38" s="24" t="s">
        <v>65</v>
      </c>
      <c r="C38" s="52">
        <v>23</v>
      </c>
      <c r="D38" s="52">
        <v>4</v>
      </c>
      <c r="E38" s="52">
        <v>0</v>
      </c>
      <c r="F38" s="52">
        <v>2</v>
      </c>
      <c r="G38" s="52">
        <v>0</v>
      </c>
      <c r="H38" s="52">
        <v>0</v>
      </c>
      <c r="I38" s="52">
        <v>0</v>
      </c>
      <c r="J38" s="52">
        <v>0</v>
      </c>
      <c r="K38" s="52">
        <v>0</v>
      </c>
      <c r="L38" s="52">
        <v>0</v>
      </c>
      <c r="M38" s="52">
        <v>0</v>
      </c>
      <c r="N38" s="52">
        <v>0</v>
      </c>
      <c r="O38" s="15">
        <f t="shared" si="0"/>
        <v>29</v>
      </c>
      <c r="P38" s="15">
        <f t="shared" si="1"/>
        <v>29</v>
      </c>
    </row>
    <row r="39" spans="2:20" ht="23.1" customHeight="1" x14ac:dyDescent="0.25">
      <c r="B39" s="24" t="s">
        <v>66</v>
      </c>
      <c r="C39" s="52">
        <v>40</v>
      </c>
      <c r="D39" s="52">
        <v>4</v>
      </c>
      <c r="E39" s="52">
        <v>3</v>
      </c>
      <c r="F39" s="52">
        <v>9</v>
      </c>
      <c r="G39" s="52">
        <v>0</v>
      </c>
      <c r="H39" s="52">
        <v>0</v>
      </c>
      <c r="I39" s="52">
        <v>0</v>
      </c>
      <c r="J39" s="52">
        <v>0</v>
      </c>
      <c r="K39" s="52">
        <v>0</v>
      </c>
      <c r="L39" s="52">
        <v>0</v>
      </c>
      <c r="M39" s="52">
        <v>0</v>
      </c>
      <c r="N39" s="52">
        <v>0</v>
      </c>
      <c r="O39" s="15">
        <f t="shared" si="0"/>
        <v>56</v>
      </c>
      <c r="P39" s="15">
        <f t="shared" si="1"/>
        <v>56</v>
      </c>
    </row>
    <row r="40" spans="2:20" ht="23.1" customHeight="1" x14ac:dyDescent="0.25">
      <c r="B40" s="24" t="s">
        <v>67</v>
      </c>
      <c r="C40" s="52">
        <v>10</v>
      </c>
      <c r="D40" s="52">
        <v>2</v>
      </c>
      <c r="E40" s="52">
        <v>3</v>
      </c>
      <c r="F40" s="52">
        <v>1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15">
        <f t="shared" si="0"/>
        <v>16</v>
      </c>
      <c r="P40" s="15">
        <f t="shared" si="1"/>
        <v>16</v>
      </c>
    </row>
    <row r="41" spans="2:20" ht="23.1" customHeight="1" x14ac:dyDescent="0.25">
      <c r="B41" s="23" t="s">
        <v>68</v>
      </c>
      <c r="C41" s="52">
        <v>16</v>
      </c>
      <c r="D41" s="52">
        <v>3</v>
      </c>
      <c r="E41" s="52">
        <v>3</v>
      </c>
      <c r="F41" s="52">
        <v>9</v>
      </c>
      <c r="G41" s="52">
        <v>0</v>
      </c>
      <c r="H41" s="52">
        <v>0</v>
      </c>
      <c r="I41" s="52">
        <v>0</v>
      </c>
      <c r="J41" s="52">
        <v>0</v>
      </c>
      <c r="K41" s="52">
        <v>0</v>
      </c>
      <c r="L41" s="52">
        <v>0</v>
      </c>
      <c r="M41" s="52">
        <v>0</v>
      </c>
      <c r="N41" s="52">
        <v>0</v>
      </c>
      <c r="O41" s="15">
        <f t="shared" si="0"/>
        <v>31</v>
      </c>
      <c r="P41" s="15">
        <f t="shared" si="1"/>
        <v>31</v>
      </c>
    </row>
    <row r="42" spans="2:20" ht="23.1" customHeight="1" x14ac:dyDescent="0.25">
      <c r="B42" s="24" t="s">
        <v>69</v>
      </c>
      <c r="C42" s="52">
        <v>18</v>
      </c>
      <c r="D42" s="52">
        <v>5</v>
      </c>
      <c r="E42" s="52">
        <v>2</v>
      </c>
      <c r="F42" s="52">
        <v>4</v>
      </c>
      <c r="G42" s="52">
        <v>0</v>
      </c>
      <c r="H42" s="52">
        <v>0</v>
      </c>
      <c r="I42" s="52">
        <v>0</v>
      </c>
      <c r="J42" s="52">
        <v>0</v>
      </c>
      <c r="K42" s="52">
        <v>0</v>
      </c>
      <c r="L42" s="52">
        <v>0</v>
      </c>
      <c r="M42" s="52">
        <v>0</v>
      </c>
      <c r="N42" s="52">
        <v>0</v>
      </c>
      <c r="O42" s="15">
        <f t="shared" si="0"/>
        <v>29</v>
      </c>
      <c r="P42" s="15">
        <f t="shared" si="1"/>
        <v>29</v>
      </c>
    </row>
    <row r="43" spans="2:20" ht="23.1" customHeight="1" x14ac:dyDescent="0.25">
      <c r="B43" s="23" t="s">
        <v>70</v>
      </c>
      <c r="C43" s="52">
        <v>18</v>
      </c>
      <c r="D43" s="52">
        <v>4</v>
      </c>
      <c r="E43" s="52">
        <v>0</v>
      </c>
      <c r="F43" s="52">
        <v>4</v>
      </c>
      <c r="G43" s="52">
        <v>0</v>
      </c>
      <c r="H43" s="52">
        <v>0</v>
      </c>
      <c r="I43" s="52">
        <v>0</v>
      </c>
      <c r="J43" s="52">
        <v>0</v>
      </c>
      <c r="K43" s="52">
        <v>0</v>
      </c>
      <c r="L43" s="52">
        <v>0</v>
      </c>
      <c r="M43" s="52">
        <v>0</v>
      </c>
      <c r="N43" s="52">
        <v>0</v>
      </c>
      <c r="O43" s="15">
        <f t="shared" si="0"/>
        <v>26</v>
      </c>
      <c r="P43" s="15">
        <f t="shared" si="1"/>
        <v>26</v>
      </c>
    </row>
    <row r="44" spans="2:20" ht="23.1" customHeight="1" x14ac:dyDescent="0.25">
      <c r="B44" s="25" t="s">
        <v>71</v>
      </c>
      <c r="C44" s="52">
        <v>25</v>
      </c>
      <c r="D44" s="52">
        <v>3</v>
      </c>
      <c r="E44" s="52">
        <v>2</v>
      </c>
      <c r="F44" s="52">
        <v>7</v>
      </c>
      <c r="G44" s="52">
        <v>0</v>
      </c>
      <c r="H44" s="52">
        <v>0</v>
      </c>
      <c r="I44" s="52">
        <v>0</v>
      </c>
      <c r="J44" s="52">
        <v>0</v>
      </c>
      <c r="K44" s="52">
        <v>0</v>
      </c>
      <c r="L44" s="52">
        <v>0</v>
      </c>
      <c r="M44" s="52">
        <v>0</v>
      </c>
      <c r="N44" s="52">
        <v>0</v>
      </c>
      <c r="O44" s="15">
        <f t="shared" si="0"/>
        <v>37</v>
      </c>
      <c r="P44" s="15">
        <f t="shared" si="1"/>
        <v>37</v>
      </c>
    </row>
    <row r="45" spans="2:20" ht="23.1" customHeight="1" x14ac:dyDescent="0.25">
      <c r="B45" s="23" t="s">
        <v>72</v>
      </c>
      <c r="C45" s="52">
        <v>13</v>
      </c>
      <c r="D45" s="52">
        <v>2</v>
      </c>
      <c r="E45" s="52">
        <v>1</v>
      </c>
      <c r="F45" s="52">
        <v>4</v>
      </c>
      <c r="G45" s="52">
        <v>0</v>
      </c>
      <c r="H45" s="52">
        <v>0</v>
      </c>
      <c r="I45" s="52">
        <v>0</v>
      </c>
      <c r="J45" s="52">
        <v>0</v>
      </c>
      <c r="K45" s="52">
        <v>0</v>
      </c>
      <c r="L45" s="52">
        <v>0</v>
      </c>
      <c r="M45" s="52">
        <v>0</v>
      </c>
      <c r="N45" s="52">
        <v>0</v>
      </c>
      <c r="O45" s="15">
        <f t="shared" si="0"/>
        <v>20</v>
      </c>
      <c r="P45" s="15">
        <f t="shared" si="1"/>
        <v>20</v>
      </c>
    </row>
    <row r="46" spans="2:20" ht="23.1" customHeight="1" x14ac:dyDescent="0.25">
      <c r="B46" s="24" t="s">
        <v>73</v>
      </c>
      <c r="C46" s="52">
        <v>29</v>
      </c>
      <c r="D46" s="52">
        <v>6</v>
      </c>
      <c r="E46" s="52">
        <v>1</v>
      </c>
      <c r="F46" s="52">
        <v>7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15">
        <f t="shared" si="0"/>
        <v>43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2">
        <v>24</v>
      </c>
      <c r="D47" s="52">
        <v>4</v>
      </c>
      <c r="E47" s="52">
        <v>1</v>
      </c>
      <c r="F47" s="52">
        <v>7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0</v>
      </c>
      <c r="N47" s="52">
        <v>0</v>
      </c>
      <c r="O47" s="15">
        <f t="shared" si="0"/>
        <v>36</v>
      </c>
      <c r="P47" s="15">
        <f t="shared" si="1"/>
        <v>36</v>
      </c>
      <c r="R47" s="8"/>
      <c r="T47"/>
    </row>
    <row r="48" spans="2:20" ht="23.1" customHeight="1" x14ac:dyDescent="0.25">
      <c r="B48" s="24" t="s">
        <v>75</v>
      </c>
      <c r="C48" s="52">
        <v>22</v>
      </c>
      <c r="D48" s="52">
        <v>4</v>
      </c>
      <c r="E48" s="52">
        <v>5</v>
      </c>
      <c r="F48" s="52">
        <v>6</v>
      </c>
      <c r="G48" s="52">
        <v>0</v>
      </c>
      <c r="H48" s="52">
        <v>0</v>
      </c>
      <c r="I48" s="52">
        <v>0</v>
      </c>
      <c r="J48" s="52">
        <v>0</v>
      </c>
      <c r="K48" s="52">
        <v>0</v>
      </c>
      <c r="L48" s="52">
        <v>0</v>
      </c>
      <c r="M48" s="52">
        <v>0</v>
      </c>
      <c r="N48" s="52">
        <v>0</v>
      </c>
      <c r="O48" s="15">
        <f t="shared" si="0"/>
        <v>37</v>
      </c>
      <c r="P48" s="15">
        <f t="shared" si="1"/>
        <v>37</v>
      </c>
      <c r="R48" s="8"/>
      <c r="T48"/>
    </row>
    <row r="49" spans="2:20" ht="23.1" customHeight="1" x14ac:dyDescent="0.25">
      <c r="B49" s="23" t="s">
        <v>76</v>
      </c>
      <c r="C49" s="52">
        <v>23</v>
      </c>
      <c r="D49" s="52">
        <v>4</v>
      </c>
      <c r="E49" s="52">
        <v>2</v>
      </c>
      <c r="F49" s="52">
        <v>5</v>
      </c>
      <c r="G49" s="52">
        <v>0</v>
      </c>
      <c r="H49" s="52">
        <v>0</v>
      </c>
      <c r="I49" s="52">
        <v>0</v>
      </c>
      <c r="J49" s="52">
        <v>0</v>
      </c>
      <c r="K49" s="52">
        <v>0</v>
      </c>
      <c r="L49" s="52">
        <v>0</v>
      </c>
      <c r="M49" s="52">
        <v>0</v>
      </c>
      <c r="N49" s="52">
        <v>0</v>
      </c>
      <c r="O49" s="15">
        <f t="shared" si="0"/>
        <v>34</v>
      </c>
      <c r="P49" s="15">
        <f t="shared" si="1"/>
        <v>34</v>
      </c>
      <c r="R49" s="8"/>
      <c r="T49"/>
    </row>
    <row r="50" spans="2:20" ht="23.1" customHeight="1" x14ac:dyDescent="0.25">
      <c r="B50" s="24" t="s">
        <v>77</v>
      </c>
      <c r="C50" s="52">
        <v>24</v>
      </c>
      <c r="D50" s="52">
        <v>3</v>
      </c>
      <c r="E50" s="52">
        <v>4</v>
      </c>
      <c r="F50" s="52">
        <v>4</v>
      </c>
      <c r="G50" s="52">
        <v>0</v>
      </c>
      <c r="H50" s="52">
        <v>0</v>
      </c>
      <c r="I50" s="52">
        <v>0</v>
      </c>
      <c r="J50" s="52">
        <v>0</v>
      </c>
      <c r="K50" s="52">
        <v>0</v>
      </c>
      <c r="L50" s="52">
        <v>0</v>
      </c>
      <c r="M50" s="52">
        <v>0</v>
      </c>
      <c r="N50" s="52">
        <v>0</v>
      </c>
      <c r="O50" s="15">
        <f t="shared" si="0"/>
        <v>35</v>
      </c>
      <c r="P50" s="15">
        <f t="shared" si="1"/>
        <v>35</v>
      </c>
      <c r="R50" s="8"/>
      <c r="T50"/>
    </row>
    <row r="51" spans="2:20" ht="23.1" customHeight="1" x14ac:dyDescent="0.25">
      <c r="B51" s="24" t="s">
        <v>78</v>
      </c>
      <c r="C51" s="52">
        <v>31</v>
      </c>
      <c r="D51" s="52">
        <v>3</v>
      </c>
      <c r="E51" s="52">
        <v>1</v>
      </c>
      <c r="F51" s="52">
        <v>4</v>
      </c>
      <c r="G51" s="52">
        <v>0</v>
      </c>
      <c r="H51" s="52">
        <v>0</v>
      </c>
      <c r="I51" s="52">
        <v>0</v>
      </c>
      <c r="J51" s="52">
        <v>0</v>
      </c>
      <c r="K51" s="52">
        <v>0</v>
      </c>
      <c r="L51" s="52">
        <v>0</v>
      </c>
      <c r="M51" s="52">
        <v>0</v>
      </c>
      <c r="N51" s="52">
        <v>0</v>
      </c>
      <c r="O51" s="15">
        <f t="shared" si="0"/>
        <v>39</v>
      </c>
      <c r="P51" s="15">
        <f t="shared" si="1"/>
        <v>39</v>
      </c>
      <c r="R51" s="8"/>
      <c r="T51"/>
    </row>
    <row r="52" spans="2:20" ht="23.1" customHeight="1" x14ac:dyDescent="0.25">
      <c r="B52" s="24" t="s">
        <v>79</v>
      </c>
      <c r="C52" s="52">
        <v>29</v>
      </c>
      <c r="D52" s="52">
        <v>1</v>
      </c>
      <c r="E52" s="52">
        <v>2</v>
      </c>
      <c r="F52" s="52">
        <v>9</v>
      </c>
      <c r="G52" s="52">
        <v>0</v>
      </c>
      <c r="H52" s="52">
        <v>0</v>
      </c>
      <c r="I52" s="52">
        <v>0</v>
      </c>
      <c r="J52" s="52">
        <v>0</v>
      </c>
      <c r="K52" s="52">
        <v>0</v>
      </c>
      <c r="L52" s="52">
        <v>0</v>
      </c>
      <c r="M52" s="52">
        <v>0</v>
      </c>
      <c r="N52" s="52">
        <v>0</v>
      </c>
      <c r="O52" s="15">
        <f t="shared" si="0"/>
        <v>41</v>
      </c>
      <c r="P52" s="15">
        <f t="shared" si="1"/>
        <v>41</v>
      </c>
      <c r="R52" s="8"/>
      <c r="T52"/>
    </row>
    <row r="53" spans="2:20" ht="23.1" customHeight="1" x14ac:dyDescent="0.25">
      <c r="B53" s="23" t="s">
        <v>80</v>
      </c>
      <c r="C53" s="52">
        <v>30</v>
      </c>
      <c r="D53" s="52">
        <v>4</v>
      </c>
      <c r="E53" s="52">
        <v>3</v>
      </c>
      <c r="F53" s="52">
        <v>4</v>
      </c>
      <c r="G53" s="52">
        <v>0</v>
      </c>
      <c r="H53" s="52">
        <v>0</v>
      </c>
      <c r="I53" s="52">
        <v>0</v>
      </c>
      <c r="J53" s="52">
        <v>0</v>
      </c>
      <c r="K53" s="52">
        <v>0</v>
      </c>
      <c r="L53" s="52">
        <v>0</v>
      </c>
      <c r="M53" s="52">
        <v>0</v>
      </c>
      <c r="N53" s="52">
        <v>0</v>
      </c>
      <c r="O53" s="15">
        <f t="shared" si="0"/>
        <v>41</v>
      </c>
      <c r="P53" s="15">
        <f t="shared" si="1"/>
        <v>41</v>
      </c>
      <c r="R53" s="8"/>
      <c r="T53"/>
    </row>
    <row r="54" spans="2:20" ht="23.1" customHeight="1" x14ac:dyDescent="0.25">
      <c r="B54" s="23" t="s">
        <v>81</v>
      </c>
      <c r="C54" s="52">
        <v>27</v>
      </c>
      <c r="D54" s="52">
        <v>1</v>
      </c>
      <c r="E54" s="52">
        <v>1</v>
      </c>
      <c r="F54" s="52">
        <v>5</v>
      </c>
      <c r="G54" s="52">
        <v>1</v>
      </c>
      <c r="H54" s="52">
        <v>0</v>
      </c>
      <c r="I54" s="52">
        <v>0</v>
      </c>
      <c r="J54" s="52">
        <v>0</v>
      </c>
      <c r="K54" s="52">
        <v>0</v>
      </c>
      <c r="L54" s="52">
        <v>0</v>
      </c>
      <c r="M54" s="52">
        <v>0</v>
      </c>
      <c r="N54" s="52">
        <v>0</v>
      </c>
      <c r="O54" s="15">
        <f t="shared" si="0"/>
        <v>35</v>
      </c>
      <c r="P54" s="15">
        <f t="shared" si="1"/>
        <v>35</v>
      </c>
      <c r="R54" s="8"/>
      <c r="T54"/>
    </row>
    <row r="55" spans="2:20" ht="23.1" customHeight="1" x14ac:dyDescent="0.25">
      <c r="B55" s="23" t="s">
        <v>82</v>
      </c>
      <c r="C55" s="52">
        <v>31</v>
      </c>
      <c r="D55" s="52">
        <v>3</v>
      </c>
      <c r="E55" s="52">
        <v>0</v>
      </c>
      <c r="F55" s="52">
        <v>4</v>
      </c>
      <c r="G55" s="52">
        <v>0</v>
      </c>
      <c r="H55" s="52">
        <v>0</v>
      </c>
      <c r="I55" s="52">
        <v>0</v>
      </c>
      <c r="J55" s="52">
        <v>0</v>
      </c>
      <c r="K55" s="52">
        <v>0</v>
      </c>
      <c r="L55" s="52">
        <v>0</v>
      </c>
      <c r="M55" s="52">
        <v>0</v>
      </c>
      <c r="N55" s="52">
        <v>0</v>
      </c>
      <c r="O55" s="15">
        <f t="shared" si="0"/>
        <v>38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2">
        <v>23</v>
      </c>
      <c r="D56" s="52">
        <v>4</v>
      </c>
      <c r="E56" s="52">
        <v>2</v>
      </c>
      <c r="F56" s="52">
        <v>12</v>
      </c>
      <c r="G56" s="52">
        <v>0</v>
      </c>
      <c r="H56" s="52">
        <v>0</v>
      </c>
      <c r="I56" s="52">
        <v>0</v>
      </c>
      <c r="J56" s="52">
        <v>0</v>
      </c>
      <c r="K56" s="52">
        <v>0</v>
      </c>
      <c r="L56" s="52">
        <v>0</v>
      </c>
      <c r="M56" s="52">
        <v>0</v>
      </c>
      <c r="N56" s="52">
        <v>0</v>
      </c>
      <c r="O56" s="15">
        <f t="shared" si="0"/>
        <v>41</v>
      </c>
      <c r="P56" s="15">
        <f t="shared" si="1"/>
        <v>41</v>
      </c>
      <c r="R56" s="8"/>
      <c r="T56"/>
    </row>
    <row r="57" spans="2:20" ht="23.1" customHeight="1" x14ac:dyDescent="0.25">
      <c r="B57" s="23" t="s">
        <v>84</v>
      </c>
      <c r="C57" s="52">
        <v>18</v>
      </c>
      <c r="D57" s="52">
        <v>3</v>
      </c>
      <c r="E57" s="52">
        <v>3</v>
      </c>
      <c r="F57" s="52">
        <v>7</v>
      </c>
      <c r="G57" s="52">
        <v>0</v>
      </c>
      <c r="H57" s="52">
        <v>0</v>
      </c>
      <c r="I57" s="52">
        <v>0</v>
      </c>
      <c r="J57" s="52">
        <v>0</v>
      </c>
      <c r="K57" s="52">
        <v>0</v>
      </c>
      <c r="L57" s="52">
        <v>0</v>
      </c>
      <c r="M57" s="52">
        <v>0</v>
      </c>
      <c r="N57" s="52">
        <v>0</v>
      </c>
      <c r="O57" s="15">
        <f t="shared" si="0"/>
        <v>31</v>
      </c>
      <c r="P57" s="15">
        <f t="shared" si="1"/>
        <v>31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1249</v>
      </c>
      <c r="D58" s="16">
        <f t="shared" si="21"/>
        <v>235</v>
      </c>
      <c r="E58" s="16">
        <f t="shared" si="21"/>
        <v>91</v>
      </c>
      <c r="F58" s="16">
        <f t="shared" si="21"/>
        <v>338</v>
      </c>
      <c r="G58" s="16">
        <f t="shared" si="21"/>
        <v>3</v>
      </c>
      <c r="H58" s="16">
        <f t="shared" si="21"/>
        <v>0</v>
      </c>
      <c r="I58" s="16">
        <f t="shared" si="21"/>
        <v>0</v>
      </c>
      <c r="J58" s="16">
        <f t="shared" si="21"/>
        <v>0</v>
      </c>
      <c r="K58" s="16">
        <f t="shared" si="21"/>
        <v>0</v>
      </c>
      <c r="L58" s="16">
        <f t="shared" si="21"/>
        <v>0</v>
      </c>
      <c r="M58" s="16">
        <f t="shared" si="21"/>
        <v>0</v>
      </c>
      <c r="N58" s="16">
        <f t="shared" si="21"/>
        <v>0</v>
      </c>
      <c r="O58" s="16">
        <f t="shared" si="21"/>
        <v>1916</v>
      </c>
      <c r="P58" s="16">
        <f t="shared" si="21"/>
        <v>1916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0.65187891440501045</v>
      </c>
      <c r="D59" s="43">
        <f t="shared" si="22"/>
        <v>0.12265135699373696</v>
      </c>
      <c r="E59" s="43">
        <f t="shared" si="22"/>
        <v>4.7494780793319417E-2</v>
      </c>
      <c r="F59" s="43">
        <f t="shared" si="22"/>
        <v>0.17640918580375783</v>
      </c>
      <c r="G59" s="43">
        <f t="shared" si="22"/>
        <v>1.5657620041753654E-3</v>
      </c>
      <c r="H59" s="43">
        <f t="shared" si="22"/>
        <v>0</v>
      </c>
      <c r="I59" s="43">
        <f t="shared" si="22"/>
        <v>0</v>
      </c>
      <c r="J59" s="43">
        <f t="shared" si="22"/>
        <v>0</v>
      </c>
      <c r="K59" s="43">
        <f t="shared" si="22"/>
        <v>0</v>
      </c>
      <c r="L59" s="43">
        <f t="shared" si="22"/>
        <v>0</v>
      </c>
      <c r="M59" s="43">
        <f t="shared" si="22"/>
        <v>0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0.65187891440501045</v>
      </c>
      <c r="D60" s="44">
        <f t="shared" ref="D60:N60" si="23">D58/$O$58</f>
        <v>0.12265135699373696</v>
      </c>
      <c r="E60" s="44">
        <f t="shared" si="23"/>
        <v>4.7494780793319417E-2</v>
      </c>
      <c r="F60" s="44">
        <f t="shared" si="23"/>
        <v>0.17640918580375783</v>
      </c>
      <c r="G60" s="44">
        <f t="shared" si="23"/>
        <v>1.5657620041753654E-3</v>
      </c>
      <c r="H60" s="44">
        <f t="shared" si="23"/>
        <v>0</v>
      </c>
      <c r="I60" s="44">
        <f t="shared" si="23"/>
        <v>0</v>
      </c>
      <c r="J60" s="44">
        <f t="shared" si="23"/>
        <v>0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126"/>
  <sheetViews>
    <sheetView view="pageBreakPreview" topLeftCell="A4" zoomScale="60" workbookViewId="0">
      <selection activeCell="L53" sqref="L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3" t="str">
        <f>'29.07 NSOOBA-KYEBANDO'!C3:G3</f>
        <v>MCC - C1 - STN029 - RING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70">
        <f>'03.08 KYEBANDO-NSOOBA-24h'!G5:H5</f>
        <v>29</v>
      </c>
      <c r="H5" s="71"/>
      <c r="I5" s="14"/>
      <c r="J5" s="2" t="s">
        <v>5</v>
      </c>
      <c r="K5" s="59" t="str">
        <f>'03.08 KYEBANDO-NSOOBA-24h'!K5:L5</f>
        <v>NAKAWA JULIET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'29.07 NSOOBA-KYEBANDO'!D6:E6</f>
        <v>NSOOBA</v>
      </c>
      <c r="E6" s="60"/>
      <c r="F6" s="2" t="s">
        <v>2</v>
      </c>
      <c r="G6" s="59" t="str">
        <f>'29.07 NSOOBA-KYEBANDO'!G6:H6</f>
        <v>KYEBANDO</v>
      </c>
      <c r="H6" s="60"/>
      <c r="J6" s="2" t="s">
        <v>21</v>
      </c>
      <c r="K6" s="59" t="s">
        <v>175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2">
        <v>9</v>
      </c>
      <c r="D10" s="52">
        <v>4</v>
      </c>
      <c r="E10" s="52">
        <v>1</v>
      </c>
      <c r="F10" s="52">
        <v>8</v>
      </c>
      <c r="G10" s="52">
        <v>0</v>
      </c>
      <c r="H10" s="52">
        <v>0</v>
      </c>
      <c r="I10" s="52">
        <v>2</v>
      </c>
      <c r="J10" s="52">
        <v>0</v>
      </c>
      <c r="K10" s="52">
        <v>0</v>
      </c>
      <c r="L10" s="52">
        <v>0</v>
      </c>
      <c r="M10" s="52">
        <v>28</v>
      </c>
      <c r="N10" s="52">
        <v>0</v>
      </c>
      <c r="O10" s="15">
        <f t="shared" ref="O10:O57" si="0">SUM(C10:L10,N10)</f>
        <v>24</v>
      </c>
      <c r="P10" s="15">
        <f t="shared" ref="P10:P57" si="1">SUM(C10:N10)</f>
        <v>52</v>
      </c>
      <c r="R10" s="1" t="s">
        <v>6</v>
      </c>
      <c r="S10" s="17">
        <f t="shared" ref="S10:AF10" si="2">SUM(C10:C13)</f>
        <v>93</v>
      </c>
      <c r="T10" s="17">
        <f t="shared" si="2"/>
        <v>25</v>
      </c>
      <c r="U10" s="17">
        <f t="shared" si="2"/>
        <v>5</v>
      </c>
      <c r="V10" s="17">
        <f t="shared" si="2"/>
        <v>31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154</v>
      </c>
      <c r="AD10" s="17">
        <f t="shared" si="2"/>
        <v>0</v>
      </c>
      <c r="AE10" s="31">
        <f t="shared" si="2"/>
        <v>162</v>
      </c>
      <c r="AF10" s="31">
        <f t="shared" si="2"/>
        <v>316</v>
      </c>
    </row>
    <row r="11" spans="2:32" s="6" customFormat="1" ht="23.1" customHeight="1" x14ac:dyDescent="0.25">
      <c r="B11" s="23" t="s">
        <v>38</v>
      </c>
      <c r="C11" s="52">
        <v>11</v>
      </c>
      <c r="D11" s="52">
        <v>5</v>
      </c>
      <c r="E11" s="52">
        <v>1</v>
      </c>
      <c r="F11" s="52">
        <v>9</v>
      </c>
      <c r="G11" s="52">
        <v>0</v>
      </c>
      <c r="H11" s="52">
        <v>0</v>
      </c>
      <c r="I11" s="52">
        <v>1</v>
      </c>
      <c r="J11" s="52">
        <v>0</v>
      </c>
      <c r="K11" s="52">
        <v>0</v>
      </c>
      <c r="L11" s="52">
        <v>0</v>
      </c>
      <c r="M11" s="52">
        <v>37</v>
      </c>
      <c r="N11" s="52">
        <v>0</v>
      </c>
      <c r="O11" s="15">
        <f t="shared" si="0"/>
        <v>27</v>
      </c>
      <c r="P11" s="15">
        <f t="shared" si="1"/>
        <v>64</v>
      </c>
      <c r="R11" s="1" t="s">
        <v>7</v>
      </c>
      <c r="S11" s="17">
        <f t="shared" ref="S11:AF11" si="3">SUM(C14:C17)</f>
        <v>87</v>
      </c>
      <c r="T11" s="17">
        <f t="shared" si="3"/>
        <v>15</v>
      </c>
      <c r="U11" s="17">
        <f t="shared" si="3"/>
        <v>6</v>
      </c>
      <c r="V11" s="17">
        <f t="shared" si="3"/>
        <v>36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214</v>
      </c>
      <c r="AD11" s="17">
        <f t="shared" si="3"/>
        <v>0</v>
      </c>
      <c r="AE11" s="31">
        <f t="shared" si="3"/>
        <v>151</v>
      </c>
      <c r="AF11" s="31">
        <f t="shared" si="3"/>
        <v>365</v>
      </c>
    </row>
    <row r="12" spans="2:32" ht="23.1" customHeight="1" x14ac:dyDescent="0.25">
      <c r="B12" s="23" t="s">
        <v>39</v>
      </c>
      <c r="C12" s="52">
        <v>56</v>
      </c>
      <c r="D12" s="52">
        <v>7</v>
      </c>
      <c r="E12" s="52">
        <v>3</v>
      </c>
      <c r="F12" s="52">
        <v>11</v>
      </c>
      <c r="G12" s="52">
        <v>0</v>
      </c>
      <c r="H12" s="52">
        <v>0</v>
      </c>
      <c r="I12" s="52">
        <v>3</v>
      </c>
      <c r="J12" s="52">
        <v>0</v>
      </c>
      <c r="K12" s="52">
        <v>0</v>
      </c>
      <c r="L12" s="52">
        <v>0</v>
      </c>
      <c r="M12" s="52">
        <v>42</v>
      </c>
      <c r="N12" s="52">
        <v>0</v>
      </c>
      <c r="O12" s="15">
        <f t="shared" si="0"/>
        <v>80</v>
      </c>
      <c r="P12" s="15">
        <f t="shared" si="1"/>
        <v>122</v>
      </c>
      <c r="R12" s="1" t="s">
        <v>8</v>
      </c>
      <c r="S12" s="17">
        <f t="shared" ref="S12:AF12" si="4">SUM(C18:C21)</f>
        <v>126</v>
      </c>
      <c r="T12" s="17">
        <f t="shared" si="4"/>
        <v>28</v>
      </c>
      <c r="U12" s="17">
        <f t="shared" si="4"/>
        <v>10</v>
      </c>
      <c r="V12" s="17">
        <f t="shared" si="4"/>
        <v>40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259</v>
      </c>
      <c r="AD12" s="17">
        <f t="shared" si="4"/>
        <v>0</v>
      </c>
      <c r="AE12" s="31">
        <f t="shared" si="4"/>
        <v>216</v>
      </c>
      <c r="AF12" s="31">
        <f t="shared" si="4"/>
        <v>475</v>
      </c>
    </row>
    <row r="13" spans="2:32" ht="23.1" customHeight="1" x14ac:dyDescent="0.25">
      <c r="B13" s="23" t="s">
        <v>40</v>
      </c>
      <c r="C13" s="52">
        <v>17</v>
      </c>
      <c r="D13" s="52">
        <v>9</v>
      </c>
      <c r="E13" s="52">
        <v>0</v>
      </c>
      <c r="F13" s="52">
        <v>3</v>
      </c>
      <c r="G13" s="52">
        <v>0</v>
      </c>
      <c r="H13" s="52">
        <v>0</v>
      </c>
      <c r="I13" s="52">
        <v>2</v>
      </c>
      <c r="J13" s="52">
        <v>0</v>
      </c>
      <c r="K13" s="52">
        <v>0</v>
      </c>
      <c r="L13" s="52">
        <v>0</v>
      </c>
      <c r="M13" s="52">
        <v>47</v>
      </c>
      <c r="N13" s="52">
        <v>0</v>
      </c>
      <c r="O13" s="15">
        <f t="shared" si="0"/>
        <v>31</v>
      </c>
      <c r="P13" s="15">
        <f t="shared" si="1"/>
        <v>78</v>
      </c>
      <c r="R13" s="1" t="s">
        <v>9</v>
      </c>
      <c r="S13" s="17">
        <f t="shared" ref="S13:AF13" si="5">SUM(C22:C25)</f>
        <v>149</v>
      </c>
      <c r="T13" s="17">
        <f t="shared" si="5"/>
        <v>33</v>
      </c>
      <c r="U13" s="17">
        <f t="shared" si="5"/>
        <v>7</v>
      </c>
      <c r="V13" s="17">
        <f t="shared" si="5"/>
        <v>38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243</v>
      </c>
      <c r="AD13" s="17">
        <f t="shared" si="5"/>
        <v>0</v>
      </c>
      <c r="AE13" s="31">
        <f t="shared" si="5"/>
        <v>240</v>
      </c>
      <c r="AF13" s="31">
        <f t="shared" si="5"/>
        <v>483</v>
      </c>
    </row>
    <row r="14" spans="2:32" ht="23.1" customHeight="1" x14ac:dyDescent="0.25">
      <c r="B14" s="23" t="s">
        <v>41</v>
      </c>
      <c r="C14" s="52">
        <v>17</v>
      </c>
      <c r="D14" s="52">
        <v>2</v>
      </c>
      <c r="E14" s="52">
        <v>2</v>
      </c>
      <c r="F14" s="52">
        <v>8</v>
      </c>
      <c r="G14" s="52">
        <v>0</v>
      </c>
      <c r="H14" s="52">
        <v>0</v>
      </c>
      <c r="I14" s="52">
        <v>2</v>
      </c>
      <c r="J14" s="52">
        <v>0</v>
      </c>
      <c r="K14" s="52">
        <v>0</v>
      </c>
      <c r="L14" s="52">
        <v>0</v>
      </c>
      <c r="M14" s="52">
        <v>48</v>
      </c>
      <c r="N14" s="52">
        <v>0</v>
      </c>
      <c r="O14" s="15">
        <f t="shared" si="0"/>
        <v>31</v>
      </c>
      <c r="P14" s="15">
        <f t="shared" si="1"/>
        <v>79</v>
      </c>
      <c r="R14" s="1" t="s">
        <v>10</v>
      </c>
      <c r="S14" s="17">
        <f t="shared" ref="S14:AF14" si="6">SUM(C26:C29)</f>
        <v>140</v>
      </c>
      <c r="T14" s="17">
        <f t="shared" si="6"/>
        <v>27</v>
      </c>
      <c r="U14" s="17">
        <f t="shared" si="6"/>
        <v>8</v>
      </c>
      <c r="V14" s="17">
        <f t="shared" si="6"/>
        <v>34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3</v>
      </c>
      <c r="AA14" s="17">
        <f t="shared" si="6"/>
        <v>0</v>
      </c>
      <c r="AB14" s="17">
        <f t="shared" si="6"/>
        <v>1</v>
      </c>
      <c r="AC14" s="17">
        <f t="shared" si="6"/>
        <v>237</v>
      </c>
      <c r="AD14" s="17">
        <f t="shared" si="6"/>
        <v>0</v>
      </c>
      <c r="AE14" s="31">
        <f t="shared" si="6"/>
        <v>221</v>
      </c>
      <c r="AF14" s="31">
        <f t="shared" si="6"/>
        <v>458</v>
      </c>
    </row>
    <row r="15" spans="2:32" ht="23.1" customHeight="1" x14ac:dyDescent="0.25">
      <c r="B15" s="23" t="s">
        <v>42</v>
      </c>
      <c r="C15" s="52">
        <v>21</v>
      </c>
      <c r="D15" s="52">
        <v>2</v>
      </c>
      <c r="E15" s="52">
        <v>3</v>
      </c>
      <c r="F15" s="52">
        <v>10</v>
      </c>
      <c r="G15" s="52">
        <v>0</v>
      </c>
      <c r="H15" s="52">
        <v>0</v>
      </c>
      <c r="I15" s="52">
        <v>2</v>
      </c>
      <c r="J15" s="52">
        <v>0</v>
      </c>
      <c r="K15" s="52">
        <v>0</v>
      </c>
      <c r="L15" s="52">
        <v>0</v>
      </c>
      <c r="M15" s="52">
        <v>53</v>
      </c>
      <c r="N15" s="52">
        <v>0</v>
      </c>
      <c r="O15" s="15">
        <f t="shared" si="0"/>
        <v>38</v>
      </c>
      <c r="P15" s="15">
        <f t="shared" si="1"/>
        <v>91</v>
      </c>
      <c r="R15" s="1" t="s">
        <v>11</v>
      </c>
      <c r="S15" s="17">
        <f t="shared" ref="S15:AF15" si="7">SUM(C30:C33)</f>
        <v>105</v>
      </c>
      <c r="T15" s="17">
        <f t="shared" si="7"/>
        <v>20</v>
      </c>
      <c r="U15" s="17">
        <f t="shared" si="7"/>
        <v>9</v>
      </c>
      <c r="V15" s="17">
        <f t="shared" si="7"/>
        <v>31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4</v>
      </c>
      <c r="AA15" s="17">
        <f t="shared" si="7"/>
        <v>7</v>
      </c>
      <c r="AB15" s="17">
        <f t="shared" si="7"/>
        <v>2</v>
      </c>
      <c r="AC15" s="17">
        <f t="shared" si="7"/>
        <v>162</v>
      </c>
      <c r="AD15" s="17">
        <f t="shared" si="7"/>
        <v>0</v>
      </c>
      <c r="AE15" s="31">
        <f t="shared" si="7"/>
        <v>186</v>
      </c>
      <c r="AF15" s="31">
        <f t="shared" si="7"/>
        <v>348</v>
      </c>
    </row>
    <row r="16" spans="2:32" ht="23.1" customHeight="1" x14ac:dyDescent="0.25">
      <c r="B16" s="23" t="s">
        <v>43</v>
      </c>
      <c r="C16" s="52">
        <v>23</v>
      </c>
      <c r="D16" s="52">
        <v>8</v>
      </c>
      <c r="E16" s="52">
        <v>1</v>
      </c>
      <c r="F16" s="52">
        <v>6</v>
      </c>
      <c r="G16" s="52">
        <v>0</v>
      </c>
      <c r="H16" s="52">
        <v>0</v>
      </c>
      <c r="I16" s="52">
        <v>1</v>
      </c>
      <c r="J16" s="52">
        <v>0</v>
      </c>
      <c r="K16" s="52">
        <v>0</v>
      </c>
      <c r="L16" s="52">
        <v>0</v>
      </c>
      <c r="M16" s="52">
        <v>53</v>
      </c>
      <c r="N16" s="52">
        <v>0</v>
      </c>
      <c r="O16" s="15">
        <f t="shared" si="0"/>
        <v>39</v>
      </c>
      <c r="P16" s="15">
        <f t="shared" si="1"/>
        <v>92</v>
      </c>
      <c r="R16" s="1" t="s">
        <v>12</v>
      </c>
      <c r="S16" s="17">
        <f t="shared" ref="S16:AF16" si="8">SUM(C34:C37)</f>
        <v>75</v>
      </c>
      <c r="T16" s="17">
        <f t="shared" si="8"/>
        <v>20</v>
      </c>
      <c r="U16" s="17">
        <f t="shared" si="8"/>
        <v>7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2</v>
      </c>
      <c r="AA16" s="17">
        <f t="shared" si="8"/>
        <v>4</v>
      </c>
      <c r="AB16" s="17">
        <f t="shared" si="8"/>
        <v>1</v>
      </c>
      <c r="AC16" s="17">
        <f t="shared" si="8"/>
        <v>145</v>
      </c>
      <c r="AD16" s="17">
        <f t="shared" si="8"/>
        <v>0</v>
      </c>
      <c r="AE16" s="31">
        <f t="shared" si="8"/>
        <v>128</v>
      </c>
      <c r="AF16" s="31">
        <f t="shared" si="8"/>
        <v>273</v>
      </c>
    </row>
    <row r="17" spans="2:32" ht="23.1" customHeight="1" x14ac:dyDescent="0.25">
      <c r="B17" s="23" t="s">
        <v>44</v>
      </c>
      <c r="C17" s="52">
        <v>26</v>
      </c>
      <c r="D17" s="52">
        <v>3</v>
      </c>
      <c r="E17" s="52">
        <v>0</v>
      </c>
      <c r="F17" s="52">
        <v>12</v>
      </c>
      <c r="G17" s="52">
        <v>0</v>
      </c>
      <c r="H17" s="52">
        <v>0</v>
      </c>
      <c r="I17" s="52">
        <v>2</v>
      </c>
      <c r="J17" s="52">
        <v>0</v>
      </c>
      <c r="K17" s="52">
        <v>0</v>
      </c>
      <c r="L17" s="52">
        <v>0</v>
      </c>
      <c r="M17" s="52">
        <v>60</v>
      </c>
      <c r="N17" s="52">
        <v>0</v>
      </c>
      <c r="O17" s="15">
        <f t="shared" si="0"/>
        <v>43</v>
      </c>
      <c r="P17" s="15">
        <f t="shared" si="1"/>
        <v>103</v>
      </c>
      <c r="R17" s="1" t="s">
        <v>13</v>
      </c>
      <c r="S17" s="17">
        <f t="shared" ref="S17:AF17" si="9">SUM(C38:C41)</f>
        <v>89</v>
      </c>
      <c r="T17" s="17">
        <f t="shared" si="9"/>
        <v>13</v>
      </c>
      <c r="U17" s="17">
        <f t="shared" si="9"/>
        <v>9</v>
      </c>
      <c r="V17" s="17">
        <f t="shared" si="9"/>
        <v>21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1</v>
      </c>
      <c r="AA17" s="17">
        <f t="shared" si="9"/>
        <v>4</v>
      </c>
      <c r="AB17" s="17">
        <f t="shared" si="9"/>
        <v>0</v>
      </c>
      <c r="AC17" s="17">
        <f t="shared" si="9"/>
        <v>198</v>
      </c>
      <c r="AD17" s="17">
        <f t="shared" si="9"/>
        <v>0</v>
      </c>
      <c r="AE17" s="31">
        <f t="shared" si="9"/>
        <v>144</v>
      </c>
      <c r="AF17" s="31">
        <f t="shared" si="9"/>
        <v>342</v>
      </c>
    </row>
    <row r="18" spans="2:32" ht="23.1" customHeight="1" x14ac:dyDescent="0.25">
      <c r="B18" s="23" t="s">
        <v>45</v>
      </c>
      <c r="C18" s="52">
        <v>33</v>
      </c>
      <c r="D18" s="52">
        <v>7</v>
      </c>
      <c r="E18" s="52">
        <v>0</v>
      </c>
      <c r="F18" s="52">
        <v>10</v>
      </c>
      <c r="G18" s="52">
        <v>0</v>
      </c>
      <c r="H18" s="52">
        <v>0</v>
      </c>
      <c r="I18" s="52">
        <v>4</v>
      </c>
      <c r="J18" s="52">
        <v>1</v>
      </c>
      <c r="K18" s="52">
        <v>0</v>
      </c>
      <c r="L18" s="52">
        <v>0</v>
      </c>
      <c r="M18" s="52">
        <v>70</v>
      </c>
      <c r="N18" s="52">
        <v>0</v>
      </c>
      <c r="O18" s="15">
        <f t="shared" si="0"/>
        <v>55</v>
      </c>
      <c r="P18" s="15">
        <f t="shared" si="1"/>
        <v>125</v>
      </c>
      <c r="R18" s="1" t="s">
        <v>14</v>
      </c>
      <c r="S18" s="17">
        <f t="shared" ref="S18:AF18" si="10">SUM(C42:C45)</f>
        <v>74</v>
      </c>
      <c r="T18" s="17">
        <f t="shared" si="10"/>
        <v>14</v>
      </c>
      <c r="U18" s="17">
        <f t="shared" si="10"/>
        <v>5</v>
      </c>
      <c r="V18" s="17">
        <f t="shared" si="10"/>
        <v>19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4</v>
      </c>
      <c r="AB18" s="17">
        <f t="shared" si="10"/>
        <v>0</v>
      </c>
      <c r="AC18" s="17">
        <f t="shared" si="10"/>
        <v>197</v>
      </c>
      <c r="AD18" s="17">
        <f t="shared" si="10"/>
        <v>0</v>
      </c>
      <c r="AE18" s="31">
        <f t="shared" si="10"/>
        <v>126</v>
      </c>
      <c r="AF18" s="31">
        <f t="shared" si="10"/>
        <v>323</v>
      </c>
    </row>
    <row r="19" spans="2:32" ht="23.1" customHeight="1" x14ac:dyDescent="0.25">
      <c r="B19" s="23" t="s">
        <v>46</v>
      </c>
      <c r="C19" s="52">
        <v>28</v>
      </c>
      <c r="D19" s="52">
        <v>8</v>
      </c>
      <c r="E19" s="52">
        <v>4</v>
      </c>
      <c r="F19" s="52">
        <v>8</v>
      </c>
      <c r="G19" s="52">
        <v>0</v>
      </c>
      <c r="H19" s="52">
        <v>0</v>
      </c>
      <c r="I19" s="52">
        <v>0</v>
      </c>
      <c r="J19" s="52">
        <v>1</v>
      </c>
      <c r="K19" s="52">
        <v>0</v>
      </c>
      <c r="L19" s="52">
        <v>0</v>
      </c>
      <c r="M19" s="52">
        <v>57</v>
      </c>
      <c r="N19" s="52">
        <v>0</v>
      </c>
      <c r="O19" s="15">
        <f t="shared" si="0"/>
        <v>49</v>
      </c>
      <c r="P19" s="15">
        <f t="shared" si="1"/>
        <v>106</v>
      </c>
      <c r="R19" s="1" t="s">
        <v>15</v>
      </c>
      <c r="S19" s="17">
        <f t="shared" ref="S19:AF19" si="11">SUM(C46:C49)</f>
        <v>98</v>
      </c>
      <c r="T19" s="17">
        <f t="shared" si="11"/>
        <v>18</v>
      </c>
      <c r="U19" s="17">
        <f t="shared" si="11"/>
        <v>9</v>
      </c>
      <c r="V19" s="17">
        <f t="shared" si="11"/>
        <v>25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1</v>
      </c>
      <c r="AA19" s="17">
        <f t="shared" si="11"/>
        <v>2</v>
      </c>
      <c r="AB19" s="17">
        <f t="shared" si="11"/>
        <v>0</v>
      </c>
      <c r="AC19" s="17">
        <f t="shared" si="11"/>
        <v>190</v>
      </c>
      <c r="AD19" s="17">
        <f t="shared" si="11"/>
        <v>0</v>
      </c>
      <c r="AE19" s="31">
        <f t="shared" si="11"/>
        <v>162</v>
      </c>
      <c r="AF19" s="31">
        <f t="shared" si="11"/>
        <v>352</v>
      </c>
    </row>
    <row r="20" spans="2:32" ht="23.1" customHeight="1" x14ac:dyDescent="0.25">
      <c r="B20" s="23" t="s">
        <v>47</v>
      </c>
      <c r="C20" s="52">
        <v>39</v>
      </c>
      <c r="D20" s="52">
        <v>6</v>
      </c>
      <c r="E20" s="52">
        <v>4</v>
      </c>
      <c r="F20" s="52">
        <v>12</v>
      </c>
      <c r="G20" s="52">
        <v>0</v>
      </c>
      <c r="H20" s="52">
        <v>0</v>
      </c>
      <c r="I20" s="52">
        <v>4</v>
      </c>
      <c r="J20" s="52">
        <v>1</v>
      </c>
      <c r="K20" s="52">
        <v>0</v>
      </c>
      <c r="L20" s="52">
        <v>0</v>
      </c>
      <c r="M20" s="52">
        <v>61</v>
      </c>
      <c r="N20" s="52">
        <v>0</v>
      </c>
      <c r="O20" s="15">
        <f t="shared" si="0"/>
        <v>66</v>
      </c>
      <c r="P20" s="15">
        <f t="shared" si="1"/>
        <v>127</v>
      </c>
      <c r="R20" s="1" t="s">
        <v>16</v>
      </c>
      <c r="S20" s="17">
        <f t="shared" ref="S20:AF20" si="12">SUM(C50:C53)</f>
        <v>114</v>
      </c>
      <c r="T20" s="17">
        <f t="shared" si="12"/>
        <v>11</v>
      </c>
      <c r="U20" s="17">
        <f t="shared" si="12"/>
        <v>10</v>
      </c>
      <c r="V20" s="17">
        <f t="shared" si="12"/>
        <v>21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0</v>
      </c>
      <c r="AA20" s="17">
        <f t="shared" si="12"/>
        <v>5</v>
      </c>
      <c r="AB20" s="17">
        <f t="shared" si="12"/>
        <v>0</v>
      </c>
      <c r="AC20" s="17">
        <f t="shared" si="12"/>
        <v>182</v>
      </c>
      <c r="AD20" s="17">
        <f t="shared" si="12"/>
        <v>0</v>
      </c>
      <c r="AE20" s="31">
        <f t="shared" si="12"/>
        <v>171</v>
      </c>
      <c r="AF20" s="31">
        <f t="shared" si="12"/>
        <v>353</v>
      </c>
    </row>
    <row r="21" spans="2:32" ht="23.1" customHeight="1" x14ac:dyDescent="0.25">
      <c r="B21" s="23" t="s">
        <v>48</v>
      </c>
      <c r="C21" s="52">
        <v>26</v>
      </c>
      <c r="D21" s="52">
        <v>7</v>
      </c>
      <c r="E21" s="52">
        <v>2</v>
      </c>
      <c r="F21" s="52">
        <v>10</v>
      </c>
      <c r="G21" s="52">
        <v>0</v>
      </c>
      <c r="H21" s="52">
        <v>0</v>
      </c>
      <c r="I21" s="52">
        <v>0</v>
      </c>
      <c r="J21" s="52">
        <v>1</v>
      </c>
      <c r="K21" s="52">
        <v>0</v>
      </c>
      <c r="L21" s="52">
        <v>0</v>
      </c>
      <c r="M21" s="52">
        <v>71</v>
      </c>
      <c r="N21" s="52">
        <v>0</v>
      </c>
      <c r="O21" s="15">
        <f t="shared" si="0"/>
        <v>46</v>
      </c>
      <c r="P21" s="15">
        <f t="shared" si="1"/>
        <v>117</v>
      </c>
      <c r="R21" s="36" t="s">
        <v>20</v>
      </c>
      <c r="S21" s="34">
        <f t="shared" ref="S21:AF21" si="13">SUM(C54:C57)</f>
        <v>99</v>
      </c>
      <c r="T21" s="17">
        <f t="shared" si="13"/>
        <v>11</v>
      </c>
      <c r="U21" s="17">
        <f t="shared" si="13"/>
        <v>6</v>
      </c>
      <c r="V21" s="17">
        <f t="shared" si="13"/>
        <v>28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5</v>
      </c>
      <c r="AB21" s="17">
        <f t="shared" si="13"/>
        <v>0</v>
      </c>
      <c r="AC21" s="17">
        <f t="shared" si="13"/>
        <v>206</v>
      </c>
      <c r="AD21" s="17">
        <f t="shared" si="13"/>
        <v>2</v>
      </c>
      <c r="AE21" s="31">
        <f t="shared" si="13"/>
        <v>113</v>
      </c>
      <c r="AF21" s="31">
        <f t="shared" si="13"/>
        <v>266</v>
      </c>
    </row>
    <row r="22" spans="2:32" ht="23.1" customHeight="1" x14ac:dyDescent="0.25">
      <c r="B22" s="23" t="s">
        <v>49</v>
      </c>
      <c r="C22" s="52">
        <v>44</v>
      </c>
      <c r="D22" s="52">
        <v>10</v>
      </c>
      <c r="E22" s="52">
        <v>1</v>
      </c>
      <c r="F22" s="52">
        <v>11</v>
      </c>
      <c r="G22" s="52">
        <v>0</v>
      </c>
      <c r="H22" s="52">
        <v>0</v>
      </c>
      <c r="I22" s="52">
        <v>2</v>
      </c>
      <c r="J22" s="52">
        <v>2</v>
      </c>
      <c r="K22" s="52">
        <v>0</v>
      </c>
      <c r="L22" s="52">
        <v>0</v>
      </c>
      <c r="M22" s="52">
        <v>59</v>
      </c>
      <c r="N22" s="52">
        <v>0</v>
      </c>
      <c r="O22" s="15">
        <f t="shared" si="0"/>
        <v>70</v>
      </c>
      <c r="P22" s="15">
        <f t="shared" si="1"/>
        <v>129</v>
      </c>
      <c r="R22" s="38" t="s">
        <v>90</v>
      </c>
      <c r="S22" s="39">
        <f>MAX(S10:S12)</f>
        <v>126</v>
      </c>
      <c r="T22" s="39">
        <f t="shared" ref="T22:AF22" si="14">MAX(T10:T12)</f>
        <v>28</v>
      </c>
      <c r="U22" s="39">
        <f t="shared" si="14"/>
        <v>10</v>
      </c>
      <c r="V22" s="39">
        <f t="shared" si="14"/>
        <v>40</v>
      </c>
      <c r="W22" s="39">
        <f t="shared" si="14"/>
        <v>0</v>
      </c>
      <c r="X22" s="39">
        <f t="shared" si="14"/>
        <v>0</v>
      </c>
      <c r="Y22" s="39">
        <f t="shared" si="14"/>
        <v>8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259</v>
      </c>
      <c r="AD22" s="39">
        <f t="shared" si="14"/>
        <v>0</v>
      </c>
      <c r="AE22" s="40">
        <f t="shared" si="14"/>
        <v>216</v>
      </c>
      <c r="AF22" s="40">
        <f t="shared" si="14"/>
        <v>475</v>
      </c>
    </row>
    <row r="23" spans="2:32" ht="23.1" customHeight="1" x14ac:dyDescent="0.25">
      <c r="B23" s="23" t="s">
        <v>50</v>
      </c>
      <c r="C23" s="52">
        <v>33</v>
      </c>
      <c r="D23" s="52">
        <v>4</v>
      </c>
      <c r="E23" s="52">
        <v>4</v>
      </c>
      <c r="F23" s="52">
        <v>5</v>
      </c>
      <c r="G23" s="52">
        <v>0</v>
      </c>
      <c r="H23" s="52">
        <v>0</v>
      </c>
      <c r="I23" s="52">
        <v>3</v>
      </c>
      <c r="J23" s="52">
        <v>1</v>
      </c>
      <c r="K23" s="52">
        <v>0</v>
      </c>
      <c r="L23" s="52">
        <v>0</v>
      </c>
      <c r="M23" s="52">
        <v>46</v>
      </c>
      <c r="N23" s="52">
        <v>0</v>
      </c>
      <c r="O23" s="15">
        <f t="shared" si="0"/>
        <v>50</v>
      </c>
      <c r="P23" s="15">
        <f t="shared" si="1"/>
        <v>96</v>
      </c>
      <c r="R23" s="38" t="s">
        <v>91</v>
      </c>
      <c r="S23" s="39">
        <f>MAX(S13:S18)</f>
        <v>149</v>
      </c>
      <c r="T23" s="39">
        <f t="shared" ref="T23:AF23" si="15">MAX(T13:T18)</f>
        <v>33</v>
      </c>
      <c r="U23" s="39">
        <f t="shared" si="15"/>
        <v>9</v>
      </c>
      <c r="V23" s="39">
        <f t="shared" si="15"/>
        <v>38</v>
      </c>
      <c r="W23" s="39">
        <f t="shared" si="15"/>
        <v>1</v>
      </c>
      <c r="X23" s="39">
        <f t="shared" si="15"/>
        <v>0</v>
      </c>
      <c r="Y23" s="39">
        <f t="shared" si="15"/>
        <v>8</v>
      </c>
      <c r="Z23" s="39">
        <f t="shared" si="15"/>
        <v>6</v>
      </c>
      <c r="AA23" s="39">
        <f t="shared" si="15"/>
        <v>7</v>
      </c>
      <c r="AB23" s="39">
        <f t="shared" si="15"/>
        <v>2</v>
      </c>
      <c r="AC23" s="39">
        <f t="shared" si="15"/>
        <v>243</v>
      </c>
      <c r="AD23" s="39">
        <f t="shared" si="15"/>
        <v>0</v>
      </c>
      <c r="AE23" s="40">
        <f t="shared" si="15"/>
        <v>240</v>
      </c>
      <c r="AF23" s="40">
        <f t="shared" si="15"/>
        <v>483</v>
      </c>
    </row>
    <row r="24" spans="2:32" ht="23.1" customHeight="1" x14ac:dyDescent="0.25">
      <c r="B24" s="23" t="s">
        <v>51</v>
      </c>
      <c r="C24" s="52">
        <v>37</v>
      </c>
      <c r="D24" s="52">
        <v>8</v>
      </c>
      <c r="E24" s="52">
        <v>1</v>
      </c>
      <c r="F24" s="52">
        <v>12</v>
      </c>
      <c r="G24" s="52">
        <v>1</v>
      </c>
      <c r="H24" s="52">
        <v>0</v>
      </c>
      <c r="I24" s="52">
        <v>0</v>
      </c>
      <c r="J24" s="52">
        <v>3</v>
      </c>
      <c r="K24" s="52">
        <v>0</v>
      </c>
      <c r="L24" s="52">
        <v>0</v>
      </c>
      <c r="M24" s="52">
        <v>67</v>
      </c>
      <c r="N24" s="52">
        <v>0</v>
      </c>
      <c r="O24" s="15">
        <f t="shared" si="0"/>
        <v>62</v>
      </c>
      <c r="P24" s="15">
        <f t="shared" si="1"/>
        <v>129</v>
      </c>
      <c r="R24" s="38" t="s">
        <v>92</v>
      </c>
      <c r="S24" s="39">
        <f>MAX(S19:S21)</f>
        <v>114</v>
      </c>
      <c r="T24" s="39">
        <f t="shared" ref="T24:AF24" si="16">MAX(T19:T21)</f>
        <v>18</v>
      </c>
      <c r="U24" s="39">
        <f t="shared" si="16"/>
        <v>10</v>
      </c>
      <c r="V24" s="39">
        <f t="shared" si="16"/>
        <v>28</v>
      </c>
      <c r="W24" s="39">
        <f t="shared" si="16"/>
        <v>1</v>
      </c>
      <c r="X24" s="39">
        <f t="shared" si="16"/>
        <v>0</v>
      </c>
      <c r="Y24" s="39">
        <f t="shared" si="16"/>
        <v>10</v>
      </c>
      <c r="Z24" s="39">
        <f t="shared" si="16"/>
        <v>1</v>
      </c>
      <c r="AA24" s="39">
        <f t="shared" si="16"/>
        <v>5</v>
      </c>
      <c r="AB24" s="39">
        <f t="shared" si="16"/>
        <v>0</v>
      </c>
      <c r="AC24" s="39">
        <f t="shared" si="16"/>
        <v>206</v>
      </c>
      <c r="AD24" s="39">
        <f t="shared" si="16"/>
        <v>2</v>
      </c>
      <c r="AE24" s="40">
        <f t="shared" si="16"/>
        <v>171</v>
      </c>
      <c r="AF24" s="40">
        <f t="shared" si="16"/>
        <v>353</v>
      </c>
    </row>
    <row r="25" spans="2:32" ht="23.1" customHeight="1" x14ac:dyDescent="0.25">
      <c r="B25" s="23" t="s">
        <v>52</v>
      </c>
      <c r="C25" s="52">
        <v>35</v>
      </c>
      <c r="D25" s="52">
        <v>11</v>
      </c>
      <c r="E25" s="52">
        <v>1</v>
      </c>
      <c r="F25" s="52">
        <v>10</v>
      </c>
      <c r="G25" s="52">
        <v>0</v>
      </c>
      <c r="H25" s="52">
        <v>0</v>
      </c>
      <c r="I25" s="52">
        <v>1</v>
      </c>
      <c r="J25" s="52">
        <v>0</v>
      </c>
      <c r="K25" s="52">
        <v>0</v>
      </c>
      <c r="L25" s="52">
        <v>0</v>
      </c>
      <c r="M25" s="52">
        <v>71</v>
      </c>
      <c r="N25" s="52">
        <v>0</v>
      </c>
      <c r="O25" s="15">
        <f t="shared" si="0"/>
        <v>58</v>
      </c>
      <c r="P25" s="15">
        <f t="shared" si="1"/>
        <v>129</v>
      </c>
      <c r="R25" s="37" t="s">
        <v>85</v>
      </c>
      <c r="S25" s="35">
        <f t="shared" ref="S25:AF25" si="17">SUM(S10:S12)</f>
        <v>306</v>
      </c>
      <c r="T25" s="16">
        <f t="shared" si="17"/>
        <v>68</v>
      </c>
      <c r="U25" s="16">
        <f t="shared" si="17"/>
        <v>21</v>
      </c>
      <c r="V25" s="16">
        <f t="shared" si="17"/>
        <v>107</v>
      </c>
      <c r="W25" s="16">
        <f t="shared" si="17"/>
        <v>0</v>
      </c>
      <c r="X25" s="16">
        <f t="shared" si="17"/>
        <v>0</v>
      </c>
      <c r="Y25" s="16">
        <f t="shared" si="17"/>
        <v>23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627</v>
      </c>
      <c r="AD25" s="16">
        <f t="shared" si="17"/>
        <v>0</v>
      </c>
      <c r="AE25" s="32">
        <f t="shared" si="17"/>
        <v>529</v>
      </c>
      <c r="AF25" s="32">
        <f t="shared" si="17"/>
        <v>1156</v>
      </c>
    </row>
    <row r="26" spans="2:32" ht="23.1" customHeight="1" x14ac:dyDescent="0.25">
      <c r="B26" s="23" t="s">
        <v>53</v>
      </c>
      <c r="C26" s="52">
        <v>34</v>
      </c>
      <c r="D26" s="52">
        <v>11</v>
      </c>
      <c r="E26" s="52">
        <v>4</v>
      </c>
      <c r="F26" s="52">
        <v>4</v>
      </c>
      <c r="G26" s="52">
        <v>0</v>
      </c>
      <c r="H26" s="52">
        <v>0</v>
      </c>
      <c r="I26" s="52">
        <v>3</v>
      </c>
      <c r="J26" s="52">
        <v>0</v>
      </c>
      <c r="K26" s="52">
        <v>0</v>
      </c>
      <c r="L26" s="52">
        <v>0</v>
      </c>
      <c r="M26" s="52">
        <v>54</v>
      </c>
      <c r="N26" s="52">
        <v>0</v>
      </c>
      <c r="O26" s="15">
        <f t="shared" si="0"/>
        <v>56</v>
      </c>
      <c r="P26" s="15">
        <f t="shared" si="1"/>
        <v>110</v>
      </c>
      <c r="R26" s="28" t="s">
        <v>86</v>
      </c>
      <c r="S26" s="16">
        <f t="shared" ref="S26:AF26" si="18">SUM(S13:S18)</f>
        <v>632</v>
      </c>
      <c r="T26" s="16">
        <f t="shared" si="18"/>
        <v>127</v>
      </c>
      <c r="U26" s="16">
        <f t="shared" si="18"/>
        <v>45</v>
      </c>
      <c r="V26" s="16">
        <f t="shared" si="18"/>
        <v>157</v>
      </c>
      <c r="W26" s="16">
        <f t="shared" si="18"/>
        <v>2</v>
      </c>
      <c r="X26" s="16">
        <f t="shared" si="18"/>
        <v>0</v>
      </c>
      <c r="Y26" s="16">
        <f t="shared" si="18"/>
        <v>41</v>
      </c>
      <c r="Z26" s="16">
        <f t="shared" si="18"/>
        <v>18</v>
      </c>
      <c r="AA26" s="16">
        <f t="shared" si="18"/>
        <v>19</v>
      </c>
      <c r="AB26" s="16">
        <f t="shared" si="18"/>
        <v>4</v>
      </c>
      <c r="AC26" s="16">
        <f t="shared" si="18"/>
        <v>1182</v>
      </c>
      <c r="AD26" s="16">
        <f t="shared" si="18"/>
        <v>0</v>
      </c>
      <c r="AE26" s="32">
        <f t="shared" si="18"/>
        <v>1045</v>
      </c>
      <c r="AF26" s="32">
        <f t="shared" si="18"/>
        <v>2227</v>
      </c>
    </row>
    <row r="27" spans="2:32" ht="23.1" customHeight="1" x14ac:dyDescent="0.25">
      <c r="B27" s="23" t="s">
        <v>54</v>
      </c>
      <c r="C27" s="52">
        <v>30</v>
      </c>
      <c r="D27" s="52">
        <v>5</v>
      </c>
      <c r="E27" s="52">
        <v>2</v>
      </c>
      <c r="F27" s="52">
        <v>11</v>
      </c>
      <c r="G27" s="52">
        <v>0</v>
      </c>
      <c r="H27" s="52">
        <v>0</v>
      </c>
      <c r="I27" s="52">
        <v>2</v>
      </c>
      <c r="J27" s="52">
        <v>2</v>
      </c>
      <c r="K27" s="52">
        <v>0</v>
      </c>
      <c r="L27" s="52">
        <v>0</v>
      </c>
      <c r="M27" s="52">
        <v>52</v>
      </c>
      <c r="N27" s="52">
        <v>0</v>
      </c>
      <c r="O27" s="15">
        <f t="shared" si="0"/>
        <v>52</v>
      </c>
      <c r="P27" s="15">
        <f t="shared" si="1"/>
        <v>104</v>
      </c>
      <c r="R27" s="29" t="s">
        <v>87</v>
      </c>
      <c r="S27" s="16">
        <f t="shared" ref="S27:AF27" si="19">SUM(S19:S21)</f>
        <v>311</v>
      </c>
      <c r="T27" s="16">
        <f t="shared" si="19"/>
        <v>40</v>
      </c>
      <c r="U27" s="16">
        <f t="shared" si="19"/>
        <v>25</v>
      </c>
      <c r="V27" s="16">
        <f t="shared" si="19"/>
        <v>74</v>
      </c>
      <c r="W27" s="16">
        <f t="shared" si="19"/>
        <v>1</v>
      </c>
      <c r="X27" s="16">
        <f t="shared" si="19"/>
        <v>0</v>
      </c>
      <c r="Y27" s="16">
        <f t="shared" si="19"/>
        <v>25</v>
      </c>
      <c r="Z27" s="16">
        <f t="shared" si="19"/>
        <v>2</v>
      </c>
      <c r="AA27" s="16">
        <f t="shared" si="19"/>
        <v>12</v>
      </c>
      <c r="AB27" s="16">
        <f t="shared" si="19"/>
        <v>0</v>
      </c>
      <c r="AC27" s="16">
        <f t="shared" si="19"/>
        <v>578</v>
      </c>
      <c r="AD27" s="16">
        <f t="shared" si="19"/>
        <v>2</v>
      </c>
      <c r="AE27" s="32">
        <f t="shared" si="19"/>
        <v>446</v>
      </c>
      <c r="AF27" s="32">
        <f t="shared" si="19"/>
        <v>971</v>
      </c>
    </row>
    <row r="28" spans="2:32" ht="23.1" customHeight="1" x14ac:dyDescent="0.25">
      <c r="B28" s="23" t="s">
        <v>55</v>
      </c>
      <c r="C28" s="52">
        <v>37</v>
      </c>
      <c r="D28" s="52">
        <v>4</v>
      </c>
      <c r="E28" s="52">
        <v>1</v>
      </c>
      <c r="F28" s="52">
        <v>7</v>
      </c>
      <c r="G28" s="52">
        <v>0</v>
      </c>
      <c r="H28" s="52">
        <v>0</v>
      </c>
      <c r="I28" s="52">
        <v>1</v>
      </c>
      <c r="J28" s="52">
        <v>1</v>
      </c>
      <c r="K28" s="52">
        <v>0</v>
      </c>
      <c r="L28" s="52">
        <v>0</v>
      </c>
      <c r="M28" s="52">
        <v>70</v>
      </c>
      <c r="N28" s="52">
        <v>0</v>
      </c>
      <c r="O28" s="15">
        <f t="shared" si="0"/>
        <v>51</v>
      </c>
      <c r="P28" s="15">
        <f t="shared" si="1"/>
        <v>121</v>
      </c>
      <c r="R28" s="5" t="s">
        <v>17</v>
      </c>
      <c r="S28" s="16">
        <f t="shared" ref="S28:AF28" si="20">SUM(S10:S21)</f>
        <v>1249</v>
      </c>
      <c r="T28" s="16">
        <f t="shared" si="20"/>
        <v>235</v>
      </c>
      <c r="U28" s="16">
        <f t="shared" si="20"/>
        <v>91</v>
      </c>
      <c r="V28" s="16">
        <f t="shared" si="20"/>
        <v>338</v>
      </c>
      <c r="W28" s="16">
        <f t="shared" si="20"/>
        <v>3</v>
      </c>
      <c r="X28" s="16">
        <f t="shared" si="20"/>
        <v>0</v>
      </c>
      <c r="Y28" s="16">
        <f t="shared" si="20"/>
        <v>89</v>
      </c>
      <c r="Z28" s="16">
        <f t="shared" si="20"/>
        <v>24</v>
      </c>
      <c r="AA28" s="16">
        <f t="shared" si="20"/>
        <v>31</v>
      </c>
      <c r="AB28" s="16">
        <f t="shared" si="20"/>
        <v>4</v>
      </c>
      <c r="AC28" s="16">
        <f t="shared" si="20"/>
        <v>2387</v>
      </c>
      <c r="AD28" s="16">
        <f t="shared" si="20"/>
        <v>2</v>
      </c>
      <c r="AE28" s="32">
        <f t="shared" si="20"/>
        <v>2020</v>
      </c>
      <c r="AF28" s="32">
        <f t="shared" si="20"/>
        <v>4354</v>
      </c>
    </row>
    <row r="29" spans="2:32" ht="23.1" customHeight="1" x14ac:dyDescent="0.25">
      <c r="B29" s="23" t="s">
        <v>56</v>
      </c>
      <c r="C29" s="52">
        <v>39</v>
      </c>
      <c r="D29" s="52">
        <v>7</v>
      </c>
      <c r="E29" s="52">
        <v>1</v>
      </c>
      <c r="F29" s="52">
        <v>12</v>
      </c>
      <c r="G29" s="52">
        <v>0</v>
      </c>
      <c r="H29" s="52">
        <v>0</v>
      </c>
      <c r="I29" s="52">
        <v>2</v>
      </c>
      <c r="J29" s="52">
        <v>0</v>
      </c>
      <c r="K29" s="52">
        <v>0</v>
      </c>
      <c r="L29" s="52">
        <v>1</v>
      </c>
      <c r="M29" s="52">
        <v>61</v>
      </c>
      <c r="N29" s="52">
        <v>0</v>
      </c>
      <c r="O29" s="15">
        <f t="shared" si="0"/>
        <v>62</v>
      </c>
      <c r="P29" s="15">
        <f t="shared" si="1"/>
        <v>123</v>
      </c>
      <c r="R29"/>
      <c r="S29" s="20"/>
      <c r="T29" s="19"/>
    </row>
    <row r="30" spans="2:32" ht="23.1" customHeight="1" x14ac:dyDescent="0.25">
      <c r="B30" s="23" t="s">
        <v>57</v>
      </c>
      <c r="C30" s="52">
        <v>24</v>
      </c>
      <c r="D30" s="52">
        <v>6</v>
      </c>
      <c r="E30" s="52">
        <v>4</v>
      </c>
      <c r="F30" s="52">
        <v>7</v>
      </c>
      <c r="G30" s="52">
        <v>0</v>
      </c>
      <c r="H30" s="52">
        <v>0</v>
      </c>
      <c r="I30" s="52">
        <v>3</v>
      </c>
      <c r="J30" s="52">
        <v>0</v>
      </c>
      <c r="K30" s="52">
        <v>3</v>
      </c>
      <c r="L30" s="52">
        <v>0</v>
      </c>
      <c r="M30" s="52">
        <v>61</v>
      </c>
      <c r="N30" s="52">
        <v>0</v>
      </c>
      <c r="O30" s="15">
        <f t="shared" si="0"/>
        <v>47</v>
      </c>
      <c r="P30" s="15">
        <f t="shared" si="1"/>
        <v>108</v>
      </c>
    </row>
    <row r="31" spans="2:32" ht="23.1" customHeight="1" x14ac:dyDescent="0.25">
      <c r="B31" s="24" t="s">
        <v>58</v>
      </c>
      <c r="C31" s="52">
        <v>24</v>
      </c>
      <c r="D31" s="52">
        <v>5</v>
      </c>
      <c r="E31" s="52">
        <v>4</v>
      </c>
      <c r="F31" s="52">
        <v>11</v>
      </c>
      <c r="G31" s="52">
        <v>0</v>
      </c>
      <c r="H31" s="52">
        <v>0</v>
      </c>
      <c r="I31" s="52">
        <v>1</v>
      </c>
      <c r="J31" s="52">
        <v>0</v>
      </c>
      <c r="K31" s="52">
        <v>0</v>
      </c>
      <c r="L31" s="52">
        <v>0</v>
      </c>
      <c r="M31" s="52">
        <v>40</v>
      </c>
      <c r="N31" s="52">
        <v>0</v>
      </c>
      <c r="O31" s="15">
        <f t="shared" si="0"/>
        <v>45</v>
      </c>
      <c r="P31" s="15">
        <f t="shared" si="1"/>
        <v>85</v>
      </c>
    </row>
    <row r="32" spans="2:32" ht="23.1" customHeight="1" x14ac:dyDescent="0.25">
      <c r="B32" s="24" t="s">
        <v>59</v>
      </c>
      <c r="C32" s="52">
        <v>29</v>
      </c>
      <c r="D32" s="52">
        <v>4</v>
      </c>
      <c r="E32" s="52">
        <v>1</v>
      </c>
      <c r="F32" s="52">
        <v>5</v>
      </c>
      <c r="G32" s="52">
        <v>0</v>
      </c>
      <c r="H32" s="52">
        <v>0</v>
      </c>
      <c r="I32" s="52">
        <v>0</v>
      </c>
      <c r="J32" s="52">
        <v>4</v>
      </c>
      <c r="K32" s="52">
        <v>0</v>
      </c>
      <c r="L32" s="52">
        <v>2</v>
      </c>
      <c r="M32" s="52">
        <v>28</v>
      </c>
      <c r="N32" s="52">
        <v>0</v>
      </c>
      <c r="O32" s="15">
        <f t="shared" si="0"/>
        <v>45</v>
      </c>
      <c r="P32" s="15">
        <f t="shared" si="1"/>
        <v>73</v>
      </c>
    </row>
    <row r="33" spans="2:20" ht="23.1" customHeight="1" x14ac:dyDescent="0.25">
      <c r="B33" s="23" t="s">
        <v>60</v>
      </c>
      <c r="C33" s="52">
        <v>28</v>
      </c>
      <c r="D33" s="52">
        <v>5</v>
      </c>
      <c r="E33" s="52">
        <v>0</v>
      </c>
      <c r="F33" s="52">
        <v>8</v>
      </c>
      <c r="G33" s="52">
        <v>1</v>
      </c>
      <c r="H33" s="52">
        <v>0</v>
      </c>
      <c r="I33" s="52">
        <v>3</v>
      </c>
      <c r="J33" s="52">
        <v>0</v>
      </c>
      <c r="K33" s="52">
        <v>4</v>
      </c>
      <c r="L33" s="52">
        <v>0</v>
      </c>
      <c r="M33" s="52">
        <v>33</v>
      </c>
      <c r="N33" s="52">
        <v>0</v>
      </c>
      <c r="O33" s="15">
        <f t="shared" si="0"/>
        <v>49</v>
      </c>
      <c r="P33" s="15">
        <f t="shared" si="1"/>
        <v>82</v>
      </c>
    </row>
    <row r="34" spans="2:20" ht="23.1" customHeight="1" x14ac:dyDescent="0.25">
      <c r="B34" s="24" t="s">
        <v>61</v>
      </c>
      <c r="C34" s="52">
        <v>13</v>
      </c>
      <c r="D34" s="52">
        <v>7</v>
      </c>
      <c r="E34" s="52">
        <v>2</v>
      </c>
      <c r="F34" s="52">
        <v>6</v>
      </c>
      <c r="G34" s="52">
        <v>0</v>
      </c>
      <c r="H34" s="52">
        <v>0</v>
      </c>
      <c r="I34" s="52">
        <v>0</v>
      </c>
      <c r="J34" s="52">
        <v>0</v>
      </c>
      <c r="K34" s="52">
        <v>0</v>
      </c>
      <c r="L34" s="52">
        <v>1</v>
      </c>
      <c r="M34" s="52">
        <v>29</v>
      </c>
      <c r="N34" s="52">
        <v>0</v>
      </c>
      <c r="O34" s="15">
        <f t="shared" si="0"/>
        <v>29</v>
      </c>
      <c r="P34" s="15">
        <f t="shared" si="1"/>
        <v>58</v>
      </c>
    </row>
    <row r="35" spans="2:20" ht="23.1" customHeight="1" x14ac:dyDescent="0.25">
      <c r="B35" s="24" t="s">
        <v>62</v>
      </c>
      <c r="C35" s="52">
        <v>21</v>
      </c>
      <c r="D35" s="52">
        <v>4</v>
      </c>
      <c r="E35" s="52">
        <v>1</v>
      </c>
      <c r="F35" s="52">
        <v>2</v>
      </c>
      <c r="G35" s="52">
        <v>0</v>
      </c>
      <c r="H35" s="52">
        <v>0</v>
      </c>
      <c r="I35" s="52">
        <v>3</v>
      </c>
      <c r="J35" s="52">
        <v>1</v>
      </c>
      <c r="K35" s="52">
        <v>1</v>
      </c>
      <c r="L35" s="52">
        <v>0</v>
      </c>
      <c r="M35" s="52">
        <v>36</v>
      </c>
      <c r="N35" s="52">
        <v>0</v>
      </c>
      <c r="O35" s="15">
        <f t="shared" si="0"/>
        <v>33</v>
      </c>
      <c r="P35" s="15">
        <f t="shared" si="1"/>
        <v>69</v>
      </c>
    </row>
    <row r="36" spans="2:20" ht="23.1" customHeight="1" x14ac:dyDescent="0.25">
      <c r="B36" s="24" t="s">
        <v>63</v>
      </c>
      <c r="C36" s="52">
        <v>21</v>
      </c>
      <c r="D36" s="52">
        <v>8</v>
      </c>
      <c r="E36" s="52">
        <v>3</v>
      </c>
      <c r="F36" s="52">
        <v>3</v>
      </c>
      <c r="G36" s="52">
        <v>0</v>
      </c>
      <c r="H36" s="52">
        <v>0</v>
      </c>
      <c r="I36" s="52">
        <v>1</v>
      </c>
      <c r="J36" s="52">
        <v>0</v>
      </c>
      <c r="K36" s="52">
        <v>2</v>
      </c>
      <c r="L36" s="52">
        <v>0</v>
      </c>
      <c r="M36" s="52">
        <v>42</v>
      </c>
      <c r="N36" s="52">
        <v>0</v>
      </c>
      <c r="O36" s="15">
        <f t="shared" si="0"/>
        <v>38</v>
      </c>
      <c r="P36" s="15">
        <f t="shared" si="1"/>
        <v>80</v>
      </c>
    </row>
    <row r="37" spans="2:20" ht="23.1" customHeight="1" x14ac:dyDescent="0.25">
      <c r="B37" s="23" t="s">
        <v>64</v>
      </c>
      <c r="C37" s="52">
        <v>20</v>
      </c>
      <c r="D37" s="52">
        <v>1</v>
      </c>
      <c r="E37" s="52">
        <v>1</v>
      </c>
      <c r="F37" s="52">
        <v>3</v>
      </c>
      <c r="G37" s="52">
        <v>0</v>
      </c>
      <c r="H37" s="52">
        <v>0</v>
      </c>
      <c r="I37" s="52">
        <v>1</v>
      </c>
      <c r="J37" s="52">
        <v>1</v>
      </c>
      <c r="K37" s="52">
        <v>1</v>
      </c>
      <c r="L37" s="52">
        <v>0</v>
      </c>
      <c r="M37" s="52">
        <v>38</v>
      </c>
      <c r="N37" s="52">
        <v>0</v>
      </c>
      <c r="O37" s="15">
        <f t="shared" si="0"/>
        <v>28</v>
      </c>
      <c r="P37" s="15">
        <f t="shared" si="1"/>
        <v>66</v>
      </c>
    </row>
    <row r="38" spans="2:20" ht="23.1" customHeight="1" x14ac:dyDescent="0.25">
      <c r="B38" s="24" t="s">
        <v>65</v>
      </c>
      <c r="C38" s="52">
        <v>23</v>
      </c>
      <c r="D38" s="52">
        <v>4</v>
      </c>
      <c r="E38" s="52">
        <v>0</v>
      </c>
      <c r="F38" s="52">
        <v>2</v>
      </c>
      <c r="G38" s="52">
        <v>0</v>
      </c>
      <c r="H38" s="52">
        <v>0</v>
      </c>
      <c r="I38" s="52">
        <v>0</v>
      </c>
      <c r="J38" s="52">
        <v>1</v>
      </c>
      <c r="K38" s="52">
        <v>0</v>
      </c>
      <c r="L38" s="52">
        <v>0</v>
      </c>
      <c r="M38" s="52">
        <v>46</v>
      </c>
      <c r="N38" s="52">
        <v>0</v>
      </c>
      <c r="O38" s="15">
        <f t="shared" si="0"/>
        <v>30</v>
      </c>
      <c r="P38" s="15">
        <f t="shared" si="1"/>
        <v>76</v>
      </c>
    </row>
    <row r="39" spans="2:20" ht="23.1" customHeight="1" x14ac:dyDescent="0.25">
      <c r="B39" s="24" t="s">
        <v>66</v>
      </c>
      <c r="C39" s="52">
        <v>40</v>
      </c>
      <c r="D39" s="52">
        <v>4</v>
      </c>
      <c r="E39" s="52">
        <v>3</v>
      </c>
      <c r="F39" s="52">
        <v>9</v>
      </c>
      <c r="G39" s="52">
        <v>0</v>
      </c>
      <c r="H39" s="52">
        <v>0</v>
      </c>
      <c r="I39" s="52">
        <v>3</v>
      </c>
      <c r="J39" s="52">
        <v>0</v>
      </c>
      <c r="K39" s="52">
        <v>0</v>
      </c>
      <c r="L39" s="52">
        <v>0</v>
      </c>
      <c r="M39" s="52">
        <v>60</v>
      </c>
      <c r="N39" s="52">
        <v>0</v>
      </c>
      <c r="O39" s="15">
        <f t="shared" si="0"/>
        <v>59</v>
      </c>
      <c r="P39" s="15">
        <f t="shared" si="1"/>
        <v>119</v>
      </c>
    </row>
    <row r="40" spans="2:20" ht="23.1" customHeight="1" x14ac:dyDescent="0.25">
      <c r="B40" s="24" t="s">
        <v>67</v>
      </c>
      <c r="C40" s="52">
        <v>10</v>
      </c>
      <c r="D40" s="52">
        <v>2</v>
      </c>
      <c r="E40" s="52">
        <v>3</v>
      </c>
      <c r="F40" s="52">
        <v>1</v>
      </c>
      <c r="G40" s="52">
        <v>0</v>
      </c>
      <c r="H40" s="52">
        <v>0</v>
      </c>
      <c r="I40" s="52">
        <v>2</v>
      </c>
      <c r="J40" s="52">
        <v>0</v>
      </c>
      <c r="K40" s="52">
        <v>4</v>
      </c>
      <c r="L40" s="52">
        <v>0</v>
      </c>
      <c r="M40" s="52">
        <v>47</v>
      </c>
      <c r="N40" s="52">
        <v>0</v>
      </c>
      <c r="O40" s="15">
        <f t="shared" si="0"/>
        <v>22</v>
      </c>
      <c r="P40" s="15">
        <f t="shared" si="1"/>
        <v>69</v>
      </c>
    </row>
    <row r="41" spans="2:20" ht="23.1" customHeight="1" x14ac:dyDescent="0.25">
      <c r="B41" s="23" t="s">
        <v>68</v>
      </c>
      <c r="C41" s="52">
        <v>16</v>
      </c>
      <c r="D41" s="52">
        <v>3</v>
      </c>
      <c r="E41" s="52">
        <v>3</v>
      </c>
      <c r="F41" s="52">
        <v>9</v>
      </c>
      <c r="G41" s="52">
        <v>0</v>
      </c>
      <c r="H41" s="52">
        <v>0</v>
      </c>
      <c r="I41" s="52">
        <v>2</v>
      </c>
      <c r="J41" s="52">
        <v>0</v>
      </c>
      <c r="K41" s="52">
        <v>0</v>
      </c>
      <c r="L41" s="52">
        <v>0</v>
      </c>
      <c r="M41" s="52">
        <v>45</v>
      </c>
      <c r="N41" s="52">
        <v>0</v>
      </c>
      <c r="O41" s="15">
        <f t="shared" si="0"/>
        <v>33</v>
      </c>
      <c r="P41" s="15">
        <f t="shared" si="1"/>
        <v>78</v>
      </c>
    </row>
    <row r="42" spans="2:20" ht="23.1" customHeight="1" x14ac:dyDescent="0.25">
      <c r="B42" s="24" t="s">
        <v>69</v>
      </c>
      <c r="C42" s="52">
        <v>18</v>
      </c>
      <c r="D42" s="52">
        <v>5</v>
      </c>
      <c r="E42" s="52">
        <v>2</v>
      </c>
      <c r="F42" s="52">
        <v>4</v>
      </c>
      <c r="G42" s="52">
        <v>0</v>
      </c>
      <c r="H42" s="52">
        <v>0</v>
      </c>
      <c r="I42" s="52">
        <v>3</v>
      </c>
      <c r="J42" s="52">
        <v>0</v>
      </c>
      <c r="K42" s="52">
        <v>1</v>
      </c>
      <c r="L42" s="52">
        <v>0</v>
      </c>
      <c r="M42" s="52">
        <v>30</v>
      </c>
      <c r="N42" s="52">
        <v>0</v>
      </c>
      <c r="O42" s="15">
        <f t="shared" si="0"/>
        <v>33</v>
      </c>
      <c r="P42" s="15">
        <f t="shared" si="1"/>
        <v>63</v>
      </c>
    </row>
    <row r="43" spans="2:20" ht="23.1" customHeight="1" x14ac:dyDescent="0.25">
      <c r="B43" s="23" t="s">
        <v>70</v>
      </c>
      <c r="C43" s="52">
        <v>18</v>
      </c>
      <c r="D43" s="52">
        <v>4</v>
      </c>
      <c r="E43" s="52">
        <v>0</v>
      </c>
      <c r="F43" s="52">
        <v>4</v>
      </c>
      <c r="G43" s="52">
        <v>0</v>
      </c>
      <c r="H43" s="52">
        <v>0</v>
      </c>
      <c r="I43" s="52">
        <v>0</v>
      </c>
      <c r="J43" s="52">
        <v>1</v>
      </c>
      <c r="K43" s="52">
        <v>0</v>
      </c>
      <c r="L43" s="52">
        <v>0</v>
      </c>
      <c r="M43" s="52">
        <v>44</v>
      </c>
      <c r="N43" s="52">
        <v>0</v>
      </c>
      <c r="O43" s="15">
        <f t="shared" si="0"/>
        <v>27</v>
      </c>
      <c r="P43" s="15">
        <f t="shared" si="1"/>
        <v>71</v>
      </c>
    </row>
    <row r="44" spans="2:20" ht="23.1" customHeight="1" x14ac:dyDescent="0.25">
      <c r="B44" s="25" t="s">
        <v>71</v>
      </c>
      <c r="C44" s="52">
        <v>25</v>
      </c>
      <c r="D44" s="52">
        <v>3</v>
      </c>
      <c r="E44" s="52">
        <v>2</v>
      </c>
      <c r="F44" s="52">
        <v>7</v>
      </c>
      <c r="G44" s="52">
        <v>0</v>
      </c>
      <c r="H44" s="52">
        <v>0</v>
      </c>
      <c r="I44" s="52">
        <v>2</v>
      </c>
      <c r="J44" s="52">
        <v>0</v>
      </c>
      <c r="K44" s="52">
        <v>2</v>
      </c>
      <c r="L44" s="52">
        <v>0</v>
      </c>
      <c r="M44" s="52">
        <v>60</v>
      </c>
      <c r="N44" s="52">
        <v>0</v>
      </c>
      <c r="O44" s="15">
        <f t="shared" si="0"/>
        <v>41</v>
      </c>
      <c r="P44" s="15">
        <f t="shared" si="1"/>
        <v>101</v>
      </c>
    </row>
    <row r="45" spans="2:20" ht="23.1" customHeight="1" x14ac:dyDescent="0.25">
      <c r="B45" s="23" t="s">
        <v>72</v>
      </c>
      <c r="C45" s="52">
        <v>13</v>
      </c>
      <c r="D45" s="52">
        <v>2</v>
      </c>
      <c r="E45" s="52">
        <v>1</v>
      </c>
      <c r="F45" s="52">
        <v>4</v>
      </c>
      <c r="G45" s="52">
        <v>0</v>
      </c>
      <c r="H45" s="52">
        <v>0</v>
      </c>
      <c r="I45" s="52">
        <v>3</v>
      </c>
      <c r="J45" s="52">
        <v>1</v>
      </c>
      <c r="K45" s="52">
        <v>1</v>
      </c>
      <c r="L45" s="52">
        <v>0</v>
      </c>
      <c r="M45" s="52">
        <v>63</v>
      </c>
      <c r="N45" s="52">
        <v>0</v>
      </c>
      <c r="O45" s="15">
        <f t="shared" si="0"/>
        <v>25</v>
      </c>
      <c r="P45" s="15">
        <f t="shared" si="1"/>
        <v>88</v>
      </c>
    </row>
    <row r="46" spans="2:20" ht="23.1" customHeight="1" x14ac:dyDescent="0.25">
      <c r="B46" s="24" t="s">
        <v>73</v>
      </c>
      <c r="C46" s="52">
        <v>29</v>
      </c>
      <c r="D46" s="52">
        <v>6</v>
      </c>
      <c r="E46" s="52">
        <v>1</v>
      </c>
      <c r="F46" s="52">
        <v>7</v>
      </c>
      <c r="G46" s="52">
        <v>0</v>
      </c>
      <c r="H46" s="52">
        <v>0</v>
      </c>
      <c r="I46" s="52">
        <v>3</v>
      </c>
      <c r="J46" s="52">
        <v>1</v>
      </c>
      <c r="K46" s="52">
        <v>1</v>
      </c>
      <c r="L46" s="52">
        <v>0</v>
      </c>
      <c r="M46" s="52">
        <v>26</v>
      </c>
      <c r="N46" s="52">
        <v>0</v>
      </c>
      <c r="O46" s="15">
        <f t="shared" si="0"/>
        <v>48</v>
      </c>
      <c r="P46" s="15">
        <f t="shared" si="1"/>
        <v>74</v>
      </c>
      <c r="R46" s="8"/>
      <c r="T46"/>
    </row>
    <row r="47" spans="2:20" ht="23.1" customHeight="1" x14ac:dyDescent="0.25">
      <c r="B47" s="24" t="s">
        <v>74</v>
      </c>
      <c r="C47" s="52">
        <v>24</v>
      </c>
      <c r="D47" s="52">
        <v>4</v>
      </c>
      <c r="E47" s="52">
        <v>1</v>
      </c>
      <c r="F47" s="52">
        <v>7</v>
      </c>
      <c r="G47" s="52">
        <v>0</v>
      </c>
      <c r="H47" s="52">
        <v>0</v>
      </c>
      <c r="I47" s="52">
        <v>0</v>
      </c>
      <c r="J47" s="52">
        <v>0</v>
      </c>
      <c r="K47" s="52">
        <v>0</v>
      </c>
      <c r="L47" s="52">
        <v>0</v>
      </c>
      <c r="M47" s="52">
        <v>60</v>
      </c>
      <c r="N47" s="52">
        <v>0</v>
      </c>
      <c r="O47" s="15">
        <f t="shared" si="0"/>
        <v>36</v>
      </c>
      <c r="P47" s="15">
        <f t="shared" si="1"/>
        <v>96</v>
      </c>
      <c r="R47" s="8"/>
      <c r="T47"/>
    </row>
    <row r="48" spans="2:20" ht="23.1" customHeight="1" x14ac:dyDescent="0.25">
      <c r="B48" s="24" t="s">
        <v>75</v>
      </c>
      <c r="C48" s="52">
        <v>22</v>
      </c>
      <c r="D48" s="52">
        <v>4</v>
      </c>
      <c r="E48" s="52">
        <v>5</v>
      </c>
      <c r="F48" s="52">
        <v>6</v>
      </c>
      <c r="G48" s="52">
        <v>0</v>
      </c>
      <c r="H48" s="52">
        <v>0</v>
      </c>
      <c r="I48" s="52">
        <v>2</v>
      </c>
      <c r="J48" s="52">
        <v>0</v>
      </c>
      <c r="K48" s="52">
        <v>0</v>
      </c>
      <c r="L48" s="52">
        <v>0</v>
      </c>
      <c r="M48" s="52">
        <v>46</v>
      </c>
      <c r="N48" s="52">
        <v>0</v>
      </c>
      <c r="O48" s="15">
        <f t="shared" si="0"/>
        <v>39</v>
      </c>
      <c r="P48" s="15">
        <f t="shared" si="1"/>
        <v>85</v>
      </c>
      <c r="R48" s="8"/>
      <c r="T48"/>
    </row>
    <row r="49" spans="2:20" ht="23.1" customHeight="1" x14ac:dyDescent="0.25">
      <c r="B49" s="23" t="s">
        <v>76</v>
      </c>
      <c r="C49" s="52">
        <v>23</v>
      </c>
      <c r="D49" s="52">
        <v>4</v>
      </c>
      <c r="E49" s="52">
        <v>2</v>
      </c>
      <c r="F49" s="52">
        <v>5</v>
      </c>
      <c r="G49" s="52">
        <v>0</v>
      </c>
      <c r="H49" s="52">
        <v>0</v>
      </c>
      <c r="I49" s="52">
        <v>4</v>
      </c>
      <c r="J49" s="52">
        <v>0</v>
      </c>
      <c r="K49" s="52">
        <v>1</v>
      </c>
      <c r="L49" s="52">
        <v>0</v>
      </c>
      <c r="M49" s="52">
        <v>58</v>
      </c>
      <c r="N49" s="52">
        <v>0</v>
      </c>
      <c r="O49" s="15">
        <f t="shared" si="0"/>
        <v>39</v>
      </c>
      <c r="P49" s="15">
        <f t="shared" si="1"/>
        <v>97</v>
      </c>
      <c r="R49" s="8"/>
      <c r="T49"/>
    </row>
    <row r="50" spans="2:20" ht="23.1" customHeight="1" x14ac:dyDescent="0.25">
      <c r="B50" s="24" t="s">
        <v>77</v>
      </c>
      <c r="C50" s="52">
        <v>24</v>
      </c>
      <c r="D50" s="52">
        <v>3</v>
      </c>
      <c r="E50" s="52">
        <v>4</v>
      </c>
      <c r="F50" s="52">
        <v>4</v>
      </c>
      <c r="G50" s="52">
        <v>0</v>
      </c>
      <c r="H50" s="52">
        <v>0</v>
      </c>
      <c r="I50" s="52">
        <v>0</v>
      </c>
      <c r="J50" s="52">
        <v>0</v>
      </c>
      <c r="K50" s="52">
        <v>0</v>
      </c>
      <c r="L50" s="52">
        <v>0</v>
      </c>
      <c r="M50" s="52">
        <v>46</v>
      </c>
      <c r="N50" s="52">
        <v>0</v>
      </c>
      <c r="O50" s="15">
        <f t="shared" si="0"/>
        <v>35</v>
      </c>
      <c r="P50" s="15">
        <f t="shared" si="1"/>
        <v>81</v>
      </c>
      <c r="R50" s="8"/>
      <c r="T50"/>
    </row>
    <row r="51" spans="2:20" ht="23.1" customHeight="1" x14ac:dyDescent="0.25">
      <c r="B51" s="24" t="s">
        <v>78</v>
      </c>
      <c r="C51" s="52">
        <v>31</v>
      </c>
      <c r="D51" s="52">
        <v>3</v>
      </c>
      <c r="E51" s="52">
        <v>1</v>
      </c>
      <c r="F51" s="52">
        <v>4</v>
      </c>
      <c r="G51" s="52">
        <v>0</v>
      </c>
      <c r="H51" s="52">
        <v>0</v>
      </c>
      <c r="I51" s="52">
        <v>5</v>
      </c>
      <c r="J51" s="52">
        <v>0</v>
      </c>
      <c r="K51" s="52">
        <v>2</v>
      </c>
      <c r="L51" s="52">
        <v>0</v>
      </c>
      <c r="M51" s="52">
        <v>57</v>
      </c>
      <c r="N51" s="52">
        <v>0</v>
      </c>
      <c r="O51" s="15">
        <f t="shared" si="0"/>
        <v>46</v>
      </c>
      <c r="P51" s="15">
        <f t="shared" si="1"/>
        <v>103</v>
      </c>
      <c r="R51" s="8"/>
      <c r="T51"/>
    </row>
    <row r="52" spans="2:20" ht="23.1" customHeight="1" x14ac:dyDescent="0.25">
      <c r="B52" s="24" t="s">
        <v>79</v>
      </c>
      <c r="C52" s="52">
        <v>29</v>
      </c>
      <c r="D52" s="52">
        <v>1</v>
      </c>
      <c r="E52" s="52">
        <v>2</v>
      </c>
      <c r="F52" s="52">
        <v>9</v>
      </c>
      <c r="G52" s="52">
        <v>0</v>
      </c>
      <c r="H52" s="52">
        <v>0</v>
      </c>
      <c r="I52" s="52">
        <v>3</v>
      </c>
      <c r="J52" s="52">
        <v>0</v>
      </c>
      <c r="K52" s="52">
        <v>1</v>
      </c>
      <c r="L52" s="52">
        <v>0</v>
      </c>
      <c r="M52" s="52">
        <v>29</v>
      </c>
      <c r="N52" s="52">
        <v>0</v>
      </c>
      <c r="O52" s="15">
        <f t="shared" si="0"/>
        <v>45</v>
      </c>
      <c r="P52" s="15">
        <f t="shared" si="1"/>
        <v>74</v>
      </c>
      <c r="R52" s="8"/>
      <c r="T52"/>
    </row>
    <row r="53" spans="2:20" ht="23.1" customHeight="1" x14ac:dyDescent="0.25">
      <c r="B53" s="23" t="s">
        <v>80</v>
      </c>
      <c r="C53" s="52">
        <v>30</v>
      </c>
      <c r="D53" s="52">
        <v>4</v>
      </c>
      <c r="E53" s="52">
        <v>3</v>
      </c>
      <c r="F53" s="52">
        <v>4</v>
      </c>
      <c r="G53" s="52">
        <v>0</v>
      </c>
      <c r="H53" s="52">
        <v>0</v>
      </c>
      <c r="I53" s="52">
        <v>2</v>
      </c>
      <c r="J53" s="52">
        <v>0</v>
      </c>
      <c r="K53" s="52">
        <v>2</v>
      </c>
      <c r="L53" s="52">
        <v>0</v>
      </c>
      <c r="M53" s="52">
        <v>50</v>
      </c>
      <c r="N53" s="52">
        <v>0</v>
      </c>
      <c r="O53" s="15">
        <f t="shared" si="0"/>
        <v>45</v>
      </c>
      <c r="P53" s="15">
        <f t="shared" si="1"/>
        <v>95</v>
      </c>
      <c r="R53" s="8"/>
      <c r="T53"/>
    </row>
    <row r="54" spans="2:20" ht="23.1" customHeight="1" x14ac:dyDescent="0.25">
      <c r="B54" s="23" t="s">
        <v>81</v>
      </c>
      <c r="C54" s="52">
        <v>27</v>
      </c>
      <c r="D54" s="52">
        <v>1</v>
      </c>
      <c r="E54" s="52">
        <v>1</v>
      </c>
      <c r="F54" s="52">
        <v>5</v>
      </c>
      <c r="G54" s="52">
        <v>1</v>
      </c>
      <c r="H54" s="52">
        <v>0</v>
      </c>
      <c r="I54" s="52">
        <v>1</v>
      </c>
      <c r="J54" s="52">
        <v>0</v>
      </c>
      <c r="K54" s="52">
        <v>1</v>
      </c>
      <c r="L54" s="52">
        <v>0</v>
      </c>
      <c r="M54" s="52">
        <v>49</v>
      </c>
      <c r="N54" s="52">
        <v>0</v>
      </c>
      <c r="O54" s="15">
        <f t="shared" si="0"/>
        <v>37</v>
      </c>
      <c r="P54" s="15">
        <f t="shared" si="1"/>
        <v>86</v>
      </c>
      <c r="R54" s="8"/>
      <c r="T54"/>
    </row>
    <row r="55" spans="2:20" ht="23.1" customHeight="1" x14ac:dyDescent="0.25">
      <c r="B55" s="23" t="s">
        <v>82</v>
      </c>
      <c r="C55" s="52">
        <v>31</v>
      </c>
      <c r="D55" s="52">
        <v>3</v>
      </c>
      <c r="E55" s="52">
        <v>0</v>
      </c>
      <c r="F55" s="52">
        <v>4</v>
      </c>
      <c r="G55" s="52">
        <v>0</v>
      </c>
      <c r="H55" s="52">
        <v>0</v>
      </c>
      <c r="I55" s="52">
        <v>1</v>
      </c>
      <c r="J55" s="52">
        <v>1</v>
      </c>
      <c r="K55" s="52">
        <v>2</v>
      </c>
      <c r="L55" s="52">
        <v>0</v>
      </c>
      <c r="M55" s="52">
        <v>51</v>
      </c>
      <c r="N55" s="52">
        <v>0</v>
      </c>
      <c r="O55" s="15">
        <f t="shared" si="0"/>
        <v>42</v>
      </c>
      <c r="P55" s="15">
        <f t="shared" si="1"/>
        <v>93</v>
      </c>
      <c r="R55" s="8"/>
      <c r="T55"/>
    </row>
    <row r="56" spans="2:20" ht="23.1" customHeight="1" x14ac:dyDescent="0.25">
      <c r="B56" s="23" t="s">
        <v>83</v>
      </c>
      <c r="C56" s="52">
        <v>23</v>
      </c>
      <c r="D56" s="52">
        <v>4</v>
      </c>
      <c r="E56" s="52">
        <v>2</v>
      </c>
      <c r="F56" s="52">
        <v>12</v>
      </c>
      <c r="G56" s="52">
        <v>0</v>
      </c>
      <c r="H56" s="52">
        <v>0</v>
      </c>
      <c r="I56" s="52">
        <v>2</v>
      </c>
      <c r="J56" s="52">
        <v>0</v>
      </c>
      <c r="K56" s="52">
        <v>1</v>
      </c>
      <c r="L56" s="52">
        <v>0</v>
      </c>
      <c r="M56" s="52">
        <v>53</v>
      </c>
      <c r="N56" s="52">
        <v>2</v>
      </c>
      <c r="O56" s="15">
        <v>0</v>
      </c>
      <c r="P56" s="15">
        <v>0</v>
      </c>
      <c r="R56" s="8"/>
      <c r="T56"/>
    </row>
    <row r="57" spans="2:20" ht="23.1" customHeight="1" x14ac:dyDescent="0.25">
      <c r="B57" s="23" t="s">
        <v>84</v>
      </c>
      <c r="C57" s="52">
        <v>18</v>
      </c>
      <c r="D57" s="52">
        <v>3</v>
      </c>
      <c r="E57" s="52">
        <v>3</v>
      </c>
      <c r="F57" s="52">
        <v>7</v>
      </c>
      <c r="G57" s="52">
        <v>0</v>
      </c>
      <c r="H57" s="52">
        <v>0</v>
      </c>
      <c r="I57" s="52">
        <v>2</v>
      </c>
      <c r="J57" s="52">
        <v>0</v>
      </c>
      <c r="K57" s="52">
        <v>1</v>
      </c>
      <c r="L57" s="52">
        <v>0</v>
      </c>
      <c r="M57" s="52">
        <v>53</v>
      </c>
      <c r="N57" s="52">
        <v>0</v>
      </c>
      <c r="O57" s="15">
        <f t="shared" si="0"/>
        <v>34</v>
      </c>
      <c r="P57" s="15">
        <f t="shared" si="1"/>
        <v>87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1249</v>
      </c>
      <c r="D58" s="16">
        <f t="shared" si="21"/>
        <v>235</v>
      </c>
      <c r="E58" s="16">
        <f t="shared" si="21"/>
        <v>91</v>
      </c>
      <c r="F58" s="16">
        <f t="shared" si="21"/>
        <v>338</v>
      </c>
      <c r="G58" s="16">
        <f t="shared" si="21"/>
        <v>3</v>
      </c>
      <c r="H58" s="16">
        <f t="shared" si="21"/>
        <v>0</v>
      </c>
      <c r="I58" s="16">
        <f t="shared" si="21"/>
        <v>89</v>
      </c>
      <c r="J58" s="16">
        <f t="shared" si="21"/>
        <v>24</v>
      </c>
      <c r="K58" s="16">
        <f t="shared" si="21"/>
        <v>31</v>
      </c>
      <c r="L58" s="16">
        <f t="shared" si="21"/>
        <v>4</v>
      </c>
      <c r="M58" s="16">
        <f t="shared" si="21"/>
        <v>2387</v>
      </c>
      <c r="N58" s="16">
        <f t="shared" si="21"/>
        <v>2</v>
      </c>
      <c r="O58" s="16">
        <f t="shared" si="21"/>
        <v>2020</v>
      </c>
      <c r="P58" s="16">
        <f t="shared" si="21"/>
        <v>4354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0.28686265502985758</v>
      </c>
      <c r="D59" s="43">
        <f t="shared" si="22"/>
        <v>5.3973357831878732E-2</v>
      </c>
      <c r="E59" s="43">
        <f t="shared" si="22"/>
        <v>2.0900321543408359E-2</v>
      </c>
      <c r="F59" s="43">
        <f t="shared" si="22"/>
        <v>7.7629765732659617E-2</v>
      </c>
      <c r="G59" s="43">
        <f t="shared" si="22"/>
        <v>6.8902158934313273E-4</v>
      </c>
      <c r="H59" s="43">
        <f t="shared" si="22"/>
        <v>0</v>
      </c>
      <c r="I59" s="43">
        <f t="shared" si="22"/>
        <v>2.0440973817179606E-2</v>
      </c>
      <c r="J59" s="43">
        <f t="shared" si="22"/>
        <v>5.5121727147450618E-3</v>
      </c>
      <c r="K59" s="43">
        <f t="shared" si="22"/>
        <v>7.1198897565457053E-3</v>
      </c>
      <c r="L59" s="43">
        <f t="shared" si="22"/>
        <v>9.1869545245751034E-4</v>
      </c>
      <c r="M59" s="43">
        <f t="shared" si="22"/>
        <v>0.54823151125401925</v>
      </c>
      <c r="N59" s="43">
        <f t="shared" si="22"/>
        <v>4.5934772622875517E-4</v>
      </c>
      <c r="R59" s="8"/>
      <c r="T59"/>
    </row>
    <row r="60" spans="2:20" ht="23.1" customHeight="1" x14ac:dyDescent="0.25">
      <c r="B60" s="42" t="s">
        <v>94</v>
      </c>
      <c r="C60" s="44">
        <f>C58/$O$58</f>
        <v>0.61831683168316831</v>
      </c>
      <c r="D60" s="44">
        <f t="shared" ref="D60:N60" si="23">D58/$O$58</f>
        <v>0.11633663366336634</v>
      </c>
      <c r="E60" s="44">
        <f t="shared" si="23"/>
        <v>4.5049504950495048E-2</v>
      </c>
      <c r="F60" s="44">
        <f t="shared" si="23"/>
        <v>0.16732673267326734</v>
      </c>
      <c r="G60" s="44">
        <f t="shared" si="23"/>
        <v>1.4851485148514852E-3</v>
      </c>
      <c r="H60" s="44">
        <f t="shared" si="23"/>
        <v>0</v>
      </c>
      <c r="I60" s="44">
        <f t="shared" si="23"/>
        <v>4.4059405940594057E-2</v>
      </c>
      <c r="J60" s="44">
        <f t="shared" si="23"/>
        <v>1.1881188118811881E-2</v>
      </c>
      <c r="K60" s="44">
        <f t="shared" si="23"/>
        <v>1.5346534653465346E-2</v>
      </c>
      <c r="L60" s="44">
        <f t="shared" si="23"/>
        <v>1.9801980198019802E-3</v>
      </c>
      <c r="M60" s="44"/>
      <c r="N60" s="44">
        <f t="shared" si="23"/>
        <v>9.9009900990099011E-4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3" t="str">
        <f>'29.07 NSOOBA-KYEBANDO'!C3:G3</f>
        <v>MCC - C1 - STN029 - RING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70">
        <f>'03.08 KYEBANDO-NSOOBA-24h'!G5:H5</f>
        <v>29</v>
      </c>
      <c r="H5" s="71"/>
      <c r="I5" s="14"/>
      <c r="J5" s="2" t="s">
        <v>5</v>
      </c>
      <c r="K5" s="59" t="str">
        <f>'03.08 KYEBANDO-NSOOBA-24h'!K5:L5</f>
        <v>NAKAWA JULIET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166</v>
      </c>
      <c r="E6" s="60"/>
      <c r="F6" s="2" t="s">
        <v>2</v>
      </c>
      <c r="G6" s="59" t="s">
        <v>165</v>
      </c>
      <c r="H6" s="60"/>
      <c r="J6" s="2" t="s">
        <v>21</v>
      </c>
      <c r="K6" s="59" t="s">
        <v>175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2">
        <v>2</v>
      </c>
      <c r="D10" s="52">
        <v>1</v>
      </c>
      <c r="E10" s="52">
        <v>1</v>
      </c>
      <c r="F10" s="52">
        <v>5</v>
      </c>
      <c r="G10" s="52">
        <v>0</v>
      </c>
      <c r="H10" s="52">
        <v>0</v>
      </c>
      <c r="I10" s="52">
        <v>1</v>
      </c>
      <c r="J10" s="52">
        <v>0</v>
      </c>
      <c r="K10" s="52">
        <v>0</v>
      </c>
      <c r="L10" s="52">
        <v>0</v>
      </c>
      <c r="M10" s="52">
        <v>24</v>
      </c>
      <c r="N10" s="52">
        <v>0</v>
      </c>
      <c r="O10" s="15">
        <f t="shared" ref="O10:O57" si="0">SUM(C10:L10,N10)</f>
        <v>10</v>
      </c>
      <c r="P10" s="15">
        <f t="shared" ref="P10:P57" si="1">SUM(C10:N10)</f>
        <v>34</v>
      </c>
      <c r="R10" s="1" t="s">
        <v>6</v>
      </c>
      <c r="S10" s="17">
        <f t="shared" ref="S10:AF10" si="2">SUM(C10:C13)</f>
        <v>28</v>
      </c>
      <c r="T10" s="17">
        <f t="shared" si="2"/>
        <v>4</v>
      </c>
      <c r="U10" s="17">
        <f t="shared" si="2"/>
        <v>5</v>
      </c>
      <c r="V10" s="17">
        <f t="shared" si="2"/>
        <v>19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128</v>
      </c>
      <c r="AD10" s="17">
        <f t="shared" si="2"/>
        <v>0</v>
      </c>
      <c r="AE10" s="31">
        <f t="shared" si="2"/>
        <v>58</v>
      </c>
      <c r="AF10" s="31">
        <f t="shared" si="2"/>
        <v>186</v>
      </c>
    </row>
    <row r="11" spans="2:32" s="6" customFormat="1" ht="23.1" customHeight="1" x14ac:dyDescent="0.25">
      <c r="B11" s="23" t="s">
        <v>38</v>
      </c>
      <c r="C11" s="52">
        <v>2</v>
      </c>
      <c r="D11" s="52">
        <v>1</v>
      </c>
      <c r="E11" s="52">
        <v>0</v>
      </c>
      <c r="F11" s="52">
        <v>4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21</v>
      </c>
      <c r="N11" s="52">
        <v>0</v>
      </c>
      <c r="O11" s="15">
        <f t="shared" si="0"/>
        <v>7</v>
      </c>
      <c r="P11" s="15">
        <f t="shared" si="1"/>
        <v>28</v>
      </c>
      <c r="R11" s="1" t="s">
        <v>7</v>
      </c>
      <c r="S11" s="17">
        <f t="shared" ref="S11:AF11" si="3">SUM(C14:C17)</f>
        <v>66</v>
      </c>
      <c r="T11" s="17">
        <f t="shared" si="3"/>
        <v>12</v>
      </c>
      <c r="U11" s="17">
        <f t="shared" si="3"/>
        <v>12</v>
      </c>
      <c r="V11" s="17">
        <f t="shared" si="3"/>
        <v>27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3</v>
      </c>
      <c r="AB11" s="17">
        <f t="shared" si="3"/>
        <v>0</v>
      </c>
      <c r="AC11" s="17">
        <f t="shared" si="3"/>
        <v>236</v>
      </c>
      <c r="AD11" s="17">
        <f t="shared" si="3"/>
        <v>0</v>
      </c>
      <c r="AE11" s="31">
        <f t="shared" si="3"/>
        <v>124</v>
      </c>
      <c r="AF11" s="31">
        <f t="shared" si="3"/>
        <v>360</v>
      </c>
    </row>
    <row r="12" spans="2:32" ht="23.1" customHeight="1" x14ac:dyDescent="0.25">
      <c r="B12" s="23" t="s">
        <v>39</v>
      </c>
      <c r="C12" s="52">
        <v>10</v>
      </c>
      <c r="D12" s="52">
        <v>0</v>
      </c>
      <c r="E12" s="52">
        <v>2</v>
      </c>
      <c r="F12" s="52">
        <v>3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0</v>
      </c>
      <c r="M12" s="52">
        <v>33</v>
      </c>
      <c r="N12" s="52">
        <v>0</v>
      </c>
      <c r="O12" s="15">
        <f t="shared" si="0"/>
        <v>15</v>
      </c>
      <c r="P12" s="15">
        <f t="shared" si="1"/>
        <v>48</v>
      </c>
      <c r="R12" s="1" t="s">
        <v>8</v>
      </c>
      <c r="S12" s="17">
        <f t="shared" ref="S12:AF12" si="4">SUM(C18:C21)</f>
        <v>88</v>
      </c>
      <c r="T12" s="17">
        <f t="shared" si="4"/>
        <v>12</v>
      </c>
      <c r="U12" s="17">
        <f t="shared" si="4"/>
        <v>11</v>
      </c>
      <c r="V12" s="17">
        <f t="shared" si="4"/>
        <v>40</v>
      </c>
      <c r="W12" s="17">
        <f t="shared" si="4"/>
        <v>1</v>
      </c>
      <c r="X12" s="17">
        <f t="shared" si="4"/>
        <v>0</v>
      </c>
      <c r="Y12" s="17">
        <f t="shared" si="4"/>
        <v>10</v>
      </c>
      <c r="Z12" s="17">
        <f t="shared" si="4"/>
        <v>0</v>
      </c>
      <c r="AA12" s="17">
        <f t="shared" si="4"/>
        <v>4</v>
      </c>
      <c r="AB12" s="17">
        <f t="shared" si="4"/>
        <v>0</v>
      </c>
      <c r="AC12" s="17">
        <f t="shared" si="4"/>
        <v>269</v>
      </c>
      <c r="AD12" s="17">
        <f t="shared" si="4"/>
        <v>0</v>
      </c>
      <c r="AE12" s="31">
        <f t="shared" si="4"/>
        <v>166</v>
      </c>
      <c r="AF12" s="31">
        <f t="shared" si="4"/>
        <v>435</v>
      </c>
    </row>
    <row r="13" spans="2:32" ht="23.1" customHeight="1" x14ac:dyDescent="0.25">
      <c r="B13" s="23" t="s">
        <v>40</v>
      </c>
      <c r="C13" s="52">
        <v>14</v>
      </c>
      <c r="D13" s="52">
        <v>2</v>
      </c>
      <c r="E13" s="52">
        <v>2</v>
      </c>
      <c r="F13" s="52">
        <v>7</v>
      </c>
      <c r="G13" s="52">
        <v>0</v>
      </c>
      <c r="H13" s="52">
        <v>0</v>
      </c>
      <c r="I13" s="52">
        <v>1</v>
      </c>
      <c r="J13" s="52">
        <v>0</v>
      </c>
      <c r="K13" s="52">
        <v>0</v>
      </c>
      <c r="L13" s="52">
        <v>0</v>
      </c>
      <c r="M13" s="52">
        <v>50</v>
      </c>
      <c r="N13" s="52">
        <v>0</v>
      </c>
      <c r="O13" s="15">
        <f t="shared" si="0"/>
        <v>26</v>
      </c>
      <c r="P13" s="15">
        <f t="shared" si="1"/>
        <v>76</v>
      </c>
      <c r="R13" s="1" t="s">
        <v>9</v>
      </c>
      <c r="S13" s="17">
        <f t="shared" ref="S13:AF13" si="5">SUM(C22:C25)</f>
        <v>88</v>
      </c>
      <c r="T13" s="17">
        <f t="shared" si="5"/>
        <v>20</v>
      </c>
      <c r="U13" s="17">
        <f t="shared" si="5"/>
        <v>8</v>
      </c>
      <c r="V13" s="17">
        <f t="shared" si="5"/>
        <v>43</v>
      </c>
      <c r="W13" s="17">
        <f t="shared" si="5"/>
        <v>0</v>
      </c>
      <c r="X13" s="17">
        <f t="shared" si="5"/>
        <v>0</v>
      </c>
      <c r="Y13" s="17">
        <f t="shared" si="5"/>
        <v>16</v>
      </c>
      <c r="Z13" s="17">
        <f t="shared" si="5"/>
        <v>3</v>
      </c>
      <c r="AA13" s="17">
        <f t="shared" si="5"/>
        <v>1</v>
      </c>
      <c r="AB13" s="17">
        <f t="shared" si="5"/>
        <v>0</v>
      </c>
      <c r="AC13" s="17">
        <f t="shared" si="5"/>
        <v>220</v>
      </c>
      <c r="AD13" s="17">
        <f t="shared" si="5"/>
        <v>0</v>
      </c>
      <c r="AE13" s="31">
        <f t="shared" si="5"/>
        <v>179</v>
      </c>
      <c r="AF13" s="31">
        <f t="shared" si="5"/>
        <v>399</v>
      </c>
    </row>
    <row r="14" spans="2:32" ht="23.1" customHeight="1" x14ac:dyDescent="0.25">
      <c r="B14" s="23" t="s">
        <v>41</v>
      </c>
      <c r="C14" s="52">
        <v>17</v>
      </c>
      <c r="D14" s="52">
        <v>5</v>
      </c>
      <c r="E14" s="52">
        <v>0</v>
      </c>
      <c r="F14" s="52">
        <v>5</v>
      </c>
      <c r="G14" s="52">
        <v>0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48</v>
      </c>
      <c r="N14" s="52">
        <v>0</v>
      </c>
      <c r="O14" s="15">
        <f t="shared" si="0"/>
        <v>27</v>
      </c>
      <c r="P14" s="15">
        <f t="shared" si="1"/>
        <v>75</v>
      </c>
      <c r="R14" s="1" t="s">
        <v>10</v>
      </c>
      <c r="S14" s="17">
        <f t="shared" ref="S14:AF14" si="6">SUM(C26:C29)</f>
        <v>118</v>
      </c>
      <c r="T14" s="17">
        <f t="shared" si="6"/>
        <v>27</v>
      </c>
      <c r="U14" s="17">
        <f t="shared" si="6"/>
        <v>9</v>
      </c>
      <c r="V14" s="17">
        <f t="shared" si="6"/>
        <v>43</v>
      </c>
      <c r="W14" s="17">
        <f t="shared" si="6"/>
        <v>3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7</v>
      </c>
      <c r="AB14" s="17">
        <f t="shared" si="6"/>
        <v>0</v>
      </c>
      <c r="AC14" s="17">
        <f t="shared" si="6"/>
        <v>239</v>
      </c>
      <c r="AD14" s="17">
        <f t="shared" si="6"/>
        <v>0</v>
      </c>
      <c r="AE14" s="31">
        <f t="shared" si="6"/>
        <v>214</v>
      </c>
      <c r="AF14" s="31">
        <f t="shared" si="6"/>
        <v>453</v>
      </c>
    </row>
    <row r="15" spans="2:32" ht="23.1" customHeight="1" x14ac:dyDescent="0.25">
      <c r="B15" s="23" t="s">
        <v>42</v>
      </c>
      <c r="C15" s="52">
        <v>24</v>
      </c>
      <c r="D15" s="52">
        <v>1</v>
      </c>
      <c r="E15" s="52">
        <v>6</v>
      </c>
      <c r="F15" s="52">
        <v>16</v>
      </c>
      <c r="G15" s="52">
        <v>0</v>
      </c>
      <c r="H15" s="52">
        <v>0</v>
      </c>
      <c r="I15" s="52">
        <v>3</v>
      </c>
      <c r="J15" s="52">
        <v>0</v>
      </c>
      <c r="K15" s="52">
        <v>3</v>
      </c>
      <c r="L15" s="52">
        <v>0</v>
      </c>
      <c r="M15" s="52">
        <v>91</v>
      </c>
      <c r="N15" s="52">
        <v>0</v>
      </c>
      <c r="O15" s="15">
        <f t="shared" si="0"/>
        <v>53</v>
      </c>
      <c r="P15" s="15">
        <f t="shared" si="1"/>
        <v>144</v>
      </c>
      <c r="R15" s="1" t="s">
        <v>11</v>
      </c>
      <c r="S15" s="17">
        <f t="shared" ref="S15:AF15" si="7">SUM(C30:C33)</f>
        <v>138</v>
      </c>
      <c r="T15" s="17">
        <f t="shared" si="7"/>
        <v>22</v>
      </c>
      <c r="U15" s="17">
        <f t="shared" si="7"/>
        <v>13</v>
      </c>
      <c r="V15" s="17">
        <f t="shared" si="7"/>
        <v>36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3</v>
      </c>
      <c r="AA15" s="17">
        <f t="shared" si="7"/>
        <v>5</v>
      </c>
      <c r="AB15" s="17">
        <f t="shared" si="7"/>
        <v>0</v>
      </c>
      <c r="AC15" s="17">
        <f t="shared" si="7"/>
        <v>246</v>
      </c>
      <c r="AD15" s="17">
        <f t="shared" si="7"/>
        <v>0</v>
      </c>
      <c r="AE15" s="31">
        <f t="shared" si="7"/>
        <v>230</v>
      </c>
      <c r="AF15" s="31">
        <f t="shared" si="7"/>
        <v>476</v>
      </c>
    </row>
    <row r="16" spans="2:32" ht="23.1" customHeight="1" x14ac:dyDescent="0.25">
      <c r="B16" s="23" t="s">
        <v>43</v>
      </c>
      <c r="C16" s="52">
        <v>15</v>
      </c>
      <c r="D16" s="52">
        <v>4</v>
      </c>
      <c r="E16" s="52">
        <v>5</v>
      </c>
      <c r="F16" s="52">
        <v>1</v>
      </c>
      <c r="G16" s="52">
        <v>0</v>
      </c>
      <c r="H16" s="52">
        <v>0</v>
      </c>
      <c r="I16" s="52">
        <v>0</v>
      </c>
      <c r="J16" s="52">
        <v>1</v>
      </c>
      <c r="K16" s="52">
        <v>0</v>
      </c>
      <c r="L16" s="52">
        <v>0</v>
      </c>
      <c r="M16" s="52">
        <v>34</v>
      </c>
      <c r="N16" s="52">
        <v>0</v>
      </c>
      <c r="O16" s="15">
        <f t="shared" si="0"/>
        <v>26</v>
      </c>
      <c r="P16" s="15">
        <f t="shared" si="1"/>
        <v>60</v>
      </c>
      <c r="R16" s="1" t="s">
        <v>12</v>
      </c>
      <c r="S16" s="17">
        <f t="shared" ref="S16:AF16" si="8">SUM(C34:C37)</f>
        <v>126</v>
      </c>
      <c r="T16" s="17">
        <f t="shared" si="8"/>
        <v>32</v>
      </c>
      <c r="U16" s="17">
        <f t="shared" si="8"/>
        <v>24</v>
      </c>
      <c r="V16" s="17">
        <f t="shared" si="8"/>
        <v>30</v>
      </c>
      <c r="W16" s="17">
        <f t="shared" si="8"/>
        <v>2</v>
      </c>
      <c r="X16" s="17">
        <f t="shared" si="8"/>
        <v>1</v>
      </c>
      <c r="Y16" s="17">
        <f t="shared" si="8"/>
        <v>15</v>
      </c>
      <c r="Z16" s="17">
        <f t="shared" si="8"/>
        <v>2</v>
      </c>
      <c r="AA16" s="17">
        <f t="shared" si="8"/>
        <v>4</v>
      </c>
      <c r="AB16" s="17">
        <f t="shared" si="8"/>
        <v>0</v>
      </c>
      <c r="AC16" s="17">
        <f t="shared" si="8"/>
        <v>193</v>
      </c>
      <c r="AD16" s="17">
        <f t="shared" si="8"/>
        <v>0</v>
      </c>
      <c r="AE16" s="31">
        <f t="shared" si="8"/>
        <v>236</v>
      </c>
      <c r="AF16" s="31">
        <f t="shared" si="8"/>
        <v>429</v>
      </c>
    </row>
    <row r="17" spans="2:32" ht="23.1" customHeight="1" x14ac:dyDescent="0.25">
      <c r="B17" s="23" t="s">
        <v>44</v>
      </c>
      <c r="C17" s="52">
        <v>10</v>
      </c>
      <c r="D17" s="52">
        <v>2</v>
      </c>
      <c r="E17" s="52">
        <v>1</v>
      </c>
      <c r="F17" s="52">
        <v>5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63</v>
      </c>
      <c r="N17" s="52">
        <v>0</v>
      </c>
      <c r="O17" s="15">
        <f t="shared" si="0"/>
        <v>18</v>
      </c>
      <c r="P17" s="15">
        <f t="shared" si="1"/>
        <v>81</v>
      </c>
      <c r="R17" s="1" t="s">
        <v>13</v>
      </c>
      <c r="S17" s="17">
        <f t="shared" ref="S17:AF17" si="9">SUM(C38:C41)</f>
        <v>126</v>
      </c>
      <c r="T17" s="17">
        <f t="shared" si="9"/>
        <v>24</v>
      </c>
      <c r="U17" s="17">
        <f t="shared" si="9"/>
        <v>18</v>
      </c>
      <c r="V17" s="17">
        <f t="shared" si="9"/>
        <v>28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2</v>
      </c>
      <c r="AA17" s="17">
        <f t="shared" si="9"/>
        <v>6</v>
      </c>
      <c r="AB17" s="17">
        <f t="shared" si="9"/>
        <v>0</v>
      </c>
      <c r="AC17" s="17">
        <f t="shared" si="9"/>
        <v>215</v>
      </c>
      <c r="AD17" s="17">
        <f t="shared" si="9"/>
        <v>0</v>
      </c>
      <c r="AE17" s="31">
        <f t="shared" si="9"/>
        <v>211</v>
      </c>
      <c r="AF17" s="31">
        <f t="shared" si="9"/>
        <v>426</v>
      </c>
    </row>
    <row r="18" spans="2:32" ht="23.1" customHeight="1" x14ac:dyDescent="0.25">
      <c r="B18" s="23" t="s">
        <v>45</v>
      </c>
      <c r="C18" s="52">
        <v>19</v>
      </c>
      <c r="D18" s="52">
        <v>1</v>
      </c>
      <c r="E18" s="52">
        <v>4</v>
      </c>
      <c r="F18" s="52">
        <v>9</v>
      </c>
      <c r="G18" s="52">
        <v>0</v>
      </c>
      <c r="H18" s="52">
        <v>0</v>
      </c>
      <c r="I18" s="52">
        <v>2</v>
      </c>
      <c r="J18" s="52">
        <v>0</v>
      </c>
      <c r="K18" s="52">
        <v>0</v>
      </c>
      <c r="L18" s="52">
        <v>0</v>
      </c>
      <c r="M18" s="52">
        <v>67</v>
      </c>
      <c r="N18" s="52">
        <v>0</v>
      </c>
      <c r="O18" s="15">
        <f t="shared" si="0"/>
        <v>35</v>
      </c>
      <c r="P18" s="15">
        <f t="shared" si="1"/>
        <v>102</v>
      </c>
      <c r="R18" s="1" t="s">
        <v>14</v>
      </c>
      <c r="S18" s="17">
        <f t="shared" ref="S18:AF18" si="10">SUM(C42:C45)</f>
        <v>88</v>
      </c>
      <c r="T18" s="17">
        <f t="shared" si="10"/>
        <v>21</v>
      </c>
      <c r="U18" s="17">
        <f t="shared" si="10"/>
        <v>11</v>
      </c>
      <c r="V18" s="17">
        <f t="shared" si="10"/>
        <v>23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5</v>
      </c>
      <c r="AA18" s="17">
        <f t="shared" si="10"/>
        <v>4</v>
      </c>
      <c r="AB18" s="17">
        <f t="shared" si="10"/>
        <v>0</v>
      </c>
      <c r="AC18" s="17">
        <f t="shared" si="10"/>
        <v>199</v>
      </c>
      <c r="AD18" s="17">
        <f t="shared" si="10"/>
        <v>0</v>
      </c>
      <c r="AE18" s="31">
        <f t="shared" si="10"/>
        <v>136</v>
      </c>
      <c r="AF18" s="31">
        <f t="shared" si="10"/>
        <v>291</v>
      </c>
    </row>
    <row r="19" spans="2:32" ht="23.1" customHeight="1" x14ac:dyDescent="0.25">
      <c r="B19" s="23" t="s">
        <v>46</v>
      </c>
      <c r="C19" s="52">
        <v>25</v>
      </c>
      <c r="D19" s="52">
        <v>1</v>
      </c>
      <c r="E19" s="52">
        <v>2</v>
      </c>
      <c r="F19" s="52">
        <v>12</v>
      </c>
      <c r="G19" s="52">
        <v>0</v>
      </c>
      <c r="H19" s="52">
        <v>0</v>
      </c>
      <c r="I19" s="52">
        <v>5</v>
      </c>
      <c r="J19" s="52">
        <v>0</v>
      </c>
      <c r="K19" s="52">
        <v>1</v>
      </c>
      <c r="L19" s="52">
        <v>0</v>
      </c>
      <c r="M19" s="52">
        <v>58</v>
      </c>
      <c r="N19" s="52">
        <v>0</v>
      </c>
      <c r="O19" s="15">
        <f t="shared" si="0"/>
        <v>46</v>
      </c>
      <c r="P19" s="15">
        <f t="shared" si="1"/>
        <v>104</v>
      </c>
      <c r="R19" s="1" t="s">
        <v>15</v>
      </c>
      <c r="S19" s="17">
        <f t="shared" ref="S19:AF19" si="11">SUM(C46:C49)</f>
        <v>134</v>
      </c>
      <c r="T19" s="17">
        <f t="shared" si="11"/>
        <v>23</v>
      </c>
      <c r="U19" s="17">
        <f t="shared" si="11"/>
        <v>14</v>
      </c>
      <c r="V19" s="17">
        <f t="shared" si="11"/>
        <v>22</v>
      </c>
      <c r="W19" s="17">
        <f t="shared" si="11"/>
        <v>1</v>
      </c>
      <c r="X19" s="17">
        <f t="shared" si="11"/>
        <v>0</v>
      </c>
      <c r="Y19" s="17">
        <f t="shared" si="11"/>
        <v>17</v>
      </c>
      <c r="Z19" s="17">
        <f t="shared" si="11"/>
        <v>1</v>
      </c>
      <c r="AA19" s="17">
        <f t="shared" si="11"/>
        <v>4</v>
      </c>
      <c r="AB19" s="17">
        <f t="shared" si="11"/>
        <v>0</v>
      </c>
      <c r="AC19" s="17">
        <f t="shared" si="11"/>
        <v>233</v>
      </c>
      <c r="AD19" s="17">
        <f t="shared" si="11"/>
        <v>0</v>
      </c>
      <c r="AE19" s="31">
        <f t="shared" si="11"/>
        <v>216</v>
      </c>
      <c r="AF19" s="31">
        <f t="shared" si="11"/>
        <v>449</v>
      </c>
    </row>
    <row r="20" spans="2:32" ht="23.1" customHeight="1" x14ac:dyDescent="0.25">
      <c r="B20" s="23" t="s">
        <v>47</v>
      </c>
      <c r="C20" s="52">
        <v>26</v>
      </c>
      <c r="D20" s="52">
        <v>6</v>
      </c>
      <c r="E20" s="52">
        <v>3</v>
      </c>
      <c r="F20" s="52">
        <v>11</v>
      </c>
      <c r="G20" s="52">
        <v>0</v>
      </c>
      <c r="H20" s="52">
        <v>0</v>
      </c>
      <c r="I20" s="52">
        <v>2</v>
      </c>
      <c r="J20" s="52">
        <v>0</v>
      </c>
      <c r="K20" s="52">
        <v>2</v>
      </c>
      <c r="L20" s="52">
        <v>0</v>
      </c>
      <c r="M20" s="52">
        <v>77</v>
      </c>
      <c r="N20" s="52">
        <v>0</v>
      </c>
      <c r="O20" s="15">
        <f t="shared" si="0"/>
        <v>50</v>
      </c>
      <c r="P20" s="15">
        <f t="shared" si="1"/>
        <v>127</v>
      </c>
      <c r="R20" s="1" t="s">
        <v>16</v>
      </c>
      <c r="S20" s="17">
        <f t="shared" ref="S20:AF20" si="12">SUM(C50:C53)</f>
        <v>135</v>
      </c>
      <c r="T20" s="17">
        <f t="shared" si="12"/>
        <v>29</v>
      </c>
      <c r="U20" s="17">
        <f t="shared" si="12"/>
        <v>24</v>
      </c>
      <c r="V20" s="17">
        <f t="shared" si="12"/>
        <v>33</v>
      </c>
      <c r="W20" s="17">
        <f t="shared" si="12"/>
        <v>1</v>
      </c>
      <c r="X20" s="17">
        <f t="shared" si="12"/>
        <v>0</v>
      </c>
      <c r="Y20" s="17">
        <f t="shared" si="12"/>
        <v>12</v>
      </c>
      <c r="Z20" s="17">
        <f t="shared" si="12"/>
        <v>1</v>
      </c>
      <c r="AA20" s="17">
        <f t="shared" si="12"/>
        <v>7</v>
      </c>
      <c r="AB20" s="17">
        <f t="shared" si="12"/>
        <v>0</v>
      </c>
      <c r="AC20" s="17">
        <f t="shared" si="12"/>
        <v>276</v>
      </c>
      <c r="AD20" s="17">
        <f t="shared" si="12"/>
        <v>0</v>
      </c>
      <c r="AE20" s="31">
        <f t="shared" si="12"/>
        <v>242</v>
      </c>
      <c r="AF20" s="31">
        <f t="shared" si="12"/>
        <v>518</v>
      </c>
    </row>
    <row r="21" spans="2:32" ht="23.1" customHeight="1" x14ac:dyDescent="0.25">
      <c r="B21" s="23" t="s">
        <v>48</v>
      </c>
      <c r="C21" s="52">
        <v>18</v>
      </c>
      <c r="D21" s="52">
        <v>4</v>
      </c>
      <c r="E21" s="52">
        <v>2</v>
      </c>
      <c r="F21" s="52">
        <v>8</v>
      </c>
      <c r="G21" s="52">
        <v>1</v>
      </c>
      <c r="H21" s="52">
        <v>0</v>
      </c>
      <c r="I21" s="52">
        <v>1</v>
      </c>
      <c r="J21" s="52">
        <v>0</v>
      </c>
      <c r="K21" s="52">
        <v>1</v>
      </c>
      <c r="L21" s="52">
        <v>0</v>
      </c>
      <c r="M21" s="52">
        <v>67</v>
      </c>
      <c r="N21" s="52">
        <v>0</v>
      </c>
      <c r="O21" s="15">
        <f t="shared" si="0"/>
        <v>35</v>
      </c>
      <c r="P21" s="15">
        <f t="shared" si="1"/>
        <v>102</v>
      </c>
      <c r="R21" s="36" t="s">
        <v>20</v>
      </c>
      <c r="S21" s="34">
        <f t="shared" ref="S21:AF21" si="13">SUM(C54:C57)</f>
        <v>147</v>
      </c>
      <c r="T21" s="17">
        <f t="shared" si="13"/>
        <v>31</v>
      </c>
      <c r="U21" s="17">
        <f t="shared" si="13"/>
        <v>14</v>
      </c>
      <c r="V21" s="17">
        <f t="shared" si="13"/>
        <v>39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5</v>
      </c>
      <c r="AA21" s="17">
        <f t="shared" si="13"/>
        <v>6</v>
      </c>
      <c r="AB21" s="17">
        <f t="shared" si="13"/>
        <v>0</v>
      </c>
      <c r="AC21" s="17">
        <f t="shared" si="13"/>
        <v>290</v>
      </c>
      <c r="AD21" s="17">
        <f t="shared" si="13"/>
        <v>0</v>
      </c>
      <c r="AE21" s="31">
        <f t="shared" si="13"/>
        <v>251</v>
      </c>
      <c r="AF21" s="31">
        <f t="shared" si="13"/>
        <v>541</v>
      </c>
    </row>
    <row r="22" spans="2:32" ht="23.1" customHeight="1" x14ac:dyDescent="0.25">
      <c r="B22" s="23" t="s">
        <v>49</v>
      </c>
      <c r="C22" s="52">
        <v>22</v>
      </c>
      <c r="D22" s="52">
        <v>3</v>
      </c>
      <c r="E22" s="52">
        <v>1</v>
      </c>
      <c r="F22" s="52">
        <v>11</v>
      </c>
      <c r="G22" s="52">
        <v>0</v>
      </c>
      <c r="H22" s="52">
        <v>0</v>
      </c>
      <c r="I22" s="52">
        <v>4</v>
      </c>
      <c r="J22" s="52">
        <v>1</v>
      </c>
      <c r="K22" s="52">
        <v>1</v>
      </c>
      <c r="L22" s="52">
        <v>0</v>
      </c>
      <c r="M22" s="52">
        <v>16</v>
      </c>
      <c r="N22" s="52">
        <v>0</v>
      </c>
      <c r="O22" s="15">
        <f t="shared" si="0"/>
        <v>43</v>
      </c>
      <c r="P22" s="15">
        <f t="shared" si="1"/>
        <v>59</v>
      </c>
      <c r="R22" s="38" t="s">
        <v>90</v>
      </c>
      <c r="S22" s="39">
        <f>MAX(S10:S12)</f>
        <v>88</v>
      </c>
      <c r="T22" s="39">
        <f t="shared" ref="T22:AF22" si="14">MAX(T10:T12)</f>
        <v>12</v>
      </c>
      <c r="U22" s="39">
        <f t="shared" si="14"/>
        <v>12</v>
      </c>
      <c r="V22" s="39">
        <f t="shared" si="14"/>
        <v>40</v>
      </c>
      <c r="W22" s="39">
        <f t="shared" si="14"/>
        <v>1</v>
      </c>
      <c r="X22" s="39">
        <f t="shared" si="14"/>
        <v>0</v>
      </c>
      <c r="Y22" s="39">
        <f t="shared" si="14"/>
        <v>10</v>
      </c>
      <c r="Z22" s="39">
        <f t="shared" si="14"/>
        <v>1</v>
      </c>
      <c r="AA22" s="39">
        <f t="shared" si="14"/>
        <v>4</v>
      </c>
      <c r="AB22" s="39">
        <f t="shared" si="14"/>
        <v>0</v>
      </c>
      <c r="AC22" s="39">
        <f t="shared" si="14"/>
        <v>269</v>
      </c>
      <c r="AD22" s="39">
        <f t="shared" si="14"/>
        <v>0</v>
      </c>
      <c r="AE22" s="40">
        <f t="shared" si="14"/>
        <v>166</v>
      </c>
      <c r="AF22" s="40">
        <f t="shared" si="14"/>
        <v>435</v>
      </c>
    </row>
    <row r="23" spans="2:32" ht="23.1" customHeight="1" x14ac:dyDescent="0.25">
      <c r="B23" s="23" t="s">
        <v>50</v>
      </c>
      <c r="C23" s="52">
        <v>20</v>
      </c>
      <c r="D23" s="52">
        <v>10</v>
      </c>
      <c r="E23" s="52">
        <v>4</v>
      </c>
      <c r="F23" s="52">
        <v>11</v>
      </c>
      <c r="G23" s="52">
        <v>0</v>
      </c>
      <c r="H23" s="52">
        <v>0</v>
      </c>
      <c r="I23" s="52">
        <v>3</v>
      </c>
      <c r="J23" s="52">
        <v>2</v>
      </c>
      <c r="K23" s="52">
        <v>0</v>
      </c>
      <c r="L23" s="52">
        <v>0</v>
      </c>
      <c r="M23" s="52">
        <v>67</v>
      </c>
      <c r="N23" s="52">
        <v>0</v>
      </c>
      <c r="O23" s="15">
        <f t="shared" si="0"/>
        <v>50</v>
      </c>
      <c r="P23" s="15">
        <f t="shared" si="1"/>
        <v>117</v>
      </c>
      <c r="R23" s="38" t="s">
        <v>91</v>
      </c>
      <c r="S23" s="39">
        <f>MAX(S13:S18)</f>
        <v>138</v>
      </c>
      <c r="T23" s="39">
        <f t="shared" ref="T23:AF23" si="15">MAX(T13:T18)</f>
        <v>32</v>
      </c>
      <c r="U23" s="39">
        <f t="shared" si="15"/>
        <v>24</v>
      </c>
      <c r="V23" s="39">
        <f t="shared" si="15"/>
        <v>43</v>
      </c>
      <c r="W23" s="39">
        <f t="shared" si="15"/>
        <v>3</v>
      </c>
      <c r="X23" s="39">
        <f t="shared" si="15"/>
        <v>1</v>
      </c>
      <c r="Y23" s="39">
        <f t="shared" si="15"/>
        <v>16</v>
      </c>
      <c r="Z23" s="39">
        <f t="shared" si="15"/>
        <v>5</v>
      </c>
      <c r="AA23" s="39">
        <f t="shared" si="15"/>
        <v>7</v>
      </c>
      <c r="AB23" s="39">
        <f t="shared" si="15"/>
        <v>0</v>
      </c>
      <c r="AC23" s="39">
        <f t="shared" si="15"/>
        <v>246</v>
      </c>
      <c r="AD23" s="39">
        <f t="shared" si="15"/>
        <v>0</v>
      </c>
      <c r="AE23" s="40">
        <f t="shared" si="15"/>
        <v>236</v>
      </c>
      <c r="AF23" s="40">
        <f t="shared" si="15"/>
        <v>476</v>
      </c>
    </row>
    <row r="24" spans="2:32" ht="23.1" customHeight="1" x14ac:dyDescent="0.25">
      <c r="B24" s="23" t="s">
        <v>51</v>
      </c>
      <c r="C24" s="52">
        <v>27</v>
      </c>
      <c r="D24" s="52">
        <v>5</v>
      </c>
      <c r="E24" s="52">
        <v>0</v>
      </c>
      <c r="F24" s="52">
        <v>5</v>
      </c>
      <c r="G24" s="52">
        <v>0</v>
      </c>
      <c r="H24" s="52">
        <v>0</v>
      </c>
      <c r="I24" s="52">
        <v>5</v>
      </c>
      <c r="J24" s="52">
        <v>0</v>
      </c>
      <c r="K24" s="52">
        <v>0</v>
      </c>
      <c r="L24" s="52">
        <v>0</v>
      </c>
      <c r="M24" s="52">
        <v>69</v>
      </c>
      <c r="N24" s="52">
        <v>0</v>
      </c>
      <c r="O24" s="15">
        <f t="shared" si="0"/>
        <v>42</v>
      </c>
      <c r="P24" s="15">
        <f t="shared" si="1"/>
        <v>111</v>
      </c>
      <c r="R24" s="38" t="s">
        <v>92</v>
      </c>
      <c r="S24" s="39">
        <f>MAX(S19:S21)</f>
        <v>147</v>
      </c>
      <c r="T24" s="39">
        <f t="shared" ref="T24:AF24" si="16">MAX(T19:T21)</f>
        <v>31</v>
      </c>
      <c r="U24" s="39">
        <f t="shared" si="16"/>
        <v>24</v>
      </c>
      <c r="V24" s="39">
        <f t="shared" si="16"/>
        <v>39</v>
      </c>
      <c r="W24" s="39">
        <f t="shared" si="16"/>
        <v>1</v>
      </c>
      <c r="X24" s="39">
        <f t="shared" si="16"/>
        <v>0</v>
      </c>
      <c r="Y24" s="39">
        <f t="shared" si="16"/>
        <v>17</v>
      </c>
      <c r="Z24" s="39">
        <f t="shared" si="16"/>
        <v>5</v>
      </c>
      <c r="AA24" s="39">
        <f t="shared" si="16"/>
        <v>7</v>
      </c>
      <c r="AB24" s="39">
        <f t="shared" si="16"/>
        <v>0</v>
      </c>
      <c r="AC24" s="39">
        <f t="shared" si="16"/>
        <v>290</v>
      </c>
      <c r="AD24" s="39">
        <f t="shared" si="16"/>
        <v>0</v>
      </c>
      <c r="AE24" s="40">
        <f t="shared" si="16"/>
        <v>251</v>
      </c>
      <c r="AF24" s="40">
        <f t="shared" si="16"/>
        <v>541</v>
      </c>
    </row>
    <row r="25" spans="2:32" ht="23.1" customHeight="1" x14ac:dyDescent="0.25">
      <c r="B25" s="23" t="s">
        <v>52</v>
      </c>
      <c r="C25" s="52">
        <v>19</v>
      </c>
      <c r="D25" s="52">
        <v>2</v>
      </c>
      <c r="E25" s="52">
        <v>3</v>
      </c>
      <c r="F25" s="52">
        <v>16</v>
      </c>
      <c r="G25" s="52">
        <v>0</v>
      </c>
      <c r="H25" s="52">
        <v>0</v>
      </c>
      <c r="I25" s="52">
        <v>4</v>
      </c>
      <c r="J25" s="52">
        <v>0</v>
      </c>
      <c r="K25" s="52">
        <v>0</v>
      </c>
      <c r="L25" s="52">
        <v>0</v>
      </c>
      <c r="M25" s="52">
        <v>68</v>
      </c>
      <c r="N25" s="52">
        <v>0</v>
      </c>
      <c r="O25" s="15">
        <f t="shared" si="0"/>
        <v>44</v>
      </c>
      <c r="P25" s="15">
        <f t="shared" si="1"/>
        <v>112</v>
      </c>
      <c r="R25" s="37" t="s">
        <v>85</v>
      </c>
      <c r="S25" s="35">
        <f t="shared" ref="S25:AF25" si="17">SUM(S10:S12)</f>
        <v>182</v>
      </c>
      <c r="T25" s="16">
        <f t="shared" si="17"/>
        <v>28</v>
      </c>
      <c r="U25" s="16">
        <f t="shared" si="17"/>
        <v>28</v>
      </c>
      <c r="V25" s="16">
        <f t="shared" si="17"/>
        <v>86</v>
      </c>
      <c r="W25" s="16">
        <f t="shared" si="17"/>
        <v>1</v>
      </c>
      <c r="X25" s="16">
        <f t="shared" si="17"/>
        <v>0</v>
      </c>
      <c r="Y25" s="16">
        <f t="shared" si="17"/>
        <v>15</v>
      </c>
      <c r="Z25" s="16">
        <f t="shared" si="17"/>
        <v>1</v>
      </c>
      <c r="AA25" s="16">
        <f t="shared" si="17"/>
        <v>7</v>
      </c>
      <c r="AB25" s="16">
        <f t="shared" si="17"/>
        <v>0</v>
      </c>
      <c r="AC25" s="16">
        <f t="shared" si="17"/>
        <v>633</v>
      </c>
      <c r="AD25" s="16">
        <f t="shared" si="17"/>
        <v>0</v>
      </c>
      <c r="AE25" s="32">
        <f t="shared" si="17"/>
        <v>348</v>
      </c>
      <c r="AF25" s="32">
        <f t="shared" si="17"/>
        <v>981</v>
      </c>
    </row>
    <row r="26" spans="2:32" ht="23.1" customHeight="1" x14ac:dyDescent="0.25">
      <c r="B26" s="23" t="s">
        <v>53</v>
      </c>
      <c r="C26" s="52">
        <v>29</v>
      </c>
      <c r="D26" s="52">
        <v>9</v>
      </c>
      <c r="E26" s="52">
        <v>3</v>
      </c>
      <c r="F26" s="52">
        <v>8</v>
      </c>
      <c r="G26" s="52">
        <v>1</v>
      </c>
      <c r="H26" s="52">
        <v>0</v>
      </c>
      <c r="I26" s="52">
        <v>4</v>
      </c>
      <c r="J26" s="52">
        <v>0</v>
      </c>
      <c r="K26" s="52">
        <v>3</v>
      </c>
      <c r="L26" s="52">
        <v>0</v>
      </c>
      <c r="M26" s="52">
        <v>93</v>
      </c>
      <c r="N26" s="52">
        <v>0</v>
      </c>
      <c r="O26" s="15">
        <f t="shared" si="0"/>
        <v>57</v>
      </c>
      <c r="P26" s="15">
        <f t="shared" si="1"/>
        <v>150</v>
      </c>
      <c r="R26" s="28" t="s">
        <v>86</v>
      </c>
      <c r="S26" s="16">
        <f t="shared" ref="S26:AF26" si="18">SUM(S13:S18)</f>
        <v>684</v>
      </c>
      <c r="T26" s="16">
        <f t="shared" si="18"/>
        <v>146</v>
      </c>
      <c r="U26" s="16">
        <f t="shared" si="18"/>
        <v>83</v>
      </c>
      <c r="V26" s="16">
        <f t="shared" si="18"/>
        <v>203</v>
      </c>
      <c r="W26" s="16">
        <f t="shared" si="18"/>
        <v>5</v>
      </c>
      <c r="X26" s="16">
        <f t="shared" si="18"/>
        <v>1</v>
      </c>
      <c r="Y26" s="16">
        <f t="shared" si="18"/>
        <v>64</v>
      </c>
      <c r="Z26" s="16">
        <f t="shared" si="18"/>
        <v>16</v>
      </c>
      <c r="AA26" s="16">
        <f t="shared" si="18"/>
        <v>27</v>
      </c>
      <c r="AB26" s="16">
        <f t="shared" si="18"/>
        <v>0</v>
      </c>
      <c r="AC26" s="16">
        <f t="shared" si="18"/>
        <v>1312</v>
      </c>
      <c r="AD26" s="16">
        <f t="shared" si="18"/>
        <v>0</v>
      </c>
      <c r="AE26" s="32">
        <f t="shared" si="18"/>
        <v>1206</v>
      </c>
      <c r="AF26" s="32">
        <f t="shared" si="18"/>
        <v>2474</v>
      </c>
    </row>
    <row r="27" spans="2:32" ht="23.1" customHeight="1" x14ac:dyDescent="0.25">
      <c r="B27" s="23" t="s">
        <v>54</v>
      </c>
      <c r="C27" s="52">
        <v>13</v>
      </c>
      <c r="D27" s="52">
        <v>5</v>
      </c>
      <c r="E27" s="52">
        <v>2</v>
      </c>
      <c r="F27" s="52">
        <v>11</v>
      </c>
      <c r="G27" s="52">
        <v>0</v>
      </c>
      <c r="H27" s="52">
        <v>0</v>
      </c>
      <c r="I27" s="52">
        <v>1</v>
      </c>
      <c r="J27" s="52">
        <v>1</v>
      </c>
      <c r="K27" s="52">
        <v>1</v>
      </c>
      <c r="L27" s="52">
        <v>0</v>
      </c>
      <c r="M27" s="52">
        <v>39</v>
      </c>
      <c r="N27" s="52">
        <v>0</v>
      </c>
      <c r="O27" s="15">
        <f t="shared" si="0"/>
        <v>34</v>
      </c>
      <c r="P27" s="15">
        <f t="shared" si="1"/>
        <v>73</v>
      </c>
      <c r="R27" s="29" t="s">
        <v>87</v>
      </c>
      <c r="S27" s="16">
        <f t="shared" ref="S27:AF27" si="19">SUM(S19:S21)</f>
        <v>416</v>
      </c>
      <c r="T27" s="16">
        <f t="shared" si="19"/>
        <v>83</v>
      </c>
      <c r="U27" s="16">
        <f t="shared" si="19"/>
        <v>52</v>
      </c>
      <c r="V27" s="16">
        <f t="shared" si="19"/>
        <v>94</v>
      </c>
      <c r="W27" s="16">
        <f t="shared" si="19"/>
        <v>2</v>
      </c>
      <c r="X27" s="16">
        <f t="shared" si="19"/>
        <v>0</v>
      </c>
      <c r="Y27" s="16">
        <f t="shared" si="19"/>
        <v>38</v>
      </c>
      <c r="Z27" s="16">
        <f t="shared" si="19"/>
        <v>7</v>
      </c>
      <c r="AA27" s="16">
        <f t="shared" si="19"/>
        <v>17</v>
      </c>
      <c r="AB27" s="16">
        <f t="shared" si="19"/>
        <v>0</v>
      </c>
      <c r="AC27" s="16">
        <f t="shared" si="19"/>
        <v>799</v>
      </c>
      <c r="AD27" s="16">
        <f t="shared" si="19"/>
        <v>0</v>
      </c>
      <c r="AE27" s="32">
        <f t="shared" si="19"/>
        <v>709</v>
      </c>
      <c r="AF27" s="32">
        <f t="shared" si="19"/>
        <v>1508</v>
      </c>
    </row>
    <row r="28" spans="2:32" ht="23.1" customHeight="1" x14ac:dyDescent="0.25">
      <c r="B28" s="23" t="s">
        <v>55</v>
      </c>
      <c r="C28" s="52">
        <v>33</v>
      </c>
      <c r="D28" s="52">
        <v>8</v>
      </c>
      <c r="E28" s="52">
        <v>1</v>
      </c>
      <c r="F28" s="52">
        <v>11</v>
      </c>
      <c r="G28" s="52">
        <v>2</v>
      </c>
      <c r="H28" s="52">
        <v>0</v>
      </c>
      <c r="I28" s="52">
        <v>1</v>
      </c>
      <c r="J28" s="52">
        <v>0</v>
      </c>
      <c r="K28" s="52">
        <v>2</v>
      </c>
      <c r="L28" s="52">
        <v>0</v>
      </c>
      <c r="M28" s="52">
        <v>97</v>
      </c>
      <c r="N28" s="52">
        <v>0</v>
      </c>
      <c r="O28" s="15">
        <f t="shared" si="0"/>
        <v>58</v>
      </c>
      <c r="P28" s="15">
        <f t="shared" si="1"/>
        <v>155</v>
      </c>
      <c r="R28" s="5" t="s">
        <v>17</v>
      </c>
      <c r="S28" s="16">
        <f t="shared" ref="S28:AF28" si="20">SUM(S10:S21)</f>
        <v>1282</v>
      </c>
      <c r="T28" s="16">
        <f t="shared" si="20"/>
        <v>257</v>
      </c>
      <c r="U28" s="16">
        <f t="shared" si="20"/>
        <v>163</v>
      </c>
      <c r="V28" s="16">
        <f t="shared" si="20"/>
        <v>383</v>
      </c>
      <c r="W28" s="16">
        <f t="shared" si="20"/>
        <v>8</v>
      </c>
      <c r="X28" s="16">
        <f t="shared" si="20"/>
        <v>1</v>
      </c>
      <c r="Y28" s="16">
        <f t="shared" si="20"/>
        <v>117</v>
      </c>
      <c r="Z28" s="16">
        <f t="shared" si="20"/>
        <v>24</v>
      </c>
      <c r="AA28" s="16">
        <f t="shared" si="20"/>
        <v>51</v>
      </c>
      <c r="AB28" s="16">
        <f t="shared" si="20"/>
        <v>0</v>
      </c>
      <c r="AC28" s="16">
        <f t="shared" si="20"/>
        <v>2744</v>
      </c>
      <c r="AD28" s="16">
        <f t="shared" si="20"/>
        <v>0</v>
      </c>
      <c r="AE28" s="32">
        <f t="shared" si="20"/>
        <v>2263</v>
      </c>
      <c r="AF28" s="32">
        <f t="shared" si="20"/>
        <v>4963</v>
      </c>
    </row>
    <row r="29" spans="2:32" ht="23.1" customHeight="1" x14ac:dyDescent="0.25">
      <c r="B29" s="23" t="s">
        <v>56</v>
      </c>
      <c r="C29" s="52">
        <v>43</v>
      </c>
      <c r="D29" s="52">
        <v>5</v>
      </c>
      <c r="E29" s="52">
        <v>3</v>
      </c>
      <c r="F29" s="52">
        <v>13</v>
      </c>
      <c r="G29" s="52">
        <v>0</v>
      </c>
      <c r="H29" s="52">
        <v>0</v>
      </c>
      <c r="I29" s="52">
        <v>0</v>
      </c>
      <c r="J29" s="52">
        <v>0</v>
      </c>
      <c r="K29" s="52">
        <v>1</v>
      </c>
      <c r="L29" s="52">
        <v>0</v>
      </c>
      <c r="M29" s="52">
        <v>10</v>
      </c>
      <c r="N29" s="52">
        <v>0</v>
      </c>
      <c r="O29" s="15">
        <f t="shared" si="0"/>
        <v>65</v>
      </c>
      <c r="P29" s="15">
        <f t="shared" si="1"/>
        <v>75</v>
      </c>
      <c r="R29"/>
      <c r="S29" s="20"/>
      <c r="T29" s="19"/>
    </row>
    <row r="30" spans="2:32" ht="23.1" customHeight="1" x14ac:dyDescent="0.25">
      <c r="B30" s="23" t="s">
        <v>57</v>
      </c>
      <c r="C30" s="52">
        <v>42</v>
      </c>
      <c r="D30" s="52">
        <v>6</v>
      </c>
      <c r="E30" s="52">
        <v>3</v>
      </c>
      <c r="F30" s="52">
        <v>13</v>
      </c>
      <c r="G30" s="52">
        <v>0</v>
      </c>
      <c r="H30" s="52">
        <v>0</v>
      </c>
      <c r="I30" s="52">
        <v>4</v>
      </c>
      <c r="J30" s="52">
        <v>0</v>
      </c>
      <c r="K30" s="52">
        <v>1</v>
      </c>
      <c r="L30" s="52">
        <v>0</v>
      </c>
      <c r="M30" s="52">
        <v>73</v>
      </c>
      <c r="N30" s="52">
        <v>0</v>
      </c>
      <c r="O30" s="15">
        <f t="shared" si="0"/>
        <v>69</v>
      </c>
      <c r="P30" s="15">
        <f t="shared" si="1"/>
        <v>142</v>
      </c>
    </row>
    <row r="31" spans="2:32" ht="23.1" customHeight="1" x14ac:dyDescent="0.25">
      <c r="B31" s="24" t="s">
        <v>58</v>
      </c>
      <c r="C31" s="52">
        <v>25</v>
      </c>
      <c r="D31" s="52">
        <v>5</v>
      </c>
      <c r="E31" s="52">
        <v>1</v>
      </c>
      <c r="F31" s="52">
        <v>7</v>
      </c>
      <c r="G31" s="52">
        <v>0</v>
      </c>
      <c r="H31" s="52">
        <v>0</v>
      </c>
      <c r="I31" s="52">
        <v>5</v>
      </c>
      <c r="J31" s="52">
        <v>1</v>
      </c>
      <c r="K31" s="52">
        <v>2</v>
      </c>
      <c r="L31" s="52">
        <v>0</v>
      </c>
      <c r="M31" s="52">
        <v>56</v>
      </c>
      <c r="N31" s="52">
        <v>0</v>
      </c>
      <c r="O31" s="15">
        <f t="shared" si="0"/>
        <v>46</v>
      </c>
      <c r="P31" s="15">
        <f t="shared" si="1"/>
        <v>102</v>
      </c>
    </row>
    <row r="32" spans="2:32" ht="23.1" customHeight="1" x14ac:dyDescent="0.25">
      <c r="B32" s="24" t="s">
        <v>59</v>
      </c>
      <c r="C32" s="52">
        <v>33</v>
      </c>
      <c r="D32" s="52">
        <v>7</v>
      </c>
      <c r="E32" s="52">
        <v>5</v>
      </c>
      <c r="F32" s="52">
        <v>7</v>
      </c>
      <c r="G32" s="52">
        <v>0</v>
      </c>
      <c r="H32" s="52">
        <v>0</v>
      </c>
      <c r="I32" s="52">
        <v>2</v>
      </c>
      <c r="J32" s="52">
        <v>1</v>
      </c>
      <c r="K32" s="52">
        <v>2</v>
      </c>
      <c r="L32" s="52">
        <v>0</v>
      </c>
      <c r="M32" s="52">
        <v>52</v>
      </c>
      <c r="N32" s="52">
        <v>0</v>
      </c>
      <c r="O32" s="15">
        <f t="shared" si="0"/>
        <v>57</v>
      </c>
      <c r="P32" s="15">
        <f t="shared" si="1"/>
        <v>109</v>
      </c>
    </row>
    <row r="33" spans="2:20" ht="23.1" customHeight="1" x14ac:dyDescent="0.25">
      <c r="B33" s="23" t="s">
        <v>60</v>
      </c>
      <c r="C33" s="52">
        <v>38</v>
      </c>
      <c r="D33" s="52">
        <v>4</v>
      </c>
      <c r="E33" s="52">
        <v>4</v>
      </c>
      <c r="F33" s="52">
        <v>9</v>
      </c>
      <c r="G33" s="52">
        <v>0</v>
      </c>
      <c r="H33" s="52">
        <v>0</v>
      </c>
      <c r="I33" s="52">
        <v>2</v>
      </c>
      <c r="J33" s="52">
        <v>1</v>
      </c>
      <c r="K33" s="52">
        <v>0</v>
      </c>
      <c r="L33" s="52">
        <v>0</v>
      </c>
      <c r="M33" s="52">
        <v>65</v>
      </c>
      <c r="N33" s="52">
        <v>0</v>
      </c>
      <c r="O33" s="15">
        <f t="shared" si="0"/>
        <v>58</v>
      </c>
      <c r="P33" s="15">
        <f t="shared" si="1"/>
        <v>123</v>
      </c>
    </row>
    <row r="34" spans="2:20" ht="23.1" customHeight="1" x14ac:dyDescent="0.25">
      <c r="B34" s="24" t="s">
        <v>61</v>
      </c>
      <c r="C34" s="52">
        <v>43</v>
      </c>
      <c r="D34" s="52">
        <v>8</v>
      </c>
      <c r="E34" s="52">
        <v>9</v>
      </c>
      <c r="F34" s="52">
        <v>5</v>
      </c>
      <c r="G34" s="52">
        <v>1</v>
      </c>
      <c r="H34" s="52">
        <v>0</v>
      </c>
      <c r="I34" s="52">
        <v>8</v>
      </c>
      <c r="J34" s="52">
        <v>1</v>
      </c>
      <c r="K34" s="52">
        <v>2</v>
      </c>
      <c r="L34" s="52">
        <v>0</v>
      </c>
      <c r="M34" s="52">
        <v>57</v>
      </c>
      <c r="N34" s="52">
        <v>0</v>
      </c>
      <c r="O34" s="15">
        <f t="shared" si="0"/>
        <v>77</v>
      </c>
      <c r="P34" s="15">
        <f t="shared" si="1"/>
        <v>134</v>
      </c>
    </row>
    <row r="35" spans="2:20" ht="23.1" customHeight="1" x14ac:dyDescent="0.25">
      <c r="B35" s="24" t="s">
        <v>62</v>
      </c>
      <c r="C35" s="52">
        <v>21</v>
      </c>
      <c r="D35" s="52">
        <v>7</v>
      </c>
      <c r="E35" s="52">
        <v>5</v>
      </c>
      <c r="F35" s="52">
        <v>5</v>
      </c>
      <c r="G35" s="52">
        <v>1</v>
      </c>
      <c r="H35" s="52">
        <v>1</v>
      </c>
      <c r="I35" s="52">
        <v>2</v>
      </c>
      <c r="J35" s="52">
        <v>0</v>
      </c>
      <c r="K35" s="52">
        <v>1</v>
      </c>
      <c r="L35" s="52">
        <v>0</v>
      </c>
      <c r="M35" s="52">
        <v>51</v>
      </c>
      <c r="N35" s="52">
        <v>0</v>
      </c>
      <c r="O35" s="15">
        <f t="shared" si="0"/>
        <v>43</v>
      </c>
      <c r="P35" s="15">
        <f t="shared" si="1"/>
        <v>94</v>
      </c>
    </row>
    <row r="36" spans="2:20" ht="23.1" customHeight="1" x14ac:dyDescent="0.25">
      <c r="B36" s="24" t="s">
        <v>63</v>
      </c>
      <c r="C36" s="52">
        <v>33</v>
      </c>
      <c r="D36" s="52">
        <v>8</v>
      </c>
      <c r="E36" s="52">
        <v>5</v>
      </c>
      <c r="F36" s="52">
        <v>9</v>
      </c>
      <c r="G36" s="52">
        <v>0</v>
      </c>
      <c r="H36" s="52">
        <v>0</v>
      </c>
      <c r="I36" s="52">
        <v>3</v>
      </c>
      <c r="J36" s="52">
        <v>1</v>
      </c>
      <c r="K36" s="52">
        <v>1</v>
      </c>
      <c r="L36" s="52">
        <v>0</v>
      </c>
      <c r="M36" s="52">
        <v>55</v>
      </c>
      <c r="N36" s="52">
        <v>0</v>
      </c>
      <c r="O36" s="15">
        <f t="shared" si="0"/>
        <v>60</v>
      </c>
      <c r="P36" s="15">
        <f t="shared" si="1"/>
        <v>115</v>
      </c>
    </row>
    <row r="37" spans="2:20" ht="23.1" customHeight="1" x14ac:dyDescent="0.25">
      <c r="B37" s="23" t="s">
        <v>64</v>
      </c>
      <c r="C37" s="52">
        <v>29</v>
      </c>
      <c r="D37" s="52">
        <v>9</v>
      </c>
      <c r="E37" s="52">
        <v>5</v>
      </c>
      <c r="F37" s="52">
        <v>11</v>
      </c>
      <c r="G37" s="52">
        <v>0</v>
      </c>
      <c r="H37" s="52">
        <v>0</v>
      </c>
      <c r="I37" s="52">
        <v>2</v>
      </c>
      <c r="J37" s="52">
        <v>0</v>
      </c>
      <c r="K37" s="52">
        <v>0</v>
      </c>
      <c r="L37" s="52">
        <v>0</v>
      </c>
      <c r="M37" s="52">
        <v>30</v>
      </c>
      <c r="N37" s="52">
        <v>0</v>
      </c>
      <c r="O37" s="15">
        <f t="shared" si="0"/>
        <v>56</v>
      </c>
      <c r="P37" s="15">
        <f t="shared" si="1"/>
        <v>86</v>
      </c>
    </row>
    <row r="38" spans="2:20" ht="23.1" customHeight="1" x14ac:dyDescent="0.25">
      <c r="B38" s="24" t="s">
        <v>65</v>
      </c>
      <c r="C38" s="52">
        <v>33</v>
      </c>
      <c r="D38" s="52">
        <v>4</v>
      </c>
      <c r="E38" s="52">
        <v>8</v>
      </c>
      <c r="F38" s="52">
        <v>7</v>
      </c>
      <c r="G38" s="52">
        <v>0</v>
      </c>
      <c r="H38" s="52">
        <v>0</v>
      </c>
      <c r="I38" s="52">
        <v>2</v>
      </c>
      <c r="J38" s="52">
        <v>1</v>
      </c>
      <c r="K38" s="52">
        <v>2</v>
      </c>
      <c r="L38" s="52">
        <v>0</v>
      </c>
      <c r="M38" s="52">
        <v>61</v>
      </c>
      <c r="N38" s="52">
        <v>0</v>
      </c>
      <c r="O38" s="15">
        <f t="shared" si="0"/>
        <v>57</v>
      </c>
      <c r="P38" s="15">
        <f t="shared" si="1"/>
        <v>118</v>
      </c>
    </row>
    <row r="39" spans="2:20" ht="23.1" customHeight="1" x14ac:dyDescent="0.25">
      <c r="B39" s="24" t="s">
        <v>66</v>
      </c>
      <c r="C39" s="52">
        <v>30</v>
      </c>
      <c r="D39" s="52">
        <v>8</v>
      </c>
      <c r="E39" s="52">
        <v>6</v>
      </c>
      <c r="F39" s="52">
        <v>5</v>
      </c>
      <c r="G39" s="52">
        <v>0</v>
      </c>
      <c r="H39" s="52">
        <v>0</v>
      </c>
      <c r="I39" s="52">
        <v>3</v>
      </c>
      <c r="J39" s="52">
        <v>0</v>
      </c>
      <c r="K39" s="52">
        <v>0</v>
      </c>
      <c r="L39" s="52">
        <v>0</v>
      </c>
      <c r="M39" s="52">
        <v>43</v>
      </c>
      <c r="N39" s="52">
        <v>0</v>
      </c>
      <c r="O39" s="15">
        <f t="shared" si="0"/>
        <v>52</v>
      </c>
      <c r="P39" s="15">
        <f t="shared" si="1"/>
        <v>95</v>
      </c>
    </row>
    <row r="40" spans="2:20" ht="23.1" customHeight="1" x14ac:dyDescent="0.25">
      <c r="B40" s="24" t="s">
        <v>67</v>
      </c>
      <c r="C40" s="52">
        <v>36</v>
      </c>
      <c r="D40" s="52">
        <v>4</v>
      </c>
      <c r="E40" s="52">
        <v>1</v>
      </c>
      <c r="F40" s="52">
        <v>6</v>
      </c>
      <c r="G40" s="52">
        <v>0</v>
      </c>
      <c r="H40" s="52">
        <v>0</v>
      </c>
      <c r="I40" s="52">
        <v>0</v>
      </c>
      <c r="J40" s="52">
        <v>1</v>
      </c>
      <c r="K40" s="52">
        <v>3</v>
      </c>
      <c r="L40" s="52">
        <v>0</v>
      </c>
      <c r="M40" s="52">
        <v>62</v>
      </c>
      <c r="N40" s="52">
        <v>0</v>
      </c>
      <c r="O40" s="15">
        <f t="shared" si="0"/>
        <v>51</v>
      </c>
      <c r="P40" s="15">
        <f t="shared" si="1"/>
        <v>113</v>
      </c>
    </row>
    <row r="41" spans="2:20" ht="23.1" customHeight="1" x14ac:dyDescent="0.25">
      <c r="B41" s="23" t="s">
        <v>68</v>
      </c>
      <c r="C41" s="52">
        <v>27</v>
      </c>
      <c r="D41" s="52">
        <v>8</v>
      </c>
      <c r="E41" s="52">
        <v>3</v>
      </c>
      <c r="F41" s="52">
        <v>10</v>
      </c>
      <c r="G41" s="52">
        <v>0</v>
      </c>
      <c r="H41" s="52">
        <v>0</v>
      </c>
      <c r="I41" s="52">
        <v>2</v>
      </c>
      <c r="J41" s="52">
        <v>0</v>
      </c>
      <c r="K41" s="52">
        <v>1</v>
      </c>
      <c r="L41" s="52">
        <v>0</v>
      </c>
      <c r="M41" s="52">
        <v>49</v>
      </c>
      <c r="N41" s="52">
        <v>0</v>
      </c>
      <c r="O41" s="15">
        <f t="shared" si="0"/>
        <v>51</v>
      </c>
      <c r="P41" s="15">
        <f t="shared" si="1"/>
        <v>100</v>
      </c>
    </row>
    <row r="42" spans="2:20" ht="23.1" customHeight="1" x14ac:dyDescent="0.25">
      <c r="B42" s="24" t="s">
        <v>69</v>
      </c>
      <c r="C42" s="52">
        <v>25</v>
      </c>
      <c r="D42" s="52">
        <v>5</v>
      </c>
      <c r="E42" s="52">
        <v>2</v>
      </c>
      <c r="F42" s="52">
        <v>4</v>
      </c>
      <c r="G42" s="52">
        <v>0</v>
      </c>
      <c r="H42" s="52">
        <v>0</v>
      </c>
      <c r="I42" s="52">
        <v>2</v>
      </c>
      <c r="J42" s="52">
        <v>1</v>
      </c>
      <c r="K42" s="52">
        <v>0</v>
      </c>
      <c r="L42" s="52">
        <v>0</v>
      </c>
      <c r="M42" s="52">
        <v>32</v>
      </c>
      <c r="N42" s="52">
        <v>0</v>
      </c>
      <c r="O42" s="15">
        <f t="shared" si="0"/>
        <v>39</v>
      </c>
      <c r="P42" s="15">
        <f t="shared" si="1"/>
        <v>71</v>
      </c>
    </row>
    <row r="43" spans="2:20" ht="23.1" customHeight="1" x14ac:dyDescent="0.25">
      <c r="B43" s="23" t="s">
        <v>70</v>
      </c>
      <c r="C43" s="52">
        <v>23</v>
      </c>
      <c r="D43" s="52">
        <v>10</v>
      </c>
      <c r="E43" s="52">
        <v>3</v>
      </c>
      <c r="F43" s="52">
        <v>7</v>
      </c>
      <c r="G43" s="52">
        <v>0</v>
      </c>
      <c r="H43" s="52">
        <v>0</v>
      </c>
      <c r="I43" s="52">
        <v>2</v>
      </c>
      <c r="J43" s="52">
        <v>2</v>
      </c>
      <c r="K43" s="52">
        <v>2</v>
      </c>
      <c r="L43" s="52">
        <v>0</v>
      </c>
      <c r="M43" s="52">
        <v>68</v>
      </c>
      <c r="N43" s="52">
        <v>0</v>
      </c>
      <c r="O43" s="15">
        <f t="shared" si="0"/>
        <v>49</v>
      </c>
      <c r="P43" s="15">
        <f t="shared" si="1"/>
        <v>117</v>
      </c>
    </row>
    <row r="44" spans="2:20" ht="23.1" customHeight="1" x14ac:dyDescent="0.25">
      <c r="B44" s="25" t="s">
        <v>71</v>
      </c>
      <c r="C44" s="52">
        <v>30</v>
      </c>
      <c r="D44" s="52">
        <v>3</v>
      </c>
      <c r="E44" s="52">
        <v>4</v>
      </c>
      <c r="F44" s="52">
        <v>6</v>
      </c>
      <c r="G44" s="52">
        <v>0</v>
      </c>
      <c r="H44" s="52">
        <v>0</v>
      </c>
      <c r="I44" s="52">
        <v>2</v>
      </c>
      <c r="J44" s="52">
        <v>1</v>
      </c>
      <c r="K44" s="52">
        <v>0</v>
      </c>
      <c r="L44" s="52">
        <v>0</v>
      </c>
      <c r="M44" s="52">
        <v>52</v>
      </c>
      <c r="N44" s="52">
        <v>0</v>
      </c>
      <c r="O44" s="15">
        <f t="shared" si="0"/>
        <v>46</v>
      </c>
      <c r="P44" s="15">
        <f t="shared" si="1"/>
        <v>98</v>
      </c>
    </row>
    <row r="45" spans="2:20" ht="23.1" customHeight="1" x14ac:dyDescent="0.25">
      <c r="B45" s="23" t="s">
        <v>72</v>
      </c>
      <c r="C45" s="52">
        <v>10</v>
      </c>
      <c r="D45" s="52">
        <v>3</v>
      </c>
      <c r="E45" s="52">
        <v>2</v>
      </c>
      <c r="F45" s="52">
        <v>6</v>
      </c>
      <c r="G45" s="52">
        <v>0</v>
      </c>
      <c r="H45" s="52">
        <v>0</v>
      </c>
      <c r="I45" s="52">
        <v>1</v>
      </c>
      <c r="J45" s="52">
        <v>1</v>
      </c>
      <c r="K45" s="52">
        <v>2</v>
      </c>
      <c r="L45" s="52">
        <v>0</v>
      </c>
      <c r="M45" s="52">
        <v>47</v>
      </c>
      <c r="N45" s="52">
        <v>0</v>
      </c>
      <c r="O45" s="15">
        <v>2</v>
      </c>
      <c r="P45" s="15">
        <v>5</v>
      </c>
    </row>
    <row r="46" spans="2:20" ht="23.1" customHeight="1" x14ac:dyDescent="0.25">
      <c r="B46" s="24" t="s">
        <v>73</v>
      </c>
      <c r="C46" s="52">
        <v>48</v>
      </c>
      <c r="D46" s="52">
        <v>7</v>
      </c>
      <c r="E46" s="52">
        <v>2</v>
      </c>
      <c r="F46" s="52">
        <v>5</v>
      </c>
      <c r="G46" s="52">
        <v>0</v>
      </c>
      <c r="H46" s="52">
        <v>0</v>
      </c>
      <c r="I46" s="52">
        <v>5</v>
      </c>
      <c r="J46" s="52">
        <v>0</v>
      </c>
      <c r="K46" s="52">
        <v>0</v>
      </c>
      <c r="L46" s="52">
        <v>0</v>
      </c>
      <c r="M46" s="52">
        <v>48</v>
      </c>
      <c r="N46" s="52">
        <v>0</v>
      </c>
      <c r="O46" s="15">
        <f t="shared" si="0"/>
        <v>67</v>
      </c>
      <c r="P46" s="15">
        <f t="shared" si="1"/>
        <v>115</v>
      </c>
      <c r="R46" s="8"/>
      <c r="T46"/>
    </row>
    <row r="47" spans="2:20" ht="23.1" customHeight="1" x14ac:dyDescent="0.25">
      <c r="B47" s="24" t="s">
        <v>74</v>
      </c>
      <c r="C47" s="52">
        <v>33</v>
      </c>
      <c r="D47" s="52">
        <v>7</v>
      </c>
      <c r="E47" s="52">
        <v>6</v>
      </c>
      <c r="F47" s="52">
        <v>6</v>
      </c>
      <c r="G47" s="52">
        <v>1</v>
      </c>
      <c r="H47" s="52">
        <v>0</v>
      </c>
      <c r="I47" s="52">
        <v>4</v>
      </c>
      <c r="J47" s="52">
        <v>1</v>
      </c>
      <c r="K47" s="52">
        <v>2</v>
      </c>
      <c r="L47" s="52">
        <v>0</v>
      </c>
      <c r="M47" s="52">
        <v>54</v>
      </c>
      <c r="N47" s="52">
        <v>0</v>
      </c>
      <c r="O47" s="15">
        <f t="shared" si="0"/>
        <v>60</v>
      </c>
      <c r="P47" s="15">
        <f t="shared" si="1"/>
        <v>114</v>
      </c>
      <c r="R47" s="8"/>
      <c r="T47"/>
    </row>
    <row r="48" spans="2:20" ht="23.1" customHeight="1" x14ac:dyDescent="0.25">
      <c r="B48" s="24" t="s">
        <v>75</v>
      </c>
      <c r="C48" s="52">
        <v>23</v>
      </c>
      <c r="D48" s="52">
        <v>1</v>
      </c>
      <c r="E48" s="52">
        <v>3</v>
      </c>
      <c r="F48" s="52">
        <v>6</v>
      </c>
      <c r="G48" s="52">
        <v>0</v>
      </c>
      <c r="H48" s="52">
        <v>0</v>
      </c>
      <c r="I48" s="52">
        <v>5</v>
      </c>
      <c r="J48" s="52">
        <v>0</v>
      </c>
      <c r="K48" s="52">
        <v>1</v>
      </c>
      <c r="L48" s="52">
        <v>0</v>
      </c>
      <c r="M48" s="52">
        <v>72</v>
      </c>
      <c r="N48" s="52">
        <v>0</v>
      </c>
      <c r="O48" s="15">
        <f t="shared" si="0"/>
        <v>39</v>
      </c>
      <c r="P48" s="15">
        <f t="shared" si="1"/>
        <v>111</v>
      </c>
      <c r="R48" s="8"/>
      <c r="T48"/>
    </row>
    <row r="49" spans="2:20" ht="23.1" customHeight="1" x14ac:dyDescent="0.25">
      <c r="B49" s="23" t="s">
        <v>76</v>
      </c>
      <c r="C49" s="52">
        <v>30</v>
      </c>
      <c r="D49" s="52">
        <v>8</v>
      </c>
      <c r="E49" s="52">
        <v>3</v>
      </c>
      <c r="F49" s="52">
        <v>5</v>
      </c>
      <c r="G49" s="52">
        <v>0</v>
      </c>
      <c r="H49" s="52">
        <v>0</v>
      </c>
      <c r="I49" s="52">
        <v>3</v>
      </c>
      <c r="J49" s="52">
        <v>0</v>
      </c>
      <c r="K49" s="52">
        <v>1</v>
      </c>
      <c r="L49" s="52">
        <v>0</v>
      </c>
      <c r="M49" s="52">
        <v>59</v>
      </c>
      <c r="N49" s="52">
        <v>0</v>
      </c>
      <c r="O49" s="15">
        <f t="shared" si="0"/>
        <v>50</v>
      </c>
      <c r="P49" s="15">
        <f t="shared" si="1"/>
        <v>109</v>
      </c>
      <c r="R49" s="8"/>
      <c r="T49"/>
    </row>
    <row r="50" spans="2:20" ht="23.1" customHeight="1" x14ac:dyDescent="0.25">
      <c r="B50" s="24" t="s">
        <v>77</v>
      </c>
      <c r="C50" s="52">
        <v>33</v>
      </c>
      <c r="D50" s="52">
        <v>8</v>
      </c>
      <c r="E50" s="52">
        <v>8</v>
      </c>
      <c r="F50" s="52">
        <v>8</v>
      </c>
      <c r="G50" s="52">
        <v>0</v>
      </c>
      <c r="H50" s="52">
        <v>0</v>
      </c>
      <c r="I50" s="52">
        <v>1</v>
      </c>
      <c r="J50" s="52">
        <v>0</v>
      </c>
      <c r="K50" s="52">
        <v>2</v>
      </c>
      <c r="L50" s="52">
        <v>0</v>
      </c>
      <c r="M50" s="52">
        <v>67</v>
      </c>
      <c r="N50" s="52">
        <v>0</v>
      </c>
      <c r="O50" s="15">
        <f t="shared" si="0"/>
        <v>60</v>
      </c>
      <c r="P50" s="15">
        <f t="shared" si="1"/>
        <v>127</v>
      </c>
      <c r="R50" s="8"/>
      <c r="T50"/>
    </row>
    <row r="51" spans="2:20" ht="23.1" customHeight="1" x14ac:dyDescent="0.25">
      <c r="B51" s="24" t="s">
        <v>78</v>
      </c>
      <c r="C51" s="52">
        <v>34</v>
      </c>
      <c r="D51" s="52">
        <v>13</v>
      </c>
      <c r="E51" s="52">
        <v>9</v>
      </c>
      <c r="F51" s="52">
        <v>10</v>
      </c>
      <c r="G51" s="52">
        <v>1</v>
      </c>
      <c r="H51" s="52">
        <v>0</v>
      </c>
      <c r="I51" s="52">
        <v>7</v>
      </c>
      <c r="J51" s="52">
        <v>1</v>
      </c>
      <c r="K51" s="52">
        <v>2</v>
      </c>
      <c r="L51" s="52">
        <v>0</v>
      </c>
      <c r="M51" s="52">
        <v>76</v>
      </c>
      <c r="N51" s="52">
        <v>0</v>
      </c>
      <c r="O51" s="15">
        <f t="shared" si="0"/>
        <v>77</v>
      </c>
      <c r="P51" s="15">
        <f t="shared" si="1"/>
        <v>153</v>
      </c>
      <c r="R51" s="8"/>
      <c r="T51"/>
    </row>
    <row r="52" spans="2:20" ht="23.1" customHeight="1" x14ac:dyDescent="0.25">
      <c r="B52" s="24" t="s">
        <v>79</v>
      </c>
      <c r="C52" s="52">
        <v>32</v>
      </c>
      <c r="D52" s="52">
        <v>5</v>
      </c>
      <c r="E52" s="52">
        <v>5</v>
      </c>
      <c r="F52" s="52">
        <v>9</v>
      </c>
      <c r="G52" s="52">
        <v>0</v>
      </c>
      <c r="H52" s="52">
        <v>0</v>
      </c>
      <c r="I52" s="52">
        <v>1</v>
      </c>
      <c r="J52" s="52">
        <v>0</v>
      </c>
      <c r="K52" s="52">
        <v>2</v>
      </c>
      <c r="L52" s="52">
        <v>0</v>
      </c>
      <c r="M52" s="52">
        <v>65</v>
      </c>
      <c r="N52" s="52">
        <v>0</v>
      </c>
      <c r="O52" s="15">
        <f t="shared" si="0"/>
        <v>54</v>
      </c>
      <c r="P52" s="15">
        <f t="shared" si="1"/>
        <v>119</v>
      </c>
      <c r="R52" s="8"/>
      <c r="T52"/>
    </row>
    <row r="53" spans="2:20" ht="23.1" customHeight="1" x14ac:dyDescent="0.25">
      <c r="B53" s="23" t="s">
        <v>80</v>
      </c>
      <c r="C53" s="52">
        <v>36</v>
      </c>
      <c r="D53" s="52">
        <v>3</v>
      </c>
      <c r="E53" s="52">
        <v>2</v>
      </c>
      <c r="F53" s="52">
        <v>6</v>
      </c>
      <c r="G53" s="52">
        <v>0</v>
      </c>
      <c r="H53" s="52">
        <v>0</v>
      </c>
      <c r="I53" s="52">
        <v>3</v>
      </c>
      <c r="J53" s="52">
        <v>0</v>
      </c>
      <c r="K53" s="52">
        <v>1</v>
      </c>
      <c r="L53" s="52">
        <v>0</v>
      </c>
      <c r="M53" s="52">
        <v>68</v>
      </c>
      <c r="N53" s="52">
        <v>0</v>
      </c>
      <c r="O53" s="15">
        <f t="shared" si="0"/>
        <v>51</v>
      </c>
      <c r="P53" s="15">
        <f t="shared" si="1"/>
        <v>119</v>
      </c>
      <c r="R53" s="8"/>
      <c r="T53"/>
    </row>
    <row r="54" spans="2:20" ht="23.1" customHeight="1" x14ac:dyDescent="0.25">
      <c r="B54" s="23" t="s">
        <v>81</v>
      </c>
      <c r="C54" s="52">
        <v>29</v>
      </c>
      <c r="D54" s="52">
        <v>5</v>
      </c>
      <c r="E54" s="52">
        <v>6</v>
      </c>
      <c r="F54" s="52">
        <v>11</v>
      </c>
      <c r="G54" s="52">
        <v>0</v>
      </c>
      <c r="H54" s="52">
        <v>0</v>
      </c>
      <c r="I54" s="52">
        <v>2</v>
      </c>
      <c r="J54" s="52">
        <v>4</v>
      </c>
      <c r="K54" s="52">
        <v>2</v>
      </c>
      <c r="L54" s="52">
        <v>0</v>
      </c>
      <c r="M54" s="52">
        <v>66</v>
      </c>
      <c r="N54" s="52">
        <v>0</v>
      </c>
      <c r="O54" s="15">
        <f t="shared" si="0"/>
        <v>59</v>
      </c>
      <c r="P54" s="15">
        <f t="shared" si="1"/>
        <v>125</v>
      </c>
      <c r="R54" s="8"/>
      <c r="T54"/>
    </row>
    <row r="55" spans="2:20" ht="23.1" customHeight="1" x14ac:dyDescent="0.25">
      <c r="B55" s="23" t="s">
        <v>82</v>
      </c>
      <c r="C55" s="52">
        <v>35</v>
      </c>
      <c r="D55" s="52">
        <v>7</v>
      </c>
      <c r="E55" s="52">
        <v>3</v>
      </c>
      <c r="F55" s="52">
        <v>8</v>
      </c>
      <c r="G55" s="52">
        <v>0</v>
      </c>
      <c r="H55" s="52">
        <v>0</v>
      </c>
      <c r="I55" s="52">
        <v>1</v>
      </c>
      <c r="J55" s="52">
        <v>0</v>
      </c>
      <c r="K55" s="52">
        <v>1</v>
      </c>
      <c r="L55" s="52">
        <v>0</v>
      </c>
      <c r="M55" s="52">
        <v>80</v>
      </c>
      <c r="N55" s="52">
        <v>0</v>
      </c>
      <c r="O55" s="15">
        <f t="shared" si="0"/>
        <v>55</v>
      </c>
      <c r="P55" s="15">
        <f t="shared" si="1"/>
        <v>135</v>
      </c>
      <c r="R55" s="8"/>
      <c r="T55"/>
    </row>
    <row r="56" spans="2:20" ht="23.1" customHeight="1" x14ac:dyDescent="0.25">
      <c r="B56" s="23" t="s">
        <v>83</v>
      </c>
      <c r="C56" s="52">
        <v>48</v>
      </c>
      <c r="D56" s="52">
        <v>11</v>
      </c>
      <c r="E56" s="52">
        <v>2</v>
      </c>
      <c r="F56" s="52">
        <v>9</v>
      </c>
      <c r="G56" s="52">
        <v>0</v>
      </c>
      <c r="H56" s="52">
        <v>0</v>
      </c>
      <c r="I56" s="52">
        <v>3</v>
      </c>
      <c r="J56" s="52">
        <v>1</v>
      </c>
      <c r="K56" s="52">
        <v>2</v>
      </c>
      <c r="L56" s="52">
        <v>0</v>
      </c>
      <c r="M56" s="52">
        <v>67</v>
      </c>
      <c r="N56" s="52">
        <v>0</v>
      </c>
      <c r="O56" s="15">
        <f t="shared" si="0"/>
        <v>76</v>
      </c>
      <c r="P56" s="15">
        <f t="shared" si="1"/>
        <v>143</v>
      </c>
      <c r="R56" s="8"/>
      <c r="T56"/>
    </row>
    <row r="57" spans="2:20" ht="23.1" customHeight="1" x14ac:dyDescent="0.25">
      <c r="B57" s="23" t="s">
        <v>84</v>
      </c>
      <c r="C57" s="52">
        <v>35</v>
      </c>
      <c r="D57" s="52">
        <v>8</v>
      </c>
      <c r="E57" s="52">
        <v>3</v>
      </c>
      <c r="F57" s="52">
        <v>11</v>
      </c>
      <c r="G57" s="52">
        <v>0</v>
      </c>
      <c r="H57" s="52">
        <v>0</v>
      </c>
      <c r="I57" s="52">
        <v>3</v>
      </c>
      <c r="J57" s="52">
        <v>0</v>
      </c>
      <c r="K57" s="52">
        <v>1</v>
      </c>
      <c r="L57" s="52">
        <v>0</v>
      </c>
      <c r="M57" s="52">
        <v>77</v>
      </c>
      <c r="N57" s="52">
        <v>0</v>
      </c>
      <c r="O57" s="15">
        <f t="shared" si="0"/>
        <v>61</v>
      </c>
      <c r="P57" s="15">
        <f t="shared" si="1"/>
        <v>138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1282</v>
      </c>
      <c r="D58" s="16">
        <f t="shared" si="21"/>
        <v>257</v>
      </c>
      <c r="E58" s="16">
        <f t="shared" si="21"/>
        <v>163</v>
      </c>
      <c r="F58" s="16">
        <f t="shared" si="21"/>
        <v>383</v>
      </c>
      <c r="G58" s="16">
        <f t="shared" si="21"/>
        <v>8</v>
      </c>
      <c r="H58" s="16">
        <f t="shared" si="21"/>
        <v>1</v>
      </c>
      <c r="I58" s="16">
        <f t="shared" si="21"/>
        <v>117</v>
      </c>
      <c r="J58" s="16">
        <f t="shared" si="21"/>
        <v>24</v>
      </c>
      <c r="K58" s="16">
        <f t="shared" si="21"/>
        <v>51</v>
      </c>
      <c r="L58" s="16">
        <f t="shared" si="21"/>
        <v>0</v>
      </c>
      <c r="M58" s="16">
        <f t="shared" si="21"/>
        <v>2744</v>
      </c>
      <c r="N58" s="16">
        <f t="shared" si="21"/>
        <v>0</v>
      </c>
      <c r="O58" s="16">
        <f t="shared" si="21"/>
        <v>2263</v>
      </c>
      <c r="P58" s="16">
        <f t="shared" si="21"/>
        <v>4963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0.25831150513802137</v>
      </c>
      <c r="D59" s="43">
        <f t="shared" si="22"/>
        <v>5.178319564779367E-2</v>
      </c>
      <c r="E59" s="43">
        <f t="shared" si="22"/>
        <v>3.2843038484787423E-2</v>
      </c>
      <c r="F59" s="43">
        <f t="shared" si="22"/>
        <v>7.7171065887568002E-2</v>
      </c>
      <c r="G59" s="43">
        <f t="shared" si="22"/>
        <v>1.611928269192021E-3</v>
      </c>
      <c r="H59" s="43">
        <f t="shared" si="22"/>
        <v>2.0149103364900262E-4</v>
      </c>
      <c r="I59" s="43">
        <f t="shared" si="22"/>
        <v>2.3574450936933306E-2</v>
      </c>
      <c r="J59" s="43">
        <f t="shared" si="22"/>
        <v>4.8357848075760625E-3</v>
      </c>
      <c r="K59" s="43">
        <f t="shared" si="22"/>
        <v>1.0276042716099134E-2</v>
      </c>
      <c r="L59" s="43">
        <f t="shared" si="22"/>
        <v>0</v>
      </c>
      <c r="M59" s="43">
        <f t="shared" si="22"/>
        <v>0.55289139633286322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0.56650463985859478</v>
      </c>
      <c r="D60" s="44">
        <f t="shared" ref="D60:N60" si="23">D58/$O$58</f>
        <v>0.11356606274856386</v>
      </c>
      <c r="E60" s="44">
        <f t="shared" si="23"/>
        <v>7.2028281042863462E-2</v>
      </c>
      <c r="F60" s="44">
        <f t="shared" si="23"/>
        <v>0.16924436588599204</v>
      </c>
      <c r="G60" s="44">
        <f t="shared" si="23"/>
        <v>3.5351303579319489E-3</v>
      </c>
      <c r="H60" s="44">
        <f t="shared" si="23"/>
        <v>4.4189129474149361E-4</v>
      </c>
      <c r="I60" s="44">
        <f t="shared" si="23"/>
        <v>5.1701281484754752E-2</v>
      </c>
      <c r="J60" s="44">
        <f t="shared" si="23"/>
        <v>1.0605391073795847E-2</v>
      </c>
      <c r="K60" s="44">
        <f t="shared" si="23"/>
        <v>2.2536456031816175E-2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I19" sqref="I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'29.07 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'4.08. Kyebando-Nsooba'!D5</f>
        <v>04.08.19</v>
      </c>
      <c r="E5" s="3"/>
      <c r="F5" s="41" t="s">
        <v>1</v>
      </c>
      <c r="G5" s="70">
        <f>'4.08. Kyebando-Nsooba'!G5:H5</f>
        <v>29</v>
      </c>
      <c r="H5" s="71"/>
      <c r="I5" s="14"/>
      <c r="J5" s="2" t="s">
        <v>5</v>
      </c>
      <c r="K5" s="70" t="str">
        <f>'4.08. Kyebando-Nsooba'!K5:L5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'29.07 KYEBANDO-NSOOBA'!D6:E6</f>
        <v>KYEBANDO</v>
      </c>
      <c r="E6" s="71"/>
      <c r="F6" s="2" t="s">
        <v>2</v>
      </c>
      <c r="G6" s="70" t="str">
        <f>'29.07 KYEBANDO-NSOOBA'!G6:H6</f>
        <v>NSOOBA</v>
      </c>
      <c r="H6" s="71"/>
      <c r="J6" s="2" t="s">
        <v>21</v>
      </c>
      <c r="K6" s="70" t="str">
        <f>'4.08. Kyebando-Nsooba'!K6:L6</f>
        <v>EMMA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10</v>
      </c>
      <c r="E10" s="50">
        <v>8</v>
      </c>
      <c r="F10" s="50">
        <v>60</v>
      </c>
      <c r="G10" s="50">
        <v>2</v>
      </c>
      <c r="H10" s="50">
        <v>0</v>
      </c>
      <c r="I10" s="50">
        <v>5</v>
      </c>
      <c r="J10" s="50">
        <v>2</v>
      </c>
      <c r="K10" s="50">
        <v>0</v>
      </c>
      <c r="L10" s="50">
        <v>1</v>
      </c>
      <c r="M10" s="50">
        <v>60</v>
      </c>
      <c r="N10" s="50">
        <v>0</v>
      </c>
      <c r="O10" s="15">
        <f t="shared" ref="O10:O57" si="0">SUM(C10:L10,N10)</f>
        <v>114</v>
      </c>
      <c r="P10" s="15">
        <f t="shared" ref="P10:P57" si="1">SUM(C10:N10)</f>
        <v>174</v>
      </c>
      <c r="R10" s="1" t="s">
        <v>6</v>
      </c>
      <c r="S10" s="17">
        <f t="shared" ref="S10:AF10" si="2">SUM(C10:C13)</f>
        <v>134</v>
      </c>
      <c r="T10" s="17">
        <f t="shared" si="2"/>
        <v>47</v>
      </c>
      <c r="U10" s="17">
        <f t="shared" si="2"/>
        <v>16</v>
      </c>
      <c r="V10" s="17">
        <f t="shared" si="2"/>
        <v>315</v>
      </c>
      <c r="W10" s="17">
        <f t="shared" si="2"/>
        <v>5</v>
      </c>
      <c r="X10" s="17">
        <f t="shared" si="2"/>
        <v>1</v>
      </c>
      <c r="Y10" s="17">
        <f t="shared" si="2"/>
        <v>27</v>
      </c>
      <c r="Z10" s="17">
        <f t="shared" si="2"/>
        <v>6</v>
      </c>
      <c r="AA10" s="17">
        <f t="shared" si="2"/>
        <v>0</v>
      </c>
      <c r="AB10" s="17">
        <f t="shared" si="2"/>
        <v>1</v>
      </c>
      <c r="AC10" s="17">
        <f t="shared" si="2"/>
        <v>326</v>
      </c>
      <c r="AD10" s="17">
        <f t="shared" si="2"/>
        <v>0</v>
      </c>
      <c r="AE10" s="31">
        <f t="shared" si="2"/>
        <v>552</v>
      </c>
      <c r="AF10" s="31">
        <f t="shared" si="2"/>
        <v>878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3</v>
      </c>
      <c r="E11" s="50">
        <v>2</v>
      </c>
      <c r="F11" s="50">
        <v>90</v>
      </c>
      <c r="G11" s="50">
        <v>0</v>
      </c>
      <c r="H11" s="50">
        <v>0</v>
      </c>
      <c r="I11" s="50">
        <v>10</v>
      </c>
      <c r="J11" s="50">
        <v>4</v>
      </c>
      <c r="K11" s="50">
        <v>0</v>
      </c>
      <c r="L11" s="50">
        <v>0</v>
      </c>
      <c r="M11" s="50">
        <v>56</v>
      </c>
      <c r="N11" s="50">
        <v>0</v>
      </c>
      <c r="O11" s="15">
        <f t="shared" si="0"/>
        <v>122</v>
      </c>
      <c r="P11" s="15">
        <f t="shared" si="1"/>
        <v>178</v>
      </c>
      <c r="R11" s="1" t="s">
        <v>7</v>
      </c>
      <c r="S11" s="17">
        <f t="shared" ref="S11:AF11" si="3">SUM(C14:C17)</f>
        <v>212</v>
      </c>
      <c r="T11" s="17">
        <f t="shared" si="3"/>
        <v>77</v>
      </c>
      <c r="U11" s="17">
        <f t="shared" si="3"/>
        <v>23</v>
      </c>
      <c r="V11" s="17">
        <f t="shared" si="3"/>
        <v>285</v>
      </c>
      <c r="W11" s="17">
        <f t="shared" si="3"/>
        <v>7</v>
      </c>
      <c r="X11" s="17">
        <f t="shared" si="3"/>
        <v>0</v>
      </c>
      <c r="Y11" s="17">
        <f t="shared" si="3"/>
        <v>25</v>
      </c>
      <c r="Z11" s="17">
        <f t="shared" si="3"/>
        <v>0</v>
      </c>
      <c r="AA11" s="17">
        <f t="shared" si="3"/>
        <v>3</v>
      </c>
      <c r="AB11" s="17">
        <f t="shared" si="3"/>
        <v>1</v>
      </c>
      <c r="AC11" s="17">
        <f t="shared" si="3"/>
        <v>465</v>
      </c>
      <c r="AD11" s="17">
        <f t="shared" si="3"/>
        <v>0</v>
      </c>
      <c r="AE11" s="31">
        <f t="shared" si="3"/>
        <v>633</v>
      </c>
      <c r="AF11" s="31">
        <f t="shared" si="3"/>
        <v>1098</v>
      </c>
    </row>
    <row r="12" spans="2:32" ht="23.1" customHeight="1" x14ac:dyDescent="0.25">
      <c r="B12" s="23" t="s">
        <v>39</v>
      </c>
      <c r="C12" s="50">
        <v>50</v>
      </c>
      <c r="D12" s="50">
        <v>18</v>
      </c>
      <c r="E12" s="50">
        <v>5</v>
      </c>
      <c r="F12" s="50">
        <v>110</v>
      </c>
      <c r="G12" s="50">
        <v>2</v>
      </c>
      <c r="H12" s="50">
        <v>1</v>
      </c>
      <c r="I12" s="50">
        <v>5</v>
      </c>
      <c r="J12" s="50">
        <v>0</v>
      </c>
      <c r="K12" s="50">
        <v>0</v>
      </c>
      <c r="L12" s="50">
        <v>0</v>
      </c>
      <c r="M12" s="50">
        <v>110</v>
      </c>
      <c r="N12" s="50">
        <v>0</v>
      </c>
      <c r="O12" s="15">
        <f t="shared" si="0"/>
        <v>191</v>
      </c>
      <c r="P12" s="15">
        <f t="shared" si="1"/>
        <v>301</v>
      </c>
      <c r="R12" s="1" t="s">
        <v>8</v>
      </c>
      <c r="S12" s="17">
        <f t="shared" ref="S12:AF12" si="4">SUM(C18:C21)</f>
        <v>230</v>
      </c>
      <c r="T12" s="17">
        <f t="shared" si="4"/>
        <v>75</v>
      </c>
      <c r="U12" s="17">
        <f t="shared" si="4"/>
        <v>38</v>
      </c>
      <c r="V12" s="17">
        <f t="shared" si="4"/>
        <v>245</v>
      </c>
      <c r="W12" s="17">
        <f t="shared" si="4"/>
        <v>4</v>
      </c>
      <c r="X12" s="17">
        <f t="shared" si="4"/>
        <v>2</v>
      </c>
      <c r="Y12" s="17">
        <f t="shared" si="4"/>
        <v>35</v>
      </c>
      <c r="Z12" s="17">
        <f t="shared" si="4"/>
        <v>2</v>
      </c>
      <c r="AA12" s="17">
        <f t="shared" si="4"/>
        <v>1</v>
      </c>
      <c r="AB12" s="17">
        <f t="shared" si="4"/>
        <v>3</v>
      </c>
      <c r="AC12" s="17">
        <f t="shared" si="4"/>
        <v>380</v>
      </c>
      <c r="AD12" s="17">
        <f t="shared" si="4"/>
        <v>0</v>
      </c>
      <c r="AE12" s="31">
        <f t="shared" si="4"/>
        <v>635</v>
      </c>
      <c r="AF12" s="31">
        <f t="shared" si="4"/>
        <v>1015</v>
      </c>
    </row>
    <row r="13" spans="2:32" ht="23.1" customHeight="1" x14ac:dyDescent="0.25">
      <c r="B13" s="23" t="s">
        <v>40</v>
      </c>
      <c r="C13" s="50">
        <v>45</v>
      </c>
      <c r="D13" s="50">
        <v>16</v>
      </c>
      <c r="E13" s="50">
        <v>1</v>
      </c>
      <c r="F13" s="50">
        <v>55</v>
      </c>
      <c r="G13" s="50">
        <v>1</v>
      </c>
      <c r="H13" s="50">
        <v>0</v>
      </c>
      <c r="I13" s="50">
        <v>7</v>
      </c>
      <c r="J13" s="50">
        <v>0</v>
      </c>
      <c r="K13" s="50">
        <v>0</v>
      </c>
      <c r="L13" s="50">
        <v>0</v>
      </c>
      <c r="M13" s="50">
        <v>100</v>
      </c>
      <c r="N13" s="50">
        <v>0</v>
      </c>
      <c r="O13" s="15">
        <f t="shared" si="0"/>
        <v>125</v>
      </c>
      <c r="P13" s="15">
        <f t="shared" si="1"/>
        <v>225</v>
      </c>
      <c r="R13" s="1" t="s">
        <v>9</v>
      </c>
      <c r="S13" s="17">
        <f t="shared" ref="S13:AF13" si="5">SUM(C22:C25)</f>
        <v>201</v>
      </c>
      <c r="T13" s="17">
        <f t="shared" si="5"/>
        <v>155</v>
      </c>
      <c r="U13" s="17">
        <f t="shared" si="5"/>
        <v>16</v>
      </c>
      <c r="V13" s="17">
        <f t="shared" si="5"/>
        <v>245</v>
      </c>
      <c r="W13" s="17">
        <f t="shared" si="5"/>
        <v>2</v>
      </c>
      <c r="X13" s="17">
        <f t="shared" si="5"/>
        <v>1</v>
      </c>
      <c r="Y13" s="17">
        <f t="shared" si="5"/>
        <v>19</v>
      </c>
      <c r="Z13" s="17">
        <f t="shared" si="5"/>
        <v>2</v>
      </c>
      <c r="AA13" s="17">
        <f t="shared" si="5"/>
        <v>1</v>
      </c>
      <c r="AB13" s="17">
        <f t="shared" si="5"/>
        <v>2</v>
      </c>
      <c r="AC13" s="17">
        <f t="shared" si="5"/>
        <v>390</v>
      </c>
      <c r="AD13" s="17">
        <f t="shared" si="5"/>
        <v>0</v>
      </c>
      <c r="AE13" s="31">
        <f t="shared" si="5"/>
        <v>644</v>
      </c>
      <c r="AF13" s="31">
        <f t="shared" si="5"/>
        <v>1034</v>
      </c>
    </row>
    <row r="14" spans="2:32" ht="23.1" customHeight="1" x14ac:dyDescent="0.25">
      <c r="B14" s="23" t="s">
        <v>41</v>
      </c>
      <c r="C14" s="50">
        <v>60</v>
      </c>
      <c r="D14" s="50">
        <v>22</v>
      </c>
      <c r="E14" s="50">
        <v>6</v>
      </c>
      <c r="F14" s="50">
        <v>85</v>
      </c>
      <c r="G14" s="50">
        <v>2</v>
      </c>
      <c r="H14" s="50">
        <v>0</v>
      </c>
      <c r="I14" s="50">
        <v>11</v>
      </c>
      <c r="J14" s="50">
        <v>0</v>
      </c>
      <c r="K14" s="50">
        <v>0</v>
      </c>
      <c r="L14" s="50">
        <v>1</v>
      </c>
      <c r="M14" s="50">
        <v>135</v>
      </c>
      <c r="N14" s="50">
        <v>0</v>
      </c>
      <c r="O14" s="15">
        <f t="shared" si="0"/>
        <v>187</v>
      </c>
      <c r="P14" s="15">
        <f t="shared" si="1"/>
        <v>322</v>
      </c>
      <c r="R14" s="1" t="s">
        <v>10</v>
      </c>
      <c r="S14" s="17">
        <f t="shared" ref="S14:AF14" si="6">SUM(C26:C29)</f>
        <v>198</v>
      </c>
      <c r="T14" s="17">
        <f t="shared" si="6"/>
        <v>77</v>
      </c>
      <c r="U14" s="17">
        <f t="shared" si="6"/>
        <v>27</v>
      </c>
      <c r="V14" s="17">
        <f t="shared" si="6"/>
        <v>116</v>
      </c>
      <c r="W14" s="17">
        <f t="shared" si="6"/>
        <v>1</v>
      </c>
      <c r="X14" s="17">
        <f t="shared" si="6"/>
        <v>0</v>
      </c>
      <c r="Y14" s="17">
        <f t="shared" si="6"/>
        <v>19</v>
      </c>
      <c r="Z14" s="17">
        <f t="shared" si="6"/>
        <v>0</v>
      </c>
      <c r="AA14" s="17">
        <f t="shared" si="6"/>
        <v>2</v>
      </c>
      <c r="AB14" s="17">
        <f t="shared" si="6"/>
        <v>2</v>
      </c>
      <c r="AC14" s="17">
        <f t="shared" si="6"/>
        <v>370</v>
      </c>
      <c r="AD14" s="17">
        <f t="shared" si="6"/>
        <v>0</v>
      </c>
      <c r="AE14" s="31">
        <f t="shared" si="6"/>
        <v>442</v>
      </c>
      <c r="AF14" s="31">
        <f t="shared" si="6"/>
        <v>812</v>
      </c>
    </row>
    <row r="15" spans="2:32" ht="23.1" customHeight="1" x14ac:dyDescent="0.25">
      <c r="B15" s="23" t="s">
        <v>42</v>
      </c>
      <c r="C15" s="50">
        <v>42</v>
      </c>
      <c r="D15" s="50">
        <v>20</v>
      </c>
      <c r="E15" s="50">
        <v>12</v>
      </c>
      <c r="F15" s="50">
        <v>60</v>
      </c>
      <c r="G15" s="50">
        <v>1</v>
      </c>
      <c r="H15" s="50">
        <v>0</v>
      </c>
      <c r="I15" s="50">
        <v>6</v>
      </c>
      <c r="J15" s="50">
        <v>0</v>
      </c>
      <c r="K15" s="50">
        <v>1</v>
      </c>
      <c r="L15" s="50">
        <v>0</v>
      </c>
      <c r="M15" s="50">
        <v>100</v>
      </c>
      <c r="N15" s="50">
        <v>0</v>
      </c>
      <c r="O15" s="15">
        <f t="shared" si="0"/>
        <v>142</v>
      </c>
      <c r="P15" s="15">
        <f t="shared" si="1"/>
        <v>242</v>
      </c>
      <c r="R15" s="1" t="s">
        <v>11</v>
      </c>
      <c r="S15" s="17">
        <f t="shared" ref="S15:AF15" si="7">SUM(C30:C33)</f>
        <v>83</v>
      </c>
      <c r="T15" s="17">
        <f t="shared" si="7"/>
        <v>67</v>
      </c>
      <c r="U15" s="17">
        <f t="shared" si="7"/>
        <v>17</v>
      </c>
      <c r="V15" s="17">
        <f t="shared" si="7"/>
        <v>89</v>
      </c>
      <c r="W15" s="17">
        <f t="shared" si="7"/>
        <v>1</v>
      </c>
      <c r="X15" s="17">
        <f t="shared" si="7"/>
        <v>1</v>
      </c>
      <c r="Y15" s="17">
        <f t="shared" si="7"/>
        <v>9</v>
      </c>
      <c r="Z15" s="17">
        <f t="shared" si="7"/>
        <v>1</v>
      </c>
      <c r="AA15" s="17">
        <f t="shared" si="7"/>
        <v>1</v>
      </c>
      <c r="AB15" s="17">
        <f t="shared" si="7"/>
        <v>2</v>
      </c>
      <c r="AC15" s="17">
        <f t="shared" si="7"/>
        <v>300</v>
      </c>
      <c r="AD15" s="17">
        <f t="shared" si="7"/>
        <v>0</v>
      </c>
      <c r="AE15" s="31">
        <f t="shared" si="7"/>
        <v>271</v>
      </c>
      <c r="AF15" s="31">
        <f t="shared" si="7"/>
        <v>571</v>
      </c>
    </row>
    <row r="16" spans="2:32" ht="23.1" customHeight="1" x14ac:dyDescent="0.25">
      <c r="B16" s="23" t="s">
        <v>43</v>
      </c>
      <c r="C16" s="50">
        <v>55</v>
      </c>
      <c r="D16" s="50">
        <v>13</v>
      </c>
      <c r="E16" s="50">
        <v>1</v>
      </c>
      <c r="F16" s="50">
        <v>75</v>
      </c>
      <c r="G16" s="50">
        <v>1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115</v>
      </c>
      <c r="N16" s="50">
        <v>0</v>
      </c>
      <c r="O16" s="15">
        <f t="shared" si="0"/>
        <v>148</v>
      </c>
      <c r="P16" s="15">
        <f t="shared" si="1"/>
        <v>263</v>
      </c>
      <c r="R16" s="1" t="s">
        <v>12</v>
      </c>
      <c r="S16" s="17">
        <f t="shared" ref="S16:AF16" si="8">SUM(C34:C37)</f>
        <v>101</v>
      </c>
      <c r="T16" s="17">
        <f t="shared" si="8"/>
        <v>61</v>
      </c>
      <c r="U16" s="17">
        <f t="shared" si="8"/>
        <v>18</v>
      </c>
      <c r="V16" s="17">
        <f t="shared" si="8"/>
        <v>82</v>
      </c>
      <c r="W16" s="17">
        <f t="shared" si="8"/>
        <v>0</v>
      </c>
      <c r="X16" s="17">
        <f t="shared" si="8"/>
        <v>1</v>
      </c>
      <c r="Y16" s="17">
        <f t="shared" si="8"/>
        <v>29</v>
      </c>
      <c r="Z16" s="17">
        <f t="shared" si="8"/>
        <v>1</v>
      </c>
      <c r="AA16" s="17">
        <f t="shared" si="8"/>
        <v>0</v>
      </c>
      <c r="AB16" s="17">
        <f t="shared" si="8"/>
        <v>5</v>
      </c>
      <c r="AC16" s="17">
        <f t="shared" si="8"/>
        <v>315</v>
      </c>
      <c r="AD16" s="17">
        <f t="shared" si="8"/>
        <v>0</v>
      </c>
      <c r="AE16" s="31">
        <f t="shared" si="8"/>
        <v>298</v>
      </c>
      <c r="AF16" s="31">
        <f t="shared" si="8"/>
        <v>613</v>
      </c>
    </row>
    <row r="17" spans="2:32" ht="23.1" customHeight="1" x14ac:dyDescent="0.25">
      <c r="B17" s="23" t="s">
        <v>44</v>
      </c>
      <c r="C17" s="50">
        <v>55</v>
      </c>
      <c r="D17" s="50">
        <v>22</v>
      </c>
      <c r="E17" s="50">
        <v>4</v>
      </c>
      <c r="F17" s="50">
        <v>65</v>
      </c>
      <c r="G17" s="50">
        <v>3</v>
      </c>
      <c r="H17" s="50">
        <v>0</v>
      </c>
      <c r="I17" s="50">
        <v>5</v>
      </c>
      <c r="J17" s="50">
        <v>0</v>
      </c>
      <c r="K17" s="50">
        <v>2</v>
      </c>
      <c r="L17" s="50">
        <v>0</v>
      </c>
      <c r="M17" s="50">
        <v>115</v>
      </c>
      <c r="N17" s="50">
        <v>0</v>
      </c>
      <c r="O17" s="15">
        <f t="shared" si="0"/>
        <v>156</v>
      </c>
      <c r="P17" s="15">
        <f t="shared" si="1"/>
        <v>271</v>
      </c>
      <c r="R17" s="1" t="s">
        <v>13</v>
      </c>
      <c r="S17" s="17">
        <f t="shared" ref="S17:AF17" si="9">SUM(C38:C41)</f>
        <v>56</v>
      </c>
      <c r="T17" s="17">
        <f t="shared" si="9"/>
        <v>34</v>
      </c>
      <c r="U17" s="17">
        <f t="shared" si="9"/>
        <v>17</v>
      </c>
      <c r="V17" s="17">
        <f t="shared" si="9"/>
        <v>81</v>
      </c>
      <c r="W17" s="17">
        <f t="shared" si="9"/>
        <v>5</v>
      </c>
      <c r="X17" s="17">
        <f t="shared" si="9"/>
        <v>0</v>
      </c>
      <c r="Y17" s="17">
        <f t="shared" si="9"/>
        <v>6</v>
      </c>
      <c r="Z17" s="17">
        <f t="shared" si="9"/>
        <v>4</v>
      </c>
      <c r="AA17" s="17">
        <f t="shared" si="9"/>
        <v>1</v>
      </c>
      <c r="AB17" s="17">
        <f t="shared" si="9"/>
        <v>4</v>
      </c>
      <c r="AC17" s="17">
        <f t="shared" si="9"/>
        <v>126</v>
      </c>
      <c r="AD17" s="17">
        <f t="shared" si="9"/>
        <v>0</v>
      </c>
      <c r="AE17" s="31">
        <f t="shared" si="9"/>
        <v>208</v>
      </c>
      <c r="AF17" s="31">
        <f t="shared" si="9"/>
        <v>334</v>
      </c>
    </row>
    <row r="18" spans="2:32" ht="23.1" customHeight="1" x14ac:dyDescent="0.25">
      <c r="B18" s="23" t="s">
        <v>45</v>
      </c>
      <c r="C18" s="50">
        <v>63</v>
      </c>
      <c r="D18" s="50">
        <v>28</v>
      </c>
      <c r="E18" s="50">
        <v>12</v>
      </c>
      <c r="F18" s="50">
        <v>60</v>
      </c>
      <c r="G18" s="50">
        <v>1</v>
      </c>
      <c r="H18" s="50">
        <v>0</v>
      </c>
      <c r="I18" s="50">
        <v>7</v>
      </c>
      <c r="J18" s="50">
        <v>1</v>
      </c>
      <c r="K18" s="50">
        <v>0</v>
      </c>
      <c r="L18" s="50">
        <v>2</v>
      </c>
      <c r="M18" s="50">
        <v>80</v>
      </c>
      <c r="N18" s="50">
        <v>0</v>
      </c>
      <c r="O18" s="15">
        <f t="shared" si="0"/>
        <v>174</v>
      </c>
      <c r="P18" s="15">
        <f t="shared" si="1"/>
        <v>254</v>
      </c>
      <c r="R18" s="1" t="s">
        <v>14</v>
      </c>
      <c r="S18" s="17">
        <f t="shared" ref="S18:AF18" si="10">SUM(C42:C45)</f>
        <v>95</v>
      </c>
      <c r="T18" s="17">
        <f t="shared" si="10"/>
        <v>61</v>
      </c>
      <c r="U18" s="17">
        <f t="shared" si="10"/>
        <v>20</v>
      </c>
      <c r="V18" s="17">
        <f t="shared" si="10"/>
        <v>104</v>
      </c>
      <c r="W18" s="17">
        <f t="shared" si="10"/>
        <v>2</v>
      </c>
      <c r="X18" s="17">
        <f t="shared" si="10"/>
        <v>1</v>
      </c>
      <c r="Y18" s="17">
        <f t="shared" si="10"/>
        <v>15</v>
      </c>
      <c r="Z18" s="17">
        <f t="shared" si="10"/>
        <v>1</v>
      </c>
      <c r="AA18" s="17">
        <f t="shared" si="10"/>
        <v>1</v>
      </c>
      <c r="AB18" s="17">
        <f t="shared" si="10"/>
        <v>2</v>
      </c>
      <c r="AC18" s="17">
        <f t="shared" si="10"/>
        <v>190</v>
      </c>
      <c r="AD18" s="17">
        <f t="shared" si="10"/>
        <v>0</v>
      </c>
      <c r="AE18" s="31">
        <f t="shared" si="10"/>
        <v>302</v>
      </c>
      <c r="AF18" s="31">
        <f t="shared" si="10"/>
        <v>492</v>
      </c>
    </row>
    <row r="19" spans="2:32" ht="23.1" customHeight="1" x14ac:dyDescent="0.25">
      <c r="B19" s="23" t="s">
        <v>46</v>
      </c>
      <c r="C19" s="50">
        <v>62</v>
      </c>
      <c r="D19" s="50">
        <v>16</v>
      </c>
      <c r="E19" s="50">
        <v>9</v>
      </c>
      <c r="F19" s="50">
        <v>85</v>
      </c>
      <c r="G19" s="50">
        <v>1</v>
      </c>
      <c r="H19" s="50">
        <v>1</v>
      </c>
      <c r="I19" s="50">
        <v>8</v>
      </c>
      <c r="J19" s="50">
        <v>0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182</v>
      </c>
      <c r="P19" s="15">
        <f t="shared" si="1"/>
        <v>282</v>
      </c>
      <c r="R19" s="1" t="s">
        <v>15</v>
      </c>
      <c r="S19" s="17">
        <f t="shared" ref="S19:AF19" si="11">SUM(C46:C49)</f>
        <v>100</v>
      </c>
      <c r="T19" s="17">
        <f t="shared" si="11"/>
        <v>82</v>
      </c>
      <c r="U19" s="17">
        <f t="shared" si="11"/>
        <v>27</v>
      </c>
      <c r="V19" s="17">
        <f t="shared" si="11"/>
        <v>107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250</v>
      </c>
      <c r="AD19" s="17">
        <f t="shared" si="11"/>
        <v>0</v>
      </c>
      <c r="AE19" s="31">
        <f t="shared" si="11"/>
        <v>336</v>
      </c>
      <c r="AF19" s="31">
        <f t="shared" si="11"/>
        <v>586</v>
      </c>
    </row>
    <row r="20" spans="2:32" ht="23.1" customHeight="1" x14ac:dyDescent="0.25">
      <c r="B20" s="23" t="s">
        <v>47</v>
      </c>
      <c r="C20" s="50">
        <v>45</v>
      </c>
      <c r="D20" s="50">
        <v>10</v>
      </c>
      <c r="E20" s="50">
        <v>8</v>
      </c>
      <c r="F20" s="50">
        <v>60</v>
      </c>
      <c r="G20" s="50">
        <v>0</v>
      </c>
      <c r="H20" s="50">
        <v>1</v>
      </c>
      <c r="I20" s="50">
        <v>10</v>
      </c>
      <c r="J20" s="50">
        <v>1</v>
      </c>
      <c r="K20" s="50">
        <v>1</v>
      </c>
      <c r="L20" s="50">
        <v>1</v>
      </c>
      <c r="M20" s="50">
        <v>90</v>
      </c>
      <c r="N20" s="50">
        <v>0</v>
      </c>
      <c r="O20" s="15">
        <f t="shared" si="0"/>
        <v>137</v>
      </c>
      <c r="P20" s="15">
        <f t="shared" si="1"/>
        <v>227</v>
      </c>
      <c r="R20" s="1" t="s">
        <v>16</v>
      </c>
      <c r="S20" s="17">
        <f t="shared" ref="S20:AF20" si="12">SUM(C50:C53)</f>
        <v>115</v>
      </c>
      <c r="T20" s="17">
        <f t="shared" si="12"/>
        <v>76</v>
      </c>
      <c r="U20" s="17">
        <f t="shared" si="12"/>
        <v>24</v>
      </c>
      <c r="V20" s="17">
        <f t="shared" si="12"/>
        <v>91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3</v>
      </c>
      <c r="AA20" s="17">
        <f t="shared" si="12"/>
        <v>3</v>
      </c>
      <c r="AB20" s="17">
        <f t="shared" si="12"/>
        <v>0</v>
      </c>
      <c r="AC20" s="17">
        <f t="shared" si="12"/>
        <v>332</v>
      </c>
      <c r="AD20" s="17">
        <f t="shared" si="12"/>
        <v>0</v>
      </c>
      <c r="AE20" s="31">
        <f t="shared" si="12"/>
        <v>323</v>
      </c>
      <c r="AF20" s="31">
        <f t="shared" si="12"/>
        <v>655</v>
      </c>
    </row>
    <row r="21" spans="2:32" ht="23.1" customHeight="1" x14ac:dyDescent="0.25">
      <c r="B21" s="23" t="s">
        <v>48</v>
      </c>
      <c r="C21" s="50">
        <v>60</v>
      </c>
      <c r="D21" s="50">
        <v>21</v>
      </c>
      <c r="E21" s="50">
        <v>9</v>
      </c>
      <c r="F21" s="50">
        <v>40</v>
      </c>
      <c r="G21" s="50">
        <v>2</v>
      </c>
      <c r="H21" s="50">
        <v>0</v>
      </c>
      <c r="I21" s="50">
        <v>10</v>
      </c>
      <c r="J21" s="50">
        <v>0</v>
      </c>
      <c r="K21" s="50">
        <v>0</v>
      </c>
      <c r="L21" s="50">
        <v>0</v>
      </c>
      <c r="M21" s="50">
        <v>110</v>
      </c>
      <c r="N21" s="50">
        <v>0</v>
      </c>
      <c r="O21" s="15">
        <f t="shared" si="0"/>
        <v>142</v>
      </c>
      <c r="P21" s="15">
        <f t="shared" si="1"/>
        <v>252</v>
      </c>
      <c r="R21" s="36" t="s">
        <v>20</v>
      </c>
      <c r="S21" s="34">
        <f t="shared" ref="S21:AF21" si="13">SUM(C54:C57)</f>
        <v>121</v>
      </c>
      <c r="T21" s="17">
        <f t="shared" si="13"/>
        <v>35</v>
      </c>
      <c r="U21" s="17">
        <f t="shared" si="13"/>
        <v>13</v>
      </c>
      <c r="V21" s="17">
        <f t="shared" si="13"/>
        <v>85</v>
      </c>
      <c r="W21" s="17">
        <f t="shared" si="13"/>
        <v>7</v>
      </c>
      <c r="X21" s="17">
        <f t="shared" si="13"/>
        <v>1</v>
      </c>
      <c r="Y21" s="17">
        <f t="shared" si="13"/>
        <v>8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255</v>
      </c>
      <c r="AD21" s="17">
        <f t="shared" si="13"/>
        <v>0</v>
      </c>
      <c r="AE21" s="31">
        <f t="shared" si="13"/>
        <v>271</v>
      </c>
      <c r="AF21" s="31">
        <f t="shared" si="13"/>
        <v>526</v>
      </c>
    </row>
    <row r="22" spans="2:32" ht="23.1" customHeight="1" x14ac:dyDescent="0.25">
      <c r="B22" s="23" t="s">
        <v>49</v>
      </c>
      <c r="C22" s="50">
        <v>55</v>
      </c>
      <c r="D22" s="50">
        <v>56</v>
      </c>
      <c r="E22" s="50">
        <v>4</v>
      </c>
      <c r="F22" s="50">
        <v>90</v>
      </c>
      <c r="G22" s="50">
        <v>0</v>
      </c>
      <c r="H22" s="50">
        <v>1</v>
      </c>
      <c r="I22" s="50">
        <v>10</v>
      </c>
      <c r="J22" s="50">
        <v>0</v>
      </c>
      <c r="K22" s="50">
        <v>1</v>
      </c>
      <c r="L22" s="50">
        <v>0</v>
      </c>
      <c r="M22" s="50">
        <v>110</v>
      </c>
      <c r="N22" s="50">
        <v>0</v>
      </c>
      <c r="O22" s="15">
        <f t="shared" si="0"/>
        <v>217</v>
      </c>
      <c r="P22" s="15">
        <f t="shared" si="1"/>
        <v>327</v>
      </c>
      <c r="R22" s="38" t="s">
        <v>90</v>
      </c>
      <c r="S22" s="39">
        <f>MAX(S10:S12)</f>
        <v>230</v>
      </c>
      <c r="T22" s="39">
        <f t="shared" ref="T22:AF22" si="14">MAX(T10:T12)</f>
        <v>77</v>
      </c>
      <c r="U22" s="39">
        <f t="shared" si="14"/>
        <v>38</v>
      </c>
      <c r="V22" s="39">
        <f t="shared" si="14"/>
        <v>315</v>
      </c>
      <c r="W22" s="39">
        <f t="shared" si="14"/>
        <v>7</v>
      </c>
      <c r="X22" s="39">
        <f t="shared" si="14"/>
        <v>2</v>
      </c>
      <c r="Y22" s="39">
        <f t="shared" si="14"/>
        <v>35</v>
      </c>
      <c r="Z22" s="39">
        <f t="shared" si="14"/>
        <v>6</v>
      </c>
      <c r="AA22" s="39">
        <f t="shared" si="14"/>
        <v>3</v>
      </c>
      <c r="AB22" s="39">
        <f t="shared" si="14"/>
        <v>3</v>
      </c>
      <c r="AC22" s="39">
        <f t="shared" si="14"/>
        <v>465</v>
      </c>
      <c r="AD22" s="39">
        <f t="shared" si="14"/>
        <v>0</v>
      </c>
      <c r="AE22" s="40">
        <f t="shared" si="14"/>
        <v>635</v>
      </c>
      <c r="AF22" s="40">
        <f t="shared" si="14"/>
        <v>1098</v>
      </c>
    </row>
    <row r="23" spans="2:32" ht="23.1" customHeight="1" x14ac:dyDescent="0.25">
      <c r="B23" s="23" t="s">
        <v>50</v>
      </c>
      <c r="C23" s="50">
        <v>55</v>
      </c>
      <c r="D23" s="50">
        <v>70</v>
      </c>
      <c r="E23" s="50">
        <v>1</v>
      </c>
      <c r="F23" s="50">
        <v>60</v>
      </c>
      <c r="G23" s="50">
        <v>1</v>
      </c>
      <c r="H23" s="50">
        <v>0</v>
      </c>
      <c r="I23" s="50">
        <v>3</v>
      </c>
      <c r="J23" s="50">
        <v>1</v>
      </c>
      <c r="K23" s="50">
        <v>0</v>
      </c>
      <c r="L23" s="50">
        <v>0</v>
      </c>
      <c r="M23" s="50">
        <v>90</v>
      </c>
      <c r="N23" s="50">
        <v>0</v>
      </c>
      <c r="O23" s="15">
        <f t="shared" si="0"/>
        <v>191</v>
      </c>
      <c r="P23" s="15">
        <f t="shared" si="1"/>
        <v>281</v>
      </c>
      <c r="R23" s="38" t="s">
        <v>91</v>
      </c>
      <c r="S23" s="39">
        <f>MAX(S13:S18)</f>
        <v>201</v>
      </c>
      <c r="T23" s="39">
        <f t="shared" ref="T23:AF23" si="15">MAX(T13:T18)</f>
        <v>155</v>
      </c>
      <c r="U23" s="39">
        <f t="shared" si="15"/>
        <v>27</v>
      </c>
      <c r="V23" s="39">
        <f t="shared" si="15"/>
        <v>245</v>
      </c>
      <c r="W23" s="39">
        <f t="shared" si="15"/>
        <v>5</v>
      </c>
      <c r="X23" s="39">
        <f t="shared" si="15"/>
        <v>1</v>
      </c>
      <c r="Y23" s="39">
        <f t="shared" si="15"/>
        <v>29</v>
      </c>
      <c r="Z23" s="39">
        <f t="shared" si="15"/>
        <v>4</v>
      </c>
      <c r="AA23" s="39">
        <f t="shared" si="15"/>
        <v>2</v>
      </c>
      <c r="AB23" s="39">
        <f t="shared" si="15"/>
        <v>5</v>
      </c>
      <c r="AC23" s="39">
        <f t="shared" si="15"/>
        <v>390</v>
      </c>
      <c r="AD23" s="39">
        <f t="shared" si="15"/>
        <v>0</v>
      </c>
      <c r="AE23" s="40">
        <f t="shared" si="15"/>
        <v>644</v>
      </c>
      <c r="AF23" s="40">
        <f t="shared" si="15"/>
        <v>1034</v>
      </c>
    </row>
    <row r="24" spans="2:32" ht="23.1" customHeight="1" x14ac:dyDescent="0.25">
      <c r="B24" s="23" t="s">
        <v>51</v>
      </c>
      <c r="C24" s="50">
        <v>45</v>
      </c>
      <c r="D24" s="50">
        <v>16</v>
      </c>
      <c r="E24" s="50">
        <v>5</v>
      </c>
      <c r="F24" s="50">
        <v>45</v>
      </c>
      <c r="G24" s="50">
        <v>1</v>
      </c>
      <c r="H24" s="50">
        <v>0</v>
      </c>
      <c r="I24" s="50">
        <v>3</v>
      </c>
      <c r="J24" s="50">
        <v>1</v>
      </c>
      <c r="K24" s="50">
        <v>0</v>
      </c>
      <c r="L24" s="50">
        <v>2</v>
      </c>
      <c r="M24" s="50">
        <v>100</v>
      </c>
      <c r="N24" s="50">
        <v>0</v>
      </c>
      <c r="O24" s="15">
        <f t="shared" si="0"/>
        <v>118</v>
      </c>
      <c r="P24" s="15">
        <f t="shared" si="1"/>
        <v>218</v>
      </c>
      <c r="R24" s="38" t="s">
        <v>92</v>
      </c>
      <c r="S24" s="39">
        <f>MAX(S19:S21)</f>
        <v>121</v>
      </c>
      <c r="T24" s="39">
        <f t="shared" ref="T24:AF24" si="16">MAX(T19:T21)</f>
        <v>82</v>
      </c>
      <c r="U24" s="39">
        <f t="shared" si="16"/>
        <v>27</v>
      </c>
      <c r="V24" s="39">
        <f t="shared" si="16"/>
        <v>107</v>
      </c>
      <c r="W24" s="39">
        <f t="shared" si="16"/>
        <v>7</v>
      </c>
      <c r="X24" s="39">
        <f t="shared" si="16"/>
        <v>1</v>
      </c>
      <c r="Y24" s="39">
        <f t="shared" si="16"/>
        <v>16</v>
      </c>
      <c r="Z24" s="39">
        <f t="shared" si="16"/>
        <v>3</v>
      </c>
      <c r="AA24" s="39">
        <f t="shared" si="16"/>
        <v>3</v>
      </c>
      <c r="AB24" s="39">
        <f t="shared" si="16"/>
        <v>2</v>
      </c>
      <c r="AC24" s="39">
        <f t="shared" si="16"/>
        <v>332</v>
      </c>
      <c r="AD24" s="39">
        <f t="shared" si="16"/>
        <v>0</v>
      </c>
      <c r="AE24" s="40">
        <f t="shared" si="16"/>
        <v>336</v>
      </c>
      <c r="AF24" s="40">
        <f t="shared" si="16"/>
        <v>655</v>
      </c>
    </row>
    <row r="25" spans="2:32" ht="23.1" customHeight="1" x14ac:dyDescent="0.25">
      <c r="B25" s="23" t="s">
        <v>52</v>
      </c>
      <c r="C25" s="50">
        <v>46</v>
      </c>
      <c r="D25" s="50">
        <v>13</v>
      </c>
      <c r="E25" s="50">
        <v>6</v>
      </c>
      <c r="F25" s="50">
        <v>50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118</v>
      </c>
      <c r="P25" s="15">
        <f t="shared" si="1"/>
        <v>208</v>
      </c>
      <c r="R25" s="37" t="s">
        <v>85</v>
      </c>
      <c r="S25" s="35">
        <f t="shared" ref="S25:AF25" si="17">SUM(S10:S12)</f>
        <v>576</v>
      </c>
      <c r="T25" s="16">
        <f t="shared" si="17"/>
        <v>199</v>
      </c>
      <c r="U25" s="16">
        <f t="shared" si="17"/>
        <v>77</v>
      </c>
      <c r="V25" s="16">
        <f t="shared" si="17"/>
        <v>845</v>
      </c>
      <c r="W25" s="16">
        <f t="shared" si="17"/>
        <v>16</v>
      </c>
      <c r="X25" s="16">
        <f t="shared" si="17"/>
        <v>3</v>
      </c>
      <c r="Y25" s="16">
        <f t="shared" si="17"/>
        <v>87</v>
      </c>
      <c r="Z25" s="16">
        <f t="shared" si="17"/>
        <v>8</v>
      </c>
      <c r="AA25" s="16">
        <f t="shared" si="17"/>
        <v>4</v>
      </c>
      <c r="AB25" s="16">
        <f t="shared" si="17"/>
        <v>5</v>
      </c>
      <c r="AC25" s="16">
        <f t="shared" si="17"/>
        <v>1171</v>
      </c>
      <c r="AD25" s="16">
        <f t="shared" si="17"/>
        <v>0</v>
      </c>
      <c r="AE25" s="32">
        <f t="shared" si="17"/>
        <v>1820</v>
      </c>
      <c r="AF25" s="32">
        <f t="shared" si="17"/>
        <v>2991</v>
      </c>
    </row>
    <row r="26" spans="2:32" ht="23.1" customHeight="1" x14ac:dyDescent="0.25">
      <c r="B26" s="23" t="s">
        <v>53</v>
      </c>
      <c r="C26" s="50">
        <v>50</v>
      </c>
      <c r="D26" s="50">
        <v>16</v>
      </c>
      <c r="E26" s="50">
        <v>8</v>
      </c>
      <c r="F26" s="50">
        <v>45</v>
      </c>
      <c r="G26" s="50">
        <v>0</v>
      </c>
      <c r="H26" s="50">
        <v>0</v>
      </c>
      <c r="I26" s="50">
        <v>6</v>
      </c>
      <c r="J26" s="50">
        <v>0</v>
      </c>
      <c r="K26" s="50">
        <v>1</v>
      </c>
      <c r="L26" s="50">
        <v>0</v>
      </c>
      <c r="M26" s="50">
        <v>110</v>
      </c>
      <c r="N26" s="50">
        <v>0</v>
      </c>
      <c r="O26" s="15">
        <f t="shared" si="0"/>
        <v>126</v>
      </c>
      <c r="P26" s="15">
        <f t="shared" si="1"/>
        <v>236</v>
      </c>
      <c r="R26" s="28" t="s">
        <v>86</v>
      </c>
      <c r="S26" s="16">
        <f t="shared" ref="S26:AF26" si="18">SUM(S13:S18)</f>
        <v>734</v>
      </c>
      <c r="T26" s="16">
        <f t="shared" si="18"/>
        <v>455</v>
      </c>
      <c r="U26" s="16">
        <f t="shared" si="18"/>
        <v>115</v>
      </c>
      <c r="V26" s="16">
        <f t="shared" si="18"/>
        <v>717</v>
      </c>
      <c r="W26" s="16">
        <f t="shared" si="18"/>
        <v>11</v>
      </c>
      <c r="X26" s="16">
        <f t="shared" si="18"/>
        <v>4</v>
      </c>
      <c r="Y26" s="16">
        <f t="shared" si="18"/>
        <v>97</v>
      </c>
      <c r="Z26" s="16">
        <f t="shared" si="18"/>
        <v>9</v>
      </c>
      <c r="AA26" s="16">
        <f t="shared" si="18"/>
        <v>6</v>
      </c>
      <c r="AB26" s="16">
        <f t="shared" si="18"/>
        <v>17</v>
      </c>
      <c r="AC26" s="16">
        <f t="shared" si="18"/>
        <v>1691</v>
      </c>
      <c r="AD26" s="16">
        <f t="shared" si="18"/>
        <v>0</v>
      </c>
      <c r="AE26" s="32">
        <f t="shared" si="18"/>
        <v>2165</v>
      </c>
      <c r="AF26" s="32">
        <f t="shared" si="18"/>
        <v>3856</v>
      </c>
    </row>
    <row r="27" spans="2:32" ht="23.1" customHeight="1" x14ac:dyDescent="0.25">
      <c r="B27" s="23" t="s">
        <v>54</v>
      </c>
      <c r="C27" s="50">
        <v>45</v>
      </c>
      <c r="D27" s="50">
        <v>36</v>
      </c>
      <c r="E27" s="50">
        <v>4</v>
      </c>
      <c r="F27" s="50">
        <v>48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1</v>
      </c>
      <c r="M27" s="50">
        <v>95</v>
      </c>
      <c r="N27" s="50">
        <v>0</v>
      </c>
      <c r="O27" s="15">
        <f t="shared" si="0"/>
        <v>136</v>
      </c>
      <c r="P27" s="15">
        <f t="shared" si="1"/>
        <v>231</v>
      </c>
      <c r="R27" s="29" t="s">
        <v>87</v>
      </c>
      <c r="S27" s="16">
        <f t="shared" ref="S27:AF27" si="19">SUM(S19:S21)</f>
        <v>336</v>
      </c>
      <c r="T27" s="16">
        <f t="shared" si="19"/>
        <v>193</v>
      </c>
      <c r="U27" s="16">
        <f t="shared" si="19"/>
        <v>64</v>
      </c>
      <c r="V27" s="16">
        <f t="shared" si="19"/>
        <v>283</v>
      </c>
      <c r="W27" s="16">
        <f t="shared" si="19"/>
        <v>7</v>
      </c>
      <c r="X27" s="16">
        <f t="shared" si="19"/>
        <v>1</v>
      </c>
      <c r="Y27" s="16">
        <f t="shared" si="19"/>
        <v>35</v>
      </c>
      <c r="Z27" s="16">
        <f t="shared" si="19"/>
        <v>4</v>
      </c>
      <c r="AA27" s="16">
        <f t="shared" si="19"/>
        <v>5</v>
      </c>
      <c r="AB27" s="16">
        <f t="shared" si="19"/>
        <v>2</v>
      </c>
      <c r="AC27" s="16">
        <f t="shared" si="19"/>
        <v>837</v>
      </c>
      <c r="AD27" s="16">
        <f t="shared" si="19"/>
        <v>0</v>
      </c>
      <c r="AE27" s="32">
        <f t="shared" si="19"/>
        <v>930</v>
      </c>
      <c r="AF27" s="32">
        <f t="shared" si="19"/>
        <v>1767</v>
      </c>
    </row>
    <row r="28" spans="2:32" ht="23.1" customHeight="1" x14ac:dyDescent="0.25">
      <c r="B28" s="23" t="s">
        <v>55</v>
      </c>
      <c r="C28" s="50">
        <v>50</v>
      </c>
      <c r="D28" s="50">
        <v>13</v>
      </c>
      <c r="E28" s="50">
        <v>8</v>
      </c>
      <c r="F28" s="50">
        <v>15</v>
      </c>
      <c r="G28" s="50">
        <v>0</v>
      </c>
      <c r="H28" s="50">
        <v>0</v>
      </c>
      <c r="I28" s="50">
        <v>5</v>
      </c>
      <c r="J28" s="50">
        <v>0</v>
      </c>
      <c r="K28" s="50">
        <v>0</v>
      </c>
      <c r="L28" s="50">
        <v>0</v>
      </c>
      <c r="M28" s="50">
        <v>65</v>
      </c>
      <c r="N28" s="50">
        <v>0</v>
      </c>
      <c r="O28" s="15">
        <f t="shared" si="0"/>
        <v>91</v>
      </c>
      <c r="P28" s="15">
        <f t="shared" si="1"/>
        <v>156</v>
      </c>
      <c r="R28" s="5" t="s">
        <v>17</v>
      </c>
      <c r="S28" s="16">
        <f t="shared" ref="S28:AF28" si="20">SUM(S10:S21)</f>
        <v>1646</v>
      </c>
      <c r="T28" s="16">
        <f t="shared" si="20"/>
        <v>847</v>
      </c>
      <c r="U28" s="16">
        <f t="shared" si="20"/>
        <v>256</v>
      </c>
      <c r="V28" s="16">
        <f t="shared" si="20"/>
        <v>1845</v>
      </c>
      <c r="W28" s="16">
        <f t="shared" si="20"/>
        <v>34</v>
      </c>
      <c r="X28" s="16">
        <f t="shared" si="20"/>
        <v>8</v>
      </c>
      <c r="Y28" s="16">
        <f t="shared" si="20"/>
        <v>219</v>
      </c>
      <c r="Z28" s="16">
        <f t="shared" si="20"/>
        <v>21</v>
      </c>
      <c r="AA28" s="16">
        <f t="shared" si="20"/>
        <v>15</v>
      </c>
      <c r="AB28" s="16">
        <f t="shared" si="20"/>
        <v>24</v>
      </c>
      <c r="AC28" s="16">
        <f t="shared" si="20"/>
        <v>3699</v>
      </c>
      <c r="AD28" s="16">
        <f t="shared" si="20"/>
        <v>0</v>
      </c>
      <c r="AE28" s="32">
        <f t="shared" si="20"/>
        <v>4915</v>
      </c>
      <c r="AF28" s="32">
        <f t="shared" si="20"/>
        <v>8614</v>
      </c>
    </row>
    <row r="29" spans="2:32" ht="23.1" customHeight="1" x14ac:dyDescent="0.25">
      <c r="B29" s="23" t="s">
        <v>56</v>
      </c>
      <c r="C29" s="50">
        <v>53</v>
      </c>
      <c r="D29" s="50">
        <v>12</v>
      </c>
      <c r="E29" s="50">
        <v>7</v>
      </c>
      <c r="F29" s="50">
        <v>8</v>
      </c>
      <c r="G29" s="50">
        <v>0</v>
      </c>
      <c r="H29" s="50">
        <v>0</v>
      </c>
      <c r="I29" s="50">
        <v>7</v>
      </c>
      <c r="J29" s="50">
        <v>0</v>
      </c>
      <c r="K29" s="50">
        <v>1</v>
      </c>
      <c r="L29" s="50">
        <v>1</v>
      </c>
      <c r="M29" s="50">
        <v>100</v>
      </c>
      <c r="N29" s="50">
        <v>0</v>
      </c>
      <c r="O29" s="15">
        <f t="shared" si="0"/>
        <v>89</v>
      </c>
      <c r="P29" s="15">
        <f t="shared" si="1"/>
        <v>189</v>
      </c>
      <c r="R29"/>
      <c r="S29" s="20"/>
      <c r="T29" s="19"/>
    </row>
    <row r="30" spans="2:32" ht="23.1" customHeight="1" x14ac:dyDescent="0.25">
      <c r="B30" s="23" t="s">
        <v>57</v>
      </c>
      <c r="C30" s="50">
        <v>35</v>
      </c>
      <c r="D30" s="50">
        <v>15</v>
      </c>
      <c r="E30" s="50">
        <v>6</v>
      </c>
      <c r="F30" s="50">
        <v>30</v>
      </c>
      <c r="G30" s="50">
        <v>1</v>
      </c>
      <c r="H30" s="50">
        <v>1</v>
      </c>
      <c r="I30" s="50">
        <v>3</v>
      </c>
      <c r="J30" s="50">
        <v>0</v>
      </c>
      <c r="K30" s="50">
        <v>0</v>
      </c>
      <c r="L30" s="50">
        <v>0</v>
      </c>
      <c r="M30" s="50">
        <v>100</v>
      </c>
      <c r="N30" s="50">
        <v>0</v>
      </c>
      <c r="O30" s="15">
        <f t="shared" si="0"/>
        <v>91</v>
      </c>
      <c r="P30" s="15">
        <f t="shared" si="1"/>
        <v>191</v>
      </c>
    </row>
    <row r="31" spans="2:32" ht="23.1" customHeight="1" x14ac:dyDescent="0.25">
      <c r="B31" s="24" t="s">
        <v>58</v>
      </c>
      <c r="C31" s="50">
        <v>18</v>
      </c>
      <c r="D31" s="50">
        <v>10</v>
      </c>
      <c r="E31" s="50">
        <v>4</v>
      </c>
      <c r="F31" s="50">
        <v>17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70</v>
      </c>
      <c r="N31" s="50">
        <v>0</v>
      </c>
      <c r="O31" s="15">
        <f t="shared" si="0"/>
        <v>51</v>
      </c>
      <c r="P31" s="15">
        <f t="shared" si="1"/>
        <v>121</v>
      </c>
    </row>
    <row r="32" spans="2:32" ht="23.1" customHeight="1" x14ac:dyDescent="0.25">
      <c r="B32" s="24" t="s">
        <v>59</v>
      </c>
      <c r="C32" s="50">
        <v>20</v>
      </c>
      <c r="D32" s="50">
        <v>15</v>
      </c>
      <c r="E32" s="50">
        <v>3</v>
      </c>
      <c r="F32" s="50">
        <v>24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1</v>
      </c>
      <c r="M32" s="50">
        <v>90</v>
      </c>
      <c r="N32" s="50">
        <v>0</v>
      </c>
      <c r="O32" s="15">
        <f t="shared" si="0"/>
        <v>65</v>
      </c>
      <c r="P32" s="15">
        <f t="shared" si="1"/>
        <v>155</v>
      </c>
    </row>
    <row r="33" spans="2:20" ht="23.1" customHeight="1" x14ac:dyDescent="0.25">
      <c r="B33" s="23" t="s">
        <v>60</v>
      </c>
      <c r="C33" s="50">
        <v>10</v>
      </c>
      <c r="D33" s="50">
        <v>27</v>
      </c>
      <c r="E33" s="50">
        <v>4</v>
      </c>
      <c r="F33" s="50">
        <v>18</v>
      </c>
      <c r="G33" s="50">
        <v>0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40</v>
      </c>
      <c r="N33" s="50">
        <v>0</v>
      </c>
      <c r="O33" s="15">
        <f t="shared" si="0"/>
        <v>64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30</v>
      </c>
      <c r="D34" s="50">
        <v>21</v>
      </c>
      <c r="E34" s="50">
        <v>8</v>
      </c>
      <c r="F34" s="50">
        <v>30</v>
      </c>
      <c r="G34" s="50">
        <v>0</v>
      </c>
      <c r="H34" s="50">
        <v>0</v>
      </c>
      <c r="I34" s="50">
        <v>15</v>
      </c>
      <c r="J34" s="50">
        <v>1</v>
      </c>
      <c r="K34" s="50">
        <v>0</v>
      </c>
      <c r="L34" s="50">
        <v>0</v>
      </c>
      <c r="M34" s="50">
        <v>90</v>
      </c>
      <c r="N34" s="50">
        <v>0</v>
      </c>
      <c r="O34" s="15">
        <f t="shared" si="0"/>
        <v>105</v>
      </c>
      <c r="P34" s="15">
        <f t="shared" si="1"/>
        <v>195</v>
      </c>
    </row>
    <row r="35" spans="2:20" ht="23.1" customHeight="1" x14ac:dyDescent="0.25">
      <c r="B35" s="24" t="s">
        <v>62</v>
      </c>
      <c r="C35" s="50">
        <v>36</v>
      </c>
      <c r="D35" s="50">
        <v>24</v>
      </c>
      <c r="E35" s="50">
        <v>3</v>
      </c>
      <c r="F35" s="50">
        <v>10</v>
      </c>
      <c r="G35" s="50">
        <v>0</v>
      </c>
      <c r="H35" s="50">
        <v>0</v>
      </c>
      <c r="I35" s="50">
        <v>7</v>
      </c>
      <c r="J35" s="50">
        <v>0</v>
      </c>
      <c r="K35" s="50">
        <v>0</v>
      </c>
      <c r="L35" s="50">
        <v>3</v>
      </c>
      <c r="M35" s="50">
        <v>85</v>
      </c>
      <c r="N35" s="50">
        <v>0</v>
      </c>
      <c r="O35" s="15">
        <f t="shared" si="0"/>
        <v>83</v>
      </c>
      <c r="P35" s="15">
        <f t="shared" si="1"/>
        <v>168</v>
      </c>
    </row>
    <row r="36" spans="2:20" ht="23.1" customHeight="1" x14ac:dyDescent="0.25">
      <c r="B36" s="24" t="s">
        <v>63</v>
      </c>
      <c r="C36" s="50">
        <v>20</v>
      </c>
      <c r="D36" s="50">
        <v>4</v>
      </c>
      <c r="E36" s="50">
        <v>4</v>
      </c>
      <c r="F36" s="50">
        <v>28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1</v>
      </c>
      <c r="M36" s="50">
        <v>60</v>
      </c>
      <c r="N36" s="50">
        <v>0</v>
      </c>
      <c r="O36" s="15">
        <f t="shared" si="0"/>
        <v>62</v>
      </c>
      <c r="P36" s="15">
        <f t="shared" si="1"/>
        <v>122</v>
      </c>
    </row>
    <row r="37" spans="2:20" ht="23.1" customHeight="1" x14ac:dyDescent="0.25">
      <c r="B37" s="23" t="s">
        <v>64</v>
      </c>
      <c r="C37" s="50">
        <v>15</v>
      </c>
      <c r="D37" s="50">
        <v>12</v>
      </c>
      <c r="E37" s="50">
        <v>3</v>
      </c>
      <c r="F37" s="50">
        <v>14</v>
      </c>
      <c r="G37" s="50">
        <v>0</v>
      </c>
      <c r="H37" s="50">
        <v>1</v>
      </c>
      <c r="I37" s="50">
        <v>2</v>
      </c>
      <c r="J37" s="50">
        <v>0</v>
      </c>
      <c r="K37" s="50">
        <v>0</v>
      </c>
      <c r="L37" s="50">
        <v>1</v>
      </c>
      <c r="M37" s="50">
        <v>80</v>
      </c>
      <c r="N37" s="50">
        <v>0</v>
      </c>
      <c r="O37" s="15">
        <f t="shared" si="0"/>
        <v>48</v>
      </c>
      <c r="P37" s="15">
        <f t="shared" si="1"/>
        <v>128</v>
      </c>
    </row>
    <row r="38" spans="2:20" ht="23.1" customHeight="1" x14ac:dyDescent="0.25">
      <c r="B38" s="24" t="s">
        <v>65</v>
      </c>
      <c r="C38" s="50">
        <v>20</v>
      </c>
      <c r="D38" s="50">
        <v>3</v>
      </c>
      <c r="E38" s="50">
        <v>1</v>
      </c>
      <c r="F38" s="50">
        <v>25</v>
      </c>
      <c r="G38" s="50">
        <v>1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36</v>
      </c>
      <c r="N38" s="50">
        <v>0</v>
      </c>
      <c r="O38" s="15">
        <f t="shared" si="0"/>
        <v>52</v>
      </c>
      <c r="P38" s="15">
        <f t="shared" si="1"/>
        <v>88</v>
      </c>
    </row>
    <row r="39" spans="2:20" ht="23.1" customHeight="1" x14ac:dyDescent="0.25">
      <c r="B39" s="24" t="s">
        <v>66</v>
      </c>
      <c r="C39" s="50">
        <v>9</v>
      </c>
      <c r="D39" s="50">
        <v>15</v>
      </c>
      <c r="E39" s="50">
        <v>6</v>
      </c>
      <c r="F39" s="50">
        <v>11</v>
      </c>
      <c r="G39" s="50">
        <v>3</v>
      </c>
      <c r="H39" s="50">
        <v>0</v>
      </c>
      <c r="I39" s="50">
        <v>0</v>
      </c>
      <c r="J39" s="50">
        <v>3</v>
      </c>
      <c r="K39" s="50">
        <v>0</v>
      </c>
      <c r="L39" s="50">
        <v>1</v>
      </c>
      <c r="M39" s="50">
        <v>50</v>
      </c>
      <c r="N39" s="50">
        <v>0</v>
      </c>
      <c r="O39" s="15">
        <f t="shared" si="0"/>
        <v>48</v>
      </c>
      <c r="P39" s="15">
        <f t="shared" si="1"/>
        <v>98</v>
      </c>
    </row>
    <row r="40" spans="2:20" ht="23.1" customHeight="1" x14ac:dyDescent="0.25">
      <c r="B40" s="24" t="s">
        <v>67</v>
      </c>
      <c r="C40" s="50">
        <v>15</v>
      </c>
      <c r="D40" s="50">
        <v>8</v>
      </c>
      <c r="E40" s="50">
        <v>2</v>
      </c>
      <c r="F40" s="50">
        <v>15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1</v>
      </c>
      <c r="M40" s="50">
        <v>30</v>
      </c>
      <c r="N40" s="50">
        <v>0</v>
      </c>
      <c r="O40" s="15">
        <f t="shared" si="0"/>
        <v>43</v>
      </c>
      <c r="P40" s="15">
        <f t="shared" si="1"/>
        <v>73</v>
      </c>
    </row>
    <row r="41" spans="2:20" ht="23.1" customHeight="1" x14ac:dyDescent="0.25">
      <c r="B41" s="23" t="s">
        <v>68</v>
      </c>
      <c r="C41" s="50">
        <v>12</v>
      </c>
      <c r="D41" s="50">
        <v>8</v>
      </c>
      <c r="E41" s="50">
        <v>8</v>
      </c>
      <c r="F41" s="50">
        <v>30</v>
      </c>
      <c r="G41" s="50">
        <v>1</v>
      </c>
      <c r="H41" s="50">
        <v>0</v>
      </c>
      <c r="I41" s="50">
        <v>5</v>
      </c>
      <c r="J41" s="50">
        <v>0</v>
      </c>
      <c r="K41" s="50">
        <v>1</v>
      </c>
      <c r="L41" s="50">
        <v>0</v>
      </c>
      <c r="M41" s="50">
        <v>10</v>
      </c>
      <c r="N41" s="50">
        <v>0</v>
      </c>
      <c r="O41" s="15">
        <f t="shared" si="0"/>
        <v>65</v>
      </c>
      <c r="P41" s="15">
        <f t="shared" si="1"/>
        <v>75</v>
      </c>
    </row>
    <row r="42" spans="2:20" ht="23.1" customHeight="1" x14ac:dyDescent="0.25">
      <c r="B42" s="24" t="s">
        <v>69</v>
      </c>
      <c r="C42" s="50">
        <v>20</v>
      </c>
      <c r="D42" s="50">
        <v>10</v>
      </c>
      <c r="E42" s="50">
        <v>5</v>
      </c>
      <c r="F42" s="50">
        <v>24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50</v>
      </c>
      <c r="N42" s="50">
        <v>0</v>
      </c>
      <c r="O42" s="15">
        <f t="shared" si="0"/>
        <v>65</v>
      </c>
      <c r="P42" s="15">
        <f t="shared" si="1"/>
        <v>115</v>
      </c>
    </row>
    <row r="43" spans="2:20" ht="23.1" customHeight="1" x14ac:dyDescent="0.25">
      <c r="B43" s="23" t="s">
        <v>70</v>
      </c>
      <c r="C43" s="50">
        <v>40</v>
      </c>
      <c r="D43" s="50">
        <v>26</v>
      </c>
      <c r="E43" s="50">
        <v>3</v>
      </c>
      <c r="F43" s="50">
        <v>30</v>
      </c>
      <c r="G43" s="50">
        <v>0</v>
      </c>
      <c r="H43" s="50">
        <v>1</v>
      </c>
      <c r="I43" s="50">
        <v>2</v>
      </c>
      <c r="J43" s="50">
        <v>1</v>
      </c>
      <c r="K43" s="50">
        <v>0</v>
      </c>
      <c r="L43" s="50">
        <v>0</v>
      </c>
      <c r="M43" s="50">
        <v>75</v>
      </c>
      <c r="N43" s="50">
        <v>0</v>
      </c>
      <c r="O43" s="15">
        <f t="shared" si="0"/>
        <v>103</v>
      </c>
      <c r="P43" s="15">
        <f t="shared" si="1"/>
        <v>178</v>
      </c>
    </row>
    <row r="44" spans="2:20" ht="23.1" customHeight="1" x14ac:dyDescent="0.25">
      <c r="B44" s="25" t="s">
        <v>71</v>
      </c>
      <c r="C44" s="50">
        <v>15</v>
      </c>
      <c r="D44" s="50">
        <v>13</v>
      </c>
      <c r="E44" s="50">
        <v>10</v>
      </c>
      <c r="F44" s="50">
        <v>25</v>
      </c>
      <c r="G44" s="50">
        <v>2</v>
      </c>
      <c r="H44" s="50">
        <v>0</v>
      </c>
      <c r="I44" s="50">
        <v>2</v>
      </c>
      <c r="J44" s="50">
        <v>0</v>
      </c>
      <c r="K44" s="50">
        <v>1</v>
      </c>
      <c r="L44" s="50">
        <v>1</v>
      </c>
      <c r="M44" s="50">
        <v>40</v>
      </c>
      <c r="N44" s="50">
        <v>0</v>
      </c>
      <c r="O44" s="15">
        <f t="shared" si="0"/>
        <v>69</v>
      </c>
      <c r="P44" s="15">
        <f t="shared" si="1"/>
        <v>109</v>
      </c>
    </row>
    <row r="45" spans="2:20" ht="23.1" customHeight="1" x14ac:dyDescent="0.25">
      <c r="B45" s="23" t="s">
        <v>72</v>
      </c>
      <c r="C45" s="50">
        <v>20</v>
      </c>
      <c r="D45" s="50">
        <v>12</v>
      </c>
      <c r="E45" s="50">
        <v>2</v>
      </c>
      <c r="F45" s="50">
        <v>25</v>
      </c>
      <c r="G45" s="50">
        <v>0</v>
      </c>
      <c r="H45" s="50">
        <v>0</v>
      </c>
      <c r="I45" s="50">
        <v>5</v>
      </c>
      <c r="J45" s="50">
        <v>0</v>
      </c>
      <c r="K45" s="50">
        <v>0</v>
      </c>
      <c r="L45" s="50">
        <v>1</v>
      </c>
      <c r="M45" s="50">
        <v>25</v>
      </c>
      <c r="N45" s="50">
        <v>0</v>
      </c>
      <c r="O45" s="15">
        <f t="shared" si="0"/>
        <v>65</v>
      </c>
      <c r="P45" s="15">
        <f t="shared" si="1"/>
        <v>90</v>
      </c>
    </row>
    <row r="46" spans="2:20" ht="23.1" customHeight="1" x14ac:dyDescent="0.25">
      <c r="B46" s="24" t="s">
        <v>73</v>
      </c>
      <c r="C46" s="50">
        <v>15</v>
      </c>
      <c r="D46" s="50">
        <v>31</v>
      </c>
      <c r="E46" s="50">
        <v>6</v>
      </c>
      <c r="F46" s="50">
        <v>30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88</v>
      </c>
      <c r="P46" s="15">
        <f t="shared" si="1"/>
        <v>143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18</v>
      </c>
      <c r="E47" s="50">
        <v>11</v>
      </c>
      <c r="F47" s="50">
        <v>17</v>
      </c>
      <c r="G47" s="50">
        <v>0</v>
      </c>
      <c r="H47" s="50">
        <v>0</v>
      </c>
      <c r="I47" s="50">
        <v>5</v>
      </c>
      <c r="J47" s="50">
        <v>1</v>
      </c>
      <c r="K47" s="50">
        <v>1</v>
      </c>
      <c r="L47" s="50">
        <v>0</v>
      </c>
      <c r="M47" s="50">
        <v>95</v>
      </c>
      <c r="N47" s="50">
        <v>0</v>
      </c>
      <c r="O47" s="15">
        <f t="shared" si="0"/>
        <v>82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25</v>
      </c>
      <c r="D48" s="50">
        <v>22</v>
      </c>
      <c r="E48" s="50">
        <v>6</v>
      </c>
      <c r="F48" s="50">
        <v>33</v>
      </c>
      <c r="G48" s="50">
        <v>0</v>
      </c>
      <c r="H48" s="50">
        <v>0</v>
      </c>
      <c r="I48" s="50">
        <v>5</v>
      </c>
      <c r="J48" s="50">
        <v>0</v>
      </c>
      <c r="K48" s="50">
        <v>0</v>
      </c>
      <c r="L48" s="50">
        <v>2</v>
      </c>
      <c r="M48" s="50">
        <v>70</v>
      </c>
      <c r="N48" s="50">
        <v>0</v>
      </c>
      <c r="O48" s="15">
        <f t="shared" si="0"/>
        <v>93</v>
      </c>
      <c r="P48" s="15">
        <f t="shared" si="1"/>
        <v>163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11</v>
      </c>
      <c r="E49" s="50">
        <v>4</v>
      </c>
      <c r="F49" s="50">
        <v>27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73</v>
      </c>
      <c r="P49" s="15">
        <f t="shared" si="1"/>
        <v>103</v>
      </c>
      <c r="R49" s="8"/>
      <c r="T49"/>
    </row>
    <row r="50" spans="2:20" ht="23.1" customHeight="1" x14ac:dyDescent="0.25">
      <c r="B50" s="24" t="s">
        <v>77</v>
      </c>
      <c r="C50" s="50">
        <v>23</v>
      </c>
      <c r="D50" s="50">
        <v>28</v>
      </c>
      <c r="E50" s="50">
        <v>6</v>
      </c>
      <c r="F50" s="50">
        <v>13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67</v>
      </c>
      <c r="N50" s="50">
        <v>0</v>
      </c>
      <c r="O50" s="15">
        <f t="shared" si="0"/>
        <v>72</v>
      </c>
      <c r="P50" s="15">
        <f t="shared" si="1"/>
        <v>139</v>
      </c>
      <c r="R50" s="8"/>
      <c r="T50"/>
    </row>
    <row r="51" spans="2:20" ht="23.1" customHeight="1" x14ac:dyDescent="0.25">
      <c r="B51" s="24" t="s">
        <v>78</v>
      </c>
      <c r="C51" s="50">
        <v>32</v>
      </c>
      <c r="D51" s="50">
        <v>20</v>
      </c>
      <c r="E51" s="50">
        <v>8</v>
      </c>
      <c r="F51" s="50">
        <v>25</v>
      </c>
      <c r="G51" s="50">
        <v>0</v>
      </c>
      <c r="H51" s="50">
        <v>0</v>
      </c>
      <c r="I51" s="50">
        <v>5</v>
      </c>
      <c r="J51" s="50">
        <v>1</v>
      </c>
      <c r="K51" s="50">
        <v>1</v>
      </c>
      <c r="L51" s="50">
        <v>0</v>
      </c>
      <c r="M51" s="50">
        <v>85</v>
      </c>
      <c r="N51" s="50">
        <v>0</v>
      </c>
      <c r="O51" s="15">
        <f t="shared" si="0"/>
        <v>92</v>
      </c>
      <c r="P51" s="15">
        <f t="shared" si="1"/>
        <v>177</v>
      </c>
      <c r="R51" s="8"/>
      <c r="T51"/>
    </row>
    <row r="52" spans="2:20" ht="23.1" customHeight="1" x14ac:dyDescent="0.25">
      <c r="B52" s="24" t="s">
        <v>79</v>
      </c>
      <c r="C52" s="50">
        <v>27</v>
      </c>
      <c r="D52" s="50">
        <v>11</v>
      </c>
      <c r="E52" s="50">
        <v>4</v>
      </c>
      <c r="F52" s="50">
        <v>28</v>
      </c>
      <c r="G52" s="50">
        <v>0</v>
      </c>
      <c r="H52" s="50">
        <v>0</v>
      </c>
      <c r="I52" s="50">
        <v>0</v>
      </c>
      <c r="J52" s="50">
        <v>2</v>
      </c>
      <c r="K52" s="50">
        <v>1</v>
      </c>
      <c r="L52" s="50">
        <v>0</v>
      </c>
      <c r="M52" s="50">
        <v>65</v>
      </c>
      <c r="N52" s="50">
        <v>0</v>
      </c>
      <c r="O52" s="15">
        <f t="shared" si="0"/>
        <v>73</v>
      </c>
      <c r="P52" s="15">
        <f t="shared" si="1"/>
        <v>138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17</v>
      </c>
      <c r="E53" s="50">
        <v>6</v>
      </c>
      <c r="F53" s="50">
        <v>25</v>
      </c>
      <c r="G53" s="50">
        <v>0</v>
      </c>
      <c r="H53" s="50">
        <v>0</v>
      </c>
      <c r="I53" s="50">
        <v>4</v>
      </c>
      <c r="J53" s="50">
        <v>0</v>
      </c>
      <c r="K53" s="50">
        <v>1</v>
      </c>
      <c r="L53" s="50">
        <v>0</v>
      </c>
      <c r="M53" s="50">
        <v>115</v>
      </c>
      <c r="N53" s="50">
        <v>0</v>
      </c>
      <c r="O53" s="15">
        <f t="shared" si="0"/>
        <v>86</v>
      </c>
      <c r="P53" s="15">
        <f t="shared" si="1"/>
        <v>201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13</v>
      </c>
      <c r="E54" s="50">
        <v>5</v>
      </c>
      <c r="F54" s="50">
        <v>10</v>
      </c>
      <c r="G54" s="50">
        <v>2</v>
      </c>
      <c r="H54" s="50">
        <v>1</v>
      </c>
      <c r="I54" s="50">
        <v>1</v>
      </c>
      <c r="J54" s="50">
        <v>0</v>
      </c>
      <c r="K54" s="50">
        <v>0</v>
      </c>
      <c r="L54" s="50">
        <v>0</v>
      </c>
      <c r="M54" s="50">
        <v>80</v>
      </c>
      <c r="N54" s="50">
        <v>0</v>
      </c>
      <c r="O54" s="15">
        <f t="shared" si="0"/>
        <v>48</v>
      </c>
      <c r="P54" s="15">
        <f t="shared" si="1"/>
        <v>128</v>
      </c>
      <c r="R54" s="8"/>
      <c r="T54"/>
    </row>
    <row r="55" spans="2:20" ht="23.1" customHeight="1" x14ac:dyDescent="0.25">
      <c r="B55" s="23" t="s">
        <v>82</v>
      </c>
      <c r="C55" s="50">
        <v>30</v>
      </c>
      <c r="D55" s="50">
        <v>0</v>
      </c>
      <c r="E55" s="50">
        <v>0</v>
      </c>
      <c r="F55" s="50">
        <v>20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52</v>
      </c>
      <c r="P55" s="15">
        <f t="shared" si="1"/>
        <v>92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12</v>
      </c>
      <c r="E56" s="50">
        <v>5</v>
      </c>
      <c r="F56" s="50">
        <v>55</v>
      </c>
      <c r="G56" s="50">
        <v>3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85</v>
      </c>
      <c r="N56" s="50">
        <v>0</v>
      </c>
      <c r="O56" s="15">
        <f t="shared" si="0"/>
        <v>122</v>
      </c>
      <c r="P56" s="15">
        <f t="shared" si="1"/>
        <v>207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10</v>
      </c>
      <c r="E57" s="50">
        <v>3</v>
      </c>
      <c r="F57" s="50">
        <v>0</v>
      </c>
      <c r="G57" s="50">
        <v>1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49</v>
      </c>
      <c r="P57" s="15">
        <f t="shared" si="1"/>
        <v>99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1646</v>
      </c>
      <c r="D58" s="16">
        <f t="shared" si="21"/>
        <v>847</v>
      </c>
      <c r="E58" s="16">
        <f t="shared" si="21"/>
        <v>256</v>
      </c>
      <c r="F58" s="16">
        <f t="shared" si="21"/>
        <v>1845</v>
      </c>
      <c r="G58" s="16">
        <f t="shared" si="21"/>
        <v>34</v>
      </c>
      <c r="H58" s="16">
        <f t="shared" si="21"/>
        <v>8</v>
      </c>
      <c r="I58" s="16">
        <f t="shared" si="21"/>
        <v>219</v>
      </c>
      <c r="J58" s="16">
        <f t="shared" si="21"/>
        <v>21</v>
      </c>
      <c r="K58" s="16">
        <f t="shared" si="21"/>
        <v>15</v>
      </c>
      <c r="L58" s="16">
        <f t="shared" si="21"/>
        <v>24</v>
      </c>
      <c r="M58" s="16">
        <f t="shared" si="21"/>
        <v>3699</v>
      </c>
      <c r="N58" s="16">
        <f t="shared" si="21"/>
        <v>0</v>
      </c>
      <c r="O58" s="16">
        <f t="shared" si="21"/>
        <v>4915</v>
      </c>
      <c r="P58" s="16">
        <f t="shared" si="21"/>
        <v>8614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0.19108428140236824</v>
      </c>
      <c r="D59" s="43">
        <f t="shared" si="22"/>
        <v>9.8328302762944048E-2</v>
      </c>
      <c r="E59" s="43">
        <f t="shared" si="22"/>
        <v>2.9719061992105875E-2</v>
      </c>
      <c r="F59" s="43">
        <f t="shared" si="22"/>
        <v>0.21418620849779429</v>
      </c>
      <c r="G59" s="43">
        <f t="shared" si="22"/>
        <v>3.9470629208265611E-3</v>
      </c>
      <c r="H59" s="43">
        <f t="shared" si="22"/>
        <v>9.2872068725330858E-4</v>
      </c>
      <c r="I59" s="43">
        <f t="shared" si="22"/>
        <v>2.5423728813559324E-2</v>
      </c>
      <c r="J59" s="43">
        <f t="shared" si="22"/>
        <v>2.4378918040399351E-3</v>
      </c>
      <c r="K59" s="43">
        <f t="shared" si="22"/>
        <v>1.7413512885999535E-3</v>
      </c>
      <c r="L59" s="43">
        <f t="shared" si="22"/>
        <v>2.7861620617599257E-3</v>
      </c>
      <c r="M59" s="43">
        <f t="shared" si="22"/>
        <v>0.42941722776874852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0.33489318413021363</v>
      </c>
      <c r="D60" s="44">
        <f t="shared" ref="D60:N60" si="23">D58/$O$58</f>
        <v>0.1723296032553408</v>
      </c>
      <c r="E60" s="44">
        <f t="shared" si="23"/>
        <v>5.2085452695829093E-2</v>
      </c>
      <c r="F60" s="44">
        <f t="shared" si="23"/>
        <v>0.37538148524923703</v>
      </c>
      <c r="G60" s="44">
        <f t="shared" si="23"/>
        <v>6.9175991861648014E-3</v>
      </c>
      <c r="H60" s="44">
        <f t="shared" si="23"/>
        <v>1.6276703967446592E-3</v>
      </c>
      <c r="I60" s="44">
        <f t="shared" si="23"/>
        <v>4.4557477110885042E-2</v>
      </c>
      <c r="J60" s="44">
        <f t="shared" si="23"/>
        <v>4.2726347914547307E-3</v>
      </c>
      <c r="K60" s="44">
        <f t="shared" si="23"/>
        <v>3.0518819938962359E-3</v>
      </c>
      <c r="L60" s="44">
        <f t="shared" si="23"/>
        <v>4.8830111902339775E-3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J61" zoomScale="60" workbookViewId="0">
      <selection activeCell="Y59" sqref="Y5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'04.08.Kyebando-Nsooba'!C3:G3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163</v>
      </c>
      <c r="E5" s="73"/>
      <c r="F5" s="41" t="s">
        <v>1</v>
      </c>
      <c r="G5" s="70">
        <f>'4.08. Kyebando-Nsooba'!G5:H5</f>
        <v>29</v>
      </c>
      <c r="H5" s="71"/>
      <c r="I5" s="14"/>
      <c r="J5" s="2" t="s">
        <v>5</v>
      </c>
      <c r="K5" s="70" t="str">
        <f>'4.08. Kyebando-Nsooba'!K5:L5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'4.08. Kyebando-Nsooba'!D6:E6</f>
        <v>KYEBANDO</v>
      </c>
      <c r="E6" s="71"/>
      <c r="F6" s="2" t="s">
        <v>2</v>
      </c>
      <c r="G6" s="70" t="str">
        <f>'4.08. Kyebando-Nsooba'!G6:H6</f>
        <v>NSOOBA</v>
      </c>
      <c r="H6" s="71"/>
      <c r="J6" s="2" t="s">
        <v>21</v>
      </c>
      <c r="K6" s="70" t="str">
        <f>'4.08. Kyebando-Nsooba'!K6:L6</f>
        <v>EMMA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NSOOBA-KYEBANDO'!C10,'30.07 NSOOBA-KYEBANDO'!C10,'31.08 NSOOBA-KYEBANDO'!C10,'02.08 NSOOBA-KYEBANDO'!C10,'01.08 NSOOBA-KYEBANDO-24h'!C10,'03.80 NSOOBA-KYEBANDO-24h'!C10,'4.08. Kyebando-Nsooba'!C10)</f>
        <v>55.428571428571431</v>
      </c>
      <c r="D10" s="49">
        <f>AVERAGE('29.07 NSOOBA-KYEBANDO'!D10,'30.07 NSOOBA-KYEBANDO'!D10,'31.08 NSOOBA-KYEBANDO'!D10,'02.08 NSOOBA-KYEBANDO'!D10,'01.08 NSOOBA-KYEBANDO-24h'!D10,'03.80 NSOOBA-KYEBANDO-24h'!D10,'4.08. Kyebando-Nsooba'!D10)</f>
        <v>14.571428571428571</v>
      </c>
      <c r="E10" s="49">
        <f>AVERAGE('29.07 NSOOBA-KYEBANDO'!E10,'30.07 NSOOBA-KYEBANDO'!E10,'31.08 NSOOBA-KYEBANDO'!E10,'02.08 NSOOBA-KYEBANDO'!E10,'01.08 NSOOBA-KYEBANDO-24h'!E10,'03.80 NSOOBA-KYEBANDO-24h'!E10,'4.08. Kyebando-Nsooba'!E10)</f>
        <v>3.5714285714285716</v>
      </c>
      <c r="F10" s="49">
        <f>AVERAGE('29.07 NSOOBA-KYEBANDO'!F10,'30.07 NSOOBA-KYEBANDO'!F10,'31.08 NSOOBA-KYEBANDO'!F10,'02.08 NSOOBA-KYEBANDO'!F10,'01.08 NSOOBA-KYEBANDO-24h'!F10,'03.80 NSOOBA-KYEBANDO-24h'!F10,'4.08. Kyebando-Nsooba'!F10)</f>
        <v>32.285714285714285</v>
      </c>
      <c r="G10" s="49">
        <f>AVERAGE('29.07 NSOOBA-KYEBANDO'!G10,'30.07 NSOOBA-KYEBANDO'!G10,'31.08 NSOOBA-KYEBANDO'!G10,'02.08 NSOOBA-KYEBANDO'!G10,'01.08 NSOOBA-KYEBANDO-24h'!G10,'03.80 NSOOBA-KYEBANDO-24h'!G10,'4.08. Kyebando-Nsooba'!G10)</f>
        <v>0.5714285714285714</v>
      </c>
      <c r="H10" s="49">
        <f>AVERAGE('29.07 NSOOBA-KYEBANDO'!H10,'30.07 NSOOBA-KYEBANDO'!H10,'31.08 NSOOBA-KYEBANDO'!H10,'02.08 NSOOBA-KYEBANDO'!H10,'01.08 NSOOBA-KYEBANDO-24h'!H10,'03.80 NSOOBA-KYEBANDO-24h'!H10,'4.08. Kyebando-Nsooba'!H10)</f>
        <v>0.14285714285714285</v>
      </c>
      <c r="I10" s="49">
        <f>AVERAGE('29.07 NSOOBA-KYEBANDO'!I10,'30.07 NSOOBA-KYEBANDO'!I10,'31.08 NSOOBA-KYEBANDO'!I10,'02.08 NSOOBA-KYEBANDO'!I10,'01.08 NSOOBA-KYEBANDO-24h'!I10,'03.80 NSOOBA-KYEBANDO-24h'!I10,'4.08. Kyebando-Nsooba'!I10)</f>
        <v>4</v>
      </c>
      <c r="J10" s="49">
        <f>AVERAGE('29.07 NSOOBA-KYEBANDO'!J10,'30.07 NSOOBA-KYEBANDO'!J10,'31.08 NSOOBA-KYEBANDO'!J10,'02.08 NSOOBA-KYEBANDO'!J10,'01.08 NSOOBA-KYEBANDO-24h'!J10,'03.80 NSOOBA-KYEBANDO-24h'!J10,'4.08. Kyebando-Nsooba'!J10)</f>
        <v>0.5714285714285714</v>
      </c>
      <c r="K10" s="49">
        <f>AVERAGE('29.07 NSOOBA-KYEBANDO'!K10,'30.07 NSOOBA-KYEBANDO'!K10,'31.08 NSOOBA-KYEBANDO'!K10,'02.08 NSOOBA-KYEBANDO'!K10,'01.08 NSOOBA-KYEBANDO-24h'!K10,'03.80 NSOOBA-KYEBANDO-24h'!K10,'4.08. Kyebando-Nsooba'!K10)</f>
        <v>0.14285714285714285</v>
      </c>
      <c r="L10" s="49">
        <f>AVERAGE('29.07 NSOOBA-KYEBANDO'!L10,'30.07 NSOOBA-KYEBANDO'!L10,'31.08 NSOOBA-KYEBANDO'!L10,'02.08 NSOOBA-KYEBANDO'!L10,'01.08 NSOOBA-KYEBANDO-24h'!L10,'03.80 NSOOBA-KYEBANDO-24h'!L10,'4.08. Kyebando-Nsooba'!L10)</f>
        <v>0</v>
      </c>
      <c r="M10" s="49">
        <f>AVERAGE('29.07 NSOOBA-KYEBANDO'!M10,'30.07 NSOOBA-KYEBANDO'!M10,'31.08 NSOOBA-KYEBANDO'!M10,'02.08 NSOOBA-KYEBANDO'!M10,'01.08 NSOOBA-KYEBANDO-24h'!M10,'03.80 NSOOBA-KYEBANDO-24h'!M10,'4.08. Kyebando-Nsooba'!M10)</f>
        <v>81.285714285714292</v>
      </c>
      <c r="N10" s="49">
        <f>AVERAGE('29.07 NSOOBA-KYEBANDO'!N10,'30.07 NSOOBA-KYEBANDO'!N10,'31.08 NSOOBA-KYEBANDO'!N10,'02.08 NSOOBA-KYEBANDO'!N10,'01.08 NSOOBA-KYEBANDO-24h'!N10,'03.80 NSOOBA-KYEBANDO-24h'!N10,'4.08. Kyebando-Nsooba'!N10)</f>
        <v>0</v>
      </c>
      <c r="O10" s="15">
        <f t="shared" ref="O10:O73" si="0">SUM(C10:L10,N10)</f>
        <v>111.28571428571428</v>
      </c>
      <c r="P10" s="15">
        <f t="shared" ref="P10:P73" si="1">SUM(C10:N10)</f>
        <v>192.57142857142856</v>
      </c>
      <c r="R10" s="1" t="s">
        <v>6</v>
      </c>
      <c r="S10" s="17">
        <f t="shared" ref="S10:AF10" si="2">SUM(C10:C13)</f>
        <v>241.71428571428572</v>
      </c>
      <c r="T10" s="17">
        <f t="shared" si="2"/>
        <v>46.571428571428569</v>
      </c>
      <c r="U10" s="17">
        <f t="shared" si="2"/>
        <v>18.428571428571431</v>
      </c>
      <c r="V10" s="17">
        <f t="shared" si="2"/>
        <v>121.71428571428571</v>
      </c>
      <c r="W10" s="17">
        <f t="shared" si="2"/>
        <v>1.2857142857142856</v>
      </c>
      <c r="X10" s="17">
        <f t="shared" si="2"/>
        <v>0.2857142857142857</v>
      </c>
      <c r="Y10" s="17">
        <f t="shared" si="2"/>
        <v>17.142857142857142</v>
      </c>
      <c r="Z10" s="17">
        <f t="shared" si="2"/>
        <v>1.5714285714285714</v>
      </c>
      <c r="AA10" s="17">
        <f t="shared" si="2"/>
        <v>0.71428571428571419</v>
      </c>
      <c r="AB10" s="17">
        <f t="shared" si="2"/>
        <v>0.42857142857142855</v>
      </c>
      <c r="AC10" s="17">
        <f t="shared" si="2"/>
        <v>394.85714285714289</v>
      </c>
      <c r="AD10" s="17">
        <f t="shared" si="2"/>
        <v>0</v>
      </c>
      <c r="AE10" s="31">
        <f t="shared" si="2"/>
        <v>449.85714285714278</v>
      </c>
      <c r="AF10" s="31">
        <f t="shared" si="2"/>
        <v>844.71428571428567</v>
      </c>
    </row>
    <row r="11" spans="2:32" s="6" customFormat="1" ht="23.1" customHeight="1" x14ac:dyDescent="0.25">
      <c r="B11" s="23" t="s">
        <v>38</v>
      </c>
      <c r="C11" s="49">
        <f>AVERAGE('29.07 NSOOBA-KYEBANDO'!C11,'30.07 NSOOBA-KYEBANDO'!C11,'31.08 NSOOBA-KYEBANDO'!C11,'02.08 NSOOBA-KYEBANDO'!C11,'01.08 NSOOBA-KYEBANDO-24h'!C11,'03.80 NSOOBA-KYEBANDO-24h'!C11,'4.08. Kyebando-Nsooba'!C11)</f>
        <v>59.428571428571431</v>
      </c>
      <c r="D11" s="49">
        <f>AVERAGE('29.07 NSOOBA-KYEBANDO'!D11,'30.07 NSOOBA-KYEBANDO'!D11,'31.08 NSOOBA-KYEBANDO'!D11,'02.08 NSOOBA-KYEBANDO'!D11,'01.08 NSOOBA-KYEBANDO-24h'!D11,'03.80 NSOOBA-KYEBANDO-24h'!D11,'4.08. Kyebando-Nsooba'!D11)</f>
        <v>10.428571428571429</v>
      </c>
      <c r="E11" s="49">
        <f>AVERAGE('29.07 NSOOBA-KYEBANDO'!E11,'30.07 NSOOBA-KYEBANDO'!E11,'31.08 NSOOBA-KYEBANDO'!E11,'02.08 NSOOBA-KYEBANDO'!E11,'01.08 NSOOBA-KYEBANDO-24h'!E11,'03.80 NSOOBA-KYEBANDO-24h'!E11,'4.08. Kyebando-Nsooba'!E11)</f>
        <v>4.1428571428571432</v>
      </c>
      <c r="F11" s="49">
        <f>AVERAGE('29.07 NSOOBA-KYEBANDO'!F11,'30.07 NSOOBA-KYEBANDO'!F11,'31.08 NSOOBA-KYEBANDO'!F11,'02.08 NSOOBA-KYEBANDO'!F11,'01.08 NSOOBA-KYEBANDO-24h'!F11,'03.80 NSOOBA-KYEBANDO-24h'!F11,'4.08. Kyebando-Nsooba'!F11)</f>
        <v>29.571428571428573</v>
      </c>
      <c r="G11" s="49">
        <f>AVERAGE('29.07 NSOOBA-KYEBANDO'!G11,'30.07 NSOOBA-KYEBANDO'!G11,'31.08 NSOOBA-KYEBANDO'!G11,'02.08 NSOOBA-KYEBANDO'!G11,'01.08 NSOOBA-KYEBANDO-24h'!G11,'03.80 NSOOBA-KYEBANDO-24h'!G11,'4.08. Kyebando-Nsooba'!G11)</f>
        <v>0.2857142857142857</v>
      </c>
      <c r="H11" s="49">
        <f>AVERAGE('29.07 NSOOBA-KYEBANDO'!H11,'30.07 NSOOBA-KYEBANDO'!H11,'31.08 NSOOBA-KYEBANDO'!H11,'02.08 NSOOBA-KYEBANDO'!H11,'01.08 NSOOBA-KYEBANDO-24h'!H11,'03.80 NSOOBA-KYEBANDO-24h'!H11,'4.08. Kyebando-Nsooba'!H11)</f>
        <v>0</v>
      </c>
      <c r="I11" s="49">
        <f>AVERAGE('29.07 NSOOBA-KYEBANDO'!I11,'30.07 NSOOBA-KYEBANDO'!I11,'31.08 NSOOBA-KYEBANDO'!I11,'02.08 NSOOBA-KYEBANDO'!I11,'01.08 NSOOBA-KYEBANDO-24h'!I11,'03.80 NSOOBA-KYEBANDO-24h'!I11,'4.08. Kyebando-Nsooba'!I11)</f>
        <v>4.5714285714285712</v>
      </c>
      <c r="J11" s="49">
        <f>AVERAGE('29.07 NSOOBA-KYEBANDO'!J11,'30.07 NSOOBA-KYEBANDO'!J11,'31.08 NSOOBA-KYEBANDO'!J11,'02.08 NSOOBA-KYEBANDO'!J11,'01.08 NSOOBA-KYEBANDO-24h'!J11,'03.80 NSOOBA-KYEBANDO-24h'!J11,'4.08. Kyebando-Nsooba'!J11)</f>
        <v>0</v>
      </c>
      <c r="K11" s="49">
        <f>AVERAGE('29.07 NSOOBA-KYEBANDO'!K11,'30.07 NSOOBA-KYEBANDO'!K11,'31.08 NSOOBA-KYEBANDO'!K11,'02.08 NSOOBA-KYEBANDO'!K11,'01.08 NSOOBA-KYEBANDO-24h'!K11,'03.80 NSOOBA-KYEBANDO-24h'!K11,'4.08. Kyebando-Nsooba'!K11)</f>
        <v>0</v>
      </c>
      <c r="L11" s="49">
        <f>AVERAGE('29.07 NSOOBA-KYEBANDO'!L11,'30.07 NSOOBA-KYEBANDO'!L11,'31.08 NSOOBA-KYEBANDO'!L11,'02.08 NSOOBA-KYEBANDO'!L11,'01.08 NSOOBA-KYEBANDO-24h'!L11,'03.80 NSOOBA-KYEBANDO-24h'!L11,'4.08. Kyebando-Nsooba'!L11)</f>
        <v>0.14285714285714285</v>
      </c>
      <c r="M11" s="49">
        <f>AVERAGE('29.07 NSOOBA-KYEBANDO'!M11,'30.07 NSOOBA-KYEBANDO'!M11,'31.08 NSOOBA-KYEBANDO'!M11,'02.08 NSOOBA-KYEBANDO'!M11,'01.08 NSOOBA-KYEBANDO-24h'!M11,'03.80 NSOOBA-KYEBANDO-24h'!M11,'4.08. Kyebando-Nsooba'!M11)</f>
        <v>95.571428571428569</v>
      </c>
      <c r="N11" s="49">
        <f>AVERAGE('29.07 NSOOBA-KYEBANDO'!N11,'30.07 NSOOBA-KYEBANDO'!N11,'31.08 NSOOBA-KYEBANDO'!N11,'02.08 NSOOBA-KYEBANDO'!N11,'01.08 NSOOBA-KYEBANDO-24h'!N11,'03.80 NSOOBA-KYEBANDO-24h'!N11,'4.08. Kyebando-Nsooba'!N11)</f>
        <v>0</v>
      </c>
      <c r="O11" s="15">
        <f t="shared" si="0"/>
        <v>108.57142857142857</v>
      </c>
      <c r="P11" s="15">
        <f t="shared" si="1"/>
        <v>204.14285714285714</v>
      </c>
      <c r="R11" s="1" t="s">
        <v>7</v>
      </c>
      <c r="S11" s="17">
        <f t="shared" ref="S11:AF11" si="3">SUM(C14:C17)</f>
        <v>208.71428571428569</v>
      </c>
      <c r="T11" s="17">
        <f t="shared" si="3"/>
        <v>35.857142857142854</v>
      </c>
      <c r="U11" s="17">
        <f t="shared" si="3"/>
        <v>18.142857142857146</v>
      </c>
      <c r="V11" s="17">
        <f t="shared" si="3"/>
        <v>114.57142857142858</v>
      </c>
      <c r="W11" s="17">
        <f t="shared" si="3"/>
        <v>0.71428571428571419</v>
      </c>
      <c r="X11" s="17">
        <f t="shared" si="3"/>
        <v>0.2857142857142857</v>
      </c>
      <c r="Y11" s="17">
        <f t="shared" si="3"/>
        <v>13.142857142857142</v>
      </c>
      <c r="Z11" s="17">
        <f t="shared" si="3"/>
        <v>1.8571428571428572</v>
      </c>
      <c r="AA11" s="17">
        <f t="shared" si="3"/>
        <v>0.71428571428571419</v>
      </c>
      <c r="AB11" s="17">
        <f t="shared" si="3"/>
        <v>0</v>
      </c>
      <c r="AC11" s="17">
        <f t="shared" si="3"/>
        <v>506.85714285714283</v>
      </c>
      <c r="AD11" s="17">
        <f t="shared" si="3"/>
        <v>0</v>
      </c>
      <c r="AE11" s="31">
        <f t="shared" si="3"/>
        <v>394</v>
      </c>
      <c r="AF11" s="31">
        <f t="shared" si="3"/>
        <v>900.85714285714289</v>
      </c>
    </row>
    <row r="12" spans="2:32" ht="23.1" customHeight="1" x14ac:dyDescent="0.25">
      <c r="B12" s="23" t="s">
        <v>39</v>
      </c>
      <c r="C12" s="49">
        <f>AVERAGE('29.07 NSOOBA-KYEBANDO'!C12,'30.07 NSOOBA-KYEBANDO'!C12,'31.08 NSOOBA-KYEBANDO'!C12,'02.08 NSOOBA-KYEBANDO'!C12,'01.08 NSOOBA-KYEBANDO-24h'!C12,'03.80 NSOOBA-KYEBANDO-24h'!C12,'4.08. Kyebando-Nsooba'!C12)</f>
        <v>66.857142857142861</v>
      </c>
      <c r="D12" s="49">
        <f>AVERAGE('29.07 NSOOBA-KYEBANDO'!D12,'30.07 NSOOBA-KYEBANDO'!D12,'31.08 NSOOBA-KYEBANDO'!D12,'02.08 NSOOBA-KYEBANDO'!D12,'01.08 NSOOBA-KYEBANDO-24h'!D12,'03.80 NSOOBA-KYEBANDO-24h'!D12,'4.08. Kyebando-Nsooba'!D12)</f>
        <v>10.285714285714286</v>
      </c>
      <c r="E12" s="49">
        <f>AVERAGE('29.07 NSOOBA-KYEBANDO'!E12,'30.07 NSOOBA-KYEBANDO'!E12,'31.08 NSOOBA-KYEBANDO'!E12,'02.08 NSOOBA-KYEBANDO'!E12,'01.08 NSOOBA-KYEBANDO-24h'!E12,'03.80 NSOOBA-KYEBANDO-24h'!E12,'4.08. Kyebando-Nsooba'!E12)</f>
        <v>5.5714285714285712</v>
      </c>
      <c r="F12" s="49">
        <f>AVERAGE('29.07 NSOOBA-KYEBANDO'!F12,'30.07 NSOOBA-KYEBANDO'!F12,'31.08 NSOOBA-KYEBANDO'!F12,'02.08 NSOOBA-KYEBANDO'!F12,'01.08 NSOOBA-KYEBANDO-24h'!F12,'03.80 NSOOBA-KYEBANDO-24h'!F12,'4.08. Kyebando-Nsooba'!F12)</f>
        <v>30.285714285714285</v>
      </c>
      <c r="G12" s="49">
        <f>AVERAGE('29.07 NSOOBA-KYEBANDO'!G12,'30.07 NSOOBA-KYEBANDO'!G12,'31.08 NSOOBA-KYEBANDO'!G12,'02.08 NSOOBA-KYEBANDO'!G12,'01.08 NSOOBA-KYEBANDO-24h'!G12,'03.80 NSOOBA-KYEBANDO-24h'!G12,'4.08. Kyebando-Nsooba'!G12)</f>
        <v>0.2857142857142857</v>
      </c>
      <c r="H12" s="49">
        <f>AVERAGE('29.07 NSOOBA-KYEBANDO'!H12,'30.07 NSOOBA-KYEBANDO'!H12,'31.08 NSOOBA-KYEBANDO'!H12,'02.08 NSOOBA-KYEBANDO'!H12,'01.08 NSOOBA-KYEBANDO-24h'!H12,'03.80 NSOOBA-KYEBANDO-24h'!H12,'4.08. Kyebando-Nsooba'!H12)</f>
        <v>0</v>
      </c>
      <c r="I12" s="49">
        <f>AVERAGE('29.07 NSOOBA-KYEBANDO'!I12,'30.07 NSOOBA-KYEBANDO'!I12,'31.08 NSOOBA-KYEBANDO'!I12,'02.08 NSOOBA-KYEBANDO'!I12,'01.08 NSOOBA-KYEBANDO-24h'!I12,'03.80 NSOOBA-KYEBANDO-24h'!I12,'4.08. Kyebando-Nsooba'!I12)</f>
        <v>4.8571428571428568</v>
      </c>
      <c r="J12" s="49">
        <f>AVERAGE('29.07 NSOOBA-KYEBANDO'!J12,'30.07 NSOOBA-KYEBANDO'!J12,'31.08 NSOOBA-KYEBANDO'!J12,'02.08 NSOOBA-KYEBANDO'!J12,'01.08 NSOOBA-KYEBANDO-24h'!J12,'03.80 NSOOBA-KYEBANDO-24h'!J12,'4.08. Kyebando-Nsooba'!J12)</f>
        <v>0.2857142857142857</v>
      </c>
      <c r="K12" s="49">
        <f>AVERAGE('29.07 NSOOBA-KYEBANDO'!K12,'30.07 NSOOBA-KYEBANDO'!K12,'31.08 NSOOBA-KYEBANDO'!K12,'02.08 NSOOBA-KYEBANDO'!K12,'01.08 NSOOBA-KYEBANDO-24h'!K12,'03.80 NSOOBA-KYEBANDO-24h'!K12,'4.08. Kyebando-Nsooba'!K12)</f>
        <v>0.5714285714285714</v>
      </c>
      <c r="L12" s="49">
        <f>AVERAGE('29.07 NSOOBA-KYEBANDO'!L12,'30.07 NSOOBA-KYEBANDO'!L12,'31.08 NSOOBA-KYEBANDO'!L12,'02.08 NSOOBA-KYEBANDO'!L12,'01.08 NSOOBA-KYEBANDO-24h'!L12,'03.80 NSOOBA-KYEBANDO-24h'!L12,'4.08. Kyebando-Nsooba'!L12)</f>
        <v>0.2857142857142857</v>
      </c>
      <c r="M12" s="49">
        <f>AVERAGE('29.07 NSOOBA-KYEBANDO'!M12,'30.07 NSOOBA-KYEBANDO'!M12,'31.08 NSOOBA-KYEBANDO'!M12,'02.08 NSOOBA-KYEBANDO'!M12,'01.08 NSOOBA-KYEBANDO-24h'!M12,'03.80 NSOOBA-KYEBANDO-24h'!M12,'4.08. Kyebando-Nsooba'!M12)</f>
        <v>109.14285714285714</v>
      </c>
      <c r="N12" s="49">
        <f>AVERAGE('29.07 NSOOBA-KYEBANDO'!N12,'30.07 NSOOBA-KYEBANDO'!N12,'31.08 NSOOBA-KYEBANDO'!N12,'02.08 NSOOBA-KYEBANDO'!N12,'01.08 NSOOBA-KYEBANDO-24h'!N12,'03.80 NSOOBA-KYEBANDO-24h'!N12,'4.08. Kyebando-Nsooba'!N12)</f>
        <v>0</v>
      </c>
      <c r="O12" s="15">
        <f t="shared" si="0"/>
        <v>119.28571428571431</v>
      </c>
      <c r="P12" s="15">
        <f t="shared" si="1"/>
        <v>228.42857142857144</v>
      </c>
      <c r="R12" s="1" t="s">
        <v>8</v>
      </c>
      <c r="S12" s="17">
        <f t="shared" ref="S12:AF12" si="4">SUM(C18:C21)</f>
        <v>177.14285714285714</v>
      </c>
      <c r="T12" s="17">
        <f t="shared" si="4"/>
        <v>45.714285714285708</v>
      </c>
      <c r="U12" s="17">
        <f t="shared" si="4"/>
        <v>17.285714285714285</v>
      </c>
      <c r="V12" s="17">
        <f t="shared" si="4"/>
        <v>79.714285714285708</v>
      </c>
      <c r="W12" s="17">
        <f t="shared" si="4"/>
        <v>3.8571428571428572</v>
      </c>
      <c r="X12" s="17">
        <f t="shared" si="4"/>
        <v>0</v>
      </c>
      <c r="Y12" s="17">
        <f t="shared" si="4"/>
        <v>18.285714285714285</v>
      </c>
      <c r="Z12" s="17">
        <f t="shared" si="4"/>
        <v>1.4285714285714284</v>
      </c>
      <c r="AA12" s="17">
        <f t="shared" si="4"/>
        <v>2</v>
      </c>
      <c r="AB12" s="17">
        <f t="shared" si="4"/>
        <v>0.14285714285714285</v>
      </c>
      <c r="AC12" s="17">
        <f t="shared" si="4"/>
        <v>423.14285714285717</v>
      </c>
      <c r="AD12" s="17">
        <f t="shared" si="4"/>
        <v>0</v>
      </c>
      <c r="AE12" s="31">
        <f t="shared" si="4"/>
        <v>345.57142857142856</v>
      </c>
      <c r="AF12" s="31">
        <f t="shared" si="4"/>
        <v>768.71428571428578</v>
      </c>
    </row>
    <row r="13" spans="2:32" ht="23.1" customHeight="1" x14ac:dyDescent="0.25">
      <c r="B13" s="23" t="s">
        <v>40</v>
      </c>
      <c r="C13" s="49">
        <f>AVERAGE('29.07 NSOOBA-KYEBANDO'!C13,'30.07 NSOOBA-KYEBANDO'!C13,'31.08 NSOOBA-KYEBANDO'!C13,'02.08 NSOOBA-KYEBANDO'!C13,'01.08 NSOOBA-KYEBANDO-24h'!C13,'03.80 NSOOBA-KYEBANDO-24h'!C13,'4.08. Kyebando-Nsooba'!C13)</f>
        <v>60</v>
      </c>
      <c r="D13" s="49">
        <f>AVERAGE('29.07 NSOOBA-KYEBANDO'!D13,'30.07 NSOOBA-KYEBANDO'!D13,'31.08 NSOOBA-KYEBANDO'!D13,'02.08 NSOOBA-KYEBANDO'!D13,'01.08 NSOOBA-KYEBANDO-24h'!D13,'03.80 NSOOBA-KYEBANDO-24h'!D13,'4.08. Kyebando-Nsooba'!D13)</f>
        <v>11.285714285714286</v>
      </c>
      <c r="E13" s="49">
        <f>AVERAGE('29.07 NSOOBA-KYEBANDO'!E13,'30.07 NSOOBA-KYEBANDO'!E13,'31.08 NSOOBA-KYEBANDO'!E13,'02.08 NSOOBA-KYEBANDO'!E13,'01.08 NSOOBA-KYEBANDO-24h'!E13,'03.80 NSOOBA-KYEBANDO-24h'!E13,'4.08. Kyebando-Nsooba'!E13)</f>
        <v>5.1428571428571432</v>
      </c>
      <c r="F13" s="49">
        <f>AVERAGE('29.07 NSOOBA-KYEBANDO'!F13,'30.07 NSOOBA-KYEBANDO'!F13,'31.08 NSOOBA-KYEBANDO'!F13,'02.08 NSOOBA-KYEBANDO'!F13,'01.08 NSOOBA-KYEBANDO-24h'!F13,'03.80 NSOOBA-KYEBANDO-24h'!F13,'4.08. Kyebando-Nsooba'!F13)</f>
        <v>29.571428571428573</v>
      </c>
      <c r="G13" s="49">
        <f>AVERAGE('29.07 NSOOBA-KYEBANDO'!G13,'30.07 NSOOBA-KYEBANDO'!G13,'31.08 NSOOBA-KYEBANDO'!G13,'02.08 NSOOBA-KYEBANDO'!G13,'01.08 NSOOBA-KYEBANDO-24h'!G13,'03.80 NSOOBA-KYEBANDO-24h'!G13,'4.08. Kyebando-Nsooba'!G13)</f>
        <v>0.14285714285714285</v>
      </c>
      <c r="H13" s="49">
        <f>AVERAGE('29.07 NSOOBA-KYEBANDO'!H13,'30.07 NSOOBA-KYEBANDO'!H13,'31.08 NSOOBA-KYEBANDO'!H13,'02.08 NSOOBA-KYEBANDO'!H13,'01.08 NSOOBA-KYEBANDO-24h'!H13,'03.80 NSOOBA-KYEBANDO-24h'!H13,'4.08. Kyebando-Nsooba'!H13)</f>
        <v>0.14285714285714285</v>
      </c>
      <c r="I13" s="49">
        <f>AVERAGE('29.07 NSOOBA-KYEBANDO'!I13,'30.07 NSOOBA-KYEBANDO'!I13,'31.08 NSOOBA-KYEBANDO'!I13,'02.08 NSOOBA-KYEBANDO'!I13,'01.08 NSOOBA-KYEBANDO-24h'!I13,'03.80 NSOOBA-KYEBANDO-24h'!I13,'4.08. Kyebando-Nsooba'!I13)</f>
        <v>3.7142857142857144</v>
      </c>
      <c r="J13" s="49">
        <f>AVERAGE('29.07 NSOOBA-KYEBANDO'!J13,'30.07 NSOOBA-KYEBANDO'!J13,'31.08 NSOOBA-KYEBANDO'!J13,'02.08 NSOOBA-KYEBANDO'!J13,'01.08 NSOOBA-KYEBANDO-24h'!J13,'03.80 NSOOBA-KYEBANDO-24h'!J13,'4.08. Kyebando-Nsooba'!J13)</f>
        <v>0.7142857142857143</v>
      </c>
      <c r="K13" s="49">
        <f>AVERAGE('29.07 NSOOBA-KYEBANDO'!K13,'30.07 NSOOBA-KYEBANDO'!K13,'31.08 NSOOBA-KYEBANDO'!K13,'02.08 NSOOBA-KYEBANDO'!K13,'01.08 NSOOBA-KYEBANDO-24h'!K13,'03.80 NSOOBA-KYEBANDO-24h'!K13,'4.08. Kyebando-Nsooba'!K13)</f>
        <v>0</v>
      </c>
      <c r="L13" s="49">
        <f>AVERAGE('29.07 NSOOBA-KYEBANDO'!L13,'30.07 NSOOBA-KYEBANDO'!L13,'31.08 NSOOBA-KYEBANDO'!L13,'02.08 NSOOBA-KYEBANDO'!L13,'01.08 NSOOBA-KYEBANDO-24h'!L13,'03.80 NSOOBA-KYEBANDO-24h'!L13,'4.08. Kyebando-Nsooba'!L13)</f>
        <v>0</v>
      </c>
      <c r="M13" s="49">
        <f>AVERAGE('29.07 NSOOBA-KYEBANDO'!M13,'30.07 NSOOBA-KYEBANDO'!M13,'31.08 NSOOBA-KYEBANDO'!M13,'02.08 NSOOBA-KYEBANDO'!M13,'01.08 NSOOBA-KYEBANDO-24h'!M13,'03.80 NSOOBA-KYEBANDO-24h'!M13,'4.08. Kyebando-Nsooba'!M13)</f>
        <v>108.85714285714286</v>
      </c>
      <c r="N13" s="49">
        <f>AVERAGE('29.07 NSOOBA-KYEBANDO'!N13,'30.07 NSOOBA-KYEBANDO'!N13,'31.08 NSOOBA-KYEBANDO'!N13,'02.08 NSOOBA-KYEBANDO'!N13,'01.08 NSOOBA-KYEBANDO-24h'!N13,'03.80 NSOOBA-KYEBANDO-24h'!N13,'4.08. Kyebando-Nsooba'!N13)</f>
        <v>0</v>
      </c>
      <c r="O13" s="15">
        <f t="shared" si="0"/>
        <v>110.71428571428569</v>
      </c>
      <c r="P13" s="15">
        <f t="shared" si="1"/>
        <v>219.57142857142856</v>
      </c>
      <c r="R13" s="1" t="s">
        <v>9</v>
      </c>
      <c r="S13" s="17">
        <f t="shared" ref="S13:AF13" si="5">SUM(C22:C25)</f>
        <v>134.71428571428569</v>
      </c>
      <c r="T13" s="17">
        <f t="shared" si="5"/>
        <v>30.285714285714285</v>
      </c>
      <c r="U13" s="17">
        <f t="shared" si="5"/>
        <v>14.571428571428573</v>
      </c>
      <c r="V13" s="17">
        <f t="shared" si="5"/>
        <v>45.285714285714285</v>
      </c>
      <c r="W13" s="17">
        <f t="shared" si="5"/>
        <v>0.2857142857142857</v>
      </c>
      <c r="X13" s="17">
        <f t="shared" si="5"/>
        <v>0.14285714285714285</v>
      </c>
      <c r="Y13" s="17">
        <f t="shared" si="5"/>
        <v>18</v>
      </c>
      <c r="Z13" s="17">
        <f t="shared" si="5"/>
        <v>2.1428571428571428</v>
      </c>
      <c r="AA13" s="17">
        <f t="shared" si="5"/>
        <v>0.2857142857142857</v>
      </c>
      <c r="AB13" s="17">
        <f t="shared" si="5"/>
        <v>0</v>
      </c>
      <c r="AC13" s="17">
        <f t="shared" si="5"/>
        <v>262.42857142857144</v>
      </c>
      <c r="AD13" s="17">
        <f t="shared" si="5"/>
        <v>0</v>
      </c>
      <c r="AE13" s="31">
        <f t="shared" si="5"/>
        <v>245.71428571428572</v>
      </c>
      <c r="AF13" s="31">
        <f t="shared" si="5"/>
        <v>508.14285714285717</v>
      </c>
    </row>
    <row r="14" spans="2:32" ht="23.1" customHeight="1" x14ac:dyDescent="0.25">
      <c r="B14" s="23" t="s">
        <v>41</v>
      </c>
      <c r="C14" s="49">
        <f>AVERAGE('29.07 NSOOBA-KYEBANDO'!C14,'30.07 NSOOBA-KYEBANDO'!C14,'31.08 NSOOBA-KYEBANDO'!C14,'02.08 NSOOBA-KYEBANDO'!C14,'01.08 NSOOBA-KYEBANDO-24h'!C14,'03.80 NSOOBA-KYEBANDO-24h'!C14,'4.08. Kyebando-Nsooba'!C14)</f>
        <v>57.285714285714285</v>
      </c>
      <c r="D14" s="49">
        <f>AVERAGE('29.07 NSOOBA-KYEBANDO'!D14,'30.07 NSOOBA-KYEBANDO'!D14,'31.08 NSOOBA-KYEBANDO'!D14,'02.08 NSOOBA-KYEBANDO'!D14,'01.08 NSOOBA-KYEBANDO-24h'!D14,'03.80 NSOOBA-KYEBANDO-24h'!D14,'4.08. Kyebando-Nsooba'!D14)</f>
        <v>8.5714285714285712</v>
      </c>
      <c r="E14" s="49">
        <f>AVERAGE('29.07 NSOOBA-KYEBANDO'!E14,'30.07 NSOOBA-KYEBANDO'!E14,'31.08 NSOOBA-KYEBANDO'!E14,'02.08 NSOOBA-KYEBANDO'!E14,'01.08 NSOOBA-KYEBANDO-24h'!E14,'03.80 NSOOBA-KYEBANDO-24h'!E14,'4.08. Kyebando-Nsooba'!E14)</f>
        <v>2.8571428571428572</v>
      </c>
      <c r="F14" s="49">
        <f>AVERAGE('29.07 NSOOBA-KYEBANDO'!F14,'30.07 NSOOBA-KYEBANDO'!F14,'31.08 NSOOBA-KYEBANDO'!F14,'02.08 NSOOBA-KYEBANDO'!F14,'01.08 NSOOBA-KYEBANDO-24h'!F14,'03.80 NSOOBA-KYEBANDO-24h'!F14,'4.08. Kyebando-Nsooba'!F14)</f>
        <v>29.857142857142858</v>
      </c>
      <c r="G14" s="49">
        <f>AVERAGE('29.07 NSOOBA-KYEBANDO'!G14,'30.07 NSOOBA-KYEBANDO'!G14,'31.08 NSOOBA-KYEBANDO'!G14,'02.08 NSOOBA-KYEBANDO'!G14,'01.08 NSOOBA-KYEBANDO-24h'!G14,'03.80 NSOOBA-KYEBANDO-24h'!G14,'4.08. Kyebando-Nsooba'!G14)</f>
        <v>0.14285714285714285</v>
      </c>
      <c r="H14" s="49">
        <f>AVERAGE('29.07 NSOOBA-KYEBANDO'!H14,'30.07 NSOOBA-KYEBANDO'!H14,'31.08 NSOOBA-KYEBANDO'!H14,'02.08 NSOOBA-KYEBANDO'!H14,'01.08 NSOOBA-KYEBANDO-24h'!H14,'03.80 NSOOBA-KYEBANDO-24h'!H14,'4.08. Kyebando-Nsooba'!H14)</f>
        <v>0</v>
      </c>
      <c r="I14" s="49">
        <f>AVERAGE('29.07 NSOOBA-KYEBANDO'!I14,'30.07 NSOOBA-KYEBANDO'!I14,'31.08 NSOOBA-KYEBANDO'!I14,'02.08 NSOOBA-KYEBANDO'!I14,'01.08 NSOOBA-KYEBANDO-24h'!I14,'03.80 NSOOBA-KYEBANDO-24h'!I14,'4.08. Kyebando-Nsooba'!I14)</f>
        <v>2</v>
      </c>
      <c r="J14" s="49">
        <f>AVERAGE('29.07 NSOOBA-KYEBANDO'!J14,'30.07 NSOOBA-KYEBANDO'!J14,'31.08 NSOOBA-KYEBANDO'!J14,'02.08 NSOOBA-KYEBANDO'!J14,'01.08 NSOOBA-KYEBANDO-24h'!J14,'03.80 NSOOBA-KYEBANDO-24h'!J14,'4.08. Kyebando-Nsooba'!J14)</f>
        <v>0.14285714285714285</v>
      </c>
      <c r="K14" s="49">
        <f>AVERAGE('29.07 NSOOBA-KYEBANDO'!K14,'30.07 NSOOBA-KYEBANDO'!K14,'31.08 NSOOBA-KYEBANDO'!K14,'02.08 NSOOBA-KYEBANDO'!K14,'01.08 NSOOBA-KYEBANDO-24h'!K14,'03.80 NSOOBA-KYEBANDO-24h'!K14,'4.08. Kyebando-Nsooba'!K14)</f>
        <v>0</v>
      </c>
      <c r="L14" s="49">
        <f>AVERAGE('29.07 NSOOBA-KYEBANDO'!L14,'30.07 NSOOBA-KYEBANDO'!L14,'31.08 NSOOBA-KYEBANDO'!L14,'02.08 NSOOBA-KYEBANDO'!L14,'01.08 NSOOBA-KYEBANDO-24h'!L14,'03.80 NSOOBA-KYEBANDO-24h'!L14,'4.08. Kyebando-Nsooba'!L14)</f>
        <v>0</v>
      </c>
      <c r="M14" s="49">
        <f>AVERAGE('29.07 NSOOBA-KYEBANDO'!M14,'30.07 NSOOBA-KYEBANDO'!M14,'31.08 NSOOBA-KYEBANDO'!M14,'02.08 NSOOBA-KYEBANDO'!M14,'01.08 NSOOBA-KYEBANDO-24h'!M14,'03.80 NSOOBA-KYEBANDO-24h'!M14,'4.08. Kyebando-Nsooba'!M14)</f>
        <v>125.85714285714286</v>
      </c>
      <c r="N14" s="49">
        <f>AVERAGE('29.07 NSOOBA-KYEBANDO'!N14,'30.07 NSOOBA-KYEBANDO'!N14,'31.08 NSOOBA-KYEBANDO'!N14,'02.08 NSOOBA-KYEBANDO'!N14,'01.08 NSOOBA-KYEBANDO-24h'!N14,'03.80 NSOOBA-KYEBANDO-24h'!N14,'4.08. Kyebando-Nsooba'!N14)</f>
        <v>0</v>
      </c>
      <c r="O14" s="15">
        <f t="shared" si="0"/>
        <v>100.85714285714286</v>
      </c>
      <c r="P14" s="15">
        <f t="shared" si="1"/>
        <v>226.71428571428572</v>
      </c>
      <c r="R14" s="1" t="s">
        <v>10</v>
      </c>
      <c r="S14" s="17">
        <f t="shared" ref="S14:AF14" si="6">SUM(C26:C29)</f>
        <v>102.85714285714286</v>
      </c>
      <c r="T14" s="17">
        <f t="shared" si="6"/>
        <v>25</v>
      </c>
      <c r="U14" s="17">
        <f t="shared" si="6"/>
        <v>12.571428571428571</v>
      </c>
      <c r="V14" s="17">
        <f t="shared" si="6"/>
        <v>30.714285714285715</v>
      </c>
      <c r="W14" s="17">
        <f t="shared" si="6"/>
        <v>0.99999999999999989</v>
      </c>
      <c r="X14" s="17">
        <f t="shared" si="6"/>
        <v>0.14285714285714285</v>
      </c>
      <c r="Y14" s="17">
        <f t="shared" si="6"/>
        <v>14.428571428571431</v>
      </c>
      <c r="Z14" s="17">
        <f t="shared" si="6"/>
        <v>1</v>
      </c>
      <c r="AA14" s="17">
        <f t="shared" si="6"/>
        <v>1.1428571428571428</v>
      </c>
      <c r="AB14" s="17">
        <f t="shared" si="6"/>
        <v>0</v>
      </c>
      <c r="AC14" s="17">
        <f t="shared" si="6"/>
        <v>213.14285714285714</v>
      </c>
      <c r="AD14" s="17">
        <f t="shared" si="6"/>
        <v>0</v>
      </c>
      <c r="AE14" s="31">
        <f t="shared" si="6"/>
        <v>188.85714285714286</v>
      </c>
      <c r="AF14" s="31">
        <f t="shared" si="6"/>
        <v>402.00000000000006</v>
      </c>
    </row>
    <row r="15" spans="2:32" ht="23.1" customHeight="1" x14ac:dyDescent="0.25">
      <c r="B15" s="23" t="s">
        <v>42</v>
      </c>
      <c r="C15" s="49">
        <f>AVERAGE('29.07 NSOOBA-KYEBANDO'!C15,'30.07 NSOOBA-KYEBANDO'!C15,'31.08 NSOOBA-KYEBANDO'!C15,'02.08 NSOOBA-KYEBANDO'!C15,'01.08 NSOOBA-KYEBANDO-24h'!C15,'03.80 NSOOBA-KYEBANDO-24h'!C15,'4.08. Kyebando-Nsooba'!C15)</f>
        <v>50</v>
      </c>
      <c r="D15" s="49">
        <f>AVERAGE('29.07 NSOOBA-KYEBANDO'!D15,'30.07 NSOOBA-KYEBANDO'!D15,'31.08 NSOOBA-KYEBANDO'!D15,'02.08 NSOOBA-KYEBANDO'!D15,'01.08 NSOOBA-KYEBANDO-24h'!D15,'03.80 NSOOBA-KYEBANDO-24h'!D15,'4.08. Kyebando-Nsooba'!D15)</f>
        <v>8.5714285714285712</v>
      </c>
      <c r="E15" s="49">
        <f>AVERAGE('29.07 NSOOBA-KYEBANDO'!E15,'30.07 NSOOBA-KYEBANDO'!E15,'31.08 NSOOBA-KYEBANDO'!E15,'02.08 NSOOBA-KYEBANDO'!E15,'01.08 NSOOBA-KYEBANDO-24h'!E15,'03.80 NSOOBA-KYEBANDO-24h'!E15,'4.08. Kyebando-Nsooba'!E15)</f>
        <v>5.4285714285714288</v>
      </c>
      <c r="F15" s="49">
        <f>AVERAGE('29.07 NSOOBA-KYEBANDO'!F15,'30.07 NSOOBA-KYEBANDO'!F15,'31.08 NSOOBA-KYEBANDO'!F15,'02.08 NSOOBA-KYEBANDO'!F15,'01.08 NSOOBA-KYEBANDO-24h'!F15,'03.80 NSOOBA-KYEBANDO-24h'!F15,'4.08. Kyebando-Nsooba'!F15)</f>
        <v>32.714285714285715</v>
      </c>
      <c r="G15" s="49">
        <f>AVERAGE('29.07 NSOOBA-KYEBANDO'!G15,'30.07 NSOOBA-KYEBANDO'!G15,'31.08 NSOOBA-KYEBANDO'!G15,'02.08 NSOOBA-KYEBANDO'!G15,'01.08 NSOOBA-KYEBANDO-24h'!G15,'03.80 NSOOBA-KYEBANDO-24h'!G15,'4.08. Kyebando-Nsooba'!G15)</f>
        <v>0.2857142857142857</v>
      </c>
      <c r="H15" s="49">
        <f>AVERAGE('29.07 NSOOBA-KYEBANDO'!H15,'30.07 NSOOBA-KYEBANDO'!H15,'31.08 NSOOBA-KYEBANDO'!H15,'02.08 NSOOBA-KYEBANDO'!H15,'01.08 NSOOBA-KYEBANDO-24h'!H15,'03.80 NSOOBA-KYEBANDO-24h'!H15,'4.08. Kyebando-Nsooba'!H15)</f>
        <v>0</v>
      </c>
      <c r="I15" s="49">
        <f>AVERAGE('29.07 NSOOBA-KYEBANDO'!I15,'30.07 NSOOBA-KYEBANDO'!I15,'31.08 NSOOBA-KYEBANDO'!I15,'02.08 NSOOBA-KYEBANDO'!I15,'01.08 NSOOBA-KYEBANDO-24h'!I15,'03.80 NSOOBA-KYEBANDO-24h'!I15,'4.08. Kyebando-Nsooba'!I15)</f>
        <v>4</v>
      </c>
      <c r="J15" s="49">
        <f>AVERAGE('29.07 NSOOBA-KYEBANDO'!J15,'30.07 NSOOBA-KYEBANDO'!J15,'31.08 NSOOBA-KYEBANDO'!J15,'02.08 NSOOBA-KYEBANDO'!J15,'01.08 NSOOBA-KYEBANDO-24h'!J15,'03.80 NSOOBA-KYEBANDO-24h'!J15,'4.08. Kyebando-Nsooba'!J15)</f>
        <v>0.42857142857142855</v>
      </c>
      <c r="K15" s="49">
        <f>AVERAGE('29.07 NSOOBA-KYEBANDO'!K15,'30.07 NSOOBA-KYEBANDO'!K15,'31.08 NSOOBA-KYEBANDO'!K15,'02.08 NSOOBA-KYEBANDO'!K15,'01.08 NSOOBA-KYEBANDO-24h'!K15,'03.80 NSOOBA-KYEBANDO-24h'!K15,'4.08. Kyebando-Nsooba'!K15)</f>
        <v>0.5714285714285714</v>
      </c>
      <c r="L15" s="49">
        <f>AVERAGE('29.07 NSOOBA-KYEBANDO'!L15,'30.07 NSOOBA-KYEBANDO'!L15,'31.08 NSOOBA-KYEBANDO'!L15,'02.08 NSOOBA-KYEBANDO'!L15,'01.08 NSOOBA-KYEBANDO-24h'!L15,'03.80 NSOOBA-KYEBANDO-24h'!L15,'4.08. Kyebando-Nsooba'!L15)</f>
        <v>0</v>
      </c>
      <c r="M15" s="49">
        <f>AVERAGE('29.07 NSOOBA-KYEBANDO'!M15,'30.07 NSOOBA-KYEBANDO'!M15,'31.08 NSOOBA-KYEBANDO'!M15,'02.08 NSOOBA-KYEBANDO'!M15,'01.08 NSOOBA-KYEBANDO-24h'!M15,'03.80 NSOOBA-KYEBANDO-24h'!M15,'4.08. Kyebando-Nsooba'!M15)</f>
        <v>138.28571428571428</v>
      </c>
      <c r="N15" s="49">
        <f>AVERAGE('29.07 NSOOBA-KYEBANDO'!N15,'30.07 NSOOBA-KYEBANDO'!N15,'31.08 NSOOBA-KYEBANDO'!N15,'02.08 NSOOBA-KYEBANDO'!N15,'01.08 NSOOBA-KYEBANDO-24h'!N15,'03.80 NSOOBA-KYEBANDO-24h'!N15,'4.08. Kyebando-Nsooba'!N15)</f>
        <v>0</v>
      </c>
      <c r="O15" s="15">
        <f t="shared" si="0"/>
        <v>102.00000000000001</v>
      </c>
      <c r="P15" s="15">
        <f t="shared" si="1"/>
        <v>240.28571428571428</v>
      </c>
      <c r="R15" s="1" t="s">
        <v>11</v>
      </c>
      <c r="S15" s="17">
        <f t="shared" ref="S15:AF15" si="7">SUM(C30:C33)</f>
        <v>86</v>
      </c>
      <c r="T15" s="17">
        <f t="shared" si="7"/>
        <v>20.857142857142861</v>
      </c>
      <c r="U15" s="17">
        <f t="shared" si="7"/>
        <v>11.428571428571427</v>
      </c>
      <c r="V15" s="17">
        <f t="shared" si="7"/>
        <v>30.714285714285715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15.142857142857142</v>
      </c>
      <c r="Z15" s="17">
        <f t="shared" si="7"/>
        <v>2.714285714285714</v>
      </c>
      <c r="AA15" s="17">
        <f t="shared" si="7"/>
        <v>1.2857142857142856</v>
      </c>
      <c r="AB15" s="17">
        <f t="shared" si="7"/>
        <v>0.14285714285714285</v>
      </c>
      <c r="AC15" s="17">
        <f t="shared" si="7"/>
        <v>180.42857142857144</v>
      </c>
      <c r="AD15" s="17">
        <f t="shared" si="7"/>
        <v>0.42857142857142855</v>
      </c>
      <c r="AE15" s="31">
        <f t="shared" si="7"/>
        <v>169.00000000000003</v>
      </c>
      <c r="AF15" s="31">
        <f t="shared" si="7"/>
        <v>349.42857142857144</v>
      </c>
    </row>
    <row r="16" spans="2:32" ht="23.1" customHeight="1" x14ac:dyDescent="0.25">
      <c r="B16" s="23" t="s">
        <v>43</v>
      </c>
      <c r="C16" s="49">
        <f>AVERAGE('29.07 NSOOBA-KYEBANDO'!C16,'30.07 NSOOBA-KYEBANDO'!C16,'31.08 NSOOBA-KYEBANDO'!C16,'02.08 NSOOBA-KYEBANDO'!C16,'01.08 NSOOBA-KYEBANDO-24h'!C16,'03.80 NSOOBA-KYEBANDO-24h'!C16,'4.08. Kyebando-Nsooba'!C16)</f>
        <v>55.142857142857146</v>
      </c>
      <c r="D16" s="49">
        <f>AVERAGE('29.07 NSOOBA-KYEBANDO'!D16,'30.07 NSOOBA-KYEBANDO'!D16,'31.08 NSOOBA-KYEBANDO'!D16,'02.08 NSOOBA-KYEBANDO'!D16,'01.08 NSOOBA-KYEBANDO-24h'!D16,'03.80 NSOOBA-KYEBANDO-24h'!D16,'4.08. Kyebando-Nsooba'!D16)</f>
        <v>9.1428571428571423</v>
      </c>
      <c r="E16" s="49">
        <f>AVERAGE('29.07 NSOOBA-KYEBANDO'!E16,'30.07 NSOOBA-KYEBANDO'!E16,'31.08 NSOOBA-KYEBANDO'!E16,'02.08 NSOOBA-KYEBANDO'!E16,'01.08 NSOOBA-KYEBANDO-24h'!E16,'03.80 NSOOBA-KYEBANDO-24h'!E16,'4.08. Kyebando-Nsooba'!E16)</f>
        <v>5.2857142857142856</v>
      </c>
      <c r="F16" s="49">
        <f>AVERAGE('29.07 NSOOBA-KYEBANDO'!F16,'30.07 NSOOBA-KYEBANDO'!F16,'31.08 NSOOBA-KYEBANDO'!F16,'02.08 NSOOBA-KYEBANDO'!F16,'01.08 NSOOBA-KYEBANDO-24h'!F16,'03.80 NSOOBA-KYEBANDO-24h'!F16,'4.08. Kyebando-Nsooba'!F16)</f>
        <v>30.285714285714285</v>
      </c>
      <c r="G16" s="49">
        <f>AVERAGE('29.07 NSOOBA-KYEBANDO'!G16,'30.07 NSOOBA-KYEBANDO'!G16,'31.08 NSOOBA-KYEBANDO'!G16,'02.08 NSOOBA-KYEBANDO'!G16,'01.08 NSOOBA-KYEBANDO-24h'!G16,'03.80 NSOOBA-KYEBANDO-24h'!G16,'4.08. Kyebando-Nsooba'!G16)</f>
        <v>0.14285714285714285</v>
      </c>
      <c r="H16" s="49">
        <f>AVERAGE('29.07 NSOOBA-KYEBANDO'!H16,'30.07 NSOOBA-KYEBANDO'!H16,'31.08 NSOOBA-KYEBANDO'!H16,'02.08 NSOOBA-KYEBANDO'!H16,'01.08 NSOOBA-KYEBANDO-24h'!H16,'03.80 NSOOBA-KYEBANDO-24h'!H16,'4.08. Kyebando-Nsooba'!H16)</f>
        <v>0.14285714285714285</v>
      </c>
      <c r="I16" s="49">
        <f>AVERAGE('29.07 NSOOBA-KYEBANDO'!I16,'30.07 NSOOBA-KYEBANDO'!I16,'31.08 NSOOBA-KYEBANDO'!I16,'02.08 NSOOBA-KYEBANDO'!I16,'01.08 NSOOBA-KYEBANDO-24h'!I16,'03.80 NSOOBA-KYEBANDO-24h'!I16,'4.08. Kyebando-Nsooba'!I16)</f>
        <v>4.1428571428571432</v>
      </c>
      <c r="J16" s="49">
        <f>AVERAGE('29.07 NSOOBA-KYEBANDO'!J16,'30.07 NSOOBA-KYEBANDO'!J16,'31.08 NSOOBA-KYEBANDO'!J16,'02.08 NSOOBA-KYEBANDO'!J16,'01.08 NSOOBA-KYEBANDO-24h'!J16,'03.80 NSOOBA-KYEBANDO-24h'!J16,'4.08. Kyebando-Nsooba'!J16)</f>
        <v>0.5714285714285714</v>
      </c>
      <c r="K16" s="49">
        <f>AVERAGE('29.07 NSOOBA-KYEBANDO'!K16,'30.07 NSOOBA-KYEBANDO'!K16,'31.08 NSOOBA-KYEBANDO'!K16,'02.08 NSOOBA-KYEBANDO'!K16,'01.08 NSOOBA-KYEBANDO-24h'!K16,'03.80 NSOOBA-KYEBANDO-24h'!K16,'4.08. Kyebando-Nsooba'!K16)</f>
        <v>0</v>
      </c>
      <c r="L16" s="49">
        <f>AVERAGE('29.07 NSOOBA-KYEBANDO'!L16,'30.07 NSOOBA-KYEBANDO'!L16,'31.08 NSOOBA-KYEBANDO'!L16,'02.08 NSOOBA-KYEBANDO'!L16,'01.08 NSOOBA-KYEBANDO-24h'!L16,'03.80 NSOOBA-KYEBANDO-24h'!L16,'4.08. Kyebando-Nsooba'!L16)</f>
        <v>0</v>
      </c>
      <c r="M16" s="49">
        <f>AVERAGE('29.07 NSOOBA-KYEBANDO'!M16,'30.07 NSOOBA-KYEBANDO'!M16,'31.08 NSOOBA-KYEBANDO'!M16,'02.08 NSOOBA-KYEBANDO'!M16,'01.08 NSOOBA-KYEBANDO-24h'!M16,'03.80 NSOOBA-KYEBANDO-24h'!M16,'4.08. Kyebando-Nsooba'!M16)</f>
        <v>125</v>
      </c>
      <c r="N16" s="49">
        <f>AVERAGE('29.07 NSOOBA-KYEBANDO'!N16,'30.07 NSOOBA-KYEBANDO'!N16,'31.08 NSOOBA-KYEBANDO'!N16,'02.08 NSOOBA-KYEBANDO'!N16,'01.08 NSOOBA-KYEBANDO-24h'!N16,'03.80 NSOOBA-KYEBANDO-24h'!N16,'4.08. Kyebando-Nsooba'!N16)</f>
        <v>0</v>
      </c>
      <c r="O16" s="15">
        <f t="shared" si="0"/>
        <v>104.85714285714285</v>
      </c>
      <c r="P16" s="15">
        <f t="shared" si="1"/>
        <v>229.85714285714283</v>
      </c>
      <c r="R16" s="1" t="s">
        <v>12</v>
      </c>
      <c r="S16" s="17">
        <f t="shared" ref="S16:AF16" si="8">SUM(C34:C37)</f>
        <v>77.857142857142847</v>
      </c>
      <c r="T16" s="17">
        <f t="shared" si="8"/>
        <v>18.857142857142854</v>
      </c>
      <c r="U16" s="17">
        <f t="shared" si="8"/>
        <v>11.571428571428571</v>
      </c>
      <c r="V16" s="17">
        <f t="shared" si="8"/>
        <v>22.714285714285712</v>
      </c>
      <c r="W16" s="17">
        <f t="shared" si="8"/>
        <v>0.5714285714285714</v>
      </c>
      <c r="X16" s="17">
        <f t="shared" si="8"/>
        <v>0.14285714285714285</v>
      </c>
      <c r="Y16" s="17">
        <f t="shared" si="8"/>
        <v>17.285714285714288</v>
      </c>
      <c r="Z16" s="17">
        <f t="shared" si="8"/>
        <v>1.4285714285714284</v>
      </c>
      <c r="AA16" s="17">
        <f t="shared" si="8"/>
        <v>1.1428571428571428</v>
      </c>
      <c r="AB16" s="17">
        <f t="shared" si="8"/>
        <v>0</v>
      </c>
      <c r="AC16" s="17">
        <f t="shared" si="8"/>
        <v>167.71428571428572</v>
      </c>
      <c r="AD16" s="17">
        <f t="shared" si="8"/>
        <v>0</v>
      </c>
      <c r="AE16" s="31">
        <f t="shared" si="8"/>
        <v>151.57142857142856</v>
      </c>
      <c r="AF16" s="31">
        <f t="shared" si="8"/>
        <v>319.28571428571428</v>
      </c>
    </row>
    <row r="17" spans="2:32" ht="23.1" customHeight="1" x14ac:dyDescent="0.25">
      <c r="B17" s="23" t="s">
        <v>44</v>
      </c>
      <c r="C17" s="49">
        <f>AVERAGE('29.07 NSOOBA-KYEBANDO'!C17,'30.07 NSOOBA-KYEBANDO'!C17,'31.08 NSOOBA-KYEBANDO'!C17,'02.08 NSOOBA-KYEBANDO'!C17,'01.08 NSOOBA-KYEBANDO-24h'!C17,'03.80 NSOOBA-KYEBANDO-24h'!C17,'4.08. Kyebando-Nsooba'!C17)</f>
        <v>46.285714285714285</v>
      </c>
      <c r="D17" s="49">
        <f>AVERAGE('29.07 NSOOBA-KYEBANDO'!D17,'30.07 NSOOBA-KYEBANDO'!D17,'31.08 NSOOBA-KYEBANDO'!D17,'02.08 NSOOBA-KYEBANDO'!D17,'01.08 NSOOBA-KYEBANDO-24h'!D17,'03.80 NSOOBA-KYEBANDO-24h'!D17,'4.08. Kyebando-Nsooba'!D17)</f>
        <v>9.5714285714285712</v>
      </c>
      <c r="E17" s="49">
        <f>AVERAGE('29.07 NSOOBA-KYEBANDO'!E17,'30.07 NSOOBA-KYEBANDO'!E17,'31.08 NSOOBA-KYEBANDO'!E17,'02.08 NSOOBA-KYEBANDO'!E17,'01.08 NSOOBA-KYEBANDO-24h'!E17,'03.80 NSOOBA-KYEBANDO-24h'!E17,'4.08. Kyebando-Nsooba'!E17)</f>
        <v>4.5714285714285712</v>
      </c>
      <c r="F17" s="49">
        <f>AVERAGE('29.07 NSOOBA-KYEBANDO'!F17,'30.07 NSOOBA-KYEBANDO'!F17,'31.08 NSOOBA-KYEBANDO'!F17,'02.08 NSOOBA-KYEBANDO'!F17,'01.08 NSOOBA-KYEBANDO-24h'!F17,'03.80 NSOOBA-KYEBANDO-24h'!F17,'4.08. Kyebando-Nsooba'!F17)</f>
        <v>21.714285714285715</v>
      </c>
      <c r="G17" s="49">
        <f>AVERAGE('29.07 NSOOBA-KYEBANDO'!G17,'30.07 NSOOBA-KYEBANDO'!G17,'31.08 NSOOBA-KYEBANDO'!G17,'02.08 NSOOBA-KYEBANDO'!G17,'01.08 NSOOBA-KYEBANDO-24h'!G17,'03.80 NSOOBA-KYEBANDO-24h'!G17,'4.08. Kyebando-Nsooba'!G17)</f>
        <v>0.14285714285714285</v>
      </c>
      <c r="H17" s="49">
        <f>AVERAGE('29.07 NSOOBA-KYEBANDO'!H17,'30.07 NSOOBA-KYEBANDO'!H17,'31.08 NSOOBA-KYEBANDO'!H17,'02.08 NSOOBA-KYEBANDO'!H17,'01.08 NSOOBA-KYEBANDO-24h'!H17,'03.80 NSOOBA-KYEBANDO-24h'!H17,'4.08. Kyebando-Nsooba'!H17)</f>
        <v>0.14285714285714285</v>
      </c>
      <c r="I17" s="49">
        <f>AVERAGE('29.07 NSOOBA-KYEBANDO'!I17,'30.07 NSOOBA-KYEBANDO'!I17,'31.08 NSOOBA-KYEBANDO'!I17,'02.08 NSOOBA-KYEBANDO'!I17,'01.08 NSOOBA-KYEBANDO-24h'!I17,'03.80 NSOOBA-KYEBANDO-24h'!I17,'4.08. Kyebando-Nsooba'!I17)</f>
        <v>3</v>
      </c>
      <c r="J17" s="49">
        <f>AVERAGE('29.07 NSOOBA-KYEBANDO'!J17,'30.07 NSOOBA-KYEBANDO'!J17,'31.08 NSOOBA-KYEBANDO'!J17,'02.08 NSOOBA-KYEBANDO'!J17,'01.08 NSOOBA-KYEBANDO-24h'!J17,'03.80 NSOOBA-KYEBANDO-24h'!J17,'4.08. Kyebando-Nsooba'!J17)</f>
        <v>0.7142857142857143</v>
      </c>
      <c r="K17" s="49">
        <f>AVERAGE('29.07 NSOOBA-KYEBANDO'!K17,'30.07 NSOOBA-KYEBANDO'!K17,'31.08 NSOOBA-KYEBANDO'!K17,'02.08 NSOOBA-KYEBANDO'!K17,'01.08 NSOOBA-KYEBANDO-24h'!K17,'03.80 NSOOBA-KYEBANDO-24h'!K17,'4.08. Kyebando-Nsooba'!K17)</f>
        <v>0.14285714285714285</v>
      </c>
      <c r="L17" s="49">
        <f>AVERAGE('29.07 NSOOBA-KYEBANDO'!L17,'30.07 NSOOBA-KYEBANDO'!L17,'31.08 NSOOBA-KYEBANDO'!L17,'02.08 NSOOBA-KYEBANDO'!L17,'01.08 NSOOBA-KYEBANDO-24h'!L17,'03.80 NSOOBA-KYEBANDO-24h'!L17,'4.08. Kyebando-Nsooba'!L17)</f>
        <v>0</v>
      </c>
      <c r="M17" s="49">
        <f>AVERAGE('29.07 NSOOBA-KYEBANDO'!M17,'30.07 NSOOBA-KYEBANDO'!M17,'31.08 NSOOBA-KYEBANDO'!M17,'02.08 NSOOBA-KYEBANDO'!M17,'01.08 NSOOBA-KYEBANDO-24h'!M17,'03.80 NSOOBA-KYEBANDO-24h'!M17,'4.08. Kyebando-Nsooba'!M17)</f>
        <v>117.71428571428571</v>
      </c>
      <c r="N17" s="49">
        <f>AVERAGE('29.07 NSOOBA-KYEBANDO'!N17,'30.07 NSOOBA-KYEBANDO'!N17,'31.08 NSOOBA-KYEBANDO'!N17,'02.08 NSOOBA-KYEBANDO'!N17,'01.08 NSOOBA-KYEBANDO-24h'!N17,'03.80 NSOOBA-KYEBANDO-24h'!N17,'4.08. Kyebando-Nsooba'!N17)</f>
        <v>0</v>
      </c>
      <c r="O17" s="15">
        <f t="shared" si="0"/>
        <v>86.285714285714263</v>
      </c>
      <c r="P17" s="15">
        <f t="shared" si="1"/>
        <v>203.99999999999997</v>
      </c>
      <c r="R17" s="1" t="s">
        <v>13</v>
      </c>
      <c r="S17" s="17">
        <f t="shared" ref="S17:AF17" si="9">SUM(C38:C41)</f>
        <v>71.285714285714278</v>
      </c>
      <c r="T17" s="17">
        <f t="shared" si="9"/>
        <v>16.857142857142858</v>
      </c>
      <c r="U17" s="17">
        <f t="shared" si="9"/>
        <v>9.2857142857142847</v>
      </c>
      <c r="V17" s="17">
        <f t="shared" si="9"/>
        <v>18.285714285714285</v>
      </c>
      <c r="W17" s="17">
        <f t="shared" si="9"/>
        <v>0.42857142857142855</v>
      </c>
      <c r="X17" s="17">
        <f t="shared" si="9"/>
        <v>0</v>
      </c>
      <c r="Y17" s="17">
        <f t="shared" si="9"/>
        <v>9.5714285714285712</v>
      </c>
      <c r="Z17" s="17">
        <f t="shared" si="9"/>
        <v>1.2857142857142856</v>
      </c>
      <c r="AA17" s="17">
        <f t="shared" si="9"/>
        <v>1.1428571428571428</v>
      </c>
      <c r="AB17" s="17">
        <f t="shared" si="9"/>
        <v>0.2857142857142857</v>
      </c>
      <c r="AC17" s="17">
        <f t="shared" si="9"/>
        <v>164.28571428571428</v>
      </c>
      <c r="AD17" s="17">
        <f t="shared" si="9"/>
        <v>0</v>
      </c>
      <c r="AE17" s="31">
        <f t="shared" si="9"/>
        <v>128.42857142857144</v>
      </c>
      <c r="AF17" s="31">
        <f t="shared" si="9"/>
        <v>292.71428571428572</v>
      </c>
    </row>
    <row r="18" spans="2:32" ht="23.1" customHeight="1" x14ac:dyDescent="0.25">
      <c r="B18" s="23" t="s">
        <v>45</v>
      </c>
      <c r="C18" s="49">
        <f>AVERAGE('29.07 NSOOBA-KYEBANDO'!C18,'30.07 NSOOBA-KYEBANDO'!C18,'31.08 NSOOBA-KYEBANDO'!C18,'02.08 NSOOBA-KYEBANDO'!C18,'01.08 NSOOBA-KYEBANDO-24h'!C18,'03.80 NSOOBA-KYEBANDO-24h'!C18,'4.08. Kyebando-Nsooba'!C18)</f>
        <v>51.571428571428569</v>
      </c>
      <c r="D18" s="49">
        <f>AVERAGE('29.07 NSOOBA-KYEBANDO'!D18,'30.07 NSOOBA-KYEBANDO'!D18,'31.08 NSOOBA-KYEBANDO'!D18,'02.08 NSOOBA-KYEBANDO'!D18,'01.08 NSOOBA-KYEBANDO-24h'!D18,'03.80 NSOOBA-KYEBANDO-24h'!D18,'4.08. Kyebando-Nsooba'!D18)</f>
        <v>8.1428571428571423</v>
      </c>
      <c r="E18" s="49">
        <f>AVERAGE('29.07 NSOOBA-KYEBANDO'!E18,'30.07 NSOOBA-KYEBANDO'!E18,'31.08 NSOOBA-KYEBANDO'!E18,'02.08 NSOOBA-KYEBANDO'!E18,'01.08 NSOOBA-KYEBANDO-24h'!E18,'03.80 NSOOBA-KYEBANDO-24h'!E18,'4.08. Kyebando-Nsooba'!E18)</f>
        <v>4.4285714285714288</v>
      </c>
      <c r="F18" s="49">
        <f>AVERAGE('29.07 NSOOBA-KYEBANDO'!F18,'30.07 NSOOBA-KYEBANDO'!F18,'31.08 NSOOBA-KYEBANDO'!F18,'02.08 NSOOBA-KYEBANDO'!F18,'01.08 NSOOBA-KYEBANDO-24h'!F18,'03.80 NSOOBA-KYEBANDO-24h'!F18,'4.08. Kyebando-Nsooba'!F18)</f>
        <v>24.428571428571427</v>
      </c>
      <c r="G18" s="49">
        <f>AVERAGE('29.07 NSOOBA-KYEBANDO'!G18,'30.07 NSOOBA-KYEBANDO'!G18,'31.08 NSOOBA-KYEBANDO'!G18,'02.08 NSOOBA-KYEBANDO'!G18,'01.08 NSOOBA-KYEBANDO-24h'!G18,'03.80 NSOOBA-KYEBANDO-24h'!G18,'4.08. Kyebando-Nsooba'!G18)</f>
        <v>0.14285714285714285</v>
      </c>
      <c r="H18" s="49">
        <f>AVERAGE('29.07 NSOOBA-KYEBANDO'!H18,'30.07 NSOOBA-KYEBANDO'!H18,'31.08 NSOOBA-KYEBANDO'!H18,'02.08 NSOOBA-KYEBANDO'!H18,'01.08 NSOOBA-KYEBANDO-24h'!H18,'03.80 NSOOBA-KYEBANDO-24h'!H18,'4.08. Kyebando-Nsooba'!H18)</f>
        <v>0</v>
      </c>
      <c r="I18" s="49">
        <f>AVERAGE('29.07 NSOOBA-KYEBANDO'!I18,'30.07 NSOOBA-KYEBANDO'!I18,'31.08 NSOOBA-KYEBANDO'!I18,'02.08 NSOOBA-KYEBANDO'!I18,'01.08 NSOOBA-KYEBANDO-24h'!I18,'03.80 NSOOBA-KYEBANDO-24h'!I18,'4.08. Kyebando-Nsooba'!I18)</f>
        <v>4.2857142857142856</v>
      </c>
      <c r="J18" s="49">
        <f>AVERAGE('29.07 NSOOBA-KYEBANDO'!J18,'30.07 NSOOBA-KYEBANDO'!J18,'31.08 NSOOBA-KYEBANDO'!J18,'02.08 NSOOBA-KYEBANDO'!J18,'01.08 NSOOBA-KYEBANDO-24h'!J18,'03.80 NSOOBA-KYEBANDO-24h'!J18,'4.08. Kyebando-Nsooba'!J18)</f>
        <v>0.42857142857142855</v>
      </c>
      <c r="K18" s="49">
        <f>AVERAGE('29.07 NSOOBA-KYEBANDO'!K18,'30.07 NSOOBA-KYEBANDO'!K18,'31.08 NSOOBA-KYEBANDO'!K18,'02.08 NSOOBA-KYEBANDO'!K18,'01.08 NSOOBA-KYEBANDO-24h'!K18,'03.80 NSOOBA-KYEBANDO-24h'!K18,'4.08. Kyebando-Nsooba'!K18)</f>
        <v>0.2857142857142857</v>
      </c>
      <c r="L18" s="49">
        <f>AVERAGE('29.07 NSOOBA-KYEBANDO'!L18,'30.07 NSOOBA-KYEBANDO'!L18,'31.08 NSOOBA-KYEBANDO'!L18,'02.08 NSOOBA-KYEBANDO'!L18,'01.08 NSOOBA-KYEBANDO-24h'!L18,'03.80 NSOOBA-KYEBANDO-24h'!L18,'4.08. Kyebando-Nsooba'!L18)</f>
        <v>0</v>
      </c>
      <c r="M18" s="49">
        <f>AVERAGE('29.07 NSOOBA-KYEBANDO'!M18,'30.07 NSOOBA-KYEBANDO'!M18,'31.08 NSOOBA-KYEBANDO'!M18,'02.08 NSOOBA-KYEBANDO'!M18,'01.08 NSOOBA-KYEBANDO-24h'!M18,'03.80 NSOOBA-KYEBANDO-24h'!M18,'4.08. Kyebando-Nsooba'!M18)</f>
        <v>122</v>
      </c>
      <c r="N18" s="49">
        <f>AVERAGE('29.07 NSOOBA-KYEBANDO'!N18,'30.07 NSOOBA-KYEBANDO'!N18,'31.08 NSOOBA-KYEBANDO'!N18,'02.08 NSOOBA-KYEBANDO'!N18,'01.08 NSOOBA-KYEBANDO-24h'!N18,'03.80 NSOOBA-KYEBANDO-24h'!N18,'4.08. Kyebando-Nsooba'!N18)</f>
        <v>0</v>
      </c>
      <c r="O18" s="15">
        <f t="shared" si="0"/>
        <v>93.714285714285722</v>
      </c>
      <c r="P18" s="15">
        <f t="shared" si="1"/>
        <v>215.71428571428572</v>
      </c>
      <c r="R18" s="1" t="s">
        <v>14</v>
      </c>
      <c r="S18" s="17">
        <f t="shared" ref="S18:AF18" si="10">SUM(C42:C45)</f>
        <v>69.428571428571431</v>
      </c>
      <c r="T18" s="17">
        <f t="shared" si="10"/>
        <v>19.428571428571427</v>
      </c>
      <c r="U18" s="17">
        <f t="shared" si="10"/>
        <v>13.142857142857142</v>
      </c>
      <c r="V18" s="17">
        <f t="shared" si="10"/>
        <v>23.285714285714285</v>
      </c>
      <c r="W18" s="17">
        <f t="shared" si="10"/>
        <v>0.42857142857142855</v>
      </c>
      <c r="X18" s="17">
        <f t="shared" si="10"/>
        <v>0</v>
      </c>
      <c r="Y18" s="17">
        <f t="shared" si="10"/>
        <v>13.142857142857142</v>
      </c>
      <c r="Z18" s="17">
        <f t="shared" si="10"/>
        <v>2.2857142857142856</v>
      </c>
      <c r="AA18" s="17">
        <f t="shared" si="10"/>
        <v>0.8571428571428571</v>
      </c>
      <c r="AB18" s="17">
        <f t="shared" si="10"/>
        <v>0</v>
      </c>
      <c r="AC18" s="17">
        <f t="shared" si="10"/>
        <v>161.57142857142858</v>
      </c>
      <c r="AD18" s="17">
        <f t="shared" si="10"/>
        <v>0</v>
      </c>
      <c r="AE18" s="31">
        <f t="shared" si="10"/>
        <v>142</v>
      </c>
      <c r="AF18" s="31">
        <f t="shared" si="10"/>
        <v>303.57142857142856</v>
      </c>
    </row>
    <row r="19" spans="2:32" ht="23.1" customHeight="1" x14ac:dyDescent="0.25">
      <c r="B19" s="23" t="s">
        <v>46</v>
      </c>
      <c r="C19" s="49">
        <f>AVERAGE('29.07 NSOOBA-KYEBANDO'!C19,'30.07 NSOOBA-KYEBANDO'!C19,'31.08 NSOOBA-KYEBANDO'!C19,'02.08 NSOOBA-KYEBANDO'!C19,'01.08 NSOOBA-KYEBANDO-24h'!C19,'03.80 NSOOBA-KYEBANDO-24h'!C19,'4.08. Kyebando-Nsooba'!C19)</f>
        <v>46.857142857142854</v>
      </c>
      <c r="D19" s="49">
        <f>AVERAGE('29.07 NSOOBA-KYEBANDO'!D19,'30.07 NSOOBA-KYEBANDO'!D19,'31.08 NSOOBA-KYEBANDO'!D19,'02.08 NSOOBA-KYEBANDO'!D19,'01.08 NSOOBA-KYEBANDO-24h'!D19,'03.80 NSOOBA-KYEBANDO-24h'!D19,'4.08. Kyebando-Nsooba'!D19)</f>
        <v>8.7142857142857135</v>
      </c>
      <c r="E19" s="49">
        <f>AVERAGE('29.07 NSOOBA-KYEBANDO'!E19,'30.07 NSOOBA-KYEBANDO'!E19,'31.08 NSOOBA-KYEBANDO'!E19,'02.08 NSOOBA-KYEBANDO'!E19,'01.08 NSOOBA-KYEBANDO-24h'!E19,'03.80 NSOOBA-KYEBANDO-24h'!E19,'4.08. Kyebando-Nsooba'!E19)</f>
        <v>3.4285714285714284</v>
      </c>
      <c r="F19" s="49">
        <f>AVERAGE('29.07 NSOOBA-KYEBANDO'!F19,'30.07 NSOOBA-KYEBANDO'!F19,'31.08 NSOOBA-KYEBANDO'!F19,'02.08 NSOOBA-KYEBANDO'!F19,'01.08 NSOOBA-KYEBANDO-24h'!F19,'03.80 NSOOBA-KYEBANDO-24h'!F19,'4.08. Kyebando-Nsooba'!F19)</f>
        <v>21.285714285714285</v>
      </c>
      <c r="G19" s="49">
        <f>AVERAGE('29.07 NSOOBA-KYEBANDO'!G19,'30.07 NSOOBA-KYEBANDO'!G19,'31.08 NSOOBA-KYEBANDO'!G19,'02.08 NSOOBA-KYEBANDO'!G19,'01.08 NSOOBA-KYEBANDO-24h'!G19,'03.80 NSOOBA-KYEBANDO-24h'!G19,'4.08. Kyebando-Nsooba'!G19)</f>
        <v>0.42857142857142855</v>
      </c>
      <c r="H19" s="49">
        <f>AVERAGE('29.07 NSOOBA-KYEBANDO'!H19,'30.07 NSOOBA-KYEBANDO'!H19,'31.08 NSOOBA-KYEBANDO'!H19,'02.08 NSOOBA-KYEBANDO'!H19,'01.08 NSOOBA-KYEBANDO-24h'!H19,'03.80 NSOOBA-KYEBANDO-24h'!H19,'4.08. Kyebando-Nsooba'!H19)</f>
        <v>0</v>
      </c>
      <c r="I19" s="49">
        <f>AVERAGE('29.07 NSOOBA-KYEBANDO'!I19,'30.07 NSOOBA-KYEBANDO'!I19,'31.08 NSOOBA-KYEBANDO'!I19,'02.08 NSOOBA-KYEBANDO'!I19,'01.08 NSOOBA-KYEBANDO-24h'!I19,'03.80 NSOOBA-KYEBANDO-24h'!I19,'4.08. Kyebando-Nsooba'!I19)</f>
        <v>5.1428571428571432</v>
      </c>
      <c r="J19" s="49">
        <f>AVERAGE('29.07 NSOOBA-KYEBANDO'!J19,'30.07 NSOOBA-KYEBANDO'!J19,'31.08 NSOOBA-KYEBANDO'!J19,'02.08 NSOOBA-KYEBANDO'!J19,'01.08 NSOOBA-KYEBANDO-24h'!J19,'03.80 NSOOBA-KYEBANDO-24h'!J19,'4.08. Kyebando-Nsooba'!J19)</f>
        <v>0.2857142857142857</v>
      </c>
      <c r="K19" s="49">
        <f>AVERAGE('29.07 NSOOBA-KYEBANDO'!K19,'30.07 NSOOBA-KYEBANDO'!K19,'31.08 NSOOBA-KYEBANDO'!K19,'02.08 NSOOBA-KYEBANDO'!K19,'01.08 NSOOBA-KYEBANDO-24h'!K19,'03.80 NSOOBA-KYEBANDO-24h'!K19,'4.08. Kyebando-Nsooba'!K19)</f>
        <v>0.14285714285714285</v>
      </c>
      <c r="L19" s="49">
        <f>AVERAGE('29.07 NSOOBA-KYEBANDO'!L19,'30.07 NSOOBA-KYEBANDO'!L19,'31.08 NSOOBA-KYEBANDO'!L19,'02.08 NSOOBA-KYEBANDO'!L19,'01.08 NSOOBA-KYEBANDO-24h'!L19,'03.80 NSOOBA-KYEBANDO-24h'!L19,'4.08. Kyebando-Nsooba'!L19)</f>
        <v>0.14285714285714285</v>
      </c>
      <c r="M19" s="49">
        <f>AVERAGE('29.07 NSOOBA-KYEBANDO'!M19,'30.07 NSOOBA-KYEBANDO'!M19,'31.08 NSOOBA-KYEBANDO'!M19,'02.08 NSOOBA-KYEBANDO'!M19,'01.08 NSOOBA-KYEBANDO-24h'!M19,'03.80 NSOOBA-KYEBANDO-24h'!M19,'4.08. Kyebando-Nsooba'!M19)</f>
        <v>110.57142857142857</v>
      </c>
      <c r="N19" s="49">
        <f>AVERAGE('29.07 NSOOBA-KYEBANDO'!N19,'30.07 NSOOBA-KYEBANDO'!N19,'31.08 NSOOBA-KYEBANDO'!N19,'02.08 NSOOBA-KYEBANDO'!N19,'01.08 NSOOBA-KYEBANDO-24h'!N19,'03.80 NSOOBA-KYEBANDO-24h'!N19,'4.08. Kyebando-Nsooba'!N19)</f>
        <v>0</v>
      </c>
      <c r="O19" s="15">
        <f t="shared" si="0"/>
        <v>86.428571428571416</v>
      </c>
      <c r="P19" s="15">
        <f t="shared" si="1"/>
        <v>197</v>
      </c>
      <c r="R19" s="1" t="s">
        <v>15</v>
      </c>
      <c r="S19" s="17">
        <f t="shared" ref="S19:AF19" si="11">SUM(C46:C49)</f>
        <v>83.571428571428584</v>
      </c>
      <c r="T19" s="17">
        <f t="shared" si="11"/>
        <v>19.571428571428573</v>
      </c>
      <c r="U19" s="17">
        <f t="shared" si="11"/>
        <v>11.428571428571427</v>
      </c>
      <c r="V19" s="17">
        <f t="shared" si="11"/>
        <v>22.142857142857142</v>
      </c>
      <c r="W19" s="17">
        <f t="shared" si="11"/>
        <v>0.5714285714285714</v>
      </c>
      <c r="X19" s="17">
        <f t="shared" si="11"/>
        <v>0</v>
      </c>
      <c r="Y19" s="17">
        <f t="shared" si="11"/>
        <v>14.142857142857142</v>
      </c>
      <c r="Z19" s="17">
        <f t="shared" si="11"/>
        <v>2.5714285714285712</v>
      </c>
      <c r="AA19" s="17">
        <f t="shared" si="11"/>
        <v>0.71428571428571419</v>
      </c>
      <c r="AB19" s="17">
        <f t="shared" si="11"/>
        <v>0</v>
      </c>
      <c r="AC19" s="17">
        <f t="shared" si="11"/>
        <v>183.85714285714286</v>
      </c>
      <c r="AD19" s="17">
        <f t="shared" si="11"/>
        <v>0</v>
      </c>
      <c r="AE19" s="31">
        <f t="shared" si="11"/>
        <v>154.71428571428572</v>
      </c>
      <c r="AF19" s="31">
        <f t="shared" si="11"/>
        <v>338.57142857142856</v>
      </c>
    </row>
    <row r="20" spans="2:32" ht="23.1" customHeight="1" x14ac:dyDescent="0.25">
      <c r="B20" s="23" t="s">
        <v>47</v>
      </c>
      <c r="C20" s="49">
        <f>AVERAGE('29.07 NSOOBA-KYEBANDO'!C20,'30.07 NSOOBA-KYEBANDO'!C20,'31.08 NSOOBA-KYEBANDO'!C20,'02.08 NSOOBA-KYEBANDO'!C20,'01.08 NSOOBA-KYEBANDO-24h'!C20,'03.80 NSOOBA-KYEBANDO-24h'!C20,'4.08. Kyebando-Nsooba'!C20)</f>
        <v>47.142857142857146</v>
      </c>
      <c r="D20" s="49">
        <f>AVERAGE('29.07 NSOOBA-KYEBANDO'!D20,'30.07 NSOOBA-KYEBANDO'!D20,'31.08 NSOOBA-KYEBANDO'!D20,'02.08 NSOOBA-KYEBANDO'!D20,'01.08 NSOOBA-KYEBANDO-24h'!D20,'03.80 NSOOBA-KYEBANDO-24h'!D20,'4.08. Kyebando-Nsooba'!D20)</f>
        <v>10.285714285714286</v>
      </c>
      <c r="E20" s="49">
        <f>AVERAGE('29.07 NSOOBA-KYEBANDO'!E20,'30.07 NSOOBA-KYEBANDO'!E20,'31.08 NSOOBA-KYEBANDO'!E20,'02.08 NSOOBA-KYEBANDO'!E20,'01.08 NSOOBA-KYEBANDO-24h'!E20,'03.80 NSOOBA-KYEBANDO-24h'!E20,'4.08. Kyebando-Nsooba'!E20)</f>
        <v>4.1428571428571432</v>
      </c>
      <c r="F20" s="49">
        <f>AVERAGE('29.07 NSOOBA-KYEBANDO'!F20,'30.07 NSOOBA-KYEBANDO'!F20,'31.08 NSOOBA-KYEBANDO'!F20,'02.08 NSOOBA-KYEBANDO'!F20,'01.08 NSOOBA-KYEBANDO-24h'!F20,'03.80 NSOOBA-KYEBANDO-24h'!F20,'4.08. Kyebando-Nsooba'!F20)</f>
        <v>19.142857142857142</v>
      </c>
      <c r="G20" s="49">
        <f>AVERAGE('29.07 NSOOBA-KYEBANDO'!G20,'30.07 NSOOBA-KYEBANDO'!G20,'31.08 NSOOBA-KYEBANDO'!G20,'02.08 NSOOBA-KYEBANDO'!G20,'01.08 NSOOBA-KYEBANDO-24h'!G20,'03.80 NSOOBA-KYEBANDO-24h'!G20,'4.08. Kyebando-Nsooba'!G20)</f>
        <v>0.2857142857142857</v>
      </c>
      <c r="H20" s="49">
        <f>AVERAGE('29.07 NSOOBA-KYEBANDO'!H20,'30.07 NSOOBA-KYEBANDO'!H20,'31.08 NSOOBA-KYEBANDO'!H20,'02.08 NSOOBA-KYEBANDO'!H20,'01.08 NSOOBA-KYEBANDO-24h'!H20,'03.80 NSOOBA-KYEBANDO-24h'!H20,'4.08. Kyebando-Nsooba'!H20)</f>
        <v>0</v>
      </c>
      <c r="I20" s="49">
        <f>AVERAGE('29.07 NSOOBA-KYEBANDO'!I20,'30.07 NSOOBA-KYEBANDO'!I20,'31.08 NSOOBA-KYEBANDO'!I20,'02.08 NSOOBA-KYEBANDO'!I20,'01.08 NSOOBA-KYEBANDO-24h'!I20,'03.80 NSOOBA-KYEBANDO-24h'!I20,'4.08. Kyebando-Nsooba'!I20)</f>
        <v>5.5714285714285712</v>
      </c>
      <c r="J20" s="49">
        <f>AVERAGE('29.07 NSOOBA-KYEBANDO'!J20,'30.07 NSOOBA-KYEBANDO'!J20,'31.08 NSOOBA-KYEBANDO'!J20,'02.08 NSOOBA-KYEBANDO'!J20,'01.08 NSOOBA-KYEBANDO-24h'!J20,'03.80 NSOOBA-KYEBANDO-24h'!J20,'4.08. Kyebando-Nsooba'!J20)</f>
        <v>0.42857142857142855</v>
      </c>
      <c r="K20" s="49">
        <f>AVERAGE('29.07 NSOOBA-KYEBANDO'!K20,'30.07 NSOOBA-KYEBANDO'!K20,'31.08 NSOOBA-KYEBANDO'!K20,'02.08 NSOOBA-KYEBANDO'!K20,'01.08 NSOOBA-KYEBANDO-24h'!K20,'03.80 NSOOBA-KYEBANDO-24h'!K20,'4.08. Kyebando-Nsooba'!K20)</f>
        <v>0.42857142857142855</v>
      </c>
      <c r="L20" s="49">
        <f>AVERAGE('29.07 NSOOBA-KYEBANDO'!L20,'30.07 NSOOBA-KYEBANDO'!L20,'31.08 NSOOBA-KYEBANDO'!L20,'02.08 NSOOBA-KYEBANDO'!L20,'01.08 NSOOBA-KYEBANDO-24h'!L20,'03.80 NSOOBA-KYEBANDO-24h'!L20,'4.08. Kyebando-Nsooba'!L20)</f>
        <v>0</v>
      </c>
      <c r="M20" s="49">
        <f>AVERAGE('29.07 NSOOBA-KYEBANDO'!M20,'30.07 NSOOBA-KYEBANDO'!M20,'31.08 NSOOBA-KYEBANDO'!M20,'02.08 NSOOBA-KYEBANDO'!M20,'01.08 NSOOBA-KYEBANDO-24h'!M20,'03.80 NSOOBA-KYEBANDO-24h'!M20,'4.08. Kyebando-Nsooba'!M20)</f>
        <v>94.857142857142861</v>
      </c>
      <c r="N20" s="49">
        <f>AVERAGE('29.07 NSOOBA-KYEBANDO'!N20,'30.07 NSOOBA-KYEBANDO'!N20,'31.08 NSOOBA-KYEBANDO'!N20,'02.08 NSOOBA-KYEBANDO'!N20,'01.08 NSOOBA-KYEBANDO-24h'!N20,'03.80 NSOOBA-KYEBANDO-24h'!N20,'4.08. Kyebando-Nsooba'!N20)</f>
        <v>0</v>
      </c>
      <c r="O20" s="15">
        <f t="shared" si="0"/>
        <v>87.428571428571445</v>
      </c>
      <c r="P20" s="15">
        <f t="shared" si="1"/>
        <v>182.28571428571431</v>
      </c>
      <c r="R20" s="1" t="s">
        <v>16</v>
      </c>
      <c r="S20" s="17">
        <f t="shared" ref="S20:AF20" si="12">SUM(C50:C53)</f>
        <v>80.714285714285708</v>
      </c>
      <c r="T20" s="17">
        <f t="shared" si="12"/>
        <v>20.857142857142858</v>
      </c>
      <c r="U20" s="17">
        <f t="shared" si="12"/>
        <v>11.142857142857142</v>
      </c>
      <c r="V20" s="17">
        <f t="shared" si="12"/>
        <v>25.999999999999996</v>
      </c>
      <c r="W20" s="17">
        <f t="shared" si="12"/>
        <v>1.5714285714285714</v>
      </c>
      <c r="X20" s="17">
        <f t="shared" si="12"/>
        <v>0</v>
      </c>
      <c r="Y20" s="17">
        <f t="shared" si="12"/>
        <v>12.428571428571429</v>
      </c>
      <c r="Z20" s="17">
        <f t="shared" si="12"/>
        <v>0.5714285714285714</v>
      </c>
      <c r="AA20" s="17">
        <f t="shared" si="12"/>
        <v>1.7142857142857142</v>
      </c>
      <c r="AB20" s="17">
        <f t="shared" si="12"/>
        <v>0</v>
      </c>
      <c r="AC20" s="17">
        <f t="shared" si="12"/>
        <v>219.42857142857142</v>
      </c>
      <c r="AD20" s="17">
        <f t="shared" si="12"/>
        <v>0</v>
      </c>
      <c r="AE20" s="31">
        <f t="shared" si="12"/>
        <v>155</v>
      </c>
      <c r="AF20" s="31">
        <f t="shared" si="12"/>
        <v>374.42857142857139</v>
      </c>
    </row>
    <row r="21" spans="2:32" ht="23.1" customHeight="1" x14ac:dyDescent="0.25">
      <c r="B21" s="23" t="s">
        <v>48</v>
      </c>
      <c r="C21" s="49">
        <f>AVERAGE('29.07 NSOOBA-KYEBANDO'!C21,'30.07 NSOOBA-KYEBANDO'!C21,'31.08 NSOOBA-KYEBANDO'!C21,'02.08 NSOOBA-KYEBANDO'!C21,'01.08 NSOOBA-KYEBANDO-24h'!C21,'03.80 NSOOBA-KYEBANDO-24h'!C21,'4.08. Kyebando-Nsooba'!C21)</f>
        <v>31.571428571428573</v>
      </c>
      <c r="D21" s="49">
        <f>AVERAGE('29.07 NSOOBA-KYEBANDO'!D21,'30.07 NSOOBA-KYEBANDO'!D21,'31.08 NSOOBA-KYEBANDO'!D21,'02.08 NSOOBA-KYEBANDO'!D21,'01.08 NSOOBA-KYEBANDO-24h'!D21,'03.80 NSOOBA-KYEBANDO-24h'!D21,'4.08. Kyebando-Nsooba'!D21)</f>
        <v>18.571428571428573</v>
      </c>
      <c r="E21" s="49">
        <f>AVERAGE('29.07 NSOOBA-KYEBANDO'!E21,'30.07 NSOOBA-KYEBANDO'!E21,'31.08 NSOOBA-KYEBANDO'!E21,'02.08 NSOOBA-KYEBANDO'!E21,'01.08 NSOOBA-KYEBANDO-24h'!E21,'03.80 NSOOBA-KYEBANDO-24h'!E21,'4.08. Kyebando-Nsooba'!E21)</f>
        <v>5.2857142857142856</v>
      </c>
      <c r="F21" s="49">
        <f>AVERAGE('29.07 NSOOBA-KYEBANDO'!F21,'30.07 NSOOBA-KYEBANDO'!F21,'31.08 NSOOBA-KYEBANDO'!F21,'02.08 NSOOBA-KYEBANDO'!F21,'01.08 NSOOBA-KYEBANDO-24h'!F21,'03.80 NSOOBA-KYEBANDO-24h'!F21,'4.08. Kyebando-Nsooba'!F21)</f>
        <v>14.857142857142858</v>
      </c>
      <c r="G21" s="49">
        <f>AVERAGE('29.07 NSOOBA-KYEBANDO'!G21,'30.07 NSOOBA-KYEBANDO'!G21,'31.08 NSOOBA-KYEBANDO'!G21,'02.08 NSOOBA-KYEBANDO'!G21,'01.08 NSOOBA-KYEBANDO-24h'!G21,'03.80 NSOOBA-KYEBANDO-24h'!G21,'4.08. Kyebando-Nsooba'!G21)</f>
        <v>3</v>
      </c>
      <c r="H21" s="49">
        <f>AVERAGE('29.07 NSOOBA-KYEBANDO'!H21,'30.07 NSOOBA-KYEBANDO'!H21,'31.08 NSOOBA-KYEBANDO'!H21,'02.08 NSOOBA-KYEBANDO'!H21,'01.08 NSOOBA-KYEBANDO-24h'!H21,'03.80 NSOOBA-KYEBANDO-24h'!H21,'4.08. Kyebando-Nsooba'!H21)</f>
        <v>0</v>
      </c>
      <c r="I21" s="49">
        <f>AVERAGE('29.07 NSOOBA-KYEBANDO'!I21,'30.07 NSOOBA-KYEBANDO'!I21,'31.08 NSOOBA-KYEBANDO'!I21,'02.08 NSOOBA-KYEBANDO'!I21,'01.08 NSOOBA-KYEBANDO-24h'!I21,'03.80 NSOOBA-KYEBANDO-24h'!I21,'4.08. Kyebando-Nsooba'!I21)</f>
        <v>3.2857142857142856</v>
      </c>
      <c r="J21" s="49">
        <f>AVERAGE('29.07 NSOOBA-KYEBANDO'!J21,'30.07 NSOOBA-KYEBANDO'!J21,'31.08 NSOOBA-KYEBANDO'!J21,'02.08 NSOOBA-KYEBANDO'!J21,'01.08 NSOOBA-KYEBANDO-24h'!J21,'03.80 NSOOBA-KYEBANDO-24h'!J21,'4.08. Kyebando-Nsooba'!J21)</f>
        <v>0.2857142857142857</v>
      </c>
      <c r="K21" s="49">
        <f>AVERAGE('29.07 NSOOBA-KYEBANDO'!K21,'30.07 NSOOBA-KYEBANDO'!K21,'31.08 NSOOBA-KYEBANDO'!K21,'02.08 NSOOBA-KYEBANDO'!K21,'01.08 NSOOBA-KYEBANDO-24h'!K21,'03.80 NSOOBA-KYEBANDO-24h'!K21,'4.08. Kyebando-Nsooba'!K21)</f>
        <v>1.1428571428571428</v>
      </c>
      <c r="L21" s="49">
        <f>AVERAGE('29.07 NSOOBA-KYEBANDO'!L21,'30.07 NSOOBA-KYEBANDO'!L21,'31.08 NSOOBA-KYEBANDO'!L21,'02.08 NSOOBA-KYEBANDO'!L21,'01.08 NSOOBA-KYEBANDO-24h'!L21,'03.80 NSOOBA-KYEBANDO-24h'!L21,'4.08. Kyebando-Nsooba'!L21)</f>
        <v>0</v>
      </c>
      <c r="M21" s="49">
        <f>AVERAGE('29.07 NSOOBA-KYEBANDO'!M21,'30.07 NSOOBA-KYEBANDO'!M21,'31.08 NSOOBA-KYEBANDO'!M21,'02.08 NSOOBA-KYEBANDO'!M21,'01.08 NSOOBA-KYEBANDO-24h'!M21,'03.80 NSOOBA-KYEBANDO-24h'!M21,'4.08. Kyebando-Nsooba'!M21)</f>
        <v>95.714285714285708</v>
      </c>
      <c r="N21" s="49">
        <f>AVERAGE('29.07 NSOOBA-KYEBANDO'!N21,'30.07 NSOOBA-KYEBANDO'!N21,'31.08 NSOOBA-KYEBANDO'!N21,'02.08 NSOOBA-KYEBANDO'!N21,'01.08 NSOOBA-KYEBANDO-24h'!N21,'03.80 NSOOBA-KYEBANDO-24h'!N21,'4.08. Kyebando-Nsooba'!N21)</f>
        <v>0</v>
      </c>
      <c r="O21" s="15">
        <f t="shared" si="0"/>
        <v>78.000000000000014</v>
      </c>
      <c r="P21" s="15">
        <f t="shared" si="1"/>
        <v>173.71428571428572</v>
      </c>
      <c r="R21" s="36" t="s">
        <v>20</v>
      </c>
      <c r="S21" s="34">
        <f t="shared" ref="S21:AF21" si="13">SUM(C54:C57)</f>
        <v>76</v>
      </c>
      <c r="T21" s="17">
        <f t="shared" si="13"/>
        <v>15.428571428571431</v>
      </c>
      <c r="U21" s="17">
        <f t="shared" si="13"/>
        <v>8.4285714285714288</v>
      </c>
      <c r="V21" s="17">
        <f t="shared" si="13"/>
        <v>24.857142857142854</v>
      </c>
      <c r="W21" s="17">
        <f t="shared" si="13"/>
        <v>1.2857142857142856</v>
      </c>
      <c r="X21" s="17">
        <f t="shared" si="13"/>
        <v>0.14285714285714285</v>
      </c>
      <c r="Y21" s="17">
        <f t="shared" si="13"/>
        <v>11.285714285714286</v>
      </c>
      <c r="Z21" s="17">
        <f t="shared" si="13"/>
        <v>1.1428571428571428</v>
      </c>
      <c r="AA21" s="17">
        <f t="shared" si="13"/>
        <v>1.2857142857142856</v>
      </c>
      <c r="AB21" s="17">
        <f t="shared" si="13"/>
        <v>0</v>
      </c>
      <c r="AC21" s="17">
        <f t="shared" si="13"/>
        <v>245.57142857142856</v>
      </c>
      <c r="AD21" s="17">
        <f t="shared" si="13"/>
        <v>0</v>
      </c>
      <c r="AE21" s="31">
        <f t="shared" si="13"/>
        <v>139.85714285714286</v>
      </c>
      <c r="AF21" s="31">
        <f t="shared" si="13"/>
        <v>385.42857142857144</v>
      </c>
    </row>
    <row r="22" spans="2:32" ht="23.1" customHeight="1" x14ac:dyDescent="0.25">
      <c r="B22" s="23" t="s">
        <v>49</v>
      </c>
      <c r="C22" s="49">
        <f>AVERAGE('29.07 NSOOBA-KYEBANDO'!C22,'30.07 NSOOBA-KYEBANDO'!C22,'31.08 NSOOBA-KYEBANDO'!C22,'02.08 NSOOBA-KYEBANDO'!C22,'01.08 NSOOBA-KYEBANDO-24h'!C22,'03.80 NSOOBA-KYEBANDO-24h'!C22,'4.08. Kyebando-Nsooba'!C22)</f>
        <v>39.714285714285715</v>
      </c>
      <c r="D22" s="49">
        <f>AVERAGE('29.07 NSOOBA-KYEBANDO'!D22,'30.07 NSOOBA-KYEBANDO'!D22,'31.08 NSOOBA-KYEBANDO'!D22,'02.08 NSOOBA-KYEBANDO'!D22,'01.08 NSOOBA-KYEBANDO-24h'!D22,'03.80 NSOOBA-KYEBANDO-24h'!D22,'4.08. Kyebando-Nsooba'!D22)</f>
        <v>6.1428571428571432</v>
      </c>
      <c r="E22" s="49">
        <f>AVERAGE('29.07 NSOOBA-KYEBANDO'!E22,'30.07 NSOOBA-KYEBANDO'!E22,'31.08 NSOOBA-KYEBANDO'!E22,'02.08 NSOOBA-KYEBANDO'!E22,'01.08 NSOOBA-KYEBANDO-24h'!E22,'03.80 NSOOBA-KYEBANDO-24h'!E22,'4.08. Kyebando-Nsooba'!E22)</f>
        <v>3.1428571428571428</v>
      </c>
      <c r="F22" s="49">
        <f>AVERAGE('29.07 NSOOBA-KYEBANDO'!F22,'30.07 NSOOBA-KYEBANDO'!F22,'31.08 NSOOBA-KYEBANDO'!F22,'02.08 NSOOBA-KYEBANDO'!F22,'01.08 NSOOBA-KYEBANDO-24h'!F22,'03.80 NSOOBA-KYEBANDO-24h'!F22,'4.08. Kyebando-Nsooba'!F22)</f>
        <v>14.571428571428571</v>
      </c>
      <c r="G22" s="49">
        <f>AVERAGE('29.07 NSOOBA-KYEBANDO'!G22,'30.07 NSOOBA-KYEBANDO'!G22,'31.08 NSOOBA-KYEBANDO'!G22,'02.08 NSOOBA-KYEBANDO'!G22,'01.08 NSOOBA-KYEBANDO-24h'!G22,'03.80 NSOOBA-KYEBANDO-24h'!G22,'4.08. Kyebando-Nsooba'!G22)</f>
        <v>0.14285714285714285</v>
      </c>
      <c r="H22" s="49">
        <f>AVERAGE('29.07 NSOOBA-KYEBANDO'!H22,'30.07 NSOOBA-KYEBANDO'!H22,'31.08 NSOOBA-KYEBANDO'!H22,'02.08 NSOOBA-KYEBANDO'!H22,'01.08 NSOOBA-KYEBANDO-24h'!H22,'03.80 NSOOBA-KYEBANDO-24h'!H22,'4.08. Kyebando-Nsooba'!H22)</f>
        <v>0</v>
      </c>
      <c r="I22" s="49">
        <f>AVERAGE('29.07 NSOOBA-KYEBANDO'!I22,'30.07 NSOOBA-KYEBANDO'!I22,'31.08 NSOOBA-KYEBANDO'!I22,'02.08 NSOOBA-KYEBANDO'!I22,'01.08 NSOOBA-KYEBANDO-24h'!I22,'03.80 NSOOBA-KYEBANDO-24h'!I22,'4.08. Kyebando-Nsooba'!I22)</f>
        <v>3.8571428571428572</v>
      </c>
      <c r="J22" s="49">
        <f>AVERAGE('29.07 NSOOBA-KYEBANDO'!J22,'30.07 NSOOBA-KYEBANDO'!J22,'31.08 NSOOBA-KYEBANDO'!J22,'02.08 NSOOBA-KYEBANDO'!J22,'01.08 NSOOBA-KYEBANDO-24h'!J22,'03.80 NSOOBA-KYEBANDO-24h'!J22,'4.08. Kyebando-Nsooba'!J22)</f>
        <v>0.5714285714285714</v>
      </c>
      <c r="K22" s="49">
        <f>AVERAGE('29.07 NSOOBA-KYEBANDO'!K22,'30.07 NSOOBA-KYEBANDO'!K22,'31.08 NSOOBA-KYEBANDO'!K22,'02.08 NSOOBA-KYEBANDO'!K22,'01.08 NSOOBA-KYEBANDO-24h'!K22,'03.80 NSOOBA-KYEBANDO-24h'!K22,'4.08. Kyebando-Nsooba'!K22)</f>
        <v>0.14285714285714285</v>
      </c>
      <c r="L22" s="49">
        <f>AVERAGE('29.07 NSOOBA-KYEBANDO'!L22,'30.07 NSOOBA-KYEBANDO'!L22,'31.08 NSOOBA-KYEBANDO'!L22,'02.08 NSOOBA-KYEBANDO'!L22,'01.08 NSOOBA-KYEBANDO-24h'!L22,'03.80 NSOOBA-KYEBANDO-24h'!L22,'4.08. Kyebando-Nsooba'!L22)</f>
        <v>0</v>
      </c>
      <c r="M22" s="49">
        <f>AVERAGE('29.07 NSOOBA-KYEBANDO'!M22,'30.07 NSOOBA-KYEBANDO'!M22,'31.08 NSOOBA-KYEBANDO'!M22,'02.08 NSOOBA-KYEBANDO'!M22,'01.08 NSOOBA-KYEBANDO-24h'!M22,'03.80 NSOOBA-KYEBANDO-24h'!M22,'4.08. Kyebando-Nsooba'!M22)</f>
        <v>65.285714285714292</v>
      </c>
      <c r="N22" s="49">
        <f>AVERAGE('29.07 NSOOBA-KYEBANDO'!N22,'30.07 NSOOBA-KYEBANDO'!N22,'31.08 NSOOBA-KYEBANDO'!N22,'02.08 NSOOBA-KYEBANDO'!N22,'01.08 NSOOBA-KYEBANDO-24h'!N22,'03.80 NSOOBA-KYEBANDO-24h'!N22,'4.08. Kyebando-Nsooba'!N22)</f>
        <v>0</v>
      </c>
      <c r="O22" s="15">
        <f t="shared" si="0"/>
        <v>68.285714285714292</v>
      </c>
      <c r="P22" s="15">
        <f t="shared" si="1"/>
        <v>133.57142857142858</v>
      </c>
      <c r="R22" s="1" t="s">
        <v>146</v>
      </c>
      <c r="S22" s="34">
        <f>SUM(C58:C61)</f>
        <v>139</v>
      </c>
      <c r="T22" s="34">
        <f t="shared" ref="T22:AF22" si="14">SUM(D58:D61)</f>
        <v>16</v>
      </c>
      <c r="U22" s="34">
        <f t="shared" si="14"/>
        <v>22</v>
      </c>
      <c r="V22" s="34">
        <f t="shared" si="14"/>
        <v>78.5</v>
      </c>
      <c r="W22" s="34">
        <f t="shared" si="14"/>
        <v>1</v>
      </c>
      <c r="X22" s="34">
        <f t="shared" si="14"/>
        <v>0</v>
      </c>
      <c r="Y22" s="34">
        <f t="shared" si="14"/>
        <v>23</v>
      </c>
      <c r="Z22" s="34">
        <f t="shared" si="14"/>
        <v>6.5</v>
      </c>
      <c r="AA22" s="34">
        <f t="shared" si="14"/>
        <v>2.5</v>
      </c>
      <c r="AB22" s="34">
        <f t="shared" si="14"/>
        <v>1</v>
      </c>
      <c r="AC22" s="34">
        <f t="shared" si="14"/>
        <v>265.5</v>
      </c>
      <c r="AD22" s="34">
        <f t="shared" si="14"/>
        <v>0</v>
      </c>
      <c r="AE22" s="31">
        <f t="shared" si="14"/>
        <v>289.5</v>
      </c>
      <c r="AF22" s="31">
        <f t="shared" si="14"/>
        <v>555</v>
      </c>
    </row>
    <row r="23" spans="2:32" ht="23.1" customHeight="1" x14ac:dyDescent="0.25">
      <c r="B23" s="23" t="s">
        <v>50</v>
      </c>
      <c r="C23" s="49">
        <f>AVERAGE('29.07 NSOOBA-KYEBANDO'!C23,'30.07 NSOOBA-KYEBANDO'!C23,'31.08 NSOOBA-KYEBANDO'!C23,'02.08 NSOOBA-KYEBANDO'!C23,'01.08 NSOOBA-KYEBANDO-24h'!C23,'03.80 NSOOBA-KYEBANDO-24h'!C23,'4.08. Kyebando-Nsooba'!C23)</f>
        <v>30.285714285714285</v>
      </c>
      <c r="D23" s="49">
        <f>AVERAGE('29.07 NSOOBA-KYEBANDO'!D23,'30.07 NSOOBA-KYEBANDO'!D23,'31.08 NSOOBA-KYEBANDO'!D23,'02.08 NSOOBA-KYEBANDO'!D23,'01.08 NSOOBA-KYEBANDO-24h'!D23,'03.80 NSOOBA-KYEBANDO-24h'!D23,'4.08. Kyebando-Nsooba'!D23)</f>
        <v>6.7142857142857144</v>
      </c>
      <c r="E23" s="49">
        <f>AVERAGE('29.07 NSOOBA-KYEBANDO'!E23,'30.07 NSOOBA-KYEBANDO'!E23,'31.08 NSOOBA-KYEBANDO'!E23,'02.08 NSOOBA-KYEBANDO'!E23,'01.08 NSOOBA-KYEBANDO-24h'!E23,'03.80 NSOOBA-KYEBANDO-24h'!E23,'4.08. Kyebando-Nsooba'!E23)</f>
        <v>4.1428571428571432</v>
      </c>
      <c r="F23" s="49">
        <f>AVERAGE('29.07 NSOOBA-KYEBANDO'!F23,'30.07 NSOOBA-KYEBANDO'!F23,'31.08 NSOOBA-KYEBANDO'!F23,'02.08 NSOOBA-KYEBANDO'!F23,'01.08 NSOOBA-KYEBANDO-24h'!F23,'03.80 NSOOBA-KYEBANDO-24h'!F23,'4.08. Kyebando-Nsooba'!F23)</f>
        <v>8.4285714285714288</v>
      </c>
      <c r="G23" s="49">
        <f>AVERAGE('29.07 NSOOBA-KYEBANDO'!G23,'30.07 NSOOBA-KYEBANDO'!G23,'31.08 NSOOBA-KYEBANDO'!G23,'02.08 NSOOBA-KYEBANDO'!G23,'01.08 NSOOBA-KYEBANDO-24h'!G23,'03.80 NSOOBA-KYEBANDO-24h'!G23,'4.08. Kyebando-Nsooba'!G23)</f>
        <v>0</v>
      </c>
      <c r="H23" s="49">
        <f>AVERAGE('29.07 NSOOBA-KYEBANDO'!H23,'30.07 NSOOBA-KYEBANDO'!H23,'31.08 NSOOBA-KYEBANDO'!H23,'02.08 NSOOBA-KYEBANDO'!H23,'01.08 NSOOBA-KYEBANDO-24h'!H23,'03.80 NSOOBA-KYEBANDO-24h'!H23,'4.08. Kyebando-Nsooba'!H23)</f>
        <v>0.14285714285714285</v>
      </c>
      <c r="I23" s="49">
        <f>AVERAGE('29.07 NSOOBA-KYEBANDO'!I23,'30.07 NSOOBA-KYEBANDO'!I23,'31.08 NSOOBA-KYEBANDO'!I23,'02.08 NSOOBA-KYEBANDO'!I23,'01.08 NSOOBA-KYEBANDO-24h'!I23,'03.80 NSOOBA-KYEBANDO-24h'!I23,'4.08. Kyebando-Nsooba'!I23)</f>
        <v>4.2857142857142856</v>
      </c>
      <c r="J23" s="49">
        <f>AVERAGE('29.07 NSOOBA-KYEBANDO'!J23,'30.07 NSOOBA-KYEBANDO'!J23,'31.08 NSOOBA-KYEBANDO'!J23,'02.08 NSOOBA-KYEBANDO'!J23,'01.08 NSOOBA-KYEBANDO-24h'!J23,'03.80 NSOOBA-KYEBANDO-24h'!J23,'4.08. Kyebando-Nsooba'!J23)</f>
        <v>0.7142857142857143</v>
      </c>
      <c r="K23" s="49">
        <f>AVERAGE('29.07 NSOOBA-KYEBANDO'!K23,'30.07 NSOOBA-KYEBANDO'!K23,'31.08 NSOOBA-KYEBANDO'!K23,'02.08 NSOOBA-KYEBANDO'!K23,'01.08 NSOOBA-KYEBANDO-24h'!K23,'03.80 NSOOBA-KYEBANDO-24h'!K23,'4.08. Kyebando-Nsooba'!K23)</f>
        <v>0.14285714285714285</v>
      </c>
      <c r="L23" s="49">
        <f>AVERAGE('29.07 NSOOBA-KYEBANDO'!L23,'30.07 NSOOBA-KYEBANDO'!L23,'31.08 NSOOBA-KYEBANDO'!L23,'02.08 NSOOBA-KYEBANDO'!L23,'01.08 NSOOBA-KYEBANDO-24h'!L23,'03.80 NSOOBA-KYEBANDO-24h'!L23,'4.08. Kyebando-Nsooba'!L23)</f>
        <v>0</v>
      </c>
      <c r="M23" s="49">
        <f>AVERAGE('29.07 NSOOBA-KYEBANDO'!M23,'30.07 NSOOBA-KYEBANDO'!M23,'31.08 NSOOBA-KYEBANDO'!M23,'02.08 NSOOBA-KYEBANDO'!M23,'01.08 NSOOBA-KYEBANDO-24h'!M23,'03.80 NSOOBA-KYEBANDO-24h'!M23,'4.08. Kyebando-Nsooba'!M23)</f>
        <v>61.714285714285715</v>
      </c>
      <c r="N23" s="49">
        <f>AVERAGE('29.07 NSOOBA-KYEBANDO'!N23,'30.07 NSOOBA-KYEBANDO'!N23,'31.08 NSOOBA-KYEBANDO'!N23,'02.08 NSOOBA-KYEBANDO'!N23,'01.08 NSOOBA-KYEBANDO-24h'!N23,'03.80 NSOOBA-KYEBANDO-24h'!N23,'4.08. Kyebando-Nsooba'!N23)</f>
        <v>0</v>
      </c>
      <c r="O23" s="15">
        <f t="shared" si="0"/>
        <v>54.857142857142868</v>
      </c>
      <c r="P23" s="15">
        <f t="shared" si="1"/>
        <v>116.57142857142858</v>
      </c>
      <c r="R23" s="1" t="s">
        <v>147</v>
      </c>
      <c r="S23" s="34">
        <f>SUM(C62:C65)</f>
        <v>148</v>
      </c>
      <c r="T23" s="34">
        <f t="shared" ref="T23:AF23" si="15">SUM(D62:D65)</f>
        <v>14.5</v>
      </c>
      <c r="U23" s="34">
        <f t="shared" si="15"/>
        <v>13</v>
      </c>
      <c r="V23" s="34">
        <f t="shared" si="15"/>
        <v>90</v>
      </c>
      <c r="W23" s="34">
        <f t="shared" si="15"/>
        <v>1.5</v>
      </c>
      <c r="X23" s="34">
        <f t="shared" si="15"/>
        <v>1</v>
      </c>
      <c r="Y23" s="34">
        <f t="shared" si="15"/>
        <v>11</v>
      </c>
      <c r="Z23" s="34">
        <f t="shared" si="15"/>
        <v>2.5</v>
      </c>
      <c r="AA23" s="34">
        <f t="shared" si="15"/>
        <v>0.5</v>
      </c>
      <c r="AB23" s="34">
        <f t="shared" si="15"/>
        <v>0</v>
      </c>
      <c r="AC23" s="34">
        <f t="shared" si="15"/>
        <v>258.5</v>
      </c>
      <c r="AD23" s="34">
        <f t="shared" si="15"/>
        <v>0</v>
      </c>
      <c r="AE23" s="31">
        <f t="shared" si="15"/>
        <v>282</v>
      </c>
      <c r="AF23" s="31">
        <f t="shared" si="15"/>
        <v>540.5</v>
      </c>
    </row>
    <row r="24" spans="2:32" ht="23.1" customHeight="1" x14ac:dyDescent="0.25">
      <c r="B24" s="23" t="s">
        <v>51</v>
      </c>
      <c r="C24" s="49">
        <f>AVERAGE('29.07 NSOOBA-KYEBANDO'!C24,'30.07 NSOOBA-KYEBANDO'!C24,'31.08 NSOOBA-KYEBANDO'!C24,'02.08 NSOOBA-KYEBANDO'!C24,'01.08 NSOOBA-KYEBANDO-24h'!C24,'03.80 NSOOBA-KYEBANDO-24h'!C24,'4.08. Kyebando-Nsooba'!C24)</f>
        <v>35.285714285714285</v>
      </c>
      <c r="D24" s="49">
        <f>AVERAGE('29.07 NSOOBA-KYEBANDO'!D24,'30.07 NSOOBA-KYEBANDO'!D24,'31.08 NSOOBA-KYEBANDO'!D24,'02.08 NSOOBA-KYEBANDO'!D24,'01.08 NSOOBA-KYEBANDO-24h'!D24,'03.80 NSOOBA-KYEBANDO-24h'!D24,'4.08. Kyebando-Nsooba'!D24)</f>
        <v>8.4285714285714288</v>
      </c>
      <c r="E24" s="49">
        <f>AVERAGE('29.07 NSOOBA-KYEBANDO'!E24,'30.07 NSOOBA-KYEBANDO'!E24,'31.08 NSOOBA-KYEBANDO'!E24,'02.08 NSOOBA-KYEBANDO'!E24,'01.08 NSOOBA-KYEBANDO-24h'!E24,'03.80 NSOOBA-KYEBANDO-24h'!E24,'4.08. Kyebando-Nsooba'!E24)</f>
        <v>2.8571428571428572</v>
      </c>
      <c r="F24" s="49">
        <f>AVERAGE('29.07 NSOOBA-KYEBANDO'!F24,'30.07 NSOOBA-KYEBANDO'!F24,'31.08 NSOOBA-KYEBANDO'!F24,'02.08 NSOOBA-KYEBANDO'!F24,'01.08 NSOOBA-KYEBANDO-24h'!F24,'03.80 NSOOBA-KYEBANDO-24h'!F24,'4.08. Kyebando-Nsooba'!F24)</f>
        <v>10.285714285714286</v>
      </c>
      <c r="G24" s="49">
        <f>AVERAGE('29.07 NSOOBA-KYEBANDO'!G24,'30.07 NSOOBA-KYEBANDO'!G24,'31.08 NSOOBA-KYEBANDO'!G24,'02.08 NSOOBA-KYEBANDO'!G24,'01.08 NSOOBA-KYEBANDO-24h'!G24,'03.80 NSOOBA-KYEBANDO-24h'!G24,'4.08. Kyebando-Nsooba'!G24)</f>
        <v>0.14285714285714285</v>
      </c>
      <c r="H24" s="49">
        <f>AVERAGE('29.07 NSOOBA-KYEBANDO'!H24,'30.07 NSOOBA-KYEBANDO'!H24,'31.08 NSOOBA-KYEBANDO'!H24,'02.08 NSOOBA-KYEBANDO'!H24,'01.08 NSOOBA-KYEBANDO-24h'!H24,'03.80 NSOOBA-KYEBANDO-24h'!H24,'4.08. Kyebando-Nsooba'!H24)</f>
        <v>0</v>
      </c>
      <c r="I24" s="49">
        <f>AVERAGE('29.07 NSOOBA-KYEBANDO'!I24,'30.07 NSOOBA-KYEBANDO'!I24,'31.08 NSOOBA-KYEBANDO'!I24,'02.08 NSOOBA-KYEBANDO'!I24,'01.08 NSOOBA-KYEBANDO-24h'!I24,'03.80 NSOOBA-KYEBANDO-24h'!I24,'4.08. Kyebando-Nsooba'!I24)</f>
        <v>5</v>
      </c>
      <c r="J24" s="49">
        <f>AVERAGE('29.07 NSOOBA-KYEBANDO'!J24,'30.07 NSOOBA-KYEBANDO'!J24,'31.08 NSOOBA-KYEBANDO'!J24,'02.08 NSOOBA-KYEBANDO'!J24,'01.08 NSOOBA-KYEBANDO-24h'!J24,'03.80 NSOOBA-KYEBANDO-24h'!J24,'4.08. Kyebando-Nsooba'!J24)</f>
        <v>0.5714285714285714</v>
      </c>
      <c r="K24" s="49">
        <f>AVERAGE('29.07 NSOOBA-KYEBANDO'!K24,'30.07 NSOOBA-KYEBANDO'!K24,'31.08 NSOOBA-KYEBANDO'!K24,'02.08 NSOOBA-KYEBANDO'!K24,'01.08 NSOOBA-KYEBANDO-24h'!K24,'03.80 NSOOBA-KYEBANDO-24h'!K24,'4.08. Kyebando-Nsooba'!K24)</f>
        <v>0</v>
      </c>
      <c r="L24" s="49">
        <f>AVERAGE('29.07 NSOOBA-KYEBANDO'!L24,'30.07 NSOOBA-KYEBANDO'!L24,'31.08 NSOOBA-KYEBANDO'!L24,'02.08 NSOOBA-KYEBANDO'!L24,'01.08 NSOOBA-KYEBANDO-24h'!L24,'03.80 NSOOBA-KYEBANDO-24h'!L24,'4.08. Kyebando-Nsooba'!L24)</f>
        <v>0</v>
      </c>
      <c r="M24" s="49">
        <f>AVERAGE('29.07 NSOOBA-KYEBANDO'!M24,'30.07 NSOOBA-KYEBANDO'!M24,'31.08 NSOOBA-KYEBANDO'!M24,'02.08 NSOOBA-KYEBANDO'!M24,'01.08 NSOOBA-KYEBANDO-24h'!M24,'03.80 NSOOBA-KYEBANDO-24h'!M24,'4.08. Kyebando-Nsooba'!M24)</f>
        <v>67.857142857142861</v>
      </c>
      <c r="N24" s="49">
        <f>AVERAGE('29.07 NSOOBA-KYEBANDO'!N24,'30.07 NSOOBA-KYEBANDO'!N24,'31.08 NSOOBA-KYEBANDO'!N24,'02.08 NSOOBA-KYEBANDO'!N24,'01.08 NSOOBA-KYEBANDO-24h'!N24,'03.80 NSOOBA-KYEBANDO-24h'!N24,'4.08. Kyebando-Nsooba'!N24)</f>
        <v>0</v>
      </c>
      <c r="O24" s="15">
        <f t="shared" si="0"/>
        <v>62.571428571428569</v>
      </c>
      <c r="P24" s="15">
        <f t="shared" si="1"/>
        <v>130.42857142857144</v>
      </c>
      <c r="R24" s="1" t="s">
        <v>148</v>
      </c>
      <c r="S24" s="34">
        <f>SUM(C66:C69)</f>
        <v>146</v>
      </c>
      <c r="T24" s="34">
        <f t="shared" ref="T24:AF24" si="16">SUM(D66:D69)</f>
        <v>8.5</v>
      </c>
      <c r="U24" s="34">
        <f t="shared" si="16"/>
        <v>9.5</v>
      </c>
      <c r="V24" s="34">
        <f t="shared" si="16"/>
        <v>45.5</v>
      </c>
      <c r="W24" s="34">
        <f t="shared" si="16"/>
        <v>25.5</v>
      </c>
      <c r="X24" s="34">
        <f t="shared" si="16"/>
        <v>2.5</v>
      </c>
      <c r="Y24" s="34">
        <f t="shared" si="16"/>
        <v>10</v>
      </c>
      <c r="Z24" s="34">
        <f t="shared" si="16"/>
        <v>3</v>
      </c>
      <c r="AA24" s="34">
        <f t="shared" si="16"/>
        <v>1</v>
      </c>
      <c r="AB24" s="34">
        <f t="shared" si="16"/>
        <v>0.5</v>
      </c>
      <c r="AC24" s="34">
        <f t="shared" si="16"/>
        <v>234.5</v>
      </c>
      <c r="AD24" s="34">
        <f t="shared" si="16"/>
        <v>0</v>
      </c>
      <c r="AE24" s="31">
        <f t="shared" si="16"/>
        <v>252</v>
      </c>
      <c r="AF24" s="31">
        <f t="shared" si="16"/>
        <v>486.5</v>
      </c>
    </row>
    <row r="25" spans="2:32" ht="23.1" customHeight="1" x14ac:dyDescent="0.25">
      <c r="B25" s="23" t="s">
        <v>52</v>
      </c>
      <c r="C25" s="49">
        <f>AVERAGE('29.07 NSOOBA-KYEBANDO'!C25,'30.07 NSOOBA-KYEBANDO'!C25,'31.08 NSOOBA-KYEBANDO'!C25,'02.08 NSOOBA-KYEBANDO'!C25,'01.08 NSOOBA-KYEBANDO-24h'!C25,'03.80 NSOOBA-KYEBANDO-24h'!C25,'4.08. Kyebando-Nsooba'!C25)</f>
        <v>29.428571428571427</v>
      </c>
      <c r="D25" s="49">
        <f>AVERAGE('29.07 NSOOBA-KYEBANDO'!D25,'30.07 NSOOBA-KYEBANDO'!D25,'31.08 NSOOBA-KYEBANDO'!D25,'02.08 NSOOBA-KYEBANDO'!D25,'01.08 NSOOBA-KYEBANDO-24h'!D25,'03.80 NSOOBA-KYEBANDO-24h'!D25,'4.08. Kyebando-Nsooba'!D25)</f>
        <v>9</v>
      </c>
      <c r="E25" s="49">
        <f>AVERAGE('29.07 NSOOBA-KYEBANDO'!E25,'30.07 NSOOBA-KYEBANDO'!E25,'31.08 NSOOBA-KYEBANDO'!E25,'02.08 NSOOBA-KYEBANDO'!E25,'01.08 NSOOBA-KYEBANDO-24h'!E25,'03.80 NSOOBA-KYEBANDO-24h'!E25,'4.08. Kyebando-Nsooba'!E25)</f>
        <v>4.4285714285714288</v>
      </c>
      <c r="F25" s="49">
        <f>AVERAGE('29.07 NSOOBA-KYEBANDO'!F25,'30.07 NSOOBA-KYEBANDO'!F25,'31.08 NSOOBA-KYEBANDO'!F25,'02.08 NSOOBA-KYEBANDO'!F25,'01.08 NSOOBA-KYEBANDO-24h'!F25,'03.80 NSOOBA-KYEBANDO-24h'!F25,'4.08. Kyebando-Nsooba'!F25)</f>
        <v>12</v>
      </c>
      <c r="G25" s="49">
        <f>AVERAGE('29.07 NSOOBA-KYEBANDO'!G25,'30.07 NSOOBA-KYEBANDO'!G25,'31.08 NSOOBA-KYEBANDO'!G25,'02.08 NSOOBA-KYEBANDO'!G25,'01.08 NSOOBA-KYEBANDO-24h'!G25,'03.80 NSOOBA-KYEBANDO-24h'!G25,'4.08. Kyebando-Nsooba'!G25)</f>
        <v>0</v>
      </c>
      <c r="H25" s="49">
        <f>AVERAGE('29.07 NSOOBA-KYEBANDO'!H25,'30.07 NSOOBA-KYEBANDO'!H25,'31.08 NSOOBA-KYEBANDO'!H25,'02.08 NSOOBA-KYEBANDO'!H25,'01.08 NSOOBA-KYEBANDO-24h'!H25,'03.80 NSOOBA-KYEBANDO-24h'!H25,'4.08. Kyebando-Nsooba'!H25)</f>
        <v>0</v>
      </c>
      <c r="I25" s="49">
        <f>AVERAGE('29.07 NSOOBA-KYEBANDO'!I25,'30.07 NSOOBA-KYEBANDO'!I25,'31.08 NSOOBA-KYEBANDO'!I25,'02.08 NSOOBA-KYEBANDO'!I25,'01.08 NSOOBA-KYEBANDO-24h'!I25,'03.80 NSOOBA-KYEBANDO-24h'!I25,'4.08. Kyebando-Nsooba'!I25)</f>
        <v>4.8571428571428568</v>
      </c>
      <c r="J25" s="49">
        <f>AVERAGE('29.07 NSOOBA-KYEBANDO'!J25,'30.07 NSOOBA-KYEBANDO'!J25,'31.08 NSOOBA-KYEBANDO'!J25,'02.08 NSOOBA-KYEBANDO'!J25,'01.08 NSOOBA-KYEBANDO-24h'!J25,'03.80 NSOOBA-KYEBANDO-24h'!J25,'4.08. Kyebando-Nsooba'!J25)</f>
        <v>0.2857142857142857</v>
      </c>
      <c r="K25" s="49">
        <f>AVERAGE('29.07 NSOOBA-KYEBANDO'!K25,'30.07 NSOOBA-KYEBANDO'!K25,'31.08 NSOOBA-KYEBANDO'!K25,'02.08 NSOOBA-KYEBANDO'!K25,'01.08 NSOOBA-KYEBANDO-24h'!K25,'03.80 NSOOBA-KYEBANDO-24h'!K25,'4.08. Kyebando-Nsooba'!K25)</f>
        <v>0</v>
      </c>
      <c r="L25" s="49">
        <f>AVERAGE('29.07 NSOOBA-KYEBANDO'!L25,'30.07 NSOOBA-KYEBANDO'!L25,'31.08 NSOOBA-KYEBANDO'!L25,'02.08 NSOOBA-KYEBANDO'!L25,'01.08 NSOOBA-KYEBANDO-24h'!L25,'03.80 NSOOBA-KYEBANDO-24h'!L25,'4.08. Kyebando-Nsooba'!L25)</f>
        <v>0</v>
      </c>
      <c r="M25" s="49">
        <f>AVERAGE('29.07 NSOOBA-KYEBANDO'!M25,'30.07 NSOOBA-KYEBANDO'!M25,'31.08 NSOOBA-KYEBANDO'!M25,'02.08 NSOOBA-KYEBANDO'!M25,'01.08 NSOOBA-KYEBANDO-24h'!M25,'03.80 NSOOBA-KYEBANDO-24h'!M25,'4.08. Kyebando-Nsooba'!M25)</f>
        <v>67.571428571428569</v>
      </c>
      <c r="N25" s="49">
        <f>AVERAGE('29.07 NSOOBA-KYEBANDO'!N25,'30.07 NSOOBA-KYEBANDO'!N25,'31.08 NSOOBA-KYEBANDO'!N25,'02.08 NSOOBA-KYEBANDO'!N25,'01.08 NSOOBA-KYEBANDO-24h'!N25,'03.80 NSOOBA-KYEBANDO-24h'!N25,'4.08. Kyebando-Nsooba'!N25)</f>
        <v>0</v>
      </c>
      <c r="O25" s="15">
        <f t="shared" si="0"/>
        <v>60</v>
      </c>
      <c r="P25" s="15">
        <f t="shared" si="1"/>
        <v>127.57142857142857</v>
      </c>
      <c r="R25" s="1" t="s">
        <v>149</v>
      </c>
      <c r="S25" s="34">
        <f>SUM(C70:C73)</f>
        <v>85.5</v>
      </c>
      <c r="T25" s="34">
        <f t="shared" ref="T25:AF25" si="17">SUM(D70:D73)</f>
        <v>4.5</v>
      </c>
      <c r="U25" s="34">
        <f t="shared" si="17"/>
        <v>12</v>
      </c>
      <c r="V25" s="34">
        <f t="shared" si="17"/>
        <v>21.5</v>
      </c>
      <c r="W25" s="34">
        <f t="shared" si="17"/>
        <v>0</v>
      </c>
      <c r="X25" s="34">
        <f t="shared" si="17"/>
        <v>0</v>
      </c>
      <c r="Y25" s="34">
        <f t="shared" si="17"/>
        <v>3.5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140.5</v>
      </c>
      <c r="AD25" s="34">
        <f t="shared" si="17"/>
        <v>0</v>
      </c>
      <c r="AE25" s="31">
        <f t="shared" si="17"/>
        <v>128</v>
      </c>
      <c r="AF25" s="31">
        <f t="shared" si="17"/>
        <v>268.5</v>
      </c>
    </row>
    <row r="26" spans="2:32" ht="23.1" customHeight="1" x14ac:dyDescent="0.25">
      <c r="B26" s="23" t="s">
        <v>53</v>
      </c>
      <c r="C26" s="49">
        <f>AVERAGE('29.07 NSOOBA-KYEBANDO'!C26,'30.07 NSOOBA-KYEBANDO'!C26,'31.08 NSOOBA-KYEBANDO'!C26,'02.08 NSOOBA-KYEBANDO'!C26,'01.08 NSOOBA-KYEBANDO-24h'!C26,'03.80 NSOOBA-KYEBANDO-24h'!C26,'4.08. Kyebando-Nsooba'!C26)</f>
        <v>27.571428571428573</v>
      </c>
      <c r="D26" s="49">
        <f>AVERAGE('29.07 NSOOBA-KYEBANDO'!D26,'30.07 NSOOBA-KYEBANDO'!D26,'31.08 NSOOBA-KYEBANDO'!D26,'02.08 NSOOBA-KYEBANDO'!D26,'01.08 NSOOBA-KYEBANDO-24h'!D26,'03.80 NSOOBA-KYEBANDO-24h'!D26,'4.08. Kyebando-Nsooba'!D26)</f>
        <v>6.7142857142857144</v>
      </c>
      <c r="E26" s="49">
        <f>AVERAGE('29.07 NSOOBA-KYEBANDO'!E26,'30.07 NSOOBA-KYEBANDO'!E26,'31.08 NSOOBA-KYEBANDO'!E26,'02.08 NSOOBA-KYEBANDO'!E26,'01.08 NSOOBA-KYEBANDO-24h'!E26,'03.80 NSOOBA-KYEBANDO-24h'!E26,'4.08. Kyebando-Nsooba'!E26)</f>
        <v>2.8571428571428572</v>
      </c>
      <c r="F26" s="49">
        <f>AVERAGE('29.07 NSOOBA-KYEBANDO'!F26,'30.07 NSOOBA-KYEBANDO'!F26,'31.08 NSOOBA-KYEBANDO'!F26,'02.08 NSOOBA-KYEBANDO'!F26,'01.08 NSOOBA-KYEBANDO-24h'!F26,'03.80 NSOOBA-KYEBANDO-24h'!F26,'4.08. Kyebando-Nsooba'!F26)</f>
        <v>8.4285714285714288</v>
      </c>
      <c r="G26" s="49">
        <f>AVERAGE('29.07 NSOOBA-KYEBANDO'!G26,'30.07 NSOOBA-KYEBANDO'!G26,'31.08 NSOOBA-KYEBANDO'!G26,'02.08 NSOOBA-KYEBANDO'!G26,'01.08 NSOOBA-KYEBANDO-24h'!G26,'03.80 NSOOBA-KYEBANDO-24h'!G26,'4.08. Kyebando-Nsooba'!G26)</f>
        <v>0.14285714285714285</v>
      </c>
      <c r="H26" s="49">
        <f>AVERAGE('29.07 NSOOBA-KYEBANDO'!H26,'30.07 NSOOBA-KYEBANDO'!H26,'31.08 NSOOBA-KYEBANDO'!H26,'02.08 NSOOBA-KYEBANDO'!H26,'01.08 NSOOBA-KYEBANDO-24h'!H26,'03.80 NSOOBA-KYEBANDO-24h'!H26,'4.08. Kyebando-Nsooba'!H26)</f>
        <v>0</v>
      </c>
      <c r="I26" s="49">
        <f>AVERAGE('29.07 NSOOBA-KYEBANDO'!I26,'30.07 NSOOBA-KYEBANDO'!I26,'31.08 NSOOBA-KYEBANDO'!I26,'02.08 NSOOBA-KYEBANDO'!I26,'01.08 NSOOBA-KYEBANDO-24h'!I26,'03.80 NSOOBA-KYEBANDO-24h'!I26,'4.08. Kyebando-Nsooba'!I26)</f>
        <v>3.8571428571428572</v>
      </c>
      <c r="J26" s="49">
        <f>AVERAGE('29.07 NSOOBA-KYEBANDO'!J26,'30.07 NSOOBA-KYEBANDO'!J26,'31.08 NSOOBA-KYEBANDO'!J26,'02.08 NSOOBA-KYEBANDO'!J26,'01.08 NSOOBA-KYEBANDO-24h'!J26,'03.80 NSOOBA-KYEBANDO-24h'!J26,'4.08. Kyebando-Nsooba'!J26)</f>
        <v>0.2857142857142857</v>
      </c>
      <c r="K26" s="49">
        <f>AVERAGE('29.07 NSOOBA-KYEBANDO'!K26,'30.07 NSOOBA-KYEBANDO'!K26,'31.08 NSOOBA-KYEBANDO'!K26,'02.08 NSOOBA-KYEBANDO'!K26,'01.08 NSOOBA-KYEBANDO-24h'!K26,'03.80 NSOOBA-KYEBANDO-24h'!K26,'4.08. Kyebando-Nsooba'!K26)</f>
        <v>0.42857142857142855</v>
      </c>
      <c r="L26" s="49">
        <f>AVERAGE('29.07 NSOOBA-KYEBANDO'!L26,'30.07 NSOOBA-KYEBANDO'!L26,'31.08 NSOOBA-KYEBANDO'!L26,'02.08 NSOOBA-KYEBANDO'!L26,'01.08 NSOOBA-KYEBANDO-24h'!L26,'03.80 NSOOBA-KYEBANDO-24h'!L26,'4.08. Kyebando-Nsooba'!L26)</f>
        <v>0</v>
      </c>
      <c r="M26" s="49">
        <f>AVERAGE('29.07 NSOOBA-KYEBANDO'!M26,'30.07 NSOOBA-KYEBANDO'!M26,'31.08 NSOOBA-KYEBANDO'!M26,'02.08 NSOOBA-KYEBANDO'!M26,'01.08 NSOOBA-KYEBANDO-24h'!M26,'03.80 NSOOBA-KYEBANDO-24h'!M26,'4.08. Kyebando-Nsooba'!M26)</f>
        <v>63.714285714285715</v>
      </c>
      <c r="N26" s="49">
        <f>AVERAGE('29.07 NSOOBA-KYEBANDO'!N26,'30.07 NSOOBA-KYEBANDO'!N26,'31.08 NSOOBA-KYEBANDO'!N26,'02.08 NSOOBA-KYEBANDO'!N26,'01.08 NSOOBA-KYEBANDO-24h'!N26,'03.80 NSOOBA-KYEBANDO-24h'!N26,'4.08. Kyebando-Nsooba'!N26)</f>
        <v>0</v>
      </c>
      <c r="O26" s="15">
        <f t="shared" si="0"/>
        <v>50.285714285714285</v>
      </c>
      <c r="P26" s="15">
        <f t="shared" si="1"/>
        <v>114</v>
      </c>
      <c r="R26" s="1" t="s">
        <v>150</v>
      </c>
      <c r="S26" s="34">
        <f>SUM(C74:C77)</f>
        <v>62</v>
      </c>
      <c r="T26" s="34">
        <f t="shared" ref="T26:AF26" si="18">SUM(D74:D77)</f>
        <v>6</v>
      </c>
      <c r="U26" s="34">
        <f t="shared" si="18"/>
        <v>8.5</v>
      </c>
      <c r="V26" s="34">
        <f t="shared" si="18"/>
        <v>8.5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107</v>
      </c>
      <c r="AD26" s="34">
        <f t="shared" si="18"/>
        <v>0</v>
      </c>
      <c r="AE26" s="31">
        <f t="shared" si="18"/>
        <v>88</v>
      </c>
      <c r="AF26" s="31">
        <f t="shared" si="18"/>
        <v>195</v>
      </c>
    </row>
    <row r="27" spans="2:32" ht="23.1" customHeight="1" x14ac:dyDescent="0.25">
      <c r="B27" s="23" t="s">
        <v>54</v>
      </c>
      <c r="C27" s="49">
        <f>AVERAGE('29.07 NSOOBA-KYEBANDO'!C27,'30.07 NSOOBA-KYEBANDO'!C27,'31.08 NSOOBA-KYEBANDO'!C27,'02.08 NSOOBA-KYEBANDO'!C27,'01.08 NSOOBA-KYEBANDO-24h'!C27,'03.80 NSOOBA-KYEBANDO-24h'!C27,'4.08. Kyebando-Nsooba'!C27)</f>
        <v>22.714285714285715</v>
      </c>
      <c r="D27" s="49">
        <f>AVERAGE('29.07 NSOOBA-KYEBANDO'!D27,'30.07 NSOOBA-KYEBANDO'!D27,'31.08 NSOOBA-KYEBANDO'!D27,'02.08 NSOOBA-KYEBANDO'!D27,'01.08 NSOOBA-KYEBANDO-24h'!D27,'03.80 NSOOBA-KYEBANDO-24h'!D27,'4.08. Kyebando-Nsooba'!D27)</f>
        <v>5.4285714285714288</v>
      </c>
      <c r="E27" s="49">
        <f>AVERAGE('29.07 NSOOBA-KYEBANDO'!E27,'30.07 NSOOBA-KYEBANDO'!E27,'31.08 NSOOBA-KYEBANDO'!E27,'02.08 NSOOBA-KYEBANDO'!E27,'01.08 NSOOBA-KYEBANDO-24h'!E27,'03.80 NSOOBA-KYEBANDO-24h'!E27,'4.08. Kyebando-Nsooba'!E27)</f>
        <v>2.8571428571428572</v>
      </c>
      <c r="F27" s="49">
        <f>AVERAGE('29.07 NSOOBA-KYEBANDO'!F27,'30.07 NSOOBA-KYEBANDO'!F27,'31.08 NSOOBA-KYEBANDO'!F27,'02.08 NSOOBA-KYEBANDO'!F27,'01.08 NSOOBA-KYEBANDO-24h'!F27,'03.80 NSOOBA-KYEBANDO-24h'!F27,'4.08. Kyebando-Nsooba'!F27)</f>
        <v>8</v>
      </c>
      <c r="G27" s="49">
        <f>AVERAGE('29.07 NSOOBA-KYEBANDO'!G27,'30.07 NSOOBA-KYEBANDO'!G27,'31.08 NSOOBA-KYEBANDO'!G27,'02.08 NSOOBA-KYEBANDO'!G27,'01.08 NSOOBA-KYEBANDO-24h'!G27,'03.80 NSOOBA-KYEBANDO-24h'!G27,'4.08. Kyebando-Nsooba'!G27)</f>
        <v>0</v>
      </c>
      <c r="H27" s="49">
        <f>AVERAGE('29.07 NSOOBA-KYEBANDO'!H27,'30.07 NSOOBA-KYEBANDO'!H27,'31.08 NSOOBA-KYEBANDO'!H27,'02.08 NSOOBA-KYEBANDO'!H27,'01.08 NSOOBA-KYEBANDO-24h'!H27,'03.80 NSOOBA-KYEBANDO-24h'!H27,'4.08. Kyebando-Nsooba'!H27)</f>
        <v>0.14285714285714285</v>
      </c>
      <c r="I27" s="49">
        <f>AVERAGE('29.07 NSOOBA-KYEBANDO'!I27,'30.07 NSOOBA-KYEBANDO'!I27,'31.08 NSOOBA-KYEBANDO'!I27,'02.08 NSOOBA-KYEBANDO'!I27,'01.08 NSOOBA-KYEBANDO-24h'!I27,'03.80 NSOOBA-KYEBANDO-24h'!I27,'4.08. Kyebando-Nsooba'!I27)</f>
        <v>4.1428571428571432</v>
      </c>
      <c r="J27" s="49">
        <f>AVERAGE('29.07 NSOOBA-KYEBANDO'!J27,'30.07 NSOOBA-KYEBANDO'!J27,'31.08 NSOOBA-KYEBANDO'!J27,'02.08 NSOOBA-KYEBANDO'!J27,'01.08 NSOOBA-KYEBANDO-24h'!J27,'03.80 NSOOBA-KYEBANDO-24h'!J27,'4.08. Kyebando-Nsooba'!J27)</f>
        <v>0.2857142857142857</v>
      </c>
      <c r="K27" s="49">
        <f>AVERAGE('29.07 NSOOBA-KYEBANDO'!K27,'30.07 NSOOBA-KYEBANDO'!K27,'31.08 NSOOBA-KYEBANDO'!K27,'02.08 NSOOBA-KYEBANDO'!K27,'01.08 NSOOBA-KYEBANDO-24h'!K27,'03.80 NSOOBA-KYEBANDO-24h'!K27,'4.08. Kyebando-Nsooba'!K27)</f>
        <v>0.14285714285714285</v>
      </c>
      <c r="L27" s="49">
        <f>AVERAGE('29.07 NSOOBA-KYEBANDO'!L27,'30.07 NSOOBA-KYEBANDO'!L27,'31.08 NSOOBA-KYEBANDO'!L27,'02.08 NSOOBA-KYEBANDO'!L27,'01.08 NSOOBA-KYEBANDO-24h'!L27,'03.80 NSOOBA-KYEBANDO-24h'!L27,'4.08. Kyebando-Nsooba'!L27)</f>
        <v>0</v>
      </c>
      <c r="M27" s="49">
        <f>AVERAGE('29.07 NSOOBA-KYEBANDO'!M27,'30.07 NSOOBA-KYEBANDO'!M27,'31.08 NSOOBA-KYEBANDO'!M27,'02.08 NSOOBA-KYEBANDO'!M27,'01.08 NSOOBA-KYEBANDO-24h'!M27,'03.80 NSOOBA-KYEBANDO-24h'!M27,'4.08. Kyebando-Nsooba'!M27)</f>
        <v>48.857142857142854</v>
      </c>
      <c r="N27" s="49">
        <f>AVERAGE('29.07 NSOOBA-KYEBANDO'!N27,'30.07 NSOOBA-KYEBANDO'!N27,'31.08 NSOOBA-KYEBANDO'!N27,'02.08 NSOOBA-KYEBANDO'!N27,'01.08 NSOOBA-KYEBANDO-24h'!N27,'03.80 NSOOBA-KYEBANDO-24h'!N27,'4.08. Kyebando-Nsooba'!N27)</f>
        <v>0</v>
      </c>
      <c r="O27" s="15">
        <f t="shared" si="0"/>
        <v>43.714285714285722</v>
      </c>
      <c r="P27" s="15">
        <f t="shared" si="1"/>
        <v>92.571428571428584</v>
      </c>
      <c r="R27" s="1" t="s">
        <v>151</v>
      </c>
      <c r="S27" s="34">
        <f>SUM(C78:C81)</f>
        <v>42</v>
      </c>
      <c r="T27" s="34">
        <f t="shared" ref="T27:AF27" si="19">SUM(D78:D81)</f>
        <v>1.5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61.5</v>
      </c>
      <c r="AD27" s="34">
        <f t="shared" si="19"/>
        <v>0</v>
      </c>
      <c r="AE27" s="31">
        <f t="shared" si="19"/>
        <v>46.5</v>
      </c>
      <c r="AF27" s="31">
        <f t="shared" si="19"/>
        <v>108</v>
      </c>
    </row>
    <row r="28" spans="2:32" ht="23.1" customHeight="1" x14ac:dyDescent="0.25">
      <c r="B28" s="23" t="s">
        <v>55</v>
      </c>
      <c r="C28" s="49">
        <f>AVERAGE('29.07 NSOOBA-KYEBANDO'!C28,'30.07 NSOOBA-KYEBANDO'!C28,'31.08 NSOOBA-KYEBANDO'!C28,'02.08 NSOOBA-KYEBANDO'!C28,'01.08 NSOOBA-KYEBANDO-24h'!C28,'03.80 NSOOBA-KYEBANDO-24h'!C28,'4.08. Kyebando-Nsooba'!C28)</f>
        <v>23.714285714285715</v>
      </c>
      <c r="D28" s="49">
        <f>AVERAGE('29.07 NSOOBA-KYEBANDO'!D28,'30.07 NSOOBA-KYEBANDO'!D28,'31.08 NSOOBA-KYEBANDO'!D28,'02.08 NSOOBA-KYEBANDO'!D28,'01.08 NSOOBA-KYEBANDO-24h'!D28,'03.80 NSOOBA-KYEBANDO-24h'!D28,'4.08. Kyebando-Nsooba'!D28)</f>
        <v>5.5714285714285712</v>
      </c>
      <c r="E28" s="49">
        <f>AVERAGE('29.07 NSOOBA-KYEBANDO'!E28,'30.07 NSOOBA-KYEBANDO'!E28,'31.08 NSOOBA-KYEBANDO'!E28,'02.08 NSOOBA-KYEBANDO'!E28,'01.08 NSOOBA-KYEBANDO-24h'!E28,'03.80 NSOOBA-KYEBANDO-24h'!E28,'4.08. Kyebando-Nsooba'!E28)</f>
        <v>2.2857142857142856</v>
      </c>
      <c r="F28" s="49">
        <f>AVERAGE('29.07 NSOOBA-KYEBANDO'!F28,'30.07 NSOOBA-KYEBANDO'!F28,'31.08 NSOOBA-KYEBANDO'!F28,'02.08 NSOOBA-KYEBANDO'!F28,'01.08 NSOOBA-KYEBANDO-24h'!F28,'03.80 NSOOBA-KYEBANDO-24h'!F28,'4.08. Kyebando-Nsooba'!F28)</f>
        <v>7.7142857142857144</v>
      </c>
      <c r="G28" s="49">
        <f>AVERAGE('29.07 NSOOBA-KYEBANDO'!G28,'30.07 NSOOBA-KYEBANDO'!G28,'31.08 NSOOBA-KYEBANDO'!G28,'02.08 NSOOBA-KYEBANDO'!G28,'01.08 NSOOBA-KYEBANDO-24h'!G28,'03.80 NSOOBA-KYEBANDO-24h'!G28,'4.08. Kyebando-Nsooba'!G28)</f>
        <v>0.5714285714285714</v>
      </c>
      <c r="H28" s="49">
        <f>AVERAGE('29.07 NSOOBA-KYEBANDO'!H28,'30.07 NSOOBA-KYEBANDO'!H28,'31.08 NSOOBA-KYEBANDO'!H28,'02.08 NSOOBA-KYEBANDO'!H28,'01.08 NSOOBA-KYEBANDO-24h'!H28,'03.80 NSOOBA-KYEBANDO-24h'!H28,'4.08. Kyebando-Nsooba'!H28)</f>
        <v>0</v>
      </c>
      <c r="I28" s="49">
        <f>AVERAGE('29.07 NSOOBA-KYEBANDO'!I28,'30.07 NSOOBA-KYEBANDO'!I28,'31.08 NSOOBA-KYEBANDO'!I28,'02.08 NSOOBA-KYEBANDO'!I28,'01.08 NSOOBA-KYEBANDO-24h'!I28,'03.80 NSOOBA-KYEBANDO-24h'!I28,'4.08. Kyebando-Nsooba'!I28)</f>
        <v>2.7142857142857144</v>
      </c>
      <c r="J28" s="49">
        <f>AVERAGE('29.07 NSOOBA-KYEBANDO'!J28,'30.07 NSOOBA-KYEBANDO'!J28,'31.08 NSOOBA-KYEBANDO'!J28,'02.08 NSOOBA-KYEBANDO'!J28,'01.08 NSOOBA-KYEBANDO-24h'!J28,'03.80 NSOOBA-KYEBANDO-24h'!J28,'4.08. Kyebando-Nsooba'!J28)</f>
        <v>0</v>
      </c>
      <c r="K28" s="49">
        <f>AVERAGE('29.07 NSOOBA-KYEBANDO'!K28,'30.07 NSOOBA-KYEBANDO'!K28,'31.08 NSOOBA-KYEBANDO'!K28,'02.08 NSOOBA-KYEBANDO'!K28,'01.08 NSOOBA-KYEBANDO-24h'!K28,'03.80 NSOOBA-KYEBANDO-24h'!K28,'4.08. Kyebando-Nsooba'!K28)</f>
        <v>0.42857142857142855</v>
      </c>
      <c r="L28" s="49">
        <f>AVERAGE('29.07 NSOOBA-KYEBANDO'!L28,'30.07 NSOOBA-KYEBANDO'!L28,'31.08 NSOOBA-KYEBANDO'!L28,'02.08 NSOOBA-KYEBANDO'!L28,'01.08 NSOOBA-KYEBANDO-24h'!L28,'03.80 NSOOBA-KYEBANDO-24h'!L28,'4.08. Kyebando-Nsooba'!L28)</f>
        <v>0</v>
      </c>
      <c r="M28" s="49">
        <f>AVERAGE('29.07 NSOOBA-KYEBANDO'!M28,'30.07 NSOOBA-KYEBANDO'!M28,'31.08 NSOOBA-KYEBANDO'!M28,'02.08 NSOOBA-KYEBANDO'!M28,'01.08 NSOOBA-KYEBANDO-24h'!M28,'03.80 NSOOBA-KYEBANDO-24h'!M28,'4.08. Kyebando-Nsooba'!M28)</f>
        <v>54.714285714285715</v>
      </c>
      <c r="N28" s="49">
        <f>AVERAGE('29.07 NSOOBA-KYEBANDO'!N28,'30.07 NSOOBA-KYEBANDO'!N28,'31.08 NSOOBA-KYEBANDO'!N28,'02.08 NSOOBA-KYEBANDO'!N28,'01.08 NSOOBA-KYEBANDO-24h'!N28,'03.80 NSOOBA-KYEBANDO-24h'!N28,'4.08. Kyebando-Nsooba'!N28)</f>
        <v>0</v>
      </c>
      <c r="O28" s="15">
        <f t="shared" si="0"/>
        <v>43</v>
      </c>
      <c r="P28" s="15">
        <f t="shared" si="1"/>
        <v>97.714285714285722</v>
      </c>
      <c r="R28" s="1" t="s">
        <v>152</v>
      </c>
      <c r="S28" s="34">
        <f>SUM(C82:C85)</f>
        <v>28.5</v>
      </c>
      <c r="T28" s="34">
        <f t="shared" ref="T28:AF28" si="20">SUM(D82:D85)</f>
        <v>3.5</v>
      </c>
      <c r="U28" s="34">
        <f t="shared" si="20"/>
        <v>1.5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33</v>
      </c>
      <c r="AD28" s="34">
        <f t="shared" si="20"/>
        <v>0</v>
      </c>
      <c r="AE28" s="31">
        <f t="shared" si="20"/>
        <v>35.5</v>
      </c>
      <c r="AF28" s="31">
        <f t="shared" si="20"/>
        <v>68.5</v>
      </c>
    </row>
    <row r="29" spans="2:32" ht="23.1" customHeight="1" x14ac:dyDescent="0.25">
      <c r="B29" s="23" t="s">
        <v>56</v>
      </c>
      <c r="C29" s="49">
        <f>AVERAGE('29.07 NSOOBA-KYEBANDO'!C29,'30.07 NSOOBA-KYEBANDO'!C29,'31.08 NSOOBA-KYEBANDO'!C29,'02.08 NSOOBA-KYEBANDO'!C29,'01.08 NSOOBA-KYEBANDO-24h'!C29,'03.80 NSOOBA-KYEBANDO-24h'!C29,'4.08. Kyebando-Nsooba'!C29)</f>
        <v>28.857142857142858</v>
      </c>
      <c r="D29" s="49">
        <f>AVERAGE('29.07 NSOOBA-KYEBANDO'!D29,'30.07 NSOOBA-KYEBANDO'!D29,'31.08 NSOOBA-KYEBANDO'!D29,'02.08 NSOOBA-KYEBANDO'!D29,'01.08 NSOOBA-KYEBANDO-24h'!D29,'03.80 NSOOBA-KYEBANDO-24h'!D29,'4.08. Kyebando-Nsooba'!D29)</f>
        <v>7.2857142857142856</v>
      </c>
      <c r="E29" s="49">
        <f>AVERAGE('29.07 NSOOBA-KYEBANDO'!E29,'30.07 NSOOBA-KYEBANDO'!E29,'31.08 NSOOBA-KYEBANDO'!E29,'02.08 NSOOBA-KYEBANDO'!E29,'01.08 NSOOBA-KYEBANDO-24h'!E29,'03.80 NSOOBA-KYEBANDO-24h'!E29,'4.08. Kyebando-Nsooba'!E29)</f>
        <v>4.5714285714285712</v>
      </c>
      <c r="F29" s="49">
        <f>AVERAGE('29.07 NSOOBA-KYEBANDO'!F29,'30.07 NSOOBA-KYEBANDO'!F29,'31.08 NSOOBA-KYEBANDO'!F29,'02.08 NSOOBA-KYEBANDO'!F29,'01.08 NSOOBA-KYEBANDO-24h'!F29,'03.80 NSOOBA-KYEBANDO-24h'!F29,'4.08. Kyebando-Nsooba'!F29)</f>
        <v>6.5714285714285712</v>
      </c>
      <c r="G29" s="49">
        <f>AVERAGE('29.07 NSOOBA-KYEBANDO'!G29,'30.07 NSOOBA-KYEBANDO'!G29,'31.08 NSOOBA-KYEBANDO'!G29,'02.08 NSOOBA-KYEBANDO'!G29,'01.08 NSOOBA-KYEBANDO-24h'!G29,'03.80 NSOOBA-KYEBANDO-24h'!G29,'4.08. Kyebando-Nsooba'!G29)</f>
        <v>0.2857142857142857</v>
      </c>
      <c r="H29" s="49">
        <f>AVERAGE('29.07 NSOOBA-KYEBANDO'!H29,'30.07 NSOOBA-KYEBANDO'!H29,'31.08 NSOOBA-KYEBANDO'!H29,'02.08 NSOOBA-KYEBANDO'!H29,'01.08 NSOOBA-KYEBANDO-24h'!H29,'03.80 NSOOBA-KYEBANDO-24h'!H29,'4.08. Kyebando-Nsooba'!H29)</f>
        <v>0</v>
      </c>
      <c r="I29" s="49">
        <f>AVERAGE('29.07 NSOOBA-KYEBANDO'!I29,'30.07 NSOOBA-KYEBANDO'!I29,'31.08 NSOOBA-KYEBANDO'!I29,'02.08 NSOOBA-KYEBANDO'!I29,'01.08 NSOOBA-KYEBANDO-24h'!I29,'03.80 NSOOBA-KYEBANDO-24h'!I29,'4.08. Kyebando-Nsooba'!I29)</f>
        <v>3.7142857142857144</v>
      </c>
      <c r="J29" s="49">
        <f>AVERAGE('29.07 NSOOBA-KYEBANDO'!J29,'30.07 NSOOBA-KYEBANDO'!J29,'31.08 NSOOBA-KYEBANDO'!J29,'02.08 NSOOBA-KYEBANDO'!J29,'01.08 NSOOBA-KYEBANDO-24h'!J29,'03.80 NSOOBA-KYEBANDO-24h'!J29,'4.08. Kyebando-Nsooba'!J29)</f>
        <v>0.42857142857142855</v>
      </c>
      <c r="K29" s="49">
        <f>AVERAGE('29.07 NSOOBA-KYEBANDO'!K29,'30.07 NSOOBA-KYEBANDO'!K29,'31.08 NSOOBA-KYEBANDO'!K29,'02.08 NSOOBA-KYEBANDO'!K29,'01.08 NSOOBA-KYEBANDO-24h'!K29,'03.80 NSOOBA-KYEBANDO-24h'!K29,'4.08. Kyebando-Nsooba'!K29)</f>
        <v>0.14285714285714285</v>
      </c>
      <c r="L29" s="49">
        <f>AVERAGE('29.07 NSOOBA-KYEBANDO'!L29,'30.07 NSOOBA-KYEBANDO'!L29,'31.08 NSOOBA-KYEBANDO'!L29,'02.08 NSOOBA-KYEBANDO'!L29,'01.08 NSOOBA-KYEBANDO-24h'!L29,'03.80 NSOOBA-KYEBANDO-24h'!L29,'4.08. Kyebando-Nsooba'!L29)</f>
        <v>0</v>
      </c>
      <c r="M29" s="49">
        <f>AVERAGE('29.07 NSOOBA-KYEBANDO'!M29,'30.07 NSOOBA-KYEBANDO'!M29,'31.08 NSOOBA-KYEBANDO'!M29,'02.08 NSOOBA-KYEBANDO'!M29,'01.08 NSOOBA-KYEBANDO-24h'!M29,'03.80 NSOOBA-KYEBANDO-24h'!M29,'4.08. Kyebando-Nsooba'!M29)</f>
        <v>45.857142857142854</v>
      </c>
      <c r="N29" s="49">
        <f>AVERAGE('29.07 NSOOBA-KYEBANDO'!N29,'30.07 NSOOBA-KYEBANDO'!N29,'31.08 NSOOBA-KYEBANDO'!N29,'02.08 NSOOBA-KYEBANDO'!N29,'01.08 NSOOBA-KYEBANDO-24h'!N29,'03.80 NSOOBA-KYEBANDO-24h'!N29,'4.08. Kyebando-Nsooba'!N29)</f>
        <v>0</v>
      </c>
      <c r="O29" s="15">
        <f t="shared" si="0"/>
        <v>51.857142857142861</v>
      </c>
      <c r="P29" s="15">
        <f t="shared" si="1"/>
        <v>97.714285714285722</v>
      </c>
      <c r="R29" s="1" t="s">
        <v>153</v>
      </c>
      <c r="S29" s="34">
        <f>SUM(C86:C89)</f>
        <v>18</v>
      </c>
      <c r="T29" s="34">
        <f t="shared" ref="T29:AF29" si="21">SUM(D86:D89)</f>
        <v>1.5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0.5</v>
      </c>
      <c r="AB29" s="34">
        <f t="shared" si="21"/>
        <v>0</v>
      </c>
      <c r="AC29" s="34">
        <f t="shared" si="21"/>
        <v>22</v>
      </c>
      <c r="AD29" s="34">
        <f t="shared" si="21"/>
        <v>0</v>
      </c>
      <c r="AE29" s="31">
        <f t="shared" si="21"/>
        <v>22</v>
      </c>
      <c r="AF29" s="31">
        <f t="shared" si="21"/>
        <v>44</v>
      </c>
    </row>
    <row r="30" spans="2:32" ht="23.1" customHeight="1" x14ac:dyDescent="0.25">
      <c r="B30" s="23" t="s">
        <v>57</v>
      </c>
      <c r="C30" s="49">
        <f>AVERAGE('29.07 NSOOBA-KYEBANDO'!C30,'30.07 NSOOBA-KYEBANDO'!C30,'31.08 NSOOBA-KYEBANDO'!C30,'02.08 NSOOBA-KYEBANDO'!C30,'01.08 NSOOBA-KYEBANDO-24h'!C30,'03.80 NSOOBA-KYEBANDO-24h'!C30,'4.08. Kyebando-Nsooba'!C30)</f>
        <v>23</v>
      </c>
      <c r="D30" s="49">
        <f>AVERAGE('29.07 NSOOBA-KYEBANDO'!D30,'30.07 NSOOBA-KYEBANDO'!D30,'31.08 NSOOBA-KYEBANDO'!D30,'02.08 NSOOBA-KYEBANDO'!D30,'01.08 NSOOBA-KYEBANDO-24h'!D30,'03.80 NSOOBA-KYEBANDO-24h'!D30,'4.08. Kyebando-Nsooba'!D30)</f>
        <v>5.1428571428571432</v>
      </c>
      <c r="E30" s="49">
        <f>AVERAGE('29.07 NSOOBA-KYEBANDO'!E30,'30.07 NSOOBA-KYEBANDO'!E30,'31.08 NSOOBA-KYEBANDO'!E30,'02.08 NSOOBA-KYEBANDO'!E30,'01.08 NSOOBA-KYEBANDO-24h'!E30,'03.80 NSOOBA-KYEBANDO-24h'!E30,'4.08. Kyebando-Nsooba'!E30)</f>
        <v>3.1428571428571428</v>
      </c>
      <c r="F30" s="49">
        <f>AVERAGE('29.07 NSOOBA-KYEBANDO'!F30,'30.07 NSOOBA-KYEBANDO'!F30,'31.08 NSOOBA-KYEBANDO'!F30,'02.08 NSOOBA-KYEBANDO'!F30,'01.08 NSOOBA-KYEBANDO-24h'!F30,'03.80 NSOOBA-KYEBANDO-24h'!F30,'4.08. Kyebando-Nsooba'!F30)</f>
        <v>10.285714285714286</v>
      </c>
      <c r="G30" s="49">
        <f>AVERAGE('29.07 NSOOBA-KYEBANDO'!G30,'30.07 NSOOBA-KYEBANDO'!G30,'31.08 NSOOBA-KYEBANDO'!G30,'02.08 NSOOBA-KYEBANDO'!G30,'01.08 NSOOBA-KYEBANDO-24h'!G30,'03.80 NSOOBA-KYEBANDO-24h'!G30,'4.08. Kyebando-Nsooba'!G30)</f>
        <v>0.14285714285714285</v>
      </c>
      <c r="H30" s="49">
        <f>AVERAGE('29.07 NSOOBA-KYEBANDO'!H30,'30.07 NSOOBA-KYEBANDO'!H30,'31.08 NSOOBA-KYEBANDO'!H30,'02.08 NSOOBA-KYEBANDO'!H30,'01.08 NSOOBA-KYEBANDO-24h'!H30,'03.80 NSOOBA-KYEBANDO-24h'!H30,'4.08. Kyebando-Nsooba'!H30)</f>
        <v>0</v>
      </c>
      <c r="I30" s="49">
        <f>AVERAGE('29.07 NSOOBA-KYEBANDO'!I30,'30.07 NSOOBA-KYEBANDO'!I30,'31.08 NSOOBA-KYEBANDO'!I30,'02.08 NSOOBA-KYEBANDO'!I30,'01.08 NSOOBA-KYEBANDO-24h'!I30,'03.80 NSOOBA-KYEBANDO-24h'!I30,'4.08. Kyebando-Nsooba'!I30)</f>
        <v>3.4285714285714284</v>
      </c>
      <c r="J30" s="49">
        <f>AVERAGE('29.07 NSOOBA-KYEBANDO'!J30,'30.07 NSOOBA-KYEBANDO'!J30,'31.08 NSOOBA-KYEBANDO'!J30,'02.08 NSOOBA-KYEBANDO'!J30,'01.08 NSOOBA-KYEBANDO-24h'!J30,'03.80 NSOOBA-KYEBANDO-24h'!J30,'4.08. Kyebando-Nsooba'!J30)</f>
        <v>0.8571428571428571</v>
      </c>
      <c r="K30" s="49">
        <f>AVERAGE('29.07 NSOOBA-KYEBANDO'!K30,'30.07 NSOOBA-KYEBANDO'!K30,'31.08 NSOOBA-KYEBANDO'!K30,'02.08 NSOOBA-KYEBANDO'!K30,'01.08 NSOOBA-KYEBANDO-24h'!K30,'03.80 NSOOBA-KYEBANDO-24h'!K30,'4.08. Kyebando-Nsooba'!K30)</f>
        <v>0.42857142857142855</v>
      </c>
      <c r="L30" s="49">
        <f>AVERAGE('29.07 NSOOBA-KYEBANDO'!L30,'30.07 NSOOBA-KYEBANDO'!L30,'31.08 NSOOBA-KYEBANDO'!L30,'02.08 NSOOBA-KYEBANDO'!L30,'01.08 NSOOBA-KYEBANDO-24h'!L30,'03.80 NSOOBA-KYEBANDO-24h'!L30,'4.08. Kyebando-Nsooba'!L30)</f>
        <v>0</v>
      </c>
      <c r="M30" s="49">
        <f>AVERAGE('29.07 NSOOBA-KYEBANDO'!M30,'30.07 NSOOBA-KYEBANDO'!M30,'31.08 NSOOBA-KYEBANDO'!M30,'02.08 NSOOBA-KYEBANDO'!M30,'01.08 NSOOBA-KYEBANDO-24h'!M30,'03.80 NSOOBA-KYEBANDO-24h'!M30,'4.08. Kyebando-Nsooba'!M30)</f>
        <v>48.285714285714285</v>
      </c>
      <c r="N30" s="49">
        <f>AVERAGE('29.07 NSOOBA-KYEBANDO'!N30,'30.07 NSOOBA-KYEBANDO'!N30,'31.08 NSOOBA-KYEBANDO'!N30,'02.08 NSOOBA-KYEBANDO'!N30,'01.08 NSOOBA-KYEBANDO-24h'!N30,'03.80 NSOOBA-KYEBANDO-24h'!N30,'4.08. Kyebando-Nsooba'!N30)</f>
        <v>0.42857142857142855</v>
      </c>
      <c r="O30" s="15">
        <f t="shared" si="0"/>
        <v>46.857142857142861</v>
      </c>
      <c r="P30" s="15">
        <f t="shared" si="1"/>
        <v>95.142857142857153</v>
      </c>
      <c r="R30" s="1" t="s">
        <v>154</v>
      </c>
      <c r="S30" s="34">
        <f>SUM(C90:C93)</f>
        <v>13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24</v>
      </c>
      <c r="AD30" s="34">
        <f t="shared" si="22"/>
        <v>0</v>
      </c>
      <c r="AE30" s="31">
        <f t="shared" si="22"/>
        <v>15.5</v>
      </c>
      <c r="AF30" s="31">
        <f t="shared" si="22"/>
        <v>39.5</v>
      </c>
    </row>
    <row r="31" spans="2:32" ht="23.1" customHeight="1" x14ac:dyDescent="0.25">
      <c r="B31" s="24" t="s">
        <v>58</v>
      </c>
      <c r="C31" s="49">
        <f>AVERAGE('29.07 NSOOBA-KYEBANDO'!C31,'30.07 NSOOBA-KYEBANDO'!C31,'31.08 NSOOBA-KYEBANDO'!C31,'02.08 NSOOBA-KYEBANDO'!C31,'01.08 NSOOBA-KYEBANDO-24h'!C31,'03.80 NSOOBA-KYEBANDO-24h'!C31,'4.08. Kyebando-Nsooba'!C31)</f>
        <v>20.285714285714285</v>
      </c>
      <c r="D31" s="49">
        <f>AVERAGE('29.07 NSOOBA-KYEBANDO'!D31,'30.07 NSOOBA-KYEBANDO'!D31,'31.08 NSOOBA-KYEBANDO'!D31,'02.08 NSOOBA-KYEBANDO'!D31,'01.08 NSOOBA-KYEBANDO-24h'!D31,'03.80 NSOOBA-KYEBANDO-24h'!D31,'4.08. Kyebando-Nsooba'!D31)</f>
        <v>6.4285714285714288</v>
      </c>
      <c r="E31" s="49">
        <f>AVERAGE('29.07 NSOOBA-KYEBANDO'!E31,'30.07 NSOOBA-KYEBANDO'!E31,'31.08 NSOOBA-KYEBANDO'!E31,'02.08 NSOOBA-KYEBANDO'!E31,'01.08 NSOOBA-KYEBANDO-24h'!E31,'03.80 NSOOBA-KYEBANDO-24h'!E31,'4.08. Kyebando-Nsooba'!E31)</f>
        <v>1.8571428571428572</v>
      </c>
      <c r="F31" s="49">
        <f>AVERAGE('29.07 NSOOBA-KYEBANDO'!F31,'30.07 NSOOBA-KYEBANDO'!F31,'31.08 NSOOBA-KYEBANDO'!F31,'02.08 NSOOBA-KYEBANDO'!F31,'01.08 NSOOBA-KYEBANDO-24h'!F31,'03.80 NSOOBA-KYEBANDO-24h'!F31,'4.08. Kyebando-Nsooba'!F31)</f>
        <v>7.2857142857142856</v>
      </c>
      <c r="G31" s="49">
        <f>AVERAGE('29.07 NSOOBA-KYEBANDO'!G31,'30.07 NSOOBA-KYEBANDO'!G31,'31.08 NSOOBA-KYEBANDO'!G31,'02.08 NSOOBA-KYEBANDO'!G31,'01.08 NSOOBA-KYEBANDO-24h'!G31,'03.80 NSOOBA-KYEBANDO-24h'!G31,'4.08. Kyebando-Nsooba'!G31)</f>
        <v>0</v>
      </c>
      <c r="H31" s="49">
        <f>AVERAGE('29.07 NSOOBA-KYEBANDO'!H31,'30.07 NSOOBA-KYEBANDO'!H31,'31.08 NSOOBA-KYEBANDO'!H31,'02.08 NSOOBA-KYEBANDO'!H31,'01.08 NSOOBA-KYEBANDO-24h'!H31,'03.80 NSOOBA-KYEBANDO-24h'!H31,'4.08. Kyebando-Nsooba'!H31)</f>
        <v>0</v>
      </c>
      <c r="I31" s="49">
        <f>AVERAGE('29.07 NSOOBA-KYEBANDO'!I31,'30.07 NSOOBA-KYEBANDO'!I31,'31.08 NSOOBA-KYEBANDO'!I31,'02.08 NSOOBA-KYEBANDO'!I31,'01.08 NSOOBA-KYEBANDO-24h'!I31,'03.80 NSOOBA-KYEBANDO-24h'!I31,'4.08. Kyebando-Nsooba'!I31)</f>
        <v>3.4285714285714284</v>
      </c>
      <c r="J31" s="49">
        <f>AVERAGE('29.07 NSOOBA-KYEBANDO'!J31,'30.07 NSOOBA-KYEBANDO'!J31,'31.08 NSOOBA-KYEBANDO'!J31,'02.08 NSOOBA-KYEBANDO'!J31,'01.08 NSOOBA-KYEBANDO-24h'!J31,'03.80 NSOOBA-KYEBANDO-24h'!J31,'4.08. Kyebando-Nsooba'!J31)</f>
        <v>0.42857142857142855</v>
      </c>
      <c r="K31" s="49">
        <f>AVERAGE('29.07 NSOOBA-KYEBANDO'!K31,'30.07 NSOOBA-KYEBANDO'!K31,'31.08 NSOOBA-KYEBANDO'!K31,'02.08 NSOOBA-KYEBANDO'!K31,'01.08 NSOOBA-KYEBANDO-24h'!K31,'03.80 NSOOBA-KYEBANDO-24h'!K31,'4.08. Kyebando-Nsooba'!K31)</f>
        <v>0.42857142857142855</v>
      </c>
      <c r="L31" s="49">
        <f>AVERAGE('29.07 NSOOBA-KYEBANDO'!L31,'30.07 NSOOBA-KYEBANDO'!L31,'31.08 NSOOBA-KYEBANDO'!L31,'02.08 NSOOBA-KYEBANDO'!L31,'01.08 NSOOBA-KYEBANDO-24h'!L31,'03.80 NSOOBA-KYEBANDO-24h'!L31,'4.08. Kyebando-Nsooba'!L31)</f>
        <v>0</v>
      </c>
      <c r="M31" s="49">
        <f>AVERAGE('29.07 NSOOBA-KYEBANDO'!M31,'30.07 NSOOBA-KYEBANDO'!M31,'31.08 NSOOBA-KYEBANDO'!M31,'02.08 NSOOBA-KYEBANDO'!M31,'01.08 NSOOBA-KYEBANDO-24h'!M31,'03.80 NSOOBA-KYEBANDO-24h'!M31,'4.08. Kyebando-Nsooba'!M31)</f>
        <v>45.142857142857146</v>
      </c>
      <c r="N31" s="49">
        <f>AVERAGE('29.07 NSOOBA-KYEBANDO'!N31,'30.07 NSOOBA-KYEBANDO'!N31,'31.08 NSOOBA-KYEBANDO'!N31,'02.08 NSOOBA-KYEBANDO'!N31,'01.08 NSOOBA-KYEBANDO-24h'!N31,'03.80 NSOOBA-KYEBANDO-24h'!N31,'4.08. Kyebando-Nsooba'!N31)</f>
        <v>0</v>
      </c>
      <c r="O31" s="15">
        <f t="shared" si="0"/>
        <v>40.142857142857153</v>
      </c>
      <c r="P31" s="15">
        <f t="shared" si="1"/>
        <v>85.285714285714306</v>
      </c>
      <c r="R31" s="1" t="s">
        <v>155</v>
      </c>
      <c r="S31" s="34">
        <f>SUM(C94:C97)</f>
        <v>8.5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1.5</v>
      </c>
      <c r="Z31" s="34">
        <f t="shared" si="23"/>
        <v>0.5</v>
      </c>
      <c r="AA31" s="34">
        <f t="shared" si="23"/>
        <v>0</v>
      </c>
      <c r="AB31" s="34">
        <f t="shared" si="23"/>
        <v>0.5</v>
      </c>
      <c r="AC31" s="34">
        <f t="shared" si="23"/>
        <v>17.5</v>
      </c>
      <c r="AD31" s="34">
        <f t="shared" si="23"/>
        <v>0</v>
      </c>
      <c r="AE31" s="31">
        <f t="shared" si="23"/>
        <v>11.5</v>
      </c>
      <c r="AF31" s="31">
        <f t="shared" si="23"/>
        <v>29</v>
      </c>
    </row>
    <row r="32" spans="2:32" ht="23.1" customHeight="1" x14ac:dyDescent="0.25">
      <c r="B32" s="24" t="s">
        <v>59</v>
      </c>
      <c r="C32" s="49">
        <f>AVERAGE('29.07 NSOOBA-KYEBANDO'!C32,'30.07 NSOOBA-KYEBANDO'!C32,'31.08 NSOOBA-KYEBANDO'!C32,'02.08 NSOOBA-KYEBANDO'!C32,'01.08 NSOOBA-KYEBANDO-24h'!C32,'03.80 NSOOBA-KYEBANDO-24h'!C32,'4.08. Kyebando-Nsooba'!C32)</f>
        <v>21.142857142857142</v>
      </c>
      <c r="D32" s="49">
        <f>AVERAGE('29.07 NSOOBA-KYEBANDO'!D32,'30.07 NSOOBA-KYEBANDO'!D32,'31.08 NSOOBA-KYEBANDO'!D32,'02.08 NSOOBA-KYEBANDO'!D32,'01.08 NSOOBA-KYEBANDO-24h'!D32,'03.80 NSOOBA-KYEBANDO-24h'!D32,'4.08. Kyebando-Nsooba'!D32)</f>
        <v>4.7142857142857144</v>
      </c>
      <c r="E32" s="49">
        <f>AVERAGE('29.07 NSOOBA-KYEBANDO'!E32,'30.07 NSOOBA-KYEBANDO'!E32,'31.08 NSOOBA-KYEBANDO'!E32,'02.08 NSOOBA-KYEBANDO'!E32,'01.08 NSOOBA-KYEBANDO-24h'!E32,'03.80 NSOOBA-KYEBANDO-24h'!E32,'4.08. Kyebando-Nsooba'!E32)</f>
        <v>3.2857142857142856</v>
      </c>
      <c r="F32" s="49">
        <f>AVERAGE('29.07 NSOOBA-KYEBANDO'!F32,'30.07 NSOOBA-KYEBANDO'!F32,'31.08 NSOOBA-KYEBANDO'!F32,'02.08 NSOOBA-KYEBANDO'!F32,'01.08 NSOOBA-KYEBANDO-24h'!F32,'03.80 NSOOBA-KYEBANDO-24h'!F32,'4.08. Kyebando-Nsooba'!F32)</f>
        <v>7.2857142857142856</v>
      </c>
      <c r="G32" s="49">
        <f>AVERAGE('29.07 NSOOBA-KYEBANDO'!G32,'30.07 NSOOBA-KYEBANDO'!G32,'31.08 NSOOBA-KYEBANDO'!G32,'02.08 NSOOBA-KYEBANDO'!G32,'01.08 NSOOBA-KYEBANDO-24h'!G32,'03.80 NSOOBA-KYEBANDO-24h'!G32,'4.08. Kyebando-Nsooba'!G32)</f>
        <v>0</v>
      </c>
      <c r="H32" s="49">
        <f>AVERAGE('29.07 NSOOBA-KYEBANDO'!H32,'30.07 NSOOBA-KYEBANDO'!H32,'31.08 NSOOBA-KYEBANDO'!H32,'02.08 NSOOBA-KYEBANDO'!H32,'01.08 NSOOBA-KYEBANDO-24h'!H32,'03.80 NSOOBA-KYEBANDO-24h'!H32,'4.08. Kyebando-Nsooba'!H32)</f>
        <v>0</v>
      </c>
      <c r="I32" s="49">
        <f>AVERAGE('29.07 NSOOBA-KYEBANDO'!I32,'30.07 NSOOBA-KYEBANDO'!I32,'31.08 NSOOBA-KYEBANDO'!I32,'02.08 NSOOBA-KYEBANDO'!I32,'01.08 NSOOBA-KYEBANDO-24h'!I32,'03.80 NSOOBA-KYEBANDO-24h'!I32,'4.08. Kyebando-Nsooba'!I32)</f>
        <v>3.8571428571428572</v>
      </c>
      <c r="J32" s="49">
        <f>AVERAGE('29.07 NSOOBA-KYEBANDO'!J32,'30.07 NSOOBA-KYEBANDO'!J32,'31.08 NSOOBA-KYEBANDO'!J32,'02.08 NSOOBA-KYEBANDO'!J32,'01.08 NSOOBA-KYEBANDO-24h'!J32,'03.80 NSOOBA-KYEBANDO-24h'!J32,'4.08. Kyebando-Nsooba'!J32)</f>
        <v>1</v>
      </c>
      <c r="K32" s="49">
        <f>AVERAGE('29.07 NSOOBA-KYEBANDO'!K32,'30.07 NSOOBA-KYEBANDO'!K32,'31.08 NSOOBA-KYEBANDO'!K32,'02.08 NSOOBA-KYEBANDO'!K32,'01.08 NSOOBA-KYEBANDO-24h'!K32,'03.80 NSOOBA-KYEBANDO-24h'!K32,'4.08. Kyebando-Nsooba'!K32)</f>
        <v>0.2857142857142857</v>
      </c>
      <c r="L32" s="49">
        <f>AVERAGE('29.07 NSOOBA-KYEBANDO'!L32,'30.07 NSOOBA-KYEBANDO'!L32,'31.08 NSOOBA-KYEBANDO'!L32,'02.08 NSOOBA-KYEBANDO'!L32,'01.08 NSOOBA-KYEBANDO-24h'!L32,'03.80 NSOOBA-KYEBANDO-24h'!L32,'4.08. Kyebando-Nsooba'!L32)</f>
        <v>0</v>
      </c>
      <c r="M32" s="49">
        <f>AVERAGE('29.07 NSOOBA-KYEBANDO'!M32,'30.07 NSOOBA-KYEBANDO'!M32,'31.08 NSOOBA-KYEBANDO'!M32,'02.08 NSOOBA-KYEBANDO'!M32,'01.08 NSOOBA-KYEBANDO-24h'!M32,'03.80 NSOOBA-KYEBANDO-24h'!M32,'4.08. Kyebando-Nsooba'!M32)</f>
        <v>43.142857142857146</v>
      </c>
      <c r="N32" s="49">
        <f>AVERAGE('29.07 NSOOBA-KYEBANDO'!N32,'30.07 NSOOBA-KYEBANDO'!N32,'31.08 NSOOBA-KYEBANDO'!N32,'02.08 NSOOBA-KYEBANDO'!N32,'01.08 NSOOBA-KYEBANDO-24h'!N32,'03.80 NSOOBA-KYEBANDO-24h'!N32,'4.08. Kyebando-Nsooba'!N32)</f>
        <v>0</v>
      </c>
      <c r="O32" s="15">
        <f t="shared" si="0"/>
        <v>41.571428571428569</v>
      </c>
      <c r="P32" s="15">
        <f t="shared" si="1"/>
        <v>84.714285714285722</v>
      </c>
      <c r="R32" s="1" t="s">
        <v>156</v>
      </c>
      <c r="S32" s="34">
        <f>SUM(C98:C101)</f>
        <v>16.5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12.5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0.5</v>
      </c>
      <c r="AC32" s="34">
        <f t="shared" si="24"/>
        <v>33</v>
      </c>
      <c r="AD32" s="34">
        <f t="shared" si="24"/>
        <v>0</v>
      </c>
      <c r="AE32" s="31">
        <f t="shared" si="24"/>
        <v>33.5</v>
      </c>
      <c r="AF32" s="31">
        <f t="shared" si="24"/>
        <v>66.5</v>
      </c>
    </row>
    <row r="33" spans="2:32" ht="23.1" customHeight="1" x14ac:dyDescent="0.25">
      <c r="B33" s="23" t="s">
        <v>60</v>
      </c>
      <c r="C33" s="49">
        <f>AVERAGE('29.07 NSOOBA-KYEBANDO'!C33,'30.07 NSOOBA-KYEBANDO'!C33,'31.08 NSOOBA-KYEBANDO'!C33,'02.08 NSOOBA-KYEBANDO'!C33,'01.08 NSOOBA-KYEBANDO-24h'!C33,'03.80 NSOOBA-KYEBANDO-24h'!C33,'4.08. Kyebando-Nsooba'!C33)</f>
        <v>21.571428571428573</v>
      </c>
      <c r="D33" s="49">
        <f>AVERAGE('29.07 NSOOBA-KYEBANDO'!D33,'30.07 NSOOBA-KYEBANDO'!D33,'31.08 NSOOBA-KYEBANDO'!D33,'02.08 NSOOBA-KYEBANDO'!D33,'01.08 NSOOBA-KYEBANDO-24h'!D33,'03.80 NSOOBA-KYEBANDO-24h'!D33,'4.08. Kyebando-Nsooba'!D33)</f>
        <v>4.5714285714285712</v>
      </c>
      <c r="E33" s="49">
        <f>AVERAGE('29.07 NSOOBA-KYEBANDO'!E33,'30.07 NSOOBA-KYEBANDO'!E33,'31.08 NSOOBA-KYEBANDO'!E33,'02.08 NSOOBA-KYEBANDO'!E33,'01.08 NSOOBA-KYEBANDO-24h'!E33,'03.80 NSOOBA-KYEBANDO-24h'!E33,'4.08. Kyebando-Nsooba'!E33)</f>
        <v>3.1428571428571428</v>
      </c>
      <c r="F33" s="49">
        <f>AVERAGE('29.07 NSOOBA-KYEBANDO'!F33,'30.07 NSOOBA-KYEBANDO'!F33,'31.08 NSOOBA-KYEBANDO'!F33,'02.08 NSOOBA-KYEBANDO'!F33,'01.08 NSOOBA-KYEBANDO-24h'!F33,'03.80 NSOOBA-KYEBANDO-24h'!F33,'4.08. Kyebando-Nsooba'!F33)</f>
        <v>5.8571428571428568</v>
      </c>
      <c r="G33" s="49">
        <f>AVERAGE('29.07 NSOOBA-KYEBANDO'!G33,'30.07 NSOOBA-KYEBANDO'!G33,'31.08 NSOOBA-KYEBANDO'!G33,'02.08 NSOOBA-KYEBANDO'!G33,'01.08 NSOOBA-KYEBANDO-24h'!G33,'03.80 NSOOBA-KYEBANDO-24h'!G33,'4.08. Kyebando-Nsooba'!G33)</f>
        <v>0</v>
      </c>
      <c r="H33" s="49">
        <f>AVERAGE('29.07 NSOOBA-KYEBANDO'!H33,'30.07 NSOOBA-KYEBANDO'!H33,'31.08 NSOOBA-KYEBANDO'!H33,'02.08 NSOOBA-KYEBANDO'!H33,'01.08 NSOOBA-KYEBANDO-24h'!H33,'03.80 NSOOBA-KYEBANDO-24h'!H33,'4.08. Kyebando-Nsooba'!H33)</f>
        <v>0.14285714285714285</v>
      </c>
      <c r="I33" s="49">
        <f>AVERAGE('29.07 NSOOBA-KYEBANDO'!I33,'30.07 NSOOBA-KYEBANDO'!I33,'31.08 NSOOBA-KYEBANDO'!I33,'02.08 NSOOBA-KYEBANDO'!I33,'01.08 NSOOBA-KYEBANDO-24h'!I33,'03.80 NSOOBA-KYEBANDO-24h'!I33,'4.08. Kyebando-Nsooba'!I33)</f>
        <v>4.4285714285714288</v>
      </c>
      <c r="J33" s="49">
        <f>AVERAGE('29.07 NSOOBA-KYEBANDO'!J33,'30.07 NSOOBA-KYEBANDO'!J33,'31.08 NSOOBA-KYEBANDO'!J33,'02.08 NSOOBA-KYEBANDO'!J33,'01.08 NSOOBA-KYEBANDO-24h'!J33,'03.80 NSOOBA-KYEBANDO-24h'!J33,'4.08. Kyebando-Nsooba'!J33)</f>
        <v>0.42857142857142855</v>
      </c>
      <c r="K33" s="49">
        <f>AVERAGE('29.07 NSOOBA-KYEBANDO'!K33,'30.07 NSOOBA-KYEBANDO'!K33,'31.08 NSOOBA-KYEBANDO'!K33,'02.08 NSOOBA-KYEBANDO'!K33,'01.08 NSOOBA-KYEBANDO-24h'!K33,'03.80 NSOOBA-KYEBANDO-24h'!K33,'4.08. Kyebando-Nsooba'!K33)</f>
        <v>0.14285714285714285</v>
      </c>
      <c r="L33" s="49">
        <f>AVERAGE('29.07 NSOOBA-KYEBANDO'!L33,'30.07 NSOOBA-KYEBANDO'!L33,'31.08 NSOOBA-KYEBANDO'!L33,'02.08 NSOOBA-KYEBANDO'!L33,'01.08 NSOOBA-KYEBANDO-24h'!L33,'03.80 NSOOBA-KYEBANDO-24h'!L33,'4.08. Kyebando-Nsooba'!L33)</f>
        <v>0.14285714285714285</v>
      </c>
      <c r="M33" s="49">
        <f>AVERAGE('29.07 NSOOBA-KYEBANDO'!M33,'30.07 NSOOBA-KYEBANDO'!M33,'31.08 NSOOBA-KYEBANDO'!M33,'02.08 NSOOBA-KYEBANDO'!M33,'01.08 NSOOBA-KYEBANDO-24h'!M33,'03.80 NSOOBA-KYEBANDO-24h'!M33,'4.08. Kyebando-Nsooba'!M33)</f>
        <v>43.857142857142854</v>
      </c>
      <c r="N33" s="49">
        <f>AVERAGE('29.07 NSOOBA-KYEBANDO'!N33,'30.07 NSOOBA-KYEBANDO'!N33,'31.08 NSOOBA-KYEBANDO'!N33,'02.08 NSOOBA-KYEBANDO'!N33,'01.08 NSOOBA-KYEBANDO-24h'!N33,'03.80 NSOOBA-KYEBANDO-24h'!N33,'4.08. Kyebando-Nsooba'!N33)</f>
        <v>0</v>
      </c>
      <c r="O33" s="15">
        <f t="shared" si="0"/>
        <v>40.428571428571445</v>
      </c>
      <c r="P33" s="15">
        <f t="shared" si="1"/>
        <v>84.285714285714306</v>
      </c>
      <c r="R33" s="1" t="s">
        <v>157</v>
      </c>
      <c r="S33" s="34">
        <f>SUM(C102:C105)</f>
        <v>158</v>
      </c>
      <c r="T33" s="34">
        <f t="shared" ref="T33:AF33" si="25">SUM(D102:D105)</f>
        <v>15.5</v>
      </c>
      <c r="U33" s="34">
        <f t="shared" si="25"/>
        <v>9.5</v>
      </c>
      <c r="V33" s="34">
        <f t="shared" si="25"/>
        <v>58.5</v>
      </c>
      <c r="W33" s="34">
        <f t="shared" si="25"/>
        <v>0</v>
      </c>
      <c r="X33" s="34">
        <f t="shared" si="25"/>
        <v>2</v>
      </c>
      <c r="Y33" s="34">
        <f t="shared" si="25"/>
        <v>6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113.5</v>
      </c>
      <c r="AD33" s="34">
        <f t="shared" si="25"/>
        <v>0</v>
      </c>
      <c r="AE33" s="31">
        <f t="shared" si="25"/>
        <v>250</v>
      </c>
      <c r="AF33" s="31">
        <f t="shared" si="25"/>
        <v>363.5</v>
      </c>
    </row>
    <row r="34" spans="2:32" ht="23.1" customHeight="1" x14ac:dyDescent="0.25">
      <c r="B34" s="24" t="s">
        <v>61</v>
      </c>
      <c r="C34" s="49">
        <f>AVERAGE('29.07 NSOOBA-KYEBANDO'!C34,'30.07 NSOOBA-KYEBANDO'!C34,'31.08 NSOOBA-KYEBANDO'!C34,'02.08 NSOOBA-KYEBANDO'!C34,'01.08 NSOOBA-KYEBANDO-24h'!C34,'03.80 NSOOBA-KYEBANDO-24h'!C34,'4.08. Kyebando-Nsooba'!C34)</f>
        <v>20.428571428571427</v>
      </c>
      <c r="D34" s="49">
        <f>AVERAGE('29.07 NSOOBA-KYEBANDO'!D34,'30.07 NSOOBA-KYEBANDO'!D34,'31.08 NSOOBA-KYEBANDO'!D34,'02.08 NSOOBA-KYEBANDO'!D34,'01.08 NSOOBA-KYEBANDO-24h'!D34,'03.80 NSOOBA-KYEBANDO-24h'!D34,'4.08. Kyebando-Nsooba'!D34)</f>
        <v>4</v>
      </c>
      <c r="E34" s="49">
        <f>AVERAGE('29.07 NSOOBA-KYEBANDO'!E34,'30.07 NSOOBA-KYEBANDO'!E34,'31.08 NSOOBA-KYEBANDO'!E34,'02.08 NSOOBA-KYEBANDO'!E34,'01.08 NSOOBA-KYEBANDO-24h'!E34,'03.80 NSOOBA-KYEBANDO-24h'!E34,'4.08. Kyebando-Nsooba'!E34)</f>
        <v>3</v>
      </c>
      <c r="F34" s="49">
        <f>AVERAGE('29.07 NSOOBA-KYEBANDO'!F34,'30.07 NSOOBA-KYEBANDO'!F34,'31.08 NSOOBA-KYEBANDO'!F34,'02.08 NSOOBA-KYEBANDO'!F34,'01.08 NSOOBA-KYEBANDO-24h'!F34,'03.80 NSOOBA-KYEBANDO-24h'!F34,'4.08. Kyebando-Nsooba'!F34)</f>
        <v>5.5714285714285712</v>
      </c>
      <c r="G34" s="49">
        <f>AVERAGE('29.07 NSOOBA-KYEBANDO'!G34,'30.07 NSOOBA-KYEBANDO'!G34,'31.08 NSOOBA-KYEBANDO'!G34,'02.08 NSOOBA-KYEBANDO'!G34,'01.08 NSOOBA-KYEBANDO-24h'!G34,'03.80 NSOOBA-KYEBANDO-24h'!G34,'4.08. Kyebando-Nsooba'!G34)</f>
        <v>0.42857142857142855</v>
      </c>
      <c r="H34" s="49">
        <f>AVERAGE('29.07 NSOOBA-KYEBANDO'!H34,'30.07 NSOOBA-KYEBANDO'!H34,'31.08 NSOOBA-KYEBANDO'!H34,'02.08 NSOOBA-KYEBANDO'!H34,'01.08 NSOOBA-KYEBANDO-24h'!H34,'03.80 NSOOBA-KYEBANDO-24h'!H34,'4.08. Kyebando-Nsooba'!H34)</f>
        <v>0</v>
      </c>
      <c r="I34" s="49">
        <f>AVERAGE('29.07 NSOOBA-KYEBANDO'!I34,'30.07 NSOOBA-KYEBANDO'!I34,'31.08 NSOOBA-KYEBANDO'!I34,'02.08 NSOOBA-KYEBANDO'!I34,'01.08 NSOOBA-KYEBANDO-24h'!I34,'03.80 NSOOBA-KYEBANDO-24h'!I34,'4.08. Kyebando-Nsooba'!I34)</f>
        <v>5.2857142857142856</v>
      </c>
      <c r="J34" s="49">
        <f>AVERAGE('29.07 NSOOBA-KYEBANDO'!J34,'30.07 NSOOBA-KYEBANDO'!J34,'31.08 NSOOBA-KYEBANDO'!J34,'02.08 NSOOBA-KYEBANDO'!J34,'01.08 NSOOBA-KYEBANDO-24h'!J34,'03.80 NSOOBA-KYEBANDO-24h'!J34,'4.08. Kyebando-Nsooba'!J34)</f>
        <v>0.5714285714285714</v>
      </c>
      <c r="K34" s="49">
        <f>AVERAGE('29.07 NSOOBA-KYEBANDO'!K34,'30.07 NSOOBA-KYEBANDO'!K34,'31.08 NSOOBA-KYEBANDO'!K34,'02.08 NSOOBA-KYEBANDO'!K34,'01.08 NSOOBA-KYEBANDO-24h'!K34,'03.80 NSOOBA-KYEBANDO-24h'!K34,'4.08. Kyebando-Nsooba'!K34)</f>
        <v>0.5714285714285714</v>
      </c>
      <c r="L34" s="49">
        <f>AVERAGE('29.07 NSOOBA-KYEBANDO'!L34,'30.07 NSOOBA-KYEBANDO'!L34,'31.08 NSOOBA-KYEBANDO'!L34,'02.08 NSOOBA-KYEBANDO'!L34,'01.08 NSOOBA-KYEBANDO-24h'!L34,'03.80 NSOOBA-KYEBANDO-24h'!L34,'4.08. Kyebando-Nsooba'!L34)</f>
        <v>0</v>
      </c>
      <c r="M34" s="49">
        <f>AVERAGE('29.07 NSOOBA-KYEBANDO'!M34,'30.07 NSOOBA-KYEBANDO'!M34,'31.08 NSOOBA-KYEBANDO'!M34,'02.08 NSOOBA-KYEBANDO'!M34,'01.08 NSOOBA-KYEBANDO-24h'!M34,'03.80 NSOOBA-KYEBANDO-24h'!M34,'4.08. Kyebando-Nsooba'!M34)</f>
        <v>45.142857142857146</v>
      </c>
      <c r="N34" s="49">
        <f>AVERAGE('29.07 NSOOBA-KYEBANDO'!N34,'30.07 NSOOBA-KYEBANDO'!N34,'31.08 NSOOBA-KYEBANDO'!N34,'02.08 NSOOBA-KYEBANDO'!N34,'01.08 NSOOBA-KYEBANDO-24h'!N34,'03.80 NSOOBA-KYEBANDO-24h'!N34,'4.08. Kyebando-Nsooba'!N34)</f>
        <v>0</v>
      </c>
      <c r="O34" s="15">
        <f t="shared" si="0"/>
        <v>39.857142857142854</v>
      </c>
      <c r="P34" s="15">
        <f t="shared" si="1"/>
        <v>85</v>
      </c>
      <c r="R34" s="53" t="s">
        <v>90</v>
      </c>
      <c r="S34" s="54">
        <f t="shared" ref="S34:AF34" si="26">MAX(S10:S12)</f>
        <v>241.71428571428572</v>
      </c>
      <c r="T34" s="54">
        <f t="shared" si="26"/>
        <v>46.571428571428569</v>
      </c>
      <c r="U34" s="54">
        <f t="shared" si="26"/>
        <v>18.428571428571431</v>
      </c>
      <c r="V34" s="54">
        <f t="shared" si="26"/>
        <v>121.71428571428571</v>
      </c>
      <c r="W34" s="54">
        <f t="shared" si="26"/>
        <v>3.8571428571428572</v>
      </c>
      <c r="X34" s="54">
        <f t="shared" si="26"/>
        <v>0.2857142857142857</v>
      </c>
      <c r="Y34" s="54">
        <f t="shared" si="26"/>
        <v>18.285714285714285</v>
      </c>
      <c r="Z34" s="54">
        <f t="shared" si="26"/>
        <v>1.8571428571428572</v>
      </c>
      <c r="AA34" s="54">
        <f t="shared" si="26"/>
        <v>2</v>
      </c>
      <c r="AB34" s="54">
        <f t="shared" si="26"/>
        <v>0.42857142857142855</v>
      </c>
      <c r="AC34" s="54">
        <f t="shared" si="26"/>
        <v>506.85714285714283</v>
      </c>
      <c r="AD34" s="54">
        <f t="shared" si="26"/>
        <v>0</v>
      </c>
      <c r="AE34" s="40">
        <f t="shared" si="26"/>
        <v>449.85714285714278</v>
      </c>
      <c r="AF34" s="40">
        <f t="shared" si="26"/>
        <v>900.85714285714289</v>
      </c>
    </row>
    <row r="35" spans="2:32" ht="23.1" customHeight="1" x14ac:dyDescent="0.25">
      <c r="B35" s="24" t="s">
        <v>62</v>
      </c>
      <c r="C35" s="49">
        <f>AVERAGE('29.07 NSOOBA-KYEBANDO'!C35,'30.07 NSOOBA-KYEBANDO'!C35,'31.08 NSOOBA-KYEBANDO'!C35,'02.08 NSOOBA-KYEBANDO'!C35,'01.08 NSOOBA-KYEBANDO-24h'!C35,'03.80 NSOOBA-KYEBANDO-24h'!C35,'4.08. Kyebando-Nsooba'!C35)</f>
        <v>18.714285714285715</v>
      </c>
      <c r="D35" s="49">
        <f>AVERAGE('29.07 NSOOBA-KYEBANDO'!D35,'30.07 NSOOBA-KYEBANDO'!D35,'31.08 NSOOBA-KYEBANDO'!D35,'02.08 NSOOBA-KYEBANDO'!D35,'01.08 NSOOBA-KYEBANDO-24h'!D35,'03.80 NSOOBA-KYEBANDO-24h'!D35,'4.08. Kyebando-Nsooba'!D35)</f>
        <v>5.2857142857142856</v>
      </c>
      <c r="E35" s="49">
        <f>AVERAGE('29.07 NSOOBA-KYEBANDO'!E35,'30.07 NSOOBA-KYEBANDO'!E35,'31.08 NSOOBA-KYEBANDO'!E35,'02.08 NSOOBA-KYEBANDO'!E35,'01.08 NSOOBA-KYEBANDO-24h'!E35,'03.80 NSOOBA-KYEBANDO-24h'!E35,'4.08. Kyebando-Nsooba'!E35)</f>
        <v>3.4285714285714284</v>
      </c>
      <c r="F35" s="49">
        <f>AVERAGE('29.07 NSOOBA-KYEBANDO'!F35,'30.07 NSOOBA-KYEBANDO'!F35,'31.08 NSOOBA-KYEBANDO'!F35,'02.08 NSOOBA-KYEBANDO'!F35,'01.08 NSOOBA-KYEBANDO-24h'!F35,'03.80 NSOOBA-KYEBANDO-24h'!F35,'4.08. Kyebando-Nsooba'!F35)</f>
        <v>4.8571428571428568</v>
      </c>
      <c r="G35" s="49">
        <f>AVERAGE('29.07 NSOOBA-KYEBANDO'!G35,'30.07 NSOOBA-KYEBANDO'!G35,'31.08 NSOOBA-KYEBANDO'!G35,'02.08 NSOOBA-KYEBANDO'!G35,'01.08 NSOOBA-KYEBANDO-24h'!G35,'03.80 NSOOBA-KYEBANDO-24h'!G35,'4.08. Kyebando-Nsooba'!G35)</f>
        <v>0.14285714285714285</v>
      </c>
      <c r="H35" s="49">
        <f>AVERAGE('29.07 NSOOBA-KYEBANDO'!H35,'30.07 NSOOBA-KYEBANDO'!H35,'31.08 NSOOBA-KYEBANDO'!H35,'02.08 NSOOBA-KYEBANDO'!H35,'01.08 NSOOBA-KYEBANDO-24h'!H35,'03.80 NSOOBA-KYEBANDO-24h'!H35,'4.08. Kyebando-Nsooba'!H35)</f>
        <v>0.14285714285714285</v>
      </c>
      <c r="I35" s="49">
        <f>AVERAGE('29.07 NSOOBA-KYEBANDO'!I35,'30.07 NSOOBA-KYEBANDO'!I35,'31.08 NSOOBA-KYEBANDO'!I35,'02.08 NSOOBA-KYEBANDO'!I35,'01.08 NSOOBA-KYEBANDO-24h'!I35,'03.80 NSOOBA-KYEBANDO-24h'!I35,'4.08. Kyebando-Nsooba'!I35)</f>
        <v>4.4285714285714288</v>
      </c>
      <c r="J35" s="49">
        <f>AVERAGE('29.07 NSOOBA-KYEBANDO'!J35,'30.07 NSOOBA-KYEBANDO'!J35,'31.08 NSOOBA-KYEBANDO'!J35,'02.08 NSOOBA-KYEBANDO'!J35,'01.08 NSOOBA-KYEBANDO-24h'!J35,'03.80 NSOOBA-KYEBANDO-24h'!J35,'4.08. Kyebando-Nsooba'!J35)</f>
        <v>0.2857142857142857</v>
      </c>
      <c r="K35" s="49">
        <f>AVERAGE('29.07 NSOOBA-KYEBANDO'!K35,'30.07 NSOOBA-KYEBANDO'!K35,'31.08 NSOOBA-KYEBANDO'!K35,'02.08 NSOOBA-KYEBANDO'!K35,'01.08 NSOOBA-KYEBANDO-24h'!K35,'03.80 NSOOBA-KYEBANDO-24h'!K35,'4.08. Kyebando-Nsooba'!K35)</f>
        <v>0.2857142857142857</v>
      </c>
      <c r="L35" s="49">
        <f>AVERAGE('29.07 NSOOBA-KYEBANDO'!L35,'30.07 NSOOBA-KYEBANDO'!L35,'31.08 NSOOBA-KYEBANDO'!L35,'02.08 NSOOBA-KYEBANDO'!L35,'01.08 NSOOBA-KYEBANDO-24h'!L35,'03.80 NSOOBA-KYEBANDO-24h'!L35,'4.08. Kyebando-Nsooba'!L35)</f>
        <v>0</v>
      </c>
      <c r="M35" s="49">
        <f>AVERAGE('29.07 NSOOBA-KYEBANDO'!M35,'30.07 NSOOBA-KYEBANDO'!M35,'31.08 NSOOBA-KYEBANDO'!M35,'02.08 NSOOBA-KYEBANDO'!M35,'01.08 NSOOBA-KYEBANDO-24h'!M35,'03.80 NSOOBA-KYEBANDO-24h'!M35,'4.08. Kyebando-Nsooba'!M35)</f>
        <v>42.714285714285715</v>
      </c>
      <c r="N35" s="49">
        <f>AVERAGE('29.07 NSOOBA-KYEBANDO'!N35,'30.07 NSOOBA-KYEBANDO'!N35,'31.08 NSOOBA-KYEBANDO'!N35,'02.08 NSOOBA-KYEBANDO'!N35,'01.08 NSOOBA-KYEBANDO-24h'!N35,'03.80 NSOOBA-KYEBANDO-24h'!N35,'4.08. Kyebando-Nsooba'!N35)</f>
        <v>0</v>
      </c>
      <c r="O35" s="15">
        <f t="shared" si="0"/>
        <v>37.571428571428577</v>
      </c>
      <c r="P35" s="15">
        <f t="shared" si="1"/>
        <v>80.285714285714292</v>
      </c>
      <c r="R35" s="53" t="s">
        <v>91</v>
      </c>
      <c r="S35" s="54">
        <f t="shared" ref="S35:AF35" si="27">MAX(S13:S18)</f>
        <v>134.71428571428569</v>
      </c>
      <c r="T35" s="54">
        <f t="shared" si="27"/>
        <v>30.285714285714285</v>
      </c>
      <c r="U35" s="54">
        <f t="shared" si="27"/>
        <v>14.571428571428573</v>
      </c>
      <c r="V35" s="54">
        <f t="shared" si="27"/>
        <v>45.285714285714285</v>
      </c>
      <c r="W35" s="54">
        <f t="shared" si="27"/>
        <v>0.99999999999999989</v>
      </c>
      <c r="X35" s="54">
        <f t="shared" si="27"/>
        <v>0.14285714285714285</v>
      </c>
      <c r="Y35" s="54">
        <f t="shared" si="27"/>
        <v>18</v>
      </c>
      <c r="Z35" s="54">
        <f t="shared" si="27"/>
        <v>2.714285714285714</v>
      </c>
      <c r="AA35" s="54">
        <f t="shared" si="27"/>
        <v>1.2857142857142856</v>
      </c>
      <c r="AB35" s="54">
        <f t="shared" si="27"/>
        <v>0.2857142857142857</v>
      </c>
      <c r="AC35" s="54">
        <f t="shared" si="27"/>
        <v>262.42857142857144</v>
      </c>
      <c r="AD35" s="54">
        <f t="shared" si="27"/>
        <v>0.42857142857142855</v>
      </c>
      <c r="AE35" s="40">
        <f t="shared" si="27"/>
        <v>245.71428571428572</v>
      </c>
      <c r="AF35" s="40">
        <f t="shared" si="27"/>
        <v>508.14285714285717</v>
      </c>
    </row>
    <row r="36" spans="2:32" ht="23.1" customHeight="1" x14ac:dyDescent="0.25">
      <c r="B36" s="24" t="s">
        <v>63</v>
      </c>
      <c r="C36" s="49">
        <f>AVERAGE('29.07 NSOOBA-KYEBANDO'!C36,'30.07 NSOOBA-KYEBANDO'!C36,'31.08 NSOOBA-KYEBANDO'!C36,'02.08 NSOOBA-KYEBANDO'!C36,'01.08 NSOOBA-KYEBANDO-24h'!C36,'03.80 NSOOBA-KYEBANDO-24h'!C36,'4.08. Kyebando-Nsooba'!C36)</f>
        <v>19.285714285714285</v>
      </c>
      <c r="D36" s="49">
        <f>AVERAGE('29.07 NSOOBA-KYEBANDO'!D36,'30.07 NSOOBA-KYEBANDO'!D36,'31.08 NSOOBA-KYEBANDO'!D36,'02.08 NSOOBA-KYEBANDO'!D36,'01.08 NSOOBA-KYEBANDO-24h'!D36,'03.80 NSOOBA-KYEBANDO-24h'!D36,'4.08. Kyebando-Nsooba'!D36)</f>
        <v>4.1428571428571432</v>
      </c>
      <c r="E36" s="49">
        <f>AVERAGE('29.07 NSOOBA-KYEBANDO'!E36,'30.07 NSOOBA-KYEBANDO'!E36,'31.08 NSOOBA-KYEBANDO'!E36,'02.08 NSOOBA-KYEBANDO'!E36,'01.08 NSOOBA-KYEBANDO-24h'!E36,'03.80 NSOOBA-KYEBANDO-24h'!E36,'4.08. Kyebando-Nsooba'!E36)</f>
        <v>2.5714285714285716</v>
      </c>
      <c r="F36" s="49">
        <f>AVERAGE('29.07 NSOOBA-KYEBANDO'!F36,'30.07 NSOOBA-KYEBANDO'!F36,'31.08 NSOOBA-KYEBANDO'!F36,'02.08 NSOOBA-KYEBANDO'!F36,'01.08 NSOOBA-KYEBANDO-24h'!F36,'03.80 NSOOBA-KYEBANDO-24h'!F36,'4.08. Kyebando-Nsooba'!F36)</f>
        <v>5.5714285714285712</v>
      </c>
      <c r="G36" s="49">
        <f>AVERAGE('29.07 NSOOBA-KYEBANDO'!G36,'30.07 NSOOBA-KYEBANDO'!G36,'31.08 NSOOBA-KYEBANDO'!G36,'02.08 NSOOBA-KYEBANDO'!G36,'01.08 NSOOBA-KYEBANDO-24h'!G36,'03.80 NSOOBA-KYEBANDO-24h'!G36,'4.08. Kyebando-Nsooba'!G36)</f>
        <v>0</v>
      </c>
      <c r="H36" s="49">
        <f>AVERAGE('29.07 NSOOBA-KYEBANDO'!H36,'30.07 NSOOBA-KYEBANDO'!H36,'31.08 NSOOBA-KYEBANDO'!H36,'02.08 NSOOBA-KYEBANDO'!H36,'01.08 NSOOBA-KYEBANDO-24h'!H36,'03.80 NSOOBA-KYEBANDO-24h'!H36,'4.08. Kyebando-Nsooba'!H36)</f>
        <v>0</v>
      </c>
      <c r="I36" s="49">
        <f>AVERAGE('29.07 NSOOBA-KYEBANDO'!I36,'30.07 NSOOBA-KYEBANDO'!I36,'31.08 NSOOBA-KYEBANDO'!I36,'02.08 NSOOBA-KYEBANDO'!I36,'01.08 NSOOBA-KYEBANDO-24h'!I36,'03.80 NSOOBA-KYEBANDO-24h'!I36,'4.08. Kyebando-Nsooba'!I36)</f>
        <v>3.7142857142857144</v>
      </c>
      <c r="J36" s="49">
        <f>AVERAGE('29.07 NSOOBA-KYEBANDO'!J36,'30.07 NSOOBA-KYEBANDO'!J36,'31.08 NSOOBA-KYEBANDO'!J36,'02.08 NSOOBA-KYEBANDO'!J36,'01.08 NSOOBA-KYEBANDO-24h'!J36,'03.80 NSOOBA-KYEBANDO-24h'!J36,'4.08. Kyebando-Nsooba'!J36)</f>
        <v>0.2857142857142857</v>
      </c>
      <c r="K36" s="49">
        <f>AVERAGE('29.07 NSOOBA-KYEBANDO'!K36,'30.07 NSOOBA-KYEBANDO'!K36,'31.08 NSOOBA-KYEBANDO'!K36,'02.08 NSOOBA-KYEBANDO'!K36,'01.08 NSOOBA-KYEBANDO-24h'!K36,'03.80 NSOOBA-KYEBANDO-24h'!K36,'4.08. Kyebando-Nsooba'!K36)</f>
        <v>0.14285714285714285</v>
      </c>
      <c r="L36" s="49">
        <f>AVERAGE('29.07 NSOOBA-KYEBANDO'!L36,'30.07 NSOOBA-KYEBANDO'!L36,'31.08 NSOOBA-KYEBANDO'!L36,'02.08 NSOOBA-KYEBANDO'!L36,'01.08 NSOOBA-KYEBANDO-24h'!L36,'03.80 NSOOBA-KYEBANDO-24h'!L36,'4.08. Kyebando-Nsooba'!L36)</f>
        <v>0</v>
      </c>
      <c r="M36" s="49">
        <f>AVERAGE('29.07 NSOOBA-KYEBANDO'!M36,'30.07 NSOOBA-KYEBANDO'!M36,'31.08 NSOOBA-KYEBANDO'!M36,'02.08 NSOOBA-KYEBANDO'!M36,'01.08 NSOOBA-KYEBANDO-24h'!M36,'03.80 NSOOBA-KYEBANDO-24h'!M36,'4.08. Kyebando-Nsooba'!M36)</f>
        <v>44.571428571428569</v>
      </c>
      <c r="N36" s="49">
        <f>AVERAGE('29.07 NSOOBA-KYEBANDO'!N36,'30.07 NSOOBA-KYEBANDO'!N36,'31.08 NSOOBA-KYEBANDO'!N36,'02.08 NSOOBA-KYEBANDO'!N36,'01.08 NSOOBA-KYEBANDO-24h'!N36,'03.80 NSOOBA-KYEBANDO-24h'!N36,'4.08. Kyebando-Nsooba'!N36)</f>
        <v>0</v>
      </c>
      <c r="O36" s="15">
        <f t="shared" si="0"/>
        <v>35.714285714285715</v>
      </c>
      <c r="P36" s="15">
        <f t="shared" si="1"/>
        <v>80.285714285714278</v>
      </c>
      <c r="R36" s="53" t="s">
        <v>92</v>
      </c>
      <c r="S36" s="54">
        <f t="shared" ref="S36:AF36" si="28">MAX(S19:S21)</f>
        <v>83.571428571428584</v>
      </c>
      <c r="T36" s="54">
        <f t="shared" si="28"/>
        <v>20.857142857142858</v>
      </c>
      <c r="U36" s="54">
        <f t="shared" si="28"/>
        <v>11.428571428571427</v>
      </c>
      <c r="V36" s="54">
        <f t="shared" si="28"/>
        <v>25.999999999999996</v>
      </c>
      <c r="W36" s="54">
        <f t="shared" si="28"/>
        <v>1.5714285714285714</v>
      </c>
      <c r="X36" s="54">
        <f t="shared" si="28"/>
        <v>0.14285714285714285</v>
      </c>
      <c r="Y36" s="54">
        <f t="shared" si="28"/>
        <v>14.142857142857142</v>
      </c>
      <c r="Z36" s="54">
        <f t="shared" si="28"/>
        <v>2.5714285714285712</v>
      </c>
      <c r="AA36" s="54">
        <f t="shared" si="28"/>
        <v>1.7142857142857142</v>
      </c>
      <c r="AB36" s="54">
        <f t="shared" si="28"/>
        <v>0</v>
      </c>
      <c r="AC36" s="54">
        <f t="shared" si="28"/>
        <v>245.57142857142856</v>
      </c>
      <c r="AD36" s="54">
        <f t="shared" si="28"/>
        <v>0</v>
      </c>
      <c r="AE36" s="40">
        <f t="shared" si="28"/>
        <v>155</v>
      </c>
      <c r="AF36" s="40">
        <f t="shared" si="28"/>
        <v>385.42857142857144</v>
      </c>
    </row>
    <row r="37" spans="2:32" ht="23.1" customHeight="1" x14ac:dyDescent="0.25">
      <c r="B37" s="23" t="s">
        <v>64</v>
      </c>
      <c r="C37" s="49">
        <f>AVERAGE('29.07 NSOOBA-KYEBANDO'!C37,'30.07 NSOOBA-KYEBANDO'!C37,'31.08 NSOOBA-KYEBANDO'!C37,'02.08 NSOOBA-KYEBANDO'!C37,'01.08 NSOOBA-KYEBANDO-24h'!C37,'03.80 NSOOBA-KYEBANDO-24h'!C37,'4.08. Kyebando-Nsooba'!C37)</f>
        <v>19.428571428571427</v>
      </c>
      <c r="D37" s="49">
        <f>AVERAGE('29.07 NSOOBA-KYEBANDO'!D37,'30.07 NSOOBA-KYEBANDO'!D37,'31.08 NSOOBA-KYEBANDO'!D37,'02.08 NSOOBA-KYEBANDO'!D37,'01.08 NSOOBA-KYEBANDO-24h'!D37,'03.80 NSOOBA-KYEBANDO-24h'!D37,'4.08. Kyebando-Nsooba'!D37)</f>
        <v>5.4285714285714288</v>
      </c>
      <c r="E37" s="49">
        <f>AVERAGE('29.07 NSOOBA-KYEBANDO'!E37,'30.07 NSOOBA-KYEBANDO'!E37,'31.08 NSOOBA-KYEBANDO'!E37,'02.08 NSOOBA-KYEBANDO'!E37,'01.08 NSOOBA-KYEBANDO-24h'!E37,'03.80 NSOOBA-KYEBANDO-24h'!E37,'4.08. Kyebando-Nsooba'!E37)</f>
        <v>2.5714285714285716</v>
      </c>
      <c r="F37" s="49">
        <f>AVERAGE('29.07 NSOOBA-KYEBANDO'!F37,'30.07 NSOOBA-KYEBANDO'!F37,'31.08 NSOOBA-KYEBANDO'!F37,'02.08 NSOOBA-KYEBANDO'!F37,'01.08 NSOOBA-KYEBANDO-24h'!F37,'03.80 NSOOBA-KYEBANDO-24h'!F37,'4.08. Kyebando-Nsooba'!F37)</f>
        <v>6.7142857142857144</v>
      </c>
      <c r="G37" s="49">
        <f>AVERAGE('29.07 NSOOBA-KYEBANDO'!G37,'30.07 NSOOBA-KYEBANDO'!G37,'31.08 NSOOBA-KYEBANDO'!G37,'02.08 NSOOBA-KYEBANDO'!G37,'01.08 NSOOBA-KYEBANDO-24h'!G37,'03.80 NSOOBA-KYEBANDO-24h'!G37,'4.08. Kyebando-Nsooba'!G37)</f>
        <v>0</v>
      </c>
      <c r="H37" s="49">
        <f>AVERAGE('29.07 NSOOBA-KYEBANDO'!H37,'30.07 NSOOBA-KYEBANDO'!H37,'31.08 NSOOBA-KYEBANDO'!H37,'02.08 NSOOBA-KYEBANDO'!H37,'01.08 NSOOBA-KYEBANDO-24h'!H37,'03.80 NSOOBA-KYEBANDO-24h'!H37,'4.08. Kyebando-Nsooba'!H37)</f>
        <v>0</v>
      </c>
      <c r="I37" s="49">
        <f>AVERAGE('29.07 NSOOBA-KYEBANDO'!I37,'30.07 NSOOBA-KYEBANDO'!I37,'31.08 NSOOBA-KYEBANDO'!I37,'02.08 NSOOBA-KYEBANDO'!I37,'01.08 NSOOBA-KYEBANDO-24h'!I37,'03.80 NSOOBA-KYEBANDO-24h'!I37,'4.08. Kyebando-Nsooba'!I37)</f>
        <v>3.8571428571428572</v>
      </c>
      <c r="J37" s="49">
        <f>AVERAGE('29.07 NSOOBA-KYEBANDO'!J37,'30.07 NSOOBA-KYEBANDO'!J37,'31.08 NSOOBA-KYEBANDO'!J37,'02.08 NSOOBA-KYEBANDO'!J37,'01.08 NSOOBA-KYEBANDO-24h'!J37,'03.80 NSOOBA-KYEBANDO-24h'!J37,'4.08. Kyebando-Nsooba'!J37)</f>
        <v>0.2857142857142857</v>
      </c>
      <c r="K37" s="49">
        <f>AVERAGE('29.07 NSOOBA-KYEBANDO'!K37,'30.07 NSOOBA-KYEBANDO'!K37,'31.08 NSOOBA-KYEBANDO'!K37,'02.08 NSOOBA-KYEBANDO'!K37,'01.08 NSOOBA-KYEBANDO-24h'!K37,'03.80 NSOOBA-KYEBANDO-24h'!K37,'4.08. Kyebando-Nsooba'!K37)</f>
        <v>0.14285714285714285</v>
      </c>
      <c r="L37" s="49">
        <f>AVERAGE('29.07 NSOOBA-KYEBANDO'!L37,'30.07 NSOOBA-KYEBANDO'!L37,'31.08 NSOOBA-KYEBANDO'!L37,'02.08 NSOOBA-KYEBANDO'!L37,'01.08 NSOOBA-KYEBANDO-24h'!L37,'03.80 NSOOBA-KYEBANDO-24h'!L37,'4.08. Kyebando-Nsooba'!L37)</f>
        <v>0</v>
      </c>
      <c r="M37" s="49">
        <f>AVERAGE('29.07 NSOOBA-KYEBANDO'!M37,'30.07 NSOOBA-KYEBANDO'!M37,'31.08 NSOOBA-KYEBANDO'!M37,'02.08 NSOOBA-KYEBANDO'!M37,'01.08 NSOOBA-KYEBANDO-24h'!M37,'03.80 NSOOBA-KYEBANDO-24h'!M37,'4.08. Kyebando-Nsooba'!M37)</f>
        <v>35.285714285714285</v>
      </c>
      <c r="N37" s="49">
        <f>AVERAGE('29.07 NSOOBA-KYEBANDO'!N37,'30.07 NSOOBA-KYEBANDO'!N37,'31.08 NSOOBA-KYEBANDO'!N37,'02.08 NSOOBA-KYEBANDO'!N37,'01.08 NSOOBA-KYEBANDO-24h'!N37,'03.80 NSOOBA-KYEBANDO-24h'!N37,'4.08. Kyebando-Nsooba'!N37)</f>
        <v>0</v>
      </c>
      <c r="O37" s="15">
        <f t="shared" si="0"/>
        <v>38.428571428571423</v>
      </c>
      <c r="P37" s="15">
        <f t="shared" si="1"/>
        <v>73.714285714285708</v>
      </c>
      <c r="R37" s="37" t="s">
        <v>85</v>
      </c>
      <c r="S37" s="55">
        <f t="shared" ref="S37:AF37" si="29">SUM(S10:S12)</f>
        <v>627.57142857142856</v>
      </c>
      <c r="T37" s="56">
        <f t="shared" si="29"/>
        <v>128.14285714285711</v>
      </c>
      <c r="U37" s="56">
        <f t="shared" si="29"/>
        <v>53.857142857142861</v>
      </c>
      <c r="V37" s="56">
        <f t="shared" si="29"/>
        <v>316</v>
      </c>
      <c r="W37" s="56">
        <f t="shared" si="29"/>
        <v>5.8571428571428568</v>
      </c>
      <c r="X37" s="56">
        <f t="shared" si="29"/>
        <v>0.5714285714285714</v>
      </c>
      <c r="Y37" s="56">
        <f t="shared" si="29"/>
        <v>48.571428571428569</v>
      </c>
      <c r="Z37" s="56">
        <f t="shared" si="29"/>
        <v>4.8571428571428577</v>
      </c>
      <c r="AA37" s="56">
        <f t="shared" si="29"/>
        <v>3.4285714285714284</v>
      </c>
      <c r="AB37" s="56">
        <f t="shared" si="29"/>
        <v>0.5714285714285714</v>
      </c>
      <c r="AC37" s="56">
        <f t="shared" si="29"/>
        <v>1324.8571428571429</v>
      </c>
      <c r="AD37" s="56">
        <f t="shared" si="29"/>
        <v>0</v>
      </c>
      <c r="AE37" s="57">
        <f t="shared" si="29"/>
        <v>1189.4285714285713</v>
      </c>
      <c r="AF37" s="57">
        <f t="shared" si="29"/>
        <v>2514.2857142857142</v>
      </c>
    </row>
    <row r="38" spans="2:32" ht="23.1" customHeight="1" x14ac:dyDescent="0.25">
      <c r="B38" s="24" t="s">
        <v>65</v>
      </c>
      <c r="C38" s="49">
        <f>AVERAGE('29.07 NSOOBA-KYEBANDO'!C38,'30.07 NSOOBA-KYEBANDO'!C38,'31.08 NSOOBA-KYEBANDO'!C38,'02.08 NSOOBA-KYEBANDO'!C38,'01.08 NSOOBA-KYEBANDO-24h'!C38,'03.80 NSOOBA-KYEBANDO-24h'!C38,'4.08. Kyebando-Nsooba'!C38)</f>
        <v>21.142857142857142</v>
      </c>
      <c r="D38" s="49">
        <f>AVERAGE('29.07 NSOOBA-KYEBANDO'!D38,'30.07 NSOOBA-KYEBANDO'!D38,'31.08 NSOOBA-KYEBANDO'!D38,'02.08 NSOOBA-KYEBANDO'!D38,'01.08 NSOOBA-KYEBANDO-24h'!D38,'03.80 NSOOBA-KYEBANDO-24h'!D38,'4.08. Kyebando-Nsooba'!D38)</f>
        <v>4.2857142857142856</v>
      </c>
      <c r="E38" s="49">
        <f>AVERAGE('29.07 NSOOBA-KYEBANDO'!E38,'30.07 NSOOBA-KYEBANDO'!E38,'31.08 NSOOBA-KYEBANDO'!E38,'02.08 NSOOBA-KYEBANDO'!E38,'01.08 NSOOBA-KYEBANDO-24h'!E38,'03.80 NSOOBA-KYEBANDO-24h'!E38,'4.08. Kyebando-Nsooba'!E38)</f>
        <v>2.5714285714285716</v>
      </c>
      <c r="F38" s="49">
        <f>AVERAGE('29.07 NSOOBA-KYEBANDO'!F38,'30.07 NSOOBA-KYEBANDO'!F38,'31.08 NSOOBA-KYEBANDO'!F38,'02.08 NSOOBA-KYEBANDO'!F38,'01.08 NSOOBA-KYEBANDO-24h'!F38,'03.80 NSOOBA-KYEBANDO-24h'!F38,'4.08. Kyebando-Nsooba'!F38)</f>
        <v>4.7142857142857144</v>
      </c>
      <c r="G38" s="49">
        <f>AVERAGE('29.07 NSOOBA-KYEBANDO'!G38,'30.07 NSOOBA-KYEBANDO'!G38,'31.08 NSOOBA-KYEBANDO'!G38,'02.08 NSOOBA-KYEBANDO'!G38,'01.08 NSOOBA-KYEBANDO-24h'!G38,'03.80 NSOOBA-KYEBANDO-24h'!G38,'4.08. Kyebando-Nsooba'!G38)</f>
        <v>0</v>
      </c>
      <c r="H38" s="49">
        <f>AVERAGE('29.07 NSOOBA-KYEBANDO'!H38,'30.07 NSOOBA-KYEBANDO'!H38,'31.08 NSOOBA-KYEBANDO'!H38,'02.08 NSOOBA-KYEBANDO'!H38,'01.08 NSOOBA-KYEBANDO-24h'!H38,'03.80 NSOOBA-KYEBANDO-24h'!H38,'4.08. Kyebando-Nsooba'!H38)</f>
        <v>0</v>
      </c>
      <c r="I38" s="49">
        <f>AVERAGE('29.07 NSOOBA-KYEBANDO'!I38,'30.07 NSOOBA-KYEBANDO'!I38,'31.08 NSOOBA-KYEBANDO'!I38,'02.08 NSOOBA-KYEBANDO'!I38,'01.08 NSOOBA-KYEBANDO-24h'!I38,'03.80 NSOOBA-KYEBANDO-24h'!I38,'4.08. Kyebando-Nsooba'!I38)</f>
        <v>2.4285714285714284</v>
      </c>
      <c r="J38" s="49">
        <f>AVERAGE('29.07 NSOOBA-KYEBANDO'!J38,'30.07 NSOOBA-KYEBANDO'!J38,'31.08 NSOOBA-KYEBANDO'!J38,'02.08 NSOOBA-KYEBANDO'!J38,'01.08 NSOOBA-KYEBANDO-24h'!J38,'03.80 NSOOBA-KYEBANDO-24h'!J38,'4.08. Kyebando-Nsooba'!J38)</f>
        <v>0.42857142857142855</v>
      </c>
      <c r="K38" s="49">
        <f>AVERAGE('29.07 NSOOBA-KYEBANDO'!K38,'30.07 NSOOBA-KYEBANDO'!K38,'31.08 NSOOBA-KYEBANDO'!K38,'02.08 NSOOBA-KYEBANDO'!K38,'01.08 NSOOBA-KYEBANDO-24h'!K38,'03.80 NSOOBA-KYEBANDO-24h'!K38,'4.08. Kyebando-Nsooba'!K38)</f>
        <v>0.42857142857142855</v>
      </c>
      <c r="L38" s="49">
        <f>AVERAGE('29.07 NSOOBA-KYEBANDO'!L38,'30.07 NSOOBA-KYEBANDO'!L38,'31.08 NSOOBA-KYEBANDO'!L38,'02.08 NSOOBA-KYEBANDO'!L38,'01.08 NSOOBA-KYEBANDO-24h'!L38,'03.80 NSOOBA-KYEBANDO-24h'!L38,'4.08. Kyebando-Nsooba'!L38)</f>
        <v>0.2857142857142857</v>
      </c>
      <c r="M38" s="49">
        <f>AVERAGE('29.07 NSOOBA-KYEBANDO'!M38,'30.07 NSOOBA-KYEBANDO'!M38,'31.08 NSOOBA-KYEBANDO'!M38,'02.08 NSOOBA-KYEBANDO'!M38,'01.08 NSOOBA-KYEBANDO-24h'!M38,'03.80 NSOOBA-KYEBANDO-24h'!M38,'4.08. Kyebando-Nsooba'!M38)</f>
        <v>41.857142857142854</v>
      </c>
      <c r="N38" s="49">
        <f>AVERAGE('29.07 NSOOBA-KYEBANDO'!N38,'30.07 NSOOBA-KYEBANDO'!N38,'31.08 NSOOBA-KYEBANDO'!N38,'02.08 NSOOBA-KYEBANDO'!N38,'01.08 NSOOBA-KYEBANDO-24h'!N38,'03.80 NSOOBA-KYEBANDO-24h'!N38,'4.08. Kyebando-Nsooba'!N38)</f>
        <v>0</v>
      </c>
      <c r="O38" s="15">
        <f t="shared" si="0"/>
        <v>36.285714285714292</v>
      </c>
      <c r="P38" s="15">
        <f t="shared" si="1"/>
        <v>78.142857142857139</v>
      </c>
      <c r="R38" s="28" t="s">
        <v>86</v>
      </c>
      <c r="S38" s="56">
        <f t="shared" ref="S38:AF38" si="30">SUM(S13:S18)</f>
        <v>542.14285714285711</v>
      </c>
      <c r="T38" s="56">
        <f t="shared" si="30"/>
        <v>131.28571428571428</v>
      </c>
      <c r="U38" s="56">
        <f t="shared" si="30"/>
        <v>72.571428571428569</v>
      </c>
      <c r="V38" s="56">
        <f t="shared" si="30"/>
        <v>171</v>
      </c>
      <c r="W38" s="56">
        <f t="shared" si="30"/>
        <v>2.8571428571428568</v>
      </c>
      <c r="X38" s="56">
        <f t="shared" si="30"/>
        <v>0.5714285714285714</v>
      </c>
      <c r="Y38" s="56">
        <f t="shared" si="30"/>
        <v>87.571428571428569</v>
      </c>
      <c r="Z38" s="56">
        <f t="shared" si="30"/>
        <v>10.857142857142854</v>
      </c>
      <c r="AA38" s="56">
        <f t="shared" si="30"/>
        <v>5.8571428571428568</v>
      </c>
      <c r="AB38" s="56">
        <f t="shared" si="30"/>
        <v>0.42857142857142855</v>
      </c>
      <c r="AC38" s="56">
        <f t="shared" si="30"/>
        <v>1149.5714285714287</v>
      </c>
      <c r="AD38" s="56">
        <f t="shared" si="30"/>
        <v>0.42857142857142855</v>
      </c>
      <c r="AE38" s="57">
        <f t="shared" si="30"/>
        <v>1025.5714285714284</v>
      </c>
      <c r="AF38" s="57">
        <f t="shared" si="30"/>
        <v>2175.1428571428573</v>
      </c>
    </row>
    <row r="39" spans="2:32" ht="23.1" customHeight="1" x14ac:dyDescent="0.25">
      <c r="B39" s="24" t="s">
        <v>66</v>
      </c>
      <c r="C39" s="49">
        <f>AVERAGE('29.07 NSOOBA-KYEBANDO'!C39,'30.07 NSOOBA-KYEBANDO'!C39,'31.08 NSOOBA-KYEBANDO'!C39,'02.08 NSOOBA-KYEBANDO'!C39,'01.08 NSOOBA-KYEBANDO-24h'!C39,'03.80 NSOOBA-KYEBANDO-24h'!C39,'4.08. Kyebando-Nsooba'!C39)</f>
        <v>15.857142857142858</v>
      </c>
      <c r="D39" s="49">
        <f>AVERAGE('29.07 NSOOBA-KYEBANDO'!D39,'30.07 NSOOBA-KYEBANDO'!D39,'31.08 NSOOBA-KYEBANDO'!D39,'02.08 NSOOBA-KYEBANDO'!D39,'01.08 NSOOBA-KYEBANDO-24h'!D39,'03.80 NSOOBA-KYEBANDO-24h'!D39,'4.08. Kyebando-Nsooba'!D39)</f>
        <v>4.5714285714285712</v>
      </c>
      <c r="E39" s="49">
        <f>AVERAGE('29.07 NSOOBA-KYEBANDO'!E39,'30.07 NSOOBA-KYEBANDO'!E39,'31.08 NSOOBA-KYEBANDO'!E39,'02.08 NSOOBA-KYEBANDO'!E39,'01.08 NSOOBA-KYEBANDO-24h'!E39,'03.80 NSOOBA-KYEBANDO-24h'!E39,'4.08. Kyebando-Nsooba'!E39)</f>
        <v>2.4285714285714284</v>
      </c>
      <c r="F39" s="49">
        <f>AVERAGE('29.07 NSOOBA-KYEBANDO'!F39,'30.07 NSOOBA-KYEBANDO'!F39,'31.08 NSOOBA-KYEBANDO'!F39,'02.08 NSOOBA-KYEBANDO'!F39,'01.08 NSOOBA-KYEBANDO-24h'!F39,'03.80 NSOOBA-KYEBANDO-24h'!F39,'4.08. Kyebando-Nsooba'!F39)</f>
        <v>3.8571428571428572</v>
      </c>
      <c r="G39" s="49">
        <f>AVERAGE('29.07 NSOOBA-KYEBANDO'!G39,'30.07 NSOOBA-KYEBANDO'!G39,'31.08 NSOOBA-KYEBANDO'!G39,'02.08 NSOOBA-KYEBANDO'!G39,'01.08 NSOOBA-KYEBANDO-24h'!G39,'03.80 NSOOBA-KYEBANDO-24h'!G39,'4.08. Kyebando-Nsooba'!G39)</f>
        <v>0</v>
      </c>
      <c r="H39" s="49">
        <f>AVERAGE('29.07 NSOOBA-KYEBANDO'!H39,'30.07 NSOOBA-KYEBANDO'!H39,'31.08 NSOOBA-KYEBANDO'!H39,'02.08 NSOOBA-KYEBANDO'!H39,'01.08 NSOOBA-KYEBANDO-24h'!H39,'03.80 NSOOBA-KYEBANDO-24h'!H39,'4.08. Kyebando-Nsooba'!H39)</f>
        <v>0</v>
      </c>
      <c r="I39" s="49">
        <f>AVERAGE('29.07 NSOOBA-KYEBANDO'!I39,'30.07 NSOOBA-KYEBANDO'!I39,'31.08 NSOOBA-KYEBANDO'!I39,'02.08 NSOOBA-KYEBANDO'!I39,'01.08 NSOOBA-KYEBANDO-24h'!I39,'03.80 NSOOBA-KYEBANDO-24h'!I39,'4.08. Kyebando-Nsooba'!I39)</f>
        <v>2.5714285714285716</v>
      </c>
      <c r="J39" s="49">
        <f>AVERAGE('29.07 NSOOBA-KYEBANDO'!J39,'30.07 NSOOBA-KYEBANDO'!J39,'31.08 NSOOBA-KYEBANDO'!J39,'02.08 NSOOBA-KYEBANDO'!J39,'01.08 NSOOBA-KYEBANDO-24h'!J39,'03.80 NSOOBA-KYEBANDO-24h'!J39,'4.08. Kyebando-Nsooba'!J39)</f>
        <v>0.14285714285714285</v>
      </c>
      <c r="K39" s="49">
        <f>AVERAGE('29.07 NSOOBA-KYEBANDO'!K39,'30.07 NSOOBA-KYEBANDO'!K39,'31.08 NSOOBA-KYEBANDO'!K39,'02.08 NSOOBA-KYEBANDO'!K39,'01.08 NSOOBA-KYEBANDO-24h'!K39,'03.80 NSOOBA-KYEBANDO-24h'!K39,'4.08. Kyebando-Nsooba'!K39)</f>
        <v>0.14285714285714285</v>
      </c>
      <c r="L39" s="49">
        <f>AVERAGE('29.07 NSOOBA-KYEBANDO'!L39,'30.07 NSOOBA-KYEBANDO'!L39,'31.08 NSOOBA-KYEBANDO'!L39,'02.08 NSOOBA-KYEBANDO'!L39,'01.08 NSOOBA-KYEBANDO-24h'!L39,'03.80 NSOOBA-KYEBANDO-24h'!L39,'4.08. Kyebando-Nsooba'!L39)</f>
        <v>0</v>
      </c>
      <c r="M39" s="49">
        <f>AVERAGE('29.07 NSOOBA-KYEBANDO'!M39,'30.07 NSOOBA-KYEBANDO'!M39,'31.08 NSOOBA-KYEBANDO'!M39,'02.08 NSOOBA-KYEBANDO'!M39,'01.08 NSOOBA-KYEBANDO-24h'!M39,'03.80 NSOOBA-KYEBANDO-24h'!M39,'4.08. Kyebando-Nsooba'!M39)</f>
        <v>38.142857142857146</v>
      </c>
      <c r="N39" s="49">
        <f>AVERAGE('29.07 NSOOBA-KYEBANDO'!N39,'30.07 NSOOBA-KYEBANDO'!N39,'31.08 NSOOBA-KYEBANDO'!N39,'02.08 NSOOBA-KYEBANDO'!N39,'01.08 NSOOBA-KYEBANDO-24h'!N39,'03.80 NSOOBA-KYEBANDO-24h'!N39,'4.08. Kyebando-Nsooba'!N39)</f>
        <v>0</v>
      </c>
      <c r="O39" s="15">
        <f t="shared" si="0"/>
        <v>29.571428571428573</v>
      </c>
      <c r="P39" s="15">
        <f t="shared" si="1"/>
        <v>67.714285714285722</v>
      </c>
      <c r="R39" s="29" t="s">
        <v>87</v>
      </c>
      <c r="S39" s="56">
        <f t="shared" ref="S39:AF39" si="31">SUM(S19:S21)</f>
        <v>240.28571428571428</v>
      </c>
      <c r="T39" s="56">
        <f t="shared" si="31"/>
        <v>55.857142857142861</v>
      </c>
      <c r="U39" s="56">
        <f t="shared" si="31"/>
        <v>31</v>
      </c>
      <c r="V39" s="56">
        <f t="shared" si="31"/>
        <v>73</v>
      </c>
      <c r="W39" s="56">
        <f t="shared" si="31"/>
        <v>3.4285714285714284</v>
      </c>
      <c r="X39" s="56">
        <f t="shared" si="31"/>
        <v>0.14285714285714285</v>
      </c>
      <c r="Y39" s="56">
        <f t="shared" si="31"/>
        <v>37.857142857142854</v>
      </c>
      <c r="Z39" s="56">
        <f t="shared" si="31"/>
        <v>4.2857142857142847</v>
      </c>
      <c r="AA39" s="56">
        <f t="shared" si="31"/>
        <v>3.714285714285714</v>
      </c>
      <c r="AB39" s="56">
        <f t="shared" si="31"/>
        <v>0</v>
      </c>
      <c r="AC39" s="56">
        <f t="shared" si="31"/>
        <v>648.85714285714289</v>
      </c>
      <c r="AD39" s="56">
        <f t="shared" si="31"/>
        <v>0</v>
      </c>
      <c r="AE39" s="57">
        <f t="shared" si="31"/>
        <v>449.57142857142856</v>
      </c>
      <c r="AF39" s="57">
        <f t="shared" si="31"/>
        <v>1098.4285714285716</v>
      </c>
    </row>
    <row r="40" spans="2:32" ht="23.1" customHeight="1" x14ac:dyDescent="0.25">
      <c r="B40" s="24" t="s">
        <v>67</v>
      </c>
      <c r="C40" s="49">
        <f>AVERAGE('29.07 NSOOBA-KYEBANDO'!C40,'30.07 NSOOBA-KYEBANDO'!C40,'31.08 NSOOBA-KYEBANDO'!C40,'02.08 NSOOBA-KYEBANDO'!C40,'01.08 NSOOBA-KYEBANDO-24h'!C40,'03.80 NSOOBA-KYEBANDO-24h'!C40,'4.08. Kyebando-Nsooba'!C40)</f>
        <v>16.285714285714285</v>
      </c>
      <c r="D40" s="49">
        <f>AVERAGE('29.07 NSOOBA-KYEBANDO'!D40,'30.07 NSOOBA-KYEBANDO'!D40,'31.08 NSOOBA-KYEBANDO'!D40,'02.08 NSOOBA-KYEBANDO'!D40,'01.08 NSOOBA-KYEBANDO-24h'!D40,'03.80 NSOOBA-KYEBANDO-24h'!D40,'4.08. Kyebando-Nsooba'!D40)</f>
        <v>4</v>
      </c>
      <c r="E40" s="49">
        <f>AVERAGE('29.07 NSOOBA-KYEBANDO'!E40,'30.07 NSOOBA-KYEBANDO'!E40,'31.08 NSOOBA-KYEBANDO'!E40,'02.08 NSOOBA-KYEBANDO'!E40,'01.08 NSOOBA-KYEBANDO-24h'!E40,'03.80 NSOOBA-KYEBANDO-24h'!E40,'4.08. Kyebando-Nsooba'!E40)</f>
        <v>2</v>
      </c>
      <c r="F40" s="49">
        <f>AVERAGE('29.07 NSOOBA-KYEBANDO'!F40,'30.07 NSOOBA-KYEBANDO'!F40,'31.08 NSOOBA-KYEBANDO'!F40,'02.08 NSOOBA-KYEBANDO'!F40,'01.08 NSOOBA-KYEBANDO-24h'!F40,'03.80 NSOOBA-KYEBANDO-24h'!F40,'4.08. Kyebando-Nsooba'!F40)</f>
        <v>4.2857142857142856</v>
      </c>
      <c r="G40" s="49">
        <f>AVERAGE('29.07 NSOOBA-KYEBANDO'!G40,'30.07 NSOOBA-KYEBANDO'!G40,'31.08 NSOOBA-KYEBANDO'!G40,'02.08 NSOOBA-KYEBANDO'!G40,'01.08 NSOOBA-KYEBANDO-24h'!G40,'03.80 NSOOBA-KYEBANDO-24h'!G40,'4.08. Kyebando-Nsooba'!G40)</f>
        <v>0.14285714285714285</v>
      </c>
      <c r="H40" s="49">
        <f>AVERAGE('29.07 NSOOBA-KYEBANDO'!H40,'30.07 NSOOBA-KYEBANDO'!H40,'31.08 NSOOBA-KYEBANDO'!H40,'02.08 NSOOBA-KYEBANDO'!H40,'01.08 NSOOBA-KYEBANDO-24h'!H40,'03.80 NSOOBA-KYEBANDO-24h'!H40,'4.08. Kyebando-Nsooba'!H40)</f>
        <v>0</v>
      </c>
      <c r="I40" s="49">
        <f>AVERAGE('29.07 NSOOBA-KYEBANDO'!I40,'30.07 NSOOBA-KYEBANDO'!I40,'31.08 NSOOBA-KYEBANDO'!I40,'02.08 NSOOBA-KYEBANDO'!I40,'01.08 NSOOBA-KYEBANDO-24h'!I40,'03.80 NSOOBA-KYEBANDO-24h'!I40,'4.08. Kyebando-Nsooba'!I40)</f>
        <v>2.2857142857142856</v>
      </c>
      <c r="J40" s="49">
        <f>AVERAGE('29.07 NSOOBA-KYEBANDO'!J40,'30.07 NSOOBA-KYEBANDO'!J40,'31.08 NSOOBA-KYEBANDO'!J40,'02.08 NSOOBA-KYEBANDO'!J40,'01.08 NSOOBA-KYEBANDO-24h'!J40,'03.80 NSOOBA-KYEBANDO-24h'!J40,'4.08. Kyebando-Nsooba'!J40)</f>
        <v>0.2857142857142857</v>
      </c>
      <c r="K40" s="49">
        <f>AVERAGE('29.07 NSOOBA-KYEBANDO'!K40,'30.07 NSOOBA-KYEBANDO'!K40,'31.08 NSOOBA-KYEBANDO'!K40,'02.08 NSOOBA-KYEBANDO'!K40,'01.08 NSOOBA-KYEBANDO-24h'!K40,'03.80 NSOOBA-KYEBANDO-24h'!K40,'4.08. Kyebando-Nsooba'!K40)</f>
        <v>0.42857142857142855</v>
      </c>
      <c r="L40" s="49">
        <f>AVERAGE('29.07 NSOOBA-KYEBANDO'!L40,'30.07 NSOOBA-KYEBANDO'!L40,'31.08 NSOOBA-KYEBANDO'!L40,'02.08 NSOOBA-KYEBANDO'!L40,'01.08 NSOOBA-KYEBANDO-24h'!L40,'03.80 NSOOBA-KYEBANDO-24h'!L40,'4.08. Kyebando-Nsooba'!L40)</f>
        <v>0</v>
      </c>
      <c r="M40" s="49">
        <f>AVERAGE('29.07 NSOOBA-KYEBANDO'!M40,'30.07 NSOOBA-KYEBANDO'!M40,'31.08 NSOOBA-KYEBANDO'!M40,'02.08 NSOOBA-KYEBANDO'!M40,'01.08 NSOOBA-KYEBANDO-24h'!M40,'03.80 NSOOBA-KYEBANDO-24h'!M40,'4.08. Kyebando-Nsooba'!M40)</f>
        <v>47.857142857142854</v>
      </c>
      <c r="N40" s="49">
        <f>AVERAGE('29.07 NSOOBA-KYEBANDO'!N40,'30.07 NSOOBA-KYEBANDO'!N40,'31.08 NSOOBA-KYEBANDO'!N40,'02.08 NSOOBA-KYEBANDO'!N40,'01.08 NSOOBA-KYEBANDO-24h'!N40,'03.80 NSOOBA-KYEBANDO-24h'!N40,'4.08. Kyebando-Nsooba'!N40)</f>
        <v>0</v>
      </c>
      <c r="O40" s="15">
        <f t="shared" si="0"/>
        <v>29.714285714285708</v>
      </c>
      <c r="P40" s="15">
        <f t="shared" si="1"/>
        <v>77.571428571428555</v>
      </c>
      <c r="R40" s="5" t="s">
        <v>17</v>
      </c>
      <c r="S40" s="56">
        <f t="shared" ref="S40:AF40" si="32">SUM(S10:S21)</f>
        <v>1410</v>
      </c>
      <c r="T40" s="56">
        <f t="shared" si="32"/>
        <v>315.28571428571422</v>
      </c>
      <c r="U40" s="56">
        <f t="shared" si="32"/>
        <v>157.42857142857139</v>
      </c>
      <c r="V40" s="56">
        <f t="shared" si="32"/>
        <v>560</v>
      </c>
      <c r="W40" s="56">
        <f t="shared" si="32"/>
        <v>12.142857142857142</v>
      </c>
      <c r="X40" s="56">
        <f t="shared" si="32"/>
        <v>1.2857142857142854</v>
      </c>
      <c r="Y40" s="56">
        <f t="shared" si="32"/>
        <v>173.99999999999997</v>
      </c>
      <c r="Z40" s="56">
        <f t="shared" si="32"/>
        <v>20</v>
      </c>
      <c r="AA40" s="56">
        <f t="shared" si="32"/>
        <v>12.999999999999996</v>
      </c>
      <c r="AB40" s="56">
        <f t="shared" si="32"/>
        <v>0.99999999999999989</v>
      </c>
      <c r="AC40" s="56">
        <f t="shared" si="32"/>
        <v>3123.2857142857138</v>
      </c>
      <c r="AD40" s="56">
        <f t="shared" si="32"/>
        <v>0.42857142857142855</v>
      </c>
      <c r="AE40" s="57">
        <f t="shared" si="32"/>
        <v>2664.5714285714284</v>
      </c>
      <c r="AF40" s="57">
        <f t="shared" si="32"/>
        <v>5787.8571428571431</v>
      </c>
    </row>
    <row r="41" spans="2:32" ht="23.1" customHeight="1" x14ac:dyDescent="0.25">
      <c r="B41" s="23" t="s">
        <v>68</v>
      </c>
      <c r="C41" s="49">
        <f>AVERAGE('29.07 NSOOBA-KYEBANDO'!C41,'30.07 NSOOBA-KYEBANDO'!C41,'31.08 NSOOBA-KYEBANDO'!C41,'02.08 NSOOBA-KYEBANDO'!C41,'01.08 NSOOBA-KYEBANDO-24h'!C41,'03.80 NSOOBA-KYEBANDO-24h'!C41,'4.08. Kyebando-Nsooba'!C41)</f>
        <v>18</v>
      </c>
      <c r="D41" s="49">
        <f>AVERAGE('29.07 NSOOBA-KYEBANDO'!D41,'30.07 NSOOBA-KYEBANDO'!D41,'31.08 NSOOBA-KYEBANDO'!D41,'02.08 NSOOBA-KYEBANDO'!D41,'01.08 NSOOBA-KYEBANDO-24h'!D41,'03.80 NSOOBA-KYEBANDO-24h'!D41,'4.08. Kyebando-Nsooba'!D41)</f>
        <v>4</v>
      </c>
      <c r="E41" s="49">
        <f>AVERAGE('29.07 NSOOBA-KYEBANDO'!E41,'30.07 NSOOBA-KYEBANDO'!E41,'31.08 NSOOBA-KYEBANDO'!E41,'02.08 NSOOBA-KYEBANDO'!E41,'01.08 NSOOBA-KYEBANDO-24h'!E41,'03.80 NSOOBA-KYEBANDO-24h'!E41,'4.08. Kyebando-Nsooba'!E41)</f>
        <v>2.2857142857142856</v>
      </c>
      <c r="F41" s="49">
        <f>AVERAGE('29.07 NSOOBA-KYEBANDO'!F41,'30.07 NSOOBA-KYEBANDO'!F41,'31.08 NSOOBA-KYEBANDO'!F41,'02.08 NSOOBA-KYEBANDO'!F41,'01.08 NSOOBA-KYEBANDO-24h'!F41,'03.80 NSOOBA-KYEBANDO-24h'!F41,'4.08. Kyebando-Nsooba'!F41)</f>
        <v>5.4285714285714288</v>
      </c>
      <c r="G41" s="49">
        <f>AVERAGE('29.07 NSOOBA-KYEBANDO'!G41,'30.07 NSOOBA-KYEBANDO'!G41,'31.08 NSOOBA-KYEBANDO'!G41,'02.08 NSOOBA-KYEBANDO'!G41,'01.08 NSOOBA-KYEBANDO-24h'!G41,'03.80 NSOOBA-KYEBANDO-24h'!G41,'4.08. Kyebando-Nsooba'!G41)</f>
        <v>0.2857142857142857</v>
      </c>
      <c r="H41" s="49">
        <f>AVERAGE('29.07 NSOOBA-KYEBANDO'!H41,'30.07 NSOOBA-KYEBANDO'!H41,'31.08 NSOOBA-KYEBANDO'!H41,'02.08 NSOOBA-KYEBANDO'!H41,'01.08 NSOOBA-KYEBANDO-24h'!H41,'03.80 NSOOBA-KYEBANDO-24h'!H41,'4.08. Kyebando-Nsooba'!H41)</f>
        <v>0</v>
      </c>
      <c r="I41" s="49">
        <f>AVERAGE('29.07 NSOOBA-KYEBANDO'!I41,'30.07 NSOOBA-KYEBANDO'!I41,'31.08 NSOOBA-KYEBANDO'!I41,'02.08 NSOOBA-KYEBANDO'!I41,'01.08 NSOOBA-KYEBANDO-24h'!I41,'03.80 NSOOBA-KYEBANDO-24h'!I41,'4.08. Kyebando-Nsooba'!I41)</f>
        <v>2.2857142857142856</v>
      </c>
      <c r="J41" s="49">
        <f>AVERAGE('29.07 NSOOBA-KYEBANDO'!J41,'30.07 NSOOBA-KYEBANDO'!J41,'31.08 NSOOBA-KYEBANDO'!J41,'02.08 NSOOBA-KYEBANDO'!J41,'01.08 NSOOBA-KYEBANDO-24h'!J41,'03.80 NSOOBA-KYEBANDO-24h'!J41,'4.08. Kyebando-Nsooba'!J41)</f>
        <v>0.42857142857142855</v>
      </c>
      <c r="K41" s="49">
        <f>AVERAGE('29.07 NSOOBA-KYEBANDO'!K41,'30.07 NSOOBA-KYEBANDO'!K41,'31.08 NSOOBA-KYEBANDO'!K41,'02.08 NSOOBA-KYEBANDO'!K41,'01.08 NSOOBA-KYEBANDO-24h'!K41,'03.80 NSOOBA-KYEBANDO-24h'!K41,'4.08. Kyebando-Nsooba'!K41)</f>
        <v>0.14285714285714285</v>
      </c>
      <c r="L41" s="49">
        <f>AVERAGE('29.07 NSOOBA-KYEBANDO'!L41,'30.07 NSOOBA-KYEBANDO'!L41,'31.08 NSOOBA-KYEBANDO'!L41,'02.08 NSOOBA-KYEBANDO'!L41,'01.08 NSOOBA-KYEBANDO-24h'!L41,'03.80 NSOOBA-KYEBANDO-24h'!L41,'4.08. Kyebando-Nsooba'!L41)</f>
        <v>0</v>
      </c>
      <c r="M41" s="49">
        <f>AVERAGE('29.07 NSOOBA-KYEBANDO'!M41,'30.07 NSOOBA-KYEBANDO'!M41,'31.08 NSOOBA-KYEBANDO'!M41,'02.08 NSOOBA-KYEBANDO'!M41,'01.08 NSOOBA-KYEBANDO-24h'!M41,'03.80 NSOOBA-KYEBANDO-24h'!M41,'4.08. Kyebando-Nsooba'!M41)</f>
        <v>36.428571428571431</v>
      </c>
      <c r="N41" s="49">
        <f>AVERAGE('29.07 NSOOBA-KYEBANDO'!N41,'30.07 NSOOBA-KYEBANDO'!N41,'31.08 NSOOBA-KYEBANDO'!N41,'02.08 NSOOBA-KYEBANDO'!N41,'01.08 NSOOBA-KYEBANDO-24h'!N41,'03.80 NSOOBA-KYEBANDO-24h'!N41,'4.08. Kyebando-Nsooba'!N41)</f>
        <v>0</v>
      </c>
      <c r="O41" s="15">
        <f t="shared" si="0"/>
        <v>32.857142857142861</v>
      </c>
      <c r="P41" s="15">
        <f t="shared" si="1"/>
        <v>69.285714285714292</v>
      </c>
      <c r="R41" s="5" t="s">
        <v>177</v>
      </c>
      <c r="S41" s="56">
        <f>SUM(S10:S33)</f>
        <v>2275</v>
      </c>
      <c r="T41" s="56">
        <f t="shared" ref="T41:AD41" si="33">SUM(T10:T33)</f>
        <v>387.78571428571422</v>
      </c>
      <c r="U41" s="56">
        <f t="shared" si="33"/>
        <v>237.42857142857139</v>
      </c>
      <c r="V41" s="56">
        <f t="shared" si="33"/>
        <v>881.5</v>
      </c>
      <c r="W41" s="56">
        <f t="shared" si="33"/>
        <v>40.142857142857139</v>
      </c>
      <c r="X41" s="56">
        <f t="shared" si="33"/>
        <v>6.7857142857142856</v>
      </c>
      <c r="Y41" s="56">
        <f t="shared" si="33"/>
        <v>232.99999999999997</v>
      </c>
      <c r="Z41" s="56">
        <f t="shared" si="33"/>
        <v>35.5</v>
      </c>
      <c r="AA41" s="56">
        <f t="shared" si="33"/>
        <v>17.499999999999996</v>
      </c>
      <c r="AB41" s="56">
        <f t="shared" si="33"/>
        <v>3.5</v>
      </c>
      <c r="AC41" s="56">
        <f t="shared" si="33"/>
        <v>4433.7857142857138</v>
      </c>
      <c r="AD41" s="56">
        <f t="shared" si="33"/>
        <v>0.42857142857142855</v>
      </c>
      <c r="AE41" s="57">
        <f>SUM(AE10:AE33)</f>
        <v>4118.5714285714284</v>
      </c>
      <c r="AF41" s="57">
        <f>SUM(AF10:AF33)</f>
        <v>8552.3571428571431</v>
      </c>
    </row>
    <row r="42" spans="2:32" ht="23.1" customHeight="1" x14ac:dyDescent="0.25">
      <c r="B42" s="24" t="s">
        <v>69</v>
      </c>
      <c r="C42" s="49">
        <f>AVERAGE('29.07 NSOOBA-KYEBANDO'!C42,'30.07 NSOOBA-KYEBANDO'!C42,'31.08 NSOOBA-KYEBANDO'!C42,'02.08 NSOOBA-KYEBANDO'!C42,'01.08 NSOOBA-KYEBANDO-24h'!C42,'03.80 NSOOBA-KYEBANDO-24h'!C42,'4.08. Kyebando-Nsooba'!C42)</f>
        <v>17.142857142857142</v>
      </c>
      <c r="D42" s="49">
        <f>AVERAGE('29.07 NSOOBA-KYEBANDO'!D42,'30.07 NSOOBA-KYEBANDO'!D42,'31.08 NSOOBA-KYEBANDO'!D42,'02.08 NSOOBA-KYEBANDO'!D42,'01.08 NSOOBA-KYEBANDO-24h'!D42,'03.80 NSOOBA-KYEBANDO-24h'!D42,'4.08. Kyebando-Nsooba'!D42)</f>
        <v>5.8571428571428568</v>
      </c>
      <c r="E42" s="49">
        <f>AVERAGE('29.07 NSOOBA-KYEBANDO'!E42,'30.07 NSOOBA-KYEBANDO'!E42,'31.08 NSOOBA-KYEBANDO'!E42,'02.08 NSOOBA-KYEBANDO'!E42,'01.08 NSOOBA-KYEBANDO-24h'!E42,'03.80 NSOOBA-KYEBANDO-24h'!E42,'4.08. Kyebando-Nsooba'!E42)</f>
        <v>3.8571428571428572</v>
      </c>
      <c r="F42" s="49">
        <f>AVERAGE('29.07 NSOOBA-KYEBANDO'!F42,'30.07 NSOOBA-KYEBANDO'!F42,'31.08 NSOOBA-KYEBANDO'!F42,'02.08 NSOOBA-KYEBANDO'!F42,'01.08 NSOOBA-KYEBANDO-24h'!F42,'03.80 NSOOBA-KYEBANDO-24h'!F42,'4.08. Kyebando-Nsooba'!F42)</f>
        <v>6.1428571428571432</v>
      </c>
      <c r="G42" s="49">
        <f>AVERAGE('29.07 NSOOBA-KYEBANDO'!G42,'30.07 NSOOBA-KYEBANDO'!G42,'31.08 NSOOBA-KYEBANDO'!G42,'02.08 NSOOBA-KYEBANDO'!G42,'01.08 NSOOBA-KYEBANDO-24h'!G42,'03.80 NSOOBA-KYEBANDO-24h'!G42,'4.08. Kyebando-Nsooba'!G42)</f>
        <v>0.42857142857142855</v>
      </c>
      <c r="H42" s="49">
        <f>AVERAGE('29.07 NSOOBA-KYEBANDO'!H42,'30.07 NSOOBA-KYEBANDO'!H42,'31.08 NSOOBA-KYEBANDO'!H42,'02.08 NSOOBA-KYEBANDO'!H42,'01.08 NSOOBA-KYEBANDO-24h'!H42,'03.80 NSOOBA-KYEBANDO-24h'!H42,'4.08. Kyebando-Nsooba'!H42)</f>
        <v>0</v>
      </c>
      <c r="I42" s="49">
        <f>AVERAGE('29.07 NSOOBA-KYEBANDO'!I42,'30.07 NSOOBA-KYEBANDO'!I42,'31.08 NSOOBA-KYEBANDO'!I42,'02.08 NSOOBA-KYEBANDO'!I42,'01.08 NSOOBA-KYEBANDO-24h'!I42,'03.80 NSOOBA-KYEBANDO-24h'!I42,'4.08. Kyebando-Nsooba'!I42)</f>
        <v>2.5714285714285716</v>
      </c>
      <c r="J42" s="49">
        <f>AVERAGE('29.07 NSOOBA-KYEBANDO'!J42,'30.07 NSOOBA-KYEBANDO'!J42,'31.08 NSOOBA-KYEBANDO'!J42,'02.08 NSOOBA-KYEBANDO'!J42,'01.08 NSOOBA-KYEBANDO-24h'!J42,'03.80 NSOOBA-KYEBANDO-24h'!J42,'4.08. Kyebando-Nsooba'!J42)</f>
        <v>0.2857142857142857</v>
      </c>
      <c r="K42" s="49">
        <f>AVERAGE('29.07 NSOOBA-KYEBANDO'!K42,'30.07 NSOOBA-KYEBANDO'!K42,'31.08 NSOOBA-KYEBANDO'!K42,'02.08 NSOOBA-KYEBANDO'!K42,'01.08 NSOOBA-KYEBANDO-24h'!K42,'03.80 NSOOBA-KYEBANDO-24h'!K42,'4.08. Kyebando-Nsooba'!K42)</f>
        <v>0.2857142857142857</v>
      </c>
      <c r="L42" s="49">
        <f>AVERAGE('29.07 NSOOBA-KYEBANDO'!L42,'30.07 NSOOBA-KYEBANDO'!L42,'31.08 NSOOBA-KYEBANDO'!L42,'02.08 NSOOBA-KYEBANDO'!L42,'01.08 NSOOBA-KYEBANDO-24h'!L42,'03.80 NSOOBA-KYEBANDO-24h'!L42,'4.08. Kyebando-Nsooba'!L42)</f>
        <v>0</v>
      </c>
      <c r="M42" s="49">
        <f>AVERAGE('29.07 NSOOBA-KYEBANDO'!M42,'30.07 NSOOBA-KYEBANDO'!M42,'31.08 NSOOBA-KYEBANDO'!M42,'02.08 NSOOBA-KYEBANDO'!M42,'01.08 NSOOBA-KYEBANDO-24h'!M42,'03.80 NSOOBA-KYEBANDO-24h'!M42,'4.08. Kyebando-Nsooba'!M42)</f>
        <v>37.714285714285715</v>
      </c>
      <c r="N42" s="49">
        <f>AVERAGE('29.07 NSOOBA-KYEBANDO'!N42,'30.07 NSOOBA-KYEBANDO'!N42,'31.08 NSOOBA-KYEBANDO'!N42,'02.08 NSOOBA-KYEBANDO'!N42,'01.08 NSOOBA-KYEBANDO-24h'!N42,'03.80 NSOOBA-KYEBANDO-24h'!N42,'4.08. Kyebando-Nsooba'!N42)</f>
        <v>0</v>
      </c>
      <c r="O42" s="15">
        <f t="shared" si="0"/>
        <v>36.571428571428569</v>
      </c>
      <c r="P42" s="15">
        <f t="shared" si="1"/>
        <v>74.285714285714278</v>
      </c>
      <c r="R42" s="5" t="s">
        <v>160</v>
      </c>
      <c r="S42" s="48">
        <f>S41/S40</f>
        <v>1.6134751773049645</v>
      </c>
      <c r="T42" s="48">
        <f t="shared" ref="T42:AF42" si="34">T41/T40</f>
        <v>1.2299501585863164</v>
      </c>
      <c r="U42" s="48">
        <f t="shared" si="34"/>
        <v>1.5081669691470057</v>
      </c>
      <c r="V42" s="48">
        <f t="shared" si="34"/>
        <v>1.5741071428571429</v>
      </c>
      <c r="W42" s="48">
        <f t="shared" si="34"/>
        <v>3.3058823529411763</v>
      </c>
      <c r="X42" s="48">
        <f t="shared" si="34"/>
        <v>5.2777777777777795</v>
      </c>
      <c r="Y42" s="48">
        <f t="shared" si="34"/>
        <v>1.3390804597701149</v>
      </c>
      <c r="Z42" s="48">
        <f t="shared" si="34"/>
        <v>1.7749999999999999</v>
      </c>
      <c r="AA42" s="48">
        <f t="shared" si="34"/>
        <v>1.3461538461538463</v>
      </c>
      <c r="AB42" s="48">
        <f t="shared" si="34"/>
        <v>3.5000000000000004</v>
      </c>
      <c r="AC42" s="48">
        <f t="shared" si="34"/>
        <v>1.4195901751818141</v>
      </c>
      <c r="AD42" s="48">
        <f t="shared" si="34"/>
        <v>1</v>
      </c>
      <c r="AE42" s="58">
        <f t="shared" si="34"/>
        <v>1.5456787475873901</v>
      </c>
      <c r="AF42" s="58">
        <f t="shared" si="34"/>
        <v>1.4776379118844871</v>
      </c>
    </row>
    <row r="43" spans="2:32" ht="23.1" customHeight="1" x14ac:dyDescent="0.25">
      <c r="B43" s="23" t="s">
        <v>70</v>
      </c>
      <c r="C43" s="49">
        <f>AVERAGE('29.07 NSOOBA-KYEBANDO'!C43,'30.07 NSOOBA-KYEBANDO'!C43,'31.08 NSOOBA-KYEBANDO'!C43,'02.08 NSOOBA-KYEBANDO'!C43,'01.08 NSOOBA-KYEBANDO-24h'!C43,'03.80 NSOOBA-KYEBANDO-24h'!C43,'4.08. Kyebando-Nsooba'!C43)</f>
        <v>18.571428571428573</v>
      </c>
      <c r="D43" s="49">
        <f>AVERAGE('29.07 NSOOBA-KYEBANDO'!D43,'30.07 NSOOBA-KYEBANDO'!D43,'31.08 NSOOBA-KYEBANDO'!D43,'02.08 NSOOBA-KYEBANDO'!D43,'01.08 NSOOBA-KYEBANDO-24h'!D43,'03.80 NSOOBA-KYEBANDO-24h'!D43,'4.08. Kyebando-Nsooba'!D43)</f>
        <v>5.4285714285714288</v>
      </c>
      <c r="E43" s="49">
        <f>AVERAGE('29.07 NSOOBA-KYEBANDO'!E43,'30.07 NSOOBA-KYEBANDO'!E43,'31.08 NSOOBA-KYEBANDO'!E43,'02.08 NSOOBA-KYEBANDO'!E43,'01.08 NSOOBA-KYEBANDO-24h'!E43,'03.80 NSOOBA-KYEBANDO-24h'!E43,'4.08. Kyebando-Nsooba'!E43)</f>
        <v>3.7142857142857144</v>
      </c>
      <c r="F43" s="49">
        <f>AVERAGE('29.07 NSOOBA-KYEBANDO'!F43,'30.07 NSOOBA-KYEBANDO'!F43,'31.08 NSOOBA-KYEBANDO'!F43,'02.08 NSOOBA-KYEBANDO'!F43,'01.08 NSOOBA-KYEBANDO-24h'!F43,'03.80 NSOOBA-KYEBANDO-24h'!F43,'4.08. Kyebando-Nsooba'!F43)</f>
        <v>7.2857142857142856</v>
      </c>
      <c r="G43" s="49">
        <f>AVERAGE('29.07 NSOOBA-KYEBANDO'!G43,'30.07 NSOOBA-KYEBANDO'!G43,'31.08 NSOOBA-KYEBANDO'!G43,'02.08 NSOOBA-KYEBANDO'!G43,'01.08 NSOOBA-KYEBANDO-24h'!G43,'03.80 NSOOBA-KYEBANDO-24h'!G43,'4.08. Kyebando-Nsooba'!G43)</f>
        <v>0</v>
      </c>
      <c r="H43" s="49">
        <f>AVERAGE('29.07 NSOOBA-KYEBANDO'!H43,'30.07 NSOOBA-KYEBANDO'!H43,'31.08 NSOOBA-KYEBANDO'!H43,'02.08 NSOOBA-KYEBANDO'!H43,'01.08 NSOOBA-KYEBANDO-24h'!H43,'03.80 NSOOBA-KYEBANDO-24h'!H43,'4.08. Kyebando-Nsooba'!H43)</f>
        <v>0</v>
      </c>
      <c r="I43" s="49">
        <f>AVERAGE('29.07 NSOOBA-KYEBANDO'!I43,'30.07 NSOOBA-KYEBANDO'!I43,'31.08 NSOOBA-KYEBANDO'!I43,'02.08 NSOOBA-KYEBANDO'!I43,'01.08 NSOOBA-KYEBANDO-24h'!I43,'03.80 NSOOBA-KYEBANDO-24h'!I43,'4.08. Kyebando-Nsooba'!I43)</f>
        <v>2.8571428571428572</v>
      </c>
      <c r="J43" s="49">
        <f>AVERAGE('29.07 NSOOBA-KYEBANDO'!J43,'30.07 NSOOBA-KYEBANDO'!J43,'31.08 NSOOBA-KYEBANDO'!J43,'02.08 NSOOBA-KYEBANDO'!J43,'01.08 NSOOBA-KYEBANDO-24h'!J43,'03.80 NSOOBA-KYEBANDO-24h'!J43,'4.08. Kyebando-Nsooba'!J43)</f>
        <v>1</v>
      </c>
      <c r="K43" s="49">
        <f>AVERAGE('29.07 NSOOBA-KYEBANDO'!K43,'30.07 NSOOBA-KYEBANDO'!K43,'31.08 NSOOBA-KYEBANDO'!K43,'02.08 NSOOBA-KYEBANDO'!K43,'01.08 NSOOBA-KYEBANDO-24h'!K43,'03.80 NSOOBA-KYEBANDO-24h'!K43,'4.08. Kyebando-Nsooba'!K43)</f>
        <v>0.2857142857142857</v>
      </c>
      <c r="L43" s="49">
        <f>AVERAGE('29.07 NSOOBA-KYEBANDO'!L43,'30.07 NSOOBA-KYEBANDO'!L43,'31.08 NSOOBA-KYEBANDO'!L43,'02.08 NSOOBA-KYEBANDO'!L43,'01.08 NSOOBA-KYEBANDO-24h'!L43,'03.80 NSOOBA-KYEBANDO-24h'!L43,'4.08. Kyebando-Nsooba'!L43)</f>
        <v>0</v>
      </c>
      <c r="M43" s="49">
        <f>AVERAGE('29.07 NSOOBA-KYEBANDO'!M43,'30.07 NSOOBA-KYEBANDO'!M43,'31.08 NSOOBA-KYEBANDO'!M43,'02.08 NSOOBA-KYEBANDO'!M43,'01.08 NSOOBA-KYEBANDO-24h'!M43,'03.80 NSOOBA-KYEBANDO-24h'!M43,'4.08. Kyebando-Nsooba'!M43)</f>
        <v>42.285714285714285</v>
      </c>
      <c r="N43" s="49">
        <f>AVERAGE('29.07 NSOOBA-KYEBANDO'!N43,'30.07 NSOOBA-KYEBANDO'!N43,'31.08 NSOOBA-KYEBANDO'!N43,'02.08 NSOOBA-KYEBANDO'!N43,'01.08 NSOOBA-KYEBANDO-24h'!N43,'03.80 NSOOBA-KYEBANDO-24h'!N43,'4.08. Kyebando-Nsooba'!N43)</f>
        <v>0</v>
      </c>
      <c r="O43" s="15">
        <f t="shared" si="0"/>
        <v>39.142857142857139</v>
      </c>
      <c r="P43" s="15">
        <f t="shared" si="1"/>
        <v>81.428571428571416</v>
      </c>
    </row>
    <row r="44" spans="2:32" ht="23.1" customHeight="1" x14ac:dyDescent="0.25">
      <c r="B44" s="25" t="s">
        <v>71</v>
      </c>
      <c r="C44" s="49">
        <f>AVERAGE('29.07 NSOOBA-KYEBANDO'!C44,'30.07 NSOOBA-KYEBANDO'!C44,'31.08 NSOOBA-KYEBANDO'!C44,'02.08 NSOOBA-KYEBANDO'!C44,'01.08 NSOOBA-KYEBANDO-24h'!C44,'03.80 NSOOBA-KYEBANDO-24h'!C44,'4.08. Kyebando-Nsooba'!C44)</f>
        <v>16.857142857142858</v>
      </c>
      <c r="D44" s="49">
        <f>AVERAGE('29.07 NSOOBA-KYEBANDO'!D44,'30.07 NSOOBA-KYEBANDO'!D44,'31.08 NSOOBA-KYEBANDO'!D44,'02.08 NSOOBA-KYEBANDO'!D44,'01.08 NSOOBA-KYEBANDO-24h'!D44,'03.80 NSOOBA-KYEBANDO-24h'!D44,'4.08. Kyebando-Nsooba'!D44)</f>
        <v>3.8571428571428572</v>
      </c>
      <c r="E44" s="49">
        <f>AVERAGE('29.07 NSOOBA-KYEBANDO'!E44,'30.07 NSOOBA-KYEBANDO'!E44,'31.08 NSOOBA-KYEBANDO'!E44,'02.08 NSOOBA-KYEBANDO'!E44,'01.08 NSOOBA-KYEBANDO-24h'!E44,'03.80 NSOOBA-KYEBANDO-24h'!E44,'4.08. Kyebando-Nsooba'!E44)</f>
        <v>3.1428571428571428</v>
      </c>
      <c r="F44" s="49">
        <f>AVERAGE('29.07 NSOOBA-KYEBANDO'!F44,'30.07 NSOOBA-KYEBANDO'!F44,'31.08 NSOOBA-KYEBANDO'!F44,'02.08 NSOOBA-KYEBANDO'!F44,'01.08 NSOOBA-KYEBANDO-24h'!F44,'03.80 NSOOBA-KYEBANDO-24h'!F44,'4.08. Kyebando-Nsooba'!F44)</f>
        <v>4.8571428571428568</v>
      </c>
      <c r="G44" s="49">
        <f>AVERAGE('29.07 NSOOBA-KYEBANDO'!G44,'30.07 NSOOBA-KYEBANDO'!G44,'31.08 NSOOBA-KYEBANDO'!G44,'02.08 NSOOBA-KYEBANDO'!G44,'01.08 NSOOBA-KYEBANDO-24h'!G44,'03.80 NSOOBA-KYEBANDO-24h'!G44,'4.08. Kyebando-Nsooba'!G44)</f>
        <v>0</v>
      </c>
      <c r="H44" s="49">
        <f>AVERAGE('29.07 NSOOBA-KYEBANDO'!H44,'30.07 NSOOBA-KYEBANDO'!H44,'31.08 NSOOBA-KYEBANDO'!H44,'02.08 NSOOBA-KYEBANDO'!H44,'01.08 NSOOBA-KYEBANDO-24h'!H44,'03.80 NSOOBA-KYEBANDO-24h'!H44,'4.08. Kyebando-Nsooba'!H44)</f>
        <v>0</v>
      </c>
      <c r="I44" s="49">
        <f>AVERAGE('29.07 NSOOBA-KYEBANDO'!I44,'30.07 NSOOBA-KYEBANDO'!I44,'31.08 NSOOBA-KYEBANDO'!I44,'02.08 NSOOBA-KYEBANDO'!I44,'01.08 NSOOBA-KYEBANDO-24h'!I44,'03.80 NSOOBA-KYEBANDO-24h'!I44,'4.08. Kyebando-Nsooba'!I44)</f>
        <v>3.7142857142857144</v>
      </c>
      <c r="J44" s="49">
        <f>AVERAGE('29.07 NSOOBA-KYEBANDO'!J44,'30.07 NSOOBA-KYEBANDO'!J44,'31.08 NSOOBA-KYEBANDO'!J44,'02.08 NSOOBA-KYEBANDO'!J44,'01.08 NSOOBA-KYEBANDO-24h'!J44,'03.80 NSOOBA-KYEBANDO-24h'!J44,'4.08. Kyebando-Nsooba'!J44)</f>
        <v>0.8571428571428571</v>
      </c>
      <c r="K44" s="49">
        <f>AVERAGE('29.07 NSOOBA-KYEBANDO'!K44,'30.07 NSOOBA-KYEBANDO'!K44,'31.08 NSOOBA-KYEBANDO'!K44,'02.08 NSOOBA-KYEBANDO'!K44,'01.08 NSOOBA-KYEBANDO-24h'!K44,'03.80 NSOOBA-KYEBANDO-24h'!K44,'4.08. Kyebando-Nsooba'!K44)</f>
        <v>0</v>
      </c>
      <c r="L44" s="49">
        <f>AVERAGE('29.07 NSOOBA-KYEBANDO'!L44,'30.07 NSOOBA-KYEBANDO'!L44,'31.08 NSOOBA-KYEBANDO'!L44,'02.08 NSOOBA-KYEBANDO'!L44,'01.08 NSOOBA-KYEBANDO-24h'!L44,'03.80 NSOOBA-KYEBANDO-24h'!L44,'4.08. Kyebando-Nsooba'!L44)</f>
        <v>0</v>
      </c>
      <c r="M44" s="49">
        <f>AVERAGE('29.07 NSOOBA-KYEBANDO'!M44,'30.07 NSOOBA-KYEBANDO'!M44,'31.08 NSOOBA-KYEBANDO'!M44,'02.08 NSOOBA-KYEBANDO'!M44,'01.08 NSOOBA-KYEBANDO-24h'!M44,'03.80 NSOOBA-KYEBANDO-24h'!M44,'4.08. Kyebando-Nsooba'!M44)</f>
        <v>40.857142857142854</v>
      </c>
      <c r="N44" s="49">
        <f>AVERAGE('29.07 NSOOBA-KYEBANDO'!N44,'30.07 NSOOBA-KYEBANDO'!N44,'31.08 NSOOBA-KYEBANDO'!N44,'02.08 NSOOBA-KYEBANDO'!N44,'01.08 NSOOBA-KYEBANDO-24h'!N44,'03.80 NSOOBA-KYEBANDO-24h'!N44,'4.08. Kyebando-Nsooba'!N44)</f>
        <v>0</v>
      </c>
      <c r="O44" s="15">
        <f t="shared" si="0"/>
        <v>33.285714285714285</v>
      </c>
      <c r="P44" s="15">
        <f t="shared" si="1"/>
        <v>74.142857142857139</v>
      </c>
    </row>
    <row r="45" spans="2:32" ht="23.1" customHeight="1" x14ac:dyDescent="0.25">
      <c r="B45" s="23" t="s">
        <v>72</v>
      </c>
      <c r="C45" s="49">
        <f>AVERAGE('29.07 NSOOBA-KYEBANDO'!C45,'30.07 NSOOBA-KYEBANDO'!C45,'31.08 NSOOBA-KYEBANDO'!C45,'02.08 NSOOBA-KYEBANDO'!C45,'01.08 NSOOBA-KYEBANDO-24h'!C45,'03.80 NSOOBA-KYEBANDO-24h'!C45,'4.08. Kyebando-Nsooba'!C45)</f>
        <v>16.857142857142858</v>
      </c>
      <c r="D45" s="49">
        <f>AVERAGE('29.07 NSOOBA-KYEBANDO'!D45,'30.07 NSOOBA-KYEBANDO'!D45,'31.08 NSOOBA-KYEBANDO'!D45,'02.08 NSOOBA-KYEBANDO'!D45,'01.08 NSOOBA-KYEBANDO-24h'!D45,'03.80 NSOOBA-KYEBANDO-24h'!D45,'4.08. Kyebando-Nsooba'!D45)</f>
        <v>4.2857142857142856</v>
      </c>
      <c r="E45" s="49">
        <f>AVERAGE('29.07 NSOOBA-KYEBANDO'!E45,'30.07 NSOOBA-KYEBANDO'!E45,'31.08 NSOOBA-KYEBANDO'!E45,'02.08 NSOOBA-KYEBANDO'!E45,'01.08 NSOOBA-KYEBANDO-24h'!E45,'03.80 NSOOBA-KYEBANDO-24h'!E45,'4.08. Kyebando-Nsooba'!E45)</f>
        <v>2.4285714285714284</v>
      </c>
      <c r="F45" s="49">
        <f>AVERAGE('29.07 NSOOBA-KYEBANDO'!F45,'30.07 NSOOBA-KYEBANDO'!F45,'31.08 NSOOBA-KYEBANDO'!F45,'02.08 NSOOBA-KYEBANDO'!F45,'01.08 NSOOBA-KYEBANDO-24h'!F45,'03.80 NSOOBA-KYEBANDO-24h'!F45,'4.08. Kyebando-Nsooba'!F45)</f>
        <v>5</v>
      </c>
      <c r="G45" s="49">
        <f>AVERAGE('29.07 NSOOBA-KYEBANDO'!G45,'30.07 NSOOBA-KYEBANDO'!G45,'31.08 NSOOBA-KYEBANDO'!G45,'02.08 NSOOBA-KYEBANDO'!G45,'01.08 NSOOBA-KYEBANDO-24h'!G45,'03.80 NSOOBA-KYEBANDO-24h'!G45,'4.08. Kyebando-Nsooba'!G45)</f>
        <v>0</v>
      </c>
      <c r="H45" s="49">
        <f>AVERAGE('29.07 NSOOBA-KYEBANDO'!H45,'30.07 NSOOBA-KYEBANDO'!H45,'31.08 NSOOBA-KYEBANDO'!H45,'02.08 NSOOBA-KYEBANDO'!H45,'01.08 NSOOBA-KYEBANDO-24h'!H45,'03.80 NSOOBA-KYEBANDO-24h'!H45,'4.08. Kyebando-Nsooba'!H45)</f>
        <v>0</v>
      </c>
      <c r="I45" s="49">
        <f>AVERAGE('29.07 NSOOBA-KYEBANDO'!I45,'30.07 NSOOBA-KYEBANDO'!I45,'31.08 NSOOBA-KYEBANDO'!I45,'02.08 NSOOBA-KYEBANDO'!I45,'01.08 NSOOBA-KYEBANDO-24h'!I45,'03.80 NSOOBA-KYEBANDO-24h'!I45,'4.08. Kyebando-Nsooba'!I45)</f>
        <v>4</v>
      </c>
      <c r="J45" s="49">
        <f>AVERAGE('29.07 NSOOBA-KYEBANDO'!J45,'30.07 NSOOBA-KYEBANDO'!J45,'31.08 NSOOBA-KYEBANDO'!J45,'02.08 NSOOBA-KYEBANDO'!J45,'01.08 NSOOBA-KYEBANDO-24h'!J45,'03.80 NSOOBA-KYEBANDO-24h'!J45,'4.08. Kyebando-Nsooba'!J45)</f>
        <v>0.14285714285714285</v>
      </c>
      <c r="K45" s="49">
        <f>AVERAGE('29.07 NSOOBA-KYEBANDO'!K45,'30.07 NSOOBA-KYEBANDO'!K45,'31.08 NSOOBA-KYEBANDO'!K45,'02.08 NSOOBA-KYEBANDO'!K45,'01.08 NSOOBA-KYEBANDO-24h'!K45,'03.80 NSOOBA-KYEBANDO-24h'!K45,'4.08. Kyebando-Nsooba'!K45)</f>
        <v>0.2857142857142857</v>
      </c>
      <c r="L45" s="49">
        <f>AVERAGE('29.07 NSOOBA-KYEBANDO'!L45,'30.07 NSOOBA-KYEBANDO'!L45,'31.08 NSOOBA-KYEBANDO'!L45,'02.08 NSOOBA-KYEBANDO'!L45,'01.08 NSOOBA-KYEBANDO-24h'!L45,'03.80 NSOOBA-KYEBANDO-24h'!L45,'4.08. Kyebando-Nsooba'!L45)</f>
        <v>0</v>
      </c>
      <c r="M45" s="49">
        <f>AVERAGE('29.07 NSOOBA-KYEBANDO'!M45,'30.07 NSOOBA-KYEBANDO'!M45,'31.08 NSOOBA-KYEBANDO'!M45,'02.08 NSOOBA-KYEBANDO'!M45,'01.08 NSOOBA-KYEBANDO-24h'!M45,'03.80 NSOOBA-KYEBANDO-24h'!M45,'4.08. Kyebando-Nsooba'!M45)</f>
        <v>40.714285714285715</v>
      </c>
      <c r="N45" s="49">
        <f>AVERAGE('29.07 NSOOBA-KYEBANDO'!N45,'30.07 NSOOBA-KYEBANDO'!N45,'31.08 NSOOBA-KYEBANDO'!N45,'02.08 NSOOBA-KYEBANDO'!N45,'01.08 NSOOBA-KYEBANDO-24h'!N45,'03.80 NSOOBA-KYEBANDO-24h'!N45,'4.08. Kyebando-Nsooba'!N45)</f>
        <v>0</v>
      </c>
      <c r="O45" s="15">
        <f t="shared" si="0"/>
        <v>33</v>
      </c>
      <c r="P45" s="15">
        <f t="shared" si="1"/>
        <v>73.714285714285722</v>
      </c>
    </row>
    <row r="46" spans="2:32" ht="23.1" customHeight="1" x14ac:dyDescent="0.25">
      <c r="B46" s="24" t="s">
        <v>73</v>
      </c>
      <c r="C46" s="49">
        <f>AVERAGE('29.07 NSOOBA-KYEBANDO'!C46,'30.07 NSOOBA-KYEBANDO'!C46,'31.08 NSOOBA-KYEBANDO'!C46,'02.08 NSOOBA-KYEBANDO'!C46,'01.08 NSOOBA-KYEBANDO-24h'!C46,'03.80 NSOOBA-KYEBANDO-24h'!C46,'4.08. Kyebando-Nsooba'!C46)</f>
        <v>21.571428571428573</v>
      </c>
      <c r="D46" s="49">
        <f>AVERAGE('29.07 NSOOBA-KYEBANDO'!D46,'30.07 NSOOBA-KYEBANDO'!D46,'31.08 NSOOBA-KYEBANDO'!D46,'02.08 NSOOBA-KYEBANDO'!D46,'01.08 NSOOBA-KYEBANDO-24h'!D46,'03.80 NSOOBA-KYEBANDO-24h'!D46,'4.08. Kyebando-Nsooba'!D46)</f>
        <v>5.8571428571428568</v>
      </c>
      <c r="E46" s="49">
        <f>AVERAGE('29.07 NSOOBA-KYEBANDO'!E46,'30.07 NSOOBA-KYEBANDO'!E46,'31.08 NSOOBA-KYEBANDO'!E46,'02.08 NSOOBA-KYEBANDO'!E46,'01.08 NSOOBA-KYEBANDO-24h'!E46,'03.80 NSOOBA-KYEBANDO-24h'!E46,'4.08. Kyebando-Nsooba'!E46)</f>
        <v>2.1428571428571428</v>
      </c>
      <c r="F46" s="49">
        <f>AVERAGE('29.07 NSOOBA-KYEBANDO'!F46,'30.07 NSOOBA-KYEBANDO'!F46,'31.08 NSOOBA-KYEBANDO'!F46,'02.08 NSOOBA-KYEBANDO'!F46,'01.08 NSOOBA-KYEBANDO-24h'!F46,'03.80 NSOOBA-KYEBANDO-24h'!F46,'4.08. Kyebando-Nsooba'!F46)</f>
        <v>5.4285714285714288</v>
      </c>
      <c r="G46" s="49">
        <f>AVERAGE('29.07 NSOOBA-KYEBANDO'!G46,'30.07 NSOOBA-KYEBANDO'!G46,'31.08 NSOOBA-KYEBANDO'!G46,'02.08 NSOOBA-KYEBANDO'!G46,'01.08 NSOOBA-KYEBANDO-24h'!G46,'03.80 NSOOBA-KYEBANDO-24h'!G46,'4.08. Kyebando-Nsooba'!G46)</f>
        <v>0.14285714285714285</v>
      </c>
      <c r="H46" s="49">
        <f>AVERAGE('29.07 NSOOBA-KYEBANDO'!H46,'30.07 NSOOBA-KYEBANDO'!H46,'31.08 NSOOBA-KYEBANDO'!H46,'02.08 NSOOBA-KYEBANDO'!H46,'01.08 NSOOBA-KYEBANDO-24h'!H46,'03.80 NSOOBA-KYEBANDO-24h'!H46,'4.08. Kyebando-Nsooba'!H46)</f>
        <v>0</v>
      </c>
      <c r="I46" s="49">
        <f>AVERAGE('29.07 NSOOBA-KYEBANDO'!I46,'30.07 NSOOBA-KYEBANDO'!I46,'31.08 NSOOBA-KYEBANDO'!I46,'02.08 NSOOBA-KYEBANDO'!I46,'01.08 NSOOBA-KYEBANDO-24h'!I46,'03.80 NSOOBA-KYEBANDO-24h'!I46,'4.08. Kyebando-Nsooba'!I46)</f>
        <v>3.5714285714285716</v>
      </c>
      <c r="J46" s="49">
        <f>AVERAGE('29.07 NSOOBA-KYEBANDO'!J46,'30.07 NSOOBA-KYEBANDO'!J46,'31.08 NSOOBA-KYEBANDO'!J46,'02.08 NSOOBA-KYEBANDO'!J46,'01.08 NSOOBA-KYEBANDO-24h'!J46,'03.80 NSOOBA-KYEBANDO-24h'!J46,'4.08. Kyebando-Nsooba'!J46)</f>
        <v>1.5714285714285714</v>
      </c>
      <c r="K46" s="49">
        <f>AVERAGE('29.07 NSOOBA-KYEBANDO'!K46,'30.07 NSOOBA-KYEBANDO'!K46,'31.08 NSOOBA-KYEBANDO'!K46,'02.08 NSOOBA-KYEBANDO'!K46,'01.08 NSOOBA-KYEBANDO-24h'!K46,'03.80 NSOOBA-KYEBANDO-24h'!K46,'4.08. Kyebando-Nsooba'!K46)</f>
        <v>0</v>
      </c>
      <c r="L46" s="49">
        <f>AVERAGE('29.07 NSOOBA-KYEBANDO'!L46,'30.07 NSOOBA-KYEBANDO'!L46,'31.08 NSOOBA-KYEBANDO'!L46,'02.08 NSOOBA-KYEBANDO'!L46,'01.08 NSOOBA-KYEBANDO-24h'!L46,'03.80 NSOOBA-KYEBANDO-24h'!L46,'4.08. Kyebando-Nsooba'!L46)</f>
        <v>0</v>
      </c>
      <c r="M46" s="49">
        <f>AVERAGE('29.07 NSOOBA-KYEBANDO'!M46,'30.07 NSOOBA-KYEBANDO'!M46,'31.08 NSOOBA-KYEBANDO'!M46,'02.08 NSOOBA-KYEBANDO'!M46,'01.08 NSOOBA-KYEBANDO-24h'!M46,'03.80 NSOOBA-KYEBANDO-24h'!M46,'4.08. Kyebando-Nsooba'!M46)</f>
        <v>44.857142857142854</v>
      </c>
      <c r="N46" s="49">
        <f>AVERAGE('29.07 NSOOBA-KYEBANDO'!N46,'30.07 NSOOBA-KYEBANDO'!N46,'31.08 NSOOBA-KYEBANDO'!N46,'02.08 NSOOBA-KYEBANDO'!N46,'01.08 NSOOBA-KYEBANDO-24h'!N46,'03.80 NSOOBA-KYEBANDO-24h'!N46,'4.08. Kyebando-Nsooba'!N46)</f>
        <v>0</v>
      </c>
      <c r="O46" s="15">
        <f t="shared" si="0"/>
        <v>40.285714285714285</v>
      </c>
      <c r="P46" s="15">
        <f t="shared" si="1"/>
        <v>85.142857142857139</v>
      </c>
      <c r="R46" s="8"/>
      <c r="T46"/>
    </row>
    <row r="47" spans="2:32" ht="23.1" customHeight="1" x14ac:dyDescent="0.25">
      <c r="B47" s="24" t="s">
        <v>74</v>
      </c>
      <c r="C47" s="49">
        <f>AVERAGE('29.07 NSOOBA-KYEBANDO'!C47,'30.07 NSOOBA-KYEBANDO'!C47,'31.08 NSOOBA-KYEBANDO'!C47,'02.08 NSOOBA-KYEBANDO'!C47,'01.08 NSOOBA-KYEBANDO-24h'!C47,'03.80 NSOOBA-KYEBANDO-24h'!C47,'4.08. Kyebando-Nsooba'!C47)</f>
        <v>20.857142857142858</v>
      </c>
      <c r="D47" s="49">
        <f>AVERAGE('29.07 NSOOBA-KYEBANDO'!D47,'30.07 NSOOBA-KYEBANDO'!D47,'31.08 NSOOBA-KYEBANDO'!D47,'02.08 NSOOBA-KYEBANDO'!D47,'01.08 NSOOBA-KYEBANDO-24h'!D47,'03.80 NSOOBA-KYEBANDO-24h'!D47,'4.08. Kyebando-Nsooba'!D47)</f>
        <v>4.7142857142857144</v>
      </c>
      <c r="E47" s="49">
        <f>AVERAGE('29.07 NSOOBA-KYEBANDO'!E47,'30.07 NSOOBA-KYEBANDO'!E47,'31.08 NSOOBA-KYEBANDO'!E47,'02.08 NSOOBA-KYEBANDO'!E47,'01.08 NSOOBA-KYEBANDO-24h'!E47,'03.80 NSOOBA-KYEBANDO-24h'!E47,'4.08. Kyebando-Nsooba'!E47)</f>
        <v>4</v>
      </c>
      <c r="F47" s="49">
        <f>AVERAGE('29.07 NSOOBA-KYEBANDO'!F47,'30.07 NSOOBA-KYEBANDO'!F47,'31.08 NSOOBA-KYEBANDO'!F47,'02.08 NSOOBA-KYEBANDO'!F47,'01.08 NSOOBA-KYEBANDO-24h'!F47,'03.80 NSOOBA-KYEBANDO-24h'!F47,'4.08. Kyebando-Nsooba'!F47)</f>
        <v>5.7142857142857144</v>
      </c>
      <c r="G47" s="49">
        <f>AVERAGE('29.07 NSOOBA-KYEBANDO'!G47,'30.07 NSOOBA-KYEBANDO'!G47,'31.08 NSOOBA-KYEBANDO'!G47,'02.08 NSOOBA-KYEBANDO'!G47,'01.08 NSOOBA-KYEBANDO-24h'!G47,'03.80 NSOOBA-KYEBANDO-24h'!G47,'4.08. Kyebando-Nsooba'!G47)</f>
        <v>0.2857142857142857</v>
      </c>
      <c r="H47" s="49">
        <f>AVERAGE('29.07 NSOOBA-KYEBANDO'!H47,'30.07 NSOOBA-KYEBANDO'!H47,'31.08 NSOOBA-KYEBANDO'!H47,'02.08 NSOOBA-KYEBANDO'!H47,'01.08 NSOOBA-KYEBANDO-24h'!H47,'03.80 NSOOBA-KYEBANDO-24h'!H47,'4.08. Kyebando-Nsooba'!H47)</f>
        <v>0</v>
      </c>
      <c r="I47" s="49">
        <f>AVERAGE('29.07 NSOOBA-KYEBANDO'!I47,'30.07 NSOOBA-KYEBANDO'!I47,'31.08 NSOOBA-KYEBANDO'!I47,'02.08 NSOOBA-KYEBANDO'!I47,'01.08 NSOOBA-KYEBANDO-24h'!I47,'03.80 NSOOBA-KYEBANDO-24h'!I47,'4.08. Kyebando-Nsooba'!I47)</f>
        <v>4.5714285714285712</v>
      </c>
      <c r="J47" s="49">
        <f>AVERAGE('29.07 NSOOBA-KYEBANDO'!J47,'30.07 NSOOBA-KYEBANDO'!J47,'31.08 NSOOBA-KYEBANDO'!J47,'02.08 NSOOBA-KYEBANDO'!J47,'01.08 NSOOBA-KYEBANDO-24h'!J47,'03.80 NSOOBA-KYEBANDO-24h'!J47,'4.08. Kyebando-Nsooba'!J47)</f>
        <v>0.8571428571428571</v>
      </c>
      <c r="K47" s="49">
        <f>AVERAGE('29.07 NSOOBA-KYEBANDO'!K47,'30.07 NSOOBA-KYEBANDO'!K47,'31.08 NSOOBA-KYEBANDO'!K47,'02.08 NSOOBA-KYEBANDO'!K47,'01.08 NSOOBA-KYEBANDO-24h'!K47,'03.80 NSOOBA-KYEBANDO-24h'!K47,'4.08. Kyebando-Nsooba'!K47)</f>
        <v>0.2857142857142857</v>
      </c>
      <c r="L47" s="49">
        <f>AVERAGE('29.07 NSOOBA-KYEBANDO'!L47,'30.07 NSOOBA-KYEBANDO'!L47,'31.08 NSOOBA-KYEBANDO'!L47,'02.08 NSOOBA-KYEBANDO'!L47,'01.08 NSOOBA-KYEBANDO-24h'!L47,'03.80 NSOOBA-KYEBANDO-24h'!L47,'4.08. Kyebando-Nsooba'!L47)</f>
        <v>0</v>
      </c>
      <c r="M47" s="49">
        <f>AVERAGE('29.07 NSOOBA-KYEBANDO'!M47,'30.07 NSOOBA-KYEBANDO'!M47,'31.08 NSOOBA-KYEBANDO'!M47,'02.08 NSOOBA-KYEBANDO'!M47,'01.08 NSOOBA-KYEBANDO-24h'!M47,'03.80 NSOOBA-KYEBANDO-24h'!M47,'4.08. Kyebando-Nsooba'!M47)</f>
        <v>46</v>
      </c>
      <c r="N47" s="49">
        <f>AVERAGE('29.07 NSOOBA-KYEBANDO'!N47,'30.07 NSOOBA-KYEBANDO'!N47,'31.08 NSOOBA-KYEBANDO'!N47,'02.08 NSOOBA-KYEBANDO'!N47,'01.08 NSOOBA-KYEBANDO-24h'!N47,'03.80 NSOOBA-KYEBANDO-24h'!N47,'4.08. Kyebando-Nsooba'!N47)</f>
        <v>0</v>
      </c>
      <c r="O47" s="15">
        <f t="shared" si="0"/>
        <v>41.285714285714278</v>
      </c>
      <c r="P47" s="15">
        <f t="shared" si="1"/>
        <v>87.285714285714278</v>
      </c>
      <c r="R47" s="8"/>
      <c r="T47"/>
    </row>
    <row r="48" spans="2:32" ht="23.1" customHeight="1" x14ac:dyDescent="0.25">
      <c r="B48" s="24" t="s">
        <v>75</v>
      </c>
      <c r="C48" s="49">
        <f>AVERAGE('29.07 NSOOBA-KYEBANDO'!C48,'30.07 NSOOBA-KYEBANDO'!C48,'31.08 NSOOBA-KYEBANDO'!C48,'02.08 NSOOBA-KYEBANDO'!C48,'01.08 NSOOBA-KYEBANDO-24h'!C48,'03.80 NSOOBA-KYEBANDO-24h'!C48,'4.08. Kyebando-Nsooba'!C48)</f>
        <v>21.428571428571427</v>
      </c>
      <c r="D48" s="49">
        <f>AVERAGE('29.07 NSOOBA-KYEBANDO'!D48,'30.07 NSOOBA-KYEBANDO'!D48,'31.08 NSOOBA-KYEBANDO'!D48,'02.08 NSOOBA-KYEBANDO'!D48,'01.08 NSOOBA-KYEBANDO-24h'!D48,'03.80 NSOOBA-KYEBANDO-24h'!D48,'4.08. Kyebando-Nsooba'!D48)</f>
        <v>4.1428571428571432</v>
      </c>
      <c r="E48" s="49">
        <f>AVERAGE('29.07 NSOOBA-KYEBANDO'!E48,'30.07 NSOOBA-KYEBANDO'!E48,'31.08 NSOOBA-KYEBANDO'!E48,'02.08 NSOOBA-KYEBANDO'!E48,'01.08 NSOOBA-KYEBANDO-24h'!E48,'03.80 NSOOBA-KYEBANDO-24h'!E48,'4.08. Kyebando-Nsooba'!E48)</f>
        <v>2.1428571428571428</v>
      </c>
      <c r="F48" s="49">
        <f>AVERAGE('29.07 NSOOBA-KYEBANDO'!F48,'30.07 NSOOBA-KYEBANDO'!F48,'31.08 NSOOBA-KYEBANDO'!F48,'02.08 NSOOBA-KYEBANDO'!F48,'01.08 NSOOBA-KYEBANDO-24h'!F48,'03.80 NSOOBA-KYEBANDO-24h'!F48,'4.08. Kyebando-Nsooba'!F48)</f>
        <v>6.1428571428571432</v>
      </c>
      <c r="G48" s="49">
        <f>AVERAGE('29.07 NSOOBA-KYEBANDO'!G48,'30.07 NSOOBA-KYEBANDO'!G48,'31.08 NSOOBA-KYEBANDO'!G48,'02.08 NSOOBA-KYEBANDO'!G48,'01.08 NSOOBA-KYEBANDO-24h'!G48,'03.80 NSOOBA-KYEBANDO-24h'!G48,'4.08. Kyebando-Nsooba'!G48)</f>
        <v>0</v>
      </c>
      <c r="H48" s="49">
        <f>AVERAGE('29.07 NSOOBA-KYEBANDO'!H48,'30.07 NSOOBA-KYEBANDO'!H48,'31.08 NSOOBA-KYEBANDO'!H48,'02.08 NSOOBA-KYEBANDO'!H48,'01.08 NSOOBA-KYEBANDO-24h'!H48,'03.80 NSOOBA-KYEBANDO-24h'!H48,'4.08. Kyebando-Nsooba'!H48)</f>
        <v>0</v>
      </c>
      <c r="I48" s="49">
        <f>AVERAGE('29.07 NSOOBA-KYEBANDO'!I48,'30.07 NSOOBA-KYEBANDO'!I48,'31.08 NSOOBA-KYEBANDO'!I48,'02.08 NSOOBA-KYEBANDO'!I48,'01.08 NSOOBA-KYEBANDO-24h'!I48,'03.80 NSOOBA-KYEBANDO-24h'!I48,'4.08. Kyebando-Nsooba'!I48)</f>
        <v>2.7142857142857144</v>
      </c>
      <c r="J48" s="49">
        <f>AVERAGE('29.07 NSOOBA-KYEBANDO'!J48,'30.07 NSOOBA-KYEBANDO'!J48,'31.08 NSOOBA-KYEBANDO'!J48,'02.08 NSOOBA-KYEBANDO'!J48,'01.08 NSOOBA-KYEBANDO-24h'!J48,'03.80 NSOOBA-KYEBANDO-24h'!J48,'4.08. Kyebando-Nsooba'!J48)</f>
        <v>0</v>
      </c>
      <c r="K48" s="49">
        <f>AVERAGE('29.07 NSOOBA-KYEBANDO'!K48,'30.07 NSOOBA-KYEBANDO'!K48,'31.08 NSOOBA-KYEBANDO'!K48,'02.08 NSOOBA-KYEBANDO'!K48,'01.08 NSOOBA-KYEBANDO-24h'!K48,'03.80 NSOOBA-KYEBANDO-24h'!K48,'4.08. Kyebando-Nsooba'!K48)</f>
        <v>0.2857142857142857</v>
      </c>
      <c r="L48" s="49">
        <f>AVERAGE('29.07 NSOOBA-KYEBANDO'!L48,'30.07 NSOOBA-KYEBANDO'!L48,'31.08 NSOOBA-KYEBANDO'!L48,'02.08 NSOOBA-KYEBANDO'!L48,'01.08 NSOOBA-KYEBANDO-24h'!L48,'03.80 NSOOBA-KYEBANDO-24h'!L48,'4.08. Kyebando-Nsooba'!L48)</f>
        <v>0</v>
      </c>
      <c r="M48" s="49">
        <f>AVERAGE('29.07 NSOOBA-KYEBANDO'!M48,'30.07 NSOOBA-KYEBANDO'!M48,'31.08 NSOOBA-KYEBANDO'!M48,'02.08 NSOOBA-KYEBANDO'!M48,'01.08 NSOOBA-KYEBANDO-24h'!M48,'03.80 NSOOBA-KYEBANDO-24h'!M48,'4.08. Kyebando-Nsooba'!M48)</f>
        <v>41.857142857142854</v>
      </c>
      <c r="N48" s="49">
        <f>AVERAGE('29.07 NSOOBA-KYEBANDO'!N48,'30.07 NSOOBA-KYEBANDO'!N48,'31.08 NSOOBA-KYEBANDO'!N48,'02.08 NSOOBA-KYEBANDO'!N48,'01.08 NSOOBA-KYEBANDO-24h'!N48,'03.80 NSOOBA-KYEBANDO-24h'!N48,'4.08. Kyebando-Nsooba'!N48)</f>
        <v>0</v>
      </c>
      <c r="O48" s="15">
        <f t="shared" si="0"/>
        <v>36.857142857142854</v>
      </c>
      <c r="P48" s="15">
        <f t="shared" si="1"/>
        <v>78.714285714285708</v>
      </c>
      <c r="R48" s="8"/>
      <c r="T48"/>
    </row>
    <row r="49" spans="2:20" ht="23.1" customHeight="1" x14ac:dyDescent="0.25">
      <c r="B49" s="23" t="s">
        <v>76</v>
      </c>
      <c r="C49" s="49">
        <f>AVERAGE('29.07 NSOOBA-KYEBANDO'!C49,'30.07 NSOOBA-KYEBANDO'!C49,'31.08 NSOOBA-KYEBANDO'!C49,'02.08 NSOOBA-KYEBANDO'!C49,'01.08 NSOOBA-KYEBANDO-24h'!C49,'03.80 NSOOBA-KYEBANDO-24h'!C49,'4.08. Kyebando-Nsooba'!C49)</f>
        <v>19.714285714285715</v>
      </c>
      <c r="D49" s="49">
        <f>AVERAGE('29.07 NSOOBA-KYEBANDO'!D49,'30.07 NSOOBA-KYEBANDO'!D49,'31.08 NSOOBA-KYEBANDO'!D49,'02.08 NSOOBA-KYEBANDO'!D49,'01.08 NSOOBA-KYEBANDO-24h'!D49,'03.80 NSOOBA-KYEBANDO-24h'!D49,'4.08. Kyebando-Nsooba'!D49)</f>
        <v>4.8571428571428568</v>
      </c>
      <c r="E49" s="49">
        <f>AVERAGE('29.07 NSOOBA-KYEBANDO'!E49,'30.07 NSOOBA-KYEBANDO'!E49,'31.08 NSOOBA-KYEBANDO'!E49,'02.08 NSOOBA-KYEBANDO'!E49,'01.08 NSOOBA-KYEBANDO-24h'!E49,'03.80 NSOOBA-KYEBANDO-24h'!E49,'4.08. Kyebando-Nsooba'!E49)</f>
        <v>3.1428571428571428</v>
      </c>
      <c r="F49" s="49">
        <f>AVERAGE('29.07 NSOOBA-KYEBANDO'!F49,'30.07 NSOOBA-KYEBANDO'!F49,'31.08 NSOOBA-KYEBANDO'!F49,'02.08 NSOOBA-KYEBANDO'!F49,'01.08 NSOOBA-KYEBANDO-24h'!F49,'03.80 NSOOBA-KYEBANDO-24h'!F49,'4.08. Kyebando-Nsooba'!F49)</f>
        <v>4.8571428571428568</v>
      </c>
      <c r="G49" s="49">
        <f>AVERAGE('29.07 NSOOBA-KYEBANDO'!G49,'30.07 NSOOBA-KYEBANDO'!G49,'31.08 NSOOBA-KYEBANDO'!G49,'02.08 NSOOBA-KYEBANDO'!G49,'01.08 NSOOBA-KYEBANDO-24h'!G49,'03.80 NSOOBA-KYEBANDO-24h'!G49,'4.08. Kyebando-Nsooba'!G49)</f>
        <v>0.14285714285714285</v>
      </c>
      <c r="H49" s="49">
        <f>AVERAGE('29.07 NSOOBA-KYEBANDO'!H49,'30.07 NSOOBA-KYEBANDO'!H49,'31.08 NSOOBA-KYEBANDO'!H49,'02.08 NSOOBA-KYEBANDO'!H49,'01.08 NSOOBA-KYEBANDO-24h'!H49,'03.80 NSOOBA-KYEBANDO-24h'!H49,'4.08. Kyebando-Nsooba'!H49)</f>
        <v>0</v>
      </c>
      <c r="I49" s="49">
        <f>AVERAGE('29.07 NSOOBA-KYEBANDO'!I49,'30.07 NSOOBA-KYEBANDO'!I49,'31.08 NSOOBA-KYEBANDO'!I49,'02.08 NSOOBA-KYEBANDO'!I49,'01.08 NSOOBA-KYEBANDO-24h'!I49,'03.80 NSOOBA-KYEBANDO-24h'!I49,'4.08. Kyebando-Nsooba'!I49)</f>
        <v>3.2857142857142856</v>
      </c>
      <c r="J49" s="49">
        <f>AVERAGE('29.07 NSOOBA-KYEBANDO'!J49,'30.07 NSOOBA-KYEBANDO'!J49,'31.08 NSOOBA-KYEBANDO'!J49,'02.08 NSOOBA-KYEBANDO'!J49,'01.08 NSOOBA-KYEBANDO-24h'!J49,'03.80 NSOOBA-KYEBANDO-24h'!J49,'4.08. Kyebando-Nsooba'!J49)</f>
        <v>0.14285714285714285</v>
      </c>
      <c r="K49" s="49">
        <f>AVERAGE('29.07 NSOOBA-KYEBANDO'!K49,'30.07 NSOOBA-KYEBANDO'!K49,'31.08 NSOOBA-KYEBANDO'!K49,'02.08 NSOOBA-KYEBANDO'!K49,'01.08 NSOOBA-KYEBANDO-24h'!K49,'03.80 NSOOBA-KYEBANDO-24h'!K49,'4.08. Kyebando-Nsooba'!K49)</f>
        <v>0.14285714285714285</v>
      </c>
      <c r="L49" s="49">
        <f>AVERAGE('29.07 NSOOBA-KYEBANDO'!L49,'30.07 NSOOBA-KYEBANDO'!L49,'31.08 NSOOBA-KYEBANDO'!L49,'02.08 NSOOBA-KYEBANDO'!L49,'01.08 NSOOBA-KYEBANDO-24h'!L49,'03.80 NSOOBA-KYEBANDO-24h'!L49,'4.08. Kyebando-Nsooba'!L49)</f>
        <v>0</v>
      </c>
      <c r="M49" s="49">
        <f>AVERAGE('29.07 NSOOBA-KYEBANDO'!M49,'30.07 NSOOBA-KYEBANDO'!M49,'31.08 NSOOBA-KYEBANDO'!M49,'02.08 NSOOBA-KYEBANDO'!M49,'01.08 NSOOBA-KYEBANDO-24h'!M49,'03.80 NSOOBA-KYEBANDO-24h'!M49,'4.08. Kyebando-Nsooba'!M49)</f>
        <v>51.142857142857146</v>
      </c>
      <c r="N49" s="49">
        <f>AVERAGE('29.07 NSOOBA-KYEBANDO'!N49,'30.07 NSOOBA-KYEBANDO'!N49,'31.08 NSOOBA-KYEBANDO'!N49,'02.08 NSOOBA-KYEBANDO'!N49,'01.08 NSOOBA-KYEBANDO-24h'!N49,'03.80 NSOOBA-KYEBANDO-24h'!N49,'4.08. Kyebando-Nsooba'!N49)</f>
        <v>0</v>
      </c>
      <c r="O49" s="15">
        <f t="shared" si="0"/>
        <v>36.285714285714292</v>
      </c>
      <c r="P49" s="15">
        <f t="shared" si="1"/>
        <v>87.428571428571445</v>
      </c>
      <c r="R49" s="8"/>
      <c r="T49"/>
    </row>
    <row r="50" spans="2:20" ht="23.1" customHeight="1" x14ac:dyDescent="0.25">
      <c r="B50" s="24" t="s">
        <v>77</v>
      </c>
      <c r="C50" s="49">
        <f>AVERAGE('29.07 NSOOBA-KYEBANDO'!C50,'30.07 NSOOBA-KYEBANDO'!C50,'31.08 NSOOBA-KYEBANDO'!C50,'02.08 NSOOBA-KYEBANDO'!C50,'01.08 NSOOBA-KYEBANDO-24h'!C50,'03.80 NSOOBA-KYEBANDO-24h'!C50,'4.08. Kyebando-Nsooba'!C50)</f>
        <v>23.571428571428573</v>
      </c>
      <c r="D50" s="49">
        <f>AVERAGE('29.07 NSOOBA-KYEBANDO'!D50,'30.07 NSOOBA-KYEBANDO'!D50,'31.08 NSOOBA-KYEBANDO'!D50,'02.08 NSOOBA-KYEBANDO'!D50,'01.08 NSOOBA-KYEBANDO-24h'!D50,'03.80 NSOOBA-KYEBANDO-24h'!D50,'4.08. Kyebando-Nsooba'!D50)</f>
        <v>5.5714285714285712</v>
      </c>
      <c r="E50" s="49">
        <f>AVERAGE('29.07 NSOOBA-KYEBANDO'!E50,'30.07 NSOOBA-KYEBANDO'!E50,'31.08 NSOOBA-KYEBANDO'!E50,'02.08 NSOOBA-KYEBANDO'!E50,'01.08 NSOOBA-KYEBANDO-24h'!E50,'03.80 NSOOBA-KYEBANDO-24h'!E50,'4.08. Kyebando-Nsooba'!E50)</f>
        <v>2</v>
      </c>
      <c r="F50" s="49">
        <f>AVERAGE('29.07 NSOOBA-KYEBANDO'!F50,'30.07 NSOOBA-KYEBANDO'!F50,'31.08 NSOOBA-KYEBANDO'!F50,'02.08 NSOOBA-KYEBANDO'!F50,'01.08 NSOOBA-KYEBANDO-24h'!F50,'03.80 NSOOBA-KYEBANDO-24h'!F50,'4.08. Kyebando-Nsooba'!F50)</f>
        <v>7.5714285714285712</v>
      </c>
      <c r="G50" s="49">
        <f>AVERAGE('29.07 NSOOBA-KYEBANDO'!G50,'30.07 NSOOBA-KYEBANDO'!G50,'31.08 NSOOBA-KYEBANDO'!G50,'02.08 NSOOBA-KYEBANDO'!G50,'01.08 NSOOBA-KYEBANDO-24h'!G50,'03.80 NSOOBA-KYEBANDO-24h'!G50,'4.08. Kyebando-Nsooba'!G50)</f>
        <v>0.42857142857142855</v>
      </c>
      <c r="H50" s="49">
        <f>AVERAGE('29.07 NSOOBA-KYEBANDO'!H50,'30.07 NSOOBA-KYEBANDO'!H50,'31.08 NSOOBA-KYEBANDO'!H50,'02.08 NSOOBA-KYEBANDO'!H50,'01.08 NSOOBA-KYEBANDO-24h'!H50,'03.80 NSOOBA-KYEBANDO-24h'!H50,'4.08. Kyebando-Nsooba'!H50)</f>
        <v>0</v>
      </c>
      <c r="I50" s="49">
        <f>AVERAGE('29.07 NSOOBA-KYEBANDO'!I50,'30.07 NSOOBA-KYEBANDO'!I50,'31.08 NSOOBA-KYEBANDO'!I50,'02.08 NSOOBA-KYEBANDO'!I50,'01.08 NSOOBA-KYEBANDO-24h'!I50,'03.80 NSOOBA-KYEBANDO-24h'!I50,'4.08. Kyebando-Nsooba'!I50)</f>
        <v>3</v>
      </c>
      <c r="J50" s="49">
        <f>AVERAGE('29.07 NSOOBA-KYEBANDO'!J50,'30.07 NSOOBA-KYEBANDO'!J50,'31.08 NSOOBA-KYEBANDO'!J50,'02.08 NSOOBA-KYEBANDO'!J50,'01.08 NSOOBA-KYEBANDO-24h'!J50,'03.80 NSOOBA-KYEBANDO-24h'!J50,'4.08. Kyebando-Nsooba'!J50)</f>
        <v>0</v>
      </c>
      <c r="K50" s="49">
        <f>AVERAGE('29.07 NSOOBA-KYEBANDO'!K50,'30.07 NSOOBA-KYEBANDO'!K50,'31.08 NSOOBA-KYEBANDO'!K50,'02.08 NSOOBA-KYEBANDO'!K50,'01.08 NSOOBA-KYEBANDO-24h'!K50,'03.80 NSOOBA-KYEBANDO-24h'!K50,'4.08. Kyebando-Nsooba'!K50)</f>
        <v>0.42857142857142855</v>
      </c>
      <c r="L50" s="49">
        <f>AVERAGE('29.07 NSOOBA-KYEBANDO'!L50,'30.07 NSOOBA-KYEBANDO'!L50,'31.08 NSOOBA-KYEBANDO'!L50,'02.08 NSOOBA-KYEBANDO'!L50,'01.08 NSOOBA-KYEBANDO-24h'!L50,'03.80 NSOOBA-KYEBANDO-24h'!L50,'4.08. Kyebando-Nsooba'!L50)</f>
        <v>0</v>
      </c>
      <c r="M50" s="49">
        <f>AVERAGE('29.07 NSOOBA-KYEBANDO'!M50,'30.07 NSOOBA-KYEBANDO'!M50,'31.08 NSOOBA-KYEBANDO'!M50,'02.08 NSOOBA-KYEBANDO'!M50,'01.08 NSOOBA-KYEBANDO-24h'!M50,'03.80 NSOOBA-KYEBANDO-24h'!M50,'4.08. Kyebando-Nsooba'!M50)</f>
        <v>50.571428571428569</v>
      </c>
      <c r="N50" s="49">
        <f>AVERAGE('29.07 NSOOBA-KYEBANDO'!N50,'30.07 NSOOBA-KYEBANDO'!N50,'31.08 NSOOBA-KYEBANDO'!N50,'02.08 NSOOBA-KYEBANDO'!N50,'01.08 NSOOBA-KYEBANDO-24h'!N50,'03.80 NSOOBA-KYEBANDO-24h'!N50,'4.08. Kyebando-Nsooba'!N50)</f>
        <v>0</v>
      </c>
      <c r="O50" s="15">
        <f t="shared" si="0"/>
        <v>42.571428571428577</v>
      </c>
      <c r="P50" s="15">
        <f t="shared" si="1"/>
        <v>93.142857142857139</v>
      </c>
      <c r="R50" s="8"/>
      <c r="T50"/>
    </row>
    <row r="51" spans="2:20" ht="23.1" customHeight="1" x14ac:dyDescent="0.25">
      <c r="B51" s="24" t="s">
        <v>78</v>
      </c>
      <c r="C51" s="49">
        <f>AVERAGE('29.07 NSOOBA-KYEBANDO'!C51,'30.07 NSOOBA-KYEBANDO'!C51,'31.08 NSOOBA-KYEBANDO'!C51,'02.08 NSOOBA-KYEBANDO'!C51,'01.08 NSOOBA-KYEBANDO-24h'!C51,'03.80 NSOOBA-KYEBANDO-24h'!C51,'4.08. Kyebando-Nsooba'!C51)</f>
        <v>21.428571428571427</v>
      </c>
      <c r="D51" s="49">
        <f>AVERAGE('29.07 NSOOBA-KYEBANDO'!D51,'30.07 NSOOBA-KYEBANDO'!D51,'31.08 NSOOBA-KYEBANDO'!D51,'02.08 NSOOBA-KYEBANDO'!D51,'01.08 NSOOBA-KYEBANDO-24h'!D51,'03.80 NSOOBA-KYEBANDO-24h'!D51,'4.08. Kyebando-Nsooba'!D51)</f>
        <v>5</v>
      </c>
      <c r="E51" s="49">
        <f>AVERAGE('29.07 NSOOBA-KYEBANDO'!E51,'30.07 NSOOBA-KYEBANDO'!E51,'31.08 NSOOBA-KYEBANDO'!E51,'02.08 NSOOBA-KYEBANDO'!E51,'01.08 NSOOBA-KYEBANDO-24h'!E51,'03.80 NSOOBA-KYEBANDO-24h'!E51,'4.08. Kyebando-Nsooba'!E51)</f>
        <v>3.7142857142857144</v>
      </c>
      <c r="F51" s="49">
        <f>AVERAGE('29.07 NSOOBA-KYEBANDO'!F51,'30.07 NSOOBA-KYEBANDO'!F51,'31.08 NSOOBA-KYEBANDO'!F51,'02.08 NSOOBA-KYEBANDO'!F51,'01.08 NSOOBA-KYEBANDO-24h'!F51,'03.80 NSOOBA-KYEBANDO-24h'!F51,'4.08. Kyebando-Nsooba'!F51)</f>
        <v>6.8571428571428568</v>
      </c>
      <c r="G51" s="49">
        <f>AVERAGE('29.07 NSOOBA-KYEBANDO'!G51,'30.07 NSOOBA-KYEBANDO'!G51,'31.08 NSOOBA-KYEBANDO'!G51,'02.08 NSOOBA-KYEBANDO'!G51,'01.08 NSOOBA-KYEBANDO-24h'!G51,'03.80 NSOOBA-KYEBANDO-24h'!G51,'4.08. Kyebando-Nsooba'!G51)</f>
        <v>0.7142857142857143</v>
      </c>
      <c r="H51" s="49">
        <f>AVERAGE('29.07 NSOOBA-KYEBANDO'!H51,'30.07 NSOOBA-KYEBANDO'!H51,'31.08 NSOOBA-KYEBANDO'!H51,'02.08 NSOOBA-KYEBANDO'!H51,'01.08 NSOOBA-KYEBANDO-24h'!H51,'03.80 NSOOBA-KYEBANDO-24h'!H51,'4.08. Kyebando-Nsooba'!H51)</f>
        <v>0</v>
      </c>
      <c r="I51" s="49">
        <f>AVERAGE('29.07 NSOOBA-KYEBANDO'!I51,'30.07 NSOOBA-KYEBANDO'!I51,'31.08 NSOOBA-KYEBANDO'!I51,'02.08 NSOOBA-KYEBANDO'!I51,'01.08 NSOOBA-KYEBANDO-24h'!I51,'03.80 NSOOBA-KYEBANDO-24h'!I51,'4.08. Kyebando-Nsooba'!I51)</f>
        <v>3</v>
      </c>
      <c r="J51" s="49">
        <f>AVERAGE('29.07 NSOOBA-KYEBANDO'!J51,'30.07 NSOOBA-KYEBANDO'!J51,'31.08 NSOOBA-KYEBANDO'!J51,'02.08 NSOOBA-KYEBANDO'!J51,'01.08 NSOOBA-KYEBANDO-24h'!J51,'03.80 NSOOBA-KYEBANDO-24h'!J51,'4.08. Kyebando-Nsooba'!J51)</f>
        <v>0.42857142857142855</v>
      </c>
      <c r="K51" s="49">
        <f>AVERAGE('29.07 NSOOBA-KYEBANDO'!K51,'30.07 NSOOBA-KYEBANDO'!K51,'31.08 NSOOBA-KYEBANDO'!K51,'02.08 NSOOBA-KYEBANDO'!K51,'01.08 NSOOBA-KYEBANDO-24h'!K51,'03.80 NSOOBA-KYEBANDO-24h'!K51,'4.08. Kyebando-Nsooba'!K51)</f>
        <v>0.2857142857142857</v>
      </c>
      <c r="L51" s="49">
        <f>AVERAGE('29.07 NSOOBA-KYEBANDO'!L51,'30.07 NSOOBA-KYEBANDO'!L51,'31.08 NSOOBA-KYEBANDO'!L51,'02.08 NSOOBA-KYEBANDO'!L51,'01.08 NSOOBA-KYEBANDO-24h'!L51,'03.80 NSOOBA-KYEBANDO-24h'!L51,'4.08. Kyebando-Nsooba'!L51)</f>
        <v>0</v>
      </c>
      <c r="M51" s="49">
        <f>AVERAGE('29.07 NSOOBA-KYEBANDO'!M51,'30.07 NSOOBA-KYEBANDO'!M51,'31.08 NSOOBA-KYEBANDO'!M51,'02.08 NSOOBA-KYEBANDO'!M51,'01.08 NSOOBA-KYEBANDO-24h'!M51,'03.80 NSOOBA-KYEBANDO-24h'!M51,'4.08. Kyebando-Nsooba'!M51)</f>
        <v>53.857142857142854</v>
      </c>
      <c r="N51" s="49">
        <f>AVERAGE('29.07 NSOOBA-KYEBANDO'!N51,'30.07 NSOOBA-KYEBANDO'!N51,'31.08 NSOOBA-KYEBANDO'!N51,'02.08 NSOOBA-KYEBANDO'!N51,'01.08 NSOOBA-KYEBANDO-24h'!N51,'03.80 NSOOBA-KYEBANDO-24h'!N51,'4.08. Kyebando-Nsooba'!N51)</f>
        <v>0</v>
      </c>
      <c r="O51" s="15">
        <f t="shared" si="0"/>
        <v>41.428571428571431</v>
      </c>
      <c r="P51" s="15">
        <f t="shared" si="1"/>
        <v>95.285714285714278</v>
      </c>
      <c r="R51" s="8"/>
      <c r="T51"/>
    </row>
    <row r="52" spans="2:20" ht="23.1" customHeight="1" x14ac:dyDescent="0.25">
      <c r="B52" s="24" t="s">
        <v>79</v>
      </c>
      <c r="C52" s="49">
        <f>AVERAGE('29.07 NSOOBA-KYEBANDO'!C52,'30.07 NSOOBA-KYEBANDO'!C52,'31.08 NSOOBA-KYEBANDO'!C52,'02.08 NSOOBA-KYEBANDO'!C52,'01.08 NSOOBA-KYEBANDO-24h'!C52,'03.80 NSOOBA-KYEBANDO-24h'!C52,'4.08. Kyebando-Nsooba'!C52)</f>
        <v>18.571428571428573</v>
      </c>
      <c r="D52" s="49">
        <f>AVERAGE('29.07 NSOOBA-KYEBANDO'!D52,'30.07 NSOOBA-KYEBANDO'!D52,'31.08 NSOOBA-KYEBANDO'!D52,'02.08 NSOOBA-KYEBANDO'!D52,'01.08 NSOOBA-KYEBANDO-24h'!D52,'03.80 NSOOBA-KYEBANDO-24h'!D52,'4.08. Kyebando-Nsooba'!D52)</f>
        <v>5</v>
      </c>
      <c r="E52" s="49">
        <f>AVERAGE('29.07 NSOOBA-KYEBANDO'!E52,'30.07 NSOOBA-KYEBANDO'!E52,'31.08 NSOOBA-KYEBANDO'!E52,'02.08 NSOOBA-KYEBANDO'!E52,'01.08 NSOOBA-KYEBANDO-24h'!E52,'03.80 NSOOBA-KYEBANDO-24h'!E52,'4.08. Kyebando-Nsooba'!E52)</f>
        <v>3.2857142857142856</v>
      </c>
      <c r="F52" s="49">
        <f>AVERAGE('29.07 NSOOBA-KYEBANDO'!F52,'30.07 NSOOBA-KYEBANDO'!F52,'31.08 NSOOBA-KYEBANDO'!F52,'02.08 NSOOBA-KYEBANDO'!F52,'01.08 NSOOBA-KYEBANDO-24h'!F52,'03.80 NSOOBA-KYEBANDO-24h'!F52,'4.08. Kyebando-Nsooba'!F52)</f>
        <v>6.4285714285714288</v>
      </c>
      <c r="G52" s="49">
        <f>AVERAGE('29.07 NSOOBA-KYEBANDO'!G52,'30.07 NSOOBA-KYEBANDO'!G52,'31.08 NSOOBA-KYEBANDO'!G52,'02.08 NSOOBA-KYEBANDO'!G52,'01.08 NSOOBA-KYEBANDO-24h'!G52,'03.80 NSOOBA-KYEBANDO-24h'!G52,'4.08. Kyebando-Nsooba'!G52)</f>
        <v>0</v>
      </c>
      <c r="H52" s="49">
        <f>AVERAGE('29.07 NSOOBA-KYEBANDO'!H52,'30.07 NSOOBA-KYEBANDO'!H52,'31.08 NSOOBA-KYEBANDO'!H52,'02.08 NSOOBA-KYEBANDO'!H52,'01.08 NSOOBA-KYEBANDO-24h'!H52,'03.80 NSOOBA-KYEBANDO-24h'!H52,'4.08. Kyebando-Nsooba'!H52)</f>
        <v>0</v>
      </c>
      <c r="I52" s="49">
        <f>AVERAGE('29.07 NSOOBA-KYEBANDO'!I52,'30.07 NSOOBA-KYEBANDO'!I52,'31.08 NSOOBA-KYEBANDO'!I52,'02.08 NSOOBA-KYEBANDO'!I52,'01.08 NSOOBA-KYEBANDO-24h'!I52,'03.80 NSOOBA-KYEBANDO-24h'!I52,'4.08. Kyebando-Nsooba'!I52)</f>
        <v>2.8571428571428572</v>
      </c>
      <c r="J52" s="49">
        <f>AVERAGE('29.07 NSOOBA-KYEBANDO'!J52,'30.07 NSOOBA-KYEBANDO'!J52,'31.08 NSOOBA-KYEBANDO'!J52,'02.08 NSOOBA-KYEBANDO'!J52,'01.08 NSOOBA-KYEBANDO-24h'!J52,'03.80 NSOOBA-KYEBANDO-24h'!J52,'4.08. Kyebando-Nsooba'!J52)</f>
        <v>0</v>
      </c>
      <c r="K52" s="49">
        <f>AVERAGE('29.07 NSOOBA-KYEBANDO'!K52,'30.07 NSOOBA-KYEBANDO'!K52,'31.08 NSOOBA-KYEBANDO'!K52,'02.08 NSOOBA-KYEBANDO'!K52,'01.08 NSOOBA-KYEBANDO-24h'!K52,'03.80 NSOOBA-KYEBANDO-24h'!K52,'4.08. Kyebando-Nsooba'!K52)</f>
        <v>0.42857142857142855</v>
      </c>
      <c r="L52" s="49">
        <f>AVERAGE('29.07 NSOOBA-KYEBANDO'!L52,'30.07 NSOOBA-KYEBANDO'!L52,'31.08 NSOOBA-KYEBANDO'!L52,'02.08 NSOOBA-KYEBANDO'!L52,'01.08 NSOOBA-KYEBANDO-24h'!L52,'03.80 NSOOBA-KYEBANDO-24h'!L52,'4.08. Kyebando-Nsooba'!L52)</f>
        <v>0</v>
      </c>
      <c r="M52" s="49">
        <f>AVERAGE('29.07 NSOOBA-KYEBANDO'!M52,'30.07 NSOOBA-KYEBANDO'!M52,'31.08 NSOOBA-KYEBANDO'!M52,'02.08 NSOOBA-KYEBANDO'!M52,'01.08 NSOOBA-KYEBANDO-24h'!M52,'03.80 NSOOBA-KYEBANDO-24h'!M52,'4.08. Kyebando-Nsooba'!M52)</f>
        <v>58.142857142857146</v>
      </c>
      <c r="N52" s="49">
        <f>AVERAGE('29.07 NSOOBA-KYEBANDO'!N52,'30.07 NSOOBA-KYEBANDO'!N52,'31.08 NSOOBA-KYEBANDO'!N52,'02.08 NSOOBA-KYEBANDO'!N52,'01.08 NSOOBA-KYEBANDO-24h'!N52,'03.80 NSOOBA-KYEBANDO-24h'!N52,'4.08. Kyebando-Nsooba'!N52)</f>
        <v>0</v>
      </c>
      <c r="O52" s="15">
        <f t="shared" si="0"/>
        <v>36.571428571428569</v>
      </c>
      <c r="P52" s="15">
        <f t="shared" si="1"/>
        <v>94.714285714285722</v>
      </c>
      <c r="R52" s="8"/>
      <c r="T52"/>
    </row>
    <row r="53" spans="2:20" ht="23.1" customHeight="1" x14ac:dyDescent="0.25">
      <c r="B53" s="23" t="s">
        <v>80</v>
      </c>
      <c r="C53" s="49">
        <f>AVERAGE('29.07 NSOOBA-KYEBANDO'!C53,'30.07 NSOOBA-KYEBANDO'!C53,'31.08 NSOOBA-KYEBANDO'!C53,'02.08 NSOOBA-KYEBANDO'!C53,'01.08 NSOOBA-KYEBANDO-24h'!C53,'03.80 NSOOBA-KYEBANDO-24h'!C53,'4.08. Kyebando-Nsooba'!C53)</f>
        <v>17.142857142857142</v>
      </c>
      <c r="D53" s="49">
        <f>AVERAGE('29.07 NSOOBA-KYEBANDO'!D53,'30.07 NSOOBA-KYEBANDO'!D53,'31.08 NSOOBA-KYEBANDO'!D53,'02.08 NSOOBA-KYEBANDO'!D53,'01.08 NSOOBA-KYEBANDO-24h'!D53,'03.80 NSOOBA-KYEBANDO-24h'!D53,'4.08. Kyebando-Nsooba'!D53)</f>
        <v>5.2857142857142856</v>
      </c>
      <c r="E53" s="49">
        <f>AVERAGE('29.07 NSOOBA-KYEBANDO'!E53,'30.07 NSOOBA-KYEBANDO'!E53,'31.08 NSOOBA-KYEBANDO'!E53,'02.08 NSOOBA-KYEBANDO'!E53,'01.08 NSOOBA-KYEBANDO-24h'!E53,'03.80 NSOOBA-KYEBANDO-24h'!E53,'4.08. Kyebando-Nsooba'!E53)</f>
        <v>2.1428571428571428</v>
      </c>
      <c r="F53" s="49">
        <f>AVERAGE('29.07 NSOOBA-KYEBANDO'!F53,'30.07 NSOOBA-KYEBANDO'!F53,'31.08 NSOOBA-KYEBANDO'!F53,'02.08 NSOOBA-KYEBANDO'!F53,'01.08 NSOOBA-KYEBANDO-24h'!F53,'03.80 NSOOBA-KYEBANDO-24h'!F53,'4.08. Kyebando-Nsooba'!F53)</f>
        <v>5.1428571428571432</v>
      </c>
      <c r="G53" s="49">
        <f>AVERAGE('29.07 NSOOBA-KYEBANDO'!G53,'30.07 NSOOBA-KYEBANDO'!G53,'31.08 NSOOBA-KYEBANDO'!G53,'02.08 NSOOBA-KYEBANDO'!G53,'01.08 NSOOBA-KYEBANDO-24h'!G53,'03.80 NSOOBA-KYEBANDO-24h'!G53,'4.08. Kyebando-Nsooba'!G53)</f>
        <v>0.42857142857142855</v>
      </c>
      <c r="H53" s="49">
        <f>AVERAGE('29.07 NSOOBA-KYEBANDO'!H53,'30.07 NSOOBA-KYEBANDO'!H53,'31.08 NSOOBA-KYEBANDO'!H53,'02.08 NSOOBA-KYEBANDO'!H53,'01.08 NSOOBA-KYEBANDO-24h'!H53,'03.80 NSOOBA-KYEBANDO-24h'!H53,'4.08. Kyebando-Nsooba'!H53)</f>
        <v>0</v>
      </c>
      <c r="I53" s="49">
        <f>AVERAGE('29.07 NSOOBA-KYEBANDO'!I53,'30.07 NSOOBA-KYEBANDO'!I53,'31.08 NSOOBA-KYEBANDO'!I53,'02.08 NSOOBA-KYEBANDO'!I53,'01.08 NSOOBA-KYEBANDO-24h'!I53,'03.80 NSOOBA-KYEBANDO-24h'!I53,'4.08. Kyebando-Nsooba'!I53)</f>
        <v>3.5714285714285716</v>
      </c>
      <c r="J53" s="49">
        <f>AVERAGE('29.07 NSOOBA-KYEBANDO'!J53,'30.07 NSOOBA-KYEBANDO'!J53,'31.08 NSOOBA-KYEBANDO'!J53,'02.08 NSOOBA-KYEBANDO'!J53,'01.08 NSOOBA-KYEBANDO-24h'!J53,'03.80 NSOOBA-KYEBANDO-24h'!J53,'4.08. Kyebando-Nsooba'!J53)</f>
        <v>0.14285714285714285</v>
      </c>
      <c r="K53" s="49">
        <f>AVERAGE('29.07 NSOOBA-KYEBANDO'!K53,'30.07 NSOOBA-KYEBANDO'!K53,'31.08 NSOOBA-KYEBANDO'!K53,'02.08 NSOOBA-KYEBANDO'!K53,'01.08 NSOOBA-KYEBANDO-24h'!K53,'03.80 NSOOBA-KYEBANDO-24h'!K53,'4.08. Kyebando-Nsooba'!K53)</f>
        <v>0.5714285714285714</v>
      </c>
      <c r="L53" s="49">
        <f>AVERAGE('29.07 NSOOBA-KYEBANDO'!L53,'30.07 NSOOBA-KYEBANDO'!L53,'31.08 NSOOBA-KYEBANDO'!L53,'02.08 NSOOBA-KYEBANDO'!L53,'01.08 NSOOBA-KYEBANDO-24h'!L53,'03.80 NSOOBA-KYEBANDO-24h'!L53,'4.08. Kyebando-Nsooba'!L53)</f>
        <v>0</v>
      </c>
      <c r="M53" s="49">
        <f>AVERAGE('29.07 NSOOBA-KYEBANDO'!M53,'30.07 NSOOBA-KYEBANDO'!M53,'31.08 NSOOBA-KYEBANDO'!M53,'02.08 NSOOBA-KYEBANDO'!M53,'01.08 NSOOBA-KYEBANDO-24h'!M53,'03.80 NSOOBA-KYEBANDO-24h'!M53,'4.08. Kyebando-Nsooba'!M53)</f>
        <v>56.857142857142854</v>
      </c>
      <c r="N53" s="49">
        <f>AVERAGE('29.07 NSOOBA-KYEBANDO'!N53,'30.07 NSOOBA-KYEBANDO'!N53,'31.08 NSOOBA-KYEBANDO'!N53,'02.08 NSOOBA-KYEBANDO'!N53,'01.08 NSOOBA-KYEBANDO-24h'!N53,'03.80 NSOOBA-KYEBANDO-24h'!N53,'4.08. Kyebando-Nsooba'!N53)</f>
        <v>0</v>
      </c>
      <c r="O53" s="15">
        <f t="shared" si="0"/>
        <v>34.428571428571423</v>
      </c>
      <c r="P53" s="15">
        <f t="shared" si="1"/>
        <v>91.285714285714278</v>
      </c>
      <c r="R53" s="8"/>
      <c r="T53"/>
    </row>
    <row r="54" spans="2:20" ht="23.1" customHeight="1" x14ac:dyDescent="0.25">
      <c r="B54" s="23" t="s">
        <v>81</v>
      </c>
      <c r="C54" s="49">
        <f>AVERAGE('29.07 NSOOBA-KYEBANDO'!C54,'30.07 NSOOBA-KYEBANDO'!C54,'31.08 NSOOBA-KYEBANDO'!C54,'02.08 NSOOBA-KYEBANDO'!C54,'01.08 NSOOBA-KYEBANDO-24h'!C54,'03.80 NSOOBA-KYEBANDO-24h'!C54,'4.08. Kyebando-Nsooba'!C54)</f>
        <v>18.857142857142858</v>
      </c>
      <c r="D54" s="49">
        <f>AVERAGE('29.07 NSOOBA-KYEBANDO'!D54,'30.07 NSOOBA-KYEBANDO'!D54,'31.08 NSOOBA-KYEBANDO'!D54,'02.08 NSOOBA-KYEBANDO'!D54,'01.08 NSOOBA-KYEBANDO-24h'!D54,'03.80 NSOOBA-KYEBANDO-24h'!D54,'4.08. Kyebando-Nsooba'!D54)</f>
        <v>3.1428571428571428</v>
      </c>
      <c r="E54" s="49">
        <f>AVERAGE('29.07 NSOOBA-KYEBANDO'!E54,'30.07 NSOOBA-KYEBANDO'!E54,'31.08 NSOOBA-KYEBANDO'!E54,'02.08 NSOOBA-KYEBANDO'!E54,'01.08 NSOOBA-KYEBANDO-24h'!E54,'03.80 NSOOBA-KYEBANDO-24h'!E54,'4.08. Kyebando-Nsooba'!E54)</f>
        <v>3</v>
      </c>
      <c r="F54" s="49">
        <f>AVERAGE('29.07 NSOOBA-KYEBANDO'!F54,'30.07 NSOOBA-KYEBANDO'!F54,'31.08 NSOOBA-KYEBANDO'!F54,'02.08 NSOOBA-KYEBANDO'!F54,'01.08 NSOOBA-KYEBANDO-24h'!F54,'03.80 NSOOBA-KYEBANDO-24h'!F54,'4.08. Kyebando-Nsooba'!F54)</f>
        <v>5.7142857142857144</v>
      </c>
      <c r="G54" s="49">
        <f>AVERAGE('29.07 NSOOBA-KYEBANDO'!G54,'30.07 NSOOBA-KYEBANDO'!G54,'31.08 NSOOBA-KYEBANDO'!G54,'02.08 NSOOBA-KYEBANDO'!G54,'01.08 NSOOBA-KYEBANDO-24h'!G54,'03.80 NSOOBA-KYEBANDO-24h'!G54,'4.08. Kyebando-Nsooba'!G54)</f>
        <v>0.2857142857142857</v>
      </c>
      <c r="H54" s="49">
        <f>AVERAGE('29.07 NSOOBA-KYEBANDO'!H54,'30.07 NSOOBA-KYEBANDO'!H54,'31.08 NSOOBA-KYEBANDO'!H54,'02.08 NSOOBA-KYEBANDO'!H54,'01.08 NSOOBA-KYEBANDO-24h'!H54,'03.80 NSOOBA-KYEBANDO-24h'!H54,'4.08. Kyebando-Nsooba'!H54)</f>
        <v>0.14285714285714285</v>
      </c>
      <c r="I54" s="49">
        <f>AVERAGE('29.07 NSOOBA-KYEBANDO'!I54,'30.07 NSOOBA-KYEBANDO'!I54,'31.08 NSOOBA-KYEBANDO'!I54,'02.08 NSOOBA-KYEBANDO'!I54,'01.08 NSOOBA-KYEBANDO-24h'!I54,'03.80 NSOOBA-KYEBANDO-24h'!I54,'4.08. Kyebando-Nsooba'!I54)</f>
        <v>2.5714285714285716</v>
      </c>
      <c r="J54" s="49">
        <f>AVERAGE('29.07 NSOOBA-KYEBANDO'!J54,'30.07 NSOOBA-KYEBANDO'!J54,'31.08 NSOOBA-KYEBANDO'!J54,'02.08 NSOOBA-KYEBANDO'!J54,'01.08 NSOOBA-KYEBANDO-24h'!J54,'03.80 NSOOBA-KYEBANDO-24h'!J54,'4.08. Kyebando-Nsooba'!J54)</f>
        <v>0.5714285714285714</v>
      </c>
      <c r="K54" s="49">
        <f>AVERAGE('29.07 NSOOBA-KYEBANDO'!K54,'30.07 NSOOBA-KYEBANDO'!K54,'31.08 NSOOBA-KYEBANDO'!K54,'02.08 NSOOBA-KYEBANDO'!K54,'01.08 NSOOBA-KYEBANDO-24h'!K54,'03.80 NSOOBA-KYEBANDO-24h'!K54,'4.08. Kyebando-Nsooba'!K54)</f>
        <v>0.2857142857142857</v>
      </c>
      <c r="L54" s="49">
        <f>AVERAGE('29.07 NSOOBA-KYEBANDO'!L54,'30.07 NSOOBA-KYEBANDO'!L54,'31.08 NSOOBA-KYEBANDO'!L54,'02.08 NSOOBA-KYEBANDO'!L54,'01.08 NSOOBA-KYEBANDO-24h'!L54,'03.80 NSOOBA-KYEBANDO-24h'!L54,'4.08. Kyebando-Nsooba'!L54)</f>
        <v>0</v>
      </c>
      <c r="M54" s="49">
        <f>AVERAGE('29.07 NSOOBA-KYEBANDO'!M54,'30.07 NSOOBA-KYEBANDO'!M54,'31.08 NSOOBA-KYEBANDO'!M54,'02.08 NSOOBA-KYEBANDO'!M54,'01.08 NSOOBA-KYEBANDO-24h'!M54,'03.80 NSOOBA-KYEBANDO-24h'!M54,'4.08. Kyebando-Nsooba'!M54)</f>
        <v>63.714285714285715</v>
      </c>
      <c r="N54" s="49">
        <f>AVERAGE('29.07 NSOOBA-KYEBANDO'!N54,'30.07 NSOOBA-KYEBANDO'!N54,'31.08 NSOOBA-KYEBANDO'!N54,'02.08 NSOOBA-KYEBANDO'!N54,'01.08 NSOOBA-KYEBANDO-24h'!N54,'03.80 NSOOBA-KYEBANDO-24h'!N54,'4.08. Kyebando-Nsooba'!N54)</f>
        <v>0</v>
      </c>
      <c r="O54" s="15">
        <f t="shared" si="0"/>
        <v>34.571428571428569</v>
      </c>
      <c r="P54" s="15">
        <f t="shared" si="1"/>
        <v>98.285714285714278</v>
      </c>
      <c r="R54" s="8"/>
      <c r="T54"/>
    </row>
    <row r="55" spans="2:20" ht="23.1" customHeight="1" x14ac:dyDescent="0.25">
      <c r="B55" s="23" t="s">
        <v>82</v>
      </c>
      <c r="C55" s="49">
        <f>AVERAGE('29.07 NSOOBA-KYEBANDO'!C55,'30.07 NSOOBA-KYEBANDO'!C55,'31.08 NSOOBA-KYEBANDO'!C55,'02.08 NSOOBA-KYEBANDO'!C55,'01.08 NSOOBA-KYEBANDO-24h'!C55,'03.80 NSOOBA-KYEBANDO-24h'!C55,'4.08. Kyebando-Nsooba'!C55)</f>
        <v>19.142857142857142</v>
      </c>
      <c r="D55" s="49">
        <f>AVERAGE('29.07 NSOOBA-KYEBANDO'!D55,'30.07 NSOOBA-KYEBANDO'!D55,'31.08 NSOOBA-KYEBANDO'!D55,'02.08 NSOOBA-KYEBANDO'!D55,'01.08 NSOOBA-KYEBANDO-24h'!D55,'03.80 NSOOBA-KYEBANDO-24h'!D55,'4.08. Kyebando-Nsooba'!D55)</f>
        <v>4.7142857142857144</v>
      </c>
      <c r="E55" s="49">
        <f>AVERAGE('29.07 NSOOBA-KYEBANDO'!E55,'30.07 NSOOBA-KYEBANDO'!E55,'31.08 NSOOBA-KYEBANDO'!E55,'02.08 NSOOBA-KYEBANDO'!E55,'01.08 NSOOBA-KYEBANDO-24h'!E55,'03.80 NSOOBA-KYEBANDO-24h'!E55,'4.08. Kyebando-Nsooba'!E55)</f>
        <v>2</v>
      </c>
      <c r="F55" s="49">
        <f>AVERAGE('29.07 NSOOBA-KYEBANDO'!F55,'30.07 NSOOBA-KYEBANDO'!F55,'31.08 NSOOBA-KYEBANDO'!F55,'02.08 NSOOBA-KYEBANDO'!F55,'01.08 NSOOBA-KYEBANDO-24h'!F55,'03.80 NSOOBA-KYEBANDO-24h'!F55,'4.08. Kyebando-Nsooba'!F55)</f>
        <v>5.8571428571428568</v>
      </c>
      <c r="G55" s="49">
        <f>AVERAGE('29.07 NSOOBA-KYEBANDO'!G55,'30.07 NSOOBA-KYEBANDO'!G55,'31.08 NSOOBA-KYEBANDO'!G55,'02.08 NSOOBA-KYEBANDO'!G55,'01.08 NSOOBA-KYEBANDO-24h'!G55,'03.80 NSOOBA-KYEBANDO-24h'!G55,'4.08. Kyebando-Nsooba'!G55)</f>
        <v>0</v>
      </c>
      <c r="H55" s="49">
        <f>AVERAGE('29.07 NSOOBA-KYEBANDO'!H55,'30.07 NSOOBA-KYEBANDO'!H55,'31.08 NSOOBA-KYEBANDO'!H55,'02.08 NSOOBA-KYEBANDO'!H55,'01.08 NSOOBA-KYEBANDO-24h'!H55,'03.80 NSOOBA-KYEBANDO-24h'!H55,'4.08. Kyebando-Nsooba'!H55)</f>
        <v>0</v>
      </c>
      <c r="I55" s="49">
        <f>AVERAGE('29.07 NSOOBA-KYEBANDO'!I55,'30.07 NSOOBA-KYEBANDO'!I55,'31.08 NSOOBA-KYEBANDO'!I55,'02.08 NSOOBA-KYEBANDO'!I55,'01.08 NSOOBA-KYEBANDO-24h'!I55,'03.80 NSOOBA-KYEBANDO-24h'!I55,'4.08. Kyebando-Nsooba'!I55)</f>
        <v>3.8571428571428572</v>
      </c>
      <c r="J55" s="49">
        <f>AVERAGE('29.07 NSOOBA-KYEBANDO'!J55,'30.07 NSOOBA-KYEBANDO'!J55,'31.08 NSOOBA-KYEBANDO'!J55,'02.08 NSOOBA-KYEBANDO'!J55,'01.08 NSOOBA-KYEBANDO-24h'!J55,'03.80 NSOOBA-KYEBANDO-24h'!J55,'4.08. Kyebando-Nsooba'!J55)</f>
        <v>0.14285714285714285</v>
      </c>
      <c r="K55" s="49">
        <f>AVERAGE('29.07 NSOOBA-KYEBANDO'!K55,'30.07 NSOOBA-KYEBANDO'!K55,'31.08 NSOOBA-KYEBANDO'!K55,'02.08 NSOOBA-KYEBANDO'!K55,'01.08 NSOOBA-KYEBANDO-24h'!K55,'03.80 NSOOBA-KYEBANDO-24h'!K55,'4.08. Kyebando-Nsooba'!K55)</f>
        <v>0.14285714285714285</v>
      </c>
      <c r="L55" s="49">
        <f>AVERAGE('29.07 NSOOBA-KYEBANDO'!L55,'30.07 NSOOBA-KYEBANDO'!L55,'31.08 NSOOBA-KYEBANDO'!L55,'02.08 NSOOBA-KYEBANDO'!L55,'01.08 NSOOBA-KYEBANDO-24h'!L55,'03.80 NSOOBA-KYEBANDO-24h'!L55,'4.08. Kyebando-Nsooba'!L55)</f>
        <v>0</v>
      </c>
      <c r="M55" s="49">
        <f>AVERAGE('29.07 NSOOBA-KYEBANDO'!M55,'30.07 NSOOBA-KYEBANDO'!M55,'31.08 NSOOBA-KYEBANDO'!M55,'02.08 NSOOBA-KYEBANDO'!M55,'01.08 NSOOBA-KYEBANDO-24h'!M55,'03.80 NSOOBA-KYEBANDO-24h'!M55,'4.08. Kyebando-Nsooba'!M55)</f>
        <v>63.571428571428569</v>
      </c>
      <c r="N55" s="49">
        <f>AVERAGE('29.07 NSOOBA-KYEBANDO'!N55,'30.07 NSOOBA-KYEBANDO'!N55,'31.08 NSOOBA-KYEBANDO'!N55,'02.08 NSOOBA-KYEBANDO'!N55,'01.08 NSOOBA-KYEBANDO-24h'!N55,'03.80 NSOOBA-KYEBANDO-24h'!N55,'4.08. Kyebando-Nsooba'!N55)</f>
        <v>0</v>
      </c>
      <c r="O55" s="15">
        <f t="shared" si="0"/>
        <v>35.857142857142861</v>
      </c>
      <c r="P55" s="15">
        <f t="shared" si="1"/>
        <v>99.428571428571431</v>
      </c>
      <c r="R55" s="8"/>
      <c r="T55"/>
    </row>
    <row r="56" spans="2:20" ht="23.1" customHeight="1" x14ac:dyDescent="0.25">
      <c r="B56" s="23" t="s">
        <v>83</v>
      </c>
      <c r="C56" s="49">
        <f>AVERAGE('29.07 NSOOBA-KYEBANDO'!C56,'30.07 NSOOBA-KYEBANDO'!C56,'31.08 NSOOBA-KYEBANDO'!C56,'02.08 NSOOBA-KYEBANDO'!C56,'01.08 NSOOBA-KYEBANDO-24h'!C56,'03.80 NSOOBA-KYEBANDO-24h'!C56,'4.08. Kyebando-Nsooba'!C56)</f>
        <v>20.428571428571427</v>
      </c>
      <c r="D56" s="49">
        <f>AVERAGE('29.07 NSOOBA-KYEBANDO'!D56,'30.07 NSOOBA-KYEBANDO'!D56,'31.08 NSOOBA-KYEBANDO'!D56,'02.08 NSOOBA-KYEBANDO'!D56,'01.08 NSOOBA-KYEBANDO-24h'!D56,'03.80 NSOOBA-KYEBANDO-24h'!D56,'4.08. Kyebando-Nsooba'!D56)</f>
        <v>3.4285714285714284</v>
      </c>
      <c r="E56" s="49">
        <f>AVERAGE('29.07 NSOOBA-KYEBANDO'!E56,'30.07 NSOOBA-KYEBANDO'!E56,'31.08 NSOOBA-KYEBANDO'!E56,'02.08 NSOOBA-KYEBANDO'!E56,'01.08 NSOOBA-KYEBANDO-24h'!E56,'03.80 NSOOBA-KYEBANDO-24h'!E56,'4.08. Kyebando-Nsooba'!E56)</f>
        <v>2.1428571428571428</v>
      </c>
      <c r="F56" s="49">
        <f>AVERAGE('29.07 NSOOBA-KYEBANDO'!F56,'30.07 NSOOBA-KYEBANDO'!F56,'31.08 NSOOBA-KYEBANDO'!F56,'02.08 NSOOBA-KYEBANDO'!F56,'01.08 NSOOBA-KYEBANDO-24h'!F56,'03.80 NSOOBA-KYEBANDO-24h'!F56,'4.08. Kyebando-Nsooba'!F56)</f>
        <v>7</v>
      </c>
      <c r="G56" s="49">
        <f>AVERAGE('29.07 NSOOBA-KYEBANDO'!G56,'30.07 NSOOBA-KYEBANDO'!G56,'31.08 NSOOBA-KYEBANDO'!G56,'02.08 NSOOBA-KYEBANDO'!G56,'01.08 NSOOBA-KYEBANDO-24h'!G56,'03.80 NSOOBA-KYEBANDO-24h'!G56,'4.08. Kyebando-Nsooba'!G56)</f>
        <v>0.2857142857142857</v>
      </c>
      <c r="H56" s="49">
        <f>AVERAGE('29.07 NSOOBA-KYEBANDO'!H56,'30.07 NSOOBA-KYEBANDO'!H56,'31.08 NSOOBA-KYEBANDO'!H56,'02.08 NSOOBA-KYEBANDO'!H56,'01.08 NSOOBA-KYEBANDO-24h'!H56,'03.80 NSOOBA-KYEBANDO-24h'!H56,'4.08. Kyebando-Nsooba'!H56)</f>
        <v>0</v>
      </c>
      <c r="I56" s="49">
        <f>AVERAGE('29.07 NSOOBA-KYEBANDO'!I56,'30.07 NSOOBA-KYEBANDO'!I56,'31.08 NSOOBA-KYEBANDO'!I56,'02.08 NSOOBA-KYEBANDO'!I56,'01.08 NSOOBA-KYEBANDO-24h'!I56,'03.80 NSOOBA-KYEBANDO-24h'!I56,'4.08. Kyebando-Nsooba'!I56)</f>
        <v>3</v>
      </c>
      <c r="J56" s="49">
        <f>AVERAGE('29.07 NSOOBA-KYEBANDO'!J56,'30.07 NSOOBA-KYEBANDO'!J56,'31.08 NSOOBA-KYEBANDO'!J56,'02.08 NSOOBA-KYEBANDO'!J56,'01.08 NSOOBA-KYEBANDO-24h'!J56,'03.80 NSOOBA-KYEBANDO-24h'!J56,'4.08. Kyebando-Nsooba'!J56)</f>
        <v>0.42857142857142855</v>
      </c>
      <c r="K56" s="49">
        <f>AVERAGE('29.07 NSOOBA-KYEBANDO'!K56,'30.07 NSOOBA-KYEBANDO'!K56,'31.08 NSOOBA-KYEBANDO'!K56,'02.08 NSOOBA-KYEBANDO'!K56,'01.08 NSOOBA-KYEBANDO-24h'!K56,'03.80 NSOOBA-KYEBANDO-24h'!K56,'4.08. Kyebando-Nsooba'!K56)</f>
        <v>0.5714285714285714</v>
      </c>
      <c r="L56" s="49">
        <f>AVERAGE('29.07 NSOOBA-KYEBANDO'!L56,'30.07 NSOOBA-KYEBANDO'!L56,'31.08 NSOOBA-KYEBANDO'!L56,'02.08 NSOOBA-KYEBANDO'!L56,'01.08 NSOOBA-KYEBANDO-24h'!L56,'03.80 NSOOBA-KYEBANDO-24h'!L56,'4.08. Kyebando-Nsooba'!L56)</f>
        <v>0</v>
      </c>
      <c r="M56" s="49">
        <f>AVERAGE('29.07 NSOOBA-KYEBANDO'!M56,'30.07 NSOOBA-KYEBANDO'!M56,'31.08 NSOOBA-KYEBANDO'!M56,'02.08 NSOOBA-KYEBANDO'!M56,'01.08 NSOOBA-KYEBANDO-24h'!M56,'03.80 NSOOBA-KYEBANDO-24h'!M56,'4.08. Kyebando-Nsooba'!M56)</f>
        <v>57.571428571428569</v>
      </c>
      <c r="N56" s="49">
        <f>AVERAGE('29.07 NSOOBA-KYEBANDO'!N56,'30.07 NSOOBA-KYEBANDO'!N56,'31.08 NSOOBA-KYEBANDO'!N56,'02.08 NSOOBA-KYEBANDO'!N56,'01.08 NSOOBA-KYEBANDO-24h'!N56,'03.80 NSOOBA-KYEBANDO-24h'!N56,'4.08. Kyebando-Nsooba'!N56)</f>
        <v>0</v>
      </c>
      <c r="O56" s="15">
        <f t="shared" si="0"/>
        <v>37.285714285714285</v>
      </c>
      <c r="P56" s="15">
        <f t="shared" si="1"/>
        <v>94.857142857142861</v>
      </c>
      <c r="R56" s="8"/>
      <c r="T56"/>
    </row>
    <row r="57" spans="2:20" ht="23.1" customHeight="1" x14ac:dyDescent="0.25">
      <c r="B57" s="23" t="s">
        <v>84</v>
      </c>
      <c r="C57" s="49">
        <f>AVERAGE('29.07 NSOOBA-KYEBANDO'!C57,'30.07 NSOOBA-KYEBANDO'!C57,'31.08 NSOOBA-KYEBANDO'!C57,'02.08 NSOOBA-KYEBANDO'!C57,'01.08 NSOOBA-KYEBANDO-24h'!C57,'03.80 NSOOBA-KYEBANDO-24h'!C57,'4.08. Kyebando-Nsooba'!C57)</f>
        <v>17.571428571428573</v>
      </c>
      <c r="D57" s="49">
        <f>AVERAGE('29.07 NSOOBA-KYEBANDO'!D57,'30.07 NSOOBA-KYEBANDO'!D57,'31.08 NSOOBA-KYEBANDO'!D57,'02.08 NSOOBA-KYEBANDO'!D57,'01.08 NSOOBA-KYEBANDO-24h'!D57,'03.80 NSOOBA-KYEBANDO-24h'!D57,'4.08. Kyebando-Nsooba'!D57)</f>
        <v>4.1428571428571432</v>
      </c>
      <c r="E57" s="49">
        <f>AVERAGE('29.07 NSOOBA-KYEBANDO'!E57,'30.07 NSOOBA-KYEBANDO'!E57,'31.08 NSOOBA-KYEBANDO'!E57,'02.08 NSOOBA-KYEBANDO'!E57,'01.08 NSOOBA-KYEBANDO-24h'!E57,'03.80 NSOOBA-KYEBANDO-24h'!E57,'4.08. Kyebando-Nsooba'!E57)</f>
        <v>1.2857142857142858</v>
      </c>
      <c r="F57" s="49">
        <f>AVERAGE('29.07 NSOOBA-KYEBANDO'!F57,'30.07 NSOOBA-KYEBANDO'!F57,'31.08 NSOOBA-KYEBANDO'!F57,'02.08 NSOOBA-KYEBANDO'!F57,'01.08 NSOOBA-KYEBANDO-24h'!F57,'03.80 NSOOBA-KYEBANDO-24h'!F57,'4.08. Kyebando-Nsooba'!F57)</f>
        <v>6.2857142857142856</v>
      </c>
      <c r="G57" s="49">
        <f>AVERAGE('29.07 NSOOBA-KYEBANDO'!G57,'30.07 NSOOBA-KYEBANDO'!G57,'31.08 NSOOBA-KYEBANDO'!G57,'02.08 NSOOBA-KYEBANDO'!G57,'01.08 NSOOBA-KYEBANDO-24h'!G57,'03.80 NSOOBA-KYEBANDO-24h'!G57,'4.08. Kyebando-Nsooba'!G57)</f>
        <v>0.7142857142857143</v>
      </c>
      <c r="H57" s="49">
        <f>AVERAGE('29.07 NSOOBA-KYEBANDO'!H57,'30.07 NSOOBA-KYEBANDO'!H57,'31.08 NSOOBA-KYEBANDO'!H57,'02.08 NSOOBA-KYEBANDO'!H57,'01.08 NSOOBA-KYEBANDO-24h'!H57,'03.80 NSOOBA-KYEBANDO-24h'!H57,'4.08. Kyebando-Nsooba'!H57)</f>
        <v>0</v>
      </c>
      <c r="I57" s="49">
        <f>AVERAGE('29.07 NSOOBA-KYEBANDO'!I57,'30.07 NSOOBA-KYEBANDO'!I57,'31.08 NSOOBA-KYEBANDO'!I57,'02.08 NSOOBA-KYEBANDO'!I57,'01.08 NSOOBA-KYEBANDO-24h'!I57,'03.80 NSOOBA-KYEBANDO-24h'!I57,'4.08. Kyebando-Nsooba'!I57)</f>
        <v>1.8571428571428572</v>
      </c>
      <c r="J57" s="49">
        <f>AVERAGE('29.07 NSOOBA-KYEBANDO'!J57,'30.07 NSOOBA-KYEBANDO'!J57,'31.08 NSOOBA-KYEBANDO'!J57,'02.08 NSOOBA-KYEBANDO'!J57,'01.08 NSOOBA-KYEBANDO-24h'!J57,'03.80 NSOOBA-KYEBANDO-24h'!J57,'4.08. Kyebando-Nsooba'!J57)</f>
        <v>0</v>
      </c>
      <c r="K57" s="49">
        <f>AVERAGE('29.07 NSOOBA-KYEBANDO'!K57,'30.07 NSOOBA-KYEBANDO'!K57,'31.08 NSOOBA-KYEBANDO'!K57,'02.08 NSOOBA-KYEBANDO'!K57,'01.08 NSOOBA-KYEBANDO-24h'!K57,'03.80 NSOOBA-KYEBANDO-24h'!K57,'4.08. Kyebando-Nsooba'!K57)</f>
        <v>0.2857142857142857</v>
      </c>
      <c r="L57" s="49">
        <f>AVERAGE('29.07 NSOOBA-KYEBANDO'!L57,'30.07 NSOOBA-KYEBANDO'!L57,'31.08 NSOOBA-KYEBANDO'!L57,'02.08 NSOOBA-KYEBANDO'!L57,'01.08 NSOOBA-KYEBANDO-24h'!L57,'03.80 NSOOBA-KYEBANDO-24h'!L57,'4.08. Kyebando-Nsooba'!L57)</f>
        <v>0</v>
      </c>
      <c r="M57" s="49">
        <f>AVERAGE('29.07 NSOOBA-KYEBANDO'!M57,'30.07 NSOOBA-KYEBANDO'!M57,'31.08 NSOOBA-KYEBANDO'!M57,'02.08 NSOOBA-KYEBANDO'!M57,'01.08 NSOOBA-KYEBANDO-24h'!M57,'03.80 NSOOBA-KYEBANDO-24h'!M57,'4.08. Kyebando-Nsooba'!M57)</f>
        <v>60.714285714285715</v>
      </c>
      <c r="N57" s="49">
        <f>AVERAGE('29.07 NSOOBA-KYEBANDO'!N57,'30.07 NSOOBA-KYEBANDO'!N57,'31.08 NSOOBA-KYEBANDO'!N57,'02.08 NSOOBA-KYEBANDO'!N57,'01.08 NSOOBA-KYEBANDO-24h'!N57,'03.80 NSOOBA-KYEBANDO-24h'!N57,'4.08. Kyebando-Nsooba'!N57)</f>
        <v>0</v>
      </c>
      <c r="O57" s="15">
        <f t="shared" si="0"/>
        <v>32.142857142857146</v>
      </c>
      <c r="P57" s="15">
        <f t="shared" si="1"/>
        <v>92.857142857142861</v>
      </c>
      <c r="R57" s="8"/>
      <c r="T57"/>
    </row>
    <row r="58" spans="2:20" ht="23.1" customHeight="1" x14ac:dyDescent="0.25">
      <c r="B58" s="23" t="s">
        <v>99</v>
      </c>
      <c r="C58" s="49">
        <f>AVERAGE('01.08 NSOOBA-KYEBANDO-24h'!C58,'03.08 KYEBANDO-NSOOBA-24h'!C58)</f>
        <v>25</v>
      </c>
      <c r="D58" s="49">
        <f>AVERAGE('01.08 NSOOBA-KYEBANDO-24h'!D58,'03.08 KYEBANDO-NSOOBA-24h'!D58)</f>
        <v>4.5</v>
      </c>
      <c r="E58" s="49">
        <f>AVERAGE('01.08 NSOOBA-KYEBANDO-24h'!E58,'03.08 KYEBANDO-NSOOBA-24h'!E58)</f>
        <v>4.5</v>
      </c>
      <c r="F58" s="49">
        <f>AVERAGE('01.08 NSOOBA-KYEBANDO-24h'!F58,'03.08 KYEBANDO-NSOOBA-24h'!F58)</f>
        <v>12</v>
      </c>
      <c r="G58" s="49">
        <f>AVERAGE('01.08 NSOOBA-KYEBANDO-24h'!G58,'03.08 KYEBANDO-NSOOBA-24h'!G58)</f>
        <v>0.5</v>
      </c>
      <c r="H58" s="49">
        <f>AVERAGE('01.08 NSOOBA-KYEBANDO-24h'!H58,'03.08 KYEBANDO-NSOOBA-24h'!H58)</f>
        <v>0</v>
      </c>
      <c r="I58" s="49">
        <f>AVERAGE('01.08 NSOOBA-KYEBANDO-24h'!I58,'03.08 KYEBANDO-NSOOBA-24h'!I58)</f>
        <v>5</v>
      </c>
      <c r="J58" s="49">
        <f>AVERAGE('01.08 NSOOBA-KYEBANDO-24h'!J58,'03.08 KYEBANDO-NSOOBA-24h'!J58)</f>
        <v>1</v>
      </c>
      <c r="K58" s="49">
        <f>AVERAGE('01.08 NSOOBA-KYEBANDO-24h'!K58,'03.08 KYEBANDO-NSOOBA-24h'!K58)</f>
        <v>0.5</v>
      </c>
      <c r="L58" s="49">
        <f>AVERAGE('01.08 NSOOBA-KYEBANDO-24h'!L58,'03.08 KYEBANDO-NSOOBA-24h'!L58)</f>
        <v>0</v>
      </c>
      <c r="M58" s="49">
        <f>AVERAGE('01.08 NSOOBA-KYEBANDO-24h'!M58,'03.08 KYEBANDO-NSOOBA-24h'!M58)</f>
        <v>58.5</v>
      </c>
      <c r="N58" s="49">
        <f>AVERAGE('01.08 NSOOBA-KYEBANDO-24h'!N58,'03.08 KYEBANDO-NSOOBA-24h'!N58)</f>
        <v>0</v>
      </c>
      <c r="O58" s="15">
        <f t="shared" si="0"/>
        <v>53</v>
      </c>
      <c r="P58" s="15">
        <f t="shared" si="1"/>
        <v>111.5</v>
      </c>
      <c r="R58" s="8"/>
      <c r="T58"/>
    </row>
    <row r="59" spans="2:20" ht="23.1" customHeight="1" x14ac:dyDescent="0.25">
      <c r="B59" s="23" t="s">
        <v>100</v>
      </c>
      <c r="C59" s="49">
        <f>AVERAGE('01.08 NSOOBA-KYEBANDO-24h'!C59,'03.08 KYEBANDO-NSOOBA-24h'!C59)</f>
        <v>27.5</v>
      </c>
      <c r="D59" s="49">
        <f>AVERAGE('01.08 NSOOBA-KYEBANDO-24h'!D59,'03.08 KYEBANDO-NSOOBA-24h'!D59)</f>
        <v>3</v>
      </c>
      <c r="E59" s="49">
        <f>AVERAGE('01.08 NSOOBA-KYEBANDO-24h'!E59,'03.08 KYEBANDO-NSOOBA-24h'!E59)</f>
        <v>4</v>
      </c>
      <c r="F59" s="49">
        <f>AVERAGE('01.08 NSOOBA-KYEBANDO-24h'!F59,'03.08 KYEBANDO-NSOOBA-24h'!F59)</f>
        <v>18</v>
      </c>
      <c r="G59" s="49">
        <f>AVERAGE('01.08 NSOOBA-KYEBANDO-24h'!G59,'03.08 KYEBANDO-NSOOBA-24h'!G59)</f>
        <v>0</v>
      </c>
      <c r="H59" s="49">
        <f>AVERAGE('01.08 NSOOBA-KYEBANDO-24h'!H59,'03.08 KYEBANDO-NSOOBA-24h'!H59)</f>
        <v>0</v>
      </c>
      <c r="I59" s="49">
        <f>AVERAGE('01.08 NSOOBA-KYEBANDO-24h'!I59,'03.08 KYEBANDO-NSOOBA-24h'!I59)</f>
        <v>4.5</v>
      </c>
      <c r="J59" s="49">
        <f>AVERAGE('01.08 NSOOBA-KYEBANDO-24h'!J59,'03.08 KYEBANDO-NSOOBA-24h'!J59)</f>
        <v>1.5</v>
      </c>
      <c r="K59" s="49">
        <f>AVERAGE('01.08 NSOOBA-KYEBANDO-24h'!K59,'03.08 KYEBANDO-NSOOBA-24h'!K59)</f>
        <v>0.5</v>
      </c>
      <c r="L59" s="49">
        <f>AVERAGE('01.08 NSOOBA-KYEBANDO-24h'!L59,'03.08 KYEBANDO-NSOOBA-24h'!L59)</f>
        <v>0</v>
      </c>
      <c r="M59" s="49">
        <f>AVERAGE('01.08 NSOOBA-KYEBANDO-24h'!M59,'03.08 KYEBANDO-NSOOBA-24h'!M59)</f>
        <v>53</v>
      </c>
      <c r="N59" s="49">
        <f>AVERAGE('01.08 NSOOBA-KYEBANDO-24h'!N59,'03.08 KYEBANDO-NSOOBA-24h'!N59)</f>
        <v>0</v>
      </c>
      <c r="O59" s="15">
        <f t="shared" si="0"/>
        <v>59</v>
      </c>
      <c r="P59" s="15">
        <f t="shared" si="1"/>
        <v>112</v>
      </c>
      <c r="R59" s="8"/>
      <c r="T59"/>
    </row>
    <row r="60" spans="2:20" ht="23.1" customHeight="1" x14ac:dyDescent="0.25">
      <c r="B60" s="23" t="s">
        <v>101</v>
      </c>
      <c r="C60" s="49">
        <f>AVERAGE('01.08 NSOOBA-KYEBANDO-24h'!C60,'03.08 KYEBANDO-NSOOBA-24h'!C60)</f>
        <v>44</v>
      </c>
      <c r="D60" s="49">
        <f>AVERAGE('01.08 NSOOBA-KYEBANDO-24h'!D60,'03.08 KYEBANDO-NSOOBA-24h'!D60)</f>
        <v>5.5</v>
      </c>
      <c r="E60" s="49">
        <f>AVERAGE('01.08 NSOOBA-KYEBANDO-24h'!E60,'03.08 KYEBANDO-NSOOBA-24h'!E60)</f>
        <v>3</v>
      </c>
      <c r="F60" s="49">
        <f>AVERAGE('01.08 NSOOBA-KYEBANDO-24h'!F60,'03.08 KYEBANDO-NSOOBA-24h'!F60)</f>
        <v>24.5</v>
      </c>
      <c r="G60" s="49">
        <f>AVERAGE('01.08 NSOOBA-KYEBANDO-24h'!G60,'03.08 KYEBANDO-NSOOBA-24h'!G60)</f>
        <v>0</v>
      </c>
      <c r="H60" s="49">
        <f>AVERAGE('01.08 NSOOBA-KYEBANDO-24h'!H60,'03.08 KYEBANDO-NSOOBA-24h'!H60)</f>
        <v>0</v>
      </c>
      <c r="I60" s="49">
        <f>AVERAGE('01.08 NSOOBA-KYEBANDO-24h'!I60,'03.08 KYEBANDO-NSOOBA-24h'!I60)</f>
        <v>4</v>
      </c>
      <c r="J60" s="49">
        <f>AVERAGE('01.08 NSOOBA-KYEBANDO-24h'!J60,'03.08 KYEBANDO-NSOOBA-24h'!J60)</f>
        <v>2</v>
      </c>
      <c r="K60" s="49">
        <f>AVERAGE('01.08 NSOOBA-KYEBANDO-24h'!K60,'03.08 KYEBANDO-NSOOBA-24h'!K60)</f>
        <v>0.5</v>
      </c>
      <c r="L60" s="49">
        <f>AVERAGE('01.08 NSOOBA-KYEBANDO-24h'!L60,'03.08 KYEBANDO-NSOOBA-24h'!L60)</f>
        <v>0</v>
      </c>
      <c r="M60" s="49">
        <f>AVERAGE('01.08 NSOOBA-KYEBANDO-24h'!M60,'03.08 KYEBANDO-NSOOBA-24h'!M60)</f>
        <v>79</v>
      </c>
      <c r="N60" s="49">
        <f>AVERAGE('01.08 NSOOBA-KYEBANDO-24h'!N60,'03.08 KYEBANDO-NSOOBA-24h'!N60)</f>
        <v>0</v>
      </c>
      <c r="O60" s="15">
        <f t="shared" si="0"/>
        <v>83.5</v>
      </c>
      <c r="P60" s="15">
        <f t="shared" si="1"/>
        <v>162.5</v>
      </c>
      <c r="R60" s="8"/>
      <c r="T60"/>
    </row>
    <row r="61" spans="2:20" ht="23.1" customHeight="1" x14ac:dyDescent="0.25">
      <c r="B61" s="23" t="s">
        <v>102</v>
      </c>
      <c r="C61" s="49">
        <f>AVERAGE('01.08 NSOOBA-KYEBANDO-24h'!C61,'03.08 KYEBANDO-NSOOBA-24h'!C61)</f>
        <v>42.5</v>
      </c>
      <c r="D61" s="49">
        <f>AVERAGE('01.08 NSOOBA-KYEBANDO-24h'!D61,'03.08 KYEBANDO-NSOOBA-24h'!D61)</f>
        <v>3</v>
      </c>
      <c r="E61" s="49">
        <f>AVERAGE('01.08 NSOOBA-KYEBANDO-24h'!E61,'03.08 KYEBANDO-NSOOBA-24h'!E61)</f>
        <v>10.5</v>
      </c>
      <c r="F61" s="49">
        <f>AVERAGE('01.08 NSOOBA-KYEBANDO-24h'!F61,'03.08 KYEBANDO-NSOOBA-24h'!F61)</f>
        <v>24</v>
      </c>
      <c r="G61" s="49">
        <f>AVERAGE('01.08 NSOOBA-KYEBANDO-24h'!G61,'03.08 KYEBANDO-NSOOBA-24h'!G61)</f>
        <v>0.5</v>
      </c>
      <c r="H61" s="49">
        <f>AVERAGE('01.08 NSOOBA-KYEBANDO-24h'!H61,'03.08 KYEBANDO-NSOOBA-24h'!H61)</f>
        <v>0</v>
      </c>
      <c r="I61" s="49">
        <f>AVERAGE('01.08 NSOOBA-KYEBANDO-24h'!I61,'03.08 KYEBANDO-NSOOBA-24h'!I61)</f>
        <v>9.5</v>
      </c>
      <c r="J61" s="49">
        <f>AVERAGE('01.08 NSOOBA-KYEBANDO-24h'!J61,'03.08 KYEBANDO-NSOOBA-24h'!J61)</f>
        <v>2</v>
      </c>
      <c r="K61" s="49">
        <f>AVERAGE('01.08 NSOOBA-KYEBANDO-24h'!K61,'03.08 KYEBANDO-NSOOBA-24h'!K61)</f>
        <v>1</v>
      </c>
      <c r="L61" s="49">
        <f>AVERAGE('01.08 NSOOBA-KYEBANDO-24h'!L61,'03.08 KYEBANDO-NSOOBA-24h'!L61)</f>
        <v>1</v>
      </c>
      <c r="M61" s="49">
        <f>AVERAGE('01.08 NSOOBA-KYEBANDO-24h'!M61,'03.08 KYEBANDO-NSOOBA-24h'!M61)</f>
        <v>75</v>
      </c>
      <c r="N61" s="49">
        <f>AVERAGE('01.08 NSOOBA-KYEBANDO-24h'!N61,'03.08 KYEBANDO-NSOOBA-24h'!N61)</f>
        <v>0</v>
      </c>
      <c r="O61" s="15">
        <f t="shared" si="0"/>
        <v>94</v>
      </c>
      <c r="P61" s="15">
        <f t="shared" si="1"/>
        <v>169</v>
      </c>
      <c r="R61" s="8"/>
      <c r="T61"/>
    </row>
    <row r="62" spans="2:20" ht="23.1" customHeight="1" x14ac:dyDescent="0.25">
      <c r="B62" s="23" t="s">
        <v>107</v>
      </c>
      <c r="C62" s="49">
        <f>AVERAGE('01.08 NSOOBA-KYEBANDO-24h'!C62,'03.08 KYEBANDO-NSOOBA-24h'!C62)</f>
        <v>40.5</v>
      </c>
      <c r="D62" s="49">
        <f>AVERAGE('01.08 NSOOBA-KYEBANDO-24h'!D62,'03.08 KYEBANDO-NSOOBA-24h'!D62)</f>
        <v>4.5</v>
      </c>
      <c r="E62" s="49">
        <f>AVERAGE('01.08 NSOOBA-KYEBANDO-24h'!E62,'03.08 KYEBANDO-NSOOBA-24h'!E62)</f>
        <v>4</v>
      </c>
      <c r="F62" s="49">
        <f>AVERAGE('01.08 NSOOBA-KYEBANDO-24h'!F62,'03.08 KYEBANDO-NSOOBA-24h'!F62)</f>
        <v>24</v>
      </c>
      <c r="G62" s="49">
        <f>AVERAGE('01.08 NSOOBA-KYEBANDO-24h'!G62,'03.08 KYEBANDO-NSOOBA-24h'!G62)</f>
        <v>0.5</v>
      </c>
      <c r="H62" s="49">
        <f>AVERAGE('01.08 NSOOBA-KYEBANDO-24h'!H62,'03.08 KYEBANDO-NSOOBA-24h'!H62)</f>
        <v>0</v>
      </c>
      <c r="I62" s="49">
        <f>AVERAGE('01.08 NSOOBA-KYEBANDO-24h'!I62,'03.08 KYEBANDO-NSOOBA-24h'!I62)</f>
        <v>4.5</v>
      </c>
      <c r="J62" s="49">
        <f>AVERAGE('01.08 NSOOBA-KYEBANDO-24h'!J62,'03.08 KYEBANDO-NSOOBA-24h'!J62)</f>
        <v>1.5</v>
      </c>
      <c r="K62" s="49">
        <f>AVERAGE('01.08 NSOOBA-KYEBANDO-24h'!K62,'03.08 KYEBANDO-NSOOBA-24h'!K62)</f>
        <v>0.5</v>
      </c>
      <c r="L62" s="49">
        <f>AVERAGE('01.08 NSOOBA-KYEBANDO-24h'!L62,'03.08 KYEBANDO-NSOOBA-24h'!L62)</f>
        <v>0</v>
      </c>
      <c r="M62" s="49">
        <f>AVERAGE('01.08 NSOOBA-KYEBANDO-24h'!M62,'03.08 KYEBANDO-NSOOBA-24h'!M62)</f>
        <v>68</v>
      </c>
      <c r="N62" s="49">
        <f>AVERAGE('01.08 NSOOBA-KYEBANDO-24h'!N62,'03.08 KYEBANDO-NSOOBA-24h'!N62)</f>
        <v>0</v>
      </c>
      <c r="O62" s="15">
        <f t="shared" si="0"/>
        <v>80</v>
      </c>
      <c r="P62" s="15">
        <f t="shared" si="1"/>
        <v>148</v>
      </c>
      <c r="R62" s="8"/>
      <c r="T62"/>
    </row>
    <row r="63" spans="2:20" ht="23.1" customHeight="1" x14ac:dyDescent="0.25">
      <c r="B63" s="23" t="s">
        <v>108</v>
      </c>
      <c r="C63" s="49">
        <f>AVERAGE('01.08 NSOOBA-KYEBANDO-24h'!C63,'03.08 KYEBANDO-NSOOBA-24h'!C63)</f>
        <v>43</v>
      </c>
      <c r="D63" s="49">
        <f>AVERAGE('01.08 NSOOBA-KYEBANDO-24h'!D63,'03.08 KYEBANDO-NSOOBA-24h'!D63)</f>
        <v>4.5</v>
      </c>
      <c r="E63" s="49">
        <f>AVERAGE('01.08 NSOOBA-KYEBANDO-24h'!E63,'03.08 KYEBANDO-NSOOBA-24h'!E63)</f>
        <v>3</v>
      </c>
      <c r="F63" s="49">
        <f>AVERAGE('01.08 NSOOBA-KYEBANDO-24h'!F63,'03.08 KYEBANDO-NSOOBA-24h'!F63)</f>
        <v>21.5</v>
      </c>
      <c r="G63" s="49">
        <f>AVERAGE('01.08 NSOOBA-KYEBANDO-24h'!G63,'03.08 KYEBANDO-NSOOBA-24h'!G63)</f>
        <v>1</v>
      </c>
      <c r="H63" s="49">
        <f>AVERAGE('01.08 NSOOBA-KYEBANDO-24h'!H63,'03.08 KYEBANDO-NSOOBA-24h'!H63)</f>
        <v>0</v>
      </c>
      <c r="I63" s="49">
        <f>AVERAGE('01.08 NSOOBA-KYEBANDO-24h'!I63,'03.08 KYEBANDO-NSOOBA-24h'!I63)</f>
        <v>1.5</v>
      </c>
      <c r="J63" s="49">
        <f>AVERAGE('01.08 NSOOBA-KYEBANDO-24h'!J63,'03.08 KYEBANDO-NSOOBA-24h'!J63)</f>
        <v>1</v>
      </c>
      <c r="K63" s="49">
        <f>AVERAGE('01.08 NSOOBA-KYEBANDO-24h'!K63,'03.08 KYEBANDO-NSOOBA-24h'!K63)</f>
        <v>0</v>
      </c>
      <c r="L63" s="49">
        <f>AVERAGE('01.08 NSOOBA-KYEBANDO-24h'!L63,'03.08 KYEBANDO-NSOOBA-24h'!L63)</f>
        <v>0</v>
      </c>
      <c r="M63" s="49">
        <f>AVERAGE('01.08 NSOOBA-KYEBANDO-24h'!M63,'03.08 KYEBANDO-NSOOBA-24h'!M63)</f>
        <v>68.5</v>
      </c>
      <c r="N63" s="49">
        <f>AVERAGE('01.08 NSOOBA-KYEBANDO-24h'!N63,'03.08 KYEBANDO-NSOOBA-24h'!N63)</f>
        <v>0</v>
      </c>
      <c r="O63" s="15">
        <f t="shared" si="0"/>
        <v>75.5</v>
      </c>
      <c r="P63" s="15">
        <f t="shared" si="1"/>
        <v>144</v>
      </c>
      <c r="R63" s="8"/>
      <c r="T63"/>
    </row>
    <row r="64" spans="2:20" ht="23.1" customHeight="1" x14ac:dyDescent="0.25">
      <c r="B64" s="23" t="s">
        <v>109</v>
      </c>
      <c r="C64" s="49">
        <f>AVERAGE('01.08 NSOOBA-KYEBANDO-24h'!C64,'03.08 KYEBANDO-NSOOBA-24h'!C64)</f>
        <v>29</v>
      </c>
      <c r="D64" s="49">
        <f>AVERAGE('01.08 NSOOBA-KYEBANDO-24h'!D64,'03.08 KYEBANDO-NSOOBA-24h'!D64)</f>
        <v>1.5</v>
      </c>
      <c r="E64" s="49">
        <f>AVERAGE('01.08 NSOOBA-KYEBANDO-24h'!E64,'03.08 KYEBANDO-NSOOBA-24h'!E64)</f>
        <v>3</v>
      </c>
      <c r="F64" s="49">
        <f>AVERAGE('01.08 NSOOBA-KYEBANDO-24h'!F64,'03.08 KYEBANDO-NSOOBA-24h'!F64)</f>
        <v>15</v>
      </c>
      <c r="G64" s="49">
        <f>AVERAGE('01.08 NSOOBA-KYEBANDO-24h'!G64,'03.08 KYEBANDO-NSOOBA-24h'!G64)</f>
        <v>0</v>
      </c>
      <c r="H64" s="49">
        <f>AVERAGE('01.08 NSOOBA-KYEBANDO-24h'!H64,'03.08 KYEBANDO-NSOOBA-24h'!H64)</f>
        <v>1</v>
      </c>
      <c r="I64" s="49">
        <f>AVERAGE('01.08 NSOOBA-KYEBANDO-24h'!I64,'03.08 KYEBANDO-NSOOBA-24h'!I64)</f>
        <v>2.5</v>
      </c>
      <c r="J64" s="49">
        <f>AVERAGE('01.08 NSOOBA-KYEBANDO-24h'!J64,'03.08 KYEBANDO-NSOOBA-24h'!J64)</f>
        <v>0</v>
      </c>
      <c r="K64" s="49">
        <f>AVERAGE('01.08 NSOOBA-KYEBANDO-24h'!K64,'03.08 KYEBANDO-NSOOBA-24h'!K64)</f>
        <v>0</v>
      </c>
      <c r="L64" s="49">
        <f>AVERAGE('01.08 NSOOBA-KYEBANDO-24h'!L64,'03.08 KYEBANDO-NSOOBA-24h'!L64)</f>
        <v>0</v>
      </c>
      <c r="M64" s="49">
        <f>AVERAGE('01.08 NSOOBA-KYEBANDO-24h'!M64,'03.08 KYEBANDO-NSOOBA-24h'!M64)</f>
        <v>62.5</v>
      </c>
      <c r="N64" s="49">
        <f>AVERAGE('01.08 NSOOBA-KYEBANDO-24h'!N64,'03.08 KYEBANDO-NSOOBA-24h'!N64)</f>
        <v>0</v>
      </c>
      <c r="O64" s="15">
        <f t="shared" si="0"/>
        <v>52</v>
      </c>
      <c r="P64" s="15">
        <f t="shared" si="1"/>
        <v>114.5</v>
      </c>
      <c r="R64" s="8"/>
      <c r="T64"/>
    </row>
    <row r="65" spans="2:20" ht="23.1" customHeight="1" x14ac:dyDescent="0.25">
      <c r="B65" s="23" t="s">
        <v>158</v>
      </c>
      <c r="C65" s="49">
        <f>AVERAGE('01.08 NSOOBA-KYEBANDO-24h'!C65,'03.08 KYEBANDO-NSOOBA-24h'!C65)</f>
        <v>35.5</v>
      </c>
      <c r="D65" s="49">
        <f>AVERAGE('01.08 NSOOBA-KYEBANDO-24h'!D65,'03.08 KYEBANDO-NSOOBA-24h'!D65)</f>
        <v>4</v>
      </c>
      <c r="E65" s="49">
        <f>AVERAGE('01.08 NSOOBA-KYEBANDO-24h'!E65,'03.08 KYEBANDO-NSOOBA-24h'!E65)</f>
        <v>3</v>
      </c>
      <c r="F65" s="49">
        <f>AVERAGE('01.08 NSOOBA-KYEBANDO-24h'!F65,'03.08 KYEBANDO-NSOOBA-24h'!F65)</f>
        <v>29.5</v>
      </c>
      <c r="G65" s="49">
        <f>AVERAGE('01.08 NSOOBA-KYEBANDO-24h'!G65,'03.08 KYEBANDO-NSOOBA-24h'!G65)</f>
        <v>0</v>
      </c>
      <c r="H65" s="49">
        <f>AVERAGE('01.08 NSOOBA-KYEBANDO-24h'!H65,'03.08 KYEBANDO-NSOOBA-24h'!H65)</f>
        <v>0</v>
      </c>
      <c r="I65" s="49">
        <f>AVERAGE('01.08 NSOOBA-KYEBANDO-24h'!I65,'03.08 KYEBANDO-NSOOBA-24h'!I65)</f>
        <v>2.5</v>
      </c>
      <c r="J65" s="49">
        <f>AVERAGE('01.08 NSOOBA-KYEBANDO-24h'!J65,'03.08 KYEBANDO-NSOOBA-24h'!J65)</f>
        <v>0</v>
      </c>
      <c r="K65" s="49">
        <f>AVERAGE('01.08 NSOOBA-KYEBANDO-24h'!K65,'03.08 KYEBANDO-NSOOBA-24h'!K65)</f>
        <v>0</v>
      </c>
      <c r="L65" s="49">
        <f>AVERAGE('01.08 NSOOBA-KYEBANDO-24h'!L65,'03.08 KYEBANDO-NSOOBA-24h'!L65)</f>
        <v>0</v>
      </c>
      <c r="M65" s="49">
        <f>AVERAGE('01.08 NSOOBA-KYEBANDO-24h'!M65,'03.08 KYEBANDO-NSOOBA-24h'!M65)</f>
        <v>59.5</v>
      </c>
      <c r="N65" s="49">
        <f>AVERAGE('01.08 NSOOBA-KYEBANDO-24h'!N65,'03.08 KYEBANDO-NSOOBA-24h'!N65)</f>
        <v>0</v>
      </c>
      <c r="O65" s="15">
        <f t="shared" si="0"/>
        <v>74.5</v>
      </c>
      <c r="P65" s="15">
        <f t="shared" si="1"/>
        <v>134</v>
      </c>
      <c r="R65" s="8"/>
      <c r="T65"/>
    </row>
    <row r="66" spans="2:20" ht="23.1" customHeight="1" x14ac:dyDescent="0.25">
      <c r="B66" s="23" t="s">
        <v>103</v>
      </c>
      <c r="C66" s="49">
        <f>AVERAGE('01.08 NSOOBA-KYEBANDO-24h'!C66,'03.08 KYEBANDO-NSOOBA-24h'!C66)</f>
        <v>44.5</v>
      </c>
      <c r="D66" s="49">
        <f>AVERAGE('01.08 NSOOBA-KYEBANDO-24h'!D66,'03.08 KYEBANDO-NSOOBA-24h'!D66)</f>
        <v>0.5</v>
      </c>
      <c r="E66" s="49">
        <f>AVERAGE('01.08 NSOOBA-KYEBANDO-24h'!E66,'03.08 KYEBANDO-NSOOBA-24h'!E66)</f>
        <v>3.5</v>
      </c>
      <c r="F66" s="49">
        <f>AVERAGE('01.08 NSOOBA-KYEBANDO-24h'!F66,'03.08 KYEBANDO-NSOOBA-24h'!F66)</f>
        <v>4.5</v>
      </c>
      <c r="G66" s="49">
        <f>AVERAGE('01.08 NSOOBA-KYEBANDO-24h'!G66,'03.08 KYEBANDO-NSOOBA-24h'!G66)</f>
        <v>24</v>
      </c>
      <c r="H66" s="49">
        <f>AVERAGE('01.08 NSOOBA-KYEBANDO-24h'!H66,'03.08 KYEBANDO-NSOOBA-24h'!H66)</f>
        <v>2</v>
      </c>
      <c r="I66" s="49">
        <f>AVERAGE('01.08 NSOOBA-KYEBANDO-24h'!I66,'03.08 KYEBANDO-NSOOBA-24h'!I66)</f>
        <v>1</v>
      </c>
      <c r="J66" s="49">
        <f>AVERAGE('01.08 NSOOBA-KYEBANDO-24h'!J66,'03.08 KYEBANDO-NSOOBA-24h'!J66)</f>
        <v>2</v>
      </c>
      <c r="K66" s="49">
        <f>AVERAGE('01.08 NSOOBA-KYEBANDO-24h'!K66,'03.08 KYEBANDO-NSOOBA-24h'!K66)</f>
        <v>0.5</v>
      </c>
      <c r="L66" s="49">
        <f>AVERAGE('01.08 NSOOBA-KYEBANDO-24h'!L66,'03.08 KYEBANDO-NSOOBA-24h'!L66)</f>
        <v>0.5</v>
      </c>
      <c r="M66" s="49">
        <f>AVERAGE('01.08 NSOOBA-KYEBANDO-24h'!M66,'03.08 KYEBANDO-NSOOBA-24h'!M66)</f>
        <v>64</v>
      </c>
      <c r="N66" s="49">
        <f>AVERAGE('01.08 NSOOBA-KYEBANDO-24h'!N66,'03.08 KYEBANDO-NSOOBA-24h'!N66)</f>
        <v>0</v>
      </c>
      <c r="O66" s="15">
        <f t="shared" si="0"/>
        <v>83</v>
      </c>
      <c r="P66" s="15">
        <f t="shared" si="1"/>
        <v>147</v>
      </c>
      <c r="R66" s="8"/>
      <c r="T66"/>
    </row>
    <row r="67" spans="2:20" ht="23.1" customHeight="1" x14ac:dyDescent="0.25">
      <c r="B67" s="23" t="s">
        <v>104</v>
      </c>
      <c r="C67" s="49">
        <f>AVERAGE('01.08 NSOOBA-KYEBANDO-24h'!C67,'03.08 KYEBANDO-NSOOBA-24h'!C67)</f>
        <v>40</v>
      </c>
      <c r="D67" s="49">
        <f>AVERAGE('01.08 NSOOBA-KYEBANDO-24h'!D67,'03.08 KYEBANDO-NSOOBA-24h'!D67)</f>
        <v>5</v>
      </c>
      <c r="E67" s="49">
        <f>AVERAGE('01.08 NSOOBA-KYEBANDO-24h'!E67,'03.08 KYEBANDO-NSOOBA-24h'!E67)</f>
        <v>1.5</v>
      </c>
      <c r="F67" s="49">
        <f>AVERAGE('01.08 NSOOBA-KYEBANDO-24h'!F67,'03.08 KYEBANDO-NSOOBA-24h'!F67)</f>
        <v>19.5</v>
      </c>
      <c r="G67" s="49">
        <f>AVERAGE('01.08 NSOOBA-KYEBANDO-24h'!G67,'03.08 KYEBANDO-NSOOBA-24h'!G67)</f>
        <v>1.5</v>
      </c>
      <c r="H67" s="49">
        <f>AVERAGE('01.08 NSOOBA-KYEBANDO-24h'!H67,'03.08 KYEBANDO-NSOOBA-24h'!H67)</f>
        <v>0</v>
      </c>
      <c r="I67" s="49">
        <f>AVERAGE('01.08 NSOOBA-KYEBANDO-24h'!I67,'03.08 KYEBANDO-NSOOBA-24h'!I67)</f>
        <v>3</v>
      </c>
      <c r="J67" s="49">
        <f>AVERAGE('01.08 NSOOBA-KYEBANDO-24h'!J67,'03.08 KYEBANDO-NSOOBA-24h'!J67)</f>
        <v>0.5</v>
      </c>
      <c r="K67" s="49">
        <f>AVERAGE('01.08 NSOOBA-KYEBANDO-24h'!K67,'03.08 KYEBANDO-NSOOBA-24h'!K67)</f>
        <v>0</v>
      </c>
      <c r="L67" s="49">
        <f>AVERAGE('01.08 NSOOBA-KYEBANDO-24h'!L67,'03.08 KYEBANDO-NSOOBA-24h'!L67)</f>
        <v>0</v>
      </c>
      <c r="M67" s="49">
        <f>AVERAGE('01.08 NSOOBA-KYEBANDO-24h'!M67,'03.08 KYEBANDO-NSOOBA-24h'!M67)</f>
        <v>64.5</v>
      </c>
      <c r="N67" s="49">
        <f>AVERAGE('01.08 NSOOBA-KYEBANDO-24h'!N67,'03.08 KYEBANDO-NSOOBA-24h'!N67)</f>
        <v>0</v>
      </c>
      <c r="O67" s="15">
        <f t="shared" si="0"/>
        <v>71</v>
      </c>
      <c r="P67" s="15">
        <f t="shared" si="1"/>
        <v>135.5</v>
      </c>
      <c r="R67" s="8"/>
      <c r="T67"/>
    </row>
    <row r="68" spans="2:20" ht="23.1" customHeight="1" x14ac:dyDescent="0.25">
      <c r="B68" s="23" t="s">
        <v>105</v>
      </c>
      <c r="C68" s="49">
        <f>AVERAGE('01.08 NSOOBA-KYEBANDO-24h'!C68,'03.08 KYEBANDO-NSOOBA-24h'!C68)</f>
        <v>33</v>
      </c>
      <c r="D68" s="49">
        <f>AVERAGE('01.08 NSOOBA-KYEBANDO-24h'!D68,'03.08 KYEBANDO-NSOOBA-24h'!D68)</f>
        <v>2.5</v>
      </c>
      <c r="E68" s="49">
        <f>AVERAGE('01.08 NSOOBA-KYEBANDO-24h'!E68,'03.08 KYEBANDO-NSOOBA-24h'!E68)</f>
        <v>2</v>
      </c>
      <c r="F68" s="49">
        <f>AVERAGE('01.08 NSOOBA-KYEBANDO-24h'!F68,'03.08 KYEBANDO-NSOOBA-24h'!F68)</f>
        <v>18</v>
      </c>
      <c r="G68" s="49">
        <f>AVERAGE('01.08 NSOOBA-KYEBANDO-24h'!G68,'03.08 KYEBANDO-NSOOBA-24h'!G68)</f>
        <v>0</v>
      </c>
      <c r="H68" s="49">
        <f>AVERAGE('01.08 NSOOBA-KYEBANDO-24h'!H68,'03.08 KYEBANDO-NSOOBA-24h'!H68)</f>
        <v>0.5</v>
      </c>
      <c r="I68" s="49">
        <f>AVERAGE('01.08 NSOOBA-KYEBANDO-24h'!I68,'03.08 KYEBANDO-NSOOBA-24h'!I68)</f>
        <v>2.5</v>
      </c>
      <c r="J68" s="49">
        <f>AVERAGE('01.08 NSOOBA-KYEBANDO-24h'!J68,'03.08 KYEBANDO-NSOOBA-24h'!J68)</f>
        <v>0.5</v>
      </c>
      <c r="K68" s="49">
        <f>AVERAGE('01.08 NSOOBA-KYEBANDO-24h'!K68,'03.08 KYEBANDO-NSOOBA-24h'!K68)</f>
        <v>0.5</v>
      </c>
      <c r="L68" s="49">
        <f>AVERAGE('01.08 NSOOBA-KYEBANDO-24h'!L68,'03.08 KYEBANDO-NSOOBA-24h'!L68)</f>
        <v>0</v>
      </c>
      <c r="M68" s="49">
        <f>AVERAGE('01.08 NSOOBA-KYEBANDO-24h'!M68,'03.08 KYEBANDO-NSOOBA-24h'!M68)</f>
        <v>54.5</v>
      </c>
      <c r="N68" s="49">
        <f>AVERAGE('01.08 NSOOBA-KYEBANDO-24h'!N68,'03.08 KYEBANDO-NSOOBA-24h'!N68)</f>
        <v>0</v>
      </c>
      <c r="O68" s="15">
        <f t="shared" si="0"/>
        <v>59.5</v>
      </c>
      <c r="P68" s="15">
        <f t="shared" si="1"/>
        <v>114</v>
      </c>
      <c r="R68" s="8"/>
      <c r="T68"/>
    </row>
    <row r="69" spans="2:20" ht="23.1" customHeight="1" x14ac:dyDescent="0.25">
      <c r="B69" s="23" t="s">
        <v>106</v>
      </c>
      <c r="C69" s="49">
        <f>AVERAGE('01.08 NSOOBA-KYEBANDO-24h'!C69,'03.08 KYEBANDO-NSOOBA-24h'!C69)</f>
        <v>28.5</v>
      </c>
      <c r="D69" s="49">
        <f>AVERAGE('01.08 NSOOBA-KYEBANDO-24h'!D69,'03.08 KYEBANDO-NSOOBA-24h'!D69)</f>
        <v>0.5</v>
      </c>
      <c r="E69" s="49">
        <f>AVERAGE('01.08 NSOOBA-KYEBANDO-24h'!E69,'03.08 KYEBANDO-NSOOBA-24h'!E69)</f>
        <v>2.5</v>
      </c>
      <c r="F69" s="49">
        <f>AVERAGE('01.08 NSOOBA-KYEBANDO-24h'!F69,'03.08 KYEBANDO-NSOOBA-24h'!F69)</f>
        <v>3.5</v>
      </c>
      <c r="G69" s="49">
        <f>AVERAGE('01.08 NSOOBA-KYEBANDO-24h'!G69,'03.08 KYEBANDO-NSOOBA-24h'!G69)</f>
        <v>0</v>
      </c>
      <c r="H69" s="49">
        <f>AVERAGE('01.08 NSOOBA-KYEBANDO-24h'!H69,'03.08 KYEBANDO-NSOOBA-24h'!H69)</f>
        <v>0</v>
      </c>
      <c r="I69" s="49">
        <f>AVERAGE('01.08 NSOOBA-KYEBANDO-24h'!I69,'03.08 KYEBANDO-NSOOBA-24h'!I69)</f>
        <v>3.5</v>
      </c>
      <c r="J69" s="49">
        <f>AVERAGE('01.08 NSOOBA-KYEBANDO-24h'!J69,'03.08 KYEBANDO-NSOOBA-24h'!J69)</f>
        <v>0</v>
      </c>
      <c r="K69" s="49">
        <f>AVERAGE('01.08 NSOOBA-KYEBANDO-24h'!K69,'03.08 KYEBANDO-NSOOBA-24h'!K69)</f>
        <v>0</v>
      </c>
      <c r="L69" s="49">
        <f>AVERAGE('01.08 NSOOBA-KYEBANDO-24h'!L69,'03.08 KYEBANDO-NSOOBA-24h'!L69)</f>
        <v>0</v>
      </c>
      <c r="M69" s="49">
        <f>AVERAGE('01.08 NSOOBA-KYEBANDO-24h'!M69,'03.08 KYEBANDO-NSOOBA-24h'!M69)</f>
        <v>51.5</v>
      </c>
      <c r="N69" s="49">
        <f>AVERAGE('01.08 NSOOBA-KYEBANDO-24h'!N69,'03.08 KYEBANDO-NSOOBA-24h'!N69)</f>
        <v>0</v>
      </c>
      <c r="O69" s="15">
        <f t="shared" si="0"/>
        <v>38.5</v>
      </c>
      <c r="P69" s="15">
        <f t="shared" si="1"/>
        <v>90</v>
      </c>
      <c r="R69" s="8"/>
      <c r="T69"/>
    </row>
    <row r="70" spans="2:20" ht="23.1" customHeight="1" x14ac:dyDescent="0.25">
      <c r="B70" s="23" t="s">
        <v>110</v>
      </c>
      <c r="C70" s="49">
        <f>AVERAGE('01.08 NSOOBA-KYEBANDO-24h'!C70,'03.08 KYEBANDO-NSOOBA-24h'!C70)</f>
        <v>29</v>
      </c>
      <c r="D70" s="49">
        <f>AVERAGE('01.08 NSOOBA-KYEBANDO-24h'!D70,'03.08 KYEBANDO-NSOOBA-24h'!D70)</f>
        <v>1.5</v>
      </c>
      <c r="E70" s="49">
        <f>AVERAGE('01.08 NSOOBA-KYEBANDO-24h'!E70,'03.08 KYEBANDO-NSOOBA-24h'!E70)</f>
        <v>3.5</v>
      </c>
      <c r="F70" s="49">
        <f>AVERAGE('01.08 NSOOBA-KYEBANDO-24h'!F70,'03.08 KYEBANDO-NSOOBA-24h'!F70)</f>
        <v>11.5</v>
      </c>
      <c r="G70" s="49">
        <f>AVERAGE('01.08 NSOOBA-KYEBANDO-24h'!G70,'03.08 KYEBANDO-NSOOBA-24h'!G70)</f>
        <v>0</v>
      </c>
      <c r="H70" s="49">
        <f>AVERAGE('01.08 NSOOBA-KYEBANDO-24h'!H70,'03.08 KYEBANDO-NSOOBA-24h'!H70)</f>
        <v>0</v>
      </c>
      <c r="I70" s="49">
        <f>AVERAGE('01.08 NSOOBA-KYEBANDO-24h'!I70,'03.08 KYEBANDO-NSOOBA-24h'!I70)</f>
        <v>2</v>
      </c>
      <c r="J70" s="49">
        <f>AVERAGE('01.08 NSOOBA-KYEBANDO-24h'!J70,'03.08 KYEBANDO-NSOOBA-24h'!J70)</f>
        <v>0.5</v>
      </c>
      <c r="K70" s="49">
        <f>AVERAGE('01.08 NSOOBA-KYEBANDO-24h'!K70,'03.08 KYEBANDO-NSOOBA-24h'!K70)</f>
        <v>0</v>
      </c>
      <c r="L70" s="49">
        <f>AVERAGE('01.08 NSOOBA-KYEBANDO-24h'!L70,'03.08 KYEBANDO-NSOOBA-24h'!L70)</f>
        <v>0</v>
      </c>
      <c r="M70" s="49">
        <f>AVERAGE('01.08 NSOOBA-KYEBANDO-24h'!M70,'03.08 KYEBANDO-NSOOBA-24h'!M70)</f>
        <v>38.5</v>
      </c>
      <c r="N70" s="49">
        <f>AVERAGE('01.08 NSOOBA-KYEBANDO-24h'!N70,'03.08 KYEBANDO-NSOOBA-24h'!N70)</f>
        <v>0</v>
      </c>
      <c r="O70" s="15">
        <f t="shared" si="0"/>
        <v>48</v>
      </c>
      <c r="P70" s="15">
        <f t="shared" si="1"/>
        <v>86.5</v>
      </c>
      <c r="R70" s="8"/>
      <c r="T70"/>
    </row>
    <row r="71" spans="2:20" ht="23.1" customHeight="1" x14ac:dyDescent="0.25">
      <c r="B71" s="23" t="s">
        <v>111</v>
      </c>
      <c r="C71" s="49">
        <f>AVERAGE('01.08 NSOOBA-KYEBANDO-24h'!C71,'03.08 KYEBANDO-NSOOBA-24h'!C71)</f>
        <v>28.5</v>
      </c>
      <c r="D71" s="49">
        <f>AVERAGE('01.08 NSOOBA-KYEBANDO-24h'!D71,'03.08 KYEBANDO-NSOOBA-24h'!D71)</f>
        <v>0</v>
      </c>
      <c r="E71" s="49">
        <f>AVERAGE('01.08 NSOOBA-KYEBANDO-24h'!E71,'03.08 KYEBANDO-NSOOBA-24h'!E71)</f>
        <v>2.5</v>
      </c>
      <c r="F71" s="49">
        <f>AVERAGE('01.08 NSOOBA-KYEBANDO-24h'!F71,'03.08 KYEBANDO-NSOOBA-24h'!F71)</f>
        <v>5.5</v>
      </c>
      <c r="G71" s="49">
        <f>AVERAGE('01.08 NSOOBA-KYEBANDO-24h'!G71,'03.08 KYEBANDO-NSOOBA-24h'!G71)</f>
        <v>0</v>
      </c>
      <c r="H71" s="49">
        <f>AVERAGE('01.08 NSOOBA-KYEBANDO-24h'!H71,'03.08 KYEBANDO-NSOOBA-24h'!H71)</f>
        <v>0</v>
      </c>
      <c r="I71" s="49">
        <f>AVERAGE('01.08 NSOOBA-KYEBANDO-24h'!I71,'03.08 KYEBANDO-NSOOBA-24h'!I71)</f>
        <v>1.5</v>
      </c>
      <c r="J71" s="49">
        <f>AVERAGE('01.08 NSOOBA-KYEBANDO-24h'!J71,'03.08 KYEBANDO-NSOOBA-24h'!J71)</f>
        <v>0.5</v>
      </c>
      <c r="K71" s="49">
        <f>AVERAGE('01.08 NSOOBA-KYEBANDO-24h'!K71,'03.08 KYEBANDO-NSOOBA-24h'!K71)</f>
        <v>0</v>
      </c>
      <c r="L71" s="49">
        <f>AVERAGE('01.08 NSOOBA-KYEBANDO-24h'!L71,'03.08 KYEBANDO-NSOOBA-24h'!L71)</f>
        <v>0</v>
      </c>
      <c r="M71" s="49">
        <f>AVERAGE('01.08 NSOOBA-KYEBANDO-24h'!M71,'03.08 KYEBANDO-NSOOBA-24h'!M71)</f>
        <v>41</v>
      </c>
      <c r="N71" s="49">
        <f>AVERAGE('01.08 NSOOBA-KYEBANDO-24h'!N71,'03.08 KYEBANDO-NSOOBA-24h'!N71)</f>
        <v>0</v>
      </c>
      <c r="O71" s="15">
        <f t="shared" si="0"/>
        <v>38.5</v>
      </c>
      <c r="P71" s="15">
        <f t="shared" si="1"/>
        <v>79.5</v>
      </c>
      <c r="R71" s="8"/>
      <c r="T71"/>
    </row>
    <row r="72" spans="2:20" ht="23.1" customHeight="1" x14ac:dyDescent="0.25">
      <c r="B72" s="23" t="s">
        <v>112</v>
      </c>
      <c r="C72" s="49">
        <f>AVERAGE('01.08 NSOOBA-KYEBANDO-24h'!C72,'03.08 KYEBANDO-NSOOBA-24h'!C72)</f>
        <v>4</v>
      </c>
      <c r="D72" s="49">
        <f>AVERAGE('01.08 NSOOBA-KYEBANDO-24h'!D72,'03.08 KYEBANDO-NSOOBA-24h'!D72)</f>
        <v>0.5</v>
      </c>
      <c r="E72" s="49">
        <f>AVERAGE('01.08 NSOOBA-KYEBANDO-24h'!E72,'03.08 KYEBANDO-NSOOBA-24h'!E72)</f>
        <v>4.5</v>
      </c>
      <c r="F72" s="49">
        <f>AVERAGE('01.08 NSOOBA-KYEBANDO-24h'!F72,'03.08 KYEBANDO-NSOOBA-24h'!F72)</f>
        <v>0</v>
      </c>
      <c r="G72" s="49">
        <f>AVERAGE('01.08 NSOOBA-KYEBANDO-24h'!G72,'03.08 KYEBANDO-NSOOBA-24h'!G72)</f>
        <v>0</v>
      </c>
      <c r="H72" s="49">
        <f>AVERAGE('01.08 NSOOBA-KYEBANDO-24h'!H72,'03.08 KYEBANDO-NSOOBA-24h'!H72)</f>
        <v>0</v>
      </c>
      <c r="I72" s="49">
        <f>AVERAGE('01.08 NSOOBA-KYEBANDO-24h'!I72,'03.08 KYEBANDO-NSOOBA-24h'!I72)</f>
        <v>0</v>
      </c>
      <c r="J72" s="49">
        <f>AVERAGE('01.08 NSOOBA-KYEBANDO-24h'!J72,'03.08 KYEBANDO-NSOOBA-24h'!J72)</f>
        <v>0</v>
      </c>
      <c r="K72" s="49">
        <f>AVERAGE('01.08 NSOOBA-KYEBANDO-24h'!K72,'03.08 KYEBANDO-NSOOBA-24h'!K72)</f>
        <v>0</v>
      </c>
      <c r="L72" s="49">
        <f>AVERAGE('01.08 NSOOBA-KYEBANDO-24h'!L72,'03.08 KYEBANDO-NSOOBA-24h'!L72)</f>
        <v>0</v>
      </c>
      <c r="M72" s="49">
        <f>AVERAGE('01.08 NSOOBA-KYEBANDO-24h'!M72,'03.08 KYEBANDO-NSOOBA-24h'!M72)</f>
        <v>39</v>
      </c>
      <c r="N72" s="49">
        <f>AVERAGE('01.08 NSOOBA-KYEBANDO-24h'!N72,'03.08 KYEBANDO-NSOOBA-24h'!N72)</f>
        <v>0</v>
      </c>
      <c r="O72" s="15">
        <f t="shared" si="0"/>
        <v>9</v>
      </c>
      <c r="P72" s="15">
        <f t="shared" si="1"/>
        <v>48</v>
      </c>
      <c r="R72" s="8"/>
      <c r="T72"/>
    </row>
    <row r="73" spans="2:20" ht="23.1" customHeight="1" x14ac:dyDescent="0.25">
      <c r="B73" s="23" t="s">
        <v>113</v>
      </c>
      <c r="C73" s="49">
        <f>AVERAGE('01.08 NSOOBA-KYEBANDO-24h'!C73,'03.08 KYEBANDO-NSOOBA-24h'!C73)</f>
        <v>24</v>
      </c>
      <c r="D73" s="49">
        <f>AVERAGE('01.08 NSOOBA-KYEBANDO-24h'!D73,'03.08 KYEBANDO-NSOOBA-24h'!D73)</f>
        <v>2.5</v>
      </c>
      <c r="E73" s="49">
        <f>AVERAGE('01.08 NSOOBA-KYEBANDO-24h'!E73,'03.08 KYEBANDO-NSOOBA-24h'!E73)</f>
        <v>1.5</v>
      </c>
      <c r="F73" s="49">
        <f>AVERAGE('01.08 NSOOBA-KYEBANDO-24h'!F73,'03.08 KYEBANDO-NSOOBA-24h'!F73)</f>
        <v>4.5</v>
      </c>
      <c r="G73" s="49">
        <f>AVERAGE('01.08 NSOOBA-KYEBANDO-24h'!G73,'03.08 KYEBANDO-NSOOBA-24h'!G73)</f>
        <v>0</v>
      </c>
      <c r="H73" s="49">
        <f>AVERAGE('01.08 NSOOBA-KYEBANDO-24h'!H73,'03.08 KYEBANDO-NSOOBA-24h'!H73)</f>
        <v>0</v>
      </c>
      <c r="I73" s="49">
        <f>AVERAGE('01.08 NSOOBA-KYEBANDO-24h'!I73,'03.08 KYEBANDO-NSOOBA-24h'!I73)</f>
        <v>0</v>
      </c>
      <c r="J73" s="49">
        <f>AVERAGE('01.08 NSOOBA-KYEBANDO-24h'!J73,'03.08 KYEBANDO-NSOOBA-24h'!J73)</f>
        <v>0</v>
      </c>
      <c r="K73" s="49">
        <f>AVERAGE('01.08 NSOOBA-KYEBANDO-24h'!K73,'03.08 KYEBANDO-NSOOBA-24h'!K73)</f>
        <v>0</v>
      </c>
      <c r="L73" s="49">
        <f>AVERAGE('01.08 NSOOBA-KYEBANDO-24h'!L73,'03.08 KYEBANDO-NSOOBA-24h'!L73)</f>
        <v>0</v>
      </c>
      <c r="M73" s="49">
        <f>AVERAGE('01.08 NSOOBA-KYEBANDO-24h'!M73,'03.08 KYEBANDO-NSOOBA-24h'!M73)</f>
        <v>22</v>
      </c>
      <c r="N73" s="49">
        <f>AVERAGE('01.08 NSOOBA-KYEBANDO-24h'!N73,'03.08 KYEBANDO-NSOOBA-24h'!N73)</f>
        <v>0</v>
      </c>
      <c r="O73" s="15">
        <f t="shared" si="0"/>
        <v>32.5</v>
      </c>
      <c r="P73" s="15">
        <f t="shared" si="1"/>
        <v>54.5</v>
      </c>
      <c r="R73" s="8"/>
      <c r="T73"/>
    </row>
    <row r="74" spans="2:20" ht="23.1" customHeight="1" x14ac:dyDescent="0.25">
      <c r="B74" s="23" t="s">
        <v>114</v>
      </c>
      <c r="C74" s="49">
        <f>AVERAGE('01.08 NSOOBA-KYEBANDO-24h'!C74,'03.08 KYEBANDO-NSOOBA-24h'!C74)</f>
        <v>20.5</v>
      </c>
      <c r="D74" s="49">
        <f>AVERAGE('01.08 NSOOBA-KYEBANDO-24h'!D74,'03.08 KYEBANDO-NSOOBA-24h'!D74)</f>
        <v>1.5</v>
      </c>
      <c r="E74" s="49">
        <f>AVERAGE('01.08 NSOOBA-KYEBANDO-24h'!E74,'03.08 KYEBANDO-NSOOBA-24h'!E74)</f>
        <v>3.5</v>
      </c>
      <c r="F74" s="49">
        <f>AVERAGE('01.08 NSOOBA-KYEBANDO-24h'!F74,'03.08 KYEBANDO-NSOOBA-24h'!F74)</f>
        <v>3.5</v>
      </c>
      <c r="G74" s="49">
        <f>AVERAGE('01.08 NSOOBA-KYEBANDO-24h'!G74,'03.08 KYEBANDO-NSOOBA-24h'!G74)</f>
        <v>0</v>
      </c>
      <c r="H74" s="49">
        <f>AVERAGE('01.08 NSOOBA-KYEBANDO-24h'!H74,'03.08 KYEBANDO-NSOOBA-24h'!H74)</f>
        <v>0</v>
      </c>
      <c r="I74" s="49">
        <f>AVERAGE('01.08 NSOOBA-KYEBANDO-24h'!I74,'03.08 KYEBANDO-NSOOBA-24h'!I74)</f>
        <v>1.5</v>
      </c>
      <c r="J74" s="49">
        <f>AVERAGE('01.08 NSOOBA-KYEBANDO-24h'!J74,'03.08 KYEBANDO-NSOOBA-24h'!J74)</f>
        <v>0</v>
      </c>
      <c r="K74" s="49">
        <f>AVERAGE('01.08 NSOOBA-KYEBANDO-24h'!K74,'03.08 KYEBANDO-NSOOBA-24h'!K74)</f>
        <v>0</v>
      </c>
      <c r="L74" s="49">
        <f>AVERAGE('01.08 NSOOBA-KYEBANDO-24h'!L74,'03.08 KYEBANDO-NSOOBA-24h'!L74)</f>
        <v>0</v>
      </c>
      <c r="M74" s="49">
        <f>AVERAGE('01.08 NSOOBA-KYEBANDO-24h'!M74,'03.08 KYEBANDO-NSOOBA-24h'!M74)</f>
        <v>24</v>
      </c>
      <c r="N74" s="49">
        <f>AVERAGE('01.08 NSOOBA-KYEBANDO-24h'!N74,'03.08 KYEBANDO-NSOOBA-24h'!N74)</f>
        <v>0</v>
      </c>
      <c r="O74" s="15">
        <f t="shared" ref="O74:O105" si="35">SUM(C74:L74,N74)</f>
        <v>30.5</v>
      </c>
      <c r="P74" s="15">
        <f t="shared" ref="P74:P105" si="36">SUM(C74:N74)</f>
        <v>54.5</v>
      </c>
      <c r="R74" s="8"/>
      <c r="T74"/>
    </row>
    <row r="75" spans="2:20" ht="23.1" customHeight="1" x14ac:dyDescent="0.25">
      <c r="B75" s="23" t="s">
        <v>115</v>
      </c>
      <c r="C75" s="49">
        <f>AVERAGE('01.08 NSOOBA-KYEBANDO-24h'!C75,'03.08 KYEBANDO-NSOOBA-24h'!C75)</f>
        <v>18.5</v>
      </c>
      <c r="D75" s="49">
        <f>AVERAGE('01.08 NSOOBA-KYEBANDO-24h'!D75,'03.08 KYEBANDO-NSOOBA-24h'!D75)</f>
        <v>1.5</v>
      </c>
      <c r="E75" s="49">
        <f>AVERAGE('01.08 NSOOBA-KYEBANDO-24h'!E75,'03.08 KYEBANDO-NSOOBA-24h'!E75)</f>
        <v>1</v>
      </c>
      <c r="F75" s="49">
        <f>AVERAGE('01.08 NSOOBA-KYEBANDO-24h'!F75,'03.08 KYEBANDO-NSOOBA-24h'!F75)</f>
        <v>1.5</v>
      </c>
      <c r="G75" s="49">
        <f>AVERAGE('01.08 NSOOBA-KYEBANDO-24h'!G75,'03.08 KYEBANDO-NSOOBA-24h'!G75)</f>
        <v>0</v>
      </c>
      <c r="H75" s="49">
        <f>AVERAGE('01.08 NSOOBA-KYEBANDO-24h'!H75,'03.08 KYEBANDO-NSOOBA-24h'!H75)</f>
        <v>0</v>
      </c>
      <c r="I75" s="49">
        <f>AVERAGE('01.08 NSOOBA-KYEBANDO-24h'!I75,'03.08 KYEBANDO-NSOOBA-24h'!I75)</f>
        <v>0</v>
      </c>
      <c r="J75" s="49">
        <f>AVERAGE('01.08 NSOOBA-KYEBANDO-24h'!J75,'03.08 KYEBANDO-NSOOBA-24h'!J75)</f>
        <v>0.5</v>
      </c>
      <c r="K75" s="49">
        <f>AVERAGE('01.08 NSOOBA-KYEBANDO-24h'!K75,'03.08 KYEBANDO-NSOOBA-24h'!K75)</f>
        <v>0</v>
      </c>
      <c r="L75" s="49">
        <f>AVERAGE('01.08 NSOOBA-KYEBANDO-24h'!L75,'03.08 KYEBANDO-NSOOBA-24h'!L75)</f>
        <v>0</v>
      </c>
      <c r="M75" s="49">
        <f>AVERAGE('01.08 NSOOBA-KYEBANDO-24h'!M75,'03.08 KYEBANDO-NSOOBA-24h'!M75)</f>
        <v>29.5</v>
      </c>
      <c r="N75" s="49">
        <f>AVERAGE('01.08 NSOOBA-KYEBANDO-24h'!N75,'03.08 KYEBANDO-NSOOBA-24h'!N75)</f>
        <v>0</v>
      </c>
      <c r="O75" s="15">
        <f t="shared" si="35"/>
        <v>23</v>
      </c>
      <c r="P75" s="15">
        <f t="shared" si="36"/>
        <v>52.5</v>
      </c>
      <c r="R75" s="8"/>
      <c r="T75"/>
    </row>
    <row r="76" spans="2:20" ht="23.1" customHeight="1" x14ac:dyDescent="0.25">
      <c r="B76" s="23" t="s">
        <v>116</v>
      </c>
      <c r="C76" s="49">
        <f>AVERAGE('01.08 NSOOBA-KYEBANDO-24h'!C76,'03.08 KYEBANDO-NSOOBA-24h'!C76)</f>
        <v>11.5</v>
      </c>
      <c r="D76" s="49">
        <f>AVERAGE('01.08 NSOOBA-KYEBANDO-24h'!D76,'03.08 KYEBANDO-NSOOBA-24h'!D76)</f>
        <v>2</v>
      </c>
      <c r="E76" s="49">
        <f>AVERAGE('01.08 NSOOBA-KYEBANDO-24h'!E76,'03.08 KYEBANDO-NSOOBA-24h'!E76)</f>
        <v>1.5</v>
      </c>
      <c r="F76" s="49">
        <f>AVERAGE('01.08 NSOOBA-KYEBANDO-24h'!F76,'03.08 KYEBANDO-NSOOBA-24h'!F76)</f>
        <v>1.5</v>
      </c>
      <c r="G76" s="49">
        <f>AVERAGE('01.08 NSOOBA-KYEBANDO-24h'!G76,'03.08 KYEBANDO-NSOOBA-24h'!G76)</f>
        <v>0</v>
      </c>
      <c r="H76" s="49">
        <f>AVERAGE('01.08 NSOOBA-KYEBANDO-24h'!H76,'03.08 KYEBANDO-NSOOBA-24h'!H76)</f>
        <v>0</v>
      </c>
      <c r="I76" s="49">
        <f>AVERAGE('01.08 NSOOBA-KYEBANDO-24h'!I76,'03.08 KYEBANDO-NSOOBA-24h'!I76)</f>
        <v>0</v>
      </c>
      <c r="J76" s="49">
        <f>AVERAGE('01.08 NSOOBA-KYEBANDO-24h'!J76,'03.08 KYEBANDO-NSOOBA-24h'!J76)</f>
        <v>0</v>
      </c>
      <c r="K76" s="49">
        <f>AVERAGE('01.08 NSOOBA-KYEBANDO-24h'!K76,'03.08 KYEBANDO-NSOOBA-24h'!K76)</f>
        <v>0</v>
      </c>
      <c r="L76" s="49">
        <f>AVERAGE('01.08 NSOOBA-KYEBANDO-24h'!L76,'03.08 KYEBANDO-NSOOBA-24h'!L76)</f>
        <v>0</v>
      </c>
      <c r="M76" s="49">
        <f>AVERAGE('01.08 NSOOBA-KYEBANDO-24h'!M76,'03.08 KYEBANDO-NSOOBA-24h'!M76)</f>
        <v>29.5</v>
      </c>
      <c r="N76" s="49">
        <f>AVERAGE('01.08 NSOOBA-KYEBANDO-24h'!N76,'03.08 KYEBANDO-NSOOBA-24h'!N76)</f>
        <v>0</v>
      </c>
      <c r="O76" s="15">
        <f t="shared" si="35"/>
        <v>16.5</v>
      </c>
      <c r="P76" s="15">
        <f t="shared" si="36"/>
        <v>46</v>
      </c>
      <c r="R76" s="8"/>
      <c r="T76"/>
    </row>
    <row r="77" spans="2:20" ht="23.1" customHeight="1" x14ac:dyDescent="0.25">
      <c r="B77" s="23" t="s">
        <v>117</v>
      </c>
      <c r="C77" s="49">
        <f>AVERAGE('01.08 NSOOBA-KYEBANDO-24h'!C77,'03.08 KYEBANDO-NSOOBA-24h'!C77)</f>
        <v>11.5</v>
      </c>
      <c r="D77" s="49">
        <f>AVERAGE('01.08 NSOOBA-KYEBANDO-24h'!D77,'03.08 KYEBANDO-NSOOBA-24h'!D77)</f>
        <v>1</v>
      </c>
      <c r="E77" s="49">
        <f>AVERAGE('01.08 NSOOBA-KYEBANDO-24h'!E77,'03.08 KYEBANDO-NSOOBA-24h'!E77)</f>
        <v>2.5</v>
      </c>
      <c r="F77" s="49">
        <f>AVERAGE('01.08 NSOOBA-KYEBANDO-24h'!F77,'03.08 KYEBANDO-NSOOBA-24h'!F77)</f>
        <v>2</v>
      </c>
      <c r="G77" s="49">
        <f>AVERAGE('01.08 NSOOBA-KYEBANDO-24h'!G77,'03.08 KYEBANDO-NSOOBA-24h'!G77)</f>
        <v>0</v>
      </c>
      <c r="H77" s="49">
        <f>AVERAGE('01.08 NSOOBA-KYEBANDO-24h'!H77,'03.08 KYEBANDO-NSOOBA-24h'!H77)</f>
        <v>0</v>
      </c>
      <c r="I77" s="49">
        <f>AVERAGE('01.08 NSOOBA-KYEBANDO-24h'!I77,'03.08 KYEBANDO-NSOOBA-24h'!I77)</f>
        <v>0.5</v>
      </c>
      <c r="J77" s="49">
        <f>AVERAGE('01.08 NSOOBA-KYEBANDO-24h'!J77,'03.08 KYEBANDO-NSOOBA-24h'!J77)</f>
        <v>0.5</v>
      </c>
      <c r="K77" s="49">
        <f>AVERAGE('01.08 NSOOBA-KYEBANDO-24h'!K77,'03.08 KYEBANDO-NSOOBA-24h'!K77)</f>
        <v>0</v>
      </c>
      <c r="L77" s="49">
        <f>AVERAGE('01.08 NSOOBA-KYEBANDO-24h'!L77,'03.08 KYEBANDO-NSOOBA-24h'!L77)</f>
        <v>0</v>
      </c>
      <c r="M77" s="49">
        <f>AVERAGE('01.08 NSOOBA-KYEBANDO-24h'!M77,'03.08 KYEBANDO-NSOOBA-24h'!M77)</f>
        <v>24</v>
      </c>
      <c r="N77" s="49">
        <f>AVERAGE('01.08 NSOOBA-KYEBANDO-24h'!N77,'03.08 KYEBANDO-NSOOBA-24h'!N77)</f>
        <v>0</v>
      </c>
      <c r="O77" s="15">
        <f t="shared" si="35"/>
        <v>18</v>
      </c>
      <c r="P77" s="15">
        <f t="shared" si="36"/>
        <v>42</v>
      </c>
      <c r="R77" s="8"/>
      <c r="T77"/>
    </row>
    <row r="78" spans="2:20" ht="23.1" customHeight="1" x14ac:dyDescent="0.25">
      <c r="B78" s="24" t="s">
        <v>118</v>
      </c>
      <c r="C78" s="49">
        <f>AVERAGE('01.08 NSOOBA-KYEBANDO-24h'!C78,'03.08 KYEBANDO-NSOOBA-24h'!C78)</f>
        <v>7</v>
      </c>
      <c r="D78" s="49">
        <f>AVERAGE('01.08 NSOOBA-KYEBANDO-24h'!D78,'03.08 KYEBANDO-NSOOBA-24h'!D78)</f>
        <v>0.5</v>
      </c>
      <c r="E78" s="49">
        <f>AVERAGE('01.08 NSOOBA-KYEBANDO-24h'!E78,'03.08 KYEBANDO-NSOOBA-24h'!E78)</f>
        <v>0</v>
      </c>
      <c r="F78" s="49">
        <f>AVERAGE('01.08 NSOOBA-KYEBANDO-24h'!F78,'03.08 KYEBANDO-NSOOBA-24h'!F78)</f>
        <v>0</v>
      </c>
      <c r="G78" s="49">
        <f>AVERAGE('01.08 NSOOBA-KYEBANDO-24h'!G78,'03.08 KYEBANDO-NSOOBA-24h'!G78)</f>
        <v>0</v>
      </c>
      <c r="H78" s="49">
        <f>AVERAGE('01.08 NSOOBA-KYEBANDO-24h'!H78,'03.08 KYEBANDO-NSOOBA-24h'!H78)</f>
        <v>0</v>
      </c>
      <c r="I78" s="49">
        <f>AVERAGE('01.08 NSOOBA-KYEBANDO-24h'!I78,'03.08 KYEBANDO-NSOOBA-24h'!I78)</f>
        <v>0</v>
      </c>
      <c r="J78" s="49">
        <f>AVERAGE('01.08 NSOOBA-KYEBANDO-24h'!J78,'03.08 KYEBANDO-NSOOBA-24h'!J78)</f>
        <v>0</v>
      </c>
      <c r="K78" s="49">
        <f>AVERAGE('01.08 NSOOBA-KYEBANDO-24h'!K78,'03.08 KYEBANDO-NSOOBA-24h'!K78)</f>
        <v>0</v>
      </c>
      <c r="L78" s="49">
        <f>AVERAGE('01.08 NSOOBA-KYEBANDO-24h'!L78,'03.08 KYEBANDO-NSOOBA-24h'!L78)</f>
        <v>0</v>
      </c>
      <c r="M78" s="49">
        <f>AVERAGE('01.08 NSOOBA-KYEBANDO-24h'!M78,'03.08 KYEBANDO-NSOOBA-24h'!M78)</f>
        <v>14</v>
      </c>
      <c r="N78" s="49">
        <f>AVERAGE('01.08 NSOOBA-KYEBANDO-24h'!N78,'03.08 KYEBANDO-NSOOBA-24h'!N78)</f>
        <v>0</v>
      </c>
      <c r="O78" s="15">
        <f t="shared" si="35"/>
        <v>7.5</v>
      </c>
      <c r="P78" s="15">
        <f t="shared" si="36"/>
        <v>21.5</v>
      </c>
      <c r="R78" s="8"/>
      <c r="T78"/>
    </row>
    <row r="79" spans="2:20" ht="23.1" customHeight="1" x14ac:dyDescent="0.25">
      <c r="B79" s="23" t="s">
        <v>119</v>
      </c>
      <c r="C79" s="49">
        <f>AVERAGE('01.08 NSOOBA-KYEBANDO-24h'!C79,'03.08 KYEBANDO-NSOOBA-24h'!C79)</f>
        <v>11.5</v>
      </c>
      <c r="D79" s="49">
        <f>AVERAGE('01.08 NSOOBA-KYEBANDO-24h'!D79,'03.08 KYEBANDO-NSOOBA-24h'!D79)</f>
        <v>0</v>
      </c>
      <c r="E79" s="49">
        <f>AVERAGE('01.08 NSOOBA-KYEBANDO-24h'!E79,'03.08 KYEBANDO-NSOOBA-24h'!E79)</f>
        <v>0.5</v>
      </c>
      <c r="F79" s="49">
        <f>AVERAGE('01.08 NSOOBA-KYEBANDO-24h'!F79,'03.08 KYEBANDO-NSOOBA-24h'!F79)</f>
        <v>1.5</v>
      </c>
      <c r="G79" s="49">
        <f>AVERAGE('01.08 NSOOBA-KYEBANDO-24h'!G79,'03.08 KYEBANDO-NSOOBA-24h'!G79)</f>
        <v>0</v>
      </c>
      <c r="H79" s="49">
        <f>AVERAGE('01.08 NSOOBA-KYEBANDO-24h'!H79,'03.08 KYEBANDO-NSOOBA-24h'!H79)</f>
        <v>0</v>
      </c>
      <c r="I79" s="49">
        <f>AVERAGE('01.08 NSOOBA-KYEBANDO-24h'!I79,'03.08 KYEBANDO-NSOOBA-24h'!I79)</f>
        <v>0</v>
      </c>
      <c r="J79" s="49">
        <f>AVERAGE('01.08 NSOOBA-KYEBANDO-24h'!J79,'03.08 KYEBANDO-NSOOBA-24h'!J79)</f>
        <v>0</v>
      </c>
      <c r="K79" s="49">
        <f>AVERAGE('01.08 NSOOBA-KYEBANDO-24h'!K79,'03.08 KYEBANDO-NSOOBA-24h'!K79)</f>
        <v>0</v>
      </c>
      <c r="L79" s="49">
        <f>AVERAGE('01.08 NSOOBA-KYEBANDO-24h'!L79,'03.08 KYEBANDO-NSOOBA-24h'!L79)</f>
        <v>0</v>
      </c>
      <c r="M79" s="49">
        <f>AVERAGE('01.08 NSOOBA-KYEBANDO-24h'!M79,'03.08 KYEBANDO-NSOOBA-24h'!M79)</f>
        <v>14</v>
      </c>
      <c r="N79" s="49">
        <f>AVERAGE('01.08 NSOOBA-KYEBANDO-24h'!N79,'03.08 KYEBANDO-NSOOBA-24h'!N79)</f>
        <v>0</v>
      </c>
      <c r="O79" s="15">
        <f t="shared" si="35"/>
        <v>13.5</v>
      </c>
      <c r="P79" s="15">
        <f t="shared" si="36"/>
        <v>27.5</v>
      </c>
      <c r="R79" s="8"/>
      <c r="T79"/>
    </row>
    <row r="80" spans="2:20" ht="23.1" customHeight="1" x14ac:dyDescent="0.25">
      <c r="B80" s="25" t="s">
        <v>120</v>
      </c>
      <c r="C80" s="49">
        <f>AVERAGE('01.08 NSOOBA-KYEBANDO-24h'!C80,'03.08 KYEBANDO-NSOOBA-24h'!C80)</f>
        <v>13</v>
      </c>
      <c r="D80" s="49">
        <f>AVERAGE('01.08 NSOOBA-KYEBANDO-24h'!D80,'03.08 KYEBANDO-NSOOBA-24h'!D80)</f>
        <v>0</v>
      </c>
      <c r="E80" s="49">
        <f>AVERAGE('01.08 NSOOBA-KYEBANDO-24h'!E80,'03.08 KYEBANDO-NSOOBA-24h'!E80)</f>
        <v>0.5</v>
      </c>
      <c r="F80" s="49">
        <f>AVERAGE('01.08 NSOOBA-KYEBANDO-24h'!F80,'03.08 KYEBANDO-NSOOBA-24h'!F80)</f>
        <v>0.5</v>
      </c>
      <c r="G80" s="49">
        <f>AVERAGE('01.08 NSOOBA-KYEBANDO-24h'!G80,'03.08 KYEBANDO-NSOOBA-24h'!G80)</f>
        <v>0</v>
      </c>
      <c r="H80" s="49">
        <f>AVERAGE('01.08 NSOOBA-KYEBANDO-24h'!H80,'03.08 KYEBANDO-NSOOBA-24h'!H80)</f>
        <v>0</v>
      </c>
      <c r="I80" s="49">
        <f>AVERAGE('01.08 NSOOBA-KYEBANDO-24h'!I80,'03.08 KYEBANDO-NSOOBA-24h'!I80)</f>
        <v>0</v>
      </c>
      <c r="J80" s="49">
        <f>AVERAGE('01.08 NSOOBA-KYEBANDO-24h'!J80,'03.08 KYEBANDO-NSOOBA-24h'!J80)</f>
        <v>0</v>
      </c>
      <c r="K80" s="49">
        <f>AVERAGE('01.08 NSOOBA-KYEBANDO-24h'!K80,'03.08 KYEBANDO-NSOOBA-24h'!K80)</f>
        <v>0</v>
      </c>
      <c r="L80" s="49">
        <f>AVERAGE('01.08 NSOOBA-KYEBANDO-24h'!L80,'03.08 KYEBANDO-NSOOBA-24h'!L80)</f>
        <v>0</v>
      </c>
      <c r="M80" s="49">
        <f>AVERAGE('01.08 NSOOBA-KYEBANDO-24h'!M80,'03.08 KYEBANDO-NSOOBA-24h'!M80)</f>
        <v>15</v>
      </c>
      <c r="N80" s="49">
        <f>AVERAGE('01.08 NSOOBA-KYEBANDO-24h'!N80,'03.08 KYEBANDO-NSOOBA-24h'!N80)</f>
        <v>0</v>
      </c>
      <c r="O80" s="15">
        <f t="shared" si="35"/>
        <v>14</v>
      </c>
      <c r="P80" s="15">
        <f t="shared" si="36"/>
        <v>29</v>
      </c>
      <c r="R80" s="8"/>
      <c r="T80"/>
    </row>
    <row r="81" spans="2:20" ht="23.1" customHeight="1" x14ac:dyDescent="0.25">
      <c r="B81" s="23" t="s">
        <v>121</v>
      </c>
      <c r="C81" s="49">
        <f>AVERAGE('01.08 NSOOBA-KYEBANDO-24h'!C81,'03.08 KYEBANDO-NSOOBA-24h'!C81)</f>
        <v>10.5</v>
      </c>
      <c r="D81" s="49">
        <f>AVERAGE('01.08 NSOOBA-KYEBANDO-24h'!D81,'03.08 KYEBANDO-NSOOBA-24h'!D81)</f>
        <v>1</v>
      </c>
      <c r="E81" s="49">
        <f>AVERAGE('01.08 NSOOBA-KYEBANDO-24h'!E81,'03.08 KYEBANDO-NSOOBA-24h'!E81)</f>
        <v>0</v>
      </c>
      <c r="F81" s="49">
        <f>AVERAGE('01.08 NSOOBA-KYEBANDO-24h'!F81,'03.08 KYEBANDO-NSOOBA-24h'!F81)</f>
        <v>0</v>
      </c>
      <c r="G81" s="49">
        <f>AVERAGE('01.08 NSOOBA-KYEBANDO-24h'!G81,'03.08 KYEBANDO-NSOOBA-24h'!G81)</f>
        <v>0</v>
      </c>
      <c r="H81" s="49">
        <f>AVERAGE('01.08 NSOOBA-KYEBANDO-24h'!H81,'03.08 KYEBANDO-NSOOBA-24h'!H81)</f>
        <v>0</v>
      </c>
      <c r="I81" s="49">
        <f>AVERAGE('01.08 NSOOBA-KYEBANDO-24h'!I81,'03.08 KYEBANDO-NSOOBA-24h'!I81)</f>
        <v>0</v>
      </c>
      <c r="J81" s="49">
        <f>AVERAGE('01.08 NSOOBA-KYEBANDO-24h'!J81,'03.08 KYEBANDO-NSOOBA-24h'!J81)</f>
        <v>0</v>
      </c>
      <c r="K81" s="49">
        <f>AVERAGE('01.08 NSOOBA-KYEBANDO-24h'!K81,'03.08 KYEBANDO-NSOOBA-24h'!K81)</f>
        <v>0</v>
      </c>
      <c r="L81" s="49">
        <f>AVERAGE('01.08 NSOOBA-KYEBANDO-24h'!L81,'03.08 KYEBANDO-NSOOBA-24h'!L81)</f>
        <v>0</v>
      </c>
      <c r="M81" s="49">
        <f>AVERAGE('01.08 NSOOBA-KYEBANDO-24h'!M81,'03.08 KYEBANDO-NSOOBA-24h'!M81)</f>
        <v>18.5</v>
      </c>
      <c r="N81" s="49">
        <f>AVERAGE('01.08 NSOOBA-KYEBANDO-24h'!N81,'03.08 KYEBANDO-NSOOBA-24h'!N81)</f>
        <v>0</v>
      </c>
      <c r="O81" s="15">
        <f t="shared" si="35"/>
        <v>11.5</v>
      </c>
      <c r="P81" s="15">
        <f t="shared" si="36"/>
        <v>30</v>
      </c>
      <c r="R81" s="8"/>
      <c r="T81"/>
    </row>
    <row r="82" spans="2:20" ht="23.1" customHeight="1" x14ac:dyDescent="0.25">
      <c r="B82" s="24" t="s">
        <v>122</v>
      </c>
      <c r="C82" s="49">
        <f>AVERAGE('01.08 NSOOBA-KYEBANDO-24h'!C82,'03.08 KYEBANDO-NSOOBA-24h'!C82)</f>
        <v>5.5</v>
      </c>
      <c r="D82" s="49">
        <f>AVERAGE('01.08 NSOOBA-KYEBANDO-24h'!D82,'03.08 KYEBANDO-NSOOBA-24h'!D82)</f>
        <v>1</v>
      </c>
      <c r="E82" s="49">
        <f>AVERAGE('01.08 NSOOBA-KYEBANDO-24h'!E82,'03.08 KYEBANDO-NSOOBA-24h'!E82)</f>
        <v>1</v>
      </c>
      <c r="F82" s="49">
        <f>AVERAGE('01.08 NSOOBA-KYEBANDO-24h'!F82,'03.08 KYEBANDO-NSOOBA-24h'!F82)</f>
        <v>1</v>
      </c>
      <c r="G82" s="49">
        <f>AVERAGE('01.08 NSOOBA-KYEBANDO-24h'!G82,'03.08 KYEBANDO-NSOOBA-24h'!G82)</f>
        <v>0</v>
      </c>
      <c r="H82" s="49">
        <f>AVERAGE('01.08 NSOOBA-KYEBANDO-24h'!H82,'03.08 KYEBANDO-NSOOBA-24h'!H82)</f>
        <v>0</v>
      </c>
      <c r="I82" s="49">
        <f>AVERAGE('01.08 NSOOBA-KYEBANDO-24h'!I82,'03.08 KYEBANDO-NSOOBA-24h'!I82)</f>
        <v>0</v>
      </c>
      <c r="J82" s="49">
        <f>AVERAGE('01.08 NSOOBA-KYEBANDO-24h'!J82,'03.08 KYEBANDO-NSOOBA-24h'!J82)</f>
        <v>0</v>
      </c>
      <c r="K82" s="49">
        <f>AVERAGE('01.08 NSOOBA-KYEBANDO-24h'!K82,'03.08 KYEBANDO-NSOOBA-24h'!K82)</f>
        <v>0</v>
      </c>
      <c r="L82" s="49">
        <f>AVERAGE('01.08 NSOOBA-KYEBANDO-24h'!L82,'03.08 KYEBANDO-NSOOBA-24h'!L82)</f>
        <v>0</v>
      </c>
      <c r="M82" s="49">
        <f>AVERAGE('01.08 NSOOBA-KYEBANDO-24h'!M82,'03.08 KYEBANDO-NSOOBA-24h'!M82)</f>
        <v>10</v>
      </c>
      <c r="N82" s="49">
        <f>AVERAGE('01.08 NSOOBA-KYEBANDO-24h'!N82,'03.08 KYEBANDO-NSOOBA-24h'!N82)</f>
        <v>0</v>
      </c>
      <c r="O82" s="15">
        <f t="shared" si="35"/>
        <v>8.5</v>
      </c>
      <c r="P82" s="15">
        <f t="shared" si="36"/>
        <v>18.5</v>
      </c>
      <c r="R82" s="8"/>
      <c r="T82"/>
    </row>
    <row r="83" spans="2:20" ht="23.1" customHeight="1" x14ac:dyDescent="0.25">
      <c r="B83" s="23" t="s">
        <v>123</v>
      </c>
      <c r="C83" s="49">
        <f>AVERAGE('01.08 NSOOBA-KYEBANDO-24h'!C83,'03.08 KYEBANDO-NSOOBA-24h'!C83)</f>
        <v>7</v>
      </c>
      <c r="D83" s="49">
        <f>AVERAGE('01.08 NSOOBA-KYEBANDO-24h'!D83,'03.08 KYEBANDO-NSOOBA-24h'!D83)</f>
        <v>1</v>
      </c>
      <c r="E83" s="49">
        <f>AVERAGE('01.08 NSOOBA-KYEBANDO-24h'!E83,'03.08 KYEBANDO-NSOOBA-24h'!E83)</f>
        <v>0.5</v>
      </c>
      <c r="F83" s="49">
        <f>AVERAGE('01.08 NSOOBA-KYEBANDO-24h'!F83,'03.08 KYEBANDO-NSOOBA-24h'!F83)</f>
        <v>0.5</v>
      </c>
      <c r="G83" s="49">
        <f>AVERAGE('01.08 NSOOBA-KYEBANDO-24h'!G83,'03.08 KYEBANDO-NSOOBA-24h'!G83)</f>
        <v>0</v>
      </c>
      <c r="H83" s="49">
        <f>AVERAGE('01.08 NSOOBA-KYEBANDO-24h'!H83,'03.08 KYEBANDO-NSOOBA-24h'!H83)</f>
        <v>0</v>
      </c>
      <c r="I83" s="49">
        <f>AVERAGE('01.08 NSOOBA-KYEBANDO-24h'!I83,'03.08 KYEBANDO-NSOOBA-24h'!I83)</f>
        <v>0</v>
      </c>
      <c r="J83" s="49">
        <f>AVERAGE('01.08 NSOOBA-KYEBANDO-24h'!J83,'03.08 KYEBANDO-NSOOBA-24h'!J83)</f>
        <v>0</v>
      </c>
      <c r="K83" s="49">
        <f>AVERAGE('01.08 NSOOBA-KYEBANDO-24h'!K83,'03.08 KYEBANDO-NSOOBA-24h'!K83)</f>
        <v>0</v>
      </c>
      <c r="L83" s="49">
        <f>AVERAGE('01.08 NSOOBA-KYEBANDO-24h'!L83,'03.08 KYEBANDO-NSOOBA-24h'!L83)</f>
        <v>0</v>
      </c>
      <c r="M83" s="49">
        <f>AVERAGE('01.08 NSOOBA-KYEBANDO-24h'!M83,'03.08 KYEBANDO-NSOOBA-24h'!M83)</f>
        <v>9</v>
      </c>
      <c r="N83" s="49">
        <f>AVERAGE('01.08 NSOOBA-KYEBANDO-24h'!N83,'03.08 KYEBANDO-NSOOBA-24h'!N83)</f>
        <v>0</v>
      </c>
      <c r="O83" s="15">
        <f t="shared" si="35"/>
        <v>9</v>
      </c>
      <c r="P83" s="15">
        <f t="shared" si="36"/>
        <v>18</v>
      </c>
      <c r="R83" s="8"/>
      <c r="T83"/>
    </row>
    <row r="84" spans="2:20" ht="23.1" customHeight="1" x14ac:dyDescent="0.25">
      <c r="B84" s="25" t="s">
        <v>124</v>
      </c>
      <c r="C84" s="49">
        <f>AVERAGE('01.08 NSOOBA-KYEBANDO-24h'!C84,'03.08 KYEBANDO-NSOOBA-24h'!C84)</f>
        <v>8</v>
      </c>
      <c r="D84" s="49">
        <f>AVERAGE('01.08 NSOOBA-KYEBANDO-24h'!D84,'03.08 KYEBANDO-NSOOBA-24h'!D84)</f>
        <v>0</v>
      </c>
      <c r="E84" s="49">
        <f>AVERAGE('01.08 NSOOBA-KYEBANDO-24h'!E84,'03.08 KYEBANDO-NSOOBA-24h'!E84)</f>
        <v>0</v>
      </c>
      <c r="F84" s="49">
        <f>AVERAGE('01.08 NSOOBA-KYEBANDO-24h'!F84,'03.08 KYEBANDO-NSOOBA-24h'!F84)</f>
        <v>0</v>
      </c>
      <c r="G84" s="49">
        <f>AVERAGE('01.08 NSOOBA-KYEBANDO-24h'!G84,'03.08 KYEBANDO-NSOOBA-24h'!G84)</f>
        <v>0</v>
      </c>
      <c r="H84" s="49">
        <f>AVERAGE('01.08 NSOOBA-KYEBANDO-24h'!H84,'03.08 KYEBANDO-NSOOBA-24h'!H84)</f>
        <v>0</v>
      </c>
      <c r="I84" s="49">
        <f>AVERAGE('01.08 NSOOBA-KYEBANDO-24h'!I84,'03.08 KYEBANDO-NSOOBA-24h'!I84)</f>
        <v>0</v>
      </c>
      <c r="J84" s="49">
        <f>AVERAGE('01.08 NSOOBA-KYEBANDO-24h'!J84,'03.08 KYEBANDO-NSOOBA-24h'!J84)</f>
        <v>0</v>
      </c>
      <c r="K84" s="49">
        <f>AVERAGE('01.08 NSOOBA-KYEBANDO-24h'!K84,'03.08 KYEBANDO-NSOOBA-24h'!K84)</f>
        <v>0</v>
      </c>
      <c r="L84" s="49">
        <f>AVERAGE('01.08 NSOOBA-KYEBANDO-24h'!L84,'03.08 KYEBANDO-NSOOBA-24h'!L84)</f>
        <v>0</v>
      </c>
      <c r="M84" s="49">
        <f>AVERAGE('01.08 NSOOBA-KYEBANDO-24h'!M84,'03.08 KYEBANDO-NSOOBA-24h'!M84)</f>
        <v>5.5</v>
      </c>
      <c r="N84" s="49">
        <f>AVERAGE('01.08 NSOOBA-KYEBANDO-24h'!N84,'03.08 KYEBANDO-NSOOBA-24h'!N84)</f>
        <v>0</v>
      </c>
      <c r="O84" s="15">
        <f t="shared" si="35"/>
        <v>8</v>
      </c>
      <c r="P84" s="15">
        <f t="shared" si="36"/>
        <v>13.5</v>
      </c>
      <c r="R84" s="8"/>
      <c r="T84"/>
    </row>
    <row r="85" spans="2:20" ht="23.1" customHeight="1" x14ac:dyDescent="0.25">
      <c r="B85" s="23" t="s">
        <v>125</v>
      </c>
      <c r="C85" s="49">
        <f>AVERAGE('01.08 NSOOBA-KYEBANDO-24h'!C85,'03.08 KYEBANDO-NSOOBA-24h'!C85)</f>
        <v>8</v>
      </c>
      <c r="D85" s="49">
        <f>AVERAGE('01.08 NSOOBA-KYEBANDO-24h'!D85,'03.08 KYEBANDO-NSOOBA-24h'!D85)</f>
        <v>1.5</v>
      </c>
      <c r="E85" s="49">
        <f>AVERAGE('01.08 NSOOBA-KYEBANDO-24h'!E85,'03.08 KYEBANDO-NSOOBA-24h'!E85)</f>
        <v>0</v>
      </c>
      <c r="F85" s="49">
        <f>AVERAGE('01.08 NSOOBA-KYEBANDO-24h'!F85,'03.08 KYEBANDO-NSOOBA-24h'!F85)</f>
        <v>0</v>
      </c>
      <c r="G85" s="49">
        <f>AVERAGE('01.08 NSOOBA-KYEBANDO-24h'!G85,'03.08 KYEBANDO-NSOOBA-24h'!G85)</f>
        <v>0</v>
      </c>
      <c r="H85" s="49">
        <f>AVERAGE('01.08 NSOOBA-KYEBANDO-24h'!H85,'03.08 KYEBANDO-NSOOBA-24h'!H85)</f>
        <v>0</v>
      </c>
      <c r="I85" s="49">
        <f>AVERAGE('01.08 NSOOBA-KYEBANDO-24h'!I85,'03.08 KYEBANDO-NSOOBA-24h'!I85)</f>
        <v>0</v>
      </c>
      <c r="J85" s="49">
        <f>AVERAGE('01.08 NSOOBA-KYEBANDO-24h'!J85,'03.08 KYEBANDO-NSOOBA-24h'!J85)</f>
        <v>0.5</v>
      </c>
      <c r="K85" s="49">
        <f>AVERAGE('01.08 NSOOBA-KYEBANDO-24h'!K85,'03.08 KYEBANDO-NSOOBA-24h'!K85)</f>
        <v>0</v>
      </c>
      <c r="L85" s="49">
        <f>AVERAGE('01.08 NSOOBA-KYEBANDO-24h'!L85,'03.08 KYEBANDO-NSOOBA-24h'!L85)</f>
        <v>0</v>
      </c>
      <c r="M85" s="49">
        <f>AVERAGE('01.08 NSOOBA-KYEBANDO-24h'!M85,'03.08 KYEBANDO-NSOOBA-24h'!M85)</f>
        <v>8.5</v>
      </c>
      <c r="N85" s="49">
        <f>AVERAGE('01.08 NSOOBA-KYEBANDO-24h'!N85,'03.08 KYEBANDO-NSOOBA-24h'!N85)</f>
        <v>0</v>
      </c>
      <c r="O85" s="15">
        <f t="shared" si="35"/>
        <v>10</v>
      </c>
      <c r="P85" s="15">
        <f t="shared" si="36"/>
        <v>18.5</v>
      </c>
      <c r="R85" s="8"/>
      <c r="T85"/>
    </row>
    <row r="86" spans="2:20" ht="23.1" customHeight="1" x14ac:dyDescent="0.25">
      <c r="B86" s="24" t="s">
        <v>126</v>
      </c>
      <c r="C86" s="49">
        <f>AVERAGE('01.08 NSOOBA-KYEBANDO-24h'!C86,'03.08 KYEBANDO-NSOOBA-24h'!C86)</f>
        <v>8</v>
      </c>
      <c r="D86" s="49">
        <f>AVERAGE('01.08 NSOOBA-KYEBANDO-24h'!D86,'03.08 KYEBANDO-NSOOBA-24h'!D86)</f>
        <v>0.5</v>
      </c>
      <c r="E86" s="49">
        <f>AVERAGE('01.08 NSOOBA-KYEBANDO-24h'!E86,'03.08 KYEBANDO-NSOOBA-24h'!E86)</f>
        <v>0</v>
      </c>
      <c r="F86" s="49">
        <f>AVERAGE('01.08 NSOOBA-KYEBANDO-24h'!F86,'03.08 KYEBANDO-NSOOBA-24h'!F86)</f>
        <v>0.5</v>
      </c>
      <c r="G86" s="49">
        <f>AVERAGE('01.08 NSOOBA-KYEBANDO-24h'!G86,'03.08 KYEBANDO-NSOOBA-24h'!G86)</f>
        <v>0</v>
      </c>
      <c r="H86" s="49">
        <f>AVERAGE('01.08 NSOOBA-KYEBANDO-24h'!H86,'03.08 KYEBANDO-NSOOBA-24h'!H86)</f>
        <v>0</v>
      </c>
      <c r="I86" s="49">
        <f>AVERAGE('01.08 NSOOBA-KYEBANDO-24h'!I86,'03.08 KYEBANDO-NSOOBA-24h'!I86)</f>
        <v>0</v>
      </c>
      <c r="J86" s="49">
        <f>AVERAGE('01.08 NSOOBA-KYEBANDO-24h'!J86,'03.08 KYEBANDO-NSOOBA-24h'!J86)</f>
        <v>0</v>
      </c>
      <c r="K86" s="49">
        <f>AVERAGE('01.08 NSOOBA-KYEBANDO-24h'!K86,'03.08 KYEBANDO-NSOOBA-24h'!K86)</f>
        <v>0.5</v>
      </c>
      <c r="L86" s="49">
        <f>AVERAGE('01.08 NSOOBA-KYEBANDO-24h'!L86,'03.08 KYEBANDO-NSOOBA-24h'!L86)</f>
        <v>0</v>
      </c>
      <c r="M86" s="49">
        <f>AVERAGE('01.08 NSOOBA-KYEBANDO-24h'!M86,'03.08 KYEBANDO-NSOOBA-24h'!M86)</f>
        <v>7.5</v>
      </c>
      <c r="N86" s="49">
        <f>AVERAGE('01.08 NSOOBA-KYEBANDO-24h'!N86,'03.08 KYEBANDO-NSOOBA-24h'!N86)</f>
        <v>0</v>
      </c>
      <c r="O86" s="15">
        <f t="shared" si="35"/>
        <v>9.5</v>
      </c>
      <c r="P86" s="15">
        <f t="shared" si="36"/>
        <v>17</v>
      </c>
      <c r="R86" s="8"/>
      <c r="T86"/>
    </row>
    <row r="87" spans="2:20" ht="23.1" customHeight="1" x14ac:dyDescent="0.25">
      <c r="B87" s="23" t="s">
        <v>127</v>
      </c>
      <c r="C87" s="49">
        <f>AVERAGE('01.08 NSOOBA-KYEBANDO-24h'!C87,'03.08 KYEBANDO-NSOOBA-24h'!C87)</f>
        <v>5</v>
      </c>
      <c r="D87" s="49">
        <f>AVERAGE('01.08 NSOOBA-KYEBANDO-24h'!D87,'03.08 KYEBANDO-NSOOBA-24h'!D87)</f>
        <v>0.5</v>
      </c>
      <c r="E87" s="49">
        <f>AVERAGE('01.08 NSOOBA-KYEBANDO-24h'!E87,'03.08 KYEBANDO-NSOOBA-24h'!E87)</f>
        <v>0.5</v>
      </c>
      <c r="F87" s="49">
        <f>AVERAGE('01.08 NSOOBA-KYEBANDO-24h'!F87,'03.08 KYEBANDO-NSOOBA-24h'!F87)</f>
        <v>0</v>
      </c>
      <c r="G87" s="49">
        <f>AVERAGE('01.08 NSOOBA-KYEBANDO-24h'!G87,'03.08 KYEBANDO-NSOOBA-24h'!G87)</f>
        <v>0</v>
      </c>
      <c r="H87" s="49">
        <f>AVERAGE('01.08 NSOOBA-KYEBANDO-24h'!H87,'03.08 KYEBANDO-NSOOBA-24h'!H87)</f>
        <v>0</v>
      </c>
      <c r="I87" s="49">
        <f>AVERAGE('01.08 NSOOBA-KYEBANDO-24h'!I87,'03.08 KYEBANDO-NSOOBA-24h'!I87)</f>
        <v>0</v>
      </c>
      <c r="J87" s="49">
        <f>AVERAGE('01.08 NSOOBA-KYEBANDO-24h'!J87,'03.08 KYEBANDO-NSOOBA-24h'!J87)</f>
        <v>0</v>
      </c>
      <c r="K87" s="49">
        <f>AVERAGE('01.08 NSOOBA-KYEBANDO-24h'!K87,'03.08 KYEBANDO-NSOOBA-24h'!K87)</f>
        <v>0</v>
      </c>
      <c r="L87" s="49">
        <f>AVERAGE('01.08 NSOOBA-KYEBANDO-24h'!L87,'03.08 KYEBANDO-NSOOBA-24h'!L87)</f>
        <v>0</v>
      </c>
      <c r="M87" s="49">
        <f>AVERAGE('01.08 NSOOBA-KYEBANDO-24h'!M87,'03.08 KYEBANDO-NSOOBA-24h'!M87)</f>
        <v>8.5</v>
      </c>
      <c r="N87" s="49">
        <f>AVERAGE('01.08 NSOOBA-KYEBANDO-24h'!N87,'03.08 KYEBANDO-NSOOBA-24h'!N87)</f>
        <v>0</v>
      </c>
      <c r="O87" s="15">
        <f t="shared" si="35"/>
        <v>6</v>
      </c>
      <c r="P87" s="15">
        <f t="shared" si="36"/>
        <v>14.5</v>
      </c>
      <c r="R87" s="8"/>
      <c r="T87"/>
    </row>
    <row r="88" spans="2:20" ht="23.1" customHeight="1" x14ac:dyDescent="0.25">
      <c r="B88" s="25" t="s">
        <v>128</v>
      </c>
      <c r="C88" s="49">
        <f>AVERAGE('01.08 NSOOBA-KYEBANDO-24h'!C88,'03.08 KYEBANDO-NSOOBA-24h'!C88)</f>
        <v>0.5</v>
      </c>
      <c r="D88" s="49">
        <f>AVERAGE('01.08 NSOOBA-KYEBANDO-24h'!D88,'03.08 KYEBANDO-NSOOBA-24h'!D88)</f>
        <v>0</v>
      </c>
      <c r="E88" s="49">
        <f>AVERAGE('01.08 NSOOBA-KYEBANDO-24h'!E88,'03.08 KYEBANDO-NSOOBA-24h'!E88)</f>
        <v>0</v>
      </c>
      <c r="F88" s="49">
        <f>AVERAGE('01.08 NSOOBA-KYEBANDO-24h'!F88,'03.08 KYEBANDO-NSOOBA-24h'!F88)</f>
        <v>0</v>
      </c>
      <c r="G88" s="49">
        <f>AVERAGE('01.08 NSOOBA-KYEBANDO-24h'!G88,'03.08 KYEBANDO-NSOOBA-24h'!G88)</f>
        <v>0</v>
      </c>
      <c r="H88" s="49">
        <f>AVERAGE('01.08 NSOOBA-KYEBANDO-24h'!H88,'03.08 KYEBANDO-NSOOBA-24h'!H88)</f>
        <v>0</v>
      </c>
      <c r="I88" s="49">
        <f>AVERAGE('01.08 NSOOBA-KYEBANDO-24h'!I88,'03.08 KYEBANDO-NSOOBA-24h'!I88)</f>
        <v>0</v>
      </c>
      <c r="J88" s="49">
        <f>AVERAGE('01.08 NSOOBA-KYEBANDO-24h'!J88,'03.08 KYEBANDO-NSOOBA-24h'!J88)</f>
        <v>0</v>
      </c>
      <c r="K88" s="49">
        <f>AVERAGE('01.08 NSOOBA-KYEBANDO-24h'!K88,'03.08 KYEBANDO-NSOOBA-24h'!K88)</f>
        <v>0</v>
      </c>
      <c r="L88" s="49">
        <f>AVERAGE('01.08 NSOOBA-KYEBANDO-24h'!L88,'03.08 KYEBANDO-NSOOBA-24h'!L88)</f>
        <v>0</v>
      </c>
      <c r="M88" s="49">
        <f>AVERAGE('01.08 NSOOBA-KYEBANDO-24h'!M88,'03.08 KYEBANDO-NSOOBA-24h'!M88)</f>
        <v>1.5</v>
      </c>
      <c r="N88" s="49">
        <f>AVERAGE('01.08 NSOOBA-KYEBANDO-24h'!N88,'03.08 KYEBANDO-NSOOBA-24h'!N88)</f>
        <v>0</v>
      </c>
      <c r="O88" s="15">
        <f t="shared" si="35"/>
        <v>0.5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AVERAGE('01.08 NSOOBA-KYEBANDO-24h'!C89,'03.08 KYEBANDO-NSOOBA-24h'!C89)</f>
        <v>4.5</v>
      </c>
      <c r="D89" s="49">
        <f>AVERAGE('01.08 NSOOBA-KYEBANDO-24h'!D89,'03.08 KYEBANDO-NSOOBA-24h'!D89)</f>
        <v>0.5</v>
      </c>
      <c r="E89" s="49">
        <f>AVERAGE('01.08 NSOOBA-KYEBANDO-24h'!E89,'03.08 KYEBANDO-NSOOBA-24h'!E89)</f>
        <v>0.5</v>
      </c>
      <c r="F89" s="49">
        <f>AVERAGE('01.08 NSOOBA-KYEBANDO-24h'!F89,'03.08 KYEBANDO-NSOOBA-24h'!F89)</f>
        <v>0.5</v>
      </c>
      <c r="G89" s="49">
        <f>AVERAGE('01.08 NSOOBA-KYEBANDO-24h'!G89,'03.08 KYEBANDO-NSOOBA-24h'!G89)</f>
        <v>0</v>
      </c>
      <c r="H89" s="49">
        <f>AVERAGE('01.08 NSOOBA-KYEBANDO-24h'!H89,'03.08 KYEBANDO-NSOOBA-24h'!H89)</f>
        <v>0</v>
      </c>
      <c r="I89" s="49">
        <f>AVERAGE('01.08 NSOOBA-KYEBANDO-24h'!I89,'03.08 KYEBANDO-NSOOBA-24h'!I89)</f>
        <v>0</v>
      </c>
      <c r="J89" s="49">
        <f>AVERAGE('01.08 NSOOBA-KYEBANDO-24h'!J89,'03.08 KYEBANDO-NSOOBA-24h'!J89)</f>
        <v>0</v>
      </c>
      <c r="K89" s="49">
        <f>AVERAGE('01.08 NSOOBA-KYEBANDO-24h'!K89,'03.08 KYEBANDO-NSOOBA-24h'!K89)</f>
        <v>0</v>
      </c>
      <c r="L89" s="49">
        <f>AVERAGE('01.08 NSOOBA-KYEBANDO-24h'!L89,'03.08 KYEBANDO-NSOOBA-24h'!L89)</f>
        <v>0</v>
      </c>
      <c r="M89" s="49">
        <f>AVERAGE('01.08 NSOOBA-KYEBANDO-24h'!M89,'03.08 KYEBANDO-NSOOBA-24h'!M89)</f>
        <v>4.5</v>
      </c>
      <c r="N89" s="49">
        <f>AVERAGE('01.08 NSOOBA-KYEBANDO-24h'!N89,'03.08 KYEBANDO-NSOOBA-24h'!N89)</f>
        <v>0</v>
      </c>
      <c r="O89" s="15">
        <f t="shared" si="35"/>
        <v>6</v>
      </c>
      <c r="P89" s="15">
        <f t="shared" si="36"/>
        <v>10.5</v>
      </c>
      <c r="R89" s="8"/>
      <c r="T89"/>
    </row>
    <row r="90" spans="2:20" ht="23.1" customHeight="1" x14ac:dyDescent="0.25">
      <c r="B90" s="24" t="s">
        <v>130</v>
      </c>
      <c r="C90" s="49">
        <f>AVERAGE('01.08 NSOOBA-KYEBANDO-24h'!C90,'03.08 KYEBANDO-NSOOBA-24h'!C90)</f>
        <v>5</v>
      </c>
      <c r="D90" s="49">
        <f>AVERAGE('01.08 NSOOBA-KYEBANDO-24h'!D90,'03.08 KYEBANDO-NSOOBA-24h'!D90)</f>
        <v>0</v>
      </c>
      <c r="E90" s="49">
        <f>AVERAGE('01.08 NSOOBA-KYEBANDO-24h'!E90,'03.08 KYEBANDO-NSOOBA-24h'!E90)</f>
        <v>0</v>
      </c>
      <c r="F90" s="49">
        <f>AVERAGE('01.08 NSOOBA-KYEBANDO-24h'!F90,'03.08 KYEBANDO-NSOOBA-24h'!F90)</f>
        <v>0.5</v>
      </c>
      <c r="G90" s="49">
        <f>AVERAGE('01.08 NSOOBA-KYEBANDO-24h'!G90,'03.08 KYEBANDO-NSOOBA-24h'!G90)</f>
        <v>0</v>
      </c>
      <c r="H90" s="49">
        <f>AVERAGE('01.08 NSOOBA-KYEBANDO-24h'!H90,'03.08 KYEBANDO-NSOOBA-24h'!H90)</f>
        <v>0</v>
      </c>
      <c r="I90" s="49">
        <f>AVERAGE('01.08 NSOOBA-KYEBANDO-24h'!I90,'03.08 KYEBANDO-NSOOBA-24h'!I90)</f>
        <v>0</v>
      </c>
      <c r="J90" s="49">
        <f>AVERAGE('01.08 NSOOBA-KYEBANDO-24h'!J90,'03.08 KYEBANDO-NSOOBA-24h'!J90)</f>
        <v>0</v>
      </c>
      <c r="K90" s="49">
        <f>AVERAGE('01.08 NSOOBA-KYEBANDO-24h'!K90,'03.08 KYEBANDO-NSOOBA-24h'!K90)</f>
        <v>0</v>
      </c>
      <c r="L90" s="49">
        <f>AVERAGE('01.08 NSOOBA-KYEBANDO-24h'!L90,'03.08 KYEBANDO-NSOOBA-24h'!L90)</f>
        <v>0</v>
      </c>
      <c r="M90" s="49">
        <f>AVERAGE('01.08 NSOOBA-KYEBANDO-24h'!M90,'03.08 KYEBANDO-NSOOBA-24h'!M90)</f>
        <v>8.5</v>
      </c>
      <c r="N90" s="49">
        <f>AVERAGE('01.08 NSOOBA-KYEBANDO-24h'!N90,'03.08 KYEBANDO-NSOOBA-24h'!N90)</f>
        <v>0</v>
      </c>
      <c r="O90" s="15">
        <f t="shared" si="35"/>
        <v>5.5</v>
      </c>
      <c r="P90" s="15">
        <f t="shared" si="36"/>
        <v>14</v>
      </c>
      <c r="R90" s="8"/>
      <c r="T90"/>
    </row>
    <row r="91" spans="2:20" ht="23.1" customHeight="1" x14ac:dyDescent="0.25">
      <c r="B91" s="23" t="s">
        <v>131</v>
      </c>
      <c r="C91" s="49">
        <f>AVERAGE('01.08 NSOOBA-KYEBANDO-24h'!C91,'03.08 KYEBANDO-NSOOBA-24h'!C91)</f>
        <v>2.5</v>
      </c>
      <c r="D91" s="49">
        <f>AVERAGE('01.08 NSOOBA-KYEBANDO-24h'!D91,'03.08 KYEBANDO-NSOOBA-24h'!D91)</f>
        <v>0</v>
      </c>
      <c r="E91" s="49">
        <f>AVERAGE('01.08 NSOOBA-KYEBANDO-24h'!E91,'03.08 KYEBANDO-NSOOBA-24h'!E91)</f>
        <v>0.5</v>
      </c>
      <c r="F91" s="49">
        <f>AVERAGE('01.08 NSOOBA-KYEBANDO-24h'!F91,'03.08 KYEBANDO-NSOOBA-24h'!F91)</f>
        <v>0</v>
      </c>
      <c r="G91" s="49">
        <f>AVERAGE('01.08 NSOOBA-KYEBANDO-24h'!G91,'03.08 KYEBANDO-NSOOBA-24h'!G91)</f>
        <v>0</v>
      </c>
      <c r="H91" s="49">
        <f>AVERAGE('01.08 NSOOBA-KYEBANDO-24h'!H91,'03.08 KYEBANDO-NSOOBA-24h'!H91)</f>
        <v>0</v>
      </c>
      <c r="I91" s="49">
        <f>AVERAGE('01.08 NSOOBA-KYEBANDO-24h'!I91,'03.08 KYEBANDO-NSOOBA-24h'!I91)</f>
        <v>0</v>
      </c>
      <c r="J91" s="49">
        <f>AVERAGE('01.08 NSOOBA-KYEBANDO-24h'!J91,'03.08 KYEBANDO-NSOOBA-24h'!J91)</f>
        <v>0</v>
      </c>
      <c r="K91" s="49">
        <f>AVERAGE('01.08 NSOOBA-KYEBANDO-24h'!K91,'03.08 KYEBANDO-NSOOBA-24h'!K91)</f>
        <v>0</v>
      </c>
      <c r="L91" s="49">
        <f>AVERAGE('01.08 NSOOBA-KYEBANDO-24h'!L91,'03.08 KYEBANDO-NSOOBA-24h'!L91)</f>
        <v>0</v>
      </c>
      <c r="M91" s="49">
        <f>AVERAGE('01.08 NSOOBA-KYEBANDO-24h'!M91,'03.08 KYEBANDO-NSOOBA-24h'!M91)</f>
        <v>5.5</v>
      </c>
      <c r="N91" s="49">
        <f>AVERAGE('01.08 NSOOBA-KYEBANDO-24h'!N91,'03.08 KYEBANDO-NSOOBA-24h'!N91)</f>
        <v>0</v>
      </c>
      <c r="O91" s="15">
        <f t="shared" si="35"/>
        <v>3</v>
      </c>
      <c r="P91" s="15">
        <f t="shared" si="36"/>
        <v>8.5</v>
      </c>
      <c r="R91" s="8"/>
      <c r="T91"/>
    </row>
    <row r="92" spans="2:20" ht="23.1" customHeight="1" x14ac:dyDescent="0.25">
      <c r="B92" s="25" t="s">
        <v>132</v>
      </c>
      <c r="C92" s="49">
        <f>AVERAGE('01.08 NSOOBA-KYEBANDO-24h'!C92,'03.08 KYEBANDO-NSOOBA-24h'!C92)</f>
        <v>2.5</v>
      </c>
      <c r="D92" s="49">
        <f>AVERAGE('01.08 NSOOBA-KYEBANDO-24h'!D92,'03.08 KYEBANDO-NSOOBA-24h'!D92)</f>
        <v>0</v>
      </c>
      <c r="E92" s="49">
        <f>AVERAGE('01.08 NSOOBA-KYEBANDO-24h'!E92,'03.08 KYEBANDO-NSOOBA-24h'!E92)</f>
        <v>0.5</v>
      </c>
      <c r="F92" s="49">
        <f>AVERAGE('01.08 NSOOBA-KYEBANDO-24h'!F92,'03.08 KYEBANDO-NSOOBA-24h'!F92)</f>
        <v>1</v>
      </c>
      <c r="G92" s="49">
        <f>AVERAGE('01.08 NSOOBA-KYEBANDO-24h'!G92,'03.08 KYEBANDO-NSOOBA-24h'!G92)</f>
        <v>0</v>
      </c>
      <c r="H92" s="49">
        <f>AVERAGE('01.08 NSOOBA-KYEBANDO-24h'!H92,'03.08 KYEBANDO-NSOOBA-24h'!H92)</f>
        <v>0</v>
      </c>
      <c r="I92" s="49">
        <f>AVERAGE('01.08 NSOOBA-KYEBANDO-24h'!I92,'03.08 KYEBANDO-NSOOBA-24h'!I92)</f>
        <v>0</v>
      </c>
      <c r="J92" s="49">
        <f>AVERAGE('01.08 NSOOBA-KYEBANDO-24h'!J92,'03.08 KYEBANDO-NSOOBA-24h'!J92)</f>
        <v>0</v>
      </c>
      <c r="K92" s="49">
        <f>AVERAGE('01.08 NSOOBA-KYEBANDO-24h'!K92,'03.08 KYEBANDO-NSOOBA-24h'!K92)</f>
        <v>0</v>
      </c>
      <c r="L92" s="49">
        <f>AVERAGE('01.08 NSOOBA-KYEBANDO-24h'!L92,'03.08 KYEBANDO-NSOOBA-24h'!L92)</f>
        <v>0</v>
      </c>
      <c r="M92" s="49">
        <f>AVERAGE('01.08 NSOOBA-KYEBANDO-24h'!M92,'03.08 KYEBANDO-NSOOBA-24h'!M92)</f>
        <v>6</v>
      </c>
      <c r="N92" s="49">
        <f>AVERAGE('01.08 NSOOBA-KYEBANDO-24h'!N92,'03.08 KYEBANDO-NSOOBA-24h'!N92)</f>
        <v>0</v>
      </c>
      <c r="O92" s="15">
        <f t="shared" si="35"/>
        <v>4</v>
      </c>
      <c r="P92" s="15">
        <f t="shared" si="36"/>
        <v>10</v>
      </c>
      <c r="R92" s="8"/>
      <c r="T92"/>
    </row>
    <row r="93" spans="2:20" ht="23.1" customHeight="1" x14ac:dyDescent="0.25">
      <c r="B93" s="23" t="s">
        <v>133</v>
      </c>
      <c r="C93" s="49">
        <f>AVERAGE('01.08 NSOOBA-KYEBANDO-24h'!C93,'03.08 KYEBANDO-NSOOBA-24h'!C93)</f>
        <v>3</v>
      </c>
      <c r="D93" s="49">
        <f>AVERAGE('01.08 NSOOBA-KYEBANDO-24h'!D93,'03.08 KYEBANDO-NSOOBA-24h'!D93)</f>
        <v>0</v>
      </c>
      <c r="E93" s="49">
        <f>AVERAGE('01.08 NSOOBA-KYEBANDO-24h'!E93,'03.08 KYEBANDO-NSOOBA-24h'!E93)</f>
        <v>0</v>
      </c>
      <c r="F93" s="49">
        <f>AVERAGE('01.08 NSOOBA-KYEBANDO-24h'!F93,'03.08 KYEBANDO-NSOOBA-24h'!F93)</f>
        <v>0</v>
      </c>
      <c r="G93" s="49">
        <f>AVERAGE('01.08 NSOOBA-KYEBANDO-24h'!G93,'03.08 KYEBANDO-NSOOBA-24h'!G93)</f>
        <v>0</v>
      </c>
      <c r="H93" s="49">
        <f>AVERAGE('01.08 NSOOBA-KYEBANDO-24h'!H93,'03.08 KYEBANDO-NSOOBA-24h'!H93)</f>
        <v>0</v>
      </c>
      <c r="I93" s="49">
        <f>AVERAGE('01.08 NSOOBA-KYEBANDO-24h'!I93,'03.08 KYEBANDO-NSOOBA-24h'!I93)</f>
        <v>0</v>
      </c>
      <c r="J93" s="49">
        <f>AVERAGE('01.08 NSOOBA-KYEBANDO-24h'!J93,'03.08 KYEBANDO-NSOOBA-24h'!J93)</f>
        <v>0</v>
      </c>
      <c r="K93" s="49">
        <f>AVERAGE('01.08 NSOOBA-KYEBANDO-24h'!K93,'03.08 KYEBANDO-NSOOBA-24h'!K93)</f>
        <v>0</v>
      </c>
      <c r="L93" s="49">
        <f>AVERAGE('01.08 NSOOBA-KYEBANDO-24h'!L93,'03.08 KYEBANDO-NSOOBA-24h'!L93)</f>
        <v>0</v>
      </c>
      <c r="M93" s="49">
        <f>AVERAGE('01.08 NSOOBA-KYEBANDO-24h'!M93,'03.08 KYEBANDO-NSOOBA-24h'!M93)</f>
        <v>4</v>
      </c>
      <c r="N93" s="49">
        <f>AVERAGE('01.08 NSOOBA-KYEBANDO-24h'!N93,'03.08 KYEBANDO-NSOOBA-24h'!N93)</f>
        <v>0</v>
      </c>
      <c r="O93" s="15">
        <f t="shared" si="35"/>
        <v>3</v>
      </c>
      <c r="P93" s="15">
        <f t="shared" si="36"/>
        <v>7</v>
      </c>
      <c r="R93" s="8"/>
      <c r="T93"/>
    </row>
    <row r="94" spans="2:20" ht="23.1" customHeight="1" x14ac:dyDescent="0.25">
      <c r="B94" s="24" t="s">
        <v>134</v>
      </c>
      <c r="C94" s="49">
        <f>AVERAGE('01.08 NSOOBA-KYEBANDO-24h'!C94,'03.08 KYEBANDO-NSOOBA-24h'!C94)</f>
        <v>0.5</v>
      </c>
      <c r="D94" s="49">
        <f>AVERAGE('01.08 NSOOBA-KYEBANDO-24h'!D94,'03.08 KYEBANDO-NSOOBA-24h'!D94)</f>
        <v>0</v>
      </c>
      <c r="E94" s="49">
        <f>AVERAGE('01.08 NSOOBA-KYEBANDO-24h'!E94,'03.08 KYEBANDO-NSOOBA-24h'!E94)</f>
        <v>0</v>
      </c>
      <c r="F94" s="49">
        <f>AVERAGE('01.08 NSOOBA-KYEBANDO-24h'!F94,'03.08 KYEBANDO-NSOOBA-24h'!F94)</f>
        <v>0</v>
      </c>
      <c r="G94" s="49">
        <f>AVERAGE('01.08 NSOOBA-KYEBANDO-24h'!G94,'03.08 KYEBANDO-NSOOBA-24h'!G94)</f>
        <v>0</v>
      </c>
      <c r="H94" s="49">
        <f>AVERAGE('01.08 NSOOBA-KYEBANDO-24h'!H94,'03.08 KYEBANDO-NSOOBA-24h'!H94)</f>
        <v>0</v>
      </c>
      <c r="I94" s="49">
        <f>AVERAGE('01.08 NSOOBA-KYEBANDO-24h'!I94,'03.08 KYEBANDO-NSOOBA-24h'!I94)</f>
        <v>0</v>
      </c>
      <c r="J94" s="49">
        <f>AVERAGE('01.08 NSOOBA-KYEBANDO-24h'!J94,'03.08 KYEBANDO-NSOOBA-24h'!J94)</f>
        <v>0.5</v>
      </c>
      <c r="K94" s="49">
        <f>AVERAGE('01.08 NSOOBA-KYEBANDO-24h'!K94,'03.08 KYEBANDO-NSOOBA-24h'!K94)</f>
        <v>0</v>
      </c>
      <c r="L94" s="49">
        <f>AVERAGE('01.08 NSOOBA-KYEBANDO-24h'!L94,'03.08 KYEBANDO-NSOOBA-24h'!L94)</f>
        <v>0.5</v>
      </c>
      <c r="M94" s="49">
        <f>AVERAGE('01.08 NSOOBA-KYEBANDO-24h'!M94,'03.08 KYEBANDO-NSOOBA-24h'!M94)</f>
        <v>3</v>
      </c>
      <c r="N94" s="49">
        <f>AVERAGE('01.08 NSOOBA-KYEBANDO-24h'!N94,'03.08 KYEBANDO-NSOOBA-24h'!N94)</f>
        <v>0</v>
      </c>
      <c r="O94" s="15">
        <f t="shared" si="35"/>
        <v>1.5</v>
      </c>
      <c r="P94" s="15">
        <f t="shared" si="36"/>
        <v>4.5</v>
      </c>
      <c r="R94" s="8"/>
      <c r="T94"/>
    </row>
    <row r="95" spans="2:20" ht="23.1" customHeight="1" x14ac:dyDescent="0.25">
      <c r="B95" s="23" t="s">
        <v>135</v>
      </c>
      <c r="C95" s="49">
        <f>AVERAGE('01.08 NSOOBA-KYEBANDO-24h'!C95,'03.08 KYEBANDO-NSOOBA-24h'!C95)</f>
        <v>2.5</v>
      </c>
      <c r="D95" s="49">
        <f>AVERAGE('01.08 NSOOBA-KYEBANDO-24h'!D95,'03.08 KYEBANDO-NSOOBA-24h'!D95)</f>
        <v>0</v>
      </c>
      <c r="E95" s="49">
        <f>AVERAGE('01.08 NSOOBA-KYEBANDO-24h'!E95,'03.08 KYEBANDO-NSOOBA-24h'!E95)</f>
        <v>0</v>
      </c>
      <c r="F95" s="49">
        <f>AVERAGE('01.08 NSOOBA-KYEBANDO-24h'!F95,'03.08 KYEBANDO-NSOOBA-24h'!F95)</f>
        <v>0</v>
      </c>
      <c r="G95" s="49">
        <f>AVERAGE('01.08 NSOOBA-KYEBANDO-24h'!G95,'03.08 KYEBANDO-NSOOBA-24h'!G95)</f>
        <v>0</v>
      </c>
      <c r="H95" s="49">
        <f>AVERAGE('01.08 NSOOBA-KYEBANDO-24h'!H95,'03.08 KYEBANDO-NSOOBA-24h'!H95)</f>
        <v>0</v>
      </c>
      <c r="I95" s="49">
        <f>AVERAGE('01.08 NSOOBA-KYEBANDO-24h'!I95,'03.08 KYEBANDO-NSOOBA-24h'!I95)</f>
        <v>0.5</v>
      </c>
      <c r="J95" s="49">
        <f>AVERAGE('01.08 NSOOBA-KYEBANDO-24h'!J95,'03.08 KYEBANDO-NSOOBA-24h'!J95)</f>
        <v>0</v>
      </c>
      <c r="K95" s="49">
        <f>AVERAGE('01.08 NSOOBA-KYEBANDO-24h'!K95,'03.08 KYEBANDO-NSOOBA-24h'!K95)</f>
        <v>0</v>
      </c>
      <c r="L95" s="49">
        <f>AVERAGE('01.08 NSOOBA-KYEBANDO-24h'!L95,'03.08 KYEBANDO-NSOOBA-24h'!L95)</f>
        <v>0</v>
      </c>
      <c r="M95" s="49">
        <f>AVERAGE('01.08 NSOOBA-KYEBANDO-24h'!M95,'03.08 KYEBANDO-NSOOBA-24h'!M95)</f>
        <v>4.5</v>
      </c>
      <c r="N95" s="49">
        <f>AVERAGE('01.08 NSOOBA-KYEBANDO-24h'!N95,'03.08 KYEBANDO-NSOOBA-24h'!N95)</f>
        <v>0</v>
      </c>
      <c r="O95" s="15">
        <f t="shared" si="35"/>
        <v>3</v>
      </c>
      <c r="P95" s="15">
        <f t="shared" si="36"/>
        <v>7.5</v>
      </c>
      <c r="R95" s="8"/>
      <c r="T95"/>
    </row>
    <row r="96" spans="2:20" ht="23.1" customHeight="1" x14ac:dyDescent="0.25">
      <c r="B96" s="25" t="s">
        <v>136</v>
      </c>
      <c r="C96" s="49">
        <f>AVERAGE('01.08 NSOOBA-KYEBANDO-24h'!C96,'03.08 KYEBANDO-NSOOBA-24h'!C96)</f>
        <v>3</v>
      </c>
      <c r="D96" s="49">
        <f>AVERAGE('01.08 NSOOBA-KYEBANDO-24h'!D96,'03.08 KYEBANDO-NSOOBA-24h'!D96)</f>
        <v>0</v>
      </c>
      <c r="E96" s="49">
        <f>AVERAGE('01.08 NSOOBA-KYEBANDO-24h'!E96,'03.08 KYEBANDO-NSOOBA-24h'!E96)</f>
        <v>0</v>
      </c>
      <c r="F96" s="49">
        <f>AVERAGE('01.08 NSOOBA-KYEBANDO-24h'!F96,'03.08 KYEBANDO-NSOOBA-24h'!F96)</f>
        <v>0</v>
      </c>
      <c r="G96" s="49">
        <f>AVERAGE('01.08 NSOOBA-KYEBANDO-24h'!G96,'03.08 KYEBANDO-NSOOBA-24h'!G96)</f>
        <v>0</v>
      </c>
      <c r="H96" s="49">
        <f>AVERAGE('01.08 NSOOBA-KYEBANDO-24h'!H96,'03.08 KYEBANDO-NSOOBA-24h'!H96)</f>
        <v>0</v>
      </c>
      <c r="I96" s="49">
        <f>AVERAGE('01.08 NSOOBA-KYEBANDO-24h'!I96,'03.08 KYEBANDO-NSOOBA-24h'!I96)</f>
        <v>0.5</v>
      </c>
      <c r="J96" s="49">
        <f>AVERAGE('01.08 NSOOBA-KYEBANDO-24h'!J96,'03.08 KYEBANDO-NSOOBA-24h'!J96)</f>
        <v>0</v>
      </c>
      <c r="K96" s="49">
        <f>AVERAGE('01.08 NSOOBA-KYEBANDO-24h'!K96,'03.08 KYEBANDO-NSOOBA-24h'!K96)</f>
        <v>0</v>
      </c>
      <c r="L96" s="49">
        <f>AVERAGE('01.08 NSOOBA-KYEBANDO-24h'!L96,'03.08 KYEBANDO-NSOOBA-24h'!L96)</f>
        <v>0</v>
      </c>
      <c r="M96" s="49">
        <f>AVERAGE('01.08 NSOOBA-KYEBANDO-24h'!M96,'03.08 KYEBANDO-NSOOBA-24h'!M96)</f>
        <v>4</v>
      </c>
      <c r="N96" s="49">
        <f>AVERAGE('01.08 NSOOBA-KYEBANDO-24h'!N96,'03.08 KYEBANDO-NSOOBA-24h'!N96)</f>
        <v>0</v>
      </c>
      <c r="O96" s="15">
        <f t="shared" si="35"/>
        <v>3.5</v>
      </c>
      <c r="P96" s="15">
        <f t="shared" si="36"/>
        <v>7.5</v>
      </c>
      <c r="R96" s="8"/>
      <c r="T96"/>
    </row>
    <row r="97" spans="2:20" ht="23.1" customHeight="1" x14ac:dyDescent="0.25">
      <c r="B97" s="23" t="s">
        <v>137</v>
      </c>
      <c r="C97" s="49">
        <f>AVERAGE('01.08 NSOOBA-KYEBANDO-24h'!C97,'03.08 KYEBANDO-NSOOBA-24h'!C97)</f>
        <v>2.5</v>
      </c>
      <c r="D97" s="49">
        <f>AVERAGE('01.08 NSOOBA-KYEBANDO-24h'!D97,'03.08 KYEBANDO-NSOOBA-24h'!D97)</f>
        <v>0</v>
      </c>
      <c r="E97" s="49">
        <f>AVERAGE('01.08 NSOOBA-KYEBANDO-24h'!E97,'03.08 KYEBANDO-NSOOBA-24h'!E97)</f>
        <v>0</v>
      </c>
      <c r="F97" s="49">
        <f>AVERAGE('01.08 NSOOBA-KYEBANDO-24h'!F97,'03.08 KYEBANDO-NSOOBA-24h'!F97)</f>
        <v>0.5</v>
      </c>
      <c r="G97" s="49">
        <f>AVERAGE('01.08 NSOOBA-KYEBANDO-24h'!G97,'03.08 KYEBANDO-NSOOBA-24h'!G97)</f>
        <v>0</v>
      </c>
      <c r="H97" s="49">
        <f>AVERAGE('01.08 NSOOBA-KYEBANDO-24h'!H97,'03.08 KYEBANDO-NSOOBA-24h'!H97)</f>
        <v>0</v>
      </c>
      <c r="I97" s="49">
        <f>AVERAGE('01.08 NSOOBA-KYEBANDO-24h'!I97,'03.08 KYEBANDO-NSOOBA-24h'!I97)</f>
        <v>0.5</v>
      </c>
      <c r="J97" s="49">
        <f>AVERAGE('01.08 NSOOBA-KYEBANDO-24h'!J97,'03.08 KYEBANDO-NSOOBA-24h'!J97)</f>
        <v>0</v>
      </c>
      <c r="K97" s="49">
        <f>AVERAGE('01.08 NSOOBA-KYEBANDO-24h'!K97,'03.08 KYEBANDO-NSOOBA-24h'!K97)</f>
        <v>0</v>
      </c>
      <c r="L97" s="49">
        <f>AVERAGE('01.08 NSOOBA-KYEBANDO-24h'!L97,'03.08 KYEBANDO-NSOOBA-24h'!L97)</f>
        <v>0</v>
      </c>
      <c r="M97" s="49">
        <f>AVERAGE('01.08 NSOOBA-KYEBANDO-24h'!M97,'03.08 KYEBANDO-NSOOBA-24h'!M97)</f>
        <v>6</v>
      </c>
      <c r="N97" s="49">
        <f>AVERAGE('01.08 NSOOBA-KYEBANDO-24h'!N97,'03.08 KYEBANDO-NSOOBA-24h'!N97)</f>
        <v>0</v>
      </c>
      <c r="O97" s="15">
        <f t="shared" si="35"/>
        <v>3.5</v>
      </c>
      <c r="P97" s="15">
        <f t="shared" si="36"/>
        <v>9.5</v>
      </c>
      <c r="R97" s="8"/>
      <c r="T97"/>
    </row>
    <row r="98" spans="2:20" ht="23.1" customHeight="1" x14ac:dyDescent="0.25">
      <c r="B98" s="24" t="s">
        <v>138</v>
      </c>
      <c r="C98" s="49">
        <f>AVERAGE('01.08 NSOOBA-KYEBANDO-24h'!C98,'03.08 KYEBANDO-NSOOBA-24h'!C98)</f>
        <v>3.5</v>
      </c>
      <c r="D98" s="49">
        <f>AVERAGE('01.08 NSOOBA-KYEBANDO-24h'!D98,'03.08 KYEBANDO-NSOOBA-24h'!D98)</f>
        <v>0.5</v>
      </c>
      <c r="E98" s="49">
        <f>AVERAGE('01.08 NSOOBA-KYEBANDO-24h'!E98,'03.08 KYEBANDO-NSOOBA-24h'!E98)</f>
        <v>0.5</v>
      </c>
      <c r="F98" s="49">
        <f>AVERAGE('01.08 NSOOBA-KYEBANDO-24h'!F98,'03.08 KYEBANDO-NSOOBA-24h'!F98)</f>
        <v>1</v>
      </c>
      <c r="G98" s="49">
        <f>AVERAGE('01.08 NSOOBA-KYEBANDO-24h'!G98,'03.08 KYEBANDO-NSOOBA-24h'!G98)</f>
        <v>0</v>
      </c>
      <c r="H98" s="49">
        <f>AVERAGE('01.08 NSOOBA-KYEBANDO-24h'!H98,'03.08 KYEBANDO-NSOOBA-24h'!H98)</f>
        <v>0</v>
      </c>
      <c r="I98" s="49">
        <f>AVERAGE('01.08 NSOOBA-KYEBANDO-24h'!I98,'03.08 KYEBANDO-NSOOBA-24h'!I98)</f>
        <v>0</v>
      </c>
      <c r="J98" s="49">
        <f>AVERAGE('01.08 NSOOBA-KYEBANDO-24h'!J98,'03.08 KYEBANDO-NSOOBA-24h'!J98)</f>
        <v>0</v>
      </c>
      <c r="K98" s="49">
        <f>AVERAGE('01.08 NSOOBA-KYEBANDO-24h'!K98,'03.08 KYEBANDO-NSOOBA-24h'!K98)</f>
        <v>0</v>
      </c>
      <c r="L98" s="49">
        <f>AVERAGE('01.08 NSOOBA-KYEBANDO-24h'!L98,'03.08 KYEBANDO-NSOOBA-24h'!L98)</f>
        <v>0</v>
      </c>
      <c r="M98" s="49">
        <f>AVERAGE('01.08 NSOOBA-KYEBANDO-24h'!M98,'03.08 KYEBANDO-NSOOBA-24h'!M98)</f>
        <v>5</v>
      </c>
      <c r="N98" s="49">
        <f>AVERAGE('01.08 NSOOBA-KYEBANDO-24h'!N98,'03.08 KYEBANDO-NSOOBA-24h'!N98)</f>
        <v>0</v>
      </c>
      <c r="O98" s="15">
        <f t="shared" si="35"/>
        <v>5.5</v>
      </c>
      <c r="P98" s="15">
        <f t="shared" si="36"/>
        <v>10.5</v>
      </c>
      <c r="R98" s="8"/>
      <c r="T98"/>
    </row>
    <row r="99" spans="2:20" ht="23.1" customHeight="1" x14ac:dyDescent="0.25">
      <c r="B99" s="23" t="s">
        <v>139</v>
      </c>
      <c r="C99" s="49">
        <f>AVERAGE('01.08 NSOOBA-KYEBANDO-24h'!C99,'03.08 KYEBANDO-NSOOBA-24h'!C99)</f>
        <v>3.5</v>
      </c>
      <c r="D99" s="49">
        <f>AVERAGE('01.08 NSOOBA-KYEBANDO-24h'!D99,'03.08 KYEBANDO-NSOOBA-24h'!D99)</f>
        <v>0</v>
      </c>
      <c r="E99" s="49">
        <f>AVERAGE('01.08 NSOOBA-KYEBANDO-24h'!E99,'03.08 KYEBANDO-NSOOBA-24h'!E99)</f>
        <v>0</v>
      </c>
      <c r="F99" s="49">
        <f>AVERAGE('01.08 NSOOBA-KYEBANDO-24h'!F99,'03.08 KYEBANDO-NSOOBA-24h'!F99)</f>
        <v>1.5</v>
      </c>
      <c r="G99" s="49">
        <f>AVERAGE('01.08 NSOOBA-KYEBANDO-24h'!G99,'03.08 KYEBANDO-NSOOBA-24h'!G99)</f>
        <v>0</v>
      </c>
      <c r="H99" s="49">
        <f>AVERAGE('01.08 NSOOBA-KYEBANDO-24h'!H99,'03.08 KYEBANDO-NSOOBA-24h'!H99)</f>
        <v>0</v>
      </c>
      <c r="I99" s="49">
        <f>AVERAGE('01.08 NSOOBA-KYEBANDO-24h'!I99,'03.08 KYEBANDO-NSOOBA-24h'!I99)</f>
        <v>0.5</v>
      </c>
      <c r="J99" s="49">
        <f>AVERAGE('01.08 NSOOBA-KYEBANDO-24h'!J99,'03.08 KYEBANDO-NSOOBA-24h'!J99)</f>
        <v>0</v>
      </c>
      <c r="K99" s="49">
        <f>AVERAGE('01.08 NSOOBA-KYEBANDO-24h'!K99,'03.08 KYEBANDO-NSOOBA-24h'!K99)</f>
        <v>0</v>
      </c>
      <c r="L99" s="49">
        <f>AVERAGE('01.08 NSOOBA-KYEBANDO-24h'!L99,'03.08 KYEBANDO-NSOOBA-24h'!L99)</f>
        <v>0</v>
      </c>
      <c r="M99" s="49">
        <f>AVERAGE('01.08 NSOOBA-KYEBANDO-24h'!M99,'03.08 KYEBANDO-NSOOBA-24h'!M99)</f>
        <v>6</v>
      </c>
      <c r="N99" s="49">
        <f>AVERAGE('01.08 NSOOBA-KYEBANDO-24h'!N99,'03.08 KYEBANDO-NSOOBA-24h'!N99)</f>
        <v>0</v>
      </c>
      <c r="O99" s="15">
        <f t="shared" si="35"/>
        <v>5.5</v>
      </c>
      <c r="P99" s="15">
        <f t="shared" si="36"/>
        <v>11.5</v>
      </c>
      <c r="R99" s="8"/>
      <c r="T99"/>
    </row>
    <row r="100" spans="2:20" ht="23.1" customHeight="1" x14ac:dyDescent="0.25">
      <c r="B100" s="25" t="s">
        <v>140</v>
      </c>
      <c r="C100" s="49">
        <f>AVERAGE('01.08 NSOOBA-KYEBANDO-24h'!C100,'03.08 KYEBANDO-NSOOBA-24h'!C100)</f>
        <v>3.5</v>
      </c>
      <c r="D100" s="49">
        <f>AVERAGE('01.08 NSOOBA-KYEBANDO-24h'!D100,'03.08 KYEBANDO-NSOOBA-24h'!D100)</f>
        <v>0</v>
      </c>
      <c r="E100" s="49">
        <f>AVERAGE('01.08 NSOOBA-KYEBANDO-24h'!E100,'03.08 KYEBANDO-NSOOBA-24h'!E100)</f>
        <v>0</v>
      </c>
      <c r="F100" s="49">
        <f>AVERAGE('01.08 NSOOBA-KYEBANDO-24h'!F100,'03.08 KYEBANDO-NSOOBA-24h'!F100)</f>
        <v>5</v>
      </c>
      <c r="G100" s="49">
        <f>AVERAGE('01.08 NSOOBA-KYEBANDO-24h'!G100,'03.08 KYEBANDO-NSOOBA-24h'!G100)</f>
        <v>0</v>
      </c>
      <c r="H100" s="49">
        <f>AVERAGE('01.08 NSOOBA-KYEBANDO-24h'!H100,'03.08 KYEBANDO-NSOOBA-24h'!H100)</f>
        <v>0</v>
      </c>
      <c r="I100" s="49">
        <f>AVERAGE('01.08 NSOOBA-KYEBANDO-24h'!I100,'03.08 KYEBANDO-NSOOBA-24h'!I100)</f>
        <v>1</v>
      </c>
      <c r="J100" s="49">
        <f>AVERAGE('01.08 NSOOBA-KYEBANDO-24h'!J100,'03.08 KYEBANDO-NSOOBA-24h'!J100)</f>
        <v>0</v>
      </c>
      <c r="K100" s="49">
        <f>AVERAGE('01.08 NSOOBA-KYEBANDO-24h'!K100,'03.08 KYEBANDO-NSOOBA-24h'!K100)</f>
        <v>0</v>
      </c>
      <c r="L100" s="49">
        <f>AVERAGE('01.08 NSOOBA-KYEBANDO-24h'!L100,'03.08 KYEBANDO-NSOOBA-24h'!L100)</f>
        <v>0</v>
      </c>
      <c r="M100" s="49">
        <f>AVERAGE('01.08 NSOOBA-KYEBANDO-24h'!M100,'03.08 KYEBANDO-NSOOBA-24h'!M100)</f>
        <v>14.5</v>
      </c>
      <c r="N100" s="49">
        <f>AVERAGE('01.08 NSOOBA-KYEBANDO-24h'!N100,'03.08 KYEBANDO-NSOOBA-24h'!N100)</f>
        <v>0</v>
      </c>
      <c r="O100" s="15">
        <f t="shared" si="35"/>
        <v>9.5</v>
      </c>
      <c r="P100" s="15">
        <f t="shared" si="36"/>
        <v>24</v>
      </c>
      <c r="R100" s="8"/>
      <c r="T100"/>
    </row>
    <row r="101" spans="2:20" ht="23.1" customHeight="1" x14ac:dyDescent="0.25">
      <c r="B101" s="23" t="s">
        <v>141</v>
      </c>
      <c r="C101" s="49">
        <f>AVERAGE('01.08 NSOOBA-KYEBANDO-24h'!C101,'03.08 KYEBANDO-NSOOBA-24h'!C101)</f>
        <v>6</v>
      </c>
      <c r="D101" s="49">
        <f>AVERAGE('01.08 NSOOBA-KYEBANDO-24h'!D101,'03.08 KYEBANDO-NSOOBA-24h'!D101)</f>
        <v>0.5</v>
      </c>
      <c r="E101" s="49">
        <f>AVERAGE('01.08 NSOOBA-KYEBANDO-24h'!E101,'03.08 KYEBANDO-NSOOBA-24h'!E101)</f>
        <v>0.5</v>
      </c>
      <c r="F101" s="49">
        <f>AVERAGE('01.08 NSOOBA-KYEBANDO-24h'!F101,'03.08 KYEBANDO-NSOOBA-24h'!F101)</f>
        <v>5</v>
      </c>
      <c r="G101" s="49">
        <f>AVERAGE('01.08 NSOOBA-KYEBANDO-24h'!G101,'03.08 KYEBANDO-NSOOBA-24h'!G101)</f>
        <v>0</v>
      </c>
      <c r="H101" s="49">
        <f>AVERAGE('01.08 NSOOBA-KYEBANDO-24h'!H101,'03.08 KYEBANDO-NSOOBA-24h'!H101)</f>
        <v>0</v>
      </c>
      <c r="I101" s="49">
        <f>AVERAGE('01.08 NSOOBA-KYEBANDO-24h'!I101,'03.08 KYEBANDO-NSOOBA-24h'!I101)</f>
        <v>0.5</v>
      </c>
      <c r="J101" s="49">
        <f>AVERAGE('01.08 NSOOBA-KYEBANDO-24h'!J101,'03.08 KYEBANDO-NSOOBA-24h'!J101)</f>
        <v>0</v>
      </c>
      <c r="K101" s="49">
        <f>AVERAGE('01.08 NSOOBA-KYEBANDO-24h'!K101,'03.08 KYEBANDO-NSOOBA-24h'!K101)</f>
        <v>0</v>
      </c>
      <c r="L101" s="49">
        <f>AVERAGE('01.08 NSOOBA-KYEBANDO-24h'!L101,'03.08 KYEBANDO-NSOOBA-24h'!L101)</f>
        <v>0.5</v>
      </c>
      <c r="M101" s="49">
        <f>AVERAGE('01.08 NSOOBA-KYEBANDO-24h'!M101,'03.08 KYEBANDO-NSOOBA-24h'!M101)</f>
        <v>7.5</v>
      </c>
      <c r="N101" s="49">
        <f>AVERAGE('01.08 NSOOBA-KYEBANDO-24h'!N101,'03.08 KYEBANDO-NSOOBA-24h'!N101)</f>
        <v>0</v>
      </c>
      <c r="O101" s="15">
        <f t="shared" si="35"/>
        <v>13</v>
      </c>
      <c r="P101" s="15">
        <f t="shared" si="36"/>
        <v>20.5</v>
      </c>
      <c r="R101" s="8"/>
      <c r="T101"/>
    </row>
    <row r="102" spans="2:20" ht="23.1" customHeight="1" x14ac:dyDescent="0.25">
      <c r="B102" s="24" t="s">
        <v>142</v>
      </c>
      <c r="C102" s="49">
        <f>AVERAGE('01.08 NSOOBA-KYEBANDO-24h'!C102,'03.08 KYEBANDO-NSOOBA-24h'!C102)</f>
        <v>22.5</v>
      </c>
      <c r="D102" s="49">
        <f>AVERAGE('01.08 NSOOBA-KYEBANDO-24h'!D102,'03.08 KYEBANDO-NSOOBA-24h'!D102)</f>
        <v>2.5</v>
      </c>
      <c r="E102" s="49">
        <f>AVERAGE('01.08 NSOOBA-KYEBANDO-24h'!E102,'03.08 KYEBANDO-NSOOBA-24h'!E102)</f>
        <v>0.5</v>
      </c>
      <c r="F102" s="49">
        <f>AVERAGE('01.08 NSOOBA-KYEBANDO-24h'!F102,'03.08 KYEBANDO-NSOOBA-24h'!F102)</f>
        <v>2.5</v>
      </c>
      <c r="G102" s="49">
        <f>AVERAGE('01.08 NSOOBA-KYEBANDO-24h'!G102,'03.08 KYEBANDO-NSOOBA-24h'!G102)</f>
        <v>0</v>
      </c>
      <c r="H102" s="49">
        <f>AVERAGE('01.08 NSOOBA-KYEBANDO-24h'!H102,'03.08 KYEBANDO-NSOOBA-24h'!H102)</f>
        <v>0</v>
      </c>
      <c r="I102" s="49">
        <f>AVERAGE('01.08 NSOOBA-KYEBANDO-24h'!I102,'03.08 KYEBANDO-NSOOBA-24h'!I102)</f>
        <v>2</v>
      </c>
      <c r="J102" s="49">
        <f>AVERAGE('01.08 NSOOBA-KYEBANDO-24h'!J102,'03.08 KYEBANDO-NSOOBA-24h'!J102)</f>
        <v>0</v>
      </c>
      <c r="K102" s="49">
        <f>AVERAGE('01.08 NSOOBA-KYEBANDO-24h'!K102,'03.08 KYEBANDO-NSOOBA-24h'!K102)</f>
        <v>0</v>
      </c>
      <c r="L102" s="49">
        <f>AVERAGE('01.08 NSOOBA-KYEBANDO-24h'!L102,'03.08 KYEBANDO-NSOOBA-24h'!L102)</f>
        <v>0</v>
      </c>
      <c r="M102" s="49">
        <f>AVERAGE('01.08 NSOOBA-KYEBANDO-24h'!M102,'03.08 KYEBANDO-NSOOBA-24h'!M102)</f>
        <v>11.5</v>
      </c>
      <c r="N102" s="49">
        <f>AVERAGE('01.08 NSOOBA-KYEBANDO-24h'!N102,'03.08 KYEBANDO-NSOOBA-24h'!N102)</f>
        <v>0</v>
      </c>
      <c r="O102" s="15">
        <f t="shared" si="35"/>
        <v>30</v>
      </c>
      <c r="P102" s="15">
        <f t="shared" si="36"/>
        <v>41.5</v>
      </c>
      <c r="R102" s="8"/>
      <c r="T102"/>
    </row>
    <row r="103" spans="2:20" ht="23.1" customHeight="1" x14ac:dyDescent="0.25">
      <c r="B103" s="23" t="s">
        <v>143</v>
      </c>
      <c r="C103" s="49">
        <f>AVERAGE('01.08 NSOOBA-KYEBANDO-24h'!C103,'03.08 KYEBANDO-NSOOBA-24h'!C103)</f>
        <v>26</v>
      </c>
      <c r="D103" s="49">
        <f>AVERAGE('01.08 NSOOBA-KYEBANDO-24h'!D103,'03.08 KYEBANDO-NSOOBA-24h'!D103)</f>
        <v>6</v>
      </c>
      <c r="E103" s="49">
        <f>AVERAGE('01.08 NSOOBA-KYEBANDO-24h'!E103,'03.08 KYEBANDO-NSOOBA-24h'!E103)</f>
        <v>3</v>
      </c>
      <c r="F103" s="49">
        <f>AVERAGE('01.08 NSOOBA-KYEBANDO-24h'!F103,'03.08 KYEBANDO-NSOOBA-24h'!F103)</f>
        <v>13</v>
      </c>
      <c r="G103" s="49">
        <f>AVERAGE('01.08 NSOOBA-KYEBANDO-24h'!G103,'03.08 KYEBANDO-NSOOBA-24h'!G103)</f>
        <v>0</v>
      </c>
      <c r="H103" s="49">
        <f>AVERAGE('01.08 NSOOBA-KYEBANDO-24h'!H103,'03.08 KYEBANDO-NSOOBA-24h'!H103)</f>
        <v>2</v>
      </c>
      <c r="I103" s="49">
        <f>AVERAGE('01.08 NSOOBA-KYEBANDO-24h'!I103,'03.08 KYEBANDO-NSOOBA-24h'!I103)</f>
        <v>0</v>
      </c>
      <c r="J103" s="49">
        <f>AVERAGE('01.08 NSOOBA-KYEBANDO-24h'!J103,'03.08 KYEBANDO-NSOOBA-24h'!J103)</f>
        <v>0</v>
      </c>
      <c r="K103" s="49">
        <f>AVERAGE('01.08 NSOOBA-KYEBANDO-24h'!K103,'03.08 KYEBANDO-NSOOBA-24h'!K103)</f>
        <v>0</v>
      </c>
      <c r="L103" s="49">
        <f>AVERAGE('01.08 NSOOBA-KYEBANDO-24h'!L103,'03.08 KYEBANDO-NSOOBA-24h'!L103)</f>
        <v>0</v>
      </c>
      <c r="M103" s="49">
        <f>AVERAGE('01.08 NSOOBA-KYEBANDO-24h'!M103,'03.08 KYEBANDO-NSOOBA-24h'!M103)</f>
        <v>14.5</v>
      </c>
      <c r="N103" s="49">
        <f>AVERAGE('01.08 NSOOBA-KYEBANDO-24h'!N103,'03.08 KYEBANDO-NSOOBA-24h'!N103)</f>
        <v>0</v>
      </c>
      <c r="O103" s="15">
        <f t="shared" si="35"/>
        <v>50</v>
      </c>
      <c r="P103" s="15">
        <f t="shared" si="36"/>
        <v>64.5</v>
      </c>
      <c r="R103" s="8"/>
      <c r="T103"/>
    </row>
    <row r="104" spans="2:20" ht="23.1" customHeight="1" x14ac:dyDescent="0.25">
      <c r="B104" s="25" t="s">
        <v>144</v>
      </c>
      <c r="C104" s="49">
        <f>AVERAGE('01.08 NSOOBA-KYEBANDO-24h'!C104,'03.08 KYEBANDO-NSOOBA-24h'!C104)</f>
        <v>49.5</v>
      </c>
      <c r="D104" s="49">
        <f>AVERAGE('01.08 NSOOBA-KYEBANDO-24h'!D104,'03.08 KYEBANDO-NSOOBA-24h'!D104)</f>
        <v>5</v>
      </c>
      <c r="E104" s="49">
        <f>AVERAGE('01.08 NSOOBA-KYEBANDO-24h'!E104,'03.08 KYEBANDO-NSOOBA-24h'!E104)</f>
        <v>3</v>
      </c>
      <c r="F104" s="49">
        <f>AVERAGE('01.08 NSOOBA-KYEBANDO-24h'!F104,'03.08 KYEBANDO-NSOOBA-24h'!F104)</f>
        <v>27.5</v>
      </c>
      <c r="G104" s="49">
        <f>AVERAGE('01.08 NSOOBA-KYEBANDO-24h'!G104,'03.08 KYEBANDO-NSOOBA-24h'!G104)</f>
        <v>0</v>
      </c>
      <c r="H104" s="49">
        <f>AVERAGE('01.08 NSOOBA-KYEBANDO-24h'!H104,'03.08 KYEBANDO-NSOOBA-24h'!H104)</f>
        <v>0</v>
      </c>
      <c r="I104" s="49">
        <f>AVERAGE('01.08 NSOOBA-KYEBANDO-24h'!I104,'03.08 KYEBANDO-NSOOBA-24h'!I104)</f>
        <v>3.5</v>
      </c>
      <c r="J104" s="49">
        <f>AVERAGE('01.08 NSOOBA-KYEBANDO-24h'!J104,'03.08 KYEBANDO-NSOOBA-24h'!J104)</f>
        <v>0.5</v>
      </c>
      <c r="K104" s="49">
        <f>AVERAGE('01.08 NSOOBA-KYEBANDO-24h'!K104,'03.08 KYEBANDO-NSOOBA-24h'!K104)</f>
        <v>0</v>
      </c>
      <c r="L104" s="49">
        <f>AVERAGE('01.08 NSOOBA-KYEBANDO-24h'!L104,'03.08 KYEBANDO-NSOOBA-24h'!L104)</f>
        <v>0</v>
      </c>
      <c r="M104" s="49">
        <f>AVERAGE('01.08 NSOOBA-KYEBANDO-24h'!M104,'03.08 KYEBANDO-NSOOBA-24h'!M104)</f>
        <v>26.5</v>
      </c>
      <c r="N104" s="49">
        <f>AVERAGE('01.08 NSOOBA-KYEBANDO-24h'!N104,'03.08 KYEBANDO-NSOOBA-24h'!N104)</f>
        <v>0</v>
      </c>
      <c r="O104" s="15">
        <f t="shared" si="35"/>
        <v>89</v>
      </c>
      <c r="P104" s="15">
        <f t="shared" si="36"/>
        <v>115.5</v>
      </c>
      <c r="R104" s="8"/>
      <c r="T104"/>
    </row>
    <row r="105" spans="2:20" ht="23.1" customHeight="1" x14ac:dyDescent="0.25">
      <c r="B105" s="23" t="s">
        <v>145</v>
      </c>
      <c r="C105" s="49">
        <f>AVERAGE('01.08 NSOOBA-KYEBANDO-24h'!C105,'03.08 KYEBANDO-NSOOBA-24h'!C105)</f>
        <v>60</v>
      </c>
      <c r="D105" s="49">
        <f>AVERAGE('01.08 NSOOBA-KYEBANDO-24h'!D105,'03.08 KYEBANDO-NSOOBA-24h'!D105)</f>
        <v>2</v>
      </c>
      <c r="E105" s="49">
        <f>AVERAGE('01.08 NSOOBA-KYEBANDO-24h'!E105,'03.08 KYEBANDO-NSOOBA-24h'!E105)</f>
        <v>3</v>
      </c>
      <c r="F105" s="49">
        <f>AVERAGE('01.08 NSOOBA-KYEBANDO-24h'!F105,'03.08 KYEBANDO-NSOOBA-24h'!F105)</f>
        <v>15.5</v>
      </c>
      <c r="G105" s="49">
        <f>AVERAGE('01.08 NSOOBA-KYEBANDO-24h'!G105,'03.08 KYEBANDO-NSOOBA-24h'!G105)</f>
        <v>0</v>
      </c>
      <c r="H105" s="49">
        <f>AVERAGE('01.08 NSOOBA-KYEBANDO-24h'!H105,'03.08 KYEBANDO-NSOOBA-24h'!H105)</f>
        <v>0</v>
      </c>
      <c r="I105" s="49">
        <f>AVERAGE('01.08 NSOOBA-KYEBANDO-24h'!I105,'03.08 KYEBANDO-NSOOBA-24h'!I105)</f>
        <v>0.5</v>
      </c>
      <c r="J105" s="49">
        <f>AVERAGE('01.08 NSOOBA-KYEBANDO-24h'!J105,'03.08 KYEBANDO-NSOOBA-24h'!J105)</f>
        <v>0</v>
      </c>
      <c r="K105" s="49">
        <f>AVERAGE('01.08 NSOOBA-KYEBANDO-24h'!K105,'03.08 KYEBANDO-NSOOBA-24h'!K105)</f>
        <v>0</v>
      </c>
      <c r="L105" s="49">
        <f>AVERAGE('01.08 NSOOBA-KYEBANDO-24h'!L105,'03.08 KYEBANDO-NSOOBA-24h'!L105)</f>
        <v>0</v>
      </c>
      <c r="M105" s="49">
        <f>AVERAGE('01.08 NSOOBA-KYEBANDO-24h'!M105,'03.08 KYEBANDO-NSOOBA-24h'!M105)</f>
        <v>61</v>
      </c>
      <c r="N105" s="49">
        <f>AVERAGE('01.08 NSOOBA-KYEBANDO-24h'!N105,'03.08 KYEBANDO-NSOOBA-24h'!N105)</f>
        <v>0</v>
      </c>
      <c r="O105" s="15">
        <f t="shared" si="35"/>
        <v>81</v>
      </c>
      <c r="P105" s="15">
        <f t="shared" si="36"/>
        <v>142</v>
      </c>
      <c r="R105" s="8"/>
      <c r="T105"/>
    </row>
    <row r="106" spans="2:20" ht="23.1" customHeight="1" x14ac:dyDescent="0.25">
      <c r="B106" s="26" t="s">
        <v>18</v>
      </c>
      <c r="C106" s="16">
        <f t="shared" ref="C106:P106" si="37">SUM(C10:C57)</f>
        <v>1410.0000000000002</v>
      </c>
      <c r="D106" s="16">
        <f t="shared" si="37"/>
        <v>315.28571428571428</v>
      </c>
      <c r="E106" s="16">
        <f t="shared" si="37"/>
        <v>157.42857142857144</v>
      </c>
      <c r="F106" s="16">
        <f t="shared" si="37"/>
        <v>560</v>
      </c>
      <c r="G106" s="16">
        <f t="shared" si="37"/>
        <v>12.142857142857144</v>
      </c>
      <c r="H106" s="16">
        <f t="shared" si="37"/>
        <v>1.2857142857142854</v>
      </c>
      <c r="I106" s="16">
        <f t="shared" si="37"/>
        <v>174.00000000000009</v>
      </c>
      <c r="J106" s="16">
        <f t="shared" si="37"/>
        <v>20.000000000000004</v>
      </c>
      <c r="K106" s="16">
        <f t="shared" si="37"/>
        <v>13.000000000000007</v>
      </c>
      <c r="L106" s="16">
        <f t="shared" si="37"/>
        <v>0.99999999999999989</v>
      </c>
      <c r="M106" s="16">
        <f t="shared" si="37"/>
        <v>3123.2857142857133</v>
      </c>
      <c r="N106" s="16">
        <f t="shared" si="37"/>
        <v>0.42857142857142855</v>
      </c>
      <c r="O106" s="16">
        <f t="shared" si="37"/>
        <v>2664.571428571428</v>
      </c>
      <c r="P106" s="16">
        <f t="shared" si="37"/>
        <v>5787.8571428571431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0.24361347649018886</v>
      </c>
      <c r="D107" s="43">
        <f t="shared" si="38"/>
        <v>5.4473651733925703E-2</v>
      </c>
      <c r="E107" s="43">
        <f t="shared" si="38"/>
        <v>2.7199802542268298E-2</v>
      </c>
      <c r="F107" s="43">
        <f t="shared" si="38"/>
        <v>9.675428853511045E-2</v>
      </c>
      <c r="G107" s="43">
        <f t="shared" si="38"/>
        <v>2.0979883993582625E-3</v>
      </c>
      <c r="H107" s="43">
        <f t="shared" si="38"/>
        <v>2.2213994816734536E-4</v>
      </c>
      <c r="I107" s="43">
        <f t="shared" si="38"/>
        <v>3.0062939651980761E-2</v>
      </c>
      <c r="J107" s="43">
        <f t="shared" si="38"/>
        <v>3.4555103048253739E-3</v>
      </c>
      <c r="K107" s="43">
        <f t="shared" si="38"/>
        <v>2.246081698136494E-3</v>
      </c>
      <c r="L107" s="43">
        <f t="shared" si="38"/>
        <v>1.7277551524126863E-4</v>
      </c>
      <c r="M107" s="43">
        <f t="shared" si="38"/>
        <v>0.5396272985314079</v>
      </c>
      <c r="N107" s="43">
        <f t="shared" si="38"/>
        <v>7.4046649389115129E-5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0.52916577310744173</v>
      </c>
      <c r="D108" s="44">
        <f t="shared" ref="D108:N108" si="39">D106/$O$106</f>
        <v>0.11832511258846239</v>
      </c>
      <c r="E108" s="44">
        <f t="shared" si="39"/>
        <v>5.9082135963971709E-2</v>
      </c>
      <c r="F108" s="44">
        <f t="shared" si="39"/>
        <v>0.21016512974479953</v>
      </c>
      <c r="G108" s="44">
        <f t="shared" si="39"/>
        <v>4.5571520480377457E-3</v>
      </c>
      <c r="H108" s="44">
        <f t="shared" si="39"/>
        <v>4.8252198155693759E-4</v>
      </c>
      <c r="I108" s="44">
        <f t="shared" si="39"/>
        <v>6.5301308170705605E-2</v>
      </c>
      <c r="J108" s="44">
        <f t="shared" si="39"/>
        <v>7.5058974908856985E-3</v>
      </c>
      <c r="K108" s="44">
        <f t="shared" si="39"/>
        <v>4.8788333690757057E-3</v>
      </c>
      <c r="L108" s="44">
        <f t="shared" si="39"/>
        <v>3.7529487454428484E-4</v>
      </c>
      <c r="M108" s="44"/>
      <c r="N108" s="44">
        <f t="shared" si="39"/>
        <v>1.6084066051897923E-4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Q49" zoomScale="60" workbookViewId="0">
      <selection activeCell="W78" sqref="W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'04.08.Kyebando-Nsooba'!C3:G3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163</v>
      </c>
      <c r="E5" s="73"/>
      <c r="F5" s="41" t="s">
        <v>1</v>
      </c>
      <c r="G5" s="70">
        <f>'04.08.Kyebando-Nsooba'!G5:H5</f>
        <v>29</v>
      </c>
      <c r="H5" s="71"/>
      <c r="I5" s="14"/>
      <c r="J5" s="2" t="s">
        <v>5</v>
      </c>
      <c r="K5" s="70" t="str">
        <f>'04.08.Kyebando-Nsooba'!K5:L5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0" t="str">
        <f>'04.08.Kyebando-Nsooba'!D6:E6</f>
        <v>KYEBANDO</v>
      </c>
      <c r="E6" s="71"/>
      <c r="F6" s="2" t="s">
        <v>2</v>
      </c>
      <c r="G6" s="70" t="str">
        <f>'04.08.Kyebando-Nsooba'!G6:H6</f>
        <v>NSOOBA</v>
      </c>
      <c r="H6" s="71"/>
      <c r="J6" s="2" t="s">
        <v>21</v>
      </c>
      <c r="K6" s="70" t="str">
        <f>'04.08.Kyebando-Nsooba'!K6:L6</f>
        <v>EMMA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KYEBANDO-NSOOBA'!C10,'30.07 KYEBANDO-NSOOBA'!C10,'31.08 KYEBANDO-NSOOBA'!C10,'02.08 KYEBANDO-NSOOBA'!C10,'01.08 KYEBANDO-NSOOBA-24h'!C10,'03.08 KYEBANDO-NSOOBA-24h'!C10,'04.08.Kyebando-Nsooba'!C10)</f>
        <v>21.714285714285715</v>
      </c>
      <c r="D10" s="49">
        <f>AVERAGE('29.07 KYEBANDO-NSOOBA'!D10,'30.07 KYEBANDO-NSOOBA'!D10,'31.08 KYEBANDO-NSOOBA'!D10,'02.08 KYEBANDO-NSOOBA'!D10,'01.08 KYEBANDO-NSOOBA-24h'!D10,'03.08 KYEBANDO-NSOOBA-24h'!D10,'04.08.Kyebando-Nsooba'!D10)</f>
        <v>3.2857142857142856</v>
      </c>
      <c r="E10" s="49">
        <f>AVERAGE('29.07 KYEBANDO-NSOOBA'!E10,'30.07 KYEBANDO-NSOOBA'!E10,'31.08 KYEBANDO-NSOOBA'!E10,'02.08 KYEBANDO-NSOOBA'!E10,'01.08 KYEBANDO-NSOOBA-24h'!E10,'03.08 KYEBANDO-NSOOBA-24h'!E10,'04.08.Kyebando-Nsooba'!E10)</f>
        <v>5</v>
      </c>
      <c r="F10" s="49">
        <f>AVERAGE('29.07 KYEBANDO-NSOOBA'!F10,'30.07 KYEBANDO-NSOOBA'!F10,'31.08 KYEBANDO-NSOOBA'!F10,'02.08 KYEBANDO-NSOOBA'!F10,'01.08 KYEBANDO-NSOOBA-24h'!F10,'03.08 KYEBANDO-NSOOBA-24h'!F10,'04.08.Kyebando-Nsooba'!F10)</f>
        <v>12.428571428571429</v>
      </c>
      <c r="G10" s="49">
        <f>AVERAGE('29.07 KYEBANDO-NSOOBA'!G10,'30.07 KYEBANDO-NSOOBA'!G10,'31.08 KYEBANDO-NSOOBA'!G10,'02.08 KYEBANDO-NSOOBA'!G10,'01.08 KYEBANDO-NSOOBA-24h'!G10,'03.08 KYEBANDO-NSOOBA-24h'!G10,'04.08.Kyebando-Nsooba'!G10)</f>
        <v>0.8571428571428571</v>
      </c>
      <c r="H10" s="49">
        <f>AVERAGE('29.07 KYEBANDO-NSOOBA'!H10,'30.07 KYEBANDO-NSOOBA'!H10,'31.08 KYEBANDO-NSOOBA'!H10,'02.08 KYEBANDO-NSOOBA'!H10,'01.08 KYEBANDO-NSOOBA-24h'!H10,'03.08 KYEBANDO-NSOOBA-24h'!H10,'04.08.Kyebando-Nsooba'!H10)</f>
        <v>0</v>
      </c>
      <c r="I10" s="49">
        <f>AVERAGE('29.07 KYEBANDO-NSOOBA'!I10,'30.07 KYEBANDO-NSOOBA'!I10,'31.08 KYEBANDO-NSOOBA'!I10,'02.08 KYEBANDO-NSOOBA'!I10,'01.08 KYEBANDO-NSOOBA-24h'!I10,'03.08 KYEBANDO-NSOOBA-24h'!I10,'04.08.Kyebando-Nsooba'!I10)</f>
        <v>2.7142857142857144</v>
      </c>
      <c r="J10" s="49">
        <f>AVERAGE('29.07 KYEBANDO-NSOOBA'!J10,'30.07 KYEBANDO-NSOOBA'!J10,'31.08 KYEBANDO-NSOOBA'!J10,'02.08 KYEBANDO-NSOOBA'!J10,'01.08 KYEBANDO-NSOOBA-24h'!J10,'03.08 KYEBANDO-NSOOBA-24h'!J10,'04.08.Kyebando-Nsooba'!J10)</f>
        <v>0.7142857142857143</v>
      </c>
      <c r="K10" s="49">
        <f>AVERAGE('29.07 KYEBANDO-NSOOBA'!K10,'30.07 KYEBANDO-NSOOBA'!K10,'31.08 KYEBANDO-NSOOBA'!K10,'02.08 KYEBANDO-NSOOBA'!K10,'01.08 KYEBANDO-NSOOBA-24h'!K10,'03.08 KYEBANDO-NSOOBA-24h'!K10,'04.08.Kyebando-Nsooba'!K10)</f>
        <v>0</v>
      </c>
      <c r="L10" s="49">
        <f>AVERAGE('29.07 KYEBANDO-NSOOBA'!L10,'30.07 KYEBANDO-NSOOBA'!L10,'31.08 KYEBANDO-NSOOBA'!L10,'02.08 KYEBANDO-NSOOBA'!L10,'01.08 KYEBANDO-NSOOBA-24h'!L10,'03.08 KYEBANDO-NSOOBA-24h'!L10,'04.08.Kyebando-Nsooba'!L10)</f>
        <v>0.14285714285714285</v>
      </c>
      <c r="M10" s="49">
        <f>AVERAGE('29.07 KYEBANDO-NSOOBA'!M10,'30.07 KYEBANDO-NSOOBA'!M10,'31.08 KYEBANDO-NSOOBA'!M10,'02.08 KYEBANDO-NSOOBA'!M10,'01.08 KYEBANDO-NSOOBA-24h'!M10,'03.08 KYEBANDO-NSOOBA-24h'!M10,'04.08.Kyebando-Nsooba'!M10)</f>
        <v>45.285714285714285</v>
      </c>
      <c r="N10" s="49">
        <f>AVERAGE('29.07 KYEBANDO-NSOOBA'!N10,'30.07 KYEBANDO-NSOOBA'!N10,'31.08 KYEBANDO-NSOOBA'!N10,'02.08 KYEBANDO-NSOOBA'!N10,'01.08 KYEBANDO-NSOOBA-24h'!N10,'03.08 KYEBANDO-NSOOBA-24h'!N10,'04.08.Kyebando-Nsooba'!N10)</f>
        <v>0</v>
      </c>
      <c r="O10" s="15">
        <f t="shared" ref="O10:O73" si="0">SUM(C10:L10,N10)</f>
        <v>46.857142857142861</v>
      </c>
      <c r="P10" s="15">
        <f t="shared" ref="P10:P73" si="1">SUM(C10:N10)</f>
        <v>92.142857142857139</v>
      </c>
      <c r="R10" s="1" t="s">
        <v>6</v>
      </c>
      <c r="S10" s="17">
        <f t="shared" ref="S10:AF10" si="2">SUM(C10:C13)</f>
        <v>77.142857142857139</v>
      </c>
      <c r="T10" s="17">
        <f t="shared" si="2"/>
        <v>15.285714285714285</v>
      </c>
      <c r="U10" s="17">
        <f t="shared" si="2"/>
        <v>12.857142857142858</v>
      </c>
      <c r="V10" s="17">
        <f t="shared" si="2"/>
        <v>66.571428571428584</v>
      </c>
      <c r="W10" s="17">
        <f t="shared" si="2"/>
        <v>2</v>
      </c>
      <c r="X10" s="17">
        <f t="shared" si="2"/>
        <v>0.14285714285714285</v>
      </c>
      <c r="Y10" s="17">
        <f t="shared" si="2"/>
        <v>9.428571428571427</v>
      </c>
      <c r="Z10" s="17">
        <f t="shared" si="2"/>
        <v>2.7142857142857144</v>
      </c>
      <c r="AA10" s="17">
        <f t="shared" si="2"/>
        <v>0.42857142857142855</v>
      </c>
      <c r="AB10" s="17">
        <f t="shared" si="2"/>
        <v>0.2857142857142857</v>
      </c>
      <c r="AC10" s="17">
        <f t="shared" si="2"/>
        <v>260.57142857142856</v>
      </c>
      <c r="AD10" s="17">
        <f t="shared" si="2"/>
        <v>0</v>
      </c>
      <c r="AE10" s="31">
        <f t="shared" si="2"/>
        <v>186.85714285714289</v>
      </c>
      <c r="AF10" s="31">
        <f t="shared" si="2"/>
        <v>447.42857142857144</v>
      </c>
    </row>
    <row r="11" spans="2:32" s="6" customFormat="1" ht="23.1" customHeight="1" x14ac:dyDescent="0.25">
      <c r="B11" s="23" t="s">
        <v>38</v>
      </c>
      <c r="C11" s="49">
        <f>AVERAGE('29.07 KYEBANDO-NSOOBA'!C11,'30.07 KYEBANDO-NSOOBA'!C11,'31.08 KYEBANDO-NSOOBA'!C11,'02.08 KYEBANDO-NSOOBA'!C11,'01.08 KYEBANDO-NSOOBA-24h'!C11,'03.08 KYEBANDO-NSOOBA-24h'!C11,'04.08.Kyebando-Nsooba'!C11)</f>
        <v>13.857142857142858</v>
      </c>
      <c r="D11" s="49">
        <f>AVERAGE('29.07 KYEBANDO-NSOOBA'!D11,'30.07 KYEBANDO-NSOOBA'!D11,'31.08 KYEBANDO-NSOOBA'!D11,'02.08 KYEBANDO-NSOOBA'!D11,'01.08 KYEBANDO-NSOOBA-24h'!D11,'03.08 KYEBANDO-NSOOBA-24h'!D11,'04.08.Kyebando-Nsooba'!D11)</f>
        <v>2.4285714285714284</v>
      </c>
      <c r="E11" s="49">
        <f>AVERAGE('29.07 KYEBANDO-NSOOBA'!E11,'30.07 KYEBANDO-NSOOBA'!E11,'31.08 KYEBANDO-NSOOBA'!E11,'02.08 KYEBANDO-NSOOBA'!E11,'01.08 KYEBANDO-NSOOBA-24h'!E11,'03.08 KYEBANDO-NSOOBA-24h'!E11,'04.08.Kyebando-Nsooba'!E11)</f>
        <v>2.1428571428571428</v>
      </c>
      <c r="F11" s="49">
        <f>AVERAGE('29.07 KYEBANDO-NSOOBA'!F11,'30.07 KYEBANDO-NSOOBA'!F11,'31.08 KYEBANDO-NSOOBA'!F11,'02.08 KYEBANDO-NSOOBA'!F11,'01.08 KYEBANDO-NSOOBA-24h'!F11,'03.08 KYEBANDO-NSOOBA-24h'!F11,'04.08.Kyebando-Nsooba'!F11)</f>
        <v>18</v>
      </c>
      <c r="G11" s="49">
        <f>AVERAGE('29.07 KYEBANDO-NSOOBA'!G11,'30.07 KYEBANDO-NSOOBA'!G11,'31.08 KYEBANDO-NSOOBA'!G11,'02.08 KYEBANDO-NSOOBA'!G11,'01.08 KYEBANDO-NSOOBA-24h'!G11,'03.08 KYEBANDO-NSOOBA-24h'!G11,'04.08.Kyebando-Nsooba'!G11)</f>
        <v>0.14285714285714285</v>
      </c>
      <c r="H11" s="49">
        <f>AVERAGE('29.07 KYEBANDO-NSOOBA'!H11,'30.07 KYEBANDO-NSOOBA'!H11,'31.08 KYEBANDO-NSOOBA'!H11,'02.08 KYEBANDO-NSOOBA'!H11,'01.08 KYEBANDO-NSOOBA-24h'!H11,'03.08 KYEBANDO-NSOOBA-24h'!H11,'04.08.Kyebando-Nsooba'!H11)</f>
        <v>0</v>
      </c>
      <c r="I11" s="49">
        <f>AVERAGE('29.07 KYEBANDO-NSOOBA'!I11,'30.07 KYEBANDO-NSOOBA'!I11,'31.08 KYEBANDO-NSOOBA'!I11,'02.08 KYEBANDO-NSOOBA'!I11,'01.08 KYEBANDO-NSOOBA-24h'!I11,'03.08 KYEBANDO-NSOOBA-24h'!I11,'04.08.Kyebando-Nsooba'!I11)</f>
        <v>2</v>
      </c>
      <c r="J11" s="49">
        <f>AVERAGE('29.07 KYEBANDO-NSOOBA'!J11,'30.07 KYEBANDO-NSOOBA'!J11,'31.08 KYEBANDO-NSOOBA'!J11,'02.08 KYEBANDO-NSOOBA'!J11,'01.08 KYEBANDO-NSOOBA-24h'!J11,'03.08 KYEBANDO-NSOOBA-24h'!J11,'04.08.Kyebando-Nsooba'!J11)</f>
        <v>1</v>
      </c>
      <c r="K11" s="49">
        <f>AVERAGE('29.07 KYEBANDO-NSOOBA'!K11,'30.07 KYEBANDO-NSOOBA'!K11,'31.08 KYEBANDO-NSOOBA'!K11,'02.08 KYEBANDO-NSOOBA'!K11,'01.08 KYEBANDO-NSOOBA-24h'!K11,'03.08 KYEBANDO-NSOOBA-24h'!K11,'04.08.Kyebando-Nsooba'!K11)</f>
        <v>0.14285714285714285</v>
      </c>
      <c r="L11" s="49">
        <f>AVERAGE('29.07 KYEBANDO-NSOOBA'!L11,'30.07 KYEBANDO-NSOOBA'!L11,'31.08 KYEBANDO-NSOOBA'!L11,'02.08 KYEBANDO-NSOOBA'!L11,'01.08 KYEBANDO-NSOOBA-24h'!L11,'03.08 KYEBANDO-NSOOBA-24h'!L11,'04.08.Kyebando-Nsooba'!L11)</f>
        <v>0</v>
      </c>
      <c r="M11" s="49">
        <f>AVERAGE('29.07 KYEBANDO-NSOOBA'!M11,'30.07 KYEBANDO-NSOOBA'!M11,'31.08 KYEBANDO-NSOOBA'!M11,'02.08 KYEBANDO-NSOOBA'!M11,'01.08 KYEBANDO-NSOOBA-24h'!M11,'03.08 KYEBANDO-NSOOBA-24h'!M11,'04.08.Kyebando-Nsooba'!M11)</f>
        <v>51.857142857142854</v>
      </c>
      <c r="N11" s="49">
        <f>AVERAGE('29.07 KYEBANDO-NSOOBA'!N11,'30.07 KYEBANDO-NSOOBA'!N11,'31.08 KYEBANDO-NSOOBA'!N11,'02.08 KYEBANDO-NSOOBA'!N11,'01.08 KYEBANDO-NSOOBA-24h'!N11,'03.08 KYEBANDO-NSOOBA-24h'!N11,'04.08.Kyebando-Nsooba'!N11)</f>
        <v>0</v>
      </c>
      <c r="O11" s="15">
        <f t="shared" si="0"/>
        <v>39.714285714285722</v>
      </c>
      <c r="P11" s="15">
        <f t="shared" si="1"/>
        <v>91.571428571428584</v>
      </c>
      <c r="R11" s="1" t="s">
        <v>7</v>
      </c>
      <c r="S11" s="17">
        <f t="shared" ref="S11:AF11" si="3">SUM(C14:C17)</f>
        <v>81.857142857142847</v>
      </c>
      <c r="T11" s="17">
        <f t="shared" si="3"/>
        <v>21.571428571428569</v>
      </c>
      <c r="U11" s="17">
        <f t="shared" si="3"/>
        <v>14.857142857142858</v>
      </c>
      <c r="V11" s="17">
        <f t="shared" si="3"/>
        <v>62.714285714285722</v>
      </c>
      <c r="W11" s="17">
        <f t="shared" si="3"/>
        <v>2.1428571428571428</v>
      </c>
      <c r="X11" s="17">
        <f t="shared" si="3"/>
        <v>0</v>
      </c>
      <c r="Y11" s="17">
        <f t="shared" si="3"/>
        <v>12.142857142857142</v>
      </c>
      <c r="Z11" s="17">
        <f t="shared" si="3"/>
        <v>3.1428571428571428</v>
      </c>
      <c r="AA11" s="17">
        <f t="shared" si="3"/>
        <v>1.1428571428571428</v>
      </c>
      <c r="AB11" s="17">
        <f t="shared" si="3"/>
        <v>0.2857142857142857</v>
      </c>
      <c r="AC11" s="17">
        <f t="shared" si="3"/>
        <v>349.85714285714289</v>
      </c>
      <c r="AD11" s="17">
        <f t="shared" si="3"/>
        <v>0</v>
      </c>
      <c r="AE11" s="31">
        <f t="shared" si="3"/>
        <v>199.85714285714286</v>
      </c>
      <c r="AF11" s="31">
        <f t="shared" si="3"/>
        <v>549.71428571428567</v>
      </c>
    </row>
    <row r="12" spans="2:32" ht="23.1" customHeight="1" x14ac:dyDescent="0.25">
      <c r="B12" s="23" t="s">
        <v>39</v>
      </c>
      <c r="C12" s="49">
        <f>AVERAGE('29.07 KYEBANDO-NSOOBA'!C12,'30.07 KYEBANDO-NSOOBA'!C12,'31.08 KYEBANDO-NSOOBA'!C12,'02.08 KYEBANDO-NSOOBA'!C12,'01.08 KYEBANDO-NSOOBA-24h'!C12,'03.08 KYEBANDO-NSOOBA-24h'!C12,'04.08.Kyebando-Nsooba'!C12)</f>
        <v>18.714285714285715</v>
      </c>
      <c r="D12" s="49">
        <f>AVERAGE('29.07 KYEBANDO-NSOOBA'!D12,'30.07 KYEBANDO-NSOOBA'!D12,'31.08 KYEBANDO-NSOOBA'!D12,'02.08 KYEBANDO-NSOOBA'!D12,'01.08 KYEBANDO-NSOOBA-24h'!D12,'03.08 KYEBANDO-NSOOBA-24h'!D12,'04.08.Kyebando-Nsooba'!D12)</f>
        <v>4.4285714285714288</v>
      </c>
      <c r="E12" s="49">
        <f>AVERAGE('29.07 KYEBANDO-NSOOBA'!E12,'30.07 KYEBANDO-NSOOBA'!E12,'31.08 KYEBANDO-NSOOBA'!E12,'02.08 KYEBANDO-NSOOBA'!E12,'01.08 KYEBANDO-NSOOBA-24h'!E12,'03.08 KYEBANDO-NSOOBA-24h'!E12,'04.08.Kyebando-Nsooba'!E12)</f>
        <v>2.8571428571428572</v>
      </c>
      <c r="F12" s="49">
        <f>AVERAGE('29.07 KYEBANDO-NSOOBA'!F12,'30.07 KYEBANDO-NSOOBA'!F12,'31.08 KYEBANDO-NSOOBA'!F12,'02.08 KYEBANDO-NSOOBA'!F12,'01.08 KYEBANDO-NSOOBA-24h'!F12,'03.08 KYEBANDO-NSOOBA-24h'!F12,'04.08.Kyebando-Nsooba'!F12)</f>
        <v>21.857142857142858</v>
      </c>
      <c r="G12" s="49">
        <f>AVERAGE('29.07 KYEBANDO-NSOOBA'!G12,'30.07 KYEBANDO-NSOOBA'!G12,'31.08 KYEBANDO-NSOOBA'!G12,'02.08 KYEBANDO-NSOOBA'!G12,'01.08 KYEBANDO-NSOOBA-24h'!G12,'03.08 KYEBANDO-NSOOBA-24h'!G12,'04.08.Kyebando-Nsooba'!G12)</f>
        <v>0.5714285714285714</v>
      </c>
      <c r="H12" s="49">
        <f>AVERAGE('29.07 KYEBANDO-NSOOBA'!H12,'30.07 KYEBANDO-NSOOBA'!H12,'31.08 KYEBANDO-NSOOBA'!H12,'02.08 KYEBANDO-NSOOBA'!H12,'01.08 KYEBANDO-NSOOBA-24h'!H12,'03.08 KYEBANDO-NSOOBA-24h'!H12,'04.08.Kyebando-Nsooba'!H12)</f>
        <v>0.14285714285714285</v>
      </c>
      <c r="I12" s="49">
        <f>AVERAGE('29.07 KYEBANDO-NSOOBA'!I12,'30.07 KYEBANDO-NSOOBA'!I12,'31.08 KYEBANDO-NSOOBA'!I12,'02.08 KYEBANDO-NSOOBA'!I12,'01.08 KYEBANDO-NSOOBA-24h'!I12,'03.08 KYEBANDO-NSOOBA-24h'!I12,'04.08.Kyebando-Nsooba'!I12)</f>
        <v>2.4285714285714284</v>
      </c>
      <c r="J12" s="49">
        <f>AVERAGE('29.07 KYEBANDO-NSOOBA'!J12,'30.07 KYEBANDO-NSOOBA'!J12,'31.08 KYEBANDO-NSOOBA'!J12,'02.08 KYEBANDO-NSOOBA'!J12,'01.08 KYEBANDO-NSOOBA-24h'!J12,'03.08 KYEBANDO-NSOOBA-24h'!J12,'04.08.Kyebando-Nsooba'!J12)</f>
        <v>0.14285714285714285</v>
      </c>
      <c r="K12" s="49">
        <f>AVERAGE('29.07 KYEBANDO-NSOOBA'!K12,'30.07 KYEBANDO-NSOOBA'!K12,'31.08 KYEBANDO-NSOOBA'!K12,'02.08 KYEBANDO-NSOOBA'!K12,'01.08 KYEBANDO-NSOOBA-24h'!K12,'03.08 KYEBANDO-NSOOBA-24h'!K12,'04.08.Kyebando-Nsooba'!K12)</f>
        <v>0</v>
      </c>
      <c r="L12" s="49">
        <f>AVERAGE('29.07 KYEBANDO-NSOOBA'!L12,'30.07 KYEBANDO-NSOOBA'!L12,'31.08 KYEBANDO-NSOOBA'!L12,'02.08 KYEBANDO-NSOOBA'!L12,'01.08 KYEBANDO-NSOOBA-24h'!L12,'03.08 KYEBANDO-NSOOBA-24h'!L12,'04.08.Kyebando-Nsooba'!L12)</f>
        <v>0.14285714285714285</v>
      </c>
      <c r="M12" s="49">
        <f>AVERAGE('29.07 KYEBANDO-NSOOBA'!M12,'30.07 KYEBANDO-NSOOBA'!M12,'31.08 KYEBANDO-NSOOBA'!M12,'02.08 KYEBANDO-NSOOBA'!M12,'01.08 KYEBANDO-NSOOBA-24h'!M12,'03.08 KYEBANDO-NSOOBA-24h'!M12,'04.08.Kyebando-Nsooba'!M12)</f>
        <v>78.857142857142861</v>
      </c>
      <c r="N12" s="49">
        <f>AVERAGE('29.07 KYEBANDO-NSOOBA'!N12,'30.07 KYEBANDO-NSOOBA'!N12,'31.08 KYEBANDO-NSOOBA'!N12,'02.08 KYEBANDO-NSOOBA'!N12,'01.08 KYEBANDO-NSOOBA-24h'!N12,'03.08 KYEBANDO-NSOOBA-24h'!N12,'04.08.Kyebando-Nsooba'!N12)</f>
        <v>0</v>
      </c>
      <c r="O12" s="15">
        <f t="shared" si="0"/>
        <v>51.285714285714299</v>
      </c>
      <c r="P12" s="15">
        <f t="shared" si="1"/>
        <v>130.14285714285717</v>
      </c>
      <c r="R12" s="1" t="s">
        <v>8</v>
      </c>
      <c r="S12" s="17">
        <f t="shared" ref="S12:AF12" si="4">SUM(C18:C21)</f>
        <v>91.285714285714292</v>
      </c>
      <c r="T12" s="17">
        <f t="shared" si="4"/>
        <v>27.714285714285712</v>
      </c>
      <c r="U12" s="17">
        <f t="shared" si="4"/>
        <v>20</v>
      </c>
      <c r="V12" s="17">
        <f t="shared" si="4"/>
        <v>67</v>
      </c>
      <c r="W12" s="17">
        <f t="shared" si="4"/>
        <v>1.7142857142857142</v>
      </c>
      <c r="X12" s="17">
        <f t="shared" si="4"/>
        <v>0.2857142857142857</v>
      </c>
      <c r="Y12" s="17">
        <f t="shared" si="4"/>
        <v>23.428571428571431</v>
      </c>
      <c r="Z12" s="17">
        <f t="shared" si="4"/>
        <v>4.2857142857142856</v>
      </c>
      <c r="AA12" s="17">
        <f t="shared" si="4"/>
        <v>2.4285714285714284</v>
      </c>
      <c r="AB12" s="17">
        <f t="shared" si="4"/>
        <v>0.42857142857142855</v>
      </c>
      <c r="AC12" s="17">
        <f t="shared" si="4"/>
        <v>319.14285714285717</v>
      </c>
      <c r="AD12" s="17">
        <f t="shared" si="4"/>
        <v>0</v>
      </c>
      <c r="AE12" s="31">
        <f t="shared" si="4"/>
        <v>238.57142857142858</v>
      </c>
      <c r="AF12" s="31">
        <f t="shared" si="4"/>
        <v>557.71428571428578</v>
      </c>
    </row>
    <row r="13" spans="2:32" ht="23.1" customHeight="1" x14ac:dyDescent="0.25">
      <c r="B13" s="23" t="s">
        <v>40</v>
      </c>
      <c r="C13" s="49">
        <f>AVERAGE('29.07 KYEBANDO-NSOOBA'!C13,'30.07 KYEBANDO-NSOOBA'!C13,'31.08 KYEBANDO-NSOOBA'!C13,'02.08 KYEBANDO-NSOOBA'!C13,'01.08 KYEBANDO-NSOOBA-24h'!C13,'03.08 KYEBANDO-NSOOBA-24h'!C13,'04.08.Kyebando-Nsooba'!C13)</f>
        <v>22.857142857142858</v>
      </c>
      <c r="D13" s="49">
        <f>AVERAGE('29.07 KYEBANDO-NSOOBA'!D13,'30.07 KYEBANDO-NSOOBA'!D13,'31.08 KYEBANDO-NSOOBA'!D13,'02.08 KYEBANDO-NSOOBA'!D13,'01.08 KYEBANDO-NSOOBA-24h'!D13,'03.08 KYEBANDO-NSOOBA-24h'!D13,'04.08.Kyebando-Nsooba'!D13)</f>
        <v>5.1428571428571432</v>
      </c>
      <c r="E13" s="49">
        <f>AVERAGE('29.07 KYEBANDO-NSOOBA'!E13,'30.07 KYEBANDO-NSOOBA'!E13,'31.08 KYEBANDO-NSOOBA'!E13,'02.08 KYEBANDO-NSOOBA'!E13,'01.08 KYEBANDO-NSOOBA-24h'!E13,'03.08 KYEBANDO-NSOOBA-24h'!E13,'04.08.Kyebando-Nsooba'!E13)</f>
        <v>2.8571428571428572</v>
      </c>
      <c r="F13" s="49">
        <f>AVERAGE('29.07 KYEBANDO-NSOOBA'!F13,'30.07 KYEBANDO-NSOOBA'!F13,'31.08 KYEBANDO-NSOOBA'!F13,'02.08 KYEBANDO-NSOOBA'!F13,'01.08 KYEBANDO-NSOOBA-24h'!F13,'03.08 KYEBANDO-NSOOBA-24h'!F13,'04.08.Kyebando-Nsooba'!F13)</f>
        <v>14.285714285714286</v>
      </c>
      <c r="G13" s="49">
        <f>AVERAGE('29.07 KYEBANDO-NSOOBA'!G13,'30.07 KYEBANDO-NSOOBA'!G13,'31.08 KYEBANDO-NSOOBA'!G13,'02.08 KYEBANDO-NSOOBA'!G13,'01.08 KYEBANDO-NSOOBA-24h'!G13,'03.08 KYEBANDO-NSOOBA-24h'!G13,'04.08.Kyebando-Nsooba'!G13)</f>
        <v>0.42857142857142855</v>
      </c>
      <c r="H13" s="49">
        <f>AVERAGE('29.07 KYEBANDO-NSOOBA'!H13,'30.07 KYEBANDO-NSOOBA'!H13,'31.08 KYEBANDO-NSOOBA'!H13,'02.08 KYEBANDO-NSOOBA'!H13,'01.08 KYEBANDO-NSOOBA-24h'!H13,'03.08 KYEBANDO-NSOOBA-24h'!H13,'04.08.Kyebando-Nsooba'!H13)</f>
        <v>0</v>
      </c>
      <c r="I13" s="49">
        <f>AVERAGE('29.07 KYEBANDO-NSOOBA'!I13,'30.07 KYEBANDO-NSOOBA'!I13,'31.08 KYEBANDO-NSOOBA'!I13,'02.08 KYEBANDO-NSOOBA'!I13,'01.08 KYEBANDO-NSOOBA-24h'!I13,'03.08 KYEBANDO-NSOOBA-24h'!I13,'04.08.Kyebando-Nsooba'!I13)</f>
        <v>2.2857142857142856</v>
      </c>
      <c r="J13" s="49">
        <f>AVERAGE('29.07 KYEBANDO-NSOOBA'!J13,'30.07 KYEBANDO-NSOOBA'!J13,'31.08 KYEBANDO-NSOOBA'!J13,'02.08 KYEBANDO-NSOOBA'!J13,'01.08 KYEBANDO-NSOOBA-24h'!J13,'03.08 KYEBANDO-NSOOBA-24h'!J13,'04.08.Kyebando-Nsooba'!J13)</f>
        <v>0.8571428571428571</v>
      </c>
      <c r="K13" s="49">
        <f>AVERAGE('29.07 KYEBANDO-NSOOBA'!K13,'30.07 KYEBANDO-NSOOBA'!K13,'31.08 KYEBANDO-NSOOBA'!K13,'02.08 KYEBANDO-NSOOBA'!K13,'01.08 KYEBANDO-NSOOBA-24h'!K13,'03.08 KYEBANDO-NSOOBA-24h'!K13,'04.08.Kyebando-Nsooba'!K13)</f>
        <v>0.2857142857142857</v>
      </c>
      <c r="L13" s="49">
        <f>AVERAGE('29.07 KYEBANDO-NSOOBA'!L13,'30.07 KYEBANDO-NSOOBA'!L13,'31.08 KYEBANDO-NSOOBA'!L13,'02.08 KYEBANDO-NSOOBA'!L13,'01.08 KYEBANDO-NSOOBA-24h'!L13,'03.08 KYEBANDO-NSOOBA-24h'!L13,'04.08.Kyebando-Nsooba'!L13)</f>
        <v>0</v>
      </c>
      <c r="M13" s="49">
        <f>AVERAGE('29.07 KYEBANDO-NSOOBA'!M13,'30.07 KYEBANDO-NSOOBA'!M13,'31.08 KYEBANDO-NSOOBA'!M13,'02.08 KYEBANDO-NSOOBA'!M13,'01.08 KYEBANDO-NSOOBA-24h'!M13,'03.08 KYEBANDO-NSOOBA-24h'!M13,'04.08.Kyebando-Nsooba'!M13)</f>
        <v>84.571428571428569</v>
      </c>
      <c r="N13" s="49">
        <f>AVERAGE('29.07 KYEBANDO-NSOOBA'!N13,'30.07 KYEBANDO-NSOOBA'!N13,'31.08 KYEBANDO-NSOOBA'!N13,'02.08 KYEBANDO-NSOOBA'!N13,'01.08 KYEBANDO-NSOOBA-24h'!N13,'03.08 KYEBANDO-NSOOBA-24h'!N13,'04.08.Kyebando-Nsooba'!N13)</f>
        <v>0</v>
      </c>
      <c r="O13" s="15">
        <f t="shared" si="0"/>
        <v>49</v>
      </c>
      <c r="P13" s="15">
        <f t="shared" si="1"/>
        <v>133.57142857142856</v>
      </c>
      <c r="R13" s="1" t="s">
        <v>9</v>
      </c>
      <c r="S13" s="17">
        <f t="shared" ref="S13:AF13" si="5">SUM(C22:C25)</f>
        <v>100.42857142857144</v>
      </c>
      <c r="T13" s="17">
        <f t="shared" si="5"/>
        <v>41.714285714285715</v>
      </c>
      <c r="U13" s="17">
        <f t="shared" si="5"/>
        <v>21.428571428571427</v>
      </c>
      <c r="V13" s="17">
        <f t="shared" si="5"/>
        <v>70.857142857142847</v>
      </c>
      <c r="W13" s="17">
        <f t="shared" si="5"/>
        <v>1.4285714285714284</v>
      </c>
      <c r="X13" s="17">
        <f t="shared" si="5"/>
        <v>0.14285714285714285</v>
      </c>
      <c r="Y13" s="17">
        <f t="shared" si="5"/>
        <v>21.714285714285715</v>
      </c>
      <c r="Z13" s="17">
        <f t="shared" si="5"/>
        <v>5.5714285714285712</v>
      </c>
      <c r="AA13" s="17">
        <f t="shared" si="5"/>
        <v>1.7142857142857144</v>
      </c>
      <c r="AB13" s="17">
        <f t="shared" si="5"/>
        <v>0.71428571428571419</v>
      </c>
      <c r="AC13" s="17">
        <f t="shared" si="5"/>
        <v>334.42857142857144</v>
      </c>
      <c r="AD13" s="17">
        <f t="shared" si="5"/>
        <v>0</v>
      </c>
      <c r="AE13" s="31">
        <f t="shared" si="5"/>
        <v>265.71428571428572</v>
      </c>
      <c r="AF13" s="31">
        <f t="shared" si="5"/>
        <v>600.14285714285711</v>
      </c>
    </row>
    <row r="14" spans="2:32" ht="23.1" customHeight="1" x14ac:dyDescent="0.25">
      <c r="B14" s="23" t="s">
        <v>41</v>
      </c>
      <c r="C14" s="49">
        <f>AVERAGE('29.07 KYEBANDO-NSOOBA'!C14,'30.07 KYEBANDO-NSOOBA'!C14,'31.08 KYEBANDO-NSOOBA'!C14,'02.08 KYEBANDO-NSOOBA'!C14,'01.08 KYEBANDO-NSOOBA-24h'!C14,'03.08 KYEBANDO-NSOOBA-24h'!C14,'04.08.Kyebando-Nsooba'!C14)</f>
        <v>21</v>
      </c>
      <c r="D14" s="49">
        <f>AVERAGE('29.07 KYEBANDO-NSOOBA'!D14,'30.07 KYEBANDO-NSOOBA'!D14,'31.08 KYEBANDO-NSOOBA'!D14,'02.08 KYEBANDO-NSOOBA'!D14,'01.08 KYEBANDO-NSOOBA-24h'!D14,'03.08 KYEBANDO-NSOOBA-24h'!D14,'04.08.Kyebando-Nsooba'!D14)</f>
        <v>5.2857142857142856</v>
      </c>
      <c r="E14" s="49">
        <f>AVERAGE('29.07 KYEBANDO-NSOOBA'!E14,'30.07 KYEBANDO-NSOOBA'!E14,'31.08 KYEBANDO-NSOOBA'!E14,'02.08 KYEBANDO-NSOOBA'!E14,'01.08 KYEBANDO-NSOOBA-24h'!E14,'03.08 KYEBANDO-NSOOBA-24h'!E14,'04.08.Kyebando-Nsooba'!E14)</f>
        <v>2.8571428571428572</v>
      </c>
      <c r="F14" s="49">
        <f>AVERAGE('29.07 KYEBANDO-NSOOBA'!F14,'30.07 KYEBANDO-NSOOBA'!F14,'31.08 KYEBANDO-NSOOBA'!F14,'02.08 KYEBANDO-NSOOBA'!F14,'01.08 KYEBANDO-NSOOBA-24h'!F14,'03.08 KYEBANDO-NSOOBA-24h'!F14,'04.08.Kyebando-Nsooba'!F14)</f>
        <v>15.285714285714286</v>
      </c>
      <c r="G14" s="49">
        <f>AVERAGE('29.07 KYEBANDO-NSOOBA'!G14,'30.07 KYEBANDO-NSOOBA'!G14,'31.08 KYEBANDO-NSOOBA'!G14,'02.08 KYEBANDO-NSOOBA'!G14,'01.08 KYEBANDO-NSOOBA-24h'!G14,'03.08 KYEBANDO-NSOOBA-24h'!G14,'04.08.Kyebando-Nsooba'!G14)</f>
        <v>0.42857142857142855</v>
      </c>
      <c r="H14" s="49">
        <f>AVERAGE('29.07 KYEBANDO-NSOOBA'!H14,'30.07 KYEBANDO-NSOOBA'!H14,'31.08 KYEBANDO-NSOOBA'!H14,'02.08 KYEBANDO-NSOOBA'!H14,'01.08 KYEBANDO-NSOOBA-24h'!H14,'03.08 KYEBANDO-NSOOBA-24h'!H14,'04.08.Kyebando-Nsooba'!H14)</f>
        <v>0</v>
      </c>
      <c r="I14" s="49">
        <f>AVERAGE('29.07 KYEBANDO-NSOOBA'!I14,'30.07 KYEBANDO-NSOOBA'!I14,'31.08 KYEBANDO-NSOOBA'!I14,'02.08 KYEBANDO-NSOOBA'!I14,'01.08 KYEBANDO-NSOOBA-24h'!I14,'03.08 KYEBANDO-NSOOBA-24h'!I14,'04.08.Kyebando-Nsooba'!I14)</f>
        <v>3.1428571428571428</v>
      </c>
      <c r="J14" s="49">
        <f>AVERAGE('29.07 KYEBANDO-NSOOBA'!J14,'30.07 KYEBANDO-NSOOBA'!J14,'31.08 KYEBANDO-NSOOBA'!J14,'02.08 KYEBANDO-NSOOBA'!J14,'01.08 KYEBANDO-NSOOBA-24h'!J14,'03.08 KYEBANDO-NSOOBA-24h'!J14,'04.08.Kyebando-Nsooba'!J14)</f>
        <v>0.7142857142857143</v>
      </c>
      <c r="K14" s="49">
        <f>AVERAGE('29.07 KYEBANDO-NSOOBA'!K14,'30.07 KYEBANDO-NSOOBA'!K14,'31.08 KYEBANDO-NSOOBA'!K14,'02.08 KYEBANDO-NSOOBA'!K14,'01.08 KYEBANDO-NSOOBA-24h'!K14,'03.08 KYEBANDO-NSOOBA-24h'!K14,'04.08.Kyebando-Nsooba'!K14)</f>
        <v>0.2857142857142857</v>
      </c>
      <c r="L14" s="49">
        <f>AVERAGE('29.07 KYEBANDO-NSOOBA'!L14,'30.07 KYEBANDO-NSOOBA'!L14,'31.08 KYEBANDO-NSOOBA'!L14,'02.08 KYEBANDO-NSOOBA'!L14,'01.08 KYEBANDO-NSOOBA-24h'!L14,'03.08 KYEBANDO-NSOOBA-24h'!L14,'04.08.Kyebando-Nsooba'!L14)</f>
        <v>0.2857142857142857</v>
      </c>
      <c r="M14" s="49">
        <f>AVERAGE('29.07 KYEBANDO-NSOOBA'!M14,'30.07 KYEBANDO-NSOOBA'!M14,'31.08 KYEBANDO-NSOOBA'!M14,'02.08 KYEBANDO-NSOOBA'!M14,'01.08 KYEBANDO-NSOOBA-24h'!M14,'03.08 KYEBANDO-NSOOBA-24h'!M14,'04.08.Kyebando-Nsooba'!M14)</f>
        <v>84.857142857142861</v>
      </c>
      <c r="N14" s="49">
        <f>AVERAGE('29.07 KYEBANDO-NSOOBA'!N14,'30.07 KYEBANDO-NSOOBA'!N14,'31.08 KYEBANDO-NSOOBA'!N14,'02.08 KYEBANDO-NSOOBA'!N14,'01.08 KYEBANDO-NSOOBA-24h'!N14,'03.08 KYEBANDO-NSOOBA-24h'!N14,'04.08.Kyebando-Nsooba'!N14)</f>
        <v>0</v>
      </c>
      <c r="O14" s="15">
        <f t="shared" si="0"/>
        <v>49.285714285714292</v>
      </c>
      <c r="P14" s="15">
        <f t="shared" si="1"/>
        <v>134.14285714285717</v>
      </c>
      <c r="R14" s="1" t="s">
        <v>10</v>
      </c>
      <c r="S14" s="17">
        <f t="shared" ref="S14:AF14" si="6">SUM(C26:C29)</f>
        <v>101.85714285714286</v>
      </c>
      <c r="T14" s="17">
        <f t="shared" si="6"/>
        <v>33.571428571428569</v>
      </c>
      <c r="U14" s="17">
        <f t="shared" si="6"/>
        <v>23</v>
      </c>
      <c r="V14" s="17">
        <f t="shared" si="6"/>
        <v>44.714285714285708</v>
      </c>
      <c r="W14" s="17">
        <f t="shared" si="6"/>
        <v>0.5714285714285714</v>
      </c>
      <c r="X14" s="17">
        <f t="shared" si="6"/>
        <v>0.8571428571428571</v>
      </c>
      <c r="Y14" s="17">
        <f t="shared" si="6"/>
        <v>19.714285714285715</v>
      </c>
      <c r="Z14" s="17">
        <f t="shared" si="6"/>
        <v>3.714285714285714</v>
      </c>
      <c r="AA14" s="17">
        <f t="shared" si="6"/>
        <v>0.85714285714285698</v>
      </c>
      <c r="AB14" s="17">
        <f t="shared" si="6"/>
        <v>0.42857142857142855</v>
      </c>
      <c r="AC14" s="17">
        <f t="shared" si="6"/>
        <v>269.28571428571428</v>
      </c>
      <c r="AD14" s="17">
        <f t="shared" si="6"/>
        <v>0</v>
      </c>
      <c r="AE14" s="31">
        <f t="shared" si="6"/>
        <v>229.28571428571433</v>
      </c>
      <c r="AF14" s="31">
        <f t="shared" si="6"/>
        <v>498.57142857142861</v>
      </c>
    </row>
    <row r="15" spans="2:32" ht="23.1" customHeight="1" x14ac:dyDescent="0.25">
      <c r="B15" s="23" t="s">
        <v>42</v>
      </c>
      <c r="C15" s="49">
        <f>AVERAGE('29.07 KYEBANDO-NSOOBA'!C15,'30.07 KYEBANDO-NSOOBA'!C15,'31.08 KYEBANDO-NSOOBA'!C15,'02.08 KYEBANDO-NSOOBA'!C15,'01.08 KYEBANDO-NSOOBA-24h'!C15,'03.08 KYEBANDO-NSOOBA-24h'!C15,'04.08.Kyebando-Nsooba'!C15)</f>
        <v>19.285714285714285</v>
      </c>
      <c r="D15" s="49">
        <f>AVERAGE('29.07 KYEBANDO-NSOOBA'!D15,'30.07 KYEBANDO-NSOOBA'!D15,'31.08 KYEBANDO-NSOOBA'!D15,'02.08 KYEBANDO-NSOOBA'!D15,'01.08 KYEBANDO-NSOOBA-24h'!D15,'03.08 KYEBANDO-NSOOBA-24h'!D15,'04.08.Kyebando-Nsooba'!D15)</f>
        <v>5</v>
      </c>
      <c r="E15" s="49">
        <f>AVERAGE('29.07 KYEBANDO-NSOOBA'!E15,'30.07 KYEBANDO-NSOOBA'!E15,'31.08 KYEBANDO-NSOOBA'!E15,'02.08 KYEBANDO-NSOOBA'!E15,'01.08 KYEBANDO-NSOOBA-24h'!E15,'03.08 KYEBANDO-NSOOBA-24h'!E15,'04.08.Kyebando-Nsooba'!E15)</f>
        <v>4.5714285714285712</v>
      </c>
      <c r="F15" s="49">
        <f>AVERAGE('29.07 KYEBANDO-NSOOBA'!F15,'30.07 KYEBANDO-NSOOBA'!F15,'31.08 KYEBANDO-NSOOBA'!F15,'02.08 KYEBANDO-NSOOBA'!F15,'01.08 KYEBANDO-NSOOBA-24h'!F15,'03.08 KYEBANDO-NSOOBA-24h'!F15,'04.08.Kyebando-Nsooba'!F15)</f>
        <v>13.857142857142858</v>
      </c>
      <c r="G15" s="49">
        <f>AVERAGE('29.07 KYEBANDO-NSOOBA'!G15,'30.07 KYEBANDO-NSOOBA'!G15,'31.08 KYEBANDO-NSOOBA'!G15,'02.08 KYEBANDO-NSOOBA'!G15,'01.08 KYEBANDO-NSOOBA-24h'!G15,'03.08 KYEBANDO-NSOOBA-24h'!G15,'04.08.Kyebando-Nsooba'!G15)</f>
        <v>0.42857142857142855</v>
      </c>
      <c r="H15" s="49">
        <f>AVERAGE('29.07 KYEBANDO-NSOOBA'!H15,'30.07 KYEBANDO-NSOOBA'!H15,'31.08 KYEBANDO-NSOOBA'!H15,'02.08 KYEBANDO-NSOOBA'!H15,'01.08 KYEBANDO-NSOOBA-24h'!H15,'03.08 KYEBANDO-NSOOBA-24h'!H15,'04.08.Kyebando-Nsooba'!H15)</f>
        <v>0</v>
      </c>
      <c r="I15" s="49">
        <f>AVERAGE('29.07 KYEBANDO-NSOOBA'!I15,'30.07 KYEBANDO-NSOOBA'!I15,'31.08 KYEBANDO-NSOOBA'!I15,'02.08 KYEBANDO-NSOOBA'!I15,'01.08 KYEBANDO-NSOOBA-24h'!I15,'03.08 KYEBANDO-NSOOBA-24h'!I15,'04.08.Kyebando-Nsooba'!I15)</f>
        <v>2.1428571428571428</v>
      </c>
      <c r="J15" s="49">
        <f>AVERAGE('29.07 KYEBANDO-NSOOBA'!J15,'30.07 KYEBANDO-NSOOBA'!J15,'31.08 KYEBANDO-NSOOBA'!J15,'02.08 KYEBANDO-NSOOBA'!J15,'01.08 KYEBANDO-NSOOBA-24h'!J15,'03.08 KYEBANDO-NSOOBA-24h'!J15,'04.08.Kyebando-Nsooba'!J15)</f>
        <v>1.1428571428571428</v>
      </c>
      <c r="K15" s="49">
        <f>AVERAGE('29.07 KYEBANDO-NSOOBA'!K15,'30.07 KYEBANDO-NSOOBA'!K15,'31.08 KYEBANDO-NSOOBA'!K15,'02.08 KYEBANDO-NSOOBA'!K15,'01.08 KYEBANDO-NSOOBA-24h'!K15,'03.08 KYEBANDO-NSOOBA-24h'!K15,'04.08.Kyebando-Nsooba'!K15)</f>
        <v>0.2857142857142857</v>
      </c>
      <c r="L15" s="49">
        <f>AVERAGE('29.07 KYEBANDO-NSOOBA'!L15,'30.07 KYEBANDO-NSOOBA'!L15,'31.08 KYEBANDO-NSOOBA'!L15,'02.08 KYEBANDO-NSOOBA'!L15,'01.08 KYEBANDO-NSOOBA-24h'!L15,'03.08 KYEBANDO-NSOOBA-24h'!L15,'04.08.Kyebando-Nsooba'!L15)</f>
        <v>0</v>
      </c>
      <c r="M15" s="49">
        <f>AVERAGE('29.07 KYEBANDO-NSOOBA'!M15,'30.07 KYEBANDO-NSOOBA'!M15,'31.08 KYEBANDO-NSOOBA'!M15,'02.08 KYEBANDO-NSOOBA'!M15,'01.08 KYEBANDO-NSOOBA-24h'!M15,'03.08 KYEBANDO-NSOOBA-24h'!M15,'04.08.Kyebando-Nsooba'!M15)</f>
        <v>92.142857142857139</v>
      </c>
      <c r="N15" s="49">
        <f>AVERAGE('29.07 KYEBANDO-NSOOBA'!N15,'30.07 KYEBANDO-NSOOBA'!N15,'31.08 KYEBANDO-NSOOBA'!N15,'02.08 KYEBANDO-NSOOBA'!N15,'01.08 KYEBANDO-NSOOBA-24h'!N15,'03.08 KYEBANDO-NSOOBA-24h'!N15,'04.08.Kyebando-Nsooba'!N15)</f>
        <v>0</v>
      </c>
      <c r="O15" s="15">
        <f t="shared" si="0"/>
        <v>46.714285714285715</v>
      </c>
      <c r="P15" s="15">
        <f t="shared" si="1"/>
        <v>138.85714285714286</v>
      </c>
      <c r="R15" s="1" t="s">
        <v>11</v>
      </c>
      <c r="S15" s="17">
        <f t="shared" ref="S15:AF15" si="7">SUM(C30:C33)</f>
        <v>89</v>
      </c>
      <c r="T15" s="17">
        <f t="shared" si="7"/>
        <v>29.000000000000004</v>
      </c>
      <c r="U15" s="17">
        <f t="shared" si="7"/>
        <v>17.571428571428569</v>
      </c>
      <c r="V15" s="17">
        <f t="shared" si="7"/>
        <v>39.714285714285715</v>
      </c>
      <c r="W15" s="17">
        <f t="shared" si="7"/>
        <v>1.2857142857142856</v>
      </c>
      <c r="X15" s="17">
        <f t="shared" si="7"/>
        <v>0.14285714285714285</v>
      </c>
      <c r="Y15" s="17">
        <f t="shared" si="7"/>
        <v>30.714285714285715</v>
      </c>
      <c r="Z15" s="17">
        <f t="shared" si="7"/>
        <v>5.8571428571428568</v>
      </c>
      <c r="AA15" s="17">
        <f t="shared" si="7"/>
        <v>2.1428571428571428</v>
      </c>
      <c r="AB15" s="17">
        <f t="shared" si="7"/>
        <v>0.5714285714285714</v>
      </c>
      <c r="AC15" s="17">
        <f t="shared" si="7"/>
        <v>234.57142857142858</v>
      </c>
      <c r="AD15" s="17">
        <f t="shared" si="7"/>
        <v>0</v>
      </c>
      <c r="AE15" s="31">
        <f t="shared" si="7"/>
        <v>216</v>
      </c>
      <c r="AF15" s="31">
        <f t="shared" si="7"/>
        <v>450.57142857142856</v>
      </c>
    </row>
    <row r="16" spans="2:32" ht="23.1" customHeight="1" x14ac:dyDescent="0.25">
      <c r="B16" s="23" t="s">
        <v>43</v>
      </c>
      <c r="C16" s="49">
        <f>AVERAGE('29.07 KYEBANDO-NSOOBA'!C16,'30.07 KYEBANDO-NSOOBA'!C16,'31.08 KYEBANDO-NSOOBA'!C16,'02.08 KYEBANDO-NSOOBA'!C16,'01.08 KYEBANDO-NSOOBA-24h'!C16,'03.08 KYEBANDO-NSOOBA-24h'!C16,'04.08.Kyebando-Nsooba'!C16)</f>
        <v>19.428571428571427</v>
      </c>
      <c r="D16" s="49">
        <f>AVERAGE('29.07 KYEBANDO-NSOOBA'!D16,'30.07 KYEBANDO-NSOOBA'!D16,'31.08 KYEBANDO-NSOOBA'!D16,'02.08 KYEBANDO-NSOOBA'!D16,'01.08 KYEBANDO-NSOOBA-24h'!D16,'03.08 KYEBANDO-NSOOBA-24h'!D16,'04.08.Kyebando-Nsooba'!D16)</f>
        <v>5.4285714285714288</v>
      </c>
      <c r="E16" s="49">
        <f>AVERAGE('29.07 KYEBANDO-NSOOBA'!E16,'30.07 KYEBANDO-NSOOBA'!E16,'31.08 KYEBANDO-NSOOBA'!E16,'02.08 KYEBANDO-NSOOBA'!E16,'01.08 KYEBANDO-NSOOBA-24h'!E16,'03.08 KYEBANDO-NSOOBA-24h'!E16,'04.08.Kyebando-Nsooba'!E16)</f>
        <v>2.7142857142857144</v>
      </c>
      <c r="F16" s="49">
        <f>AVERAGE('29.07 KYEBANDO-NSOOBA'!F16,'30.07 KYEBANDO-NSOOBA'!F16,'31.08 KYEBANDO-NSOOBA'!F16,'02.08 KYEBANDO-NSOOBA'!F16,'01.08 KYEBANDO-NSOOBA-24h'!F16,'03.08 KYEBANDO-NSOOBA-24h'!F16,'04.08.Kyebando-Nsooba'!F16)</f>
        <v>17.571428571428573</v>
      </c>
      <c r="G16" s="49">
        <f>AVERAGE('29.07 KYEBANDO-NSOOBA'!G16,'30.07 KYEBANDO-NSOOBA'!G16,'31.08 KYEBANDO-NSOOBA'!G16,'02.08 KYEBANDO-NSOOBA'!G16,'01.08 KYEBANDO-NSOOBA-24h'!G16,'03.08 KYEBANDO-NSOOBA-24h'!G16,'04.08.Kyebando-Nsooba'!G16)</f>
        <v>0.2857142857142857</v>
      </c>
      <c r="H16" s="49">
        <f>AVERAGE('29.07 KYEBANDO-NSOOBA'!H16,'30.07 KYEBANDO-NSOOBA'!H16,'31.08 KYEBANDO-NSOOBA'!H16,'02.08 KYEBANDO-NSOOBA'!H16,'01.08 KYEBANDO-NSOOBA-24h'!H16,'03.08 KYEBANDO-NSOOBA-24h'!H16,'04.08.Kyebando-Nsooba'!H16)</f>
        <v>0</v>
      </c>
      <c r="I16" s="49">
        <f>AVERAGE('29.07 KYEBANDO-NSOOBA'!I16,'30.07 KYEBANDO-NSOOBA'!I16,'31.08 KYEBANDO-NSOOBA'!I16,'02.08 KYEBANDO-NSOOBA'!I16,'01.08 KYEBANDO-NSOOBA-24h'!I16,'03.08 KYEBANDO-NSOOBA-24h'!I16,'04.08.Kyebando-Nsooba'!I16)</f>
        <v>3.1428571428571428</v>
      </c>
      <c r="J16" s="49">
        <f>AVERAGE('29.07 KYEBANDO-NSOOBA'!J16,'30.07 KYEBANDO-NSOOBA'!J16,'31.08 KYEBANDO-NSOOBA'!J16,'02.08 KYEBANDO-NSOOBA'!J16,'01.08 KYEBANDO-NSOOBA-24h'!J16,'03.08 KYEBANDO-NSOOBA-24h'!J16,'04.08.Kyebando-Nsooba'!J16)</f>
        <v>1</v>
      </c>
      <c r="K16" s="49">
        <f>AVERAGE('29.07 KYEBANDO-NSOOBA'!K16,'30.07 KYEBANDO-NSOOBA'!K16,'31.08 KYEBANDO-NSOOBA'!K16,'02.08 KYEBANDO-NSOOBA'!K16,'01.08 KYEBANDO-NSOOBA-24h'!K16,'03.08 KYEBANDO-NSOOBA-24h'!K16,'04.08.Kyebando-Nsooba'!K16)</f>
        <v>0.14285714285714285</v>
      </c>
      <c r="L16" s="49">
        <f>AVERAGE('29.07 KYEBANDO-NSOOBA'!L16,'30.07 KYEBANDO-NSOOBA'!L16,'31.08 KYEBANDO-NSOOBA'!L16,'02.08 KYEBANDO-NSOOBA'!L16,'01.08 KYEBANDO-NSOOBA-24h'!L16,'03.08 KYEBANDO-NSOOBA-24h'!L16,'04.08.Kyebando-Nsooba'!L16)</f>
        <v>0</v>
      </c>
      <c r="M16" s="49">
        <f>AVERAGE('29.07 KYEBANDO-NSOOBA'!M16,'30.07 KYEBANDO-NSOOBA'!M16,'31.08 KYEBANDO-NSOOBA'!M16,'02.08 KYEBANDO-NSOOBA'!M16,'01.08 KYEBANDO-NSOOBA-24h'!M16,'03.08 KYEBANDO-NSOOBA-24h'!M16,'04.08.Kyebando-Nsooba'!M16)</f>
        <v>96.857142857142861</v>
      </c>
      <c r="N16" s="49">
        <f>AVERAGE('29.07 KYEBANDO-NSOOBA'!N16,'30.07 KYEBANDO-NSOOBA'!N16,'31.08 KYEBANDO-NSOOBA'!N16,'02.08 KYEBANDO-NSOOBA'!N16,'01.08 KYEBANDO-NSOOBA-24h'!N16,'03.08 KYEBANDO-NSOOBA-24h'!N16,'04.08.Kyebando-Nsooba'!N16)</f>
        <v>0</v>
      </c>
      <c r="O16" s="15">
        <f t="shared" si="0"/>
        <v>49.714285714285715</v>
      </c>
      <c r="P16" s="15">
        <f t="shared" si="1"/>
        <v>146.57142857142858</v>
      </c>
      <c r="R16" s="1" t="s">
        <v>12</v>
      </c>
      <c r="S16" s="17">
        <f t="shared" ref="S16:AF16" si="8">SUM(C34:C37)</f>
        <v>103.14285714285714</v>
      </c>
      <c r="T16" s="17">
        <f t="shared" si="8"/>
        <v>25</v>
      </c>
      <c r="U16" s="17">
        <f t="shared" si="8"/>
        <v>21.142857142857142</v>
      </c>
      <c r="V16" s="17">
        <f t="shared" si="8"/>
        <v>37.714285714285715</v>
      </c>
      <c r="W16" s="17">
        <f t="shared" si="8"/>
        <v>1</v>
      </c>
      <c r="X16" s="17">
        <f t="shared" si="8"/>
        <v>0.71428571428571419</v>
      </c>
      <c r="Y16" s="17">
        <f t="shared" si="8"/>
        <v>19.428571428571427</v>
      </c>
      <c r="Z16" s="17">
        <f t="shared" si="8"/>
        <v>4.1428571428571423</v>
      </c>
      <c r="AA16" s="17">
        <f t="shared" si="8"/>
        <v>2.4285714285714284</v>
      </c>
      <c r="AB16" s="17">
        <f t="shared" si="8"/>
        <v>0.71428571428571419</v>
      </c>
      <c r="AC16" s="17">
        <f t="shared" si="8"/>
        <v>238.42857142857142</v>
      </c>
      <c r="AD16" s="17">
        <f t="shared" si="8"/>
        <v>0</v>
      </c>
      <c r="AE16" s="31">
        <f t="shared" si="8"/>
        <v>215.42857142857147</v>
      </c>
      <c r="AF16" s="31">
        <f t="shared" si="8"/>
        <v>453.85714285714289</v>
      </c>
    </row>
    <row r="17" spans="2:32" ht="23.1" customHeight="1" x14ac:dyDescent="0.25">
      <c r="B17" s="23" t="s">
        <v>44</v>
      </c>
      <c r="C17" s="49">
        <f>AVERAGE('29.07 KYEBANDO-NSOOBA'!C17,'30.07 KYEBANDO-NSOOBA'!C17,'31.08 KYEBANDO-NSOOBA'!C17,'02.08 KYEBANDO-NSOOBA'!C17,'01.08 KYEBANDO-NSOOBA-24h'!C17,'03.08 KYEBANDO-NSOOBA-24h'!C17,'04.08.Kyebando-Nsooba'!C17)</f>
        <v>22.142857142857142</v>
      </c>
      <c r="D17" s="49">
        <f>AVERAGE('29.07 KYEBANDO-NSOOBA'!D17,'30.07 KYEBANDO-NSOOBA'!D17,'31.08 KYEBANDO-NSOOBA'!D17,'02.08 KYEBANDO-NSOOBA'!D17,'01.08 KYEBANDO-NSOOBA-24h'!D17,'03.08 KYEBANDO-NSOOBA-24h'!D17,'04.08.Kyebando-Nsooba'!D17)</f>
        <v>5.8571428571428568</v>
      </c>
      <c r="E17" s="49">
        <f>AVERAGE('29.07 KYEBANDO-NSOOBA'!E17,'30.07 KYEBANDO-NSOOBA'!E17,'31.08 KYEBANDO-NSOOBA'!E17,'02.08 KYEBANDO-NSOOBA'!E17,'01.08 KYEBANDO-NSOOBA-24h'!E17,'03.08 KYEBANDO-NSOOBA-24h'!E17,'04.08.Kyebando-Nsooba'!E17)</f>
        <v>4.7142857142857144</v>
      </c>
      <c r="F17" s="49">
        <f>AVERAGE('29.07 KYEBANDO-NSOOBA'!F17,'30.07 KYEBANDO-NSOOBA'!F17,'31.08 KYEBANDO-NSOOBA'!F17,'02.08 KYEBANDO-NSOOBA'!F17,'01.08 KYEBANDO-NSOOBA-24h'!F17,'03.08 KYEBANDO-NSOOBA-24h'!F17,'04.08.Kyebando-Nsooba'!F17)</f>
        <v>16</v>
      </c>
      <c r="G17" s="49">
        <f>AVERAGE('29.07 KYEBANDO-NSOOBA'!G17,'30.07 KYEBANDO-NSOOBA'!G17,'31.08 KYEBANDO-NSOOBA'!G17,'02.08 KYEBANDO-NSOOBA'!G17,'01.08 KYEBANDO-NSOOBA-24h'!G17,'03.08 KYEBANDO-NSOOBA-24h'!G17,'04.08.Kyebando-Nsooba'!G17)</f>
        <v>1</v>
      </c>
      <c r="H17" s="49">
        <f>AVERAGE('29.07 KYEBANDO-NSOOBA'!H17,'30.07 KYEBANDO-NSOOBA'!H17,'31.08 KYEBANDO-NSOOBA'!H17,'02.08 KYEBANDO-NSOOBA'!H17,'01.08 KYEBANDO-NSOOBA-24h'!H17,'03.08 KYEBANDO-NSOOBA-24h'!H17,'04.08.Kyebando-Nsooba'!H17)</f>
        <v>0</v>
      </c>
      <c r="I17" s="49">
        <f>AVERAGE('29.07 KYEBANDO-NSOOBA'!I17,'30.07 KYEBANDO-NSOOBA'!I17,'31.08 KYEBANDO-NSOOBA'!I17,'02.08 KYEBANDO-NSOOBA'!I17,'01.08 KYEBANDO-NSOOBA-24h'!I17,'03.08 KYEBANDO-NSOOBA-24h'!I17,'04.08.Kyebando-Nsooba'!I17)</f>
        <v>3.7142857142857144</v>
      </c>
      <c r="J17" s="49">
        <f>AVERAGE('29.07 KYEBANDO-NSOOBA'!J17,'30.07 KYEBANDO-NSOOBA'!J17,'31.08 KYEBANDO-NSOOBA'!J17,'02.08 KYEBANDO-NSOOBA'!J17,'01.08 KYEBANDO-NSOOBA-24h'!J17,'03.08 KYEBANDO-NSOOBA-24h'!J17,'04.08.Kyebando-Nsooba'!J17)</f>
        <v>0.2857142857142857</v>
      </c>
      <c r="K17" s="49">
        <f>AVERAGE('29.07 KYEBANDO-NSOOBA'!K17,'30.07 KYEBANDO-NSOOBA'!K17,'31.08 KYEBANDO-NSOOBA'!K17,'02.08 KYEBANDO-NSOOBA'!K17,'01.08 KYEBANDO-NSOOBA-24h'!K17,'03.08 KYEBANDO-NSOOBA-24h'!K17,'04.08.Kyebando-Nsooba'!K17)</f>
        <v>0.42857142857142855</v>
      </c>
      <c r="L17" s="49">
        <f>AVERAGE('29.07 KYEBANDO-NSOOBA'!L17,'30.07 KYEBANDO-NSOOBA'!L17,'31.08 KYEBANDO-NSOOBA'!L17,'02.08 KYEBANDO-NSOOBA'!L17,'01.08 KYEBANDO-NSOOBA-24h'!L17,'03.08 KYEBANDO-NSOOBA-24h'!L17,'04.08.Kyebando-Nsooba'!L17)</f>
        <v>0</v>
      </c>
      <c r="M17" s="49">
        <f>AVERAGE('29.07 KYEBANDO-NSOOBA'!M17,'30.07 KYEBANDO-NSOOBA'!M17,'31.08 KYEBANDO-NSOOBA'!M17,'02.08 KYEBANDO-NSOOBA'!M17,'01.08 KYEBANDO-NSOOBA-24h'!M17,'03.08 KYEBANDO-NSOOBA-24h'!M17,'04.08.Kyebando-Nsooba'!M17)</f>
        <v>76</v>
      </c>
      <c r="N17" s="49">
        <f>AVERAGE('29.07 KYEBANDO-NSOOBA'!N17,'30.07 KYEBANDO-NSOOBA'!N17,'31.08 KYEBANDO-NSOOBA'!N17,'02.08 KYEBANDO-NSOOBA'!N17,'01.08 KYEBANDO-NSOOBA-24h'!N17,'03.08 KYEBANDO-NSOOBA-24h'!N17,'04.08.Kyebando-Nsooba'!N17)</f>
        <v>0</v>
      </c>
      <c r="O17" s="15">
        <f t="shared" si="0"/>
        <v>54.142857142857146</v>
      </c>
      <c r="P17" s="15">
        <f t="shared" si="1"/>
        <v>130.14285714285714</v>
      </c>
      <c r="R17" s="1" t="s">
        <v>13</v>
      </c>
      <c r="S17" s="17">
        <f t="shared" ref="S17:AF17" si="9">SUM(C38:C41)</f>
        <v>132</v>
      </c>
      <c r="T17" s="17">
        <f t="shared" si="9"/>
        <v>21.571428571428569</v>
      </c>
      <c r="U17" s="17">
        <f t="shared" si="9"/>
        <v>17.714285714285715</v>
      </c>
      <c r="V17" s="17">
        <f t="shared" si="9"/>
        <v>29.714285714285715</v>
      </c>
      <c r="W17" s="17">
        <f t="shared" si="9"/>
        <v>1.8571428571428568</v>
      </c>
      <c r="X17" s="17">
        <f t="shared" si="9"/>
        <v>0</v>
      </c>
      <c r="Y17" s="17">
        <f t="shared" si="9"/>
        <v>16.285714285714288</v>
      </c>
      <c r="Z17" s="17">
        <f t="shared" si="9"/>
        <v>3.4285714285714284</v>
      </c>
      <c r="AA17" s="17">
        <f t="shared" si="9"/>
        <v>1.5714285714285712</v>
      </c>
      <c r="AB17" s="17">
        <f t="shared" si="9"/>
        <v>1</v>
      </c>
      <c r="AC17" s="17">
        <f t="shared" si="9"/>
        <v>206.85714285714283</v>
      </c>
      <c r="AD17" s="17">
        <f t="shared" si="9"/>
        <v>0</v>
      </c>
      <c r="AE17" s="31">
        <f t="shared" si="9"/>
        <v>225.14285714285717</v>
      </c>
      <c r="AF17" s="31">
        <f t="shared" si="9"/>
        <v>432</v>
      </c>
    </row>
    <row r="18" spans="2:32" ht="23.1" customHeight="1" x14ac:dyDescent="0.25">
      <c r="B18" s="23" t="s">
        <v>45</v>
      </c>
      <c r="C18" s="49">
        <f>AVERAGE('29.07 KYEBANDO-NSOOBA'!C18,'30.07 KYEBANDO-NSOOBA'!C18,'31.08 KYEBANDO-NSOOBA'!C18,'02.08 KYEBANDO-NSOOBA'!C18,'01.08 KYEBANDO-NSOOBA-24h'!C18,'03.08 KYEBANDO-NSOOBA-24h'!C18,'04.08.Kyebando-Nsooba'!C18)</f>
        <v>22.428571428571427</v>
      </c>
      <c r="D18" s="49">
        <f>AVERAGE('29.07 KYEBANDO-NSOOBA'!D18,'30.07 KYEBANDO-NSOOBA'!D18,'31.08 KYEBANDO-NSOOBA'!D18,'02.08 KYEBANDO-NSOOBA'!D18,'01.08 KYEBANDO-NSOOBA-24h'!D18,'03.08 KYEBANDO-NSOOBA-24h'!D18,'04.08.Kyebando-Nsooba'!D18)</f>
        <v>8.7142857142857135</v>
      </c>
      <c r="E18" s="49">
        <f>AVERAGE('29.07 KYEBANDO-NSOOBA'!E18,'30.07 KYEBANDO-NSOOBA'!E18,'31.08 KYEBANDO-NSOOBA'!E18,'02.08 KYEBANDO-NSOOBA'!E18,'01.08 KYEBANDO-NSOOBA-24h'!E18,'03.08 KYEBANDO-NSOOBA-24h'!E18,'04.08.Kyebando-Nsooba'!E18)</f>
        <v>5.4285714285714288</v>
      </c>
      <c r="F18" s="49">
        <f>AVERAGE('29.07 KYEBANDO-NSOOBA'!F18,'30.07 KYEBANDO-NSOOBA'!F18,'31.08 KYEBANDO-NSOOBA'!F18,'02.08 KYEBANDO-NSOOBA'!F18,'01.08 KYEBANDO-NSOOBA-24h'!F18,'03.08 KYEBANDO-NSOOBA-24h'!F18,'04.08.Kyebando-Nsooba'!F18)</f>
        <v>16.857142857142858</v>
      </c>
      <c r="G18" s="49">
        <f>AVERAGE('29.07 KYEBANDO-NSOOBA'!G18,'30.07 KYEBANDO-NSOOBA'!G18,'31.08 KYEBANDO-NSOOBA'!G18,'02.08 KYEBANDO-NSOOBA'!G18,'01.08 KYEBANDO-NSOOBA-24h'!G18,'03.08 KYEBANDO-NSOOBA-24h'!G18,'04.08.Kyebando-Nsooba'!G18)</f>
        <v>0.5714285714285714</v>
      </c>
      <c r="H18" s="49">
        <f>AVERAGE('29.07 KYEBANDO-NSOOBA'!H18,'30.07 KYEBANDO-NSOOBA'!H18,'31.08 KYEBANDO-NSOOBA'!H18,'02.08 KYEBANDO-NSOOBA'!H18,'01.08 KYEBANDO-NSOOBA-24h'!H18,'03.08 KYEBANDO-NSOOBA-24h'!H18,'04.08.Kyebando-Nsooba'!H18)</f>
        <v>0</v>
      </c>
      <c r="I18" s="49">
        <f>AVERAGE('29.07 KYEBANDO-NSOOBA'!I18,'30.07 KYEBANDO-NSOOBA'!I18,'31.08 KYEBANDO-NSOOBA'!I18,'02.08 KYEBANDO-NSOOBA'!I18,'01.08 KYEBANDO-NSOOBA-24h'!I18,'03.08 KYEBANDO-NSOOBA-24h'!I18,'04.08.Kyebando-Nsooba'!I18)</f>
        <v>4</v>
      </c>
      <c r="J18" s="49">
        <f>AVERAGE('29.07 KYEBANDO-NSOOBA'!J18,'30.07 KYEBANDO-NSOOBA'!J18,'31.08 KYEBANDO-NSOOBA'!J18,'02.08 KYEBANDO-NSOOBA'!J18,'01.08 KYEBANDO-NSOOBA-24h'!J18,'03.08 KYEBANDO-NSOOBA-24h'!J18,'04.08.Kyebando-Nsooba'!J18)</f>
        <v>1.1428571428571428</v>
      </c>
      <c r="K18" s="49">
        <f>AVERAGE('29.07 KYEBANDO-NSOOBA'!K18,'30.07 KYEBANDO-NSOOBA'!K18,'31.08 KYEBANDO-NSOOBA'!K18,'02.08 KYEBANDO-NSOOBA'!K18,'01.08 KYEBANDO-NSOOBA-24h'!K18,'03.08 KYEBANDO-NSOOBA-24h'!K18,'04.08.Kyebando-Nsooba'!K18)</f>
        <v>0.42857142857142855</v>
      </c>
      <c r="L18" s="49">
        <f>AVERAGE('29.07 KYEBANDO-NSOOBA'!L18,'30.07 KYEBANDO-NSOOBA'!L18,'31.08 KYEBANDO-NSOOBA'!L18,'02.08 KYEBANDO-NSOOBA'!L18,'01.08 KYEBANDO-NSOOBA-24h'!L18,'03.08 KYEBANDO-NSOOBA-24h'!L18,'04.08.Kyebando-Nsooba'!L18)</f>
        <v>0.2857142857142857</v>
      </c>
      <c r="M18" s="49">
        <f>AVERAGE('29.07 KYEBANDO-NSOOBA'!M18,'30.07 KYEBANDO-NSOOBA'!M18,'31.08 KYEBANDO-NSOOBA'!M18,'02.08 KYEBANDO-NSOOBA'!M18,'01.08 KYEBANDO-NSOOBA-24h'!M18,'03.08 KYEBANDO-NSOOBA-24h'!M18,'04.08.Kyebando-Nsooba'!M18)</f>
        <v>85.857142857142861</v>
      </c>
      <c r="N18" s="49">
        <f>AVERAGE('29.07 KYEBANDO-NSOOBA'!N18,'30.07 KYEBANDO-NSOOBA'!N18,'31.08 KYEBANDO-NSOOBA'!N18,'02.08 KYEBANDO-NSOOBA'!N18,'01.08 KYEBANDO-NSOOBA-24h'!N18,'03.08 KYEBANDO-NSOOBA-24h'!N18,'04.08.Kyebando-Nsooba'!N18)</f>
        <v>0</v>
      </c>
      <c r="O18" s="15">
        <f t="shared" si="0"/>
        <v>59.857142857142861</v>
      </c>
      <c r="P18" s="15">
        <f t="shared" si="1"/>
        <v>145.71428571428572</v>
      </c>
      <c r="R18" s="1" t="s">
        <v>14</v>
      </c>
      <c r="S18" s="17">
        <f t="shared" ref="S18:AF18" si="10">SUM(C42:C45)</f>
        <v>108.14285714285714</v>
      </c>
      <c r="T18" s="17">
        <f t="shared" si="10"/>
        <v>29.142857142857139</v>
      </c>
      <c r="U18" s="17">
        <f t="shared" si="10"/>
        <v>24.285714285714285</v>
      </c>
      <c r="V18" s="17">
        <f t="shared" si="10"/>
        <v>36.857142857142861</v>
      </c>
      <c r="W18" s="17">
        <f t="shared" si="10"/>
        <v>1</v>
      </c>
      <c r="X18" s="17">
        <f t="shared" si="10"/>
        <v>0.2857142857142857</v>
      </c>
      <c r="Y18" s="17">
        <f t="shared" si="10"/>
        <v>20.857142857142858</v>
      </c>
      <c r="Z18" s="17">
        <f t="shared" si="10"/>
        <v>3.2857142857142856</v>
      </c>
      <c r="AA18" s="17">
        <f t="shared" si="10"/>
        <v>0.71428571428571419</v>
      </c>
      <c r="AB18" s="17">
        <f t="shared" si="10"/>
        <v>0.30952380952380953</v>
      </c>
      <c r="AC18" s="17">
        <f t="shared" si="10"/>
        <v>228.42857142857144</v>
      </c>
      <c r="AD18" s="17">
        <f t="shared" si="10"/>
        <v>0</v>
      </c>
      <c r="AE18" s="31">
        <f t="shared" si="10"/>
        <v>224.88095238095241</v>
      </c>
      <c r="AF18" s="31">
        <f t="shared" si="10"/>
        <v>453.30952380952385</v>
      </c>
    </row>
    <row r="19" spans="2:32" ht="23.1" customHeight="1" x14ac:dyDescent="0.25">
      <c r="B19" s="23" t="s">
        <v>46</v>
      </c>
      <c r="C19" s="49">
        <f>AVERAGE('29.07 KYEBANDO-NSOOBA'!C19,'30.07 KYEBANDO-NSOOBA'!C19,'31.08 KYEBANDO-NSOOBA'!C19,'02.08 KYEBANDO-NSOOBA'!C19,'01.08 KYEBANDO-NSOOBA-24h'!C19,'03.08 KYEBANDO-NSOOBA-24h'!C19,'04.08.Kyebando-Nsooba'!C19)</f>
        <v>23</v>
      </c>
      <c r="D19" s="49">
        <f>AVERAGE('29.07 KYEBANDO-NSOOBA'!D19,'30.07 KYEBANDO-NSOOBA'!D19,'31.08 KYEBANDO-NSOOBA'!D19,'02.08 KYEBANDO-NSOOBA'!D19,'01.08 KYEBANDO-NSOOBA-24h'!D19,'03.08 KYEBANDO-NSOOBA-24h'!D19,'04.08.Kyebando-Nsooba'!D19)</f>
        <v>6.5714285714285712</v>
      </c>
      <c r="E19" s="49">
        <f>AVERAGE('29.07 KYEBANDO-NSOOBA'!E19,'30.07 KYEBANDO-NSOOBA'!E19,'31.08 KYEBANDO-NSOOBA'!E19,'02.08 KYEBANDO-NSOOBA'!E19,'01.08 KYEBANDO-NSOOBA-24h'!E19,'03.08 KYEBANDO-NSOOBA-24h'!E19,'04.08.Kyebando-Nsooba'!E19)</f>
        <v>4.7142857142857144</v>
      </c>
      <c r="F19" s="49">
        <f>AVERAGE('29.07 KYEBANDO-NSOOBA'!F19,'30.07 KYEBANDO-NSOOBA'!F19,'31.08 KYEBANDO-NSOOBA'!F19,'02.08 KYEBANDO-NSOOBA'!F19,'01.08 KYEBANDO-NSOOBA-24h'!F19,'03.08 KYEBANDO-NSOOBA-24h'!F19,'04.08.Kyebando-Nsooba'!F19)</f>
        <v>20.285714285714285</v>
      </c>
      <c r="G19" s="49">
        <f>AVERAGE('29.07 KYEBANDO-NSOOBA'!G19,'30.07 KYEBANDO-NSOOBA'!G19,'31.08 KYEBANDO-NSOOBA'!G19,'02.08 KYEBANDO-NSOOBA'!G19,'01.08 KYEBANDO-NSOOBA-24h'!G19,'03.08 KYEBANDO-NSOOBA-24h'!G19,'04.08.Kyebando-Nsooba'!G19)</f>
        <v>0.42857142857142855</v>
      </c>
      <c r="H19" s="49">
        <f>AVERAGE('29.07 KYEBANDO-NSOOBA'!H19,'30.07 KYEBANDO-NSOOBA'!H19,'31.08 KYEBANDO-NSOOBA'!H19,'02.08 KYEBANDO-NSOOBA'!H19,'01.08 KYEBANDO-NSOOBA-24h'!H19,'03.08 KYEBANDO-NSOOBA-24h'!H19,'04.08.Kyebando-Nsooba'!H19)</f>
        <v>0.14285714285714285</v>
      </c>
      <c r="I19" s="49">
        <f>AVERAGE('29.07 KYEBANDO-NSOOBA'!I19,'30.07 KYEBANDO-NSOOBA'!I19,'31.08 KYEBANDO-NSOOBA'!I19,'02.08 KYEBANDO-NSOOBA'!I19,'01.08 KYEBANDO-NSOOBA-24h'!I19,'03.08 KYEBANDO-NSOOBA-24h'!I19,'04.08.Kyebando-Nsooba'!I19)</f>
        <v>6.5714285714285712</v>
      </c>
      <c r="J19" s="49">
        <f>AVERAGE('29.07 KYEBANDO-NSOOBA'!J19,'30.07 KYEBANDO-NSOOBA'!J19,'31.08 KYEBANDO-NSOOBA'!J19,'02.08 KYEBANDO-NSOOBA'!J19,'01.08 KYEBANDO-NSOOBA-24h'!J19,'03.08 KYEBANDO-NSOOBA-24h'!J19,'04.08.Kyebando-Nsooba'!J19)</f>
        <v>1.1428571428571428</v>
      </c>
      <c r="K19" s="49">
        <f>AVERAGE('29.07 KYEBANDO-NSOOBA'!K19,'30.07 KYEBANDO-NSOOBA'!K19,'31.08 KYEBANDO-NSOOBA'!K19,'02.08 KYEBANDO-NSOOBA'!K19,'01.08 KYEBANDO-NSOOBA-24h'!K19,'03.08 KYEBANDO-NSOOBA-24h'!K19,'04.08.Kyebando-Nsooba'!K19)</f>
        <v>0.42857142857142855</v>
      </c>
      <c r="L19" s="49">
        <f>AVERAGE('29.07 KYEBANDO-NSOOBA'!L19,'30.07 KYEBANDO-NSOOBA'!L19,'31.08 KYEBANDO-NSOOBA'!L19,'02.08 KYEBANDO-NSOOBA'!L19,'01.08 KYEBANDO-NSOOBA-24h'!L19,'03.08 KYEBANDO-NSOOBA-24h'!L19,'04.08.Kyebando-Nsooba'!L19)</f>
        <v>0</v>
      </c>
      <c r="M19" s="49">
        <f>AVERAGE('29.07 KYEBANDO-NSOOBA'!M19,'30.07 KYEBANDO-NSOOBA'!M19,'31.08 KYEBANDO-NSOOBA'!M19,'02.08 KYEBANDO-NSOOBA'!M19,'01.08 KYEBANDO-NSOOBA-24h'!M19,'03.08 KYEBANDO-NSOOBA-24h'!M19,'04.08.Kyebando-Nsooba'!M19)</f>
        <v>84.857142857142861</v>
      </c>
      <c r="N19" s="49">
        <f>AVERAGE('29.07 KYEBANDO-NSOOBA'!N19,'30.07 KYEBANDO-NSOOBA'!N19,'31.08 KYEBANDO-NSOOBA'!N19,'02.08 KYEBANDO-NSOOBA'!N19,'01.08 KYEBANDO-NSOOBA-24h'!N19,'03.08 KYEBANDO-NSOOBA-24h'!N19,'04.08.Kyebando-Nsooba'!N19)</f>
        <v>0</v>
      </c>
      <c r="O19" s="15">
        <f t="shared" si="0"/>
        <v>63.285714285714292</v>
      </c>
      <c r="P19" s="15">
        <f t="shared" si="1"/>
        <v>148.14285714285717</v>
      </c>
      <c r="R19" s="1" t="s">
        <v>15</v>
      </c>
      <c r="S19" s="17">
        <f t="shared" ref="S19:AF19" si="11">SUM(C46:C49)</f>
        <v>142.85714285714286</v>
      </c>
      <c r="T19" s="17">
        <f t="shared" si="11"/>
        <v>35.857142857142854</v>
      </c>
      <c r="U19" s="17">
        <f t="shared" si="11"/>
        <v>23.714285714285715</v>
      </c>
      <c r="V19" s="17">
        <f t="shared" si="11"/>
        <v>43</v>
      </c>
      <c r="W19" s="17">
        <f t="shared" si="11"/>
        <v>1.4285714285714284</v>
      </c>
      <c r="X19" s="17">
        <f t="shared" si="11"/>
        <v>1</v>
      </c>
      <c r="Y19" s="17">
        <f t="shared" si="11"/>
        <v>23.571428571428569</v>
      </c>
      <c r="Z19" s="17">
        <f t="shared" si="11"/>
        <v>3.4285714285714284</v>
      </c>
      <c r="AA19" s="17">
        <f t="shared" si="11"/>
        <v>1.2857142857142856</v>
      </c>
      <c r="AB19" s="17">
        <f t="shared" si="11"/>
        <v>11.714285714285715</v>
      </c>
      <c r="AC19" s="17">
        <f t="shared" si="11"/>
        <v>234.28571428571428</v>
      </c>
      <c r="AD19" s="17">
        <f t="shared" si="11"/>
        <v>0</v>
      </c>
      <c r="AE19" s="31">
        <f t="shared" si="11"/>
        <v>287.85714285714283</v>
      </c>
      <c r="AF19" s="31">
        <f t="shared" si="11"/>
        <v>522.14285714285711</v>
      </c>
    </row>
    <row r="20" spans="2:32" ht="23.1" customHeight="1" x14ac:dyDescent="0.25">
      <c r="B20" s="23" t="s">
        <v>47</v>
      </c>
      <c r="C20" s="49">
        <f>AVERAGE('29.07 KYEBANDO-NSOOBA'!C20,'30.07 KYEBANDO-NSOOBA'!C20,'31.08 KYEBANDO-NSOOBA'!C20,'02.08 KYEBANDO-NSOOBA'!C20,'01.08 KYEBANDO-NSOOBA-24h'!C20,'03.08 KYEBANDO-NSOOBA-24h'!C20,'04.08.Kyebando-Nsooba'!C20)</f>
        <v>19.428571428571427</v>
      </c>
      <c r="D20" s="49">
        <f>AVERAGE('29.07 KYEBANDO-NSOOBA'!D20,'30.07 KYEBANDO-NSOOBA'!D20,'31.08 KYEBANDO-NSOOBA'!D20,'02.08 KYEBANDO-NSOOBA'!D20,'01.08 KYEBANDO-NSOOBA-24h'!D20,'03.08 KYEBANDO-NSOOBA-24h'!D20,'04.08.Kyebando-Nsooba'!D20)</f>
        <v>5.2857142857142856</v>
      </c>
      <c r="E20" s="49">
        <f>AVERAGE('29.07 KYEBANDO-NSOOBA'!E20,'30.07 KYEBANDO-NSOOBA'!E20,'31.08 KYEBANDO-NSOOBA'!E20,'02.08 KYEBANDO-NSOOBA'!E20,'01.08 KYEBANDO-NSOOBA-24h'!E20,'03.08 KYEBANDO-NSOOBA-24h'!E20,'04.08.Kyebando-Nsooba'!E20)</f>
        <v>4.8571428571428568</v>
      </c>
      <c r="F20" s="49">
        <f>AVERAGE('29.07 KYEBANDO-NSOOBA'!F20,'30.07 KYEBANDO-NSOOBA'!F20,'31.08 KYEBANDO-NSOOBA'!F20,'02.08 KYEBANDO-NSOOBA'!F20,'01.08 KYEBANDO-NSOOBA-24h'!F20,'03.08 KYEBANDO-NSOOBA-24h'!F20,'04.08.Kyebando-Nsooba'!F20)</f>
        <v>16.857142857142858</v>
      </c>
      <c r="G20" s="49">
        <f>AVERAGE('29.07 KYEBANDO-NSOOBA'!G20,'30.07 KYEBANDO-NSOOBA'!G20,'31.08 KYEBANDO-NSOOBA'!G20,'02.08 KYEBANDO-NSOOBA'!G20,'01.08 KYEBANDO-NSOOBA-24h'!G20,'03.08 KYEBANDO-NSOOBA-24h'!G20,'04.08.Kyebando-Nsooba'!G20)</f>
        <v>0.2857142857142857</v>
      </c>
      <c r="H20" s="49">
        <f>AVERAGE('29.07 KYEBANDO-NSOOBA'!H20,'30.07 KYEBANDO-NSOOBA'!H20,'31.08 KYEBANDO-NSOOBA'!H20,'02.08 KYEBANDO-NSOOBA'!H20,'01.08 KYEBANDO-NSOOBA-24h'!H20,'03.08 KYEBANDO-NSOOBA-24h'!H20,'04.08.Kyebando-Nsooba'!H20)</f>
        <v>0.14285714285714285</v>
      </c>
      <c r="I20" s="49">
        <f>AVERAGE('29.07 KYEBANDO-NSOOBA'!I20,'30.07 KYEBANDO-NSOOBA'!I20,'31.08 KYEBANDO-NSOOBA'!I20,'02.08 KYEBANDO-NSOOBA'!I20,'01.08 KYEBANDO-NSOOBA-24h'!I20,'03.08 KYEBANDO-NSOOBA-24h'!I20,'04.08.Kyebando-Nsooba'!I20)</f>
        <v>5.2857142857142856</v>
      </c>
      <c r="J20" s="49">
        <f>AVERAGE('29.07 KYEBANDO-NSOOBA'!J20,'30.07 KYEBANDO-NSOOBA'!J20,'31.08 KYEBANDO-NSOOBA'!J20,'02.08 KYEBANDO-NSOOBA'!J20,'01.08 KYEBANDO-NSOOBA-24h'!J20,'03.08 KYEBANDO-NSOOBA-24h'!J20,'04.08.Kyebando-Nsooba'!J20)</f>
        <v>0.7142857142857143</v>
      </c>
      <c r="K20" s="49">
        <f>AVERAGE('29.07 KYEBANDO-NSOOBA'!K20,'30.07 KYEBANDO-NSOOBA'!K20,'31.08 KYEBANDO-NSOOBA'!K20,'02.08 KYEBANDO-NSOOBA'!K20,'01.08 KYEBANDO-NSOOBA-24h'!K20,'03.08 KYEBANDO-NSOOBA-24h'!K20,'04.08.Kyebando-Nsooba'!K20)</f>
        <v>1.2857142857142858</v>
      </c>
      <c r="L20" s="49">
        <f>AVERAGE('29.07 KYEBANDO-NSOOBA'!L20,'30.07 KYEBANDO-NSOOBA'!L20,'31.08 KYEBANDO-NSOOBA'!L20,'02.08 KYEBANDO-NSOOBA'!L20,'01.08 KYEBANDO-NSOOBA-24h'!L20,'03.08 KYEBANDO-NSOOBA-24h'!L20,'04.08.Kyebando-Nsooba'!L20)</f>
        <v>0.14285714285714285</v>
      </c>
      <c r="M20" s="49">
        <f>AVERAGE('29.07 KYEBANDO-NSOOBA'!M20,'30.07 KYEBANDO-NSOOBA'!M20,'31.08 KYEBANDO-NSOOBA'!M20,'02.08 KYEBANDO-NSOOBA'!M20,'01.08 KYEBANDO-NSOOBA-24h'!M20,'03.08 KYEBANDO-NSOOBA-24h'!M20,'04.08.Kyebando-Nsooba'!M20)</f>
        <v>70.142857142857139</v>
      </c>
      <c r="N20" s="49">
        <f>AVERAGE('29.07 KYEBANDO-NSOOBA'!N20,'30.07 KYEBANDO-NSOOBA'!N20,'31.08 KYEBANDO-NSOOBA'!N20,'02.08 KYEBANDO-NSOOBA'!N20,'01.08 KYEBANDO-NSOOBA-24h'!N20,'03.08 KYEBANDO-NSOOBA-24h'!N20,'04.08.Kyebando-Nsooba'!N20)</f>
        <v>0</v>
      </c>
      <c r="O20" s="15">
        <f t="shared" si="0"/>
        <v>54.285714285714292</v>
      </c>
      <c r="P20" s="15">
        <f t="shared" si="1"/>
        <v>124.42857142857143</v>
      </c>
      <c r="R20" s="1" t="s">
        <v>16</v>
      </c>
      <c r="S20" s="17">
        <f t="shared" ref="S20:AF20" si="12">SUM(C50:C53)</f>
        <v>208</v>
      </c>
      <c r="T20" s="17">
        <f t="shared" si="12"/>
        <v>42.857142857142861</v>
      </c>
      <c r="U20" s="17">
        <f t="shared" si="12"/>
        <v>31</v>
      </c>
      <c r="V20" s="17">
        <f t="shared" si="12"/>
        <v>53.142857142857153</v>
      </c>
      <c r="W20" s="17">
        <f t="shared" si="12"/>
        <v>1.9999999999999998</v>
      </c>
      <c r="X20" s="17">
        <f t="shared" si="12"/>
        <v>0.2857142857142857</v>
      </c>
      <c r="Y20" s="17">
        <f t="shared" si="12"/>
        <v>18.714285714285715</v>
      </c>
      <c r="Z20" s="17">
        <f t="shared" si="12"/>
        <v>6</v>
      </c>
      <c r="AA20" s="17">
        <f t="shared" si="12"/>
        <v>2.2857142857142856</v>
      </c>
      <c r="AB20" s="17">
        <f t="shared" si="12"/>
        <v>0.2857142857142857</v>
      </c>
      <c r="AC20" s="17">
        <f t="shared" si="12"/>
        <v>349.42857142857144</v>
      </c>
      <c r="AD20" s="17">
        <f t="shared" si="12"/>
        <v>0</v>
      </c>
      <c r="AE20" s="31">
        <f t="shared" si="12"/>
        <v>364.57142857142861</v>
      </c>
      <c r="AF20" s="31">
        <f t="shared" si="12"/>
        <v>714</v>
      </c>
    </row>
    <row r="21" spans="2:32" ht="23.1" customHeight="1" x14ac:dyDescent="0.25">
      <c r="B21" s="23" t="s">
        <v>48</v>
      </c>
      <c r="C21" s="49">
        <f>AVERAGE('29.07 KYEBANDO-NSOOBA'!C21,'30.07 KYEBANDO-NSOOBA'!C21,'31.08 KYEBANDO-NSOOBA'!C21,'02.08 KYEBANDO-NSOOBA'!C21,'01.08 KYEBANDO-NSOOBA-24h'!C21,'03.08 KYEBANDO-NSOOBA-24h'!C21,'04.08.Kyebando-Nsooba'!C21)</f>
        <v>26.428571428571427</v>
      </c>
      <c r="D21" s="49">
        <f>AVERAGE('29.07 KYEBANDO-NSOOBA'!D21,'30.07 KYEBANDO-NSOOBA'!D21,'31.08 KYEBANDO-NSOOBA'!D21,'02.08 KYEBANDO-NSOOBA'!D21,'01.08 KYEBANDO-NSOOBA-24h'!D21,'03.08 KYEBANDO-NSOOBA-24h'!D21,'04.08.Kyebando-Nsooba'!D21)</f>
        <v>7.1428571428571432</v>
      </c>
      <c r="E21" s="49">
        <f>AVERAGE('29.07 KYEBANDO-NSOOBA'!E21,'30.07 KYEBANDO-NSOOBA'!E21,'31.08 KYEBANDO-NSOOBA'!E21,'02.08 KYEBANDO-NSOOBA'!E21,'01.08 KYEBANDO-NSOOBA-24h'!E21,'03.08 KYEBANDO-NSOOBA-24h'!E21,'04.08.Kyebando-Nsooba'!E21)</f>
        <v>5</v>
      </c>
      <c r="F21" s="49">
        <f>AVERAGE('29.07 KYEBANDO-NSOOBA'!F21,'30.07 KYEBANDO-NSOOBA'!F21,'31.08 KYEBANDO-NSOOBA'!F21,'02.08 KYEBANDO-NSOOBA'!F21,'01.08 KYEBANDO-NSOOBA-24h'!F21,'03.08 KYEBANDO-NSOOBA-24h'!F21,'04.08.Kyebando-Nsooba'!F21)</f>
        <v>13</v>
      </c>
      <c r="G21" s="49">
        <f>AVERAGE('29.07 KYEBANDO-NSOOBA'!G21,'30.07 KYEBANDO-NSOOBA'!G21,'31.08 KYEBANDO-NSOOBA'!G21,'02.08 KYEBANDO-NSOOBA'!G21,'01.08 KYEBANDO-NSOOBA-24h'!G21,'03.08 KYEBANDO-NSOOBA-24h'!G21,'04.08.Kyebando-Nsooba'!G21)</f>
        <v>0.42857142857142855</v>
      </c>
      <c r="H21" s="49">
        <f>AVERAGE('29.07 KYEBANDO-NSOOBA'!H21,'30.07 KYEBANDO-NSOOBA'!H21,'31.08 KYEBANDO-NSOOBA'!H21,'02.08 KYEBANDO-NSOOBA'!H21,'01.08 KYEBANDO-NSOOBA-24h'!H21,'03.08 KYEBANDO-NSOOBA-24h'!H21,'04.08.Kyebando-Nsooba'!H21)</f>
        <v>0</v>
      </c>
      <c r="I21" s="49">
        <f>AVERAGE('29.07 KYEBANDO-NSOOBA'!I21,'30.07 KYEBANDO-NSOOBA'!I21,'31.08 KYEBANDO-NSOOBA'!I21,'02.08 KYEBANDO-NSOOBA'!I21,'01.08 KYEBANDO-NSOOBA-24h'!I21,'03.08 KYEBANDO-NSOOBA-24h'!I21,'04.08.Kyebando-Nsooba'!I21)</f>
        <v>7.5714285714285712</v>
      </c>
      <c r="J21" s="49">
        <f>AVERAGE('29.07 KYEBANDO-NSOOBA'!J21,'30.07 KYEBANDO-NSOOBA'!J21,'31.08 KYEBANDO-NSOOBA'!J21,'02.08 KYEBANDO-NSOOBA'!J21,'01.08 KYEBANDO-NSOOBA-24h'!J21,'03.08 KYEBANDO-NSOOBA-24h'!J21,'04.08.Kyebando-Nsooba'!J21)</f>
        <v>1.2857142857142858</v>
      </c>
      <c r="K21" s="49">
        <f>AVERAGE('29.07 KYEBANDO-NSOOBA'!K21,'30.07 KYEBANDO-NSOOBA'!K21,'31.08 KYEBANDO-NSOOBA'!K21,'02.08 KYEBANDO-NSOOBA'!K21,'01.08 KYEBANDO-NSOOBA-24h'!K21,'03.08 KYEBANDO-NSOOBA-24h'!K21,'04.08.Kyebando-Nsooba'!K21)</f>
        <v>0.2857142857142857</v>
      </c>
      <c r="L21" s="49">
        <f>AVERAGE('29.07 KYEBANDO-NSOOBA'!L21,'30.07 KYEBANDO-NSOOBA'!L21,'31.08 KYEBANDO-NSOOBA'!L21,'02.08 KYEBANDO-NSOOBA'!L21,'01.08 KYEBANDO-NSOOBA-24h'!L21,'03.08 KYEBANDO-NSOOBA-24h'!L21,'04.08.Kyebando-Nsooba'!L21)</f>
        <v>0</v>
      </c>
      <c r="M21" s="49">
        <f>AVERAGE('29.07 KYEBANDO-NSOOBA'!M21,'30.07 KYEBANDO-NSOOBA'!M21,'31.08 KYEBANDO-NSOOBA'!M21,'02.08 KYEBANDO-NSOOBA'!M21,'01.08 KYEBANDO-NSOOBA-24h'!M21,'03.08 KYEBANDO-NSOOBA-24h'!M21,'04.08.Kyebando-Nsooba'!M21)</f>
        <v>78.285714285714292</v>
      </c>
      <c r="N21" s="49">
        <f>AVERAGE('29.07 KYEBANDO-NSOOBA'!N21,'30.07 KYEBANDO-NSOOBA'!N21,'31.08 KYEBANDO-NSOOBA'!N21,'02.08 KYEBANDO-NSOOBA'!N21,'01.08 KYEBANDO-NSOOBA-24h'!N21,'03.08 KYEBANDO-NSOOBA-24h'!N21,'04.08.Kyebando-Nsooba'!N21)</f>
        <v>0</v>
      </c>
      <c r="O21" s="15">
        <f t="shared" si="0"/>
        <v>61.142857142857139</v>
      </c>
      <c r="P21" s="15">
        <f t="shared" si="1"/>
        <v>139.42857142857144</v>
      </c>
      <c r="R21" s="36" t="s">
        <v>20</v>
      </c>
      <c r="S21" s="34">
        <f t="shared" ref="S21:AF21" si="13">SUM(C54:C57)</f>
        <v>202</v>
      </c>
      <c r="T21" s="17">
        <f t="shared" si="13"/>
        <v>31.428571428571431</v>
      </c>
      <c r="U21" s="17">
        <f t="shared" si="13"/>
        <v>24.714285714285715</v>
      </c>
      <c r="V21" s="17">
        <f t="shared" si="13"/>
        <v>64.857142857142861</v>
      </c>
      <c r="W21" s="17">
        <f t="shared" si="13"/>
        <v>3</v>
      </c>
      <c r="X21" s="17">
        <f t="shared" si="13"/>
        <v>0.85714285714285721</v>
      </c>
      <c r="Y21" s="17">
        <f t="shared" si="13"/>
        <v>21.428571428571431</v>
      </c>
      <c r="Z21" s="17">
        <f t="shared" si="13"/>
        <v>4.1428571428571432</v>
      </c>
      <c r="AA21" s="17">
        <f t="shared" si="13"/>
        <v>1</v>
      </c>
      <c r="AB21" s="17">
        <f t="shared" si="13"/>
        <v>0.14285714285714285</v>
      </c>
      <c r="AC21" s="17">
        <f t="shared" si="13"/>
        <v>357.85714285714289</v>
      </c>
      <c r="AD21" s="17">
        <f t="shared" si="13"/>
        <v>0</v>
      </c>
      <c r="AE21" s="31">
        <f t="shared" si="13"/>
        <v>353.57142857142856</v>
      </c>
      <c r="AF21" s="31">
        <f t="shared" si="13"/>
        <v>711.42857142857144</v>
      </c>
    </row>
    <row r="22" spans="2:32" ht="23.1" customHeight="1" x14ac:dyDescent="0.25">
      <c r="B22" s="23" t="s">
        <v>49</v>
      </c>
      <c r="C22" s="49">
        <f>AVERAGE('29.07 KYEBANDO-NSOOBA'!C22,'30.07 KYEBANDO-NSOOBA'!C22,'31.08 KYEBANDO-NSOOBA'!C22,'02.08 KYEBANDO-NSOOBA'!C22,'01.08 KYEBANDO-NSOOBA-24h'!C22,'03.08 KYEBANDO-NSOOBA-24h'!C22,'04.08.Kyebando-Nsooba'!C22)</f>
        <v>27.142857142857142</v>
      </c>
      <c r="D22" s="49">
        <f>AVERAGE('29.07 KYEBANDO-NSOOBA'!D22,'30.07 KYEBANDO-NSOOBA'!D22,'31.08 KYEBANDO-NSOOBA'!D22,'02.08 KYEBANDO-NSOOBA'!D22,'01.08 KYEBANDO-NSOOBA-24h'!D22,'03.08 KYEBANDO-NSOOBA-24h'!D22,'04.08.Kyebando-Nsooba'!D22)</f>
        <v>13</v>
      </c>
      <c r="E22" s="49">
        <f>AVERAGE('29.07 KYEBANDO-NSOOBA'!E22,'30.07 KYEBANDO-NSOOBA'!E22,'31.08 KYEBANDO-NSOOBA'!E22,'02.08 KYEBANDO-NSOOBA'!E22,'01.08 KYEBANDO-NSOOBA-24h'!E22,'03.08 KYEBANDO-NSOOBA-24h'!E22,'04.08.Kyebando-Nsooba'!E22)</f>
        <v>6.1428571428571432</v>
      </c>
      <c r="F22" s="49">
        <f>AVERAGE('29.07 KYEBANDO-NSOOBA'!F22,'30.07 KYEBANDO-NSOOBA'!F22,'31.08 KYEBANDO-NSOOBA'!F22,'02.08 KYEBANDO-NSOOBA'!F22,'01.08 KYEBANDO-NSOOBA-24h'!F22,'03.08 KYEBANDO-NSOOBA-24h'!F22,'04.08.Kyebando-Nsooba'!F22)</f>
        <v>21.285714285714285</v>
      </c>
      <c r="G22" s="49">
        <f>AVERAGE('29.07 KYEBANDO-NSOOBA'!G22,'30.07 KYEBANDO-NSOOBA'!G22,'31.08 KYEBANDO-NSOOBA'!G22,'02.08 KYEBANDO-NSOOBA'!G22,'01.08 KYEBANDO-NSOOBA-24h'!G22,'03.08 KYEBANDO-NSOOBA-24h'!G22,'04.08.Kyebando-Nsooba'!G22)</f>
        <v>0.14285714285714285</v>
      </c>
      <c r="H22" s="49">
        <f>AVERAGE('29.07 KYEBANDO-NSOOBA'!H22,'30.07 KYEBANDO-NSOOBA'!H22,'31.08 KYEBANDO-NSOOBA'!H22,'02.08 KYEBANDO-NSOOBA'!H22,'01.08 KYEBANDO-NSOOBA-24h'!H22,'03.08 KYEBANDO-NSOOBA-24h'!H22,'04.08.Kyebando-Nsooba'!H22)</f>
        <v>0.14285714285714285</v>
      </c>
      <c r="I22" s="49">
        <f>AVERAGE('29.07 KYEBANDO-NSOOBA'!I22,'30.07 KYEBANDO-NSOOBA'!I22,'31.08 KYEBANDO-NSOOBA'!I22,'02.08 KYEBANDO-NSOOBA'!I22,'01.08 KYEBANDO-NSOOBA-24h'!I22,'03.08 KYEBANDO-NSOOBA-24h'!I22,'04.08.Kyebando-Nsooba'!I22)</f>
        <v>7.1428571428571432</v>
      </c>
      <c r="J22" s="49">
        <f>AVERAGE('29.07 KYEBANDO-NSOOBA'!J22,'30.07 KYEBANDO-NSOOBA'!J22,'31.08 KYEBANDO-NSOOBA'!J22,'02.08 KYEBANDO-NSOOBA'!J22,'01.08 KYEBANDO-NSOOBA-24h'!J22,'03.08 KYEBANDO-NSOOBA-24h'!J22,'04.08.Kyebando-Nsooba'!J22)</f>
        <v>1.1428571428571428</v>
      </c>
      <c r="K22" s="49">
        <f>AVERAGE('29.07 KYEBANDO-NSOOBA'!K22,'30.07 KYEBANDO-NSOOBA'!K22,'31.08 KYEBANDO-NSOOBA'!K22,'02.08 KYEBANDO-NSOOBA'!K22,'01.08 KYEBANDO-NSOOBA-24h'!K22,'03.08 KYEBANDO-NSOOBA-24h'!K22,'04.08.Kyebando-Nsooba'!K22)</f>
        <v>0.7142857142857143</v>
      </c>
      <c r="L22" s="49">
        <f>AVERAGE('29.07 KYEBANDO-NSOOBA'!L22,'30.07 KYEBANDO-NSOOBA'!L22,'31.08 KYEBANDO-NSOOBA'!L22,'02.08 KYEBANDO-NSOOBA'!L22,'01.08 KYEBANDO-NSOOBA-24h'!L22,'03.08 KYEBANDO-NSOOBA-24h'!L22,'04.08.Kyebando-Nsooba'!L22)</f>
        <v>0</v>
      </c>
      <c r="M22" s="49">
        <f>AVERAGE('29.07 KYEBANDO-NSOOBA'!M22,'30.07 KYEBANDO-NSOOBA'!M22,'31.08 KYEBANDO-NSOOBA'!M22,'02.08 KYEBANDO-NSOOBA'!M22,'01.08 KYEBANDO-NSOOBA-24h'!M22,'03.08 KYEBANDO-NSOOBA-24h'!M22,'04.08.Kyebando-Nsooba'!M22)</f>
        <v>87</v>
      </c>
      <c r="N22" s="49">
        <f>AVERAGE('29.07 KYEBANDO-NSOOBA'!N22,'30.07 KYEBANDO-NSOOBA'!N22,'31.08 KYEBANDO-NSOOBA'!N22,'02.08 KYEBANDO-NSOOBA'!N22,'01.08 KYEBANDO-NSOOBA-24h'!N22,'03.08 KYEBANDO-NSOOBA-24h'!N22,'04.08.Kyebando-Nsooba'!N22)</f>
        <v>0</v>
      </c>
      <c r="O22" s="15">
        <f t="shared" si="0"/>
        <v>76.857142857142833</v>
      </c>
      <c r="P22" s="15">
        <f t="shared" si="1"/>
        <v>163.85714285714283</v>
      </c>
      <c r="R22" s="1" t="s">
        <v>146</v>
      </c>
      <c r="S22" s="34">
        <f>SUM(C58:C61)</f>
        <v>138</v>
      </c>
      <c r="T22" s="34">
        <f t="shared" ref="T22:AF22" si="14">SUM(D58:D61)</f>
        <v>24</v>
      </c>
      <c r="U22" s="34">
        <f t="shared" si="14"/>
        <v>12</v>
      </c>
      <c r="V22" s="34">
        <f t="shared" si="14"/>
        <v>35.5</v>
      </c>
      <c r="W22" s="34">
        <f t="shared" si="14"/>
        <v>2.5</v>
      </c>
      <c r="X22" s="34">
        <f t="shared" si="14"/>
        <v>2.5</v>
      </c>
      <c r="Y22" s="34">
        <f t="shared" si="14"/>
        <v>10</v>
      </c>
      <c r="Z22" s="34">
        <f t="shared" si="14"/>
        <v>1</v>
      </c>
      <c r="AA22" s="34">
        <f t="shared" si="14"/>
        <v>3</v>
      </c>
      <c r="AB22" s="34">
        <f t="shared" si="14"/>
        <v>0</v>
      </c>
      <c r="AC22" s="34">
        <f t="shared" si="14"/>
        <v>224.5</v>
      </c>
      <c r="AD22" s="34">
        <f t="shared" si="14"/>
        <v>0</v>
      </c>
      <c r="AE22" s="31">
        <f t="shared" si="14"/>
        <v>228.5</v>
      </c>
      <c r="AF22" s="31">
        <f t="shared" si="14"/>
        <v>453</v>
      </c>
    </row>
    <row r="23" spans="2:32" ht="23.1" customHeight="1" x14ac:dyDescent="0.25">
      <c r="B23" s="23" t="s">
        <v>50</v>
      </c>
      <c r="C23" s="49">
        <f>AVERAGE('29.07 KYEBANDO-NSOOBA'!C23,'30.07 KYEBANDO-NSOOBA'!C23,'31.08 KYEBANDO-NSOOBA'!C23,'02.08 KYEBANDO-NSOOBA'!C23,'01.08 KYEBANDO-NSOOBA-24h'!C23,'03.08 KYEBANDO-NSOOBA-24h'!C23,'04.08.Kyebando-Nsooba'!C23)</f>
        <v>24.285714285714285</v>
      </c>
      <c r="D23" s="49">
        <f>AVERAGE('29.07 KYEBANDO-NSOOBA'!D23,'30.07 KYEBANDO-NSOOBA'!D23,'31.08 KYEBANDO-NSOOBA'!D23,'02.08 KYEBANDO-NSOOBA'!D23,'01.08 KYEBANDO-NSOOBA-24h'!D23,'03.08 KYEBANDO-NSOOBA-24h'!D23,'04.08.Kyebando-Nsooba'!D23)</f>
        <v>14.857142857142858</v>
      </c>
      <c r="E23" s="49">
        <f>AVERAGE('29.07 KYEBANDO-NSOOBA'!E23,'30.07 KYEBANDO-NSOOBA'!E23,'31.08 KYEBANDO-NSOOBA'!E23,'02.08 KYEBANDO-NSOOBA'!E23,'01.08 KYEBANDO-NSOOBA-24h'!E23,'03.08 KYEBANDO-NSOOBA-24h'!E23,'04.08.Kyebando-Nsooba'!E23)</f>
        <v>4.1428571428571432</v>
      </c>
      <c r="F23" s="49">
        <f>AVERAGE('29.07 KYEBANDO-NSOOBA'!F23,'30.07 KYEBANDO-NSOOBA'!F23,'31.08 KYEBANDO-NSOOBA'!F23,'02.08 KYEBANDO-NSOOBA'!F23,'01.08 KYEBANDO-NSOOBA-24h'!F23,'03.08 KYEBANDO-NSOOBA-24h'!F23,'04.08.Kyebando-Nsooba'!F23)</f>
        <v>18.857142857142858</v>
      </c>
      <c r="G23" s="49">
        <f>AVERAGE('29.07 KYEBANDO-NSOOBA'!G23,'30.07 KYEBANDO-NSOOBA'!G23,'31.08 KYEBANDO-NSOOBA'!G23,'02.08 KYEBANDO-NSOOBA'!G23,'01.08 KYEBANDO-NSOOBA-24h'!G23,'03.08 KYEBANDO-NSOOBA-24h'!G23,'04.08.Kyebando-Nsooba'!G23)</f>
        <v>0.7142857142857143</v>
      </c>
      <c r="H23" s="49">
        <f>AVERAGE('29.07 KYEBANDO-NSOOBA'!H23,'30.07 KYEBANDO-NSOOBA'!H23,'31.08 KYEBANDO-NSOOBA'!H23,'02.08 KYEBANDO-NSOOBA'!H23,'01.08 KYEBANDO-NSOOBA-24h'!H23,'03.08 KYEBANDO-NSOOBA-24h'!H23,'04.08.Kyebando-Nsooba'!H23)</f>
        <v>0</v>
      </c>
      <c r="I23" s="49">
        <f>AVERAGE('29.07 KYEBANDO-NSOOBA'!I23,'30.07 KYEBANDO-NSOOBA'!I23,'31.08 KYEBANDO-NSOOBA'!I23,'02.08 KYEBANDO-NSOOBA'!I23,'01.08 KYEBANDO-NSOOBA-24h'!I23,'03.08 KYEBANDO-NSOOBA-24h'!I23,'04.08.Kyebando-Nsooba'!I23)</f>
        <v>4</v>
      </c>
      <c r="J23" s="49">
        <f>AVERAGE('29.07 KYEBANDO-NSOOBA'!J23,'30.07 KYEBANDO-NSOOBA'!J23,'31.08 KYEBANDO-NSOOBA'!J23,'02.08 KYEBANDO-NSOOBA'!J23,'01.08 KYEBANDO-NSOOBA-24h'!J23,'03.08 KYEBANDO-NSOOBA-24h'!J23,'04.08.Kyebando-Nsooba'!J23)</f>
        <v>1.7142857142857142</v>
      </c>
      <c r="K23" s="49">
        <f>AVERAGE('29.07 KYEBANDO-NSOOBA'!K23,'30.07 KYEBANDO-NSOOBA'!K23,'31.08 KYEBANDO-NSOOBA'!K23,'02.08 KYEBANDO-NSOOBA'!K23,'01.08 KYEBANDO-NSOOBA-24h'!K23,'03.08 KYEBANDO-NSOOBA-24h'!K23,'04.08.Kyebando-Nsooba'!K23)</f>
        <v>0.2857142857142857</v>
      </c>
      <c r="L23" s="49">
        <f>AVERAGE('29.07 KYEBANDO-NSOOBA'!L23,'30.07 KYEBANDO-NSOOBA'!L23,'31.08 KYEBANDO-NSOOBA'!L23,'02.08 KYEBANDO-NSOOBA'!L23,'01.08 KYEBANDO-NSOOBA-24h'!L23,'03.08 KYEBANDO-NSOOBA-24h'!L23,'04.08.Kyebando-Nsooba'!L23)</f>
        <v>0.14285714285714285</v>
      </c>
      <c r="M23" s="49">
        <f>AVERAGE('29.07 KYEBANDO-NSOOBA'!M23,'30.07 KYEBANDO-NSOOBA'!M23,'31.08 KYEBANDO-NSOOBA'!M23,'02.08 KYEBANDO-NSOOBA'!M23,'01.08 KYEBANDO-NSOOBA-24h'!M23,'03.08 KYEBANDO-NSOOBA-24h'!M23,'04.08.Kyebando-Nsooba'!M23)</f>
        <v>80.428571428571431</v>
      </c>
      <c r="N23" s="49">
        <f>AVERAGE('29.07 KYEBANDO-NSOOBA'!N23,'30.07 KYEBANDO-NSOOBA'!N23,'31.08 KYEBANDO-NSOOBA'!N23,'02.08 KYEBANDO-NSOOBA'!N23,'01.08 KYEBANDO-NSOOBA-24h'!N23,'03.08 KYEBANDO-NSOOBA-24h'!N23,'04.08.Kyebando-Nsooba'!N23)</f>
        <v>0</v>
      </c>
      <c r="O23" s="15">
        <f t="shared" si="0"/>
        <v>69</v>
      </c>
      <c r="P23" s="15">
        <f t="shared" si="1"/>
        <v>149.42857142857144</v>
      </c>
      <c r="R23" s="1" t="s">
        <v>147</v>
      </c>
      <c r="S23" s="34">
        <f>SUM(C62:C65)</f>
        <v>121</v>
      </c>
      <c r="T23" s="34">
        <f t="shared" ref="T23:AF23" si="15">SUM(D62:D65)</f>
        <v>18.5</v>
      </c>
      <c r="U23" s="34">
        <f t="shared" si="15"/>
        <v>13</v>
      </c>
      <c r="V23" s="34">
        <f t="shared" si="15"/>
        <v>48.5</v>
      </c>
      <c r="W23" s="34">
        <f t="shared" si="15"/>
        <v>2</v>
      </c>
      <c r="X23" s="34">
        <f t="shared" si="15"/>
        <v>0.5</v>
      </c>
      <c r="Y23" s="34">
        <f t="shared" si="15"/>
        <v>9.5</v>
      </c>
      <c r="Z23" s="34">
        <f t="shared" si="15"/>
        <v>0.5</v>
      </c>
      <c r="AA23" s="34">
        <f t="shared" si="15"/>
        <v>0</v>
      </c>
      <c r="AB23" s="34">
        <f t="shared" si="15"/>
        <v>0</v>
      </c>
      <c r="AC23" s="34">
        <f t="shared" si="15"/>
        <v>219.5</v>
      </c>
      <c r="AD23" s="34">
        <f t="shared" si="15"/>
        <v>0</v>
      </c>
      <c r="AE23" s="31">
        <f t="shared" si="15"/>
        <v>213.5</v>
      </c>
      <c r="AF23" s="31">
        <f t="shared" si="15"/>
        <v>433</v>
      </c>
    </row>
    <row r="24" spans="2:32" ht="23.1" customHeight="1" x14ac:dyDescent="0.25">
      <c r="B24" s="23" t="s">
        <v>51</v>
      </c>
      <c r="C24" s="49">
        <f>AVERAGE('29.07 KYEBANDO-NSOOBA'!C24,'30.07 KYEBANDO-NSOOBA'!C24,'31.08 KYEBANDO-NSOOBA'!C24,'02.08 KYEBANDO-NSOOBA'!C24,'01.08 KYEBANDO-NSOOBA-24h'!C24,'03.08 KYEBANDO-NSOOBA-24h'!C24,'04.08.Kyebando-Nsooba'!C24)</f>
        <v>23.285714285714285</v>
      </c>
      <c r="D24" s="49">
        <f>AVERAGE('29.07 KYEBANDO-NSOOBA'!D24,'30.07 KYEBANDO-NSOOBA'!D24,'31.08 KYEBANDO-NSOOBA'!D24,'02.08 KYEBANDO-NSOOBA'!D24,'01.08 KYEBANDO-NSOOBA-24h'!D24,'03.08 KYEBANDO-NSOOBA-24h'!D24,'04.08.Kyebando-Nsooba'!D24)</f>
        <v>8.2857142857142865</v>
      </c>
      <c r="E24" s="49">
        <f>AVERAGE('29.07 KYEBANDO-NSOOBA'!E24,'30.07 KYEBANDO-NSOOBA'!E24,'31.08 KYEBANDO-NSOOBA'!E24,'02.08 KYEBANDO-NSOOBA'!E24,'01.08 KYEBANDO-NSOOBA-24h'!E24,'03.08 KYEBANDO-NSOOBA-24h'!E24,'04.08.Kyebando-Nsooba'!E24)</f>
        <v>6.8571428571428568</v>
      </c>
      <c r="F24" s="49">
        <f>AVERAGE('29.07 KYEBANDO-NSOOBA'!F24,'30.07 KYEBANDO-NSOOBA'!F24,'31.08 KYEBANDO-NSOOBA'!F24,'02.08 KYEBANDO-NSOOBA'!F24,'01.08 KYEBANDO-NSOOBA-24h'!F24,'03.08 KYEBANDO-NSOOBA-24h'!F24,'04.08.Kyebando-Nsooba'!F24)</f>
        <v>16</v>
      </c>
      <c r="G24" s="49">
        <f>AVERAGE('29.07 KYEBANDO-NSOOBA'!G24,'30.07 KYEBANDO-NSOOBA'!G24,'31.08 KYEBANDO-NSOOBA'!G24,'02.08 KYEBANDO-NSOOBA'!G24,'01.08 KYEBANDO-NSOOBA-24h'!G24,'03.08 KYEBANDO-NSOOBA-24h'!G24,'04.08.Kyebando-Nsooba'!G24)</f>
        <v>0.2857142857142857</v>
      </c>
      <c r="H24" s="49">
        <f>AVERAGE('29.07 KYEBANDO-NSOOBA'!H24,'30.07 KYEBANDO-NSOOBA'!H24,'31.08 KYEBANDO-NSOOBA'!H24,'02.08 KYEBANDO-NSOOBA'!H24,'01.08 KYEBANDO-NSOOBA-24h'!H24,'03.08 KYEBANDO-NSOOBA-24h'!H24,'04.08.Kyebando-Nsooba'!H24)</f>
        <v>0</v>
      </c>
      <c r="I24" s="49">
        <f>AVERAGE('29.07 KYEBANDO-NSOOBA'!I24,'30.07 KYEBANDO-NSOOBA'!I24,'31.08 KYEBANDO-NSOOBA'!I24,'02.08 KYEBANDO-NSOOBA'!I24,'01.08 KYEBANDO-NSOOBA-24h'!I24,'03.08 KYEBANDO-NSOOBA-24h'!I24,'04.08.Kyebando-Nsooba'!I24)</f>
        <v>5.1428571428571432</v>
      </c>
      <c r="J24" s="49">
        <f>AVERAGE('29.07 KYEBANDO-NSOOBA'!J24,'30.07 KYEBANDO-NSOOBA'!J24,'31.08 KYEBANDO-NSOOBA'!J24,'02.08 KYEBANDO-NSOOBA'!J24,'01.08 KYEBANDO-NSOOBA-24h'!J24,'03.08 KYEBANDO-NSOOBA-24h'!J24,'04.08.Kyebando-Nsooba'!J24)</f>
        <v>1.5714285714285714</v>
      </c>
      <c r="K24" s="49">
        <f>AVERAGE('29.07 KYEBANDO-NSOOBA'!K24,'30.07 KYEBANDO-NSOOBA'!K24,'31.08 KYEBANDO-NSOOBA'!K24,'02.08 KYEBANDO-NSOOBA'!K24,'01.08 KYEBANDO-NSOOBA-24h'!K24,'03.08 KYEBANDO-NSOOBA-24h'!K24,'04.08.Kyebando-Nsooba'!K24)</f>
        <v>0</v>
      </c>
      <c r="L24" s="49">
        <f>AVERAGE('29.07 KYEBANDO-NSOOBA'!L24,'30.07 KYEBANDO-NSOOBA'!L24,'31.08 KYEBANDO-NSOOBA'!L24,'02.08 KYEBANDO-NSOOBA'!L24,'01.08 KYEBANDO-NSOOBA-24h'!L24,'03.08 KYEBANDO-NSOOBA-24h'!L24,'04.08.Kyebando-Nsooba'!L24)</f>
        <v>0.2857142857142857</v>
      </c>
      <c r="M24" s="49">
        <f>AVERAGE('29.07 KYEBANDO-NSOOBA'!M24,'30.07 KYEBANDO-NSOOBA'!M24,'31.08 KYEBANDO-NSOOBA'!M24,'02.08 KYEBANDO-NSOOBA'!M24,'01.08 KYEBANDO-NSOOBA-24h'!M24,'03.08 KYEBANDO-NSOOBA-24h'!M24,'04.08.Kyebando-Nsooba'!M24)</f>
        <v>87</v>
      </c>
      <c r="N24" s="49">
        <f>AVERAGE('29.07 KYEBANDO-NSOOBA'!N24,'30.07 KYEBANDO-NSOOBA'!N24,'31.08 KYEBANDO-NSOOBA'!N24,'02.08 KYEBANDO-NSOOBA'!N24,'01.08 KYEBANDO-NSOOBA-24h'!N24,'03.08 KYEBANDO-NSOOBA-24h'!N24,'04.08.Kyebando-Nsooba'!N24)</f>
        <v>0</v>
      </c>
      <c r="O24" s="15">
        <f t="shared" si="0"/>
        <v>61.714285714285708</v>
      </c>
      <c r="P24" s="15">
        <f t="shared" si="1"/>
        <v>148.71428571428572</v>
      </c>
      <c r="R24" s="1" t="s">
        <v>148</v>
      </c>
      <c r="S24" s="34">
        <f>SUM(C66:C69)</f>
        <v>90.5</v>
      </c>
      <c r="T24" s="34">
        <f t="shared" ref="T24:AF24" si="16">SUM(D66:D69)</f>
        <v>15.5</v>
      </c>
      <c r="U24" s="34">
        <f t="shared" si="16"/>
        <v>7</v>
      </c>
      <c r="V24" s="34">
        <f t="shared" si="16"/>
        <v>29.5</v>
      </c>
      <c r="W24" s="34">
        <f t="shared" si="16"/>
        <v>0.5</v>
      </c>
      <c r="X24" s="34">
        <f t="shared" si="16"/>
        <v>0</v>
      </c>
      <c r="Y24" s="34">
        <f t="shared" si="16"/>
        <v>3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159.5</v>
      </c>
      <c r="AD24" s="34">
        <f t="shared" si="16"/>
        <v>0</v>
      </c>
      <c r="AE24" s="31">
        <f t="shared" si="16"/>
        <v>148</v>
      </c>
      <c r="AF24" s="31">
        <f t="shared" si="16"/>
        <v>307.5</v>
      </c>
    </row>
    <row r="25" spans="2:32" ht="23.1" customHeight="1" x14ac:dyDescent="0.25">
      <c r="B25" s="23" t="s">
        <v>52</v>
      </c>
      <c r="C25" s="49">
        <f>AVERAGE('29.07 KYEBANDO-NSOOBA'!C25,'30.07 KYEBANDO-NSOOBA'!C25,'31.08 KYEBANDO-NSOOBA'!C25,'02.08 KYEBANDO-NSOOBA'!C25,'01.08 KYEBANDO-NSOOBA-24h'!C25,'03.08 KYEBANDO-NSOOBA-24h'!C25,'04.08.Kyebando-Nsooba'!C25)</f>
        <v>25.714285714285715</v>
      </c>
      <c r="D25" s="49">
        <f>AVERAGE('29.07 KYEBANDO-NSOOBA'!D25,'30.07 KYEBANDO-NSOOBA'!D25,'31.08 KYEBANDO-NSOOBA'!D25,'02.08 KYEBANDO-NSOOBA'!D25,'01.08 KYEBANDO-NSOOBA-24h'!D25,'03.08 KYEBANDO-NSOOBA-24h'!D25,'04.08.Kyebando-Nsooba'!D25)</f>
        <v>5.5714285714285712</v>
      </c>
      <c r="E25" s="49">
        <f>AVERAGE('29.07 KYEBANDO-NSOOBA'!E25,'30.07 KYEBANDO-NSOOBA'!E25,'31.08 KYEBANDO-NSOOBA'!E25,'02.08 KYEBANDO-NSOOBA'!E25,'01.08 KYEBANDO-NSOOBA-24h'!E25,'03.08 KYEBANDO-NSOOBA-24h'!E25,'04.08.Kyebando-Nsooba'!E25)</f>
        <v>4.2857142857142856</v>
      </c>
      <c r="F25" s="49">
        <f>AVERAGE('29.07 KYEBANDO-NSOOBA'!F25,'30.07 KYEBANDO-NSOOBA'!F25,'31.08 KYEBANDO-NSOOBA'!F25,'02.08 KYEBANDO-NSOOBA'!F25,'01.08 KYEBANDO-NSOOBA-24h'!F25,'03.08 KYEBANDO-NSOOBA-24h'!F25,'04.08.Kyebando-Nsooba'!F25)</f>
        <v>14.714285714285714</v>
      </c>
      <c r="G25" s="49">
        <f>AVERAGE('29.07 KYEBANDO-NSOOBA'!G25,'30.07 KYEBANDO-NSOOBA'!G25,'31.08 KYEBANDO-NSOOBA'!G25,'02.08 KYEBANDO-NSOOBA'!G25,'01.08 KYEBANDO-NSOOBA-24h'!G25,'03.08 KYEBANDO-NSOOBA-24h'!G25,'04.08.Kyebando-Nsooba'!G25)</f>
        <v>0.2857142857142857</v>
      </c>
      <c r="H25" s="49">
        <f>AVERAGE('29.07 KYEBANDO-NSOOBA'!H25,'30.07 KYEBANDO-NSOOBA'!H25,'31.08 KYEBANDO-NSOOBA'!H25,'02.08 KYEBANDO-NSOOBA'!H25,'01.08 KYEBANDO-NSOOBA-24h'!H25,'03.08 KYEBANDO-NSOOBA-24h'!H25,'04.08.Kyebando-Nsooba'!H25)</f>
        <v>0</v>
      </c>
      <c r="I25" s="49">
        <f>AVERAGE('29.07 KYEBANDO-NSOOBA'!I25,'30.07 KYEBANDO-NSOOBA'!I25,'31.08 KYEBANDO-NSOOBA'!I25,'02.08 KYEBANDO-NSOOBA'!I25,'01.08 KYEBANDO-NSOOBA-24h'!I25,'03.08 KYEBANDO-NSOOBA-24h'!I25,'04.08.Kyebando-Nsooba'!I25)</f>
        <v>5.4285714285714288</v>
      </c>
      <c r="J25" s="49">
        <f>AVERAGE('29.07 KYEBANDO-NSOOBA'!J25,'30.07 KYEBANDO-NSOOBA'!J25,'31.08 KYEBANDO-NSOOBA'!J25,'02.08 KYEBANDO-NSOOBA'!J25,'01.08 KYEBANDO-NSOOBA-24h'!J25,'03.08 KYEBANDO-NSOOBA-24h'!J25,'04.08.Kyebando-Nsooba'!J25)</f>
        <v>1.1428571428571428</v>
      </c>
      <c r="K25" s="49">
        <f>AVERAGE('29.07 KYEBANDO-NSOOBA'!K25,'30.07 KYEBANDO-NSOOBA'!K25,'31.08 KYEBANDO-NSOOBA'!K25,'02.08 KYEBANDO-NSOOBA'!K25,'01.08 KYEBANDO-NSOOBA-24h'!K25,'03.08 KYEBANDO-NSOOBA-24h'!K25,'04.08.Kyebando-Nsooba'!K25)</f>
        <v>0.7142857142857143</v>
      </c>
      <c r="L25" s="49">
        <f>AVERAGE('29.07 KYEBANDO-NSOOBA'!L25,'30.07 KYEBANDO-NSOOBA'!L25,'31.08 KYEBANDO-NSOOBA'!L25,'02.08 KYEBANDO-NSOOBA'!L25,'01.08 KYEBANDO-NSOOBA-24h'!L25,'03.08 KYEBANDO-NSOOBA-24h'!L25,'04.08.Kyebando-Nsooba'!L25)</f>
        <v>0.2857142857142857</v>
      </c>
      <c r="M25" s="49">
        <f>AVERAGE('29.07 KYEBANDO-NSOOBA'!M25,'30.07 KYEBANDO-NSOOBA'!M25,'31.08 KYEBANDO-NSOOBA'!M25,'02.08 KYEBANDO-NSOOBA'!M25,'01.08 KYEBANDO-NSOOBA-24h'!M25,'03.08 KYEBANDO-NSOOBA-24h'!M25,'04.08.Kyebando-Nsooba'!M25)</f>
        <v>80</v>
      </c>
      <c r="N25" s="49">
        <f>AVERAGE('29.07 KYEBANDO-NSOOBA'!N25,'30.07 KYEBANDO-NSOOBA'!N25,'31.08 KYEBANDO-NSOOBA'!N25,'02.08 KYEBANDO-NSOOBA'!N25,'01.08 KYEBANDO-NSOOBA-24h'!N25,'03.08 KYEBANDO-NSOOBA-24h'!N25,'04.08.Kyebando-Nsooba'!N25)</f>
        <v>0</v>
      </c>
      <c r="O25" s="15">
        <f t="shared" si="0"/>
        <v>58.142857142857146</v>
      </c>
      <c r="P25" s="15">
        <f t="shared" si="1"/>
        <v>138.14285714285714</v>
      </c>
      <c r="R25" s="1" t="s">
        <v>149</v>
      </c>
      <c r="S25" s="34">
        <f>SUM(C70:C73)</f>
        <v>53.5</v>
      </c>
      <c r="T25" s="34">
        <f t="shared" ref="T25:AF25" si="17">SUM(D70:D73)</f>
        <v>8.5</v>
      </c>
      <c r="U25" s="34">
        <f t="shared" si="17"/>
        <v>7</v>
      </c>
      <c r="V25" s="34">
        <f t="shared" si="17"/>
        <v>9.5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1.5</v>
      </c>
      <c r="AA25" s="34">
        <f t="shared" si="17"/>
        <v>0</v>
      </c>
      <c r="AB25" s="34">
        <f t="shared" si="17"/>
        <v>0</v>
      </c>
      <c r="AC25" s="34">
        <f t="shared" si="17"/>
        <v>75</v>
      </c>
      <c r="AD25" s="34">
        <f t="shared" si="17"/>
        <v>0</v>
      </c>
      <c r="AE25" s="31">
        <f t="shared" si="17"/>
        <v>81</v>
      </c>
      <c r="AF25" s="31">
        <f t="shared" si="17"/>
        <v>156</v>
      </c>
    </row>
    <row r="26" spans="2:32" ht="23.1" customHeight="1" x14ac:dyDescent="0.25">
      <c r="B26" s="23" t="s">
        <v>53</v>
      </c>
      <c r="C26" s="49">
        <f>AVERAGE('29.07 KYEBANDO-NSOOBA'!C26,'30.07 KYEBANDO-NSOOBA'!C26,'31.08 KYEBANDO-NSOOBA'!C26,'02.08 KYEBANDO-NSOOBA'!C26,'01.08 KYEBANDO-NSOOBA-24h'!C26,'03.08 KYEBANDO-NSOOBA-24h'!C26,'04.08.Kyebando-Nsooba'!C26)</f>
        <v>25.428571428571427</v>
      </c>
      <c r="D26" s="49">
        <f>AVERAGE('29.07 KYEBANDO-NSOOBA'!D26,'30.07 KYEBANDO-NSOOBA'!D26,'31.08 KYEBANDO-NSOOBA'!D26,'02.08 KYEBANDO-NSOOBA'!D26,'01.08 KYEBANDO-NSOOBA-24h'!D26,'03.08 KYEBANDO-NSOOBA-24h'!D26,'04.08.Kyebando-Nsooba'!D26)</f>
        <v>7.8571428571428568</v>
      </c>
      <c r="E26" s="49">
        <f>AVERAGE('29.07 KYEBANDO-NSOOBA'!E26,'30.07 KYEBANDO-NSOOBA'!E26,'31.08 KYEBANDO-NSOOBA'!E26,'02.08 KYEBANDO-NSOOBA'!E26,'01.08 KYEBANDO-NSOOBA-24h'!E26,'03.08 KYEBANDO-NSOOBA-24h'!E26,'04.08.Kyebando-Nsooba'!E26)</f>
        <v>7.4285714285714288</v>
      </c>
      <c r="F26" s="49">
        <f>AVERAGE('29.07 KYEBANDO-NSOOBA'!F26,'30.07 KYEBANDO-NSOOBA'!F26,'31.08 KYEBANDO-NSOOBA'!F26,'02.08 KYEBANDO-NSOOBA'!F26,'01.08 KYEBANDO-NSOOBA-24h'!F26,'03.08 KYEBANDO-NSOOBA-24h'!F26,'04.08.Kyebando-Nsooba'!F26)</f>
        <v>16</v>
      </c>
      <c r="G26" s="49">
        <f>AVERAGE('29.07 KYEBANDO-NSOOBA'!G26,'30.07 KYEBANDO-NSOOBA'!G26,'31.08 KYEBANDO-NSOOBA'!G26,'02.08 KYEBANDO-NSOOBA'!G26,'01.08 KYEBANDO-NSOOBA-24h'!G26,'03.08 KYEBANDO-NSOOBA-24h'!G26,'04.08.Kyebando-Nsooba'!G26)</f>
        <v>0.14285714285714285</v>
      </c>
      <c r="H26" s="49">
        <f>AVERAGE('29.07 KYEBANDO-NSOOBA'!H26,'30.07 KYEBANDO-NSOOBA'!H26,'31.08 KYEBANDO-NSOOBA'!H26,'02.08 KYEBANDO-NSOOBA'!H26,'01.08 KYEBANDO-NSOOBA-24h'!H26,'03.08 KYEBANDO-NSOOBA-24h'!H26,'04.08.Kyebando-Nsooba'!H26)</f>
        <v>0</v>
      </c>
      <c r="I26" s="49">
        <f>AVERAGE('29.07 KYEBANDO-NSOOBA'!I26,'30.07 KYEBANDO-NSOOBA'!I26,'31.08 KYEBANDO-NSOOBA'!I26,'02.08 KYEBANDO-NSOOBA'!I26,'01.08 KYEBANDO-NSOOBA-24h'!I26,'03.08 KYEBANDO-NSOOBA-24h'!I26,'04.08.Kyebando-Nsooba'!I26)</f>
        <v>5.7142857142857144</v>
      </c>
      <c r="J26" s="49">
        <f>AVERAGE('29.07 KYEBANDO-NSOOBA'!J26,'30.07 KYEBANDO-NSOOBA'!J26,'31.08 KYEBANDO-NSOOBA'!J26,'02.08 KYEBANDO-NSOOBA'!J26,'01.08 KYEBANDO-NSOOBA-24h'!J26,'03.08 KYEBANDO-NSOOBA-24h'!J26,'04.08.Kyebando-Nsooba'!J26)</f>
        <v>1</v>
      </c>
      <c r="K26" s="49">
        <f>AVERAGE('29.07 KYEBANDO-NSOOBA'!K26,'30.07 KYEBANDO-NSOOBA'!K26,'31.08 KYEBANDO-NSOOBA'!K26,'02.08 KYEBANDO-NSOOBA'!K26,'01.08 KYEBANDO-NSOOBA-24h'!K26,'03.08 KYEBANDO-NSOOBA-24h'!K26,'04.08.Kyebando-Nsooba'!K26)</f>
        <v>0.42857142857142855</v>
      </c>
      <c r="L26" s="49">
        <f>AVERAGE('29.07 KYEBANDO-NSOOBA'!L26,'30.07 KYEBANDO-NSOOBA'!L26,'31.08 KYEBANDO-NSOOBA'!L26,'02.08 KYEBANDO-NSOOBA'!L26,'01.08 KYEBANDO-NSOOBA-24h'!L26,'03.08 KYEBANDO-NSOOBA-24h'!L26,'04.08.Kyebando-Nsooba'!L26)</f>
        <v>0</v>
      </c>
      <c r="M26" s="49">
        <f>AVERAGE('29.07 KYEBANDO-NSOOBA'!M26,'30.07 KYEBANDO-NSOOBA'!M26,'31.08 KYEBANDO-NSOOBA'!M26,'02.08 KYEBANDO-NSOOBA'!M26,'01.08 KYEBANDO-NSOOBA-24h'!M26,'03.08 KYEBANDO-NSOOBA-24h'!M26,'04.08.Kyebando-Nsooba'!M26)</f>
        <v>76.285714285714292</v>
      </c>
      <c r="N26" s="49">
        <f>AVERAGE('29.07 KYEBANDO-NSOOBA'!N26,'30.07 KYEBANDO-NSOOBA'!N26,'31.08 KYEBANDO-NSOOBA'!N26,'02.08 KYEBANDO-NSOOBA'!N26,'01.08 KYEBANDO-NSOOBA-24h'!N26,'03.08 KYEBANDO-NSOOBA-24h'!N26,'04.08.Kyebando-Nsooba'!N26)</f>
        <v>0</v>
      </c>
      <c r="O26" s="15">
        <f t="shared" si="0"/>
        <v>64</v>
      </c>
      <c r="P26" s="15">
        <f t="shared" si="1"/>
        <v>140.28571428571428</v>
      </c>
      <c r="R26" s="1" t="s">
        <v>150</v>
      </c>
      <c r="S26" s="34">
        <f>SUM(C74:C77)</f>
        <v>29.5</v>
      </c>
      <c r="T26" s="34">
        <f t="shared" ref="T26:AF26" si="18">SUM(D74:D77)</f>
        <v>4</v>
      </c>
      <c r="U26" s="34">
        <f t="shared" si="18"/>
        <v>4</v>
      </c>
      <c r="V26" s="34">
        <f t="shared" si="18"/>
        <v>3.5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0.5</v>
      </c>
      <c r="AA26" s="34">
        <f t="shared" si="18"/>
        <v>1</v>
      </c>
      <c r="AB26" s="34">
        <f t="shared" si="18"/>
        <v>0</v>
      </c>
      <c r="AC26" s="34">
        <f t="shared" si="18"/>
        <v>62.5</v>
      </c>
      <c r="AD26" s="34">
        <f t="shared" si="18"/>
        <v>0</v>
      </c>
      <c r="AE26" s="31">
        <f t="shared" si="18"/>
        <v>43.5</v>
      </c>
      <c r="AF26" s="31">
        <f t="shared" si="18"/>
        <v>106</v>
      </c>
    </row>
    <row r="27" spans="2:32" ht="23.1" customHeight="1" x14ac:dyDescent="0.25">
      <c r="B27" s="23" t="s">
        <v>54</v>
      </c>
      <c r="C27" s="49">
        <f>AVERAGE('29.07 KYEBANDO-NSOOBA'!C27,'30.07 KYEBANDO-NSOOBA'!C27,'31.08 KYEBANDO-NSOOBA'!C27,'02.08 KYEBANDO-NSOOBA'!C27,'01.08 KYEBANDO-NSOOBA-24h'!C27,'03.08 KYEBANDO-NSOOBA-24h'!C27,'04.08.Kyebando-Nsooba'!C27)</f>
        <v>26.857142857142858</v>
      </c>
      <c r="D27" s="49">
        <f>AVERAGE('29.07 KYEBANDO-NSOOBA'!D27,'30.07 KYEBANDO-NSOOBA'!D27,'31.08 KYEBANDO-NSOOBA'!D27,'02.08 KYEBANDO-NSOOBA'!D27,'01.08 KYEBANDO-NSOOBA-24h'!D27,'03.08 KYEBANDO-NSOOBA-24h'!D27,'04.08.Kyebando-Nsooba'!D27)</f>
        <v>10.571428571428571</v>
      </c>
      <c r="E27" s="49">
        <f>AVERAGE('29.07 KYEBANDO-NSOOBA'!E27,'30.07 KYEBANDO-NSOOBA'!E27,'31.08 KYEBANDO-NSOOBA'!E27,'02.08 KYEBANDO-NSOOBA'!E27,'01.08 KYEBANDO-NSOOBA-24h'!E27,'03.08 KYEBANDO-NSOOBA-24h'!E27,'04.08.Kyebando-Nsooba'!E27)</f>
        <v>4.7142857142857144</v>
      </c>
      <c r="F27" s="49">
        <f>AVERAGE('29.07 KYEBANDO-NSOOBA'!F27,'30.07 KYEBANDO-NSOOBA'!F27,'31.08 KYEBANDO-NSOOBA'!F27,'02.08 KYEBANDO-NSOOBA'!F27,'01.08 KYEBANDO-NSOOBA-24h'!F27,'03.08 KYEBANDO-NSOOBA-24h'!F27,'04.08.Kyebando-Nsooba'!F27)</f>
        <v>13.142857142857142</v>
      </c>
      <c r="G27" s="49">
        <f>AVERAGE('29.07 KYEBANDO-NSOOBA'!G27,'30.07 KYEBANDO-NSOOBA'!G27,'31.08 KYEBANDO-NSOOBA'!G27,'02.08 KYEBANDO-NSOOBA'!G27,'01.08 KYEBANDO-NSOOBA-24h'!G27,'03.08 KYEBANDO-NSOOBA-24h'!G27,'04.08.Kyebando-Nsooba'!G27)</f>
        <v>0.14285714285714285</v>
      </c>
      <c r="H27" s="49">
        <f>AVERAGE('29.07 KYEBANDO-NSOOBA'!H27,'30.07 KYEBANDO-NSOOBA'!H27,'31.08 KYEBANDO-NSOOBA'!H27,'02.08 KYEBANDO-NSOOBA'!H27,'01.08 KYEBANDO-NSOOBA-24h'!H27,'03.08 KYEBANDO-NSOOBA-24h'!H27,'04.08.Kyebando-Nsooba'!H27)</f>
        <v>0</v>
      </c>
      <c r="I27" s="49">
        <f>AVERAGE('29.07 KYEBANDO-NSOOBA'!I27,'30.07 KYEBANDO-NSOOBA'!I27,'31.08 KYEBANDO-NSOOBA'!I27,'02.08 KYEBANDO-NSOOBA'!I27,'01.08 KYEBANDO-NSOOBA-24h'!I27,'03.08 KYEBANDO-NSOOBA-24h'!I27,'04.08.Kyebando-Nsooba'!I27)</f>
        <v>3.7142857142857144</v>
      </c>
      <c r="J27" s="49">
        <f>AVERAGE('29.07 KYEBANDO-NSOOBA'!J27,'30.07 KYEBANDO-NSOOBA'!J27,'31.08 KYEBANDO-NSOOBA'!J27,'02.08 KYEBANDO-NSOOBA'!J27,'01.08 KYEBANDO-NSOOBA-24h'!J27,'03.08 KYEBANDO-NSOOBA-24h'!J27,'04.08.Kyebando-Nsooba'!J27)</f>
        <v>1.1428571428571428</v>
      </c>
      <c r="K27" s="49">
        <f>AVERAGE('29.07 KYEBANDO-NSOOBA'!K27,'30.07 KYEBANDO-NSOOBA'!K27,'31.08 KYEBANDO-NSOOBA'!K27,'02.08 KYEBANDO-NSOOBA'!K27,'01.08 KYEBANDO-NSOOBA-24h'!K27,'03.08 KYEBANDO-NSOOBA-24h'!K27,'04.08.Kyebando-Nsooba'!K27)</f>
        <v>0</v>
      </c>
      <c r="L27" s="49">
        <f>AVERAGE('29.07 KYEBANDO-NSOOBA'!L27,'30.07 KYEBANDO-NSOOBA'!L27,'31.08 KYEBANDO-NSOOBA'!L27,'02.08 KYEBANDO-NSOOBA'!L27,'01.08 KYEBANDO-NSOOBA-24h'!L27,'03.08 KYEBANDO-NSOOBA-24h'!L27,'04.08.Kyebando-Nsooba'!L27)</f>
        <v>0.14285714285714285</v>
      </c>
      <c r="M27" s="49">
        <f>AVERAGE('29.07 KYEBANDO-NSOOBA'!M27,'30.07 KYEBANDO-NSOOBA'!M27,'31.08 KYEBANDO-NSOOBA'!M27,'02.08 KYEBANDO-NSOOBA'!M27,'01.08 KYEBANDO-NSOOBA-24h'!M27,'03.08 KYEBANDO-NSOOBA-24h'!M27,'04.08.Kyebando-Nsooba'!M27)</f>
        <v>58</v>
      </c>
      <c r="N27" s="49">
        <f>AVERAGE('29.07 KYEBANDO-NSOOBA'!N27,'30.07 KYEBANDO-NSOOBA'!N27,'31.08 KYEBANDO-NSOOBA'!N27,'02.08 KYEBANDO-NSOOBA'!N27,'01.08 KYEBANDO-NSOOBA-24h'!N27,'03.08 KYEBANDO-NSOOBA-24h'!N27,'04.08.Kyebando-Nsooba'!N27)</f>
        <v>0</v>
      </c>
      <c r="O27" s="15">
        <f t="shared" si="0"/>
        <v>60.428571428571445</v>
      </c>
      <c r="P27" s="15">
        <f t="shared" si="1"/>
        <v>118.42857142857144</v>
      </c>
      <c r="R27" s="1" t="s">
        <v>151</v>
      </c>
      <c r="S27" s="34">
        <f>SUM(C78:C81)</f>
        <v>23.5</v>
      </c>
      <c r="T27" s="34">
        <f t="shared" ref="T27:AF27" si="19">SUM(D78:D81)</f>
        <v>1.5</v>
      </c>
      <c r="U27" s="34">
        <f t="shared" si="19"/>
        <v>1.5</v>
      </c>
      <c r="V27" s="34">
        <f t="shared" si="19"/>
        <v>2.5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42.5</v>
      </c>
      <c r="AD27" s="34">
        <f t="shared" si="19"/>
        <v>0</v>
      </c>
      <c r="AE27" s="31">
        <f t="shared" si="19"/>
        <v>30</v>
      </c>
      <c r="AF27" s="31">
        <f t="shared" si="19"/>
        <v>72.5</v>
      </c>
    </row>
    <row r="28" spans="2:32" ht="23.1" customHeight="1" x14ac:dyDescent="0.25">
      <c r="B28" s="23" t="s">
        <v>55</v>
      </c>
      <c r="C28" s="49">
        <f>AVERAGE('29.07 KYEBANDO-NSOOBA'!C28,'30.07 KYEBANDO-NSOOBA'!C28,'31.08 KYEBANDO-NSOOBA'!C28,'02.08 KYEBANDO-NSOOBA'!C28,'01.08 KYEBANDO-NSOOBA-24h'!C28,'03.08 KYEBANDO-NSOOBA-24h'!C28,'04.08.Kyebando-Nsooba'!C28)</f>
        <v>22.714285714285715</v>
      </c>
      <c r="D28" s="49">
        <f>AVERAGE('29.07 KYEBANDO-NSOOBA'!D28,'30.07 KYEBANDO-NSOOBA'!D28,'31.08 KYEBANDO-NSOOBA'!D28,'02.08 KYEBANDO-NSOOBA'!D28,'01.08 KYEBANDO-NSOOBA-24h'!D28,'03.08 KYEBANDO-NSOOBA-24h'!D28,'04.08.Kyebando-Nsooba'!D28)</f>
        <v>6.2857142857142856</v>
      </c>
      <c r="E28" s="49">
        <f>AVERAGE('29.07 KYEBANDO-NSOOBA'!E28,'30.07 KYEBANDO-NSOOBA'!E28,'31.08 KYEBANDO-NSOOBA'!E28,'02.08 KYEBANDO-NSOOBA'!E28,'01.08 KYEBANDO-NSOOBA-24h'!E28,'03.08 KYEBANDO-NSOOBA-24h'!E28,'04.08.Kyebando-Nsooba'!E28)</f>
        <v>4</v>
      </c>
      <c r="F28" s="49">
        <f>AVERAGE('29.07 KYEBANDO-NSOOBA'!F28,'30.07 KYEBANDO-NSOOBA'!F28,'31.08 KYEBANDO-NSOOBA'!F28,'02.08 KYEBANDO-NSOOBA'!F28,'01.08 KYEBANDO-NSOOBA-24h'!F28,'03.08 KYEBANDO-NSOOBA-24h'!F28,'04.08.Kyebando-Nsooba'!F28)</f>
        <v>10</v>
      </c>
      <c r="G28" s="49">
        <f>AVERAGE('29.07 KYEBANDO-NSOOBA'!G28,'30.07 KYEBANDO-NSOOBA'!G28,'31.08 KYEBANDO-NSOOBA'!G28,'02.08 KYEBANDO-NSOOBA'!G28,'01.08 KYEBANDO-NSOOBA-24h'!G28,'03.08 KYEBANDO-NSOOBA-24h'!G28,'04.08.Kyebando-Nsooba'!G28)</f>
        <v>0.14285714285714285</v>
      </c>
      <c r="H28" s="49">
        <f>AVERAGE('29.07 KYEBANDO-NSOOBA'!H28,'30.07 KYEBANDO-NSOOBA'!H28,'31.08 KYEBANDO-NSOOBA'!H28,'02.08 KYEBANDO-NSOOBA'!H28,'01.08 KYEBANDO-NSOOBA-24h'!H28,'03.08 KYEBANDO-NSOOBA-24h'!H28,'04.08.Kyebando-Nsooba'!H28)</f>
        <v>0</v>
      </c>
      <c r="I28" s="49">
        <f>AVERAGE('29.07 KYEBANDO-NSOOBA'!I28,'30.07 KYEBANDO-NSOOBA'!I28,'31.08 KYEBANDO-NSOOBA'!I28,'02.08 KYEBANDO-NSOOBA'!I28,'01.08 KYEBANDO-NSOOBA-24h'!I28,'03.08 KYEBANDO-NSOOBA-24h'!I28,'04.08.Kyebando-Nsooba'!I28)</f>
        <v>4.8571428571428568</v>
      </c>
      <c r="J28" s="49">
        <f>AVERAGE('29.07 KYEBANDO-NSOOBA'!J28,'30.07 KYEBANDO-NSOOBA'!J28,'31.08 KYEBANDO-NSOOBA'!J28,'02.08 KYEBANDO-NSOOBA'!J28,'01.08 KYEBANDO-NSOOBA-24h'!J28,'03.08 KYEBANDO-NSOOBA-24h'!J28,'04.08.Kyebando-Nsooba'!J28)</f>
        <v>1.1428571428571428</v>
      </c>
      <c r="K28" s="49">
        <f>AVERAGE('29.07 KYEBANDO-NSOOBA'!K28,'30.07 KYEBANDO-NSOOBA'!K28,'31.08 KYEBANDO-NSOOBA'!K28,'02.08 KYEBANDO-NSOOBA'!K28,'01.08 KYEBANDO-NSOOBA-24h'!K28,'03.08 KYEBANDO-NSOOBA-24h'!K28,'04.08.Kyebando-Nsooba'!K28)</f>
        <v>0.2857142857142857</v>
      </c>
      <c r="L28" s="49">
        <f>AVERAGE('29.07 KYEBANDO-NSOOBA'!L28,'30.07 KYEBANDO-NSOOBA'!L28,'31.08 KYEBANDO-NSOOBA'!L28,'02.08 KYEBANDO-NSOOBA'!L28,'01.08 KYEBANDO-NSOOBA-24h'!L28,'03.08 KYEBANDO-NSOOBA-24h'!L28,'04.08.Kyebando-Nsooba'!L28)</f>
        <v>0.14285714285714285</v>
      </c>
      <c r="M28" s="49">
        <f>AVERAGE('29.07 KYEBANDO-NSOOBA'!M28,'30.07 KYEBANDO-NSOOBA'!M28,'31.08 KYEBANDO-NSOOBA'!M28,'02.08 KYEBANDO-NSOOBA'!M28,'01.08 KYEBANDO-NSOOBA-24h'!M28,'03.08 KYEBANDO-NSOOBA-24h'!M28,'04.08.Kyebando-Nsooba'!M28)</f>
        <v>65.857142857142861</v>
      </c>
      <c r="N28" s="49">
        <f>AVERAGE('29.07 KYEBANDO-NSOOBA'!N28,'30.07 KYEBANDO-NSOOBA'!N28,'31.08 KYEBANDO-NSOOBA'!N28,'02.08 KYEBANDO-NSOOBA'!N28,'01.08 KYEBANDO-NSOOBA-24h'!N28,'03.08 KYEBANDO-NSOOBA-24h'!N28,'04.08.Kyebando-Nsooba'!N28)</f>
        <v>0</v>
      </c>
      <c r="O28" s="15">
        <f t="shared" si="0"/>
        <v>49.571428571428577</v>
      </c>
      <c r="P28" s="15">
        <f t="shared" si="1"/>
        <v>115.42857142857144</v>
      </c>
      <c r="R28" s="1" t="s">
        <v>152</v>
      </c>
      <c r="S28" s="34">
        <f>SUM(C82:C85)</f>
        <v>10.5</v>
      </c>
      <c r="T28" s="34">
        <f t="shared" ref="T28:AF28" si="20">SUM(D82:D85)</f>
        <v>0.5</v>
      </c>
      <c r="U28" s="34">
        <f t="shared" si="20"/>
        <v>0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26.5</v>
      </c>
      <c r="AD28" s="34">
        <f t="shared" si="20"/>
        <v>0</v>
      </c>
      <c r="AE28" s="31">
        <f t="shared" si="20"/>
        <v>12</v>
      </c>
      <c r="AF28" s="31">
        <f t="shared" si="20"/>
        <v>38.5</v>
      </c>
    </row>
    <row r="29" spans="2:32" ht="23.1" customHeight="1" x14ac:dyDescent="0.25">
      <c r="B29" s="23" t="s">
        <v>56</v>
      </c>
      <c r="C29" s="49">
        <f>AVERAGE('29.07 KYEBANDO-NSOOBA'!C29,'30.07 KYEBANDO-NSOOBA'!C29,'31.08 KYEBANDO-NSOOBA'!C29,'02.08 KYEBANDO-NSOOBA'!C29,'01.08 KYEBANDO-NSOOBA-24h'!C29,'03.08 KYEBANDO-NSOOBA-24h'!C29,'04.08.Kyebando-Nsooba'!C29)</f>
        <v>26.857142857142858</v>
      </c>
      <c r="D29" s="49">
        <f>AVERAGE('29.07 KYEBANDO-NSOOBA'!D29,'30.07 KYEBANDO-NSOOBA'!D29,'31.08 KYEBANDO-NSOOBA'!D29,'02.08 KYEBANDO-NSOOBA'!D29,'01.08 KYEBANDO-NSOOBA-24h'!D29,'03.08 KYEBANDO-NSOOBA-24h'!D29,'04.08.Kyebando-Nsooba'!D29)</f>
        <v>8.8571428571428577</v>
      </c>
      <c r="E29" s="49">
        <f>AVERAGE('29.07 KYEBANDO-NSOOBA'!E29,'30.07 KYEBANDO-NSOOBA'!E29,'31.08 KYEBANDO-NSOOBA'!E29,'02.08 KYEBANDO-NSOOBA'!E29,'01.08 KYEBANDO-NSOOBA-24h'!E29,'03.08 KYEBANDO-NSOOBA-24h'!E29,'04.08.Kyebando-Nsooba'!E29)</f>
        <v>6.8571428571428568</v>
      </c>
      <c r="F29" s="49">
        <f>AVERAGE('29.07 KYEBANDO-NSOOBA'!F29,'30.07 KYEBANDO-NSOOBA'!F29,'31.08 KYEBANDO-NSOOBA'!F29,'02.08 KYEBANDO-NSOOBA'!F29,'01.08 KYEBANDO-NSOOBA-24h'!F29,'03.08 KYEBANDO-NSOOBA-24h'!F29,'04.08.Kyebando-Nsooba'!F29)</f>
        <v>5.5714285714285712</v>
      </c>
      <c r="G29" s="49">
        <f>AVERAGE('29.07 KYEBANDO-NSOOBA'!G29,'30.07 KYEBANDO-NSOOBA'!G29,'31.08 KYEBANDO-NSOOBA'!G29,'02.08 KYEBANDO-NSOOBA'!G29,'01.08 KYEBANDO-NSOOBA-24h'!G29,'03.08 KYEBANDO-NSOOBA-24h'!G29,'04.08.Kyebando-Nsooba'!G29)</f>
        <v>0.14285714285714285</v>
      </c>
      <c r="H29" s="49">
        <f>AVERAGE('29.07 KYEBANDO-NSOOBA'!H29,'30.07 KYEBANDO-NSOOBA'!H29,'31.08 KYEBANDO-NSOOBA'!H29,'02.08 KYEBANDO-NSOOBA'!H29,'01.08 KYEBANDO-NSOOBA-24h'!H29,'03.08 KYEBANDO-NSOOBA-24h'!H29,'04.08.Kyebando-Nsooba'!H29)</f>
        <v>0.8571428571428571</v>
      </c>
      <c r="I29" s="49">
        <f>AVERAGE('29.07 KYEBANDO-NSOOBA'!I29,'30.07 KYEBANDO-NSOOBA'!I29,'31.08 KYEBANDO-NSOOBA'!I29,'02.08 KYEBANDO-NSOOBA'!I29,'01.08 KYEBANDO-NSOOBA-24h'!I29,'03.08 KYEBANDO-NSOOBA-24h'!I29,'04.08.Kyebando-Nsooba'!I29)</f>
        <v>5.4285714285714288</v>
      </c>
      <c r="J29" s="49">
        <f>AVERAGE('29.07 KYEBANDO-NSOOBA'!J29,'30.07 KYEBANDO-NSOOBA'!J29,'31.08 KYEBANDO-NSOOBA'!J29,'02.08 KYEBANDO-NSOOBA'!J29,'01.08 KYEBANDO-NSOOBA-24h'!J29,'03.08 KYEBANDO-NSOOBA-24h'!J29,'04.08.Kyebando-Nsooba'!J29)</f>
        <v>0.42857142857142855</v>
      </c>
      <c r="K29" s="49">
        <f>AVERAGE('29.07 KYEBANDO-NSOOBA'!K29,'30.07 KYEBANDO-NSOOBA'!K29,'31.08 KYEBANDO-NSOOBA'!K29,'02.08 KYEBANDO-NSOOBA'!K29,'01.08 KYEBANDO-NSOOBA-24h'!K29,'03.08 KYEBANDO-NSOOBA-24h'!K29,'04.08.Kyebando-Nsooba'!K29)</f>
        <v>0.14285714285714285</v>
      </c>
      <c r="L29" s="49">
        <f>AVERAGE('29.07 KYEBANDO-NSOOBA'!L29,'30.07 KYEBANDO-NSOOBA'!L29,'31.08 KYEBANDO-NSOOBA'!L29,'02.08 KYEBANDO-NSOOBA'!L29,'01.08 KYEBANDO-NSOOBA-24h'!L29,'03.08 KYEBANDO-NSOOBA-24h'!L29,'04.08.Kyebando-Nsooba'!L29)</f>
        <v>0.14285714285714285</v>
      </c>
      <c r="M29" s="49">
        <f>AVERAGE('29.07 KYEBANDO-NSOOBA'!M29,'30.07 KYEBANDO-NSOOBA'!M29,'31.08 KYEBANDO-NSOOBA'!M29,'02.08 KYEBANDO-NSOOBA'!M29,'01.08 KYEBANDO-NSOOBA-24h'!M29,'03.08 KYEBANDO-NSOOBA-24h'!M29,'04.08.Kyebando-Nsooba'!M29)</f>
        <v>69.142857142857139</v>
      </c>
      <c r="N29" s="49">
        <f>AVERAGE('29.07 KYEBANDO-NSOOBA'!N29,'30.07 KYEBANDO-NSOOBA'!N29,'31.08 KYEBANDO-NSOOBA'!N29,'02.08 KYEBANDO-NSOOBA'!N29,'01.08 KYEBANDO-NSOOBA-24h'!N29,'03.08 KYEBANDO-NSOOBA-24h'!N29,'04.08.Kyebando-Nsooba'!N29)</f>
        <v>0</v>
      </c>
      <c r="O29" s="15">
        <f t="shared" si="0"/>
        <v>55.285714285714292</v>
      </c>
      <c r="P29" s="15">
        <f t="shared" si="1"/>
        <v>124.42857142857143</v>
      </c>
      <c r="R29" s="1" t="s">
        <v>153</v>
      </c>
      <c r="S29" s="34">
        <f>SUM(C86:C89)</f>
        <v>6.5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18.5</v>
      </c>
      <c r="AD29" s="34">
        <f t="shared" si="21"/>
        <v>0</v>
      </c>
      <c r="AE29" s="31">
        <f t="shared" si="21"/>
        <v>7.5</v>
      </c>
      <c r="AF29" s="31">
        <f t="shared" si="21"/>
        <v>26</v>
      </c>
    </row>
    <row r="30" spans="2:32" ht="23.1" customHeight="1" x14ac:dyDescent="0.25">
      <c r="B30" s="23" t="s">
        <v>57</v>
      </c>
      <c r="C30" s="49">
        <f>AVERAGE('29.07 KYEBANDO-NSOOBA'!C30,'30.07 KYEBANDO-NSOOBA'!C30,'31.08 KYEBANDO-NSOOBA'!C30,'02.08 KYEBANDO-NSOOBA'!C30,'01.08 KYEBANDO-NSOOBA-24h'!C30,'03.08 KYEBANDO-NSOOBA-24h'!C30,'04.08.Kyebando-Nsooba'!C30)</f>
        <v>24</v>
      </c>
      <c r="D30" s="49">
        <f>AVERAGE('29.07 KYEBANDO-NSOOBA'!D30,'30.07 KYEBANDO-NSOOBA'!D30,'31.08 KYEBANDO-NSOOBA'!D30,'02.08 KYEBANDO-NSOOBA'!D30,'01.08 KYEBANDO-NSOOBA-24h'!D30,'03.08 KYEBANDO-NSOOBA-24h'!D30,'04.08.Kyebando-Nsooba'!D30)</f>
        <v>6.1428571428571432</v>
      </c>
      <c r="E30" s="49">
        <f>AVERAGE('29.07 KYEBANDO-NSOOBA'!E30,'30.07 KYEBANDO-NSOOBA'!E30,'31.08 KYEBANDO-NSOOBA'!E30,'02.08 KYEBANDO-NSOOBA'!E30,'01.08 KYEBANDO-NSOOBA-24h'!E30,'03.08 KYEBANDO-NSOOBA-24h'!E30,'04.08.Kyebando-Nsooba'!E30)</f>
        <v>5.1428571428571432</v>
      </c>
      <c r="F30" s="49">
        <f>AVERAGE('29.07 KYEBANDO-NSOOBA'!F30,'30.07 KYEBANDO-NSOOBA'!F30,'31.08 KYEBANDO-NSOOBA'!F30,'02.08 KYEBANDO-NSOOBA'!F30,'01.08 KYEBANDO-NSOOBA-24h'!F30,'03.08 KYEBANDO-NSOOBA-24h'!F30,'04.08.Kyebando-Nsooba'!F30)</f>
        <v>11.142857142857142</v>
      </c>
      <c r="G30" s="49">
        <f>AVERAGE('29.07 KYEBANDO-NSOOBA'!G30,'30.07 KYEBANDO-NSOOBA'!G30,'31.08 KYEBANDO-NSOOBA'!G30,'02.08 KYEBANDO-NSOOBA'!G30,'01.08 KYEBANDO-NSOOBA-24h'!G30,'03.08 KYEBANDO-NSOOBA-24h'!G30,'04.08.Kyebando-Nsooba'!G30)</f>
        <v>0.42857142857142855</v>
      </c>
      <c r="H30" s="49">
        <f>AVERAGE('29.07 KYEBANDO-NSOOBA'!H30,'30.07 KYEBANDO-NSOOBA'!H30,'31.08 KYEBANDO-NSOOBA'!H30,'02.08 KYEBANDO-NSOOBA'!H30,'01.08 KYEBANDO-NSOOBA-24h'!H30,'03.08 KYEBANDO-NSOOBA-24h'!H30,'04.08.Kyebando-Nsooba'!H30)</f>
        <v>0.14285714285714285</v>
      </c>
      <c r="I30" s="49">
        <f>AVERAGE('29.07 KYEBANDO-NSOOBA'!I30,'30.07 KYEBANDO-NSOOBA'!I30,'31.08 KYEBANDO-NSOOBA'!I30,'02.08 KYEBANDO-NSOOBA'!I30,'01.08 KYEBANDO-NSOOBA-24h'!I30,'03.08 KYEBANDO-NSOOBA-24h'!I30,'04.08.Kyebando-Nsooba'!I30)</f>
        <v>6</v>
      </c>
      <c r="J30" s="49">
        <f>AVERAGE('29.07 KYEBANDO-NSOOBA'!J30,'30.07 KYEBANDO-NSOOBA'!J30,'31.08 KYEBANDO-NSOOBA'!J30,'02.08 KYEBANDO-NSOOBA'!J30,'01.08 KYEBANDO-NSOOBA-24h'!J30,'03.08 KYEBANDO-NSOOBA-24h'!J30,'04.08.Kyebando-Nsooba'!J30)</f>
        <v>1.7142857142857142</v>
      </c>
      <c r="K30" s="49">
        <f>AVERAGE('29.07 KYEBANDO-NSOOBA'!K30,'30.07 KYEBANDO-NSOOBA'!K30,'31.08 KYEBANDO-NSOOBA'!K30,'02.08 KYEBANDO-NSOOBA'!K30,'01.08 KYEBANDO-NSOOBA-24h'!K30,'03.08 KYEBANDO-NSOOBA-24h'!K30,'04.08.Kyebando-Nsooba'!K30)</f>
        <v>0.7142857142857143</v>
      </c>
      <c r="L30" s="49">
        <f>AVERAGE('29.07 KYEBANDO-NSOOBA'!L30,'30.07 KYEBANDO-NSOOBA'!L30,'31.08 KYEBANDO-NSOOBA'!L30,'02.08 KYEBANDO-NSOOBA'!L30,'01.08 KYEBANDO-NSOOBA-24h'!L30,'03.08 KYEBANDO-NSOOBA-24h'!L30,'04.08.Kyebando-Nsooba'!L30)</f>
        <v>0</v>
      </c>
      <c r="M30" s="49">
        <f>AVERAGE('29.07 KYEBANDO-NSOOBA'!M30,'30.07 KYEBANDO-NSOOBA'!M30,'31.08 KYEBANDO-NSOOBA'!M30,'02.08 KYEBANDO-NSOOBA'!M30,'01.08 KYEBANDO-NSOOBA-24h'!M30,'03.08 KYEBANDO-NSOOBA-24h'!M30,'04.08.Kyebando-Nsooba'!M30)</f>
        <v>65.142857142857139</v>
      </c>
      <c r="N30" s="49">
        <f>AVERAGE('29.07 KYEBANDO-NSOOBA'!N30,'30.07 KYEBANDO-NSOOBA'!N30,'31.08 KYEBANDO-NSOOBA'!N30,'02.08 KYEBANDO-NSOOBA'!N30,'01.08 KYEBANDO-NSOOBA-24h'!N30,'03.08 KYEBANDO-NSOOBA-24h'!N30,'04.08.Kyebando-Nsooba'!N30)</f>
        <v>0</v>
      </c>
      <c r="O30" s="15">
        <f t="shared" si="0"/>
        <v>55.428571428571438</v>
      </c>
      <c r="P30" s="15">
        <f t="shared" si="1"/>
        <v>120.57142857142858</v>
      </c>
      <c r="R30" s="1" t="s">
        <v>154</v>
      </c>
      <c r="S30" s="34">
        <f>SUM(C90:C93)</f>
        <v>3.5</v>
      </c>
      <c r="T30" s="34">
        <f t="shared" ref="T30:AF30" si="22">SUM(D90:D93)</f>
        <v>0.5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14</v>
      </c>
      <c r="AD30" s="34">
        <f t="shared" si="22"/>
        <v>0</v>
      </c>
      <c r="AE30" s="31">
        <f t="shared" si="22"/>
        <v>5</v>
      </c>
      <c r="AF30" s="31">
        <f t="shared" si="22"/>
        <v>19</v>
      </c>
    </row>
    <row r="31" spans="2:32" ht="23.1" customHeight="1" x14ac:dyDescent="0.25">
      <c r="B31" s="24" t="s">
        <v>58</v>
      </c>
      <c r="C31" s="49">
        <f>AVERAGE('29.07 KYEBANDO-NSOOBA'!C31,'30.07 KYEBANDO-NSOOBA'!C31,'31.08 KYEBANDO-NSOOBA'!C31,'02.08 KYEBANDO-NSOOBA'!C31,'01.08 KYEBANDO-NSOOBA-24h'!C31,'03.08 KYEBANDO-NSOOBA-24h'!C31,'04.08.Kyebando-Nsooba'!C31)</f>
        <v>22.571428571428573</v>
      </c>
      <c r="D31" s="49">
        <f>AVERAGE('29.07 KYEBANDO-NSOOBA'!D31,'30.07 KYEBANDO-NSOOBA'!D31,'31.08 KYEBANDO-NSOOBA'!D31,'02.08 KYEBANDO-NSOOBA'!D31,'01.08 KYEBANDO-NSOOBA-24h'!D31,'03.08 KYEBANDO-NSOOBA-24h'!D31,'04.08.Kyebando-Nsooba'!D31)</f>
        <v>6.4285714285714288</v>
      </c>
      <c r="E31" s="49">
        <f>AVERAGE('29.07 KYEBANDO-NSOOBA'!E31,'30.07 KYEBANDO-NSOOBA'!E31,'31.08 KYEBANDO-NSOOBA'!E31,'02.08 KYEBANDO-NSOOBA'!E31,'01.08 KYEBANDO-NSOOBA-24h'!E31,'03.08 KYEBANDO-NSOOBA-24h'!E31,'04.08.Kyebando-Nsooba'!E31)</f>
        <v>4</v>
      </c>
      <c r="F31" s="49">
        <f>AVERAGE('29.07 KYEBANDO-NSOOBA'!F31,'30.07 KYEBANDO-NSOOBA'!F31,'31.08 KYEBANDO-NSOOBA'!F31,'02.08 KYEBANDO-NSOOBA'!F31,'01.08 KYEBANDO-NSOOBA-24h'!F31,'03.08 KYEBANDO-NSOOBA-24h'!F31,'04.08.Kyebando-Nsooba'!F31)</f>
        <v>8.5714285714285712</v>
      </c>
      <c r="G31" s="49">
        <f>AVERAGE('29.07 KYEBANDO-NSOOBA'!G31,'30.07 KYEBANDO-NSOOBA'!G31,'31.08 KYEBANDO-NSOOBA'!G31,'02.08 KYEBANDO-NSOOBA'!G31,'01.08 KYEBANDO-NSOOBA-24h'!G31,'03.08 KYEBANDO-NSOOBA-24h'!G31,'04.08.Kyebando-Nsooba'!G31)</f>
        <v>0.14285714285714285</v>
      </c>
      <c r="H31" s="49">
        <f>AVERAGE('29.07 KYEBANDO-NSOOBA'!H31,'30.07 KYEBANDO-NSOOBA'!H31,'31.08 KYEBANDO-NSOOBA'!H31,'02.08 KYEBANDO-NSOOBA'!H31,'01.08 KYEBANDO-NSOOBA-24h'!H31,'03.08 KYEBANDO-NSOOBA-24h'!H31,'04.08.Kyebando-Nsooba'!H31)</f>
        <v>0</v>
      </c>
      <c r="I31" s="49">
        <f>AVERAGE('29.07 KYEBANDO-NSOOBA'!I31,'30.07 KYEBANDO-NSOOBA'!I31,'31.08 KYEBANDO-NSOOBA'!I31,'02.08 KYEBANDO-NSOOBA'!I31,'01.08 KYEBANDO-NSOOBA-24h'!I31,'03.08 KYEBANDO-NSOOBA-24h'!I31,'04.08.Kyebando-Nsooba'!I31)</f>
        <v>5.7142857142857144</v>
      </c>
      <c r="J31" s="49">
        <f>AVERAGE('29.07 KYEBANDO-NSOOBA'!J31,'30.07 KYEBANDO-NSOOBA'!J31,'31.08 KYEBANDO-NSOOBA'!J31,'02.08 KYEBANDO-NSOOBA'!J31,'01.08 KYEBANDO-NSOOBA-24h'!J31,'03.08 KYEBANDO-NSOOBA-24h'!J31,'04.08.Kyebando-Nsooba'!J31)</f>
        <v>0.8571428571428571</v>
      </c>
      <c r="K31" s="49">
        <f>AVERAGE('29.07 KYEBANDO-NSOOBA'!K31,'30.07 KYEBANDO-NSOOBA'!K31,'31.08 KYEBANDO-NSOOBA'!K31,'02.08 KYEBANDO-NSOOBA'!K31,'01.08 KYEBANDO-NSOOBA-24h'!K31,'03.08 KYEBANDO-NSOOBA-24h'!K31,'04.08.Kyebando-Nsooba'!K31)</f>
        <v>0.5714285714285714</v>
      </c>
      <c r="L31" s="49">
        <f>AVERAGE('29.07 KYEBANDO-NSOOBA'!L31,'30.07 KYEBANDO-NSOOBA'!L31,'31.08 KYEBANDO-NSOOBA'!L31,'02.08 KYEBANDO-NSOOBA'!L31,'01.08 KYEBANDO-NSOOBA-24h'!L31,'03.08 KYEBANDO-NSOOBA-24h'!L31,'04.08.Kyebando-Nsooba'!L31)</f>
        <v>0.42857142857142855</v>
      </c>
      <c r="M31" s="49">
        <f>AVERAGE('29.07 KYEBANDO-NSOOBA'!M31,'30.07 KYEBANDO-NSOOBA'!M31,'31.08 KYEBANDO-NSOOBA'!M31,'02.08 KYEBANDO-NSOOBA'!M31,'01.08 KYEBANDO-NSOOBA-24h'!M31,'03.08 KYEBANDO-NSOOBA-24h'!M31,'04.08.Kyebando-Nsooba'!M31)</f>
        <v>59.714285714285715</v>
      </c>
      <c r="N31" s="49">
        <f>AVERAGE('29.07 KYEBANDO-NSOOBA'!N31,'30.07 KYEBANDO-NSOOBA'!N31,'31.08 KYEBANDO-NSOOBA'!N31,'02.08 KYEBANDO-NSOOBA'!N31,'01.08 KYEBANDO-NSOOBA-24h'!N31,'03.08 KYEBANDO-NSOOBA-24h'!N31,'04.08.Kyebando-Nsooba'!N31)</f>
        <v>0</v>
      </c>
      <c r="O31" s="15">
        <f t="shared" si="0"/>
        <v>49.285714285714285</v>
      </c>
      <c r="P31" s="15">
        <f t="shared" si="1"/>
        <v>109</v>
      </c>
      <c r="R31" s="1" t="s">
        <v>155</v>
      </c>
      <c r="S31" s="34">
        <f>SUM(C94:C97)</f>
        <v>4.5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</v>
      </c>
      <c r="AA31" s="34">
        <f t="shared" si="23"/>
        <v>0</v>
      </c>
      <c r="AB31" s="34">
        <f t="shared" si="23"/>
        <v>0.5</v>
      </c>
      <c r="AC31" s="34">
        <f t="shared" si="23"/>
        <v>11</v>
      </c>
      <c r="AD31" s="34">
        <f t="shared" si="23"/>
        <v>0</v>
      </c>
      <c r="AE31" s="31">
        <f t="shared" si="23"/>
        <v>5.5</v>
      </c>
      <c r="AF31" s="31">
        <f t="shared" si="23"/>
        <v>16.5</v>
      </c>
    </row>
    <row r="32" spans="2:32" ht="23.1" customHeight="1" x14ac:dyDescent="0.25">
      <c r="B32" s="24" t="s">
        <v>59</v>
      </c>
      <c r="C32" s="49">
        <f>AVERAGE('29.07 KYEBANDO-NSOOBA'!C32,'30.07 KYEBANDO-NSOOBA'!C32,'31.08 KYEBANDO-NSOOBA'!C32,'02.08 KYEBANDO-NSOOBA'!C32,'01.08 KYEBANDO-NSOOBA-24h'!C32,'03.08 KYEBANDO-NSOOBA-24h'!C32,'04.08.Kyebando-Nsooba'!C32)</f>
        <v>21.571428571428573</v>
      </c>
      <c r="D32" s="49">
        <f>AVERAGE('29.07 KYEBANDO-NSOOBA'!D32,'30.07 KYEBANDO-NSOOBA'!D32,'31.08 KYEBANDO-NSOOBA'!D32,'02.08 KYEBANDO-NSOOBA'!D32,'01.08 KYEBANDO-NSOOBA-24h'!D32,'03.08 KYEBANDO-NSOOBA-24h'!D32,'04.08.Kyebando-Nsooba'!D32)</f>
        <v>7.5714285714285712</v>
      </c>
      <c r="E32" s="49">
        <f>AVERAGE('29.07 KYEBANDO-NSOOBA'!E32,'30.07 KYEBANDO-NSOOBA'!E32,'31.08 KYEBANDO-NSOOBA'!E32,'02.08 KYEBANDO-NSOOBA'!E32,'01.08 KYEBANDO-NSOOBA-24h'!E32,'03.08 KYEBANDO-NSOOBA-24h'!E32,'04.08.Kyebando-Nsooba'!E32)</f>
        <v>5.1428571428571432</v>
      </c>
      <c r="F32" s="49">
        <f>AVERAGE('29.07 KYEBANDO-NSOOBA'!F32,'30.07 KYEBANDO-NSOOBA'!F32,'31.08 KYEBANDO-NSOOBA'!F32,'02.08 KYEBANDO-NSOOBA'!F32,'01.08 KYEBANDO-NSOOBA-24h'!F32,'03.08 KYEBANDO-NSOOBA-24h'!F32,'04.08.Kyebando-Nsooba'!F32)</f>
        <v>10.714285714285714</v>
      </c>
      <c r="G32" s="49">
        <f>AVERAGE('29.07 KYEBANDO-NSOOBA'!G32,'30.07 KYEBANDO-NSOOBA'!G32,'31.08 KYEBANDO-NSOOBA'!G32,'02.08 KYEBANDO-NSOOBA'!G32,'01.08 KYEBANDO-NSOOBA-24h'!G32,'03.08 KYEBANDO-NSOOBA-24h'!G32,'04.08.Kyebando-Nsooba'!G32)</f>
        <v>0.14285714285714285</v>
      </c>
      <c r="H32" s="49">
        <f>AVERAGE('29.07 KYEBANDO-NSOOBA'!H32,'30.07 KYEBANDO-NSOOBA'!H32,'31.08 KYEBANDO-NSOOBA'!H32,'02.08 KYEBANDO-NSOOBA'!H32,'01.08 KYEBANDO-NSOOBA-24h'!H32,'03.08 KYEBANDO-NSOOBA-24h'!H32,'04.08.Kyebando-Nsooba'!H32)</f>
        <v>0</v>
      </c>
      <c r="I32" s="49">
        <f>AVERAGE('29.07 KYEBANDO-NSOOBA'!I32,'30.07 KYEBANDO-NSOOBA'!I32,'31.08 KYEBANDO-NSOOBA'!I32,'02.08 KYEBANDO-NSOOBA'!I32,'01.08 KYEBANDO-NSOOBA-24h'!I32,'03.08 KYEBANDO-NSOOBA-24h'!I32,'04.08.Kyebando-Nsooba'!I32)</f>
        <v>4.7142857142857144</v>
      </c>
      <c r="J32" s="49">
        <f>AVERAGE('29.07 KYEBANDO-NSOOBA'!J32,'30.07 KYEBANDO-NSOOBA'!J32,'31.08 KYEBANDO-NSOOBA'!J32,'02.08 KYEBANDO-NSOOBA'!J32,'01.08 KYEBANDO-NSOOBA-24h'!J32,'03.08 KYEBANDO-NSOOBA-24h'!J32,'04.08.Kyebando-Nsooba'!J32)</f>
        <v>1.2857142857142858</v>
      </c>
      <c r="K32" s="49">
        <f>AVERAGE('29.07 KYEBANDO-NSOOBA'!K32,'30.07 KYEBANDO-NSOOBA'!K32,'31.08 KYEBANDO-NSOOBA'!K32,'02.08 KYEBANDO-NSOOBA'!K32,'01.08 KYEBANDO-NSOOBA-24h'!K32,'03.08 KYEBANDO-NSOOBA-24h'!K32,'04.08.Kyebando-Nsooba'!K32)</f>
        <v>0.5714285714285714</v>
      </c>
      <c r="L32" s="49">
        <f>AVERAGE('29.07 KYEBANDO-NSOOBA'!L32,'30.07 KYEBANDO-NSOOBA'!L32,'31.08 KYEBANDO-NSOOBA'!L32,'02.08 KYEBANDO-NSOOBA'!L32,'01.08 KYEBANDO-NSOOBA-24h'!L32,'03.08 KYEBANDO-NSOOBA-24h'!L32,'04.08.Kyebando-Nsooba'!L32)</f>
        <v>0.14285714285714285</v>
      </c>
      <c r="M32" s="49">
        <f>AVERAGE('29.07 KYEBANDO-NSOOBA'!M32,'30.07 KYEBANDO-NSOOBA'!M32,'31.08 KYEBANDO-NSOOBA'!M32,'02.08 KYEBANDO-NSOOBA'!M32,'01.08 KYEBANDO-NSOOBA-24h'!M32,'03.08 KYEBANDO-NSOOBA-24h'!M32,'04.08.Kyebando-Nsooba'!M32)</f>
        <v>57</v>
      </c>
      <c r="N32" s="49">
        <f>AVERAGE('29.07 KYEBANDO-NSOOBA'!N32,'30.07 KYEBANDO-NSOOBA'!N32,'31.08 KYEBANDO-NSOOBA'!N32,'02.08 KYEBANDO-NSOOBA'!N32,'01.08 KYEBANDO-NSOOBA-24h'!N32,'03.08 KYEBANDO-NSOOBA-24h'!N32,'04.08.Kyebando-Nsooba'!N32)</f>
        <v>0</v>
      </c>
      <c r="O32" s="15">
        <f t="shared" si="0"/>
        <v>51.857142857142868</v>
      </c>
      <c r="P32" s="15">
        <f t="shared" si="1"/>
        <v>108.85714285714286</v>
      </c>
      <c r="R32" s="1" t="s">
        <v>156</v>
      </c>
      <c r="S32" s="34">
        <f>SUM(C98:C101)</f>
        <v>10</v>
      </c>
      <c r="T32" s="34">
        <f t="shared" ref="T32:AF32" si="24">SUM(D98:D101)</f>
        <v>1.5</v>
      </c>
      <c r="U32" s="34">
        <f t="shared" si="24"/>
        <v>0</v>
      </c>
      <c r="V32" s="34">
        <f t="shared" si="24"/>
        <v>6.5</v>
      </c>
      <c r="W32" s="34">
        <f t="shared" si="24"/>
        <v>2</v>
      </c>
      <c r="X32" s="34">
        <f t="shared" si="24"/>
        <v>0</v>
      </c>
      <c r="Y32" s="34">
        <f t="shared" si="24"/>
        <v>0.5</v>
      </c>
      <c r="Z32" s="34">
        <f t="shared" si="24"/>
        <v>1.5</v>
      </c>
      <c r="AA32" s="34">
        <f t="shared" si="24"/>
        <v>0</v>
      </c>
      <c r="AB32" s="34">
        <f t="shared" si="24"/>
        <v>0</v>
      </c>
      <c r="AC32" s="34">
        <f t="shared" si="24"/>
        <v>22.5</v>
      </c>
      <c r="AD32" s="34">
        <f t="shared" si="24"/>
        <v>0</v>
      </c>
      <c r="AE32" s="31">
        <f t="shared" si="24"/>
        <v>22</v>
      </c>
      <c r="AF32" s="31">
        <f t="shared" si="24"/>
        <v>44.5</v>
      </c>
    </row>
    <row r="33" spans="2:32" ht="23.1" customHeight="1" x14ac:dyDescent="0.25">
      <c r="B33" s="23" t="s">
        <v>60</v>
      </c>
      <c r="C33" s="49">
        <f>AVERAGE('29.07 KYEBANDO-NSOOBA'!C33,'30.07 KYEBANDO-NSOOBA'!C33,'31.08 KYEBANDO-NSOOBA'!C33,'02.08 KYEBANDO-NSOOBA'!C33,'01.08 KYEBANDO-NSOOBA-24h'!C33,'03.08 KYEBANDO-NSOOBA-24h'!C33,'04.08.Kyebando-Nsooba'!C33)</f>
        <v>20.857142857142858</v>
      </c>
      <c r="D33" s="49">
        <f>AVERAGE('29.07 KYEBANDO-NSOOBA'!D33,'30.07 KYEBANDO-NSOOBA'!D33,'31.08 KYEBANDO-NSOOBA'!D33,'02.08 KYEBANDO-NSOOBA'!D33,'01.08 KYEBANDO-NSOOBA-24h'!D33,'03.08 KYEBANDO-NSOOBA-24h'!D33,'04.08.Kyebando-Nsooba'!D33)</f>
        <v>8.8571428571428577</v>
      </c>
      <c r="E33" s="49">
        <f>AVERAGE('29.07 KYEBANDO-NSOOBA'!E33,'30.07 KYEBANDO-NSOOBA'!E33,'31.08 KYEBANDO-NSOOBA'!E33,'02.08 KYEBANDO-NSOOBA'!E33,'01.08 KYEBANDO-NSOOBA-24h'!E33,'03.08 KYEBANDO-NSOOBA-24h'!E33,'04.08.Kyebando-Nsooba'!E33)</f>
        <v>3.2857142857142856</v>
      </c>
      <c r="F33" s="49">
        <f>AVERAGE('29.07 KYEBANDO-NSOOBA'!F33,'30.07 KYEBANDO-NSOOBA'!F33,'31.08 KYEBANDO-NSOOBA'!F33,'02.08 KYEBANDO-NSOOBA'!F33,'01.08 KYEBANDO-NSOOBA-24h'!F33,'03.08 KYEBANDO-NSOOBA-24h'!F33,'04.08.Kyebando-Nsooba'!F33)</f>
        <v>9.2857142857142865</v>
      </c>
      <c r="G33" s="49">
        <f>AVERAGE('29.07 KYEBANDO-NSOOBA'!G33,'30.07 KYEBANDO-NSOOBA'!G33,'31.08 KYEBANDO-NSOOBA'!G33,'02.08 KYEBANDO-NSOOBA'!G33,'01.08 KYEBANDO-NSOOBA-24h'!G33,'03.08 KYEBANDO-NSOOBA-24h'!G33,'04.08.Kyebando-Nsooba'!G33)</f>
        <v>0.5714285714285714</v>
      </c>
      <c r="H33" s="49">
        <f>AVERAGE('29.07 KYEBANDO-NSOOBA'!H33,'30.07 KYEBANDO-NSOOBA'!H33,'31.08 KYEBANDO-NSOOBA'!H33,'02.08 KYEBANDO-NSOOBA'!H33,'01.08 KYEBANDO-NSOOBA-24h'!H33,'03.08 KYEBANDO-NSOOBA-24h'!H33,'04.08.Kyebando-Nsooba'!H33)</f>
        <v>0</v>
      </c>
      <c r="I33" s="49">
        <f>AVERAGE('29.07 KYEBANDO-NSOOBA'!I33,'30.07 KYEBANDO-NSOOBA'!I33,'31.08 KYEBANDO-NSOOBA'!I33,'02.08 KYEBANDO-NSOOBA'!I33,'01.08 KYEBANDO-NSOOBA-24h'!I33,'03.08 KYEBANDO-NSOOBA-24h'!I33,'04.08.Kyebando-Nsooba'!I33)</f>
        <v>14.285714285714286</v>
      </c>
      <c r="J33" s="49">
        <f>AVERAGE('29.07 KYEBANDO-NSOOBA'!J33,'30.07 KYEBANDO-NSOOBA'!J33,'31.08 KYEBANDO-NSOOBA'!J33,'02.08 KYEBANDO-NSOOBA'!J33,'01.08 KYEBANDO-NSOOBA-24h'!J33,'03.08 KYEBANDO-NSOOBA-24h'!J33,'04.08.Kyebando-Nsooba'!J33)</f>
        <v>2</v>
      </c>
      <c r="K33" s="49">
        <f>AVERAGE('29.07 KYEBANDO-NSOOBA'!K33,'30.07 KYEBANDO-NSOOBA'!K33,'31.08 KYEBANDO-NSOOBA'!K33,'02.08 KYEBANDO-NSOOBA'!K33,'01.08 KYEBANDO-NSOOBA-24h'!K33,'03.08 KYEBANDO-NSOOBA-24h'!K33,'04.08.Kyebando-Nsooba'!K33)</f>
        <v>0.2857142857142857</v>
      </c>
      <c r="L33" s="49">
        <f>AVERAGE('29.07 KYEBANDO-NSOOBA'!L33,'30.07 KYEBANDO-NSOOBA'!L33,'31.08 KYEBANDO-NSOOBA'!L33,'02.08 KYEBANDO-NSOOBA'!L33,'01.08 KYEBANDO-NSOOBA-24h'!L33,'03.08 KYEBANDO-NSOOBA-24h'!L33,'04.08.Kyebando-Nsooba'!L33)</f>
        <v>0</v>
      </c>
      <c r="M33" s="49">
        <f>AVERAGE('29.07 KYEBANDO-NSOOBA'!M33,'30.07 KYEBANDO-NSOOBA'!M33,'31.08 KYEBANDO-NSOOBA'!M33,'02.08 KYEBANDO-NSOOBA'!M33,'01.08 KYEBANDO-NSOOBA-24h'!M33,'03.08 KYEBANDO-NSOOBA-24h'!M33,'04.08.Kyebando-Nsooba'!M33)</f>
        <v>52.714285714285715</v>
      </c>
      <c r="N33" s="49">
        <f>AVERAGE('29.07 KYEBANDO-NSOOBA'!N33,'30.07 KYEBANDO-NSOOBA'!N33,'31.08 KYEBANDO-NSOOBA'!N33,'02.08 KYEBANDO-NSOOBA'!N33,'01.08 KYEBANDO-NSOOBA-24h'!N33,'03.08 KYEBANDO-NSOOBA-24h'!N33,'04.08.Kyebando-Nsooba'!N33)</f>
        <v>0</v>
      </c>
      <c r="O33" s="15">
        <f t="shared" si="0"/>
        <v>59.428571428571423</v>
      </c>
      <c r="P33" s="15">
        <f t="shared" si="1"/>
        <v>112.14285714285714</v>
      </c>
      <c r="R33" s="1" t="s">
        <v>157</v>
      </c>
      <c r="S33" s="34">
        <f>SUM(C102:C105)</f>
        <v>11.5</v>
      </c>
      <c r="T33" s="34">
        <f t="shared" ref="T33:AF33" si="25">SUM(D102:D105)</f>
        <v>8.5</v>
      </c>
      <c r="U33" s="34">
        <f t="shared" si="25"/>
        <v>3</v>
      </c>
      <c r="V33" s="34">
        <f t="shared" si="25"/>
        <v>13.5</v>
      </c>
      <c r="W33" s="34">
        <f t="shared" si="25"/>
        <v>1</v>
      </c>
      <c r="X33" s="34">
        <f t="shared" si="25"/>
        <v>0</v>
      </c>
      <c r="Y33" s="34">
        <f t="shared" si="25"/>
        <v>1.5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28</v>
      </c>
      <c r="AD33" s="34">
        <f t="shared" si="25"/>
        <v>0</v>
      </c>
      <c r="AE33" s="31">
        <f t="shared" si="25"/>
        <v>39</v>
      </c>
      <c r="AF33" s="31">
        <f t="shared" si="25"/>
        <v>67</v>
      </c>
    </row>
    <row r="34" spans="2:32" ht="23.1" customHeight="1" x14ac:dyDescent="0.25">
      <c r="B34" s="24" t="s">
        <v>61</v>
      </c>
      <c r="C34" s="49">
        <f>AVERAGE('29.07 KYEBANDO-NSOOBA'!C34,'30.07 KYEBANDO-NSOOBA'!C34,'31.08 KYEBANDO-NSOOBA'!C34,'02.08 KYEBANDO-NSOOBA'!C34,'01.08 KYEBANDO-NSOOBA-24h'!C34,'03.08 KYEBANDO-NSOOBA-24h'!C34,'04.08.Kyebando-Nsooba'!C34)</f>
        <v>29.857142857142858</v>
      </c>
      <c r="D34" s="49">
        <f>AVERAGE('29.07 KYEBANDO-NSOOBA'!D34,'30.07 KYEBANDO-NSOOBA'!D34,'31.08 KYEBANDO-NSOOBA'!D34,'02.08 KYEBANDO-NSOOBA'!D34,'01.08 KYEBANDO-NSOOBA-24h'!D34,'03.08 KYEBANDO-NSOOBA-24h'!D34,'04.08.Kyebando-Nsooba'!D34)</f>
        <v>7.5714285714285712</v>
      </c>
      <c r="E34" s="49">
        <f>AVERAGE('29.07 KYEBANDO-NSOOBA'!E34,'30.07 KYEBANDO-NSOOBA'!E34,'31.08 KYEBANDO-NSOOBA'!E34,'02.08 KYEBANDO-NSOOBA'!E34,'01.08 KYEBANDO-NSOOBA-24h'!E34,'03.08 KYEBANDO-NSOOBA-24h'!E34,'04.08.Kyebando-Nsooba'!E34)</f>
        <v>5.1428571428571432</v>
      </c>
      <c r="F34" s="49">
        <f>AVERAGE('29.07 KYEBANDO-NSOOBA'!F34,'30.07 KYEBANDO-NSOOBA'!F34,'31.08 KYEBANDO-NSOOBA'!F34,'02.08 KYEBANDO-NSOOBA'!F34,'01.08 KYEBANDO-NSOOBA-24h'!F34,'03.08 KYEBANDO-NSOOBA-24h'!F34,'04.08.Kyebando-Nsooba'!F34)</f>
        <v>12.428571428571429</v>
      </c>
      <c r="G34" s="49">
        <f>AVERAGE('29.07 KYEBANDO-NSOOBA'!G34,'30.07 KYEBANDO-NSOOBA'!G34,'31.08 KYEBANDO-NSOOBA'!G34,'02.08 KYEBANDO-NSOOBA'!G34,'01.08 KYEBANDO-NSOOBA-24h'!G34,'03.08 KYEBANDO-NSOOBA-24h'!G34,'04.08.Kyebando-Nsooba'!G34)</f>
        <v>0.7142857142857143</v>
      </c>
      <c r="H34" s="49">
        <f>AVERAGE('29.07 KYEBANDO-NSOOBA'!H34,'30.07 KYEBANDO-NSOOBA'!H34,'31.08 KYEBANDO-NSOOBA'!H34,'02.08 KYEBANDO-NSOOBA'!H34,'01.08 KYEBANDO-NSOOBA-24h'!H34,'03.08 KYEBANDO-NSOOBA-24h'!H34,'04.08.Kyebando-Nsooba'!H34)</f>
        <v>0.14285714285714285</v>
      </c>
      <c r="I34" s="49">
        <f>AVERAGE('29.07 KYEBANDO-NSOOBA'!I34,'30.07 KYEBANDO-NSOOBA'!I34,'31.08 KYEBANDO-NSOOBA'!I34,'02.08 KYEBANDO-NSOOBA'!I34,'01.08 KYEBANDO-NSOOBA-24h'!I34,'03.08 KYEBANDO-NSOOBA-24h'!I34,'04.08.Kyebando-Nsooba'!I34)</f>
        <v>6</v>
      </c>
      <c r="J34" s="49">
        <f>AVERAGE('29.07 KYEBANDO-NSOOBA'!J34,'30.07 KYEBANDO-NSOOBA'!J34,'31.08 KYEBANDO-NSOOBA'!J34,'02.08 KYEBANDO-NSOOBA'!J34,'01.08 KYEBANDO-NSOOBA-24h'!J34,'03.08 KYEBANDO-NSOOBA-24h'!J34,'04.08.Kyebando-Nsooba'!J34)</f>
        <v>1</v>
      </c>
      <c r="K34" s="49">
        <f>AVERAGE('29.07 KYEBANDO-NSOOBA'!K34,'30.07 KYEBANDO-NSOOBA'!K34,'31.08 KYEBANDO-NSOOBA'!K34,'02.08 KYEBANDO-NSOOBA'!K34,'01.08 KYEBANDO-NSOOBA-24h'!K34,'03.08 KYEBANDO-NSOOBA-24h'!K34,'04.08.Kyebando-Nsooba'!K34)</f>
        <v>1</v>
      </c>
      <c r="L34" s="49">
        <f>AVERAGE('29.07 KYEBANDO-NSOOBA'!L34,'30.07 KYEBANDO-NSOOBA'!L34,'31.08 KYEBANDO-NSOOBA'!L34,'02.08 KYEBANDO-NSOOBA'!L34,'01.08 KYEBANDO-NSOOBA-24h'!L34,'03.08 KYEBANDO-NSOOBA-24h'!L34,'04.08.Kyebando-Nsooba'!L34)</f>
        <v>0</v>
      </c>
      <c r="M34" s="49">
        <f>AVERAGE('29.07 KYEBANDO-NSOOBA'!M34,'30.07 KYEBANDO-NSOOBA'!M34,'31.08 KYEBANDO-NSOOBA'!M34,'02.08 KYEBANDO-NSOOBA'!M34,'01.08 KYEBANDO-NSOOBA-24h'!M34,'03.08 KYEBANDO-NSOOBA-24h'!M34,'04.08.Kyebando-Nsooba'!M34)</f>
        <v>65</v>
      </c>
      <c r="N34" s="49">
        <f>AVERAGE('29.07 KYEBANDO-NSOOBA'!N34,'30.07 KYEBANDO-NSOOBA'!N34,'31.08 KYEBANDO-NSOOBA'!N34,'02.08 KYEBANDO-NSOOBA'!N34,'01.08 KYEBANDO-NSOOBA-24h'!N34,'03.08 KYEBANDO-NSOOBA-24h'!N34,'04.08.Kyebando-Nsooba'!N34)</f>
        <v>0</v>
      </c>
      <c r="O34" s="15">
        <f t="shared" si="0"/>
        <v>63.857142857142868</v>
      </c>
      <c r="P34" s="15">
        <f t="shared" si="1"/>
        <v>128.85714285714286</v>
      </c>
      <c r="R34" s="53" t="s">
        <v>90</v>
      </c>
      <c r="S34" s="54">
        <f t="shared" ref="S34:AF34" si="26">MAX(S10:S12)</f>
        <v>91.285714285714292</v>
      </c>
      <c r="T34" s="54">
        <f t="shared" si="26"/>
        <v>27.714285714285712</v>
      </c>
      <c r="U34" s="54">
        <f t="shared" si="26"/>
        <v>20</v>
      </c>
      <c r="V34" s="54">
        <f t="shared" si="26"/>
        <v>67</v>
      </c>
      <c r="W34" s="54">
        <f t="shared" si="26"/>
        <v>2.1428571428571428</v>
      </c>
      <c r="X34" s="54">
        <f t="shared" si="26"/>
        <v>0.2857142857142857</v>
      </c>
      <c r="Y34" s="54">
        <f t="shared" si="26"/>
        <v>23.428571428571431</v>
      </c>
      <c r="Z34" s="54">
        <f t="shared" si="26"/>
        <v>4.2857142857142856</v>
      </c>
      <c r="AA34" s="54">
        <f t="shared" si="26"/>
        <v>2.4285714285714284</v>
      </c>
      <c r="AB34" s="54">
        <f t="shared" si="26"/>
        <v>0.42857142857142855</v>
      </c>
      <c r="AC34" s="54">
        <f t="shared" si="26"/>
        <v>349.85714285714289</v>
      </c>
      <c r="AD34" s="54">
        <f t="shared" si="26"/>
        <v>0</v>
      </c>
      <c r="AE34" s="40">
        <f t="shared" si="26"/>
        <v>238.57142857142858</v>
      </c>
      <c r="AF34" s="40">
        <f t="shared" si="26"/>
        <v>557.71428571428578</v>
      </c>
    </row>
    <row r="35" spans="2:32" ht="23.1" customHeight="1" x14ac:dyDescent="0.25">
      <c r="B35" s="24" t="s">
        <v>62</v>
      </c>
      <c r="C35" s="49">
        <f>AVERAGE('29.07 KYEBANDO-NSOOBA'!C35,'30.07 KYEBANDO-NSOOBA'!C35,'31.08 KYEBANDO-NSOOBA'!C35,'02.08 KYEBANDO-NSOOBA'!C35,'01.08 KYEBANDO-NSOOBA-24h'!C35,'03.08 KYEBANDO-NSOOBA-24h'!C35,'04.08.Kyebando-Nsooba'!C35)</f>
        <v>27.857142857142858</v>
      </c>
      <c r="D35" s="49">
        <f>AVERAGE('29.07 KYEBANDO-NSOOBA'!D35,'30.07 KYEBANDO-NSOOBA'!D35,'31.08 KYEBANDO-NSOOBA'!D35,'02.08 KYEBANDO-NSOOBA'!D35,'01.08 KYEBANDO-NSOOBA-24h'!D35,'03.08 KYEBANDO-NSOOBA-24h'!D35,'04.08.Kyebando-Nsooba'!D35)</f>
        <v>6.4285714285714288</v>
      </c>
      <c r="E35" s="49">
        <f>AVERAGE('29.07 KYEBANDO-NSOOBA'!E35,'30.07 KYEBANDO-NSOOBA'!E35,'31.08 KYEBANDO-NSOOBA'!E35,'02.08 KYEBANDO-NSOOBA'!E35,'01.08 KYEBANDO-NSOOBA-24h'!E35,'03.08 KYEBANDO-NSOOBA-24h'!E35,'04.08.Kyebando-Nsooba'!E35)</f>
        <v>4.1428571428571432</v>
      </c>
      <c r="F35" s="49">
        <f>AVERAGE('29.07 KYEBANDO-NSOOBA'!F35,'30.07 KYEBANDO-NSOOBA'!F35,'31.08 KYEBANDO-NSOOBA'!F35,'02.08 KYEBANDO-NSOOBA'!F35,'01.08 KYEBANDO-NSOOBA-24h'!F35,'03.08 KYEBANDO-NSOOBA-24h'!F35,'04.08.Kyebando-Nsooba'!F35)</f>
        <v>7.8571428571428568</v>
      </c>
      <c r="G35" s="49">
        <f>AVERAGE('29.07 KYEBANDO-NSOOBA'!G35,'30.07 KYEBANDO-NSOOBA'!G35,'31.08 KYEBANDO-NSOOBA'!G35,'02.08 KYEBANDO-NSOOBA'!G35,'01.08 KYEBANDO-NSOOBA-24h'!G35,'03.08 KYEBANDO-NSOOBA-24h'!G35,'04.08.Kyebando-Nsooba'!G35)</f>
        <v>0.14285714285714285</v>
      </c>
      <c r="H35" s="49">
        <f>AVERAGE('29.07 KYEBANDO-NSOOBA'!H35,'30.07 KYEBANDO-NSOOBA'!H35,'31.08 KYEBANDO-NSOOBA'!H35,'02.08 KYEBANDO-NSOOBA'!H35,'01.08 KYEBANDO-NSOOBA-24h'!H35,'03.08 KYEBANDO-NSOOBA-24h'!H35,'04.08.Kyebando-Nsooba'!H35)</f>
        <v>0.2857142857142857</v>
      </c>
      <c r="I35" s="49">
        <f>AVERAGE('29.07 KYEBANDO-NSOOBA'!I35,'30.07 KYEBANDO-NSOOBA'!I35,'31.08 KYEBANDO-NSOOBA'!I35,'02.08 KYEBANDO-NSOOBA'!I35,'01.08 KYEBANDO-NSOOBA-24h'!I35,'03.08 KYEBANDO-NSOOBA-24h'!I35,'04.08.Kyebando-Nsooba'!I35)</f>
        <v>5.1428571428571432</v>
      </c>
      <c r="J35" s="49">
        <f>AVERAGE('29.07 KYEBANDO-NSOOBA'!J35,'30.07 KYEBANDO-NSOOBA'!J35,'31.08 KYEBANDO-NSOOBA'!J35,'02.08 KYEBANDO-NSOOBA'!J35,'01.08 KYEBANDO-NSOOBA-24h'!J35,'03.08 KYEBANDO-NSOOBA-24h'!J35,'04.08.Kyebando-Nsooba'!J35)</f>
        <v>1.1428571428571428</v>
      </c>
      <c r="K35" s="49">
        <f>AVERAGE('29.07 KYEBANDO-NSOOBA'!K35,'30.07 KYEBANDO-NSOOBA'!K35,'31.08 KYEBANDO-NSOOBA'!K35,'02.08 KYEBANDO-NSOOBA'!K35,'01.08 KYEBANDO-NSOOBA-24h'!K35,'03.08 KYEBANDO-NSOOBA-24h'!K35,'04.08.Kyebando-Nsooba'!K35)</f>
        <v>1.1428571428571428</v>
      </c>
      <c r="L35" s="49">
        <f>AVERAGE('29.07 KYEBANDO-NSOOBA'!L35,'30.07 KYEBANDO-NSOOBA'!L35,'31.08 KYEBANDO-NSOOBA'!L35,'02.08 KYEBANDO-NSOOBA'!L35,'01.08 KYEBANDO-NSOOBA-24h'!L35,'03.08 KYEBANDO-NSOOBA-24h'!L35,'04.08.Kyebando-Nsooba'!L35)</f>
        <v>0.42857142857142855</v>
      </c>
      <c r="M35" s="49">
        <f>AVERAGE('29.07 KYEBANDO-NSOOBA'!M35,'30.07 KYEBANDO-NSOOBA'!M35,'31.08 KYEBANDO-NSOOBA'!M35,'02.08 KYEBANDO-NSOOBA'!M35,'01.08 KYEBANDO-NSOOBA-24h'!M35,'03.08 KYEBANDO-NSOOBA-24h'!M35,'04.08.Kyebando-Nsooba'!M35)</f>
        <v>68.285714285714292</v>
      </c>
      <c r="N35" s="49">
        <f>AVERAGE('29.07 KYEBANDO-NSOOBA'!N35,'30.07 KYEBANDO-NSOOBA'!N35,'31.08 KYEBANDO-NSOOBA'!N35,'02.08 KYEBANDO-NSOOBA'!N35,'01.08 KYEBANDO-NSOOBA-24h'!N35,'03.08 KYEBANDO-NSOOBA-24h'!N35,'04.08.Kyebando-Nsooba'!N35)</f>
        <v>0</v>
      </c>
      <c r="O35" s="15">
        <f t="shared" si="0"/>
        <v>54.571428571428584</v>
      </c>
      <c r="P35" s="15">
        <f t="shared" si="1"/>
        <v>122.85714285714288</v>
      </c>
      <c r="R35" s="53" t="s">
        <v>91</v>
      </c>
      <c r="S35" s="54">
        <f t="shared" ref="S35:AF35" si="27">MAX(S13:S18)</f>
        <v>132</v>
      </c>
      <c r="T35" s="54">
        <f t="shared" si="27"/>
        <v>41.714285714285715</v>
      </c>
      <c r="U35" s="54">
        <f t="shared" si="27"/>
        <v>24.285714285714285</v>
      </c>
      <c r="V35" s="54">
        <f t="shared" si="27"/>
        <v>70.857142857142847</v>
      </c>
      <c r="W35" s="54">
        <f t="shared" si="27"/>
        <v>1.8571428571428568</v>
      </c>
      <c r="X35" s="54">
        <f t="shared" si="27"/>
        <v>0.8571428571428571</v>
      </c>
      <c r="Y35" s="54">
        <f t="shared" si="27"/>
        <v>30.714285714285715</v>
      </c>
      <c r="Z35" s="54">
        <f t="shared" si="27"/>
        <v>5.8571428571428568</v>
      </c>
      <c r="AA35" s="54">
        <f t="shared" si="27"/>
        <v>2.4285714285714284</v>
      </c>
      <c r="AB35" s="54">
        <f t="shared" si="27"/>
        <v>1</v>
      </c>
      <c r="AC35" s="54">
        <f t="shared" si="27"/>
        <v>334.42857142857144</v>
      </c>
      <c r="AD35" s="54">
        <f t="shared" si="27"/>
        <v>0</v>
      </c>
      <c r="AE35" s="40">
        <f t="shared" si="27"/>
        <v>265.71428571428572</v>
      </c>
      <c r="AF35" s="40">
        <f t="shared" si="27"/>
        <v>600.14285714285711</v>
      </c>
    </row>
    <row r="36" spans="2:32" ht="23.1" customHeight="1" x14ac:dyDescent="0.25">
      <c r="B36" s="24" t="s">
        <v>63</v>
      </c>
      <c r="C36" s="49">
        <f>AVERAGE('29.07 KYEBANDO-NSOOBA'!C36,'30.07 KYEBANDO-NSOOBA'!C36,'31.08 KYEBANDO-NSOOBA'!C36,'02.08 KYEBANDO-NSOOBA'!C36,'01.08 KYEBANDO-NSOOBA-24h'!C36,'03.08 KYEBANDO-NSOOBA-24h'!C36,'04.08.Kyebando-Nsooba'!C36)</f>
        <v>24.142857142857142</v>
      </c>
      <c r="D36" s="49">
        <f>AVERAGE('29.07 KYEBANDO-NSOOBA'!D36,'30.07 KYEBANDO-NSOOBA'!D36,'31.08 KYEBANDO-NSOOBA'!D36,'02.08 KYEBANDO-NSOOBA'!D36,'01.08 KYEBANDO-NSOOBA-24h'!D36,'03.08 KYEBANDO-NSOOBA-24h'!D36,'04.08.Kyebando-Nsooba'!D36)</f>
        <v>4.4285714285714288</v>
      </c>
      <c r="E36" s="49">
        <f>AVERAGE('29.07 KYEBANDO-NSOOBA'!E36,'30.07 KYEBANDO-NSOOBA'!E36,'31.08 KYEBANDO-NSOOBA'!E36,'02.08 KYEBANDO-NSOOBA'!E36,'01.08 KYEBANDO-NSOOBA-24h'!E36,'03.08 KYEBANDO-NSOOBA-24h'!E36,'04.08.Kyebando-Nsooba'!E36)</f>
        <v>7.5714285714285712</v>
      </c>
      <c r="F36" s="49">
        <f>AVERAGE('29.07 KYEBANDO-NSOOBA'!F36,'30.07 KYEBANDO-NSOOBA'!F36,'31.08 KYEBANDO-NSOOBA'!F36,'02.08 KYEBANDO-NSOOBA'!F36,'01.08 KYEBANDO-NSOOBA-24h'!F36,'03.08 KYEBANDO-NSOOBA-24h'!F36,'04.08.Kyebando-Nsooba'!F36)</f>
        <v>11.428571428571429</v>
      </c>
      <c r="G36" s="49">
        <f>AVERAGE('29.07 KYEBANDO-NSOOBA'!G36,'30.07 KYEBANDO-NSOOBA'!G36,'31.08 KYEBANDO-NSOOBA'!G36,'02.08 KYEBANDO-NSOOBA'!G36,'01.08 KYEBANDO-NSOOBA-24h'!G36,'03.08 KYEBANDO-NSOOBA-24h'!G36,'04.08.Kyebando-Nsooba'!G36)</f>
        <v>0.14285714285714285</v>
      </c>
      <c r="H36" s="49">
        <f>AVERAGE('29.07 KYEBANDO-NSOOBA'!H36,'30.07 KYEBANDO-NSOOBA'!H36,'31.08 KYEBANDO-NSOOBA'!H36,'02.08 KYEBANDO-NSOOBA'!H36,'01.08 KYEBANDO-NSOOBA-24h'!H36,'03.08 KYEBANDO-NSOOBA-24h'!H36,'04.08.Kyebando-Nsooba'!H36)</f>
        <v>0.14285714285714285</v>
      </c>
      <c r="I36" s="49">
        <f>AVERAGE('29.07 KYEBANDO-NSOOBA'!I36,'30.07 KYEBANDO-NSOOBA'!I36,'31.08 KYEBANDO-NSOOBA'!I36,'02.08 KYEBANDO-NSOOBA'!I36,'01.08 KYEBANDO-NSOOBA-24h'!I36,'03.08 KYEBANDO-NSOOBA-24h'!I36,'04.08.Kyebando-Nsooba'!I36)</f>
        <v>5.1428571428571432</v>
      </c>
      <c r="J36" s="49">
        <f>AVERAGE('29.07 KYEBANDO-NSOOBA'!J36,'30.07 KYEBANDO-NSOOBA'!J36,'31.08 KYEBANDO-NSOOBA'!J36,'02.08 KYEBANDO-NSOOBA'!J36,'01.08 KYEBANDO-NSOOBA-24h'!J36,'03.08 KYEBANDO-NSOOBA-24h'!J36,'04.08.Kyebando-Nsooba'!J36)</f>
        <v>1</v>
      </c>
      <c r="K36" s="49">
        <f>AVERAGE('29.07 KYEBANDO-NSOOBA'!K36,'30.07 KYEBANDO-NSOOBA'!K36,'31.08 KYEBANDO-NSOOBA'!K36,'02.08 KYEBANDO-NSOOBA'!K36,'01.08 KYEBANDO-NSOOBA-24h'!K36,'03.08 KYEBANDO-NSOOBA-24h'!K36,'04.08.Kyebando-Nsooba'!K36)</f>
        <v>0.14285714285714285</v>
      </c>
      <c r="L36" s="49">
        <f>AVERAGE('29.07 KYEBANDO-NSOOBA'!L36,'30.07 KYEBANDO-NSOOBA'!L36,'31.08 KYEBANDO-NSOOBA'!L36,'02.08 KYEBANDO-NSOOBA'!L36,'01.08 KYEBANDO-NSOOBA-24h'!L36,'03.08 KYEBANDO-NSOOBA-24h'!L36,'04.08.Kyebando-Nsooba'!L36)</f>
        <v>0.14285714285714285</v>
      </c>
      <c r="M36" s="49">
        <f>AVERAGE('29.07 KYEBANDO-NSOOBA'!M36,'30.07 KYEBANDO-NSOOBA'!M36,'31.08 KYEBANDO-NSOOBA'!M36,'02.08 KYEBANDO-NSOOBA'!M36,'01.08 KYEBANDO-NSOOBA-24h'!M36,'03.08 KYEBANDO-NSOOBA-24h'!M36,'04.08.Kyebando-Nsooba'!M36)</f>
        <v>54.285714285714285</v>
      </c>
      <c r="N36" s="49">
        <f>AVERAGE('29.07 KYEBANDO-NSOOBA'!N36,'30.07 KYEBANDO-NSOOBA'!N36,'31.08 KYEBANDO-NSOOBA'!N36,'02.08 KYEBANDO-NSOOBA'!N36,'01.08 KYEBANDO-NSOOBA-24h'!N36,'03.08 KYEBANDO-NSOOBA-24h'!N36,'04.08.Kyebando-Nsooba'!N36)</f>
        <v>0</v>
      </c>
      <c r="O36" s="15">
        <f t="shared" si="0"/>
        <v>54.285714285714299</v>
      </c>
      <c r="P36" s="15">
        <f t="shared" si="1"/>
        <v>108.57142857142858</v>
      </c>
      <c r="R36" s="53" t="s">
        <v>92</v>
      </c>
      <c r="S36" s="54">
        <f t="shared" ref="S36:AF36" si="28">MAX(S19:S21)</f>
        <v>208</v>
      </c>
      <c r="T36" s="54">
        <f t="shared" si="28"/>
        <v>42.857142857142861</v>
      </c>
      <c r="U36" s="54">
        <f t="shared" si="28"/>
        <v>31</v>
      </c>
      <c r="V36" s="54">
        <f t="shared" si="28"/>
        <v>64.857142857142861</v>
      </c>
      <c r="W36" s="54">
        <f t="shared" si="28"/>
        <v>3</v>
      </c>
      <c r="X36" s="54">
        <f t="shared" si="28"/>
        <v>1</v>
      </c>
      <c r="Y36" s="54">
        <f t="shared" si="28"/>
        <v>23.571428571428569</v>
      </c>
      <c r="Z36" s="54">
        <f t="shared" si="28"/>
        <v>6</v>
      </c>
      <c r="AA36" s="54">
        <f t="shared" si="28"/>
        <v>2.2857142857142856</v>
      </c>
      <c r="AB36" s="54">
        <f t="shared" si="28"/>
        <v>11.714285714285715</v>
      </c>
      <c r="AC36" s="54">
        <f t="shared" si="28"/>
        <v>357.85714285714289</v>
      </c>
      <c r="AD36" s="54">
        <f t="shared" si="28"/>
        <v>0</v>
      </c>
      <c r="AE36" s="40">
        <f t="shared" si="28"/>
        <v>364.57142857142861</v>
      </c>
      <c r="AF36" s="40">
        <f t="shared" si="28"/>
        <v>714</v>
      </c>
    </row>
    <row r="37" spans="2:32" ht="23.1" customHeight="1" x14ac:dyDescent="0.25">
      <c r="B37" s="23" t="s">
        <v>64</v>
      </c>
      <c r="C37" s="49">
        <f>AVERAGE('29.07 KYEBANDO-NSOOBA'!C37,'30.07 KYEBANDO-NSOOBA'!C37,'31.08 KYEBANDO-NSOOBA'!C37,'02.08 KYEBANDO-NSOOBA'!C37,'01.08 KYEBANDO-NSOOBA-24h'!C37,'03.08 KYEBANDO-NSOOBA-24h'!C37,'04.08.Kyebando-Nsooba'!C37)</f>
        <v>21.285714285714285</v>
      </c>
      <c r="D37" s="49">
        <f>AVERAGE('29.07 KYEBANDO-NSOOBA'!D37,'30.07 KYEBANDO-NSOOBA'!D37,'31.08 KYEBANDO-NSOOBA'!D37,'02.08 KYEBANDO-NSOOBA'!D37,'01.08 KYEBANDO-NSOOBA-24h'!D37,'03.08 KYEBANDO-NSOOBA-24h'!D37,'04.08.Kyebando-Nsooba'!D37)</f>
        <v>6.5714285714285712</v>
      </c>
      <c r="E37" s="49">
        <f>AVERAGE('29.07 KYEBANDO-NSOOBA'!E37,'30.07 KYEBANDO-NSOOBA'!E37,'31.08 KYEBANDO-NSOOBA'!E37,'02.08 KYEBANDO-NSOOBA'!E37,'01.08 KYEBANDO-NSOOBA-24h'!E37,'03.08 KYEBANDO-NSOOBA-24h'!E37,'04.08.Kyebando-Nsooba'!E37)</f>
        <v>4.2857142857142856</v>
      </c>
      <c r="F37" s="49">
        <f>AVERAGE('29.07 KYEBANDO-NSOOBA'!F37,'30.07 KYEBANDO-NSOOBA'!F37,'31.08 KYEBANDO-NSOOBA'!F37,'02.08 KYEBANDO-NSOOBA'!F37,'01.08 KYEBANDO-NSOOBA-24h'!F37,'03.08 KYEBANDO-NSOOBA-24h'!F37,'04.08.Kyebando-Nsooba'!F37)</f>
        <v>6</v>
      </c>
      <c r="G37" s="49">
        <f>AVERAGE('29.07 KYEBANDO-NSOOBA'!G37,'30.07 KYEBANDO-NSOOBA'!G37,'31.08 KYEBANDO-NSOOBA'!G37,'02.08 KYEBANDO-NSOOBA'!G37,'01.08 KYEBANDO-NSOOBA-24h'!G37,'03.08 KYEBANDO-NSOOBA-24h'!G37,'04.08.Kyebando-Nsooba'!G37)</f>
        <v>0</v>
      </c>
      <c r="H37" s="49">
        <f>AVERAGE('29.07 KYEBANDO-NSOOBA'!H37,'30.07 KYEBANDO-NSOOBA'!H37,'31.08 KYEBANDO-NSOOBA'!H37,'02.08 KYEBANDO-NSOOBA'!H37,'01.08 KYEBANDO-NSOOBA-24h'!H37,'03.08 KYEBANDO-NSOOBA-24h'!H37,'04.08.Kyebando-Nsooba'!H37)</f>
        <v>0.14285714285714285</v>
      </c>
      <c r="I37" s="49">
        <f>AVERAGE('29.07 KYEBANDO-NSOOBA'!I37,'30.07 KYEBANDO-NSOOBA'!I37,'31.08 KYEBANDO-NSOOBA'!I37,'02.08 KYEBANDO-NSOOBA'!I37,'01.08 KYEBANDO-NSOOBA-24h'!I37,'03.08 KYEBANDO-NSOOBA-24h'!I37,'04.08.Kyebando-Nsooba'!I37)</f>
        <v>3.1428571428571428</v>
      </c>
      <c r="J37" s="49">
        <f>AVERAGE('29.07 KYEBANDO-NSOOBA'!J37,'30.07 KYEBANDO-NSOOBA'!J37,'31.08 KYEBANDO-NSOOBA'!J37,'02.08 KYEBANDO-NSOOBA'!J37,'01.08 KYEBANDO-NSOOBA-24h'!J37,'03.08 KYEBANDO-NSOOBA-24h'!J37,'04.08.Kyebando-Nsooba'!J37)</f>
        <v>1</v>
      </c>
      <c r="K37" s="49">
        <f>AVERAGE('29.07 KYEBANDO-NSOOBA'!K37,'30.07 KYEBANDO-NSOOBA'!K37,'31.08 KYEBANDO-NSOOBA'!K37,'02.08 KYEBANDO-NSOOBA'!K37,'01.08 KYEBANDO-NSOOBA-24h'!K37,'03.08 KYEBANDO-NSOOBA-24h'!K37,'04.08.Kyebando-Nsooba'!K37)</f>
        <v>0.14285714285714285</v>
      </c>
      <c r="L37" s="49">
        <f>AVERAGE('29.07 KYEBANDO-NSOOBA'!L37,'30.07 KYEBANDO-NSOOBA'!L37,'31.08 KYEBANDO-NSOOBA'!L37,'02.08 KYEBANDO-NSOOBA'!L37,'01.08 KYEBANDO-NSOOBA-24h'!L37,'03.08 KYEBANDO-NSOOBA-24h'!L37,'04.08.Kyebando-Nsooba'!L37)</f>
        <v>0.14285714285714285</v>
      </c>
      <c r="M37" s="49">
        <f>AVERAGE('29.07 KYEBANDO-NSOOBA'!M37,'30.07 KYEBANDO-NSOOBA'!M37,'31.08 KYEBANDO-NSOOBA'!M37,'02.08 KYEBANDO-NSOOBA'!M37,'01.08 KYEBANDO-NSOOBA-24h'!M37,'03.08 KYEBANDO-NSOOBA-24h'!M37,'04.08.Kyebando-Nsooba'!M37)</f>
        <v>50.857142857142854</v>
      </c>
      <c r="N37" s="49">
        <f>AVERAGE('29.07 KYEBANDO-NSOOBA'!N37,'30.07 KYEBANDO-NSOOBA'!N37,'31.08 KYEBANDO-NSOOBA'!N37,'02.08 KYEBANDO-NSOOBA'!N37,'01.08 KYEBANDO-NSOOBA-24h'!N37,'03.08 KYEBANDO-NSOOBA-24h'!N37,'04.08.Kyebando-Nsooba'!N37)</f>
        <v>0</v>
      </c>
      <c r="O37" s="15">
        <f t="shared" si="0"/>
        <v>42.714285714285722</v>
      </c>
      <c r="P37" s="15">
        <f t="shared" si="1"/>
        <v>93.571428571428584</v>
      </c>
      <c r="R37" s="37" t="s">
        <v>85</v>
      </c>
      <c r="S37" s="55">
        <f t="shared" ref="S37:AF37" si="29">SUM(S10:S12)</f>
        <v>250.28571428571428</v>
      </c>
      <c r="T37" s="56">
        <f t="shared" si="29"/>
        <v>64.571428571428569</v>
      </c>
      <c r="U37" s="56">
        <f t="shared" si="29"/>
        <v>47.714285714285715</v>
      </c>
      <c r="V37" s="56">
        <f t="shared" si="29"/>
        <v>196.28571428571431</v>
      </c>
      <c r="W37" s="56">
        <f t="shared" si="29"/>
        <v>5.8571428571428568</v>
      </c>
      <c r="X37" s="56">
        <f t="shared" si="29"/>
        <v>0.42857142857142855</v>
      </c>
      <c r="Y37" s="56">
        <f t="shared" si="29"/>
        <v>45</v>
      </c>
      <c r="Z37" s="56">
        <f t="shared" si="29"/>
        <v>10.142857142857142</v>
      </c>
      <c r="AA37" s="56">
        <f t="shared" si="29"/>
        <v>4</v>
      </c>
      <c r="AB37" s="56">
        <f t="shared" si="29"/>
        <v>1</v>
      </c>
      <c r="AC37" s="56">
        <f t="shared" si="29"/>
        <v>929.57142857142867</v>
      </c>
      <c r="AD37" s="56">
        <f t="shared" si="29"/>
        <v>0</v>
      </c>
      <c r="AE37" s="57">
        <f t="shared" si="29"/>
        <v>625.28571428571433</v>
      </c>
      <c r="AF37" s="57">
        <f t="shared" si="29"/>
        <v>1554.8571428571429</v>
      </c>
    </row>
    <row r="38" spans="2:32" ht="23.1" customHeight="1" x14ac:dyDescent="0.25">
      <c r="B38" s="24" t="s">
        <v>65</v>
      </c>
      <c r="C38" s="49">
        <f>AVERAGE('29.07 KYEBANDO-NSOOBA'!C38,'30.07 KYEBANDO-NSOOBA'!C38,'31.08 KYEBANDO-NSOOBA'!C38,'02.08 KYEBANDO-NSOOBA'!C38,'01.08 KYEBANDO-NSOOBA-24h'!C38,'03.08 KYEBANDO-NSOOBA-24h'!C38,'04.08.Kyebando-Nsooba'!C38)</f>
        <v>29.428571428571427</v>
      </c>
      <c r="D38" s="49">
        <f>AVERAGE('29.07 KYEBANDO-NSOOBA'!D38,'30.07 KYEBANDO-NSOOBA'!D38,'31.08 KYEBANDO-NSOOBA'!D38,'02.08 KYEBANDO-NSOOBA'!D38,'01.08 KYEBANDO-NSOOBA-24h'!D38,'03.08 KYEBANDO-NSOOBA-24h'!D38,'04.08.Kyebando-Nsooba'!D38)</f>
        <v>6.1428571428571432</v>
      </c>
      <c r="E38" s="49">
        <f>AVERAGE('29.07 KYEBANDO-NSOOBA'!E38,'30.07 KYEBANDO-NSOOBA'!E38,'31.08 KYEBANDO-NSOOBA'!E38,'02.08 KYEBANDO-NSOOBA'!E38,'01.08 KYEBANDO-NSOOBA-24h'!E38,'03.08 KYEBANDO-NSOOBA-24h'!E38,'04.08.Kyebando-Nsooba'!E38)</f>
        <v>5.2857142857142856</v>
      </c>
      <c r="F38" s="49">
        <f>AVERAGE('29.07 KYEBANDO-NSOOBA'!F38,'30.07 KYEBANDO-NSOOBA'!F38,'31.08 KYEBANDO-NSOOBA'!F38,'02.08 KYEBANDO-NSOOBA'!F38,'01.08 KYEBANDO-NSOOBA-24h'!F38,'03.08 KYEBANDO-NSOOBA-24h'!F38,'04.08.Kyebando-Nsooba'!F38)</f>
        <v>10</v>
      </c>
      <c r="G38" s="49">
        <f>AVERAGE('29.07 KYEBANDO-NSOOBA'!G38,'30.07 KYEBANDO-NSOOBA'!G38,'31.08 KYEBANDO-NSOOBA'!G38,'02.08 KYEBANDO-NSOOBA'!G38,'01.08 KYEBANDO-NSOOBA-24h'!G38,'03.08 KYEBANDO-NSOOBA-24h'!G38,'04.08.Kyebando-Nsooba'!G38)</f>
        <v>0.5714285714285714</v>
      </c>
      <c r="H38" s="49">
        <f>AVERAGE('29.07 KYEBANDO-NSOOBA'!H38,'30.07 KYEBANDO-NSOOBA'!H38,'31.08 KYEBANDO-NSOOBA'!H38,'02.08 KYEBANDO-NSOOBA'!H38,'01.08 KYEBANDO-NSOOBA-24h'!H38,'03.08 KYEBANDO-NSOOBA-24h'!H38,'04.08.Kyebando-Nsooba'!H38)</f>
        <v>0</v>
      </c>
      <c r="I38" s="49">
        <f>AVERAGE('29.07 KYEBANDO-NSOOBA'!I38,'30.07 KYEBANDO-NSOOBA'!I38,'31.08 KYEBANDO-NSOOBA'!I38,'02.08 KYEBANDO-NSOOBA'!I38,'01.08 KYEBANDO-NSOOBA-24h'!I38,'03.08 KYEBANDO-NSOOBA-24h'!I38,'04.08.Kyebando-Nsooba'!I38)</f>
        <v>5.1428571428571432</v>
      </c>
      <c r="J38" s="49">
        <f>AVERAGE('29.07 KYEBANDO-NSOOBA'!J38,'30.07 KYEBANDO-NSOOBA'!J38,'31.08 KYEBANDO-NSOOBA'!J38,'02.08 KYEBANDO-NSOOBA'!J38,'01.08 KYEBANDO-NSOOBA-24h'!J38,'03.08 KYEBANDO-NSOOBA-24h'!J38,'04.08.Kyebando-Nsooba'!J38)</f>
        <v>0.5714285714285714</v>
      </c>
      <c r="K38" s="49">
        <f>AVERAGE('29.07 KYEBANDO-NSOOBA'!K38,'30.07 KYEBANDO-NSOOBA'!K38,'31.08 KYEBANDO-NSOOBA'!K38,'02.08 KYEBANDO-NSOOBA'!K38,'01.08 KYEBANDO-NSOOBA-24h'!K38,'03.08 KYEBANDO-NSOOBA-24h'!K38,'04.08.Kyebando-Nsooba'!K38)</f>
        <v>0.2857142857142857</v>
      </c>
      <c r="L38" s="49">
        <f>AVERAGE('29.07 KYEBANDO-NSOOBA'!L38,'30.07 KYEBANDO-NSOOBA'!L38,'31.08 KYEBANDO-NSOOBA'!L38,'02.08 KYEBANDO-NSOOBA'!L38,'01.08 KYEBANDO-NSOOBA-24h'!L38,'03.08 KYEBANDO-NSOOBA-24h'!L38,'04.08.Kyebando-Nsooba'!L38)</f>
        <v>0.2857142857142857</v>
      </c>
      <c r="M38" s="49">
        <f>AVERAGE('29.07 KYEBANDO-NSOOBA'!M38,'30.07 KYEBANDO-NSOOBA'!M38,'31.08 KYEBANDO-NSOOBA'!M38,'02.08 KYEBANDO-NSOOBA'!M38,'01.08 KYEBANDO-NSOOBA-24h'!M38,'03.08 KYEBANDO-NSOOBA-24h'!M38,'04.08.Kyebando-Nsooba'!M38)</f>
        <v>63.857142857142854</v>
      </c>
      <c r="N38" s="49">
        <f>AVERAGE('29.07 KYEBANDO-NSOOBA'!N38,'30.07 KYEBANDO-NSOOBA'!N38,'31.08 KYEBANDO-NSOOBA'!N38,'02.08 KYEBANDO-NSOOBA'!N38,'01.08 KYEBANDO-NSOOBA-24h'!N38,'03.08 KYEBANDO-NSOOBA-24h'!N38,'04.08.Kyebando-Nsooba'!N38)</f>
        <v>0</v>
      </c>
      <c r="O38" s="15">
        <f t="shared" si="0"/>
        <v>57.714285714285708</v>
      </c>
      <c r="P38" s="15">
        <f t="shared" si="1"/>
        <v>121.57142857142856</v>
      </c>
      <c r="R38" s="28" t="s">
        <v>86</v>
      </c>
      <c r="S38" s="56">
        <f t="shared" ref="S38:AF38" si="30">SUM(S13:S18)</f>
        <v>634.57142857142856</v>
      </c>
      <c r="T38" s="56">
        <f t="shared" si="30"/>
        <v>179.99999999999997</v>
      </c>
      <c r="U38" s="56">
        <f t="shared" si="30"/>
        <v>125.14285714285714</v>
      </c>
      <c r="V38" s="56">
        <f t="shared" si="30"/>
        <v>259.57142857142856</v>
      </c>
      <c r="W38" s="56">
        <f t="shared" si="30"/>
        <v>7.1428571428571423</v>
      </c>
      <c r="X38" s="56">
        <f t="shared" si="30"/>
        <v>2.1428571428571428</v>
      </c>
      <c r="Y38" s="56">
        <f t="shared" si="30"/>
        <v>128.71428571428572</v>
      </c>
      <c r="Z38" s="56">
        <f t="shared" si="30"/>
        <v>25.999999999999996</v>
      </c>
      <c r="AA38" s="56">
        <f t="shared" si="30"/>
        <v>9.428571428571427</v>
      </c>
      <c r="AB38" s="56">
        <f t="shared" si="30"/>
        <v>3.7380952380952381</v>
      </c>
      <c r="AC38" s="56">
        <f t="shared" si="30"/>
        <v>1512</v>
      </c>
      <c r="AD38" s="56">
        <f t="shared" si="30"/>
        <v>0</v>
      </c>
      <c r="AE38" s="57">
        <f t="shared" si="30"/>
        <v>1376.4523809523812</v>
      </c>
      <c r="AF38" s="57">
        <f t="shared" si="30"/>
        <v>2888.4523809523807</v>
      </c>
    </row>
    <row r="39" spans="2:32" ht="23.1" customHeight="1" x14ac:dyDescent="0.25">
      <c r="B39" s="24" t="s">
        <v>66</v>
      </c>
      <c r="C39" s="49">
        <f>AVERAGE('29.07 KYEBANDO-NSOOBA'!C39,'30.07 KYEBANDO-NSOOBA'!C39,'31.08 KYEBANDO-NSOOBA'!C39,'02.08 KYEBANDO-NSOOBA'!C39,'01.08 KYEBANDO-NSOOBA-24h'!C39,'03.08 KYEBANDO-NSOOBA-24h'!C39,'04.08.Kyebando-Nsooba'!C39)</f>
        <v>30.857142857142858</v>
      </c>
      <c r="D39" s="49">
        <f>AVERAGE('29.07 KYEBANDO-NSOOBA'!D39,'30.07 KYEBANDO-NSOOBA'!D39,'31.08 KYEBANDO-NSOOBA'!D39,'02.08 KYEBANDO-NSOOBA'!D39,'01.08 KYEBANDO-NSOOBA-24h'!D39,'03.08 KYEBANDO-NSOOBA-24h'!D39,'04.08.Kyebando-Nsooba'!D39)</f>
        <v>6.2857142857142856</v>
      </c>
      <c r="E39" s="49">
        <f>AVERAGE('29.07 KYEBANDO-NSOOBA'!E39,'30.07 KYEBANDO-NSOOBA'!E39,'31.08 KYEBANDO-NSOOBA'!E39,'02.08 KYEBANDO-NSOOBA'!E39,'01.08 KYEBANDO-NSOOBA-24h'!E39,'03.08 KYEBANDO-NSOOBA-24h'!E39,'04.08.Kyebando-Nsooba'!E39)</f>
        <v>5.4285714285714288</v>
      </c>
      <c r="F39" s="49">
        <f>AVERAGE('29.07 KYEBANDO-NSOOBA'!F39,'30.07 KYEBANDO-NSOOBA'!F39,'31.08 KYEBANDO-NSOOBA'!F39,'02.08 KYEBANDO-NSOOBA'!F39,'01.08 KYEBANDO-NSOOBA-24h'!F39,'03.08 KYEBANDO-NSOOBA-24h'!F39,'04.08.Kyebando-Nsooba'!F39)</f>
        <v>6.4285714285714288</v>
      </c>
      <c r="G39" s="49">
        <f>AVERAGE('29.07 KYEBANDO-NSOOBA'!G39,'30.07 KYEBANDO-NSOOBA'!G39,'31.08 KYEBANDO-NSOOBA'!G39,'02.08 KYEBANDO-NSOOBA'!G39,'01.08 KYEBANDO-NSOOBA-24h'!G39,'03.08 KYEBANDO-NSOOBA-24h'!G39,'04.08.Kyebando-Nsooba'!G39)</f>
        <v>0.8571428571428571</v>
      </c>
      <c r="H39" s="49">
        <f>AVERAGE('29.07 KYEBANDO-NSOOBA'!H39,'30.07 KYEBANDO-NSOOBA'!H39,'31.08 KYEBANDO-NSOOBA'!H39,'02.08 KYEBANDO-NSOOBA'!H39,'01.08 KYEBANDO-NSOOBA-24h'!H39,'03.08 KYEBANDO-NSOOBA-24h'!H39,'04.08.Kyebando-Nsooba'!H39)</f>
        <v>0</v>
      </c>
      <c r="I39" s="49">
        <f>AVERAGE('29.07 KYEBANDO-NSOOBA'!I39,'30.07 KYEBANDO-NSOOBA'!I39,'31.08 KYEBANDO-NSOOBA'!I39,'02.08 KYEBANDO-NSOOBA'!I39,'01.08 KYEBANDO-NSOOBA-24h'!I39,'03.08 KYEBANDO-NSOOBA-24h'!I39,'04.08.Kyebando-Nsooba'!I39)</f>
        <v>4.5714285714285712</v>
      </c>
      <c r="J39" s="49">
        <f>AVERAGE('29.07 KYEBANDO-NSOOBA'!J39,'30.07 KYEBANDO-NSOOBA'!J39,'31.08 KYEBANDO-NSOOBA'!J39,'02.08 KYEBANDO-NSOOBA'!J39,'01.08 KYEBANDO-NSOOBA-24h'!J39,'03.08 KYEBANDO-NSOOBA-24h'!J39,'04.08.Kyebando-Nsooba'!J39)</f>
        <v>1</v>
      </c>
      <c r="K39" s="49">
        <f>AVERAGE('29.07 KYEBANDO-NSOOBA'!K39,'30.07 KYEBANDO-NSOOBA'!K39,'31.08 KYEBANDO-NSOOBA'!K39,'02.08 KYEBANDO-NSOOBA'!K39,'01.08 KYEBANDO-NSOOBA-24h'!K39,'03.08 KYEBANDO-NSOOBA-24h'!K39,'04.08.Kyebando-Nsooba'!K39)</f>
        <v>0.42857142857142855</v>
      </c>
      <c r="L39" s="49">
        <f>AVERAGE('29.07 KYEBANDO-NSOOBA'!L39,'30.07 KYEBANDO-NSOOBA'!L39,'31.08 KYEBANDO-NSOOBA'!L39,'02.08 KYEBANDO-NSOOBA'!L39,'01.08 KYEBANDO-NSOOBA-24h'!L39,'03.08 KYEBANDO-NSOOBA-24h'!L39,'04.08.Kyebando-Nsooba'!L39)</f>
        <v>0.2857142857142857</v>
      </c>
      <c r="M39" s="49">
        <f>AVERAGE('29.07 KYEBANDO-NSOOBA'!M39,'30.07 KYEBANDO-NSOOBA'!M39,'31.08 KYEBANDO-NSOOBA'!M39,'02.08 KYEBANDO-NSOOBA'!M39,'01.08 KYEBANDO-NSOOBA-24h'!M39,'03.08 KYEBANDO-NSOOBA-24h'!M39,'04.08.Kyebando-Nsooba'!M39)</f>
        <v>65.714285714285708</v>
      </c>
      <c r="N39" s="49">
        <f>AVERAGE('29.07 KYEBANDO-NSOOBA'!N39,'30.07 KYEBANDO-NSOOBA'!N39,'31.08 KYEBANDO-NSOOBA'!N39,'02.08 KYEBANDO-NSOOBA'!N39,'01.08 KYEBANDO-NSOOBA-24h'!N39,'03.08 KYEBANDO-NSOOBA-24h'!N39,'04.08.Kyebando-Nsooba'!N39)</f>
        <v>0</v>
      </c>
      <c r="O39" s="15">
        <f t="shared" si="0"/>
        <v>56.142857142857146</v>
      </c>
      <c r="P39" s="15">
        <f t="shared" si="1"/>
        <v>121.85714285714286</v>
      </c>
      <c r="R39" s="29" t="s">
        <v>87</v>
      </c>
      <c r="S39" s="56">
        <f t="shared" ref="S39:AF39" si="31">SUM(S19:S21)</f>
        <v>552.85714285714289</v>
      </c>
      <c r="T39" s="56">
        <f t="shared" si="31"/>
        <v>110.14285714285715</v>
      </c>
      <c r="U39" s="56">
        <f t="shared" si="31"/>
        <v>79.428571428571431</v>
      </c>
      <c r="V39" s="56">
        <f t="shared" si="31"/>
        <v>161</v>
      </c>
      <c r="W39" s="56">
        <f t="shared" si="31"/>
        <v>6.4285714285714279</v>
      </c>
      <c r="X39" s="56">
        <f t="shared" si="31"/>
        <v>2.1428571428571428</v>
      </c>
      <c r="Y39" s="56">
        <f t="shared" si="31"/>
        <v>63.714285714285715</v>
      </c>
      <c r="Z39" s="56">
        <f t="shared" si="31"/>
        <v>13.571428571428573</v>
      </c>
      <c r="AA39" s="56">
        <f t="shared" si="31"/>
        <v>4.5714285714285712</v>
      </c>
      <c r="AB39" s="56">
        <f t="shared" si="31"/>
        <v>12.142857142857144</v>
      </c>
      <c r="AC39" s="56">
        <f t="shared" si="31"/>
        <v>941.57142857142867</v>
      </c>
      <c r="AD39" s="56">
        <f t="shared" si="31"/>
        <v>0</v>
      </c>
      <c r="AE39" s="57">
        <f t="shared" si="31"/>
        <v>1006</v>
      </c>
      <c r="AF39" s="57">
        <f t="shared" si="31"/>
        <v>1947.5714285714284</v>
      </c>
    </row>
    <row r="40" spans="2:32" ht="23.1" customHeight="1" x14ac:dyDescent="0.25">
      <c r="B40" s="24" t="s">
        <v>67</v>
      </c>
      <c r="C40" s="49">
        <f>AVERAGE('29.07 KYEBANDO-NSOOBA'!C40,'30.07 KYEBANDO-NSOOBA'!C40,'31.08 KYEBANDO-NSOOBA'!C40,'02.08 KYEBANDO-NSOOBA'!C40,'01.08 KYEBANDO-NSOOBA-24h'!C40,'03.08 KYEBANDO-NSOOBA-24h'!C40,'04.08.Kyebando-Nsooba'!C40)</f>
        <v>18.714285714285715</v>
      </c>
      <c r="D40" s="49">
        <f>AVERAGE('29.07 KYEBANDO-NSOOBA'!D40,'30.07 KYEBANDO-NSOOBA'!D40,'31.08 KYEBANDO-NSOOBA'!D40,'02.08 KYEBANDO-NSOOBA'!D40,'01.08 KYEBANDO-NSOOBA-24h'!D40,'03.08 KYEBANDO-NSOOBA-24h'!D40,'04.08.Kyebando-Nsooba'!D40)</f>
        <v>4.5714285714285712</v>
      </c>
      <c r="E40" s="49">
        <f>AVERAGE('29.07 KYEBANDO-NSOOBA'!E40,'30.07 KYEBANDO-NSOOBA'!E40,'31.08 KYEBANDO-NSOOBA'!E40,'02.08 KYEBANDO-NSOOBA'!E40,'01.08 KYEBANDO-NSOOBA-24h'!E40,'03.08 KYEBANDO-NSOOBA-24h'!E40,'04.08.Kyebando-Nsooba'!E40)</f>
        <v>3.1428571428571428</v>
      </c>
      <c r="F40" s="49">
        <f>AVERAGE('29.07 KYEBANDO-NSOOBA'!F40,'30.07 KYEBANDO-NSOOBA'!F40,'31.08 KYEBANDO-NSOOBA'!F40,'02.08 KYEBANDO-NSOOBA'!F40,'01.08 KYEBANDO-NSOOBA-24h'!F40,'03.08 KYEBANDO-NSOOBA-24h'!F40,'04.08.Kyebando-Nsooba'!F40)</f>
        <v>5.8571428571428568</v>
      </c>
      <c r="G40" s="49">
        <f>AVERAGE('29.07 KYEBANDO-NSOOBA'!G40,'30.07 KYEBANDO-NSOOBA'!G40,'31.08 KYEBANDO-NSOOBA'!G40,'02.08 KYEBANDO-NSOOBA'!G40,'01.08 KYEBANDO-NSOOBA-24h'!G40,'03.08 KYEBANDO-NSOOBA-24h'!G40,'04.08.Kyebando-Nsooba'!G40)</f>
        <v>0.2857142857142857</v>
      </c>
      <c r="H40" s="49">
        <f>AVERAGE('29.07 KYEBANDO-NSOOBA'!H40,'30.07 KYEBANDO-NSOOBA'!H40,'31.08 KYEBANDO-NSOOBA'!H40,'02.08 KYEBANDO-NSOOBA'!H40,'01.08 KYEBANDO-NSOOBA-24h'!H40,'03.08 KYEBANDO-NSOOBA-24h'!H40,'04.08.Kyebando-Nsooba'!H40)</f>
        <v>0</v>
      </c>
      <c r="I40" s="49">
        <f>AVERAGE('29.07 KYEBANDO-NSOOBA'!I40,'30.07 KYEBANDO-NSOOBA'!I40,'31.08 KYEBANDO-NSOOBA'!I40,'02.08 KYEBANDO-NSOOBA'!I40,'01.08 KYEBANDO-NSOOBA-24h'!I40,'03.08 KYEBANDO-NSOOBA-24h'!I40,'04.08.Kyebando-Nsooba'!I40)</f>
        <v>2.7142857142857144</v>
      </c>
      <c r="J40" s="49">
        <f>AVERAGE('29.07 KYEBANDO-NSOOBA'!J40,'30.07 KYEBANDO-NSOOBA'!J40,'31.08 KYEBANDO-NSOOBA'!J40,'02.08 KYEBANDO-NSOOBA'!J40,'01.08 KYEBANDO-NSOOBA-24h'!J40,'03.08 KYEBANDO-NSOOBA-24h'!J40,'04.08.Kyebando-Nsooba'!J40)</f>
        <v>1.4285714285714286</v>
      </c>
      <c r="K40" s="49">
        <f>AVERAGE('29.07 KYEBANDO-NSOOBA'!K40,'30.07 KYEBANDO-NSOOBA'!K40,'31.08 KYEBANDO-NSOOBA'!K40,'02.08 KYEBANDO-NSOOBA'!K40,'01.08 KYEBANDO-NSOOBA-24h'!K40,'03.08 KYEBANDO-NSOOBA-24h'!K40,'04.08.Kyebando-Nsooba'!K40)</f>
        <v>0.5714285714285714</v>
      </c>
      <c r="L40" s="49">
        <f>AVERAGE('29.07 KYEBANDO-NSOOBA'!L40,'30.07 KYEBANDO-NSOOBA'!L40,'31.08 KYEBANDO-NSOOBA'!L40,'02.08 KYEBANDO-NSOOBA'!L40,'01.08 KYEBANDO-NSOOBA-24h'!L40,'03.08 KYEBANDO-NSOOBA-24h'!L40,'04.08.Kyebando-Nsooba'!L40)</f>
        <v>0.42857142857142855</v>
      </c>
      <c r="M40" s="49">
        <f>AVERAGE('29.07 KYEBANDO-NSOOBA'!M40,'30.07 KYEBANDO-NSOOBA'!M40,'31.08 KYEBANDO-NSOOBA'!M40,'02.08 KYEBANDO-NSOOBA'!M40,'01.08 KYEBANDO-NSOOBA-24h'!M40,'03.08 KYEBANDO-NSOOBA-24h'!M40,'04.08.Kyebando-Nsooba'!M40)</f>
        <v>42</v>
      </c>
      <c r="N40" s="49">
        <f>AVERAGE('29.07 KYEBANDO-NSOOBA'!N40,'30.07 KYEBANDO-NSOOBA'!N40,'31.08 KYEBANDO-NSOOBA'!N40,'02.08 KYEBANDO-NSOOBA'!N40,'01.08 KYEBANDO-NSOOBA-24h'!N40,'03.08 KYEBANDO-NSOOBA-24h'!N40,'04.08.Kyebando-Nsooba'!N40)</f>
        <v>0</v>
      </c>
      <c r="O40" s="15">
        <f t="shared" si="0"/>
        <v>37.714285714285715</v>
      </c>
      <c r="P40" s="15">
        <f t="shared" si="1"/>
        <v>79.714285714285722</v>
      </c>
      <c r="R40" s="5" t="s">
        <v>17</v>
      </c>
      <c r="S40" s="56">
        <f t="shared" ref="S40:AF40" si="32">SUM(S10:S21)</f>
        <v>1437.7142857142856</v>
      </c>
      <c r="T40" s="56">
        <f t="shared" si="32"/>
        <v>354.71428571428567</v>
      </c>
      <c r="U40" s="56">
        <f t="shared" si="32"/>
        <v>252.28571428571431</v>
      </c>
      <c r="V40" s="56">
        <f t="shared" si="32"/>
        <v>616.85714285714289</v>
      </c>
      <c r="W40" s="56">
        <f t="shared" si="32"/>
        <v>19.428571428571427</v>
      </c>
      <c r="X40" s="56">
        <f t="shared" si="32"/>
        <v>4.7142857142857135</v>
      </c>
      <c r="Y40" s="56">
        <f t="shared" si="32"/>
        <v>237.42857142857144</v>
      </c>
      <c r="Z40" s="56">
        <f t="shared" si="32"/>
        <v>49.714285714285715</v>
      </c>
      <c r="AA40" s="56">
        <f t="shared" si="32"/>
        <v>17.999999999999996</v>
      </c>
      <c r="AB40" s="56">
        <f t="shared" si="32"/>
        <v>16.88095238095238</v>
      </c>
      <c r="AC40" s="56">
        <f t="shared" si="32"/>
        <v>3383.1428571428569</v>
      </c>
      <c r="AD40" s="56">
        <f t="shared" si="32"/>
        <v>0</v>
      </c>
      <c r="AE40" s="57">
        <f t="shared" si="32"/>
        <v>3007.738095238095</v>
      </c>
      <c r="AF40" s="57">
        <f t="shared" si="32"/>
        <v>6390.8809523809523</v>
      </c>
    </row>
    <row r="41" spans="2:32" ht="23.1" customHeight="1" x14ac:dyDescent="0.25">
      <c r="B41" s="23" t="s">
        <v>68</v>
      </c>
      <c r="C41" s="49">
        <f>AVERAGE('29.07 KYEBANDO-NSOOBA'!C41,'30.07 KYEBANDO-NSOOBA'!C41,'31.08 KYEBANDO-NSOOBA'!C41,'02.08 KYEBANDO-NSOOBA'!C41,'01.08 KYEBANDO-NSOOBA-24h'!C41,'03.08 KYEBANDO-NSOOBA-24h'!C41,'04.08.Kyebando-Nsooba'!C41)</f>
        <v>53</v>
      </c>
      <c r="D41" s="49">
        <f>AVERAGE('29.07 KYEBANDO-NSOOBA'!D41,'30.07 KYEBANDO-NSOOBA'!D41,'31.08 KYEBANDO-NSOOBA'!D41,'02.08 KYEBANDO-NSOOBA'!D41,'01.08 KYEBANDO-NSOOBA-24h'!D41,'03.08 KYEBANDO-NSOOBA-24h'!D41,'04.08.Kyebando-Nsooba'!D41)</f>
        <v>4.5714285714285712</v>
      </c>
      <c r="E41" s="49">
        <f>AVERAGE('29.07 KYEBANDO-NSOOBA'!E41,'30.07 KYEBANDO-NSOOBA'!E41,'31.08 KYEBANDO-NSOOBA'!E41,'02.08 KYEBANDO-NSOOBA'!E41,'01.08 KYEBANDO-NSOOBA-24h'!E41,'03.08 KYEBANDO-NSOOBA-24h'!E41,'04.08.Kyebando-Nsooba'!E41)</f>
        <v>3.8571428571428572</v>
      </c>
      <c r="F41" s="49">
        <f>AVERAGE('29.07 KYEBANDO-NSOOBA'!F41,'30.07 KYEBANDO-NSOOBA'!F41,'31.08 KYEBANDO-NSOOBA'!F41,'02.08 KYEBANDO-NSOOBA'!F41,'01.08 KYEBANDO-NSOOBA-24h'!F41,'03.08 KYEBANDO-NSOOBA-24h'!F41,'04.08.Kyebando-Nsooba'!F41)</f>
        <v>7.4285714285714288</v>
      </c>
      <c r="G41" s="49">
        <f>AVERAGE('29.07 KYEBANDO-NSOOBA'!G41,'30.07 KYEBANDO-NSOOBA'!G41,'31.08 KYEBANDO-NSOOBA'!G41,'02.08 KYEBANDO-NSOOBA'!G41,'01.08 KYEBANDO-NSOOBA-24h'!G41,'03.08 KYEBANDO-NSOOBA-24h'!G41,'04.08.Kyebando-Nsooba'!G41)</f>
        <v>0.14285714285714285</v>
      </c>
      <c r="H41" s="49">
        <f>AVERAGE('29.07 KYEBANDO-NSOOBA'!H41,'30.07 KYEBANDO-NSOOBA'!H41,'31.08 KYEBANDO-NSOOBA'!H41,'02.08 KYEBANDO-NSOOBA'!H41,'01.08 KYEBANDO-NSOOBA-24h'!H41,'03.08 KYEBANDO-NSOOBA-24h'!H41,'04.08.Kyebando-Nsooba'!H41)</f>
        <v>0</v>
      </c>
      <c r="I41" s="49">
        <f>AVERAGE('29.07 KYEBANDO-NSOOBA'!I41,'30.07 KYEBANDO-NSOOBA'!I41,'31.08 KYEBANDO-NSOOBA'!I41,'02.08 KYEBANDO-NSOOBA'!I41,'01.08 KYEBANDO-NSOOBA-24h'!I41,'03.08 KYEBANDO-NSOOBA-24h'!I41,'04.08.Kyebando-Nsooba'!I41)</f>
        <v>3.8571428571428572</v>
      </c>
      <c r="J41" s="49">
        <f>AVERAGE('29.07 KYEBANDO-NSOOBA'!J41,'30.07 KYEBANDO-NSOOBA'!J41,'31.08 KYEBANDO-NSOOBA'!J41,'02.08 KYEBANDO-NSOOBA'!J41,'01.08 KYEBANDO-NSOOBA-24h'!J41,'03.08 KYEBANDO-NSOOBA-24h'!J41,'04.08.Kyebando-Nsooba'!J41)</f>
        <v>0.42857142857142855</v>
      </c>
      <c r="K41" s="49">
        <f>AVERAGE('29.07 KYEBANDO-NSOOBA'!K41,'30.07 KYEBANDO-NSOOBA'!K41,'31.08 KYEBANDO-NSOOBA'!K41,'02.08 KYEBANDO-NSOOBA'!K41,'01.08 KYEBANDO-NSOOBA-24h'!K41,'03.08 KYEBANDO-NSOOBA-24h'!K41,'04.08.Kyebando-Nsooba'!K41)</f>
        <v>0.2857142857142857</v>
      </c>
      <c r="L41" s="49">
        <f>AVERAGE('29.07 KYEBANDO-NSOOBA'!L41,'30.07 KYEBANDO-NSOOBA'!L41,'31.08 KYEBANDO-NSOOBA'!L41,'02.08 KYEBANDO-NSOOBA'!L41,'01.08 KYEBANDO-NSOOBA-24h'!L41,'03.08 KYEBANDO-NSOOBA-24h'!L41,'04.08.Kyebando-Nsooba'!L41)</f>
        <v>0</v>
      </c>
      <c r="M41" s="49">
        <f>AVERAGE('29.07 KYEBANDO-NSOOBA'!M41,'30.07 KYEBANDO-NSOOBA'!M41,'31.08 KYEBANDO-NSOOBA'!M41,'02.08 KYEBANDO-NSOOBA'!M41,'01.08 KYEBANDO-NSOOBA-24h'!M41,'03.08 KYEBANDO-NSOOBA-24h'!M41,'04.08.Kyebando-Nsooba'!M41)</f>
        <v>35.285714285714285</v>
      </c>
      <c r="N41" s="49">
        <f>AVERAGE('29.07 KYEBANDO-NSOOBA'!N41,'30.07 KYEBANDO-NSOOBA'!N41,'31.08 KYEBANDO-NSOOBA'!N41,'02.08 KYEBANDO-NSOOBA'!N41,'01.08 KYEBANDO-NSOOBA-24h'!N41,'03.08 KYEBANDO-NSOOBA-24h'!N41,'04.08.Kyebando-Nsooba'!N41)</f>
        <v>0</v>
      </c>
      <c r="O41" s="15">
        <f t="shared" si="0"/>
        <v>73.571428571428569</v>
      </c>
      <c r="P41" s="15">
        <f t="shared" si="1"/>
        <v>108.85714285714286</v>
      </c>
      <c r="R41" s="5" t="s">
        <v>177</v>
      </c>
      <c r="S41" s="56">
        <f>SUM(S10:S33)</f>
        <v>1940.2142857142856</v>
      </c>
      <c r="T41" s="56">
        <f t="shared" ref="T41:AD41" si="33">SUM(T10:T33)</f>
        <v>437.71428571428567</v>
      </c>
      <c r="U41" s="56">
        <f t="shared" si="33"/>
        <v>300.28571428571433</v>
      </c>
      <c r="V41" s="56">
        <f t="shared" si="33"/>
        <v>766.85714285714289</v>
      </c>
      <c r="W41" s="56">
        <f t="shared" si="33"/>
        <v>27.428571428571427</v>
      </c>
      <c r="X41" s="56">
        <f t="shared" si="33"/>
        <v>7.7142857142857135</v>
      </c>
      <c r="Y41" s="56">
        <f t="shared" si="33"/>
        <v>266.42857142857144</v>
      </c>
      <c r="Z41" s="56">
        <f t="shared" si="33"/>
        <v>56.214285714285715</v>
      </c>
      <c r="AA41" s="56">
        <f t="shared" si="33"/>
        <v>22.999999999999996</v>
      </c>
      <c r="AB41" s="56">
        <f t="shared" si="33"/>
        <v>17.38095238095238</v>
      </c>
      <c r="AC41" s="56">
        <f t="shared" si="33"/>
        <v>4287.1428571428569</v>
      </c>
      <c r="AD41" s="56">
        <f t="shared" si="33"/>
        <v>0</v>
      </c>
      <c r="AE41" s="57">
        <f>SUM(AE10:AE33)</f>
        <v>3843.238095238095</v>
      </c>
      <c r="AF41" s="57">
        <f>SUM(AF10:AF33)</f>
        <v>8130.3809523809523</v>
      </c>
    </row>
    <row r="42" spans="2:32" ht="23.1" customHeight="1" x14ac:dyDescent="0.25">
      <c r="B42" s="24" t="s">
        <v>69</v>
      </c>
      <c r="C42" s="49">
        <f>AVERAGE('29.07 KYEBANDO-NSOOBA'!C42,'30.07 KYEBANDO-NSOOBA'!C42,'31.08 KYEBANDO-NSOOBA'!C42,'02.08 KYEBANDO-NSOOBA'!C42,'01.08 KYEBANDO-NSOOBA-24h'!C42,'03.08 KYEBANDO-NSOOBA-24h'!C42,'04.08.Kyebando-Nsooba'!C42)</f>
        <v>25.285714285714285</v>
      </c>
      <c r="D42" s="49">
        <f>AVERAGE('29.07 KYEBANDO-NSOOBA'!D42,'30.07 KYEBANDO-NSOOBA'!D42,'31.08 KYEBANDO-NSOOBA'!D42,'02.08 KYEBANDO-NSOOBA'!D42,'01.08 KYEBANDO-NSOOBA-24h'!D42,'03.08 KYEBANDO-NSOOBA-24h'!D42,'04.08.Kyebando-Nsooba'!D42)</f>
        <v>5.8571428571428568</v>
      </c>
      <c r="E42" s="49">
        <f>AVERAGE('29.07 KYEBANDO-NSOOBA'!E42,'30.07 KYEBANDO-NSOOBA'!E42,'31.08 KYEBANDO-NSOOBA'!E42,'02.08 KYEBANDO-NSOOBA'!E42,'01.08 KYEBANDO-NSOOBA-24h'!E42,'03.08 KYEBANDO-NSOOBA-24h'!E42,'04.08.Kyebando-Nsooba'!E42)</f>
        <v>4.8571428571428568</v>
      </c>
      <c r="F42" s="49">
        <f>AVERAGE('29.07 KYEBANDO-NSOOBA'!F42,'30.07 KYEBANDO-NSOOBA'!F42,'31.08 KYEBANDO-NSOOBA'!F42,'02.08 KYEBANDO-NSOOBA'!F42,'01.08 KYEBANDO-NSOOBA-24h'!F42,'03.08 KYEBANDO-NSOOBA-24h'!F42,'04.08.Kyebando-Nsooba'!F42)</f>
        <v>9.4285714285714288</v>
      </c>
      <c r="G42" s="49">
        <f>AVERAGE('29.07 KYEBANDO-NSOOBA'!G42,'30.07 KYEBANDO-NSOOBA'!G42,'31.08 KYEBANDO-NSOOBA'!G42,'02.08 KYEBANDO-NSOOBA'!G42,'01.08 KYEBANDO-NSOOBA-24h'!G42,'03.08 KYEBANDO-NSOOBA-24h'!G42,'04.08.Kyebando-Nsooba'!G42)</f>
        <v>0.2857142857142857</v>
      </c>
      <c r="H42" s="49">
        <f>AVERAGE('29.07 KYEBANDO-NSOOBA'!H42,'30.07 KYEBANDO-NSOOBA'!H42,'31.08 KYEBANDO-NSOOBA'!H42,'02.08 KYEBANDO-NSOOBA'!H42,'01.08 KYEBANDO-NSOOBA-24h'!H42,'03.08 KYEBANDO-NSOOBA-24h'!H42,'04.08.Kyebando-Nsooba'!H42)</f>
        <v>0</v>
      </c>
      <c r="I42" s="49">
        <f>AVERAGE('29.07 KYEBANDO-NSOOBA'!I42,'30.07 KYEBANDO-NSOOBA'!I42,'31.08 KYEBANDO-NSOOBA'!I42,'02.08 KYEBANDO-NSOOBA'!I42,'01.08 KYEBANDO-NSOOBA-24h'!I42,'03.08 KYEBANDO-NSOOBA-24h'!I42,'04.08.Kyebando-Nsooba'!I42)</f>
        <v>3.7142857142857144</v>
      </c>
      <c r="J42" s="49">
        <f>AVERAGE('29.07 KYEBANDO-NSOOBA'!J42,'30.07 KYEBANDO-NSOOBA'!J42,'31.08 KYEBANDO-NSOOBA'!J42,'02.08 KYEBANDO-NSOOBA'!J42,'01.08 KYEBANDO-NSOOBA-24h'!J42,'03.08 KYEBANDO-NSOOBA-24h'!J42,'04.08.Kyebando-Nsooba'!J42)</f>
        <v>0.42857142857142855</v>
      </c>
      <c r="K42" s="49">
        <f>AVERAGE('29.07 KYEBANDO-NSOOBA'!K42,'30.07 KYEBANDO-NSOOBA'!K42,'31.08 KYEBANDO-NSOOBA'!K42,'02.08 KYEBANDO-NSOOBA'!K42,'01.08 KYEBANDO-NSOOBA-24h'!K42,'03.08 KYEBANDO-NSOOBA-24h'!K42,'04.08.Kyebando-Nsooba'!K42)</f>
        <v>0</v>
      </c>
      <c r="L42" s="49">
        <f>AVERAGE('29.07 KYEBANDO-NSOOBA'!L42,'30.07 KYEBANDO-NSOOBA'!L42,'31.08 KYEBANDO-NSOOBA'!L42,'02.08 KYEBANDO-NSOOBA'!L42,'01.08 KYEBANDO-NSOOBA-24h'!L42,'03.08 KYEBANDO-NSOOBA-24h'!L42,'04.08.Kyebando-Nsooba'!L42)</f>
        <v>0</v>
      </c>
      <c r="M42" s="49">
        <f>AVERAGE('29.07 KYEBANDO-NSOOBA'!M42,'30.07 KYEBANDO-NSOOBA'!M42,'31.08 KYEBANDO-NSOOBA'!M42,'02.08 KYEBANDO-NSOOBA'!M42,'01.08 KYEBANDO-NSOOBA-24h'!M42,'03.08 KYEBANDO-NSOOBA-24h'!M42,'04.08.Kyebando-Nsooba'!M42)</f>
        <v>51</v>
      </c>
      <c r="N42" s="49">
        <f>AVERAGE('29.07 KYEBANDO-NSOOBA'!N42,'30.07 KYEBANDO-NSOOBA'!N42,'31.08 KYEBANDO-NSOOBA'!N42,'02.08 KYEBANDO-NSOOBA'!N42,'01.08 KYEBANDO-NSOOBA-24h'!N42,'03.08 KYEBANDO-NSOOBA-24h'!N42,'04.08.Kyebando-Nsooba'!N42)</f>
        <v>0</v>
      </c>
      <c r="O42" s="15">
        <f t="shared" si="0"/>
        <v>49.857142857142861</v>
      </c>
      <c r="P42" s="15">
        <f t="shared" si="1"/>
        <v>100.85714285714286</v>
      </c>
      <c r="R42" s="5" t="s">
        <v>160</v>
      </c>
      <c r="S42" s="48">
        <f>S41/S40</f>
        <v>1.3495131160572338</v>
      </c>
      <c r="T42" s="48">
        <f t="shared" ref="T42:AF42" si="34">T41/T40</f>
        <v>1.2339911397503021</v>
      </c>
      <c r="U42" s="48">
        <f t="shared" si="34"/>
        <v>1.1902604756511892</v>
      </c>
      <c r="V42" s="48">
        <f t="shared" si="34"/>
        <v>1.2431681333950904</v>
      </c>
      <c r="W42" s="48">
        <f t="shared" si="34"/>
        <v>1.411764705882353</v>
      </c>
      <c r="X42" s="48">
        <f t="shared" si="34"/>
        <v>1.6363636363636365</v>
      </c>
      <c r="Y42" s="48">
        <f t="shared" si="34"/>
        <v>1.1221419975932612</v>
      </c>
      <c r="Z42" s="48">
        <f t="shared" si="34"/>
        <v>1.1307471264367817</v>
      </c>
      <c r="AA42" s="48">
        <f t="shared" si="34"/>
        <v>1.2777777777777779</v>
      </c>
      <c r="AB42" s="48">
        <f t="shared" si="34"/>
        <v>1.0296191819464033</v>
      </c>
      <c r="AC42" s="48">
        <f t="shared" si="34"/>
        <v>1.2672071615573008</v>
      </c>
      <c r="AD42" s="48" t="e">
        <f t="shared" si="34"/>
        <v>#DIV/0!</v>
      </c>
      <c r="AE42" s="58">
        <f t="shared" si="34"/>
        <v>1.277783494953493</v>
      </c>
      <c r="AF42" s="58">
        <f t="shared" si="34"/>
        <v>1.2721846976905338</v>
      </c>
    </row>
    <row r="43" spans="2:32" ht="23.1" customHeight="1" x14ac:dyDescent="0.25">
      <c r="B43" s="23" t="s">
        <v>70</v>
      </c>
      <c r="C43" s="49">
        <f>AVERAGE('29.07 KYEBANDO-NSOOBA'!C43,'30.07 KYEBANDO-NSOOBA'!C43,'31.08 KYEBANDO-NSOOBA'!C43,'02.08 KYEBANDO-NSOOBA'!C43,'01.08 KYEBANDO-NSOOBA-24h'!C43,'03.08 KYEBANDO-NSOOBA-24h'!C43,'04.08.Kyebando-Nsooba'!C43)</f>
        <v>29.142857142857142</v>
      </c>
      <c r="D43" s="49">
        <f>AVERAGE('29.07 KYEBANDO-NSOOBA'!D43,'30.07 KYEBANDO-NSOOBA'!D43,'31.08 KYEBANDO-NSOOBA'!D43,'02.08 KYEBANDO-NSOOBA'!D43,'01.08 KYEBANDO-NSOOBA-24h'!D43,'03.08 KYEBANDO-NSOOBA-24h'!D43,'04.08.Kyebando-Nsooba'!D43)</f>
        <v>8.4285714285714288</v>
      </c>
      <c r="E43" s="49">
        <f>AVERAGE('29.07 KYEBANDO-NSOOBA'!E43,'30.07 KYEBANDO-NSOOBA'!E43,'31.08 KYEBANDO-NSOOBA'!E43,'02.08 KYEBANDO-NSOOBA'!E43,'01.08 KYEBANDO-NSOOBA-24h'!E43,'03.08 KYEBANDO-NSOOBA-24h'!E43,'04.08.Kyebando-Nsooba'!E43)</f>
        <v>6.4285714285714288</v>
      </c>
      <c r="F43" s="49">
        <f>AVERAGE('29.07 KYEBANDO-NSOOBA'!F43,'30.07 KYEBANDO-NSOOBA'!F43,'31.08 KYEBANDO-NSOOBA'!F43,'02.08 KYEBANDO-NSOOBA'!F43,'01.08 KYEBANDO-NSOOBA-24h'!F43,'03.08 KYEBANDO-NSOOBA-24h'!F43,'04.08.Kyebando-Nsooba'!F43)</f>
        <v>9.4285714285714288</v>
      </c>
      <c r="G43" s="49">
        <f>AVERAGE('29.07 KYEBANDO-NSOOBA'!G43,'30.07 KYEBANDO-NSOOBA'!G43,'31.08 KYEBANDO-NSOOBA'!G43,'02.08 KYEBANDO-NSOOBA'!G43,'01.08 KYEBANDO-NSOOBA-24h'!G43,'03.08 KYEBANDO-NSOOBA-24h'!G43,'04.08.Kyebando-Nsooba'!G43)</f>
        <v>0.2857142857142857</v>
      </c>
      <c r="H43" s="49">
        <f>AVERAGE('29.07 KYEBANDO-NSOOBA'!H43,'30.07 KYEBANDO-NSOOBA'!H43,'31.08 KYEBANDO-NSOOBA'!H43,'02.08 KYEBANDO-NSOOBA'!H43,'01.08 KYEBANDO-NSOOBA-24h'!H43,'03.08 KYEBANDO-NSOOBA-24h'!H43,'04.08.Kyebando-Nsooba'!H43)</f>
        <v>0.14285714285714285</v>
      </c>
      <c r="I43" s="49">
        <f>AVERAGE('29.07 KYEBANDO-NSOOBA'!I43,'30.07 KYEBANDO-NSOOBA'!I43,'31.08 KYEBANDO-NSOOBA'!I43,'02.08 KYEBANDO-NSOOBA'!I43,'01.08 KYEBANDO-NSOOBA-24h'!I43,'03.08 KYEBANDO-NSOOBA-24h'!I43,'04.08.Kyebando-Nsooba'!I43)</f>
        <v>5.5714285714285712</v>
      </c>
      <c r="J43" s="49">
        <f>AVERAGE('29.07 KYEBANDO-NSOOBA'!J43,'30.07 KYEBANDO-NSOOBA'!J43,'31.08 KYEBANDO-NSOOBA'!J43,'02.08 KYEBANDO-NSOOBA'!J43,'01.08 KYEBANDO-NSOOBA-24h'!J43,'03.08 KYEBANDO-NSOOBA-24h'!J43,'04.08.Kyebando-Nsooba'!J43)</f>
        <v>1.1428571428571428</v>
      </c>
      <c r="K43" s="49">
        <f>AVERAGE('29.07 KYEBANDO-NSOOBA'!K43,'30.07 KYEBANDO-NSOOBA'!K43,'31.08 KYEBANDO-NSOOBA'!K43,'02.08 KYEBANDO-NSOOBA'!K43,'01.08 KYEBANDO-NSOOBA-24h'!K43,'03.08 KYEBANDO-NSOOBA-24h'!K43,'04.08.Kyebando-Nsooba'!K43)</f>
        <v>0.2857142857142857</v>
      </c>
      <c r="L43" s="49">
        <f>AVERAGE('29.07 KYEBANDO-NSOOBA'!L43,'30.07 KYEBANDO-NSOOBA'!L43,'31.08 KYEBANDO-NSOOBA'!L43,'02.08 KYEBANDO-NSOOBA'!L43,'01.08 KYEBANDO-NSOOBA-24h'!L43,'03.08 KYEBANDO-NSOOBA-24h'!L43,'04.08.Kyebando-Nsooba'!L43)</f>
        <v>0</v>
      </c>
      <c r="M43" s="49">
        <f>AVERAGE('29.07 KYEBANDO-NSOOBA'!M43,'30.07 KYEBANDO-NSOOBA'!M43,'31.08 KYEBANDO-NSOOBA'!M43,'02.08 KYEBANDO-NSOOBA'!M43,'01.08 KYEBANDO-NSOOBA-24h'!M43,'03.08 KYEBANDO-NSOOBA-24h'!M43,'04.08.Kyebando-Nsooba'!M43)</f>
        <v>67.857142857142861</v>
      </c>
      <c r="N43" s="49">
        <f>AVERAGE('29.07 KYEBANDO-NSOOBA'!N43,'30.07 KYEBANDO-NSOOBA'!N43,'31.08 KYEBANDO-NSOOBA'!N43,'02.08 KYEBANDO-NSOOBA'!N43,'01.08 KYEBANDO-NSOOBA-24h'!N43,'03.08 KYEBANDO-NSOOBA-24h'!N43,'04.08.Kyebando-Nsooba'!N43)</f>
        <v>0</v>
      </c>
      <c r="O43" s="15">
        <f t="shared" si="0"/>
        <v>60.857142857142861</v>
      </c>
      <c r="P43" s="15">
        <f t="shared" si="1"/>
        <v>128.71428571428572</v>
      </c>
    </row>
    <row r="44" spans="2:32" ht="23.1" customHeight="1" x14ac:dyDescent="0.25">
      <c r="B44" s="25" t="s">
        <v>71</v>
      </c>
      <c r="C44" s="49">
        <f>AVERAGE('29.07 KYEBANDO-NSOOBA'!C44,'30.07 KYEBANDO-NSOOBA'!C44,'31.08 KYEBANDO-NSOOBA'!C44,'02.08 KYEBANDO-NSOOBA'!C44,'01.08 KYEBANDO-NSOOBA-24h'!C44,'03.08 KYEBANDO-NSOOBA-24h'!C44,'04.08.Kyebando-Nsooba'!C44)</f>
        <v>24.571428571428573</v>
      </c>
      <c r="D44" s="49">
        <f>AVERAGE('29.07 KYEBANDO-NSOOBA'!D44,'30.07 KYEBANDO-NSOOBA'!D44,'31.08 KYEBANDO-NSOOBA'!D44,'02.08 KYEBANDO-NSOOBA'!D44,'01.08 KYEBANDO-NSOOBA-24h'!D44,'03.08 KYEBANDO-NSOOBA-24h'!D44,'04.08.Kyebando-Nsooba'!D44)</f>
        <v>8.2857142857142865</v>
      </c>
      <c r="E44" s="49">
        <f>AVERAGE('29.07 KYEBANDO-NSOOBA'!E44,'30.07 KYEBANDO-NSOOBA'!E44,'31.08 KYEBANDO-NSOOBA'!E44,'02.08 KYEBANDO-NSOOBA'!E44,'01.08 KYEBANDO-NSOOBA-24h'!E44,'03.08 KYEBANDO-NSOOBA-24h'!E44,'04.08.Kyebando-Nsooba'!E44)</f>
        <v>5.8571428571428568</v>
      </c>
      <c r="F44" s="49">
        <f>AVERAGE('29.07 KYEBANDO-NSOOBA'!F44,'30.07 KYEBANDO-NSOOBA'!F44,'31.08 KYEBANDO-NSOOBA'!F44,'02.08 KYEBANDO-NSOOBA'!F44,'01.08 KYEBANDO-NSOOBA-24h'!F44,'03.08 KYEBANDO-NSOOBA-24h'!F44,'04.08.Kyebando-Nsooba'!F44)</f>
        <v>7.5714285714285712</v>
      </c>
      <c r="G44" s="49">
        <f>AVERAGE('29.07 KYEBANDO-NSOOBA'!G44,'30.07 KYEBANDO-NSOOBA'!G44,'31.08 KYEBANDO-NSOOBA'!G44,'02.08 KYEBANDO-NSOOBA'!G44,'01.08 KYEBANDO-NSOOBA-24h'!G44,'03.08 KYEBANDO-NSOOBA-24h'!G44,'04.08.Kyebando-Nsooba'!G44)</f>
        <v>0.2857142857142857</v>
      </c>
      <c r="H44" s="49">
        <f>AVERAGE('29.07 KYEBANDO-NSOOBA'!H44,'30.07 KYEBANDO-NSOOBA'!H44,'31.08 KYEBANDO-NSOOBA'!H44,'02.08 KYEBANDO-NSOOBA'!H44,'01.08 KYEBANDO-NSOOBA-24h'!H44,'03.08 KYEBANDO-NSOOBA-24h'!H44,'04.08.Kyebando-Nsooba'!H44)</f>
        <v>0</v>
      </c>
      <c r="I44" s="49">
        <f>AVERAGE('29.07 KYEBANDO-NSOOBA'!I44,'30.07 KYEBANDO-NSOOBA'!I44,'31.08 KYEBANDO-NSOOBA'!I44,'02.08 KYEBANDO-NSOOBA'!I44,'01.08 KYEBANDO-NSOOBA-24h'!I44,'03.08 KYEBANDO-NSOOBA-24h'!I44,'04.08.Kyebando-Nsooba'!I44)</f>
        <v>4.7142857142857144</v>
      </c>
      <c r="J44" s="49">
        <f>AVERAGE('29.07 KYEBANDO-NSOOBA'!J44,'30.07 KYEBANDO-NSOOBA'!J44,'31.08 KYEBANDO-NSOOBA'!J44,'02.08 KYEBANDO-NSOOBA'!J44,'01.08 KYEBANDO-NSOOBA-24h'!J44,'03.08 KYEBANDO-NSOOBA-24h'!J44,'04.08.Kyebando-Nsooba'!J44)</f>
        <v>0.8571428571428571</v>
      </c>
      <c r="K44" s="49">
        <f>AVERAGE('29.07 KYEBANDO-NSOOBA'!K44,'30.07 KYEBANDO-NSOOBA'!K44,'31.08 KYEBANDO-NSOOBA'!K44,'02.08 KYEBANDO-NSOOBA'!K44,'01.08 KYEBANDO-NSOOBA-24h'!K44,'03.08 KYEBANDO-NSOOBA-24h'!K44,'04.08.Kyebando-Nsooba'!K44)</f>
        <v>0.14285714285714285</v>
      </c>
      <c r="L44" s="49">
        <f>AVERAGE('29.07 KYEBANDO-NSOOBA'!L44,'30.07 KYEBANDO-NSOOBA'!L44,'31.08 KYEBANDO-NSOOBA'!L44,'02.08 KYEBANDO-NSOOBA'!L44,'01.08 KYEBANDO-NSOOBA-24h'!L44,'03.08 KYEBANDO-NSOOBA-24h'!L44,'04.08.Kyebando-Nsooba'!L44)</f>
        <v>0.14285714285714285</v>
      </c>
      <c r="M44" s="49">
        <f>AVERAGE('29.07 KYEBANDO-NSOOBA'!M44,'30.07 KYEBANDO-NSOOBA'!M44,'31.08 KYEBANDO-NSOOBA'!M44,'02.08 KYEBANDO-NSOOBA'!M44,'01.08 KYEBANDO-NSOOBA-24h'!M44,'03.08 KYEBANDO-NSOOBA-24h'!M44,'04.08.Kyebando-Nsooba'!M44)</f>
        <v>49.142857142857146</v>
      </c>
      <c r="N44" s="49">
        <f>AVERAGE('29.07 KYEBANDO-NSOOBA'!N44,'30.07 KYEBANDO-NSOOBA'!N44,'31.08 KYEBANDO-NSOOBA'!N44,'02.08 KYEBANDO-NSOOBA'!N44,'01.08 KYEBANDO-NSOOBA-24h'!N44,'03.08 KYEBANDO-NSOOBA-24h'!N44,'04.08.Kyebando-Nsooba'!N44)</f>
        <v>0</v>
      </c>
      <c r="O44" s="15">
        <f t="shared" si="0"/>
        <v>52.428571428571431</v>
      </c>
      <c r="P44" s="15">
        <f t="shared" si="1"/>
        <v>101.57142857142858</v>
      </c>
    </row>
    <row r="45" spans="2:32" ht="23.1" customHeight="1" x14ac:dyDescent="0.25">
      <c r="B45" s="23" t="s">
        <v>72</v>
      </c>
      <c r="C45" s="49">
        <f>AVERAGE('29.07 KYEBANDO-NSOOBA'!C45,'30.07 KYEBANDO-NSOOBA'!C45,'31.08 KYEBANDO-NSOOBA'!C45,'02.08 KYEBANDO-NSOOBA'!C45,'01.08 KYEBANDO-NSOOBA-24h'!C45,'03.08 KYEBANDO-NSOOBA-24h'!C45,'04.08.Kyebando-Nsooba'!C45)</f>
        <v>29.142857142857142</v>
      </c>
      <c r="D45" s="49">
        <f>AVERAGE('29.07 KYEBANDO-NSOOBA'!D45,'30.07 KYEBANDO-NSOOBA'!D45,'31.08 KYEBANDO-NSOOBA'!D45,'02.08 KYEBANDO-NSOOBA'!D45,'01.08 KYEBANDO-NSOOBA-24h'!D45,'03.08 KYEBANDO-NSOOBA-24h'!D45,'04.08.Kyebando-Nsooba'!D45)</f>
        <v>6.5714285714285712</v>
      </c>
      <c r="E45" s="49">
        <f>AVERAGE('29.07 KYEBANDO-NSOOBA'!E45,'30.07 KYEBANDO-NSOOBA'!E45,'31.08 KYEBANDO-NSOOBA'!E45,'02.08 KYEBANDO-NSOOBA'!E45,'01.08 KYEBANDO-NSOOBA-24h'!E45,'03.08 KYEBANDO-NSOOBA-24h'!E45,'04.08.Kyebando-Nsooba'!E45)</f>
        <v>7.1428571428571432</v>
      </c>
      <c r="F45" s="49">
        <f>AVERAGE('29.07 KYEBANDO-NSOOBA'!F45,'30.07 KYEBANDO-NSOOBA'!F45,'31.08 KYEBANDO-NSOOBA'!F45,'02.08 KYEBANDO-NSOOBA'!F45,'01.08 KYEBANDO-NSOOBA-24h'!F45,'03.08 KYEBANDO-NSOOBA-24h'!F45,'04.08.Kyebando-Nsooba'!F45)</f>
        <v>10.428571428571429</v>
      </c>
      <c r="G45" s="49">
        <f>AVERAGE('29.07 KYEBANDO-NSOOBA'!G45,'30.07 KYEBANDO-NSOOBA'!G45,'31.08 KYEBANDO-NSOOBA'!G45,'02.08 KYEBANDO-NSOOBA'!G45,'01.08 KYEBANDO-NSOOBA-24h'!G45,'03.08 KYEBANDO-NSOOBA-24h'!G45,'04.08.Kyebando-Nsooba'!G45)</f>
        <v>0.14285714285714285</v>
      </c>
      <c r="H45" s="49">
        <f>AVERAGE('29.07 KYEBANDO-NSOOBA'!H45,'30.07 KYEBANDO-NSOOBA'!H45,'31.08 KYEBANDO-NSOOBA'!H45,'02.08 KYEBANDO-NSOOBA'!H45,'01.08 KYEBANDO-NSOOBA-24h'!H45,'03.08 KYEBANDO-NSOOBA-24h'!H45,'04.08.Kyebando-Nsooba'!H45)</f>
        <v>0.14285714285714285</v>
      </c>
      <c r="I45" s="49">
        <f>AVERAGE('29.07 KYEBANDO-NSOOBA'!I45,'30.07 KYEBANDO-NSOOBA'!I45,'31.08 KYEBANDO-NSOOBA'!I45,'02.08 KYEBANDO-NSOOBA'!I45,'01.08 KYEBANDO-NSOOBA-24h'!I45,'03.08 KYEBANDO-NSOOBA-24h'!I45,'04.08.Kyebando-Nsooba'!I45)</f>
        <v>6.8571428571428568</v>
      </c>
      <c r="J45" s="49">
        <f>AVERAGE('29.07 KYEBANDO-NSOOBA'!J45,'30.07 KYEBANDO-NSOOBA'!J45,'31.08 KYEBANDO-NSOOBA'!J45,'02.08 KYEBANDO-NSOOBA'!J45,'01.08 KYEBANDO-NSOOBA-24h'!J45,'03.08 KYEBANDO-NSOOBA-24h'!J45,'04.08.Kyebando-Nsooba'!J45)</f>
        <v>0.8571428571428571</v>
      </c>
      <c r="K45" s="49">
        <f>AVERAGE('29.07 KYEBANDO-NSOOBA'!K45,'30.07 KYEBANDO-NSOOBA'!K45,'31.08 KYEBANDO-NSOOBA'!K45,'02.08 KYEBANDO-NSOOBA'!K45,'01.08 KYEBANDO-NSOOBA-24h'!K45,'03.08 KYEBANDO-NSOOBA-24h'!K45,'04.08.Kyebando-Nsooba'!K45)</f>
        <v>0.2857142857142857</v>
      </c>
      <c r="L45" s="49">
        <f>AVERAGE('29.07 KYEBANDO-NSOOBA'!L45,'30.07 KYEBANDO-NSOOBA'!L45,'31.08 KYEBANDO-NSOOBA'!L45,'02.08 KYEBANDO-NSOOBA'!L45,'01.08 KYEBANDO-NSOOBA-24h'!L45,'03.08 KYEBANDO-NSOOBA-24h'!L45,'04.08.Kyebando-Nsooba'!L45)</f>
        <v>0.16666666666666666</v>
      </c>
      <c r="M45" s="49">
        <f>AVERAGE('29.07 KYEBANDO-NSOOBA'!M45,'30.07 KYEBANDO-NSOOBA'!M45,'31.08 KYEBANDO-NSOOBA'!M45,'02.08 KYEBANDO-NSOOBA'!M45,'01.08 KYEBANDO-NSOOBA-24h'!M45,'03.08 KYEBANDO-NSOOBA-24h'!M45,'04.08.Kyebando-Nsooba'!M45)</f>
        <v>60.428571428571431</v>
      </c>
      <c r="N45" s="49">
        <f>AVERAGE('29.07 KYEBANDO-NSOOBA'!N45,'30.07 KYEBANDO-NSOOBA'!N45,'31.08 KYEBANDO-NSOOBA'!N45,'02.08 KYEBANDO-NSOOBA'!N45,'01.08 KYEBANDO-NSOOBA-24h'!N45,'03.08 KYEBANDO-NSOOBA-24h'!N45,'04.08.Kyebando-Nsooba'!N45)</f>
        <v>0</v>
      </c>
      <c r="O45" s="15">
        <f t="shared" si="0"/>
        <v>61.738095238095241</v>
      </c>
      <c r="P45" s="15">
        <f t="shared" si="1"/>
        <v>122.16666666666667</v>
      </c>
    </row>
    <row r="46" spans="2:32" ht="23.1" customHeight="1" x14ac:dyDescent="0.25">
      <c r="B46" s="24" t="s">
        <v>73</v>
      </c>
      <c r="C46" s="49">
        <f>AVERAGE('29.07 KYEBANDO-NSOOBA'!C46,'30.07 KYEBANDO-NSOOBA'!C46,'31.08 KYEBANDO-NSOOBA'!C46,'02.08 KYEBANDO-NSOOBA'!C46,'01.08 KYEBANDO-NSOOBA-24h'!C46,'03.08 KYEBANDO-NSOOBA-24h'!C46,'04.08.Kyebando-Nsooba'!C46)</f>
        <v>31</v>
      </c>
      <c r="D46" s="49">
        <f>AVERAGE('29.07 KYEBANDO-NSOOBA'!D46,'30.07 KYEBANDO-NSOOBA'!D46,'31.08 KYEBANDO-NSOOBA'!D46,'02.08 KYEBANDO-NSOOBA'!D46,'01.08 KYEBANDO-NSOOBA-24h'!D46,'03.08 KYEBANDO-NSOOBA-24h'!D46,'04.08.Kyebando-Nsooba'!D46)</f>
        <v>9.7142857142857135</v>
      </c>
      <c r="E46" s="49">
        <f>AVERAGE('29.07 KYEBANDO-NSOOBA'!E46,'30.07 KYEBANDO-NSOOBA'!E46,'31.08 KYEBANDO-NSOOBA'!E46,'02.08 KYEBANDO-NSOOBA'!E46,'01.08 KYEBANDO-NSOOBA-24h'!E46,'03.08 KYEBANDO-NSOOBA-24h'!E46,'04.08.Kyebando-Nsooba'!E46)</f>
        <v>6.4285714285714288</v>
      </c>
      <c r="F46" s="49">
        <f>AVERAGE('29.07 KYEBANDO-NSOOBA'!F46,'30.07 KYEBANDO-NSOOBA'!F46,'31.08 KYEBANDO-NSOOBA'!F46,'02.08 KYEBANDO-NSOOBA'!F46,'01.08 KYEBANDO-NSOOBA-24h'!F46,'03.08 KYEBANDO-NSOOBA-24h'!F46,'04.08.Kyebando-Nsooba'!F46)</f>
        <v>12.571428571428571</v>
      </c>
      <c r="G46" s="49">
        <f>AVERAGE('29.07 KYEBANDO-NSOOBA'!G46,'30.07 KYEBANDO-NSOOBA'!G46,'31.08 KYEBANDO-NSOOBA'!G46,'02.08 KYEBANDO-NSOOBA'!G46,'01.08 KYEBANDO-NSOOBA-24h'!G46,'03.08 KYEBANDO-NSOOBA-24h'!G46,'04.08.Kyebando-Nsooba'!G46)</f>
        <v>0.2857142857142857</v>
      </c>
      <c r="H46" s="49">
        <f>AVERAGE('29.07 KYEBANDO-NSOOBA'!H46,'30.07 KYEBANDO-NSOOBA'!H46,'31.08 KYEBANDO-NSOOBA'!H46,'02.08 KYEBANDO-NSOOBA'!H46,'01.08 KYEBANDO-NSOOBA-24h'!H46,'03.08 KYEBANDO-NSOOBA-24h'!H46,'04.08.Kyebando-Nsooba'!H46)</f>
        <v>0</v>
      </c>
      <c r="I46" s="49">
        <f>AVERAGE('29.07 KYEBANDO-NSOOBA'!I46,'30.07 KYEBANDO-NSOOBA'!I46,'31.08 KYEBANDO-NSOOBA'!I46,'02.08 KYEBANDO-NSOOBA'!I46,'01.08 KYEBANDO-NSOOBA-24h'!I46,'03.08 KYEBANDO-NSOOBA-24h'!I46,'04.08.Kyebando-Nsooba'!I46)</f>
        <v>7</v>
      </c>
      <c r="J46" s="49">
        <f>AVERAGE('29.07 KYEBANDO-NSOOBA'!J46,'30.07 KYEBANDO-NSOOBA'!J46,'31.08 KYEBANDO-NSOOBA'!J46,'02.08 KYEBANDO-NSOOBA'!J46,'01.08 KYEBANDO-NSOOBA-24h'!J46,'03.08 KYEBANDO-NSOOBA-24h'!J46,'04.08.Kyebando-Nsooba'!J46)</f>
        <v>1.1428571428571428</v>
      </c>
      <c r="K46" s="49">
        <f>AVERAGE('29.07 KYEBANDO-NSOOBA'!K46,'30.07 KYEBANDO-NSOOBA'!K46,'31.08 KYEBANDO-NSOOBA'!K46,'02.08 KYEBANDO-NSOOBA'!K46,'01.08 KYEBANDO-NSOOBA-24h'!K46,'03.08 KYEBANDO-NSOOBA-24h'!K46,'04.08.Kyebando-Nsooba'!K46)</f>
        <v>0.2857142857142857</v>
      </c>
      <c r="L46" s="49">
        <f>AVERAGE('29.07 KYEBANDO-NSOOBA'!L46,'30.07 KYEBANDO-NSOOBA'!L46,'31.08 KYEBANDO-NSOOBA'!L46,'02.08 KYEBANDO-NSOOBA'!L46,'01.08 KYEBANDO-NSOOBA-24h'!L46,'03.08 KYEBANDO-NSOOBA-24h'!L46,'04.08.Kyebando-Nsooba'!L46)</f>
        <v>0</v>
      </c>
      <c r="M46" s="49">
        <f>AVERAGE('29.07 KYEBANDO-NSOOBA'!M46,'30.07 KYEBANDO-NSOOBA'!M46,'31.08 KYEBANDO-NSOOBA'!M46,'02.08 KYEBANDO-NSOOBA'!M46,'01.08 KYEBANDO-NSOOBA-24h'!M46,'03.08 KYEBANDO-NSOOBA-24h'!M46,'04.08.Kyebando-Nsooba'!M46)</f>
        <v>58.714285714285715</v>
      </c>
      <c r="N46" s="49">
        <f>AVERAGE('29.07 KYEBANDO-NSOOBA'!N46,'30.07 KYEBANDO-NSOOBA'!N46,'31.08 KYEBANDO-NSOOBA'!N46,'02.08 KYEBANDO-NSOOBA'!N46,'01.08 KYEBANDO-NSOOBA-24h'!N46,'03.08 KYEBANDO-NSOOBA-24h'!N46,'04.08.Kyebando-Nsooba'!N46)</f>
        <v>0</v>
      </c>
      <c r="O46" s="15">
        <f t="shared" si="0"/>
        <v>68.428571428571431</v>
      </c>
      <c r="P46" s="15">
        <f t="shared" si="1"/>
        <v>127.14285714285714</v>
      </c>
      <c r="R46" s="8"/>
      <c r="T46"/>
    </row>
    <row r="47" spans="2:32" ht="23.1" customHeight="1" x14ac:dyDescent="0.25">
      <c r="B47" s="24" t="s">
        <v>74</v>
      </c>
      <c r="C47" s="49">
        <f>AVERAGE('29.07 KYEBANDO-NSOOBA'!C47,'30.07 KYEBANDO-NSOOBA'!C47,'31.08 KYEBANDO-NSOOBA'!C47,'02.08 KYEBANDO-NSOOBA'!C47,'01.08 KYEBANDO-NSOOBA-24h'!C47,'03.08 KYEBANDO-NSOOBA-24h'!C47,'04.08.Kyebando-Nsooba'!C47)</f>
        <v>37</v>
      </c>
      <c r="D47" s="49">
        <f>AVERAGE('29.07 KYEBANDO-NSOOBA'!D47,'30.07 KYEBANDO-NSOOBA'!D47,'31.08 KYEBANDO-NSOOBA'!D47,'02.08 KYEBANDO-NSOOBA'!D47,'01.08 KYEBANDO-NSOOBA-24h'!D47,'03.08 KYEBANDO-NSOOBA-24h'!D47,'04.08.Kyebando-Nsooba'!D47)</f>
        <v>8.2857142857142865</v>
      </c>
      <c r="E47" s="49">
        <f>AVERAGE('29.07 KYEBANDO-NSOOBA'!E47,'30.07 KYEBANDO-NSOOBA'!E47,'31.08 KYEBANDO-NSOOBA'!E47,'02.08 KYEBANDO-NSOOBA'!E47,'01.08 KYEBANDO-NSOOBA-24h'!E47,'03.08 KYEBANDO-NSOOBA-24h'!E47,'04.08.Kyebando-Nsooba'!E47)</f>
        <v>6.8571428571428568</v>
      </c>
      <c r="F47" s="49">
        <f>AVERAGE('29.07 KYEBANDO-NSOOBA'!F47,'30.07 KYEBANDO-NSOOBA'!F47,'31.08 KYEBANDO-NSOOBA'!F47,'02.08 KYEBANDO-NSOOBA'!F47,'01.08 KYEBANDO-NSOOBA-24h'!F47,'03.08 KYEBANDO-NSOOBA-24h'!F47,'04.08.Kyebando-Nsooba'!F47)</f>
        <v>10.428571428571429</v>
      </c>
      <c r="G47" s="49">
        <f>AVERAGE('29.07 KYEBANDO-NSOOBA'!G47,'30.07 KYEBANDO-NSOOBA'!G47,'31.08 KYEBANDO-NSOOBA'!G47,'02.08 KYEBANDO-NSOOBA'!G47,'01.08 KYEBANDO-NSOOBA-24h'!G47,'03.08 KYEBANDO-NSOOBA-24h'!G47,'04.08.Kyebando-Nsooba'!G47)</f>
        <v>0.42857142857142855</v>
      </c>
      <c r="H47" s="49">
        <f>AVERAGE('29.07 KYEBANDO-NSOOBA'!H47,'30.07 KYEBANDO-NSOOBA'!H47,'31.08 KYEBANDO-NSOOBA'!H47,'02.08 KYEBANDO-NSOOBA'!H47,'01.08 KYEBANDO-NSOOBA-24h'!H47,'03.08 KYEBANDO-NSOOBA-24h'!H47,'04.08.Kyebando-Nsooba'!H47)</f>
        <v>0</v>
      </c>
      <c r="I47" s="49">
        <f>AVERAGE('29.07 KYEBANDO-NSOOBA'!I47,'30.07 KYEBANDO-NSOOBA'!I47,'31.08 KYEBANDO-NSOOBA'!I47,'02.08 KYEBANDO-NSOOBA'!I47,'01.08 KYEBANDO-NSOOBA-24h'!I47,'03.08 KYEBANDO-NSOOBA-24h'!I47,'04.08.Kyebando-Nsooba'!I47)</f>
        <v>5.2857142857142856</v>
      </c>
      <c r="J47" s="49">
        <f>AVERAGE('29.07 KYEBANDO-NSOOBA'!J47,'30.07 KYEBANDO-NSOOBA'!J47,'31.08 KYEBANDO-NSOOBA'!J47,'02.08 KYEBANDO-NSOOBA'!J47,'01.08 KYEBANDO-NSOOBA-24h'!J47,'03.08 KYEBANDO-NSOOBA-24h'!J47,'04.08.Kyebando-Nsooba'!J47)</f>
        <v>1</v>
      </c>
      <c r="K47" s="49">
        <f>AVERAGE('29.07 KYEBANDO-NSOOBA'!K47,'30.07 KYEBANDO-NSOOBA'!K47,'31.08 KYEBANDO-NSOOBA'!K47,'02.08 KYEBANDO-NSOOBA'!K47,'01.08 KYEBANDO-NSOOBA-24h'!K47,'03.08 KYEBANDO-NSOOBA-24h'!K47,'04.08.Kyebando-Nsooba'!K47)</f>
        <v>0.5714285714285714</v>
      </c>
      <c r="L47" s="49">
        <f>AVERAGE('29.07 KYEBANDO-NSOOBA'!L47,'30.07 KYEBANDO-NSOOBA'!L47,'31.08 KYEBANDO-NSOOBA'!L47,'02.08 KYEBANDO-NSOOBA'!L47,'01.08 KYEBANDO-NSOOBA-24h'!L47,'03.08 KYEBANDO-NSOOBA-24h'!L47,'04.08.Kyebando-Nsooba'!L47)</f>
        <v>0</v>
      </c>
      <c r="M47" s="49">
        <f>AVERAGE('29.07 KYEBANDO-NSOOBA'!M47,'30.07 KYEBANDO-NSOOBA'!M47,'31.08 KYEBANDO-NSOOBA'!M47,'02.08 KYEBANDO-NSOOBA'!M47,'01.08 KYEBANDO-NSOOBA-24h'!M47,'03.08 KYEBANDO-NSOOBA-24h'!M47,'04.08.Kyebando-Nsooba'!M47)</f>
        <v>71.285714285714292</v>
      </c>
      <c r="N47" s="49">
        <f>AVERAGE('29.07 KYEBANDO-NSOOBA'!N47,'30.07 KYEBANDO-NSOOBA'!N47,'31.08 KYEBANDO-NSOOBA'!N47,'02.08 KYEBANDO-NSOOBA'!N47,'01.08 KYEBANDO-NSOOBA-24h'!N47,'03.08 KYEBANDO-NSOOBA-24h'!N47,'04.08.Kyebando-Nsooba'!N47)</f>
        <v>0</v>
      </c>
      <c r="O47" s="15">
        <f t="shared" si="0"/>
        <v>69.857142857142861</v>
      </c>
      <c r="P47" s="15">
        <f t="shared" si="1"/>
        <v>141.14285714285717</v>
      </c>
      <c r="R47" s="8"/>
      <c r="T47"/>
    </row>
    <row r="48" spans="2:32" ht="23.1" customHeight="1" x14ac:dyDescent="0.25">
      <c r="B48" s="24" t="s">
        <v>75</v>
      </c>
      <c r="C48" s="49">
        <f>AVERAGE('29.07 KYEBANDO-NSOOBA'!C48,'30.07 KYEBANDO-NSOOBA'!C48,'31.08 KYEBANDO-NSOOBA'!C48,'02.08 KYEBANDO-NSOOBA'!C48,'01.08 KYEBANDO-NSOOBA-24h'!C48,'03.08 KYEBANDO-NSOOBA-24h'!C48,'04.08.Kyebando-Nsooba'!C48)</f>
        <v>41.571428571428569</v>
      </c>
      <c r="D48" s="49">
        <f>AVERAGE('29.07 KYEBANDO-NSOOBA'!D48,'30.07 KYEBANDO-NSOOBA'!D48,'31.08 KYEBANDO-NSOOBA'!D48,'02.08 KYEBANDO-NSOOBA'!D48,'01.08 KYEBANDO-NSOOBA-24h'!D48,'03.08 KYEBANDO-NSOOBA-24h'!D48,'04.08.Kyebando-Nsooba'!D48)</f>
        <v>8.2857142857142865</v>
      </c>
      <c r="E48" s="49">
        <f>AVERAGE('29.07 KYEBANDO-NSOOBA'!E48,'30.07 KYEBANDO-NSOOBA'!E48,'31.08 KYEBANDO-NSOOBA'!E48,'02.08 KYEBANDO-NSOOBA'!E48,'01.08 KYEBANDO-NSOOBA-24h'!E48,'03.08 KYEBANDO-NSOOBA-24h'!E48,'04.08.Kyebando-Nsooba'!E48)</f>
        <v>5.7142857142857144</v>
      </c>
      <c r="F48" s="49">
        <f>AVERAGE('29.07 KYEBANDO-NSOOBA'!F48,'30.07 KYEBANDO-NSOOBA'!F48,'31.08 KYEBANDO-NSOOBA'!F48,'02.08 KYEBANDO-NSOOBA'!F48,'01.08 KYEBANDO-NSOOBA-24h'!F48,'03.08 KYEBANDO-NSOOBA-24h'!F48,'04.08.Kyebando-Nsooba'!F48)</f>
        <v>11.714285714285714</v>
      </c>
      <c r="G48" s="49">
        <f>AVERAGE('29.07 KYEBANDO-NSOOBA'!G48,'30.07 KYEBANDO-NSOOBA'!G48,'31.08 KYEBANDO-NSOOBA'!G48,'02.08 KYEBANDO-NSOOBA'!G48,'01.08 KYEBANDO-NSOOBA-24h'!G48,'03.08 KYEBANDO-NSOOBA-24h'!G48,'04.08.Kyebando-Nsooba'!G48)</f>
        <v>0.42857142857142855</v>
      </c>
      <c r="H48" s="49">
        <f>AVERAGE('29.07 KYEBANDO-NSOOBA'!H48,'30.07 KYEBANDO-NSOOBA'!H48,'31.08 KYEBANDO-NSOOBA'!H48,'02.08 KYEBANDO-NSOOBA'!H48,'01.08 KYEBANDO-NSOOBA-24h'!H48,'03.08 KYEBANDO-NSOOBA-24h'!H48,'04.08.Kyebando-Nsooba'!H48)</f>
        <v>0</v>
      </c>
      <c r="I48" s="49">
        <f>AVERAGE('29.07 KYEBANDO-NSOOBA'!I48,'30.07 KYEBANDO-NSOOBA'!I48,'31.08 KYEBANDO-NSOOBA'!I48,'02.08 KYEBANDO-NSOOBA'!I48,'01.08 KYEBANDO-NSOOBA-24h'!I48,'03.08 KYEBANDO-NSOOBA-24h'!I48,'04.08.Kyebando-Nsooba'!I48)</f>
        <v>9.2857142857142865</v>
      </c>
      <c r="J48" s="49">
        <f>AVERAGE('29.07 KYEBANDO-NSOOBA'!J48,'30.07 KYEBANDO-NSOOBA'!J48,'31.08 KYEBANDO-NSOOBA'!J48,'02.08 KYEBANDO-NSOOBA'!J48,'01.08 KYEBANDO-NSOOBA-24h'!J48,'03.08 KYEBANDO-NSOOBA-24h'!J48,'04.08.Kyebando-Nsooba'!J48)</f>
        <v>0.42857142857142855</v>
      </c>
      <c r="K48" s="49">
        <f>AVERAGE('29.07 KYEBANDO-NSOOBA'!K48,'30.07 KYEBANDO-NSOOBA'!K48,'31.08 KYEBANDO-NSOOBA'!K48,'02.08 KYEBANDO-NSOOBA'!K48,'01.08 KYEBANDO-NSOOBA-24h'!K48,'03.08 KYEBANDO-NSOOBA-24h'!K48,'04.08.Kyebando-Nsooba'!K48)</f>
        <v>0.2857142857142857</v>
      </c>
      <c r="L48" s="49">
        <f>AVERAGE('29.07 KYEBANDO-NSOOBA'!L48,'30.07 KYEBANDO-NSOOBA'!L48,'31.08 KYEBANDO-NSOOBA'!L48,'02.08 KYEBANDO-NSOOBA'!L48,'01.08 KYEBANDO-NSOOBA-24h'!L48,'03.08 KYEBANDO-NSOOBA-24h'!L48,'04.08.Kyebando-Nsooba'!L48)</f>
        <v>0.2857142857142857</v>
      </c>
      <c r="M48" s="49">
        <f>AVERAGE('29.07 KYEBANDO-NSOOBA'!M48,'30.07 KYEBANDO-NSOOBA'!M48,'31.08 KYEBANDO-NSOOBA'!M48,'02.08 KYEBANDO-NSOOBA'!M48,'01.08 KYEBANDO-NSOOBA-24h'!M48,'03.08 KYEBANDO-NSOOBA-24h'!M48,'04.08.Kyebando-Nsooba'!M48)</f>
        <v>62.571428571428569</v>
      </c>
      <c r="N48" s="49">
        <f>AVERAGE('29.07 KYEBANDO-NSOOBA'!N48,'30.07 KYEBANDO-NSOOBA'!N48,'31.08 KYEBANDO-NSOOBA'!N48,'02.08 KYEBANDO-NSOOBA'!N48,'01.08 KYEBANDO-NSOOBA-24h'!N48,'03.08 KYEBANDO-NSOOBA-24h'!N48,'04.08.Kyebando-Nsooba'!N48)</f>
        <v>0</v>
      </c>
      <c r="O48" s="15">
        <f t="shared" si="0"/>
        <v>78.000000000000014</v>
      </c>
      <c r="P48" s="15">
        <f t="shared" si="1"/>
        <v>140.57142857142858</v>
      </c>
      <c r="R48" s="8"/>
      <c r="T48"/>
    </row>
    <row r="49" spans="2:20" ht="23.1" customHeight="1" x14ac:dyDescent="0.25">
      <c r="B49" s="23" t="s">
        <v>76</v>
      </c>
      <c r="C49" s="49">
        <f>AVERAGE('29.07 KYEBANDO-NSOOBA'!C49,'30.07 KYEBANDO-NSOOBA'!C49,'31.08 KYEBANDO-NSOOBA'!C49,'02.08 KYEBANDO-NSOOBA'!C49,'01.08 KYEBANDO-NSOOBA-24h'!C49,'03.08 KYEBANDO-NSOOBA-24h'!C49,'04.08.Kyebando-Nsooba'!C49)</f>
        <v>33.285714285714285</v>
      </c>
      <c r="D49" s="49">
        <f>AVERAGE('29.07 KYEBANDO-NSOOBA'!D49,'30.07 KYEBANDO-NSOOBA'!D49,'31.08 KYEBANDO-NSOOBA'!D49,'02.08 KYEBANDO-NSOOBA'!D49,'01.08 KYEBANDO-NSOOBA-24h'!D49,'03.08 KYEBANDO-NSOOBA-24h'!D49,'04.08.Kyebando-Nsooba'!D49)</f>
        <v>9.5714285714285712</v>
      </c>
      <c r="E49" s="49">
        <f>AVERAGE('29.07 KYEBANDO-NSOOBA'!E49,'30.07 KYEBANDO-NSOOBA'!E49,'31.08 KYEBANDO-NSOOBA'!E49,'02.08 KYEBANDO-NSOOBA'!E49,'01.08 KYEBANDO-NSOOBA-24h'!E49,'03.08 KYEBANDO-NSOOBA-24h'!E49,'04.08.Kyebando-Nsooba'!E49)</f>
        <v>4.7142857142857144</v>
      </c>
      <c r="F49" s="49">
        <f>AVERAGE('29.07 KYEBANDO-NSOOBA'!F49,'30.07 KYEBANDO-NSOOBA'!F49,'31.08 KYEBANDO-NSOOBA'!F49,'02.08 KYEBANDO-NSOOBA'!F49,'01.08 KYEBANDO-NSOOBA-24h'!F49,'03.08 KYEBANDO-NSOOBA-24h'!F49,'04.08.Kyebando-Nsooba'!F49)</f>
        <v>8.2857142857142865</v>
      </c>
      <c r="G49" s="49">
        <f>AVERAGE('29.07 KYEBANDO-NSOOBA'!G49,'30.07 KYEBANDO-NSOOBA'!G49,'31.08 KYEBANDO-NSOOBA'!G49,'02.08 KYEBANDO-NSOOBA'!G49,'01.08 KYEBANDO-NSOOBA-24h'!G49,'03.08 KYEBANDO-NSOOBA-24h'!G49,'04.08.Kyebando-Nsooba'!G49)</f>
        <v>0.2857142857142857</v>
      </c>
      <c r="H49" s="49">
        <f>AVERAGE('29.07 KYEBANDO-NSOOBA'!H49,'30.07 KYEBANDO-NSOOBA'!H49,'31.08 KYEBANDO-NSOOBA'!H49,'02.08 KYEBANDO-NSOOBA'!H49,'01.08 KYEBANDO-NSOOBA-24h'!H49,'03.08 KYEBANDO-NSOOBA-24h'!H49,'04.08.Kyebando-Nsooba'!H49)</f>
        <v>1</v>
      </c>
      <c r="I49" s="49">
        <f>AVERAGE('29.07 KYEBANDO-NSOOBA'!I49,'30.07 KYEBANDO-NSOOBA'!I49,'31.08 KYEBANDO-NSOOBA'!I49,'02.08 KYEBANDO-NSOOBA'!I49,'01.08 KYEBANDO-NSOOBA-24h'!I49,'03.08 KYEBANDO-NSOOBA-24h'!I49,'04.08.Kyebando-Nsooba'!I49)</f>
        <v>2</v>
      </c>
      <c r="J49" s="49">
        <f>AVERAGE('29.07 KYEBANDO-NSOOBA'!J49,'30.07 KYEBANDO-NSOOBA'!J49,'31.08 KYEBANDO-NSOOBA'!J49,'02.08 KYEBANDO-NSOOBA'!J49,'01.08 KYEBANDO-NSOOBA-24h'!J49,'03.08 KYEBANDO-NSOOBA-24h'!J49,'04.08.Kyebando-Nsooba'!J49)</f>
        <v>0.8571428571428571</v>
      </c>
      <c r="K49" s="49">
        <f>AVERAGE('29.07 KYEBANDO-NSOOBA'!K49,'30.07 KYEBANDO-NSOOBA'!K49,'31.08 KYEBANDO-NSOOBA'!K49,'02.08 KYEBANDO-NSOOBA'!K49,'01.08 KYEBANDO-NSOOBA-24h'!K49,'03.08 KYEBANDO-NSOOBA-24h'!K49,'04.08.Kyebando-Nsooba'!K49)</f>
        <v>0.14285714285714285</v>
      </c>
      <c r="L49" s="49">
        <f>AVERAGE('29.07 KYEBANDO-NSOOBA'!L49,'30.07 KYEBANDO-NSOOBA'!L49,'31.08 KYEBANDO-NSOOBA'!L49,'02.08 KYEBANDO-NSOOBA'!L49,'01.08 KYEBANDO-NSOOBA-24h'!L49,'03.08 KYEBANDO-NSOOBA-24h'!L49,'04.08.Kyebando-Nsooba'!L49)</f>
        <v>11.428571428571429</v>
      </c>
      <c r="M49" s="49">
        <f>AVERAGE('29.07 KYEBANDO-NSOOBA'!M49,'30.07 KYEBANDO-NSOOBA'!M49,'31.08 KYEBANDO-NSOOBA'!M49,'02.08 KYEBANDO-NSOOBA'!M49,'01.08 KYEBANDO-NSOOBA-24h'!M49,'03.08 KYEBANDO-NSOOBA-24h'!M49,'04.08.Kyebando-Nsooba'!M49)</f>
        <v>41.714285714285715</v>
      </c>
      <c r="N49" s="49">
        <f>AVERAGE('29.07 KYEBANDO-NSOOBA'!N49,'30.07 KYEBANDO-NSOOBA'!N49,'31.08 KYEBANDO-NSOOBA'!N49,'02.08 KYEBANDO-NSOOBA'!N49,'01.08 KYEBANDO-NSOOBA-24h'!N49,'03.08 KYEBANDO-NSOOBA-24h'!N49,'04.08.Kyebando-Nsooba'!N49)</f>
        <v>0</v>
      </c>
      <c r="O49" s="15">
        <f t="shared" si="0"/>
        <v>71.571428571428569</v>
      </c>
      <c r="P49" s="15">
        <f t="shared" si="1"/>
        <v>113.28571428571428</v>
      </c>
      <c r="R49" s="8"/>
      <c r="T49"/>
    </row>
    <row r="50" spans="2:20" ht="23.1" customHeight="1" x14ac:dyDescent="0.25">
      <c r="B50" s="24" t="s">
        <v>77</v>
      </c>
      <c r="C50" s="49">
        <f>AVERAGE('29.07 KYEBANDO-NSOOBA'!C50,'30.07 KYEBANDO-NSOOBA'!C50,'31.08 KYEBANDO-NSOOBA'!C50,'02.08 KYEBANDO-NSOOBA'!C50,'01.08 KYEBANDO-NSOOBA-24h'!C50,'03.08 KYEBANDO-NSOOBA-24h'!C50,'04.08.Kyebando-Nsooba'!C50)</f>
        <v>47.142857142857146</v>
      </c>
      <c r="D50" s="49">
        <f>AVERAGE('29.07 KYEBANDO-NSOOBA'!D50,'30.07 KYEBANDO-NSOOBA'!D50,'31.08 KYEBANDO-NSOOBA'!D50,'02.08 KYEBANDO-NSOOBA'!D50,'01.08 KYEBANDO-NSOOBA-24h'!D50,'03.08 KYEBANDO-NSOOBA-24h'!D50,'04.08.Kyebando-Nsooba'!D50)</f>
        <v>11.285714285714286</v>
      </c>
      <c r="E50" s="49">
        <f>AVERAGE('29.07 KYEBANDO-NSOOBA'!E50,'30.07 KYEBANDO-NSOOBA'!E50,'31.08 KYEBANDO-NSOOBA'!E50,'02.08 KYEBANDO-NSOOBA'!E50,'01.08 KYEBANDO-NSOOBA-24h'!E50,'03.08 KYEBANDO-NSOOBA-24h'!E50,'04.08.Kyebando-Nsooba'!E50)</f>
        <v>7.5714285714285712</v>
      </c>
      <c r="F50" s="49">
        <f>AVERAGE('29.07 KYEBANDO-NSOOBA'!F50,'30.07 KYEBANDO-NSOOBA'!F50,'31.08 KYEBANDO-NSOOBA'!F50,'02.08 KYEBANDO-NSOOBA'!F50,'01.08 KYEBANDO-NSOOBA-24h'!F50,'03.08 KYEBANDO-NSOOBA-24h'!F50,'04.08.Kyebando-Nsooba'!F50)</f>
        <v>10.285714285714286</v>
      </c>
      <c r="G50" s="49">
        <f>AVERAGE('29.07 KYEBANDO-NSOOBA'!G50,'30.07 KYEBANDO-NSOOBA'!G50,'31.08 KYEBANDO-NSOOBA'!G50,'02.08 KYEBANDO-NSOOBA'!G50,'01.08 KYEBANDO-NSOOBA-24h'!G50,'03.08 KYEBANDO-NSOOBA-24h'!G50,'04.08.Kyebando-Nsooba'!G50)</f>
        <v>0.8571428571428571</v>
      </c>
      <c r="H50" s="49">
        <f>AVERAGE('29.07 KYEBANDO-NSOOBA'!H50,'30.07 KYEBANDO-NSOOBA'!H50,'31.08 KYEBANDO-NSOOBA'!H50,'02.08 KYEBANDO-NSOOBA'!H50,'01.08 KYEBANDO-NSOOBA-24h'!H50,'03.08 KYEBANDO-NSOOBA-24h'!H50,'04.08.Kyebando-Nsooba'!H50)</f>
        <v>0</v>
      </c>
      <c r="I50" s="49">
        <f>AVERAGE('29.07 KYEBANDO-NSOOBA'!I50,'30.07 KYEBANDO-NSOOBA'!I50,'31.08 KYEBANDO-NSOOBA'!I50,'02.08 KYEBANDO-NSOOBA'!I50,'01.08 KYEBANDO-NSOOBA-24h'!I50,'03.08 KYEBANDO-NSOOBA-24h'!I50,'04.08.Kyebando-Nsooba'!I50)</f>
        <v>3.5714285714285716</v>
      </c>
      <c r="J50" s="49">
        <f>AVERAGE('29.07 KYEBANDO-NSOOBA'!J50,'30.07 KYEBANDO-NSOOBA'!J50,'31.08 KYEBANDO-NSOOBA'!J50,'02.08 KYEBANDO-NSOOBA'!J50,'01.08 KYEBANDO-NSOOBA-24h'!J50,'03.08 KYEBANDO-NSOOBA-24h'!J50,'04.08.Kyebando-Nsooba'!J50)</f>
        <v>1.1428571428571428</v>
      </c>
      <c r="K50" s="49">
        <f>AVERAGE('29.07 KYEBANDO-NSOOBA'!K50,'30.07 KYEBANDO-NSOOBA'!K50,'31.08 KYEBANDO-NSOOBA'!K50,'02.08 KYEBANDO-NSOOBA'!K50,'01.08 KYEBANDO-NSOOBA-24h'!K50,'03.08 KYEBANDO-NSOOBA-24h'!K50,'04.08.Kyebando-Nsooba'!K50)</f>
        <v>0.2857142857142857</v>
      </c>
      <c r="L50" s="49">
        <f>AVERAGE('29.07 KYEBANDO-NSOOBA'!L50,'30.07 KYEBANDO-NSOOBA'!L50,'31.08 KYEBANDO-NSOOBA'!L50,'02.08 KYEBANDO-NSOOBA'!L50,'01.08 KYEBANDO-NSOOBA-24h'!L50,'03.08 KYEBANDO-NSOOBA-24h'!L50,'04.08.Kyebando-Nsooba'!L50)</f>
        <v>0.14285714285714285</v>
      </c>
      <c r="M50" s="49">
        <f>AVERAGE('29.07 KYEBANDO-NSOOBA'!M50,'30.07 KYEBANDO-NSOOBA'!M50,'31.08 KYEBANDO-NSOOBA'!M50,'02.08 KYEBANDO-NSOOBA'!M50,'01.08 KYEBANDO-NSOOBA-24h'!M50,'03.08 KYEBANDO-NSOOBA-24h'!M50,'04.08.Kyebando-Nsooba'!M50)</f>
        <v>72.857142857142861</v>
      </c>
      <c r="N50" s="49">
        <f>AVERAGE('29.07 KYEBANDO-NSOOBA'!N50,'30.07 KYEBANDO-NSOOBA'!N50,'31.08 KYEBANDO-NSOOBA'!N50,'02.08 KYEBANDO-NSOOBA'!N50,'01.08 KYEBANDO-NSOOBA-24h'!N50,'03.08 KYEBANDO-NSOOBA-24h'!N50,'04.08.Kyebando-Nsooba'!N50)</f>
        <v>0</v>
      </c>
      <c r="O50" s="15">
        <f t="shared" si="0"/>
        <v>82.285714285714292</v>
      </c>
      <c r="P50" s="15">
        <f t="shared" si="1"/>
        <v>155.14285714285717</v>
      </c>
      <c r="R50" s="8"/>
      <c r="T50"/>
    </row>
    <row r="51" spans="2:20" ht="23.1" customHeight="1" x14ac:dyDescent="0.25">
      <c r="B51" s="24" t="s">
        <v>78</v>
      </c>
      <c r="C51" s="49">
        <f>AVERAGE('29.07 KYEBANDO-NSOOBA'!C51,'30.07 KYEBANDO-NSOOBA'!C51,'31.08 KYEBANDO-NSOOBA'!C51,'02.08 KYEBANDO-NSOOBA'!C51,'01.08 KYEBANDO-NSOOBA-24h'!C51,'03.08 KYEBANDO-NSOOBA-24h'!C51,'04.08.Kyebando-Nsooba'!C51)</f>
        <v>49.285714285714285</v>
      </c>
      <c r="D51" s="49">
        <f>AVERAGE('29.07 KYEBANDO-NSOOBA'!D51,'30.07 KYEBANDO-NSOOBA'!D51,'31.08 KYEBANDO-NSOOBA'!D51,'02.08 KYEBANDO-NSOOBA'!D51,'01.08 KYEBANDO-NSOOBA-24h'!D51,'03.08 KYEBANDO-NSOOBA-24h'!D51,'04.08.Kyebando-Nsooba'!D51)</f>
        <v>11</v>
      </c>
      <c r="E51" s="49">
        <f>AVERAGE('29.07 KYEBANDO-NSOOBA'!E51,'30.07 KYEBANDO-NSOOBA'!E51,'31.08 KYEBANDO-NSOOBA'!E51,'02.08 KYEBANDO-NSOOBA'!E51,'01.08 KYEBANDO-NSOOBA-24h'!E51,'03.08 KYEBANDO-NSOOBA-24h'!E51,'04.08.Kyebando-Nsooba'!E51)</f>
        <v>5.4285714285714288</v>
      </c>
      <c r="F51" s="49">
        <f>AVERAGE('29.07 KYEBANDO-NSOOBA'!F51,'30.07 KYEBANDO-NSOOBA'!F51,'31.08 KYEBANDO-NSOOBA'!F51,'02.08 KYEBANDO-NSOOBA'!F51,'01.08 KYEBANDO-NSOOBA-24h'!F51,'03.08 KYEBANDO-NSOOBA-24h'!F51,'04.08.Kyebando-Nsooba'!F51)</f>
        <v>14.285714285714286</v>
      </c>
      <c r="G51" s="49">
        <f>AVERAGE('29.07 KYEBANDO-NSOOBA'!G51,'30.07 KYEBANDO-NSOOBA'!G51,'31.08 KYEBANDO-NSOOBA'!G51,'02.08 KYEBANDO-NSOOBA'!G51,'01.08 KYEBANDO-NSOOBA-24h'!G51,'03.08 KYEBANDO-NSOOBA-24h'!G51,'04.08.Kyebando-Nsooba'!G51)</f>
        <v>0.5714285714285714</v>
      </c>
      <c r="H51" s="49">
        <f>AVERAGE('29.07 KYEBANDO-NSOOBA'!H51,'30.07 KYEBANDO-NSOOBA'!H51,'31.08 KYEBANDO-NSOOBA'!H51,'02.08 KYEBANDO-NSOOBA'!H51,'01.08 KYEBANDO-NSOOBA-24h'!H51,'03.08 KYEBANDO-NSOOBA-24h'!H51,'04.08.Kyebando-Nsooba'!H51)</f>
        <v>0.14285714285714285</v>
      </c>
      <c r="I51" s="49">
        <f>AVERAGE('29.07 KYEBANDO-NSOOBA'!I51,'30.07 KYEBANDO-NSOOBA'!I51,'31.08 KYEBANDO-NSOOBA'!I51,'02.08 KYEBANDO-NSOOBA'!I51,'01.08 KYEBANDO-NSOOBA-24h'!I51,'03.08 KYEBANDO-NSOOBA-24h'!I51,'04.08.Kyebando-Nsooba'!I51)</f>
        <v>5.7142857142857144</v>
      </c>
      <c r="J51" s="49">
        <f>AVERAGE('29.07 KYEBANDO-NSOOBA'!J51,'30.07 KYEBANDO-NSOOBA'!J51,'31.08 KYEBANDO-NSOOBA'!J51,'02.08 KYEBANDO-NSOOBA'!J51,'01.08 KYEBANDO-NSOOBA-24h'!J51,'03.08 KYEBANDO-NSOOBA-24h'!J51,'04.08.Kyebando-Nsooba'!J51)</f>
        <v>0.5714285714285714</v>
      </c>
      <c r="K51" s="49">
        <f>AVERAGE('29.07 KYEBANDO-NSOOBA'!K51,'30.07 KYEBANDO-NSOOBA'!K51,'31.08 KYEBANDO-NSOOBA'!K51,'02.08 KYEBANDO-NSOOBA'!K51,'01.08 KYEBANDO-NSOOBA-24h'!K51,'03.08 KYEBANDO-NSOOBA-24h'!K51,'04.08.Kyebando-Nsooba'!K51)</f>
        <v>0.7142857142857143</v>
      </c>
      <c r="L51" s="49">
        <f>AVERAGE('29.07 KYEBANDO-NSOOBA'!L51,'30.07 KYEBANDO-NSOOBA'!L51,'31.08 KYEBANDO-NSOOBA'!L51,'02.08 KYEBANDO-NSOOBA'!L51,'01.08 KYEBANDO-NSOOBA-24h'!L51,'03.08 KYEBANDO-NSOOBA-24h'!L51,'04.08.Kyebando-Nsooba'!L51)</f>
        <v>0</v>
      </c>
      <c r="M51" s="49">
        <f>AVERAGE('29.07 KYEBANDO-NSOOBA'!M51,'30.07 KYEBANDO-NSOOBA'!M51,'31.08 KYEBANDO-NSOOBA'!M51,'02.08 KYEBANDO-NSOOBA'!M51,'01.08 KYEBANDO-NSOOBA-24h'!M51,'03.08 KYEBANDO-NSOOBA-24h'!M51,'04.08.Kyebando-Nsooba'!M51)</f>
        <v>85.428571428571431</v>
      </c>
      <c r="N51" s="49">
        <f>AVERAGE('29.07 KYEBANDO-NSOOBA'!N51,'30.07 KYEBANDO-NSOOBA'!N51,'31.08 KYEBANDO-NSOOBA'!N51,'02.08 KYEBANDO-NSOOBA'!N51,'01.08 KYEBANDO-NSOOBA-24h'!N51,'03.08 KYEBANDO-NSOOBA-24h'!N51,'04.08.Kyebando-Nsooba'!N51)</f>
        <v>0</v>
      </c>
      <c r="O51" s="15">
        <f t="shared" si="0"/>
        <v>87.714285714285694</v>
      </c>
      <c r="P51" s="15">
        <f t="shared" si="1"/>
        <v>173.14285714285711</v>
      </c>
      <c r="R51" s="8"/>
      <c r="T51"/>
    </row>
    <row r="52" spans="2:20" ht="23.1" customHeight="1" x14ac:dyDescent="0.25">
      <c r="B52" s="24" t="s">
        <v>79</v>
      </c>
      <c r="C52" s="49">
        <f>AVERAGE('29.07 KYEBANDO-NSOOBA'!C52,'30.07 KYEBANDO-NSOOBA'!C52,'31.08 KYEBANDO-NSOOBA'!C52,'02.08 KYEBANDO-NSOOBA'!C52,'01.08 KYEBANDO-NSOOBA-24h'!C52,'03.08 KYEBANDO-NSOOBA-24h'!C52,'04.08.Kyebando-Nsooba'!C52)</f>
        <v>56.428571428571431</v>
      </c>
      <c r="D52" s="49">
        <f>AVERAGE('29.07 KYEBANDO-NSOOBA'!D52,'30.07 KYEBANDO-NSOOBA'!D52,'31.08 KYEBANDO-NSOOBA'!D52,'02.08 KYEBANDO-NSOOBA'!D52,'01.08 KYEBANDO-NSOOBA-24h'!D52,'03.08 KYEBANDO-NSOOBA-24h'!D52,'04.08.Kyebando-Nsooba'!D52)</f>
        <v>9.7142857142857135</v>
      </c>
      <c r="E52" s="49">
        <f>AVERAGE('29.07 KYEBANDO-NSOOBA'!E52,'30.07 KYEBANDO-NSOOBA'!E52,'31.08 KYEBANDO-NSOOBA'!E52,'02.08 KYEBANDO-NSOOBA'!E52,'01.08 KYEBANDO-NSOOBA-24h'!E52,'03.08 KYEBANDO-NSOOBA-24h'!E52,'04.08.Kyebando-Nsooba'!E52)</f>
        <v>9.8571428571428577</v>
      </c>
      <c r="F52" s="49">
        <f>AVERAGE('29.07 KYEBANDO-NSOOBA'!F52,'30.07 KYEBANDO-NSOOBA'!F52,'31.08 KYEBANDO-NSOOBA'!F52,'02.08 KYEBANDO-NSOOBA'!F52,'01.08 KYEBANDO-NSOOBA-24h'!F52,'03.08 KYEBANDO-NSOOBA-24h'!F52,'04.08.Kyebando-Nsooba'!F52)</f>
        <v>16.714285714285715</v>
      </c>
      <c r="G52" s="49">
        <f>AVERAGE('29.07 KYEBANDO-NSOOBA'!G52,'30.07 KYEBANDO-NSOOBA'!G52,'31.08 KYEBANDO-NSOOBA'!G52,'02.08 KYEBANDO-NSOOBA'!G52,'01.08 KYEBANDO-NSOOBA-24h'!G52,'03.08 KYEBANDO-NSOOBA-24h'!G52,'04.08.Kyebando-Nsooba'!G52)</f>
        <v>0.14285714285714285</v>
      </c>
      <c r="H52" s="49">
        <f>AVERAGE('29.07 KYEBANDO-NSOOBA'!H52,'30.07 KYEBANDO-NSOOBA'!H52,'31.08 KYEBANDO-NSOOBA'!H52,'02.08 KYEBANDO-NSOOBA'!H52,'01.08 KYEBANDO-NSOOBA-24h'!H52,'03.08 KYEBANDO-NSOOBA-24h'!H52,'04.08.Kyebando-Nsooba'!H52)</f>
        <v>0.14285714285714285</v>
      </c>
      <c r="I52" s="49">
        <f>AVERAGE('29.07 KYEBANDO-NSOOBA'!I52,'30.07 KYEBANDO-NSOOBA'!I52,'31.08 KYEBANDO-NSOOBA'!I52,'02.08 KYEBANDO-NSOOBA'!I52,'01.08 KYEBANDO-NSOOBA-24h'!I52,'03.08 KYEBANDO-NSOOBA-24h'!I52,'04.08.Kyebando-Nsooba'!I52)</f>
        <v>3.8571428571428572</v>
      </c>
      <c r="J52" s="49">
        <f>AVERAGE('29.07 KYEBANDO-NSOOBA'!J52,'30.07 KYEBANDO-NSOOBA'!J52,'31.08 KYEBANDO-NSOOBA'!J52,'02.08 KYEBANDO-NSOOBA'!J52,'01.08 KYEBANDO-NSOOBA-24h'!J52,'03.08 KYEBANDO-NSOOBA-24h'!J52,'04.08.Kyebando-Nsooba'!J52)</f>
        <v>2</v>
      </c>
      <c r="K52" s="49">
        <f>AVERAGE('29.07 KYEBANDO-NSOOBA'!K52,'30.07 KYEBANDO-NSOOBA'!K52,'31.08 KYEBANDO-NSOOBA'!K52,'02.08 KYEBANDO-NSOOBA'!K52,'01.08 KYEBANDO-NSOOBA-24h'!K52,'03.08 KYEBANDO-NSOOBA-24h'!K52,'04.08.Kyebando-Nsooba'!K52)</f>
        <v>0.42857142857142855</v>
      </c>
      <c r="L52" s="49">
        <f>AVERAGE('29.07 KYEBANDO-NSOOBA'!L52,'30.07 KYEBANDO-NSOOBA'!L52,'31.08 KYEBANDO-NSOOBA'!L52,'02.08 KYEBANDO-NSOOBA'!L52,'01.08 KYEBANDO-NSOOBA-24h'!L52,'03.08 KYEBANDO-NSOOBA-24h'!L52,'04.08.Kyebando-Nsooba'!L52)</f>
        <v>0.14285714285714285</v>
      </c>
      <c r="M52" s="49">
        <f>AVERAGE('29.07 KYEBANDO-NSOOBA'!M52,'30.07 KYEBANDO-NSOOBA'!M52,'31.08 KYEBANDO-NSOOBA'!M52,'02.08 KYEBANDO-NSOOBA'!M52,'01.08 KYEBANDO-NSOOBA-24h'!M52,'03.08 KYEBANDO-NSOOBA-24h'!M52,'04.08.Kyebando-Nsooba'!M52)</f>
        <v>92</v>
      </c>
      <c r="N52" s="49">
        <f>AVERAGE('29.07 KYEBANDO-NSOOBA'!N52,'30.07 KYEBANDO-NSOOBA'!N52,'31.08 KYEBANDO-NSOOBA'!N52,'02.08 KYEBANDO-NSOOBA'!N52,'01.08 KYEBANDO-NSOOBA-24h'!N52,'03.08 KYEBANDO-NSOOBA-24h'!N52,'04.08.Kyebando-Nsooba'!N52)</f>
        <v>0</v>
      </c>
      <c r="O52" s="15">
        <f t="shared" si="0"/>
        <v>99.428571428571431</v>
      </c>
      <c r="P52" s="15">
        <f t="shared" si="1"/>
        <v>191.42857142857144</v>
      </c>
      <c r="R52" s="8"/>
      <c r="T52"/>
    </row>
    <row r="53" spans="2:20" ht="23.1" customHeight="1" x14ac:dyDescent="0.25">
      <c r="B53" s="23" t="s">
        <v>80</v>
      </c>
      <c r="C53" s="49">
        <f>AVERAGE('29.07 KYEBANDO-NSOOBA'!C53,'30.07 KYEBANDO-NSOOBA'!C53,'31.08 KYEBANDO-NSOOBA'!C53,'02.08 KYEBANDO-NSOOBA'!C53,'01.08 KYEBANDO-NSOOBA-24h'!C53,'03.08 KYEBANDO-NSOOBA-24h'!C53,'04.08.Kyebando-Nsooba'!C53)</f>
        <v>55.142857142857146</v>
      </c>
      <c r="D53" s="49">
        <f>AVERAGE('29.07 KYEBANDO-NSOOBA'!D53,'30.07 KYEBANDO-NSOOBA'!D53,'31.08 KYEBANDO-NSOOBA'!D53,'02.08 KYEBANDO-NSOOBA'!D53,'01.08 KYEBANDO-NSOOBA-24h'!D53,'03.08 KYEBANDO-NSOOBA-24h'!D53,'04.08.Kyebando-Nsooba'!D53)</f>
        <v>10.857142857142858</v>
      </c>
      <c r="E53" s="49">
        <f>AVERAGE('29.07 KYEBANDO-NSOOBA'!E53,'30.07 KYEBANDO-NSOOBA'!E53,'31.08 KYEBANDO-NSOOBA'!E53,'02.08 KYEBANDO-NSOOBA'!E53,'01.08 KYEBANDO-NSOOBA-24h'!E53,'03.08 KYEBANDO-NSOOBA-24h'!E53,'04.08.Kyebando-Nsooba'!E53)</f>
        <v>8.1428571428571423</v>
      </c>
      <c r="F53" s="49">
        <f>AVERAGE('29.07 KYEBANDO-NSOOBA'!F53,'30.07 KYEBANDO-NSOOBA'!F53,'31.08 KYEBANDO-NSOOBA'!F53,'02.08 KYEBANDO-NSOOBA'!F53,'01.08 KYEBANDO-NSOOBA-24h'!F53,'03.08 KYEBANDO-NSOOBA-24h'!F53,'04.08.Kyebando-Nsooba'!F53)</f>
        <v>11.857142857142858</v>
      </c>
      <c r="G53" s="49">
        <f>AVERAGE('29.07 KYEBANDO-NSOOBA'!G53,'30.07 KYEBANDO-NSOOBA'!G53,'31.08 KYEBANDO-NSOOBA'!G53,'02.08 KYEBANDO-NSOOBA'!G53,'01.08 KYEBANDO-NSOOBA-24h'!G53,'03.08 KYEBANDO-NSOOBA-24h'!G53,'04.08.Kyebando-Nsooba'!G53)</f>
        <v>0.42857142857142855</v>
      </c>
      <c r="H53" s="49">
        <f>AVERAGE('29.07 KYEBANDO-NSOOBA'!H53,'30.07 KYEBANDO-NSOOBA'!H53,'31.08 KYEBANDO-NSOOBA'!H53,'02.08 KYEBANDO-NSOOBA'!H53,'01.08 KYEBANDO-NSOOBA-24h'!H53,'03.08 KYEBANDO-NSOOBA-24h'!H53,'04.08.Kyebando-Nsooba'!H53)</f>
        <v>0</v>
      </c>
      <c r="I53" s="49">
        <f>AVERAGE('29.07 KYEBANDO-NSOOBA'!I53,'30.07 KYEBANDO-NSOOBA'!I53,'31.08 KYEBANDO-NSOOBA'!I53,'02.08 KYEBANDO-NSOOBA'!I53,'01.08 KYEBANDO-NSOOBA-24h'!I53,'03.08 KYEBANDO-NSOOBA-24h'!I53,'04.08.Kyebando-Nsooba'!I53)</f>
        <v>5.5714285714285712</v>
      </c>
      <c r="J53" s="49">
        <f>AVERAGE('29.07 KYEBANDO-NSOOBA'!J53,'30.07 KYEBANDO-NSOOBA'!J53,'31.08 KYEBANDO-NSOOBA'!J53,'02.08 KYEBANDO-NSOOBA'!J53,'01.08 KYEBANDO-NSOOBA-24h'!J53,'03.08 KYEBANDO-NSOOBA-24h'!J53,'04.08.Kyebando-Nsooba'!J53)</f>
        <v>2.2857142857142856</v>
      </c>
      <c r="K53" s="49">
        <f>AVERAGE('29.07 KYEBANDO-NSOOBA'!K53,'30.07 KYEBANDO-NSOOBA'!K53,'31.08 KYEBANDO-NSOOBA'!K53,'02.08 KYEBANDO-NSOOBA'!K53,'01.08 KYEBANDO-NSOOBA-24h'!K53,'03.08 KYEBANDO-NSOOBA-24h'!K53,'04.08.Kyebando-Nsooba'!K53)</f>
        <v>0.8571428571428571</v>
      </c>
      <c r="L53" s="49">
        <f>AVERAGE('29.07 KYEBANDO-NSOOBA'!L53,'30.07 KYEBANDO-NSOOBA'!L53,'31.08 KYEBANDO-NSOOBA'!L53,'02.08 KYEBANDO-NSOOBA'!L53,'01.08 KYEBANDO-NSOOBA-24h'!L53,'03.08 KYEBANDO-NSOOBA-24h'!L53,'04.08.Kyebando-Nsooba'!L53)</f>
        <v>0</v>
      </c>
      <c r="M53" s="49">
        <f>AVERAGE('29.07 KYEBANDO-NSOOBA'!M53,'30.07 KYEBANDO-NSOOBA'!M53,'31.08 KYEBANDO-NSOOBA'!M53,'02.08 KYEBANDO-NSOOBA'!M53,'01.08 KYEBANDO-NSOOBA-24h'!M53,'03.08 KYEBANDO-NSOOBA-24h'!M53,'04.08.Kyebando-Nsooba'!M53)</f>
        <v>99.142857142857139</v>
      </c>
      <c r="N53" s="49">
        <f>AVERAGE('29.07 KYEBANDO-NSOOBA'!N53,'30.07 KYEBANDO-NSOOBA'!N53,'31.08 KYEBANDO-NSOOBA'!N53,'02.08 KYEBANDO-NSOOBA'!N53,'01.08 KYEBANDO-NSOOBA-24h'!N53,'03.08 KYEBANDO-NSOOBA-24h'!N53,'04.08.Kyebando-Nsooba'!N53)</f>
        <v>0</v>
      </c>
      <c r="O53" s="15">
        <f t="shared" si="0"/>
        <v>95.142857142857153</v>
      </c>
      <c r="P53" s="15">
        <f t="shared" si="1"/>
        <v>194.28571428571428</v>
      </c>
      <c r="R53" s="8"/>
      <c r="T53"/>
    </row>
    <row r="54" spans="2:20" ht="23.1" customHeight="1" x14ac:dyDescent="0.25">
      <c r="B54" s="23" t="s">
        <v>81</v>
      </c>
      <c r="C54" s="49">
        <f>AVERAGE('29.07 KYEBANDO-NSOOBA'!C54,'30.07 KYEBANDO-NSOOBA'!C54,'31.08 KYEBANDO-NSOOBA'!C54,'02.08 KYEBANDO-NSOOBA'!C54,'01.08 KYEBANDO-NSOOBA-24h'!C54,'03.08 KYEBANDO-NSOOBA-24h'!C54,'04.08.Kyebando-Nsooba'!C54)</f>
        <v>52.571428571428569</v>
      </c>
      <c r="D54" s="49">
        <f>AVERAGE('29.07 KYEBANDO-NSOOBA'!D54,'30.07 KYEBANDO-NSOOBA'!D54,'31.08 KYEBANDO-NSOOBA'!D54,'02.08 KYEBANDO-NSOOBA'!D54,'01.08 KYEBANDO-NSOOBA-24h'!D54,'03.08 KYEBANDO-NSOOBA-24h'!D54,'04.08.Kyebando-Nsooba'!D54)</f>
        <v>7.5714285714285712</v>
      </c>
      <c r="E54" s="49">
        <f>AVERAGE('29.07 KYEBANDO-NSOOBA'!E54,'30.07 KYEBANDO-NSOOBA'!E54,'31.08 KYEBANDO-NSOOBA'!E54,'02.08 KYEBANDO-NSOOBA'!E54,'01.08 KYEBANDO-NSOOBA-24h'!E54,'03.08 KYEBANDO-NSOOBA-24h'!E54,'04.08.Kyebando-Nsooba'!E54)</f>
        <v>7.7142857142857144</v>
      </c>
      <c r="F54" s="49">
        <f>AVERAGE('29.07 KYEBANDO-NSOOBA'!F54,'30.07 KYEBANDO-NSOOBA'!F54,'31.08 KYEBANDO-NSOOBA'!F54,'02.08 KYEBANDO-NSOOBA'!F54,'01.08 KYEBANDO-NSOOBA-24h'!F54,'03.08 KYEBANDO-NSOOBA-24h'!F54,'04.08.Kyebando-Nsooba'!F54)</f>
        <v>9.4285714285714288</v>
      </c>
      <c r="G54" s="49">
        <f>AVERAGE('29.07 KYEBANDO-NSOOBA'!G54,'30.07 KYEBANDO-NSOOBA'!G54,'31.08 KYEBANDO-NSOOBA'!G54,'02.08 KYEBANDO-NSOOBA'!G54,'01.08 KYEBANDO-NSOOBA-24h'!G54,'03.08 KYEBANDO-NSOOBA-24h'!G54,'04.08.Kyebando-Nsooba'!G54)</f>
        <v>0.5714285714285714</v>
      </c>
      <c r="H54" s="49">
        <f>AVERAGE('29.07 KYEBANDO-NSOOBA'!H54,'30.07 KYEBANDO-NSOOBA'!H54,'31.08 KYEBANDO-NSOOBA'!H54,'02.08 KYEBANDO-NSOOBA'!H54,'01.08 KYEBANDO-NSOOBA-24h'!H54,'03.08 KYEBANDO-NSOOBA-24h'!H54,'04.08.Kyebando-Nsooba'!H54)</f>
        <v>0.7142857142857143</v>
      </c>
      <c r="I54" s="49">
        <f>AVERAGE('29.07 KYEBANDO-NSOOBA'!I54,'30.07 KYEBANDO-NSOOBA'!I54,'31.08 KYEBANDO-NSOOBA'!I54,'02.08 KYEBANDO-NSOOBA'!I54,'01.08 KYEBANDO-NSOOBA-24h'!I54,'03.08 KYEBANDO-NSOOBA-24h'!I54,'04.08.Kyebando-Nsooba'!I54)</f>
        <v>5.5714285714285712</v>
      </c>
      <c r="J54" s="49">
        <f>AVERAGE('29.07 KYEBANDO-NSOOBA'!J54,'30.07 KYEBANDO-NSOOBA'!J54,'31.08 KYEBANDO-NSOOBA'!J54,'02.08 KYEBANDO-NSOOBA'!J54,'01.08 KYEBANDO-NSOOBA-24h'!J54,'03.08 KYEBANDO-NSOOBA-24h'!J54,'04.08.Kyebando-Nsooba'!J54)</f>
        <v>0.8571428571428571</v>
      </c>
      <c r="K54" s="49">
        <f>AVERAGE('29.07 KYEBANDO-NSOOBA'!K54,'30.07 KYEBANDO-NSOOBA'!K54,'31.08 KYEBANDO-NSOOBA'!K54,'02.08 KYEBANDO-NSOOBA'!K54,'01.08 KYEBANDO-NSOOBA-24h'!K54,'03.08 KYEBANDO-NSOOBA-24h'!K54,'04.08.Kyebando-Nsooba'!K54)</f>
        <v>0.14285714285714285</v>
      </c>
      <c r="L54" s="49">
        <f>AVERAGE('29.07 KYEBANDO-NSOOBA'!L54,'30.07 KYEBANDO-NSOOBA'!L54,'31.08 KYEBANDO-NSOOBA'!L54,'02.08 KYEBANDO-NSOOBA'!L54,'01.08 KYEBANDO-NSOOBA-24h'!L54,'03.08 KYEBANDO-NSOOBA-24h'!L54,'04.08.Kyebando-Nsooba'!L54)</f>
        <v>0</v>
      </c>
      <c r="M54" s="49">
        <f>AVERAGE('29.07 KYEBANDO-NSOOBA'!M54,'30.07 KYEBANDO-NSOOBA'!M54,'31.08 KYEBANDO-NSOOBA'!M54,'02.08 KYEBANDO-NSOOBA'!M54,'01.08 KYEBANDO-NSOOBA-24h'!M54,'03.08 KYEBANDO-NSOOBA-24h'!M54,'04.08.Kyebando-Nsooba'!M54)</f>
        <v>94.285714285714292</v>
      </c>
      <c r="N54" s="49">
        <f>AVERAGE('29.07 KYEBANDO-NSOOBA'!N54,'30.07 KYEBANDO-NSOOBA'!N54,'31.08 KYEBANDO-NSOOBA'!N54,'02.08 KYEBANDO-NSOOBA'!N54,'01.08 KYEBANDO-NSOOBA-24h'!N54,'03.08 KYEBANDO-NSOOBA-24h'!N54,'04.08.Kyebando-Nsooba'!N54)</f>
        <v>0</v>
      </c>
      <c r="O54" s="15">
        <f t="shared" si="0"/>
        <v>85.142857142857125</v>
      </c>
      <c r="P54" s="15">
        <f t="shared" si="1"/>
        <v>179.42857142857142</v>
      </c>
      <c r="R54" s="8"/>
      <c r="T54"/>
    </row>
    <row r="55" spans="2:20" ht="23.1" customHeight="1" x14ac:dyDescent="0.25">
      <c r="B55" s="23" t="s">
        <v>82</v>
      </c>
      <c r="C55" s="49">
        <f>AVERAGE('29.07 KYEBANDO-NSOOBA'!C55,'30.07 KYEBANDO-NSOOBA'!C55,'31.08 KYEBANDO-NSOOBA'!C55,'02.08 KYEBANDO-NSOOBA'!C55,'01.08 KYEBANDO-NSOOBA-24h'!C55,'03.08 KYEBANDO-NSOOBA-24h'!C55,'04.08.Kyebando-Nsooba'!C55)</f>
        <v>52.571428571428569</v>
      </c>
      <c r="D55" s="49">
        <f>AVERAGE('29.07 KYEBANDO-NSOOBA'!D55,'30.07 KYEBANDO-NSOOBA'!D55,'31.08 KYEBANDO-NSOOBA'!D55,'02.08 KYEBANDO-NSOOBA'!D55,'01.08 KYEBANDO-NSOOBA-24h'!D55,'03.08 KYEBANDO-NSOOBA-24h'!D55,'04.08.Kyebando-Nsooba'!D55)</f>
        <v>6.5714285714285712</v>
      </c>
      <c r="E55" s="49">
        <f>AVERAGE('29.07 KYEBANDO-NSOOBA'!E55,'30.07 KYEBANDO-NSOOBA'!E55,'31.08 KYEBANDO-NSOOBA'!E55,'02.08 KYEBANDO-NSOOBA'!E55,'01.08 KYEBANDO-NSOOBA-24h'!E55,'03.08 KYEBANDO-NSOOBA-24h'!E55,'04.08.Kyebando-Nsooba'!E55)</f>
        <v>6.1428571428571432</v>
      </c>
      <c r="F55" s="49">
        <f>AVERAGE('29.07 KYEBANDO-NSOOBA'!F55,'30.07 KYEBANDO-NSOOBA'!F55,'31.08 KYEBANDO-NSOOBA'!F55,'02.08 KYEBANDO-NSOOBA'!F55,'01.08 KYEBANDO-NSOOBA-24h'!F55,'03.08 KYEBANDO-NSOOBA-24h'!F55,'04.08.Kyebando-Nsooba'!F55)</f>
        <v>19</v>
      </c>
      <c r="G55" s="49">
        <f>AVERAGE('29.07 KYEBANDO-NSOOBA'!G55,'30.07 KYEBANDO-NSOOBA'!G55,'31.08 KYEBANDO-NSOOBA'!G55,'02.08 KYEBANDO-NSOOBA'!G55,'01.08 KYEBANDO-NSOOBA-24h'!G55,'03.08 KYEBANDO-NSOOBA-24h'!G55,'04.08.Kyebando-Nsooba'!G55)</f>
        <v>1</v>
      </c>
      <c r="H55" s="49">
        <f>AVERAGE('29.07 KYEBANDO-NSOOBA'!H55,'30.07 KYEBANDO-NSOOBA'!H55,'31.08 KYEBANDO-NSOOBA'!H55,'02.08 KYEBANDO-NSOOBA'!H55,'01.08 KYEBANDO-NSOOBA-24h'!H55,'03.08 KYEBANDO-NSOOBA-24h'!H55,'04.08.Kyebando-Nsooba'!H55)</f>
        <v>0</v>
      </c>
      <c r="I55" s="49">
        <f>AVERAGE('29.07 KYEBANDO-NSOOBA'!I55,'30.07 KYEBANDO-NSOOBA'!I55,'31.08 KYEBANDO-NSOOBA'!I55,'02.08 KYEBANDO-NSOOBA'!I55,'01.08 KYEBANDO-NSOOBA-24h'!I55,'03.08 KYEBANDO-NSOOBA-24h'!I55,'04.08.Kyebando-Nsooba'!I55)</f>
        <v>4.4285714285714288</v>
      </c>
      <c r="J55" s="49">
        <f>AVERAGE('29.07 KYEBANDO-NSOOBA'!J55,'30.07 KYEBANDO-NSOOBA'!J55,'31.08 KYEBANDO-NSOOBA'!J55,'02.08 KYEBANDO-NSOOBA'!J55,'01.08 KYEBANDO-NSOOBA-24h'!J55,'03.08 KYEBANDO-NSOOBA-24h'!J55,'04.08.Kyebando-Nsooba'!J55)</f>
        <v>1</v>
      </c>
      <c r="K55" s="49">
        <f>AVERAGE('29.07 KYEBANDO-NSOOBA'!K55,'30.07 KYEBANDO-NSOOBA'!K55,'31.08 KYEBANDO-NSOOBA'!K55,'02.08 KYEBANDO-NSOOBA'!K55,'01.08 KYEBANDO-NSOOBA-24h'!K55,'03.08 KYEBANDO-NSOOBA-24h'!K55,'04.08.Kyebando-Nsooba'!K55)</f>
        <v>0.42857142857142855</v>
      </c>
      <c r="L55" s="49">
        <f>AVERAGE('29.07 KYEBANDO-NSOOBA'!L55,'30.07 KYEBANDO-NSOOBA'!L55,'31.08 KYEBANDO-NSOOBA'!L55,'02.08 KYEBANDO-NSOOBA'!L55,'01.08 KYEBANDO-NSOOBA-24h'!L55,'03.08 KYEBANDO-NSOOBA-24h'!L55,'04.08.Kyebando-Nsooba'!L55)</f>
        <v>0</v>
      </c>
      <c r="M55" s="49">
        <f>AVERAGE('29.07 KYEBANDO-NSOOBA'!M55,'30.07 KYEBANDO-NSOOBA'!M55,'31.08 KYEBANDO-NSOOBA'!M55,'02.08 KYEBANDO-NSOOBA'!M55,'01.08 KYEBANDO-NSOOBA-24h'!M55,'03.08 KYEBANDO-NSOOBA-24h'!M55,'04.08.Kyebando-Nsooba'!M55)</f>
        <v>94.714285714285708</v>
      </c>
      <c r="N55" s="49">
        <f>AVERAGE('29.07 KYEBANDO-NSOOBA'!N55,'30.07 KYEBANDO-NSOOBA'!N55,'31.08 KYEBANDO-NSOOBA'!N55,'02.08 KYEBANDO-NSOOBA'!N55,'01.08 KYEBANDO-NSOOBA-24h'!N55,'03.08 KYEBANDO-NSOOBA-24h'!N55,'04.08.Kyebando-Nsooba'!N55)</f>
        <v>0</v>
      </c>
      <c r="O55" s="15">
        <f t="shared" si="0"/>
        <v>91.142857142857139</v>
      </c>
      <c r="P55" s="15">
        <f t="shared" si="1"/>
        <v>185.85714285714283</v>
      </c>
      <c r="R55" s="8"/>
      <c r="T55"/>
    </row>
    <row r="56" spans="2:20" ht="23.1" customHeight="1" x14ac:dyDescent="0.25">
      <c r="B56" s="23" t="s">
        <v>83</v>
      </c>
      <c r="C56" s="49">
        <f>AVERAGE('29.07 KYEBANDO-NSOOBA'!C56,'30.07 KYEBANDO-NSOOBA'!C56,'31.08 KYEBANDO-NSOOBA'!C56,'02.08 KYEBANDO-NSOOBA'!C56,'01.08 KYEBANDO-NSOOBA-24h'!C56,'03.08 KYEBANDO-NSOOBA-24h'!C56,'04.08.Kyebando-Nsooba'!C56)</f>
        <v>56.571428571428569</v>
      </c>
      <c r="D56" s="49">
        <f>AVERAGE('29.07 KYEBANDO-NSOOBA'!D56,'30.07 KYEBANDO-NSOOBA'!D56,'31.08 KYEBANDO-NSOOBA'!D56,'02.08 KYEBANDO-NSOOBA'!D56,'01.08 KYEBANDO-NSOOBA-24h'!D56,'03.08 KYEBANDO-NSOOBA-24h'!D56,'04.08.Kyebando-Nsooba'!D56)</f>
        <v>9</v>
      </c>
      <c r="E56" s="49">
        <f>AVERAGE('29.07 KYEBANDO-NSOOBA'!E56,'30.07 KYEBANDO-NSOOBA'!E56,'31.08 KYEBANDO-NSOOBA'!E56,'02.08 KYEBANDO-NSOOBA'!E56,'01.08 KYEBANDO-NSOOBA-24h'!E56,'03.08 KYEBANDO-NSOOBA-24h'!E56,'04.08.Kyebando-Nsooba'!E56)</f>
        <v>5.1428571428571432</v>
      </c>
      <c r="F56" s="49">
        <f>AVERAGE('29.07 KYEBANDO-NSOOBA'!F56,'30.07 KYEBANDO-NSOOBA'!F56,'31.08 KYEBANDO-NSOOBA'!F56,'02.08 KYEBANDO-NSOOBA'!F56,'01.08 KYEBANDO-NSOOBA-24h'!F56,'03.08 KYEBANDO-NSOOBA-24h'!F56,'04.08.Kyebando-Nsooba'!F56)</f>
        <v>22.428571428571427</v>
      </c>
      <c r="G56" s="49">
        <f>AVERAGE('29.07 KYEBANDO-NSOOBA'!G56,'30.07 KYEBANDO-NSOOBA'!G56,'31.08 KYEBANDO-NSOOBA'!G56,'02.08 KYEBANDO-NSOOBA'!G56,'01.08 KYEBANDO-NSOOBA-24h'!G56,'03.08 KYEBANDO-NSOOBA-24h'!G56,'04.08.Kyebando-Nsooba'!G56)</f>
        <v>1.1428571428571428</v>
      </c>
      <c r="H56" s="49">
        <f>AVERAGE('29.07 KYEBANDO-NSOOBA'!H56,'30.07 KYEBANDO-NSOOBA'!H56,'31.08 KYEBANDO-NSOOBA'!H56,'02.08 KYEBANDO-NSOOBA'!H56,'01.08 KYEBANDO-NSOOBA-24h'!H56,'03.08 KYEBANDO-NSOOBA-24h'!H56,'04.08.Kyebando-Nsooba'!H56)</f>
        <v>0.14285714285714285</v>
      </c>
      <c r="I56" s="49">
        <f>AVERAGE('29.07 KYEBANDO-NSOOBA'!I56,'30.07 KYEBANDO-NSOOBA'!I56,'31.08 KYEBANDO-NSOOBA'!I56,'02.08 KYEBANDO-NSOOBA'!I56,'01.08 KYEBANDO-NSOOBA-24h'!I56,'03.08 KYEBANDO-NSOOBA-24h'!I56,'04.08.Kyebando-Nsooba'!I56)</f>
        <v>6.7142857142857144</v>
      </c>
      <c r="J56" s="49">
        <f>AVERAGE('29.07 KYEBANDO-NSOOBA'!J56,'30.07 KYEBANDO-NSOOBA'!J56,'31.08 KYEBANDO-NSOOBA'!J56,'02.08 KYEBANDO-NSOOBA'!J56,'01.08 KYEBANDO-NSOOBA-24h'!J56,'03.08 KYEBANDO-NSOOBA-24h'!J56,'04.08.Kyebando-Nsooba'!J56)</f>
        <v>1.2857142857142858</v>
      </c>
      <c r="K56" s="49">
        <f>AVERAGE('29.07 KYEBANDO-NSOOBA'!K56,'30.07 KYEBANDO-NSOOBA'!K56,'31.08 KYEBANDO-NSOOBA'!K56,'02.08 KYEBANDO-NSOOBA'!K56,'01.08 KYEBANDO-NSOOBA-24h'!K56,'03.08 KYEBANDO-NSOOBA-24h'!K56,'04.08.Kyebando-Nsooba'!K56)</f>
        <v>0.42857142857142855</v>
      </c>
      <c r="L56" s="49">
        <f>AVERAGE('29.07 KYEBANDO-NSOOBA'!L56,'30.07 KYEBANDO-NSOOBA'!L56,'31.08 KYEBANDO-NSOOBA'!L56,'02.08 KYEBANDO-NSOOBA'!L56,'01.08 KYEBANDO-NSOOBA-24h'!L56,'03.08 KYEBANDO-NSOOBA-24h'!L56,'04.08.Kyebando-Nsooba'!L56)</f>
        <v>0</v>
      </c>
      <c r="M56" s="49">
        <f>AVERAGE('29.07 KYEBANDO-NSOOBA'!M56,'30.07 KYEBANDO-NSOOBA'!M56,'31.08 KYEBANDO-NSOOBA'!M56,'02.08 KYEBANDO-NSOOBA'!M56,'01.08 KYEBANDO-NSOOBA-24h'!M56,'03.08 KYEBANDO-NSOOBA-24h'!M56,'04.08.Kyebando-Nsooba'!M56)</f>
        <v>94.857142857142861</v>
      </c>
      <c r="N56" s="49">
        <f>AVERAGE('29.07 KYEBANDO-NSOOBA'!N56,'30.07 KYEBANDO-NSOOBA'!N56,'31.08 KYEBANDO-NSOOBA'!N56,'02.08 KYEBANDO-NSOOBA'!N56,'01.08 KYEBANDO-NSOOBA-24h'!N56,'03.08 KYEBANDO-NSOOBA-24h'!N56,'04.08.Kyebando-Nsooba'!N56)</f>
        <v>0</v>
      </c>
      <c r="O56" s="15">
        <f t="shared" si="0"/>
        <v>102.85714285714285</v>
      </c>
      <c r="P56" s="15">
        <f t="shared" si="1"/>
        <v>197.71428571428572</v>
      </c>
      <c r="R56" s="8"/>
      <c r="T56"/>
    </row>
    <row r="57" spans="2:20" ht="23.1" customHeight="1" x14ac:dyDescent="0.25">
      <c r="B57" s="23" t="s">
        <v>84</v>
      </c>
      <c r="C57" s="49">
        <f>AVERAGE('29.07 KYEBANDO-NSOOBA'!C57,'30.07 KYEBANDO-NSOOBA'!C57,'31.08 KYEBANDO-NSOOBA'!C57,'02.08 KYEBANDO-NSOOBA'!C57,'01.08 KYEBANDO-NSOOBA-24h'!C57,'03.08 KYEBANDO-NSOOBA-24h'!C57,'04.08.Kyebando-Nsooba'!C57)</f>
        <v>40.285714285714285</v>
      </c>
      <c r="D57" s="49">
        <f>AVERAGE('29.07 KYEBANDO-NSOOBA'!D57,'30.07 KYEBANDO-NSOOBA'!D57,'31.08 KYEBANDO-NSOOBA'!D57,'02.08 KYEBANDO-NSOOBA'!D57,'01.08 KYEBANDO-NSOOBA-24h'!D57,'03.08 KYEBANDO-NSOOBA-24h'!D57,'04.08.Kyebando-Nsooba'!D57)</f>
        <v>8.2857142857142865</v>
      </c>
      <c r="E57" s="49">
        <f>AVERAGE('29.07 KYEBANDO-NSOOBA'!E57,'30.07 KYEBANDO-NSOOBA'!E57,'31.08 KYEBANDO-NSOOBA'!E57,'02.08 KYEBANDO-NSOOBA'!E57,'01.08 KYEBANDO-NSOOBA-24h'!E57,'03.08 KYEBANDO-NSOOBA-24h'!E57,'04.08.Kyebando-Nsooba'!E57)</f>
        <v>5.7142857142857144</v>
      </c>
      <c r="F57" s="49">
        <f>AVERAGE('29.07 KYEBANDO-NSOOBA'!F57,'30.07 KYEBANDO-NSOOBA'!F57,'31.08 KYEBANDO-NSOOBA'!F57,'02.08 KYEBANDO-NSOOBA'!F57,'01.08 KYEBANDO-NSOOBA-24h'!F57,'03.08 KYEBANDO-NSOOBA-24h'!F57,'04.08.Kyebando-Nsooba'!F57)</f>
        <v>14</v>
      </c>
      <c r="G57" s="49">
        <f>AVERAGE('29.07 KYEBANDO-NSOOBA'!G57,'30.07 KYEBANDO-NSOOBA'!G57,'31.08 KYEBANDO-NSOOBA'!G57,'02.08 KYEBANDO-NSOOBA'!G57,'01.08 KYEBANDO-NSOOBA-24h'!G57,'03.08 KYEBANDO-NSOOBA-24h'!G57,'04.08.Kyebando-Nsooba'!G57)</f>
        <v>0.2857142857142857</v>
      </c>
      <c r="H57" s="49">
        <f>AVERAGE('29.07 KYEBANDO-NSOOBA'!H57,'30.07 KYEBANDO-NSOOBA'!H57,'31.08 KYEBANDO-NSOOBA'!H57,'02.08 KYEBANDO-NSOOBA'!H57,'01.08 KYEBANDO-NSOOBA-24h'!H57,'03.08 KYEBANDO-NSOOBA-24h'!H57,'04.08.Kyebando-Nsooba'!H57)</f>
        <v>0</v>
      </c>
      <c r="I57" s="49">
        <f>AVERAGE('29.07 KYEBANDO-NSOOBA'!I57,'30.07 KYEBANDO-NSOOBA'!I57,'31.08 KYEBANDO-NSOOBA'!I57,'02.08 KYEBANDO-NSOOBA'!I57,'01.08 KYEBANDO-NSOOBA-24h'!I57,'03.08 KYEBANDO-NSOOBA-24h'!I57,'04.08.Kyebando-Nsooba'!I57)</f>
        <v>4.7142857142857144</v>
      </c>
      <c r="J57" s="49">
        <f>AVERAGE('29.07 KYEBANDO-NSOOBA'!J57,'30.07 KYEBANDO-NSOOBA'!J57,'31.08 KYEBANDO-NSOOBA'!J57,'02.08 KYEBANDO-NSOOBA'!J57,'01.08 KYEBANDO-NSOOBA-24h'!J57,'03.08 KYEBANDO-NSOOBA-24h'!J57,'04.08.Kyebando-Nsooba'!J57)</f>
        <v>1</v>
      </c>
      <c r="K57" s="49">
        <f>AVERAGE('29.07 KYEBANDO-NSOOBA'!K57,'30.07 KYEBANDO-NSOOBA'!K57,'31.08 KYEBANDO-NSOOBA'!K57,'02.08 KYEBANDO-NSOOBA'!K57,'01.08 KYEBANDO-NSOOBA-24h'!K57,'03.08 KYEBANDO-NSOOBA-24h'!K57,'04.08.Kyebando-Nsooba'!K57)</f>
        <v>0</v>
      </c>
      <c r="L57" s="49">
        <f>AVERAGE('29.07 KYEBANDO-NSOOBA'!L57,'30.07 KYEBANDO-NSOOBA'!L57,'31.08 KYEBANDO-NSOOBA'!L57,'02.08 KYEBANDO-NSOOBA'!L57,'01.08 KYEBANDO-NSOOBA-24h'!L57,'03.08 KYEBANDO-NSOOBA-24h'!L57,'04.08.Kyebando-Nsooba'!L57)</f>
        <v>0.14285714285714285</v>
      </c>
      <c r="M57" s="49">
        <f>AVERAGE('29.07 KYEBANDO-NSOOBA'!M57,'30.07 KYEBANDO-NSOOBA'!M57,'31.08 KYEBANDO-NSOOBA'!M57,'02.08 KYEBANDO-NSOOBA'!M57,'01.08 KYEBANDO-NSOOBA-24h'!M57,'03.08 KYEBANDO-NSOOBA-24h'!M57,'04.08.Kyebando-Nsooba'!M57)</f>
        <v>74</v>
      </c>
      <c r="N57" s="49">
        <f>AVERAGE('29.07 KYEBANDO-NSOOBA'!N57,'30.07 KYEBANDO-NSOOBA'!N57,'31.08 KYEBANDO-NSOOBA'!N57,'02.08 KYEBANDO-NSOOBA'!N57,'01.08 KYEBANDO-NSOOBA-24h'!N57,'03.08 KYEBANDO-NSOOBA-24h'!N57,'04.08.Kyebando-Nsooba'!N57)</f>
        <v>0</v>
      </c>
      <c r="O57" s="15">
        <f t="shared" si="0"/>
        <v>74.428571428571416</v>
      </c>
      <c r="P57" s="15">
        <f t="shared" si="1"/>
        <v>148.42857142857142</v>
      </c>
      <c r="R57" s="8"/>
      <c r="T57"/>
    </row>
    <row r="58" spans="2:20" ht="23.1" customHeight="1" x14ac:dyDescent="0.25">
      <c r="B58" s="23" t="s">
        <v>99</v>
      </c>
      <c r="C58" s="49">
        <f>AVERAGE('01.08 KYEBANDO-NSOOBA-24h'!C58,'03.80 NSOOBA-KYEBANDO-24h'!C58)</f>
        <v>39.5</v>
      </c>
      <c r="D58" s="49">
        <f>AVERAGE('01.08 KYEBANDO-NSOOBA-24h'!D58,'03.80 NSOOBA-KYEBANDO-24h'!D58)</f>
        <v>7.5</v>
      </c>
      <c r="E58" s="49">
        <f>AVERAGE('01.08 KYEBANDO-NSOOBA-24h'!E58,'03.80 NSOOBA-KYEBANDO-24h'!E58)</f>
        <v>7</v>
      </c>
      <c r="F58" s="49">
        <f>AVERAGE('01.08 KYEBANDO-NSOOBA-24h'!F58,'03.80 NSOOBA-KYEBANDO-24h'!F58)</f>
        <v>13.5</v>
      </c>
      <c r="G58" s="49">
        <f>AVERAGE('01.08 KYEBANDO-NSOOBA-24h'!G58,'03.80 NSOOBA-KYEBANDO-24h'!G58)</f>
        <v>0.5</v>
      </c>
      <c r="H58" s="49">
        <f>AVERAGE('01.08 KYEBANDO-NSOOBA-24h'!H58,'03.80 NSOOBA-KYEBANDO-24h'!H58)</f>
        <v>0</v>
      </c>
      <c r="I58" s="49">
        <f>AVERAGE('01.08 KYEBANDO-NSOOBA-24h'!I58,'03.80 NSOOBA-KYEBANDO-24h'!I58)</f>
        <v>3</v>
      </c>
      <c r="J58" s="49">
        <f>AVERAGE('01.08 KYEBANDO-NSOOBA-24h'!J58,'03.80 NSOOBA-KYEBANDO-24h'!J58)</f>
        <v>0</v>
      </c>
      <c r="K58" s="49">
        <f>AVERAGE('01.08 KYEBANDO-NSOOBA-24h'!K58,'03.80 NSOOBA-KYEBANDO-24h'!K58)</f>
        <v>0.5</v>
      </c>
      <c r="L58" s="49">
        <f>AVERAGE('01.08 KYEBANDO-NSOOBA-24h'!L58,'03.80 NSOOBA-KYEBANDO-24h'!L58)</f>
        <v>0</v>
      </c>
      <c r="M58" s="49">
        <f>AVERAGE('01.08 KYEBANDO-NSOOBA-24h'!M58,'03.80 NSOOBA-KYEBANDO-24h'!M58)</f>
        <v>63</v>
      </c>
      <c r="N58" s="49">
        <f>AVERAGE('01.08 KYEBANDO-NSOOBA-24h'!N58,'03.80 NSOOBA-KYEBANDO-24h'!N58)</f>
        <v>0</v>
      </c>
      <c r="O58" s="15">
        <f t="shared" si="0"/>
        <v>71.5</v>
      </c>
      <c r="P58" s="15">
        <f t="shared" si="1"/>
        <v>134.5</v>
      </c>
      <c r="R58" s="8"/>
      <c r="T58"/>
    </row>
    <row r="59" spans="2:20" ht="23.1" customHeight="1" x14ac:dyDescent="0.25">
      <c r="B59" s="23" t="s">
        <v>100</v>
      </c>
      <c r="C59" s="49">
        <f>AVERAGE('01.08 KYEBANDO-NSOOBA-24h'!C59,'03.80 NSOOBA-KYEBANDO-24h'!C59)</f>
        <v>32</v>
      </c>
      <c r="D59" s="49">
        <f>AVERAGE('01.08 KYEBANDO-NSOOBA-24h'!D59,'03.80 NSOOBA-KYEBANDO-24h'!D59)</f>
        <v>4</v>
      </c>
      <c r="E59" s="49">
        <f>AVERAGE('01.08 KYEBANDO-NSOOBA-24h'!E59,'03.80 NSOOBA-KYEBANDO-24h'!E59)</f>
        <v>1.5</v>
      </c>
      <c r="F59" s="49">
        <f>AVERAGE('01.08 KYEBANDO-NSOOBA-24h'!F59,'03.80 NSOOBA-KYEBANDO-24h'!F59)</f>
        <v>17</v>
      </c>
      <c r="G59" s="49">
        <f>AVERAGE('01.08 KYEBANDO-NSOOBA-24h'!G59,'03.80 NSOOBA-KYEBANDO-24h'!G59)</f>
        <v>0.5</v>
      </c>
      <c r="H59" s="49">
        <f>AVERAGE('01.08 KYEBANDO-NSOOBA-24h'!H59,'03.80 NSOOBA-KYEBANDO-24h'!H59)</f>
        <v>0.5</v>
      </c>
      <c r="I59" s="49">
        <f>AVERAGE('01.08 KYEBANDO-NSOOBA-24h'!I59,'03.80 NSOOBA-KYEBANDO-24h'!I59)</f>
        <v>3.5</v>
      </c>
      <c r="J59" s="49">
        <f>AVERAGE('01.08 KYEBANDO-NSOOBA-24h'!J59,'03.80 NSOOBA-KYEBANDO-24h'!J59)</f>
        <v>1</v>
      </c>
      <c r="K59" s="49">
        <f>AVERAGE('01.08 KYEBANDO-NSOOBA-24h'!K59,'03.80 NSOOBA-KYEBANDO-24h'!K59)</f>
        <v>2.5</v>
      </c>
      <c r="L59" s="49">
        <f>AVERAGE('01.08 KYEBANDO-NSOOBA-24h'!L59,'03.80 NSOOBA-KYEBANDO-24h'!L59)</f>
        <v>0</v>
      </c>
      <c r="M59" s="49">
        <f>AVERAGE('01.08 KYEBANDO-NSOOBA-24h'!M59,'03.80 NSOOBA-KYEBANDO-24h'!M59)</f>
        <v>61</v>
      </c>
      <c r="N59" s="49">
        <f>AVERAGE('01.08 KYEBANDO-NSOOBA-24h'!N59,'03.80 NSOOBA-KYEBANDO-24h'!N59)</f>
        <v>0</v>
      </c>
      <c r="O59" s="15">
        <f t="shared" si="0"/>
        <v>62.5</v>
      </c>
      <c r="P59" s="15">
        <f t="shared" si="1"/>
        <v>123.5</v>
      </c>
      <c r="R59" s="8"/>
      <c r="T59"/>
    </row>
    <row r="60" spans="2:20" ht="23.1" customHeight="1" x14ac:dyDescent="0.25">
      <c r="B60" s="23" t="s">
        <v>101</v>
      </c>
      <c r="C60" s="49">
        <f>AVERAGE('01.08 KYEBANDO-NSOOBA-24h'!C60,'03.80 NSOOBA-KYEBANDO-24h'!C60)</f>
        <v>36.5</v>
      </c>
      <c r="D60" s="49">
        <f>AVERAGE('01.08 KYEBANDO-NSOOBA-24h'!D60,'03.80 NSOOBA-KYEBANDO-24h'!D60)</f>
        <v>6</v>
      </c>
      <c r="E60" s="49">
        <f>AVERAGE('01.08 KYEBANDO-NSOOBA-24h'!E60,'03.80 NSOOBA-KYEBANDO-24h'!E60)</f>
        <v>3</v>
      </c>
      <c r="F60" s="49">
        <f>AVERAGE('01.08 KYEBANDO-NSOOBA-24h'!F60,'03.80 NSOOBA-KYEBANDO-24h'!F60)</f>
        <v>3.5</v>
      </c>
      <c r="G60" s="49">
        <f>AVERAGE('01.08 KYEBANDO-NSOOBA-24h'!G60,'03.80 NSOOBA-KYEBANDO-24h'!G60)</f>
        <v>1</v>
      </c>
      <c r="H60" s="49">
        <f>AVERAGE('01.08 KYEBANDO-NSOOBA-24h'!H60,'03.80 NSOOBA-KYEBANDO-24h'!H60)</f>
        <v>0.5</v>
      </c>
      <c r="I60" s="49">
        <f>AVERAGE('01.08 KYEBANDO-NSOOBA-24h'!I60,'03.80 NSOOBA-KYEBANDO-24h'!I60)</f>
        <v>1.5</v>
      </c>
      <c r="J60" s="49">
        <f>AVERAGE('01.08 KYEBANDO-NSOOBA-24h'!J60,'03.80 NSOOBA-KYEBANDO-24h'!J60)</f>
        <v>0</v>
      </c>
      <c r="K60" s="49">
        <f>AVERAGE('01.08 KYEBANDO-NSOOBA-24h'!K60,'03.80 NSOOBA-KYEBANDO-24h'!K60)</f>
        <v>0</v>
      </c>
      <c r="L60" s="49">
        <f>AVERAGE('01.08 KYEBANDO-NSOOBA-24h'!L60,'03.80 NSOOBA-KYEBANDO-24h'!L60)</f>
        <v>0</v>
      </c>
      <c r="M60" s="49">
        <f>AVERAGE('01.08 KYEBANDO-NSOOBA-24h'!M60,'03.80 NSOOBA-KYEBANDO-24h'!M60)</f>
        <v>58</v>
      </c>
      <c r="N60" s="49">
        <f>AVERAGE('01.08 KYEBANDO-NSOOBA-24h'!N60,'03.80 NSOOBA-KYEBANDO-24h'!N60)</f>
        <v>0</v>
      </c>
      <c r="O60" s="15">
        <f t="shared" si="0"/>
        <v>52</v>
      </c>
      <c r="P60" s="15">
        <f t="shared" si="1"/>
        <v>110</v>
      </c>
      <c r="R60" s="8"/>
      <c r="T60"/>
    </row>
    <row r="61" spans="2:20" ht="23.1" customHeight="1" x14ac:dyDescent="0.25">
      <c r="B61" s="23" t="s">
        <v>102</v>
      </c>
      <c r="C61" s="49">
        <f>AVERAGE('01.08 KYEBANDO-NSOOBA-24h'!C61,'03.80 NSOOBA-KYEBANDO-24h'!C61)</f>
        <v>30</v>
      </c>
      <c r="D61" s="49">
        <f>AVERAGE('01.08 KYEBANDO-NSOOBA-24h'!D61,'03.80 NSOOBA-KYEBANDO-24h'!D61)</f>
        <v>6.5</v>
      </c>
      <c r="E61" s="49">
        <f>AVERAGE('01.08 KYEBANDO-NSOOBA-24h'!E61,'03.80 NSOOBA-KYEBANDO-24h'!E61)</f>
        <v>0.5</v>
      </c>
      <c r="F61" s="49">
        <f>AVERAGE('01.08 KYEBANDO-NSOOBA-24h'!F61,'03.80 NSOOBA-KYEBANDO-24h'!F61)</f>
        <v>1.5</v>
      </c>
      <c r="G61" s="49">
        <f>AVERAGE('01.08 KYEBANDO-NSOOBA-24h'!G61,'03.80 NSOOBA-KYEBANDO-24h'!G61)</f>
        <v>0.5</v>
      </c>
      <c r="H61" s="49">
        <f>AVERAGE('01.08 KYEBANDO-NSOOBA-24h'!H61,'03.80 NSOOBA-KYEBANDO-24h'!H61)</f>
        <v>1.5</v>
      </c>
      <c r="I61" s="49">
        <f>AVERAGE('01.08 KYEBANDO-NSOOBA-24h'!I61,'03.80 NSOOBA-KYEBANDO-24h'!I61)</f>
        <v>2</v>
      </c>
      <c r="J61" s="49">
        <f>AVERAGE('01.08 KYEBANDO-NSOOBA-24h'!J61,'03.80 NSOOBA-KYEBANDO-24h'!J61)</f>
        <v>0</v>
      </c>
      <c r="K61" s="49">
        <f>AVERAGE('01.08 KYEBANDO-NSOOBA-24h'!K61,'03.80 NSOOBA-KYEBANDO-24h'!K61)</f>
        <v>0</v>
      </c>
      <c r="L61" s="49">
        <f>AVERAGE('01.08 KYEBANDO-NSOOBA-24h'!L61,'03.80 NSOOBA-KYEBANDO-24h'!L61)</f>
        <v>0</v>
      </c>
      <c r="M61" s="49">
        <f>AVERAGE('01.08 KYEBANDO-NSOOBA-24h'!M61,'03.80 NSOOBA-KYEBANDO-24h'!M61)</f>
        <v>42.5</v>
      </c>
      <c r="N61" s="49">
        <f>AVERAGE('01.08 KYEBANDO-NSOOBA-24h'!N61,'03.80 NSOOBA-KYEBANDO-24h'!N61)</f>
        <v>0</v>
      </c>
      <c r="O61" s="15">
        <f t="shared" si="0"/>
        <v>42.5</v>
      </c>
      <c r="P61" s="15">
        <f t="shared" si="1"/>
        <v>85</v>
      </c>
      <c r="R61" s="8"/>
      <c r="T61"/>
    </row>
    <row r="62" spans="2:20" ht="23.1" customHeight="1" x14ac:dyDescent="0.25">
      <c r="B62" s="23" t="s">
        <v>107</v>
      </c>
      <c r="C62" s="49">
        <f>AVERAGE('01.08 KYEBANDO-NSOOBA-24h'!C62,'03.80 NSOOBA-KYEBANDO-24h'!C62)</f>
        <v>41.5</v>
      </c>
      <c r="D62" s="49">
        <f>AVERAGE('01.08 KYEBANDO-NSOOBA-24h'!D62,'03.80 NSOOBA-KYEBANDO-24h'!D62)</f>
        <v>3.5</v>
      </c>
      <c r="E62" s="49">
        <f>AVERAGE('01.08 KYEBANDO-NSOOBA-24h'!E62,'03.80 NSOOBA-KYEBANDO-24h'!E62)</f>
        <v>4</v>
      </c>
      <c r="F62" s="49">
        <f>AVERAGE('01.08 KYEBANDO-NSOOBA-24h'!F62,'03.80 NSOOBA-KYEBANDO-24h'!F62)</f>
        <v>20.5</v>
      </c>
      <c r="G62" s="49">
        <f>AVERAGE('01.08 KYEBANDO-NSOOBA-24h'!G62,'03.80 NSOOBA-KYEBANDO-24h'!G62)</f>
        <v>0</v>
      </c>
      <c r="H62" s="49">
        <f>AVERAGE('01.08 KYEBANDO-NSOOBA-24h'!H62,'03.80 NSOOBA-KYEBANDO-24h'!H62)</f>
        <v>0</v>
      </c>
      <c r="I62" s="49">
        <f>AVERAGE('01.08 KYEBANDO-NSOOBA-24h'!I62,'03.80 NSOOBA-KYEBANDO-24h'!I62)</f>
        <v>2.5</v>
      </c>
      <c r="J62" s="49">
        <f>AVERAGE('01.08 KYEBANDO-NSOOBA-24h'!J62,'03.80 NSOOBA-KYEBANDO-24h'!J62)</f>
        <v>0.5</v>
      </c>
      <c r="K62" s="49">
        <f>AVERAGE('01.08 KYEBANDO-NSOOBA-24h'!K62,'03.80 NSOOBA-KYEBANDO-24h'!K62)</f>
        <v>0</v>
      </c>
      <c r="L62" s="49">
        <f>AVERAGE('01.08 KYEBANDO-NSOOBA-24h'!L62,'03.80 NSOOBA-KYEBANDO-24h'!L62)</f>
        <v>0</v>
      </c>
      <c r="M62" s="49">
        <f>AVERAGE('01.08 KYEBANDO-NSOOBA-24h'!M62,'03.80 NSOOBA-KYEBANDO-24h'!M62)</f>
        <v>69.5</v>
      </c>
      <c r="N62" s="49">
        <f>AVERAGE('01.08 KYEBANDO-NSOOBA-24h'!N62,'03.80 NSOOBA-KYEBANDO-24h'!N62)</f>
        <v>0</v>
      </c>
      <c r="O62" s="15">
        <f t="shared" si="0"/>
        <v>72.5</v>
      </c>
      <c r="P62" s="15">
        <f t="shared" si="1"/>
        <v>142</v>
      </c>
      <c r="R62" s="8"/>
      <c r="T62"/>
    </row>
    <row r="63" spans="2:20" ht="23.1" customHeight="1" x14ac:dyDescent="0.25">
      <c r="B63" s="23" t="s">
        <v>108</v>
      </c>
      <c r="C63" s="49">
        <f>AVERAGE('01.08 KYEBANDO-NSOOBA-24h'!C63,'03.80 NSOOBA-KYEBANDO-24h'!C63)</f>
        <v>33.5</v>
      </c>
      <c r="D63" s="49">
        <f>AVERAGE('01.08 KYEBANDO-NSOOBA-24h'!D63,'03.80 NSOOBA-KYEBANDO-24h'!D63)</f>
        <v>4</v>
      </c>
      <c r="E63" s="49">
        <f>AVERAGE('01.08 KYEBANDO-NSOOBA-24h'!E63,'03.80 NSOOBA-KYEBANDO-24h'!E63)</f>
        <v>4.5</v>
      </c>
      <c r="F63" s="49">
        <f>AVERAGE('01.08 KYEBANDO-NSOOBA-24h'!F63,'03.80 NSOOBA-KYEBANDO-24h'!F63)</f>
        <v>12.5</v>
      </c>
      <c r="G63" s="49">
        <f>AVERAGE('01.08 KYEBANDO-NSOOBA-24h'!G63,'03.80 NSOOBA-KYEBANDO-24h'!G63)</f>
        <v>0.5</v>
      </c>
      <c r="H63" s="49">
        <f>AVERAGE('01.08 KYEBANDO-NSOOBA-24h'!H63,'03.80 NSOOBA-KYEBANDO-24h'!H63)</f>
        <v>0</v>
      </c>
      <c r="I63" s="49">
        <f>AVERAGE('01.08 KYEBANDO-NSOOBA-24h'!I63,'03.80 NSOOBA-KYEBANDO-24h'!I63)</f>
        <v>4</v>
      </c>
      <c r="J63" s="49">
        <f>AVERAGE('01.08 KYEBANDO-NSOOBA-24h'!J63,'03.80 NSOOBA-KYEBANDO-24h'!J63)</f>
        <v>0</v>
      </c>
      <c r="K63" s="49">
        <f>AVERAGE('01.08 KYEBANDO-NSOOBA-24h'!K63,'03.80 NSOOBA-KYEBANDO-24h'!K63)</f>
        <v>0</v>
      </c>
      <c r="L63" s="49">
        <f>AVERAGE('01.08 KYEBANDO-NSOOBA-24h'!L63,'03.80 NSOOBA-KYEBANDO-24h'!L63)</f>
        <v>0</v>
      </c>
      <c r="M63" s="49">
        <f>AVERAGE('01.08 KYEBANDO-NSOOBA-24h'!M63,'03.80 NSOOBA-KYEBANDO-24h'!M63)</f>
        <v>61</v>
      </c>
      <c r="N63" s="49">
        <f>AVERAGE('01.08 KYEBANDO-NSOOBA-24h'!N63,'03.80 NSOOBA-KYEBANDO-24h'!N63)</f>
        <v>0</v>
      </c>
      <c r="O63" s="15">
        <f t="shared" si="0"/>
        <v>59</v>
      </c>
      <c r="P63" s="15">
        <f t="shared" si="1"/>
        <v>120</v>
      </c>
      <c r="R63" s="8"/>
      <c r="T63"/>
    </row>
    <row r="64" spans="2:20" ht="23.1" customHeight="1" x14ac:dyDescent="0.25">
      <c r="B64" s="23" t="s">
        <v>109</v>
      </c>
      <c r="C64" s="49">
        <f>AVERAGE('01.08 KYEBANDO-NSOOBA-24h'!C64,'03.80 NSOOBA-KYEBANDO-24h'!C64)</f>
        <v>21.5</v>
      </c>
      <c r="D64" s="49">
        <f>AVERAGE('01.08 KYEBANDO-NSOOBA-24h'!D64,'03.80 NSOOBA-KYEBANDO-24h'!D64)</f>
        <v>6.5</v>
      </c>
      <c r="E64" s="49">
        <f>AVERAGE('01.08 KYEBANDO-NSOOBA-24h'!E64,'03.80 NSOOBA-KYEBANDO-24h'!E64)</f>
        <v>3</v>
      </c>
      <c r="F64" s="49">
        <f>AVERAGE('01.08 KYEBANDO-NSOOBA-24h'!F64,'03.80 NSOOBA-KYEBANDO-24h'!F64)</f>
        <v>12.5</v>
      </c>
      <c r="G64" s="49">
        <f>AVERAGE('01.08 KYEBANDO-NSOOBA-24h'!G64,'03.80 NSOOBA-KYEBANDO-24h'!G64)</f>
        <v>0.5</v>
      </c>
      <c r="H64" s="49">
        <f>AVERAGE('01.08 KYEBANDO-NSOOBA-24h'!H64,'03.80 NSOOBA-KYEBANDO-24h'!H64)</f>
        <v>0.5</v>
      </c>
      <c r="I64" s="49">
        <f>AVERAGE('01.08 KYEBANDO-NSOOBA-24h'!I64,'03.80 NSOOBA-KYEBANDO-24h'!I64)</f>
        <v>1.5</v>
      </c>
      <c r="J64" s="49">
        <f>AVERAGE('01.08 KYEBANDO-NSOOBA-24h'!J64,'03.80 NSOOBA-KYEBANDO-24h'!J64)</f>
        <v>0</v>
      </c>
      <c r="K64" s="49">
        <f>AVERAGE('01.08 KYEBANDO-NSOOBA-24h'!K64,'03.80 NSOOBA-KYEBANDO-24h'!K64)</f>
        <v>0</v>
      </c>
      <c r="L64" s="49">
        <f>AVERAGE('01.08 KYEBANDO-NSOOBA-24h'!L64,'03.80 NSOOBA-KYEBANDO-24h'!L64)</f>
        <v>0</v>
      </c>
      <c r="M64" s="49">
        <f>AVERAGE('01.08 KYEBANDO-NSOOBA-24h'!M64,'03.80 NSOOBA-KYEBANDO-24h'!M64)</f>
        <v>60</v>
      </c>
      <c r="N64" s="49">
        <f>AVERAGE('01.08 KYEBANDO-NSOOBA-24h'!N64,'03.80 NSOOBA-KYEBANDO-24h'!N64)</f>
        <v>0</v>
      </c>
      <c r="O64" s="15">
        <f t="shared" si="0"/>
        <v>46</v>
      </c>
      <c r="P64" s="15">
        <f t="shared" si="1"/>
        <v>106</v>
      </c>
      <c r="R64" s="8"/>
      <c r="T64"/>
    </row>
    <row r="65" spans="2:20" ht="23.1" customHeight="1" x14ac:dyDescent="0.25">
      <c r="B65" s="23" t="s">
        <v>158</v>
      </c>
      <c r="C65" s="49">
        <f>AVERAGE('01.08 KYEBANDO-NSOOBA-24h'!C65,'03.80 NSOOBA-KYEBANDO-24h'!C65)</f>
        <v>24.5</v>
      </c>
      <c r="D65" s="49">
        <f>AVERAGE('01.08 KYEBANDO-NSOOBA-24h'!D65,'03.80 NSOOBA-KYEBANDO-24h'!D65)</f>
        <v>4.5</v>
      </c>
      <c r="E65" s="49">
        <f>AVERAGE('01.08 KYEBANDO-NSOOBA-24h'!E65,'03.80 NSOOBA-KYEBANDO-24h'!E65)</f>
        <v>1.5</v>
      </c>
      <c r="F65" s="49">
        <f>AVERAGE('01.08 KYEBANDO-NSOOBA-24h'!F65,'03.80 NSOOBA-KYEBANDO-24h'!F65)</f>
        <v>3</v>
      </c>
      <c r="G65" s="49">
        <f>AVERAGE('01.08 KYEBANDO-NSOOBA-24h'!G65,'03.80 NSOOBA-KYEBANDO-24h'!G65)</f>
        <v>1</v>
      </c>
      <c r="H65" s="49">
        <f>AVERAGE('01.08 KYEBANDO-NSOOBA-24h'!H65,'03.80 NSOOBA-KYEBANDO-24h'!H65)</f>
        <v>0</v>
      </c>
      <c r="I65" s="49">
        <f>AVERAGE('01.08 KYEBANDO-NSOOBA-24h'!I65,'03.80 NSOOBA-KYEBANDO-24h'!I65)</f>
        <v>1.5</v>
      </c>
      <c r="J65" s="49">
        <f>AVERAGE('01.08 KYEBANDO-NSOOBA-24h'!J65,'03.80 NSOOBA-KYEBANDO-24h'!J65)</f>
        <v>0</v>
      </c>
      <c r="K65" s="49">
        <f>AVERAGE('01.08 KYEBANDO-NSOOBA-24h'!K65,'03.80 NSOOBA-KYEBANDO-24h'!K65)</f>
        <v>0</v>
      </c>
      <c r="L65" s="49">
        <f>AVERAGE('01.08 KYEBANDO-NSOOBA-24h'!L65,'03.80 NSOOBA-KYEBANDO-24h'!L65)</f>
        <v>0</v>
      </c>
      <c r="M65" s="49">
        <f>AVERAGE('01.08 KYEBANDO-NSOOBA-24h'!M65,'03.80 NSOOBA-KYEBANDO-24h'!M65)</f>
        <v>29</v>
      </c>
      <c r="N65" s="49">
        <f>AVERAGE('01.08 KYEBANDO-NSOOBA-24h'!N65,'03.80 NSOOBA-KYEBANDO-24h'!N65)</f>
        <v>0</v>
      </c>
      <c r="O65" s="15">
        <f t="shared" si="0"/>
        <v>36</v>
      </c>
      <c r="P65" s="15">
        <f t="shared" si="1"/>
        <v>65</v>
      </c>
      <c r="R65" s="8"/>
      <c r="T65"/>
    </row>
    <row r="66" spans="2:20" ht="23.1" customHeight="1" x14ac:dyDescent="0.25">
      <c r="B66" s="23" t="s">
        <v>103</v>
      </c>
      <c r="C66" s="49">
        <f>AVERAGE('01.08 KYEBANDO-NSOOBA-24h'!C66,'03.80 NSOOBA-KYEBANDO-24h'!C66)</f>
        <v>27.5</v>
      </c>
      <c r="D66" s="49">
        <f>AVERAGE('01.08 KYEBANDO-NSOOBA-24h'!D66,'03.80 NSOOBA-KYEBANDO-24h'!D66)</f>
        <v>4</v>
      </c>
      <c r="E66" s="49">
        <f>AVERAGE('01.08 KYEBANDO-NSOOBA-24h'!E66,'03.80 NSOOBA-KYEBANDO-24h'!E66)</f>
        <v>2.5</v>
      </c>
      <c r="F66" s="49">
        <f>AVERAGE('01.08 KYEBANDO-NSOOBA-24h'!F66,'03.80 NSOOBA-KYEBANDO-24h'!F66)</f>
        <v>13.5</v>
      </c>
      <c r="G66" s="49">
        <f>AVERAGE('01.08 KYEBANDO-NSOOBA-24h'!G66,'03.80 NSOOBA-KYEBANDO-24h'!G66)</f>
        <v>0</v>
      </c>
      <c r="H66" s="49">
        <f>AVERAGE('01.08 KYEBANDO-NSOOBA-24h'!H66,'03.80 NSOOBA-KYEBANDO-24h'!H66)</f>
        <v>0</v>
      </c>
      <c r="I66" s="49">
        <f>AVERAGE('01.08 KYEBANDO-NSOOBA-24h'!I66,'03.80 NSOOBA-KYEBANDO-24h'!I66)</f>
        <v>2.5</v>
      </c>
      <c r="J66" s="49">
        <f>AVERAGE('01.08 KYEBANDO-NSOOBA-24h'!J66,'03.80 NSOOBA-KYEBANDO-24h'!J66)</f>
        <v>0.5</v>
      </c>
      <c r="K66" s="49">
        <f>AVERAGE('01.08 KYEBANDO-NSOOBA-24h'!K66,'03.80 NSOOBA-KYEBANDO-24h'!K66)</f>
        <v>0</v>
      </c>
      <c r="L66" s="49">
        <f>AVERAGE('01.08 KYEBANDO-NSOOBA-24h'!L66,'03.80 NSOOBA-KYEBANDO-24h'!L66)</f>
        <v>0</v>
      </c>
      <c r="M66" s="49">
        <f>AVERAGE('01.08 KYEBANDO-NSOOBA-24h'!M66,'03.80 NSOOBA-KYEBANDO-24h'!M66)</f>
        <v>48.5</v>
      </c>
      <c r="N66" s="49">
        <f>AVERAGE('01.08 KYEBANDO-NSOOBA-24h'!N66,'03.80 NSOOBA-KYEBANDO-24h'!N66)</f>
        <v>0</v>
      </c>
      <c r="O66" s="15">
        <f t="shared" si="0"/>
        <v>50.5</v>
      </c>
      <c r="P66" s="15">
        <f t="shared" si="1"/>
        <v>99</v>
      </c>
      <c r="R66" s="8"/>
      <c r="T66"/>
    </row>
    <row r="67" spans="2:20" ht="23.1" customHeight="1" x14ac:dyDescent="0.25">
      <c r="B67" s="23" t="s">
        <v>104</v>
      </c>
      <c r="C67" s="49">
        <f>AVERAGE('01.08 KYEBANDO-NSOOBA-24h'!C67,'03.80 NSOOBA-KYEBANDO-24h'!C67)</f>
        <v>30</v>
      </c>
      <c r="D67" s="49">
        <f>AVERAGE('01.08 KYEBANDO-NSOOBA-24h'!D67,'03.80 NSOOBA-KYEBANDO-24h'!D67)</f>
        <v>3.5</v>
      </c>
      <c r="E67" s="49">
        <f>AVERAGE('01.08 KYEBANDO-NSOOBA-24h'!E67,'03.80 NSOOBA-KYEBANDO-24h'!E67)</f>
        <v>1</v>
      </c>
      <c r="F67" s="49">
        <f>AVERAGE('01.08 KYEBANDO-NSOOBA-24h'!F67,'03.80 NSOOBA-KYEBANDO-24h'!F67)</f>
        <v>6.5</v>
      </c>
      <c r="G67" s="49">
        <f>AVERAGE('01.08 KYEBANDO-NSOOBA-24h'!G67,'03.80 NSOOBA-KYEBANDO-24h'!G67)</f>
        <v>0.5</v>
      </c>
      <c r="H67" s="49">
        <f>AVERAGE('01.08 KYEBANDO-NSOOBA-24h'!H67,'03.80 NSOOBA-KYEBANDO-24h'!H67)</f>
        <v>0</v>
      </c>
      <c r="I67" s="49">
        <f>AVERAGE('01.08 KYEBANDO-NSOOBA-24h'!I67,'03.80 NSOOBA-KYEBANDO-24h'!I67)</f>
        <v>0</v>
      </c>
      <c r="J67" s="49">
        <f>AVERAGE('01.08 KYEBANDO-NSOOBA-24h'!J67,'03.80 NSOOBA-KYEBANDO-24h'!J67)</f>
        <v>0</v>
      </c>
      <c r="K67" s="49">
        <f>AVERAGE('01.08 KYEBANDO-NSOOBA-24h'!K67,'03.80 NSOOBA-KYEBANDO-24h'!K67)</f>
        <v>0.5</v>
      </c>
      <c r="L67" s="49">
        <f>AVERAGE('01.08 KYEBANDO-NSOOBA-24h'!L67,'03.80 NSOOBA-KYEBANDO-24h'!L67)</f>
        <v>0</v>
      </c>
      <c r="M67" s="49">
        <f>AVERAGE('01.08 KYEBANDO-NSOOBA-24h'!M67,'03.80 NSOOBA-KYEBANDO-24h'!M67)</f>
        <v>44.5</v>
      </c>
      <c r="N67" s="49">
        <f>AVERAGE('01.08 KYEBANDO-NSOOBA-24h'!N67,'03.80 NSOOBA-KYEBANDO-24h'!N67)</f>
        <v>0</v>
      </c>
      <c r="O67" s="15">
        <f t="shared" si="0"/>
        <v>42</v>
      </c>
      <c r="P67" s="15">
        <f t="shared" si="1"/>
        <v>86.5</v>
      </c>
      <c r="R67" s="8"/>
      <c r="T67"/>
    </row>
    <row r="68" spans="2:20" ht="23.1" customHeight="1" x14ac:dyDescent="0.25">
      <c r="B68" s="23" t="s">
        <v>105</v>
      </c>
      <c r="C68" s="49">
        <f>AVERAGE('01.08 KYEBANDO-NSOOBA-24h'!C68,'03.80 NSOOBA-KYEBANDO-24h'!C68)</f>
        <v>23</v>
      </c>
      <c r="D68" s="49">
        <f>AVERAGE('01.08 KYEBANDO-NSOOBA-24h'!D68,'03.80 NSOOBA-KYEBANDO-24h'!D68)</f>
        <v>5.5</v>
      </c>
      <c r="E68" s="49">
        <f>AVERAGE('01.08 KYEBANDO-NSOOBA-24h'!E68,'03.80 NSOOBA-KYEBANDO-24h'!E68)</f>
        <v>2.5</v>
      </c>
      <c r="F68" s="49">
        <f>AVERAGE('01.08 KYEBANDO-NSOOBA-24h'!F68,'03.80 NSOOBA-KYEBANDO-24h'!F68)</f>
        <v>3.5</v>
      </c>
      <c r="G68" s="49">
        <f>AVERAGE('01.08 KYEBANDO-NSOOBA-24h'!G68,'03.80 NSOOBA-KYEBANDO-24h'!G68)</f>
        <v>0</v>
      </c>
      <c r="H68" s="49">
        <f>AVERAGE('01.08 KYEBANDO-NSOOBA-24h'!H68,'03.80 NSOOBA-KYEBANDO-24h'!H68)</f>
        <v>0</v>
      </c>
      <c r="I68" s="49">
        <f>AVERAGE('01.08 KYEBANDO-NSOOBA-24h'!I68,'03.80 NSOOBA-KYEBANDO-24h'!I68)</f>
        <v>0</v>
      </c>
      <c r="J68" s="49">
        <f>AVERAGE('01.08 KYEBANDO-NSOOBA-24h'!J68,'03.80 NSOOBA-KYEBANDO-24h'!J68)</f>
        <v>0.5</v>
      </c>
      <c r="K68" s="49">
        <f>AVERAGE('01.08 KYEBANDO-NSOOBA-24h'!K68,'03.80 NSOOBA-KYEBANDO-24h'!K68)</f>
        <v>0</v>
      </c>
      <c r="L68" s="49">
        <f>AVERAGE('01.08 KYEBANDO-NSOOBA-24h'!L68,'03.80 NSOOBA-KYEBANDO-24h'!L68)</f>
        <v>0</v>
      </c>
      <c r="M68" s="49">
        <f>AVERAGE('01.08 KYEBANDO-NSOOBA-24h'!M68,'03.80 NSOOBA-KYEBANDO-24h'!M68)</f>
        <v>33</v>
      </c>
      <c r="N68" s="49">
        <f>AVERAGE('01.08 KYEBANDO-NSOOBA-24h'!N68,'03.80 NSOOBA-KYEBANDO-24h'!N68)</f>
        <v>0</v>
      </c>
      <c r="O68" s="15">
        <f t="shared" si="0"/>
        <v>35</v>
      </c>
      <c r="P68" s="15">
        <f t="shared" si="1"/>
        <v>68</v>
      </c>
      <c r="R68" s="8"/>
      <c r="T68"/>
    </row>
    <row r="69" spans="2:20" ht="23.1" customHeight="1" x14ac:dyDescent="0.25">
      <c r="B69" s="23" t="s">
        <v>106</v>
      </c>
      <c r="C69" s="49">
        <f>AVERAGE('01.08 KYEBANDO-NSOOBA-24h'!C69,'03.80 NSOOBA-KYEBANDO-24h'!C69)</f>
        <v>10</v>
      </c>
      <c r="D69" s="49">
        <f>AVERAGE('01.08 KYEBANDO-NSOOBA-24h'!D69,'03.80 NSOOBA-KYEBANDO-24h'!D69)</f>
        <v>2.5</v>
      </c>
      <c r="E69" s="49">
        <f>AVERAGE('01.08 KYEBANDO-NSOOBA-24h'!E69,'03.80 NSOOBA-KYEBANDO-24h'!E69)</f>
        <v>1</v>
      </c>
      <c r="F69" s="49">
        <f>AVERAGE('01.08 KYEBANDO-NSOOBA-24h'!F69,'03.80 NSOOBA-KYEBANDO-24h'!F69)</f>
        <v>6</v>
      </c>
      <c r="G69" s="49">
        <f>AVERAGE('01.08 KYEBANDO-NSOOBA-24h'!G69,'03.80 NSOOBA-KYEBANDO-24h'!G69)</f>
        <v>0</v>
      </c>
      <c r="H69" s="49">
        <f>AVERAGE('01.08 KYEBANDO-NSOOBA-24h'!H69,'03.80 NSOOBA-KYEBANDO-24h'!H69)</f>
        <v>0</v>
      </c>
      <c r="I69" s="49">
        <f>AVERAGE('01.08 KYEBANDO-NSOOBA-24h'!I69,'03.80 NSOOBA-KYEBANDO-24h'!I69)</f>
        <v>0.5</v>
      </c>
      <c r="J69" s="49">
        <f>AVERAGE('01.08 KYEBANDO-NSOOBA-24h'!J69,'03.80 NSOOBA-KYEBANDO-24h'!J69)</f>
        <v>0</v>
      </c>
      <c r="K69" s="49">
        <f>AVERAGE('01.08 KYEBANDO-NSOOBA-24h'!K69,'03.80 NSOOBA-KYEBANDO-24h'!K69)</f>
        <v>0.5</v>
      </c>
      <c r="L69" s="49">
        <f>AVERAGE('01.08 KYEBANDO-NSOOBA-24h'!L69,'03.80 NSOOBA-KYEBANDO-24h'!L69)</f>
        <v>0</v>
      </c>
      <c r="M69" s="49">
        <f>AVERAGE('01.08 KYEBANDO-NSOOBA-24h'!M69,'03.80 NSOOBA-KYEBANDO-24h'!M69)</f>
        <v>33.5</v>
      </c>
      <c r="N69" s="49">
        <f>AVERAGE('01.08 KYEBANDO-NSOOBA-24h'!N69,'03.80 NSOOBA-KYEBANDO-24h'!N69)</f>
        <v>0</v>
      </c>
      <c r="O69" s="15">
        <f t="shared" si="0"/>
        <v>20.5</v>
      </c>
      <c r="P69" s="15">
        <f t="shared" si="1"/>
        <v>54</v>
      </c>
      <c r="R69" s="8"/>
      <c r="T69"/>
    </row>
    <row r="70" spans="2:20" ht="23.1" customHeight="1" x14ac:dyDescent="0.25">
      <c r="B70" s="23" t="s">
        <v>110</v>
      </c>
      <c r="C70" s="49">
        <f>AVERAGE('01.08 KYEBANDO-NSOOBA-24h'!C70,'03.80 NSOOBA-KYEBANDO-24h'!C70)</f>
        <v>18</v>
      </c>
      <c r="D70" s="49">
        <f>AVERAGE('01.08 KYEBANDO-NSOOBA-24h'!D70,'03.80 NSOOBA-KYEBANDO-24h'!D70)</f>
        <v>0.5</v>
      </c>
      <c r="E70" s="49">
        <f>AVERAGE('01.08 KYEBANDO-NSOOBA-24h'!E70,'03.80 NSOOBA-KYEBANDO-24h'!E70)</f>
        <v>1</v>
      </c>
      <c r="F70" s="49">
        <f>AVERAGE('01.08 KYEBANDO-NSOOBA-24h'!F70,'03.80 NSOOBA-KYEBANDO-24h'!F70)</f>
        <v>2</v>
      </c>
      <c r="G70" s="49">
        <f>AVERAGE('01.08 KYEBANDO-NSOOBA-24h'!G70,'03.80 NSOOBA-KYEBANDO-24h'!G70)</f>
        <v>0</v>
      </c>
      <c r="H70" s="49">
        <f>AVERAGE('01.08 KYEBANDO-NSOOBA-24h'!H70,'03.80 NSOOBA-KYEBANDO-24h'!H70)</f>
        <v>0</v>
      </c>
      <c r="I70" s="49">
        <f>AVERAGE('01.08 KYEBANDO-NSOOBA-24h'!I70,'03.80 NSOOBA-KYEBANDO-24h'!I70)</f>
        <v>0</v>
      </c>
      <c r="J70" s="49">
        <f>AVERAGE('01.08 KYEBANDO-NSOOBA-24h'!J70,'03.80 NSOOBA-KYEBANDO-24h'!J70)</f>
        <v>1</v>
      </c>
      <c r="K70" s="49">
        <f>AVERAGE('01.08 KYEBANDO-NSOOBA-24h'!K70,'03.80 NSOOBA-KYEBANDO-24h'!K70)</f>
        <v>0</v>
      </c>
      <c r="L70" s="49">
        <f>AVERAGE('01.08 KYEBANDO-NSOOBA-24h'!L70,'03.80 NSOOBA-KYEBANDO-24h'!L70)</f>
        <v>0</v>
      </c>
      <c r="M70" s="49">
        <f>AVERAGE('01.08 KYEBANDO-NSOOBA-24h'!M70,'03.80 NSOOBA-KYEBANDO-24h'!M70)</f>
        <v>16.5</v>
      </c>
      <c r="N70" s="49">
        <f>AVERAGE('01.08 KYEBANDO-NSOOBA-24h'!N70,'03.80 NSOOBA-KYEBANDO-24h'!N70)</f>
        <v>0</v>
      </c>
      <c r="O70" s="15">
        <f t="shared" si="0"/>
        <v>22.5</v>
      </c>
      <c r="P70" s="15">
        <f t="shared" si="1"/>
        <v>39</v>
      </c>
      <c r="R70" s="8"/>
      <c r="T70"/>
    </row>
    <row r="71" spans="2:20" ht="23.1" customHeight="1" x14ac:dyDescent="0.25">
      <c r="B71" s="23" t="s">
        <v>111</v>
      </c>
      <c r="C71" s="49">
        <f>AVERAGE('01.08 KYEBANDO-NSOOBA-24h'!C71,'03.80 NSOOBA-KYEBANDO-24h'!C71)</f>
        <v>8.5</v>
      </c>
      <c r="D71" s="49">
        <f>AVERAGE('01.08 KYEBANDO-NSOOBA-24h'!D71,'03.80 NSOOBA-KYEBANDO-24h'!D71)</f>
        <v>4</v>
      </c>
      <c r="E71" s="49">
        <f>AVERAGE('01.08 KYEBANDO-NSOOBA-24h'!E71,'03.80 NSOOBA-KYEBANDO-24h'!E71)</f>
        <v>1</v>
      </c>
      <c r="F71" s="49">
        <f>AVERAGE('01.08 KYEBANDO-NSOOBA-24h'!F71,'03.80 NSOOBA-KYEBANDO-24h'!F71)</f>
        <v>4</v>
      </c>
      <c r="G71" s="49">
        <f>AVERAGE('01.08 KYEBANDO-NSOOBA-24h'!G71,'03.80 NSOOBA-KYEBANDO-24h'!G71)</f>
        <v>0</v>
      </c>
      <c r="H71" s="49">
        <f>AVERAGE('01.08 KYEBANDO-NSOOBA-24h'!H71,'03.80 NSOOBA-KYEBANDO-24h'!H71)</f>
        <v>0</v>
      </c>
      <c r="I71" s="49">
        <f>AVERAGE('01.08 KYEBANDO-NSOOBA-24h'!I71,'03.80 NSOOBA-KYEBANDO-24h'!I71)</f>
        <v>0.5</v>
      </c>
      <c r="J71" s="49">
        <f>AVERAGE('01.08 KYEBANDO-NSOOBA-24h'!J71,'03.80 NSOOBA-KYEBANDO-24h'!J71)</f>
        <v>0</v>
      </c>
      <c r="K71" s="49">
        <f>AVERAGE('01.08 KYEBANDO-NSOOBA-24h'!K71,'03.80 NSOOBA-KYEBANDO-24h'!K71)</f>
        <v>0</v>
      </c>
      <c r="L71" s="49">
        <f>AVERAGE('01.08 KYEBANDO-NSOOBA-24h'!L71,'03.80 NSOOBA-KYEBANDO-24h'!L71)</f>
        <v>0</v>
      </c>
      <c r="M71" s="49">
        <f>AVERAGE('01.08 KYEBANDO-NSOOBA-24h'!M71,'03.80 NSOOBA-KYEBANDO-24h'!M71)</f>
        <v>20.5</v>
      </c>
      <c r="N71" s="49">
        <f>AVERAGE('01.08 KYEBANDO-NSOOBA-24h'!N71,'03.80 NSOOBA-KYEBANDO-24h'!N71)</f>
        <v>0</v>
      </c>
      <c r="O71" s="15">
        <f t="shared" si="0"/>
        <v>18</v>
      </c>
      <c r="P71" s="15">
        <f t="shared" si="1"/>
        <v>38.5</v>
      </c>
      <c r="R71" s="8"/>
      <c r="T71"/>
    </row>
    <row r="72" spans="2:20" ht="23.1" customHeight="1" x14ac:dyDescent="0.25">
      <c r="B72" s="23" t="s">
        <v>112</v>
      </c>
      <c r="C72" s="49">
        <f>AVERAGE('01.08 KYEBANDO-NSOOBA-24h'!C72,'03.80 NSOOBA-KYEBANDO-24h'!C72)</f>
        <v>12.5</v>
      </c>
      <c r="D72" s="49">
        <f>AVERAGE('01.08 KYEBANDO-NSOOBA-24h'!D72,'03.80 NSOOBA-KYEBANDO-24h'!D72)</f>
        <v>3</v>
      </c>
      <c r="E72" s="49">
        <f>AVERAGE('01.08 KYEBANDO-NSOOBA-24h'!E72,'03.80 NSOOBA-KYEBANDO-24h'!E72)</f>
        <v>3.5</v>
      </c>
      <c r="F72" s="49">
        <f>AVERAGE('01.08 KYEBANDO-NSOOBA-24h'!F72,'03.80 NSOOBA-KYEBANDO-24h'!F72)</f>
        <v>2.5</v>
      </c>
      <c r="G72" s="49">
        <f>AVERAGE('01.08 KYEBANDO-NSOOBA-24h'!G72,'03.80 NSOOBA-KYEBANDO-24h'!G72)</f>
        <v>0</v>
      </c>
      <c r="H72" s="49">
        <f>AVERAGE('01.08 KYEBANDO-NSOOBA-24h'!H72,'03.80 NSOOBA-KYEBANDO-24h'!H72)</f>
        <v>0</v>
      </c>
      <c r="I72" s="49">
        <f>AVERAGE('01.08 KYEBANDO-NSOOBA-24h'!I72,'03.80 NSOOBA-KYEBANDO-24h'!I72)</f>
        <v>0</v>
      </c>
      <c r="J72" s="49">
        <f>AVERAGE('01.08 KYEBANDO-NSOOBA-24h'!J72,'03.80 NSOOBA-KYEBANDO-24h'!J72)</f>
        <v>0.5</v>
      </c>
      <c r="K72" s="49">
        <f>AVERAGE('01.08 KYEBANDO-NSOOBA-24h'!K72,'03.80 NSOOBA-KYEBANDO-24h'!K72)</f>
        <v>0</v>
      </c>
      <c r="L72" s="49">
        <f>AVERAGE('01.08 KYEBANDO-NSOOBA-24h'!L72,'03.80 NSOOBA-KYEBANDO-24h'!L72)</f>
        <v>0</v>
      </c>
      <c r="M72" s="49">
        <f>AVERAGE('01.08 KYEBANDO-NSOOBA-24h'!M72,'03.80 NSOOBA-KYEBANDO-24h'!M72)</f>
        <v>22.5</v>
      </c>
      <c r="N72" s="49">
        <f>AVERAGE('01.08 KYEBANDO-NSOOBA-24h'!N72,'03.80 NSOOBA-KYEBANDO-24h'!N72)</f>
        <v>0</v>
      </c>
      <c r="O72" s="15">
        <f t="shared" si="0"/>
        <v>22</v>
      </c>
      <c r="P72" s="15">
        <f t="shared" si="1"/>
        <v>44.5</v>
      </c>
      <c r="R72" s="8"/>
      <c r="T72"/>
    </row>
    <row r="73" spans="2:20" ht="23.1" customHeight="1" x14ac:dyDescent="0.25">
      <c r="B73" s="23" t="s">
        <v>113</v>
      </c>
      <c r="C73" s="49">
        <f>AVERAGE('01.08 KYEBANDO-NSOOBA-24h'!C73,'03.80 NSOOBA-KYEBANDO-24h'!C73)</f>
        <v>14.5</v>
      </c>
      <c r="D73" s="49">
        <f>AVERAGE('01.08 KYEBANDO-NSOOBA-24h'!D73,'03.80 NSOOBA-KYEBANDO-24h'!D73)</f>
        <v>1</v>
      </c>
      <c r="E73" s="49">
        <f>AVERAGE('01.08 KYEBANDO-NSOOBA-24h'!E73,'03.80 NSOOBA-KYEBANDO-24h'!E73)</f>
        <v>1.5</v>
      </c>
      <c r="F73" s="49">
        <f>AVERAGE('01.08 KYEBANDO-NSOOBA-24h'!F73,'03.80 NSOOBA-KYEBANDO-24h'!F73)</f>
        <v>1</v>
      </c>
      <c r="G73" s="49">
        <f>AVERAGE('01.08 KYEBANDO-NSOOBA-24h'!G73,'03.80 NSOOBA-KYEBANDO-24h'!G73)</f>
        <v>0</v>
      </c>
      <c r="H73" s="49">
        <f>AVERAGE('01.08 KYEBANDO-NSOOBA-24h'!H73,'03.80 NSOOBA-KYEBANDO-24h'!H73)</f>
        <v>0</v>
      </c>
      <c r="I73" s="49">
        <f>AVERAGE('01.08 KYEBANDO-NSOOBA-24h'!I73,'03.80 NSOOBA-KYEBANDO-24h'!I73)</f>
        <v>0.5</v>
      </c>
      <c r="J73" s="49">
        <f>AVERAGE('01.08 KYEBANDO-NSOOBA-24h'!J73,'03.80 NSOOBA-KYEBANDO-24h'!J73)</f>
        <v>0</v>
      </c>
      <c r="K73" s="49">
        <f>AVERAGE('01.08 KYEBANDO-NSOOBA-24h'!K73,'03.80 NSOOBA-KYEBANDO-24h'!K73)</f>
        <v>0</v>
      </c>
      <c r="L73" s="49">
        <f>AVERAGE('01.08 KYEBANDO-NSOOBA-24h'!L73,'03.80 NSOOBA-KYEBANDO-24h'!L73)</f>
        <v>0</v>
      </c>
      <c r="M73" s="49">
        <f>AVERAGE('01.08 KYEBANDO-NSOOBA-24h'!M73,'03.80 NSOOBA-KYEBANDO-24h'!M73)</f>
        <v>15.5</v>
      </c>
      <c r="N73" s="49">
        <f>AVERAGE('01.08 KYEBANDO-NSOOBA-24h'!N73,'03.80 NSOOBA-KYEBANDO-24h'!N73)</f>
        <v>0</v>
      </c>
      <c r="O73" s="15">
        <f t="shared" si="0"/>
        <v>18.5</v>
      </c>
      <c r="P73" s="15">
        <f t="shared" si="1"/>
        <v>34</v>
      </c>
      <c r="R73" s="8"/>
      <c r="T73"/>
    </row>
    <row r="74" spans="2:20" ht="23.1" customHeight="1" x14ac:dyDescent="0.25">
      <c r="B74" s="23" t="s">
        <v>114</v>
      </c>
      <c r="C74" s="49">
        <f>AVERAGE('01.08 KYEBANDO-NSOOBA-24h'!C74,'03.80 NSOOBA-KYEBANDO-24h'!C74)</f>
        <v>10.5</v>
      </c>
      <c r="D74" s="49">
        <f>AVERAGE('01.08 KYEBANDO-NSOOBA-24h'!D74,'03.80 NSOOBA-KYEBANDO-24h'!D74)</f>
        <v>1.5</v>
      </c>
      <c r="E74" s="49">
        <f>AVERAGE('01.08 KYEBANDO-NSOOBA-24h'!E74,'03.80 NSOOBA-KYEBANDO-24h'!E74)</f>
        <v>1.5</v>
      </c>
      <c r="F74" s="49">
        <f>AVERAGE('01.08 KYEBANDO-NSOOBA-24h'!F74,'03.80 NSOOBA-KYEBANDO-24h'!F74)</f>
        <v>1</v>
      </c>
      <c r="G74" s="49">
        <f>AVERAGE('01.08 KYEBANDO-NSOOBA-24h'!G74,'03.80 NSOOBA-KYEBANDO-24h'!G74)</f>
        <v>0</v>
      </c>
      <c r="H74" s="49">
        <f>AVERAGE('01.08 KYEBANDO-NSOOBA-24h'!H74,'03.80 NSOOBA-KYEBANDO-24h'!H74)</f>
        <v>0</v>
      </c>
      <c r="I74" s="49">
        <f>AVERAGE('01.08 KYEBANDO-NSOOBA-24h'!I74,'03.80 NSOOBA-KYEBANDO-24h'!I74)</f>
        <v>0</v>
      </c>
      <c r="J74" s="49">
        <f>AVERAGE('01.08 KYEBANDO-NSOOBA-24h'!J74,'03.80 NSOOBA-KYEBANDO-24h'!J74)</f>
        <v>0.5</v>
      </c>
      <c r="K74" s="49">
        <f>AVERAGE('01.08 KYEBANDO-NSOOBA-24h'!K74,'03.80 NSOOBA-KYEBANDO-24h'!K74)</f>
        <v>0</v>
      </c>
      <c r="L74" s="49">
        <f>AVERAGE('01.08 KYEBANDO-NSOOBA-24h'!L74,'03.80 NSOOBA-KYEBANDO-24h'!L74)</f>
        <v>0</v>
      </c>
      <c r="M74" s="49">
        <f>AVERAGE('01.08 KYEBANDO-NSOOBA-24h'!M74,'03.80 NSOOBA-KYEBANDO-24h'!M74)</f>
        <v>21</v>
      </c>
      <c r="N74" s="49">
        <f>AVERAGE('01.08 KYEBANDO-NSOOBA-24h'!N74,'03.80 NSOOBA-KYEBANDO-24h'!N74)</f>
        <v>0</v>
      </c>
      <c r="O74" s="15">
        <f t="shared" ref="O74:O105" si="35">SUM(C74:L74,N74)</f>
        <v>15</v>
      </c>
      <c r="P74" s="15">
        <f t="shared" ref="P74:P105" si="36">SUM(C74:N74)</f>
        <v>36</v>
      </c>
      <c r="R74" s="8"/>
      <c r="T74"/>
    </row>
    <row r="75" spans="2:20" ht="23.1" customHeight="1" x14ac:dyDescent="0.25">
      <c r="B75" s="23" t="s">
        <v>115</v>
      </c>
      <c r="C75" s="49">
        <f>AVERAGE('01.08 KYEBANDO-NSOOBA-24h'!C75,'03.80 NSOOBA-KYEBANDO-24h'!C75)</f>
        <v>7</v>
      </c>
      <c r="D75" s="49">
        <f>AVERAGE('01.08 KYEBANDO-NSOOBA-24h'!D75,'03.80 NSOOBA-KYEBANDO-24h'!D75)</f>
        <v>1</v>
      </c>
      <c r="E75" s="49">
        <f>AVERAGE('01.08 KYEBANDO-NSOOBA-24h'!E75,'03.80 NSOOBA-KYEBANDO-24h'!E75)</f>
        <v>1.5</v>
      </c>
      <c r="F75" s="49">
        <f>AVERAGE('01.08 KYEBANDO-NSOOBA-24h'!F75,'03.80 NSOOBA-KYEBANDO-24h'!F75)</f>
        <v>0</v>
      </c>
      <c r="G75" s="49">
        <f>AVERAGE('01.08 KYEBANDO-NSOOBA-24h'!G75,'03.80 NSOOBA-KYEBANDO-24h'!G75)</f>
        <v>0</v>
      </c>
      <c r="H75" s="49">
        <f>AVERAGE('01.08 KYEBANDO-NSOOBA-24h'!H75,'03.80 NSOOBA-KYEBANDO-24h'!H75)</f>
        <v>0</v>
      </c>
      <c r="I75" s="49">
        <f>AVERAGE('01.08 KYEBANDO-NSOOBA-24h'!I75,'03.80 NSOOBA-KYEBANDO-24h'!I75)</f>
        <v>0.5</v>
      </c>
      <c r="J75" s="49">
        <f>AVERAGE('01.08 KYEBANDO-NSOOBA-24h'!J75,'03.80 NSOOBA-KYEBANDO-24h'!J75)</f>
        <v>0</v>
      </c>
      <c r="K75" s="49">
        <f>AVERAGE('01.08 KYEBANDO-NSOOBA-24h'!K75,'03.80 NSOOBA-KYEBANDO-24h'!K75)</f>
        <v>0.5</v>
      </c>
      <c r="L75" s="49">
        <f>AVERAGE('01.08 KYEBANDO-NSOOBA-24h'!L75,'03.80 NSOOBA-KYEBANDO-24h'!L75)</f>
        <v>0</v>
      </c>
      <c r="M75" s="49">
        <f>AVERAGE('01.08 KYEBANDO-NSOOBA-24h'!M75,'03.80 NSOOBA-KYEBANDO-24h'!M75)</f>
        <v>19.5</v>
      </c>
      <c r="N75" s="49">
        <f>AVERAGE('01.08 KYEBANDO-NSOOBA-24h'!N75,'03.80 NSOOBA-KYEBANDO-24h'!N75)</f>
        <v>0</v>
      </c>
      <c r="O75" s="15">
        <f t="shared" si="35"/>
        <v>10.5</v>
      </c>
      <c r="P75" s="15">
        <f t="shared" si="36"/>
        <v>30</v>
      </c>
      <c r="R75" s="8"/>
      <c r="T75"/>
    </row>
    <row r="76" spans="2:20" ht="23.1" customHeight="1" x14ac:dyDescent="0.25">
      <c r="B76" s="23" t="s">
        <v>116</v>
      </c>
      <c r="C76" s="49">
        <f>AVERAGE('01.08 KYEBANDO-NSOOBA-24h'!C76,'03.80 NSOOBA-KYEBANDO-24h'!C76)</f>
        <v>7.5</v>
      </c>
      <c r="D76" s="49">
        <f>AVERAGE('01.08 KYEBANDO-NSOOBA-24h'!D76,'03.80 NSOOBA-KYEBANDO-24h'!D76)</f>
        <v>0.5</v>
      </c>
      <c r="E76" s="49">
        <f>AVERAGE('01.08 KYEBANDO-NSOOBA-24h'!E76,'03.80 NSOOBA-KYEBANDO-24h'!E76)</f>
        <v>1</v>
      </c>
      <c r="F76" s="49">
        <f>AVERAGE('01.08 KYEBANDO-NSOOBA-24h'!F76,'03.80 NSOOBA-KYEBANDO-24h'!F76)</f>
        <v>2</v>
      </c>
      <c r="G76" s="49">
        <f>AVERAGE('01.08 KYEBANDO-NSOOBA-24h'!G76,'03.80 NSOOBA-KYEBANDO-24h'!G76)</f>
        <v>0</v>
      </c>
      <c r="H76" s="49">
        <f>AVERAGE('01.08 KYEBANDO-NSOOBA-24h'!H76,'03.80 NSOOBA-KYEBANDO-24h'!H76)</f>
        <v>0</v>
      </c>
      <c r="I76" s="49">
        <f>AVERAGE('01.08 KYEBANDO-NSOOBA-24h'!I76,'03.80 NSOOBA-KYEBANDO-24h'!I76)</f>
        <v>0.5</v>
      </c>
      <c r="J76" s="49">
        <f>AVERAGE('01.08 KYEBANDO-NSOOBA-24h'!J76,'03.80 NSOOBA-KYEBANDO-24h'!J76)</f>
        <v>0</v>
      </c>
      <c r="K76" s="49">
        <f>AVERAGE('01.08 KYEBANDO-NSOOBA-24h'!K76,'03.80 NSOOBA-KYEBANDO-24h'!K76)</f>
        <v>0.5</v>
      </c>
      <c r="L76" s="49">
        <f>AVERAGE('01.08 KYEBANDO-NSOOBA-24h'!L76,'03.80 NSOOBA-KYEBANDO-24h'!L76)</f>
        <v>0</v>
      </c>
      <c r="M76" s="49">
        <f>AVERAGE('01.08 KYEBANDO-NSOOBA-24h'!M76,'03.80 NSOOBA-KYEBANDO-24h'!M76)</f>
        <v>12</v>
      </c>
      <c r="N76" s="49">
        <f>AVERAGE('01.08 KYEBANDO-NSOOBA-24h'!N76,'03.80 NSOOBA-KYEBANDO-24h'!N76)</f>
        <v>0</v>
      </c>
      <c r="O76" s="15">
        <f t="shared" si="35"/>
        <v>12</v>
      </c>
      <c r="P76" s="15">
        <f t="shared" si="36"/>
        <v>24</v>
      </c>
      <c r="R76" s="8"/>
      <c r="T76"/>
    </row>
    <row r="77" spans="2:20" ht="23.1" customHeight="1" x14ac:dyDescent="0.25">
      <c r="B77" s="23" t="s">
        <v>117</v>
      </c>
      <c r="C77" s="49">
        <f>AVERAGE('01.08 KYEBANDO-NSOOBA-24h'!C77,'03.80 NSOOBA-KYEBANDO-24h'!C77)</f>
        <v>4.5</v>
      </c>
      <c r="D77" s="49">
        <f>AVERAGE('01.08 KYEBANDO-NSOOBA-24h'!D77,'03.80 NSOOBA-KYEBANDO-24h'!D77)</f>
        <v>1</v>
      </c>
      <c r="E77" s="49">
        <f>AVERAGE('01.08 KYEBANDO-NSOOBA-24h'!E77,'03.80 NSOOBA-KYEBANDO-24h'!E77)</f>
        <v>0</v>
      </c>
      <c r="F77" s="49">
        <f>AVERAGE('01.08 KYEBANDO-NSOOBA-24h'!F77,'03.80 NSOOBA-KYEBANDO-24h'!F77)</f>
        <v>0.5</v>
      </c>
      <c r="G77" s="49">
        <f>AVERAGE('01.08 KYEBANDO-NSOOBA-24h'!G77,'03.80 NSOOBA-KYEBANDO-24h'!G77)</f>
        <v>0</v>
      </c>
      <c r="H77" s="49">
        <f>AVERAGE('01.08 KYEBANDO-NSOOBA-24h'!H77,'03.80 NSOOBA-KYEBANDO-24h'!H77)</f>
        <v>0</v>
      </c>
      <c r="I77" s="49">
        <f>AVERAGE('01.08 KYEBANDO-NSOOBA-24h'!I77,'03.80 NSOOBA-KYEBANDO-24h'!I77)</f>
        <v>0</v>
      </c>
      <c r="J77" s="49">
        <f>AVERAGE('01.08 KYEBANDO-NSOOBA-24h'!J77,'03.80 NSOOBA-KYEBANDO-24h'!J77)</f>
        <v>0</v>
      </c>
      <c r="K77" s="49">
        <f>AVERAGE('01.08 KYEBANDO-NSOOBA-24h'!K77,'03.80 NSOOBA-KYEBANDO-24h'!K77)</f>
        <v>0</v>
      </c>
      <c r="L77" s="49">
        <f>AVERAGE('01.08 KYEBANDO-NSOOBA-24h'!L77,'03.80 NSOOBA-KYEBANDO-24h'!L77)</f>
        <v>0</v>
      </c>
      <c r="M77" s="49">
        <f>AVERAGE('01.08 KYEBANDO-NSOOBA-24h'!M77,'03.80 NSOOBA-KYEBANDO-24h'!M77)</f>
        <v>10</v>
      </c>
      <c r="N77" s="49">
        <f>AVERAGE('01.08 KYEBANDO-NSOOBA-24h'!N77,'03.80 NSOOBA-KYEBANDO-24h'!N77)</f>
        <v>0</v>
      </c>
      <c r="O77" s="15">
        <f t="shared" si="35"/>
        <v>6</v>
      </c>
      <c r="P77" s="15">
        <f t="shared" si="36"/>
        <v>16</v>
      </c>
      <c r="R77" s="8"/>
      <c r="T77"/>
    </row>
    <row r="78" spans="2:20" ht="23.1" customHeight="1" x14ac:dyDescent="0.25">
      <c r="B78" s="24" t="s">
        <v>118</v>
      </c>
      <c r="C78" s="49">
        <f>AVERAGE('01.08 KYEBANDO-NSOOBA-24h'!C78,'03.80 NSOOBA-KYEBANDO-24h'!C78)</f>
        <v>3.5</v>
      </c>
      <c r="D78" s="49">
        <f>AVERAGE('01.08 KYEBANDO-NSOOBA-24h'!D78,'03.80 NSOOBA-KYEBANDO-24h'!D78)</f>
        <v>1</v>
      </c>
      <c r="E78" s="49">
        <f>AVERAGE('01.08 KYEBANDO-NSOOBA-24h'!E78,'03.80 NSOOBA-KYEBANDO-24h'!E78)</f>
        <v>0.5</v>
      </c>
      <c r="F78" s="49">
        <f>AVERAGE('01.08 KYEBANDO-NSOOBA-24h'!F78,'03.80 NSOOBA-KYEBANDO-24h'!F78)</f>
        <v>0</v>
      </c>
      <c r="G78" s="49">
        <f>AVERAGE('01.08 KYEBANDO-NSOOBA-24h'!G78,'03.80 NSOOBA-KYEBANDO-24h'!G78)</f>
        <v>0</v>
      </c>
      <c r="H78" s="49">
        <f>AVERAGE('01.08 KYEBANDO-NSOOBA-24h'!H78,'03.80 NSOOBA-KYEBANDO-24h'!H78)</f>
        <v>0</v>
      </c>
      <c r="I78" s="49">
        <f>AVERAGE('01.08 KYEBANDO-NSOOBA-24h'!I78,'03.80 NSOOBA-KYEBANDO-24h'!I78)</f>
        <v>0</v>
      </c>
      <c r="J78" s="49">
        <f>AVERAGE('01.08 KYEBANDO-NSOOBA-24h'!J78,'03.80 NSOOBA-KYEBANDO-24h'!J78)</f>
        <v>0</v>
      </c>
      <c r="K78" s="49">
        <f>AVERAGE('01.08 KYEBANDO-NSOOBA-24h'!K78,'03.80 NSOOBA-KYEBANDO-24h'!K78)</f>
        <v>0</v>
      </c>
      <c r="L78" s="49">
        <f>AVERAGE('01.08 KYEBANDO-NSOOBA-24h'!L78,'03.80 NSOOBA-KYEBANDO-24h'!L78)</f>
        <v>0</v>
      </c>
      <c r="M78" s="49">
        <f>AVERAGE('01.08 KYEBANDO-NSOOBA-24h'!M78,'03.80 NSOOBA-KYEBANDO-24h'!M78)</f>
        <v>10.5</v>
      </c>
      <c r="N78" s="49">
        <f>AVERAGE('01.08 KYEBANDO-NSOOBA-24h'!N78,'03.80 NSOOBA-KYEBANDO-24h'!N78)</f>
        <v>0</v>
      </c>
      <c r="O78" s="15">
        <f t="shared" si="35"/>
        <v>5</v>
      </c>
      <c r="P78" s="15">
        <f t="shared" si="36"/>
        <v>15.5</v>
      </c>
      <c r="R78" s="8"/>
      <c r="T78"/>
    </row>
    <row r="79" spans="2:20" ht="23.1" customHeight="1" x14ac:dyDescent="0.25">
      <c r="B79" s="23" t="s">
        <v>119</v>
      </c>
      <c r="C79" s="49">
        <f>AVERAGE('01.08 KYEBANDO-NSOOBA-24h'!C79,'03.80 NSOOBA-KYEBANDO-24h'!C79)</f>
        <v>7</v>
      </c>
      <c r="D79" s="49">
        <f>AVERAGE('01.08 KYEBANDO-NSOOBA-24h'!D79,'03.80 NSOOBA-KYEBANDO-24h'!D79)</f>
        <v>0</v>
      </c>
      <c r="E79" s="49">
        <f>AVERAGE('01.08 KYEBANDO-NSOOBA-24h'!E79,'03.80 NSOOBA-KYEBANDO-24h'!E79)</f>
        <v>1</v>
      </c>
      <c r="F79" s="49">
        <f>AVERAGE('01.08 KYEBANDO-NSOOBA-24h'!F79,'03.80 NSOOBA-KYEBANDO-24h'!F79)</f>
        <v>1</v>
      </c>
      <c r="G79" s="49">
        <f>AVERAGE('01.08 KYEBANDO-NSOOBA-24h'!G79,'03.80 NSOOBA-KYEBANDO-24h'!G79)</f>
        <v>0</v>
      </c>
      <c r="H79" s="49">
        <f>AVERAGE('01.08 KYEBANDO-NSOOBA-24h'!H79,'03.80 NSOOBA-KYEBANDO-24h'!H79)</f>
        <v>0</v>
      </c>
      <c r="I79" s="49">
        <f>AVERAGE('01.08 KYEBANDO-NSOOBA-24h'!I79,'03.80 NSOOBA-KYEBANDO-24h'!I79)</f>
        <v>0</v>
      </c>
      <c r="J79" s="49">
        <f>AVERAGE('01.08 KYEBANDO-NSOOBA-24h'!J79,'03.80 NSOOBA-KYEBANDO-24h'!J79)</f>
        <v>0</v>
      </c>
      <c r="K79" s="49">
        <f>AVERAGE('01.08 KYEBANDO-NSOOBA-24h'!K79,'03.80 NSOOBA-KYEBANDO-24h'!K79)</f>
        <v>0</v>
      </c>
      <c r="L79" s="49">
        <f>AVERAGE('01.08 KYEBANDO-NSOOBA-24h'!L79,'03.80 NSOOBA-KYEBANDO-24h'!L79)</f>
        <v>0</v>
      </c>
      <c r="M79" s="49">
        <f>AVERAGE('01.08 KYEBANDO-NSOOBA-24h'!M79,'03.80 NSOOBA-KYEBANDO-24h'!M79)</f>
        <v>13</v>
      </c>
      <c r="N79" s="49">
        <f>AVERAGE('01.08 KYEBANDO-NSOOBA-24h'!N79,'03.80 NSOOBA-KYEBANDO-24h'!N79)</f>
        <v>0</v>
      </c>
      <c r="O79" s="15">
        <f t="shared" si="35"/>
        <v>9</v>
      </c>
      <c r="P79" s="15">
        <f t="shared" si="36"/>
        <v>22</v>
      </c>
      <c r="R79" s="8"/>
      <c r="T79"/>
    </row>
    <row r="80" spans="2:20" ht="23.1" customHeight="1" x14ac:dyDescent="0.25">
      <c r="B80" s="25" t="s">
        <v>120</v>
      </c>
      <c r="C80" s="49">
        <f>AVERAGE('01.08 KYEBANDO-NSOOBA-24h'!C80,'03.80 NSOOBA-KYEBANDO-24h'!C80)</f>
        <v>5</v>
      </c>
      <c r="D80" s="49">
        <f>AVERAGE('01.08 KYEBANDO-NSOOBA-24h'!D80,'03.80 NSOOBA-KYEBANDO-24h'!D80)</f>
        <v>0</v>
      </c>
      <c r="E80" s="49">
        <f>AVERAGE('01.08 KYEBANDO-NSOOBA-24h'!E80,'03.80 NSOOBA-KYEBANDO-24h'!E80)</f>
        <v>0</v>
      </c>
      <c r="F80" s="49">
        <f>AVERAGE('01.08 KYEBANDO-NSOOBA-24h'!F80,'03.80 NSOOBA-KYEBANDO-24h'!F80)</f>
        <v>0.5</v>
      </c>
      <c r="G80" s="49">
        <f>AVERAGE('01.08 KYEBANDO-NSOOBA-24h'!G80,'03.80 NSOOBA-KYEBANDO-24h'!G80)</f>
        <v>0</v>
      </c>
      <c r="H80" s="49">
        <f>AVERAGE('01.08 KYEBANDO-NSOOBA-24h'!H80,'03.80 NSOOBA-KYEBANDO-24h'!H80)</f>
        <v>0</v>
      </c>
      <c r="I80" s="49">
        <f>AVERAGE('01.08 KYEBANDO-NSOOBA-24h'!I80,'03.80 NSOOBA-KYEBANDO-24h'!I80)</f>
        <v>0.5</v>
      </c>
      <c r="J80" s="49">
        <f>AVERAGE('01.08 KYEBANDO-NSOOBA-24h'!J80,'03.80 NSOOBA-KYEBANDO-24h'!J80)</f>
        <v>0</v>
      </c>
      <c r="K80" s="49">
        <f>AVERAGE('01.08 KYEBANDO-NSOOBA-24h'!K80,'03.80 NSOOBA-KYEBANDO-24h'!K80)</f>
        <v>0</v>
      </c>
      <c r="L80" s="49">
        <f>AVERAGE('01.08 KYEBANDO-NSOOBA-24h'!L80,'03.80 NSOOBA-KYEBANDO-24h'!L80)</f>
        <v>0</v>
      </c>
      <c r="M80" s="49">
        <f>AVERAGE('01.08 KYEBANDO-NSOOBA-24h'!M80,'03.80 NSOOBA-KYEBANDO-24h'!M80)</f>
        <v>8</v>
      </c>
      <c r="N80" s="49">
        <f>AVERAGE('01.08 KYEBANDO-NSOOBA-24h'!N80,'03.80 NSOOBA-KYEBANDO-24h'!N80)</f>
        <v>0</v>
      </c>
      <c r="O80" s="15">
        <f t="shared" si="35"/>
        <v>6</v>
      </c>
      <c r="P80" s="15">
        <f t="shared" si="36"/>
        <v>14</v>
      </c>
      <c r="R80" s="8"/>
      <c r="T80"/>
    </row>
    <row r="81" spans="2:20" ht="23.1" customHeight="1" x14ac:dyDescent="0.25">
      <c r="B81" s="23" t="s">
        <v>121</v>
      </c>
      <c r="C81" s="49">
        <f>AVERAGE('01.08 KYEBANDO-NSOOBA-24h'!C81,'03.80 NSOOBA-KYEBANDO-24h'!C81)</f>
        <v>8</v>
      </c>
      <c r="D81" s="49">
        <f>AVERAGE('01.08 KYEBANDO-NSOOBA-24h'!D81,'03.80 NSOOBA-KYEBANDO-24h'!D81)</f>
        <v>0.5</v>
      </c>
      <c r="E81" s="49">
        <f>AVERAGE('01.08 KYEBANDO-NSOOBA-24h'!E81,'03.80 NSOOBA-KYEBANDO-24h'!E81)</f>
        <v>0</v>
      </c>
      <c r="F81" s="49">
        <f>AVERAGE('01.08 KYEBANDO-NSOOBA-24h'!F81,'03.80 NSOOBA-KYEBANDO-24h'!F81)</f>
        <v>1</v>
      </c>
      <c r="G81" s="49">
        <f>AVERAGE('01.08 KYEBANDO-NSOOBA-24h'!G81,'03.80 NSOOBA-KYEBANDO-24h'!G81)</f>
        <v>0</v>
      </c>
      <c r="H81" s="49">
        <f>AVERAGE('01.08 KYEBANDO-NSOOBA-24h'!H81,'03.80 NSOOBA-KYEBANDO-24h'!H81)</f>
        <v>0</v>
      </c>
      <c r="I81" s="49">
        <f>AVERAGE('01.08 KYEBANDO-NSOOBA-24h'!I81,'03.80 NSOOBA-KYEBANDO-24h'!I81)</f>
        <v>0</v>
      </c>
      <c r="J81" s="49">
        <f>AVERAGE('01.08 KYEBANDO-NSOOBA-24h'!J81,'03.80 NSOOBA-KYEBANDO-24h'!J81)</f>
        <v>0.5</v>
      </c>
      <c r="K81" s="49">
        <f>AVERAGE('01.08 KYEBANDO-NSOOBA-24h'!K81,'03.80 NSOOBA-KYEBANDO-24h'!K81)</f>
        <v>0</v>
      </c>
      <c r="L81" s="49">
        <f>AVERAGE('01.08 KYEBANDO-NSOOBA-24h'!L81,'03.80 NSOOBA-KYEBANDO-24h'!L81)</f>
        <v>0</v>
      </c>
      <c r="M81" s="49">
        <f>AVERAGE('01.08 KYEBANDO-NSOOBA-24h'!M81,'03.80 NSOOBA-KYEBANDO-24h'!M81)</f>
        <v>11</v>
      </c>
      <c r="N81" s="49">
        <f>AVERAGE('01.08 KYEBANDO-NSOOBA-24h'!N81,'03.80 NSOOBA-KYEBANDO-24h'!N81)</f>
        <v>0</v>
      </c>
      <c r="O81" s="15">
        <f t="shared" si="35"/>
        <v>10</v>
      </c>
      <c r="P81" s="15">
        <f t="shared" si="36"/>
        <v>21</v>
      </c>
      <c r="R81" s="8"/>
      <c r="T81"/>
    </row>
    <row r="82" spans="2:20" ht="23.1" customHeight="1" x14ac:dyDescent="0.25">
      <c r="B82" s="24" t="s">
        <v>122</v>
      </c>
      <c r="C82" s="49">
        <f>AVERAGE('01.08 KYEBANDO-NSOOBA-24h'!C82,'03.80 NSOOBA-KYEBANDO-24h'!C82)</f>
        <v>5</v>
      </c>
      <c r="D82" s="49">
        <f>AVERAGE('01.08 KYEBANDO-NSOOBA-24h'!D82,'03.80 NSOOBA-KYEBANDO-24h'!D82)</f>
        <v>0</v>
      </c>
      <c r="E82" s="49">
        <f>AVERAGE('01.08 KYEBANDO-NSOOBA-24h'!E82,'03.80 NSOOBA-KYEBANDO-24h'!E82)</f>
        <v>0</v>
      </c>
      <c r="F82" s="49">
        <f>AVERAGE('01.08 KYEBANDO-NSOOBA-24h'!F82,'03.80 NSOOBA-KYEBANDO-24h'!F82)</f>
        <v>0.5</v>
      </c>
      <c r="G82" s="49">
        <f>AVERAGE('01.08 KYEBANDO-NSOOBA-24h'!G82,'03.80 NSOOBA-KYEBANDO-24h'!G82)</f>
        <v>0</v>
      </c>
      <c r="H82" s="49">
        <f>AVERAGE('01.08 KYEBANDO-NSOOBA-24h'!H82,'03.80 NSOOBA-KYEBANDO-24h'!H82)</f>
        <v>0</v>
      </c>
      <c r="I82" s="49">
        <f>AVERAGE('01.08 KYEBANDO-NSOOBA-24h'!I82,'03.80 NSOOBA-KYEBANDO-24h'!I82)</f>
        <v>0</v>
      </c>
      <c r="J82" s="49">
        <f>AVERAGE('01.08 KYEBANDO-NSOOBA-24h'!J82,'03.80 NSOOBA-KYEBANDO-24h'!J82)</f>
        <v>0</v>
      </c>
      <c r="K82" s="49">
        <f>AVERAGE('01.08 KYEBANDO-NSOOBA-24h'!K82,'03.80 NSOOBA-KYEBANDO-24h'!K82)</f>
        <v>0</v>
      </c>
      <c r="L82" s="49">
        <f>AVERAGE('01.08 KYEBANDO-NSOOBA-24h'!L82,'03.80 NSOOBA-KYEBANDO-24h'!L82)</f>
        <v>0</v>
      </c>
      <c r="M82" s="49">
        <f>AVERAGE('01.08 KYEBANDO-NSOOBA-24h'!M82,'03.80 NSOOBA-KYEBANDO-24h'!M82)</f>
        <v>8</v>
      </c>
      <c r="N82" s="49">
        <f>AVERAGE('01.08 KYEBANDO-NSOOBA-24h'!N82,'03.80 NSOOBA-KYEBANDO-24h'!N82)</f>
        <v>0</v>
      </c>
      <c r="O82" s="15">
        <f t="shared" si="35"/>
        <v>5.5</v>
      </c>
      <c r="P82" s="15">
        <f t="shared" si="36"/>
        <v>13.5</v>
      </c>
      <c r="R82" s="8"/>
      <c r="T82"/>
    </row>
    <row r="83" spans="2:20" ht="23.1" customHeight="1" x14ac:dyDescent="0.25">
      <c r="B83" s="23" t="s">
        <v>123</v>
      </c>
      <c r="C83" s="49">
        <f>AVERAGE('01.08 KYEBANDO-NSOOBA-24h'!C83,'03.80 NSOOBA-KYEBANDO-24h'!C83)</f>
        <v>2</v>
      </c>
      <c r="D83" s="49">
        <f>AVERAGE('01.08 KYEBANDO-NSOOBA-24h'!D83,'03.80 NSOOBA-KYEBANDO-24h'!D83)</f>
        <v>0</v>
      </c>
      <c r="E83" s="49">
        <f>AVERAGE('01.08 KYEBANDO-NSOOBA-24h'!E83,'03.80 NSOOBA-KYEBANDO-24h'!E83)</f>
        <v>0</v>
      </c>
      <c r="F83" s="49">
        <f>AVERAGE('01.08 KYEBANDO-NSOOBA-24h'!F83,'03.80 NSOOBA-KYEBANDO-24h'!F83)</f>
        <v>0</v>
      </c>
      <c r="G83" s="49">
        <f>AVERAGE('01.08 KYEBANDO-NSOOBA-24h'!G83,'03.80 NSOOBA-KYEBANDO-24h'!G83)</f>
        <v>0</v>
      </c>
      <c r="H83" s="49">
        <f>AVERAGE('01.08 KYEBANDO-NSOOBA-24h'!H83,'03.80 NSOOBA-KYEBANDO-24h'!H83)</f>
        <v>0</v>
      </c>
      <c r="I83" s="49">
        <f>AVERAGE('01.08 KYEBANDO-NSOOBA-24h'!I83,'03.80 NSOOBA-KYEBANDO-24h'!I83)</f>
        <v>0</v>
      </c>
      <c r="J83" s="49">
        <f>AVERAGE('01.08 KYEBANDO-NSOOBA-24h'!J83,'03.80 NSOOBA-KYEBANDO-24h'!J83)</f>
        <v>0</v>
      </c>
      <c r="K83" s="49">
        <f>AVERAGE('01.08 KYEBANDO-NSOOBA-24h'!K83,'03.80 NSOOBA-KYEBANDO-24h'!K83)</f>
        <v>0</v>
      </c>
      <c r="L83" s="49">
        <f>AVERAGE('01.08 KYEBANDO-NSOOBA-24h'!L83,'03.80 NSOOBA-KYEBANDO-24h'!L83)</f>
        <v>0</v>
      </c>
      <c r="M83" s="49">
        <f>AVERAGE('01.08 KYEBANDO-NSOOBA-24h'!M83,'03.80 NSOOBA-KYEBANDO-24h'!M83)</f>
        <v>7</v>
      </c>
      <c r="N83" s="49">
        <f>AVERAGE('01.08 KYEBANDO-NSOOBA-24h'!N83,'03.80 NSOOBA-KYEBANDO-24h'!N83)</f>
        <v>0</v>
      </c>
      <c r="O83" s="15">
        <f t="shared" si="35"/>
        <v>2</v>
      </c>
      <c r="P83" s="15">
        <f t="shared" si="36"/>
        <v>9</v>
      </c>
      <c r="R83" s="8"/>
      <c r="T83"/>
    </row>
    <row r="84" spans="2:20" ht="23.1" customHeight="1" x14ac:dyDescent="0.25">
      <c r="B84" s="25" t="s">
        <v>124</v>
      </c>
      <c r="C84" s="49">
        <f>AVERAGE('01.08 KYEBANDO-NSOOBA-24h'!C84,'03.80 NSOOBA-KYEBANDO-24h'!C84)</f>
        <v>2</v>
      </c>
      <c r="D84" s="49">
        <f>AVERAGE('01.08 KYEBANDO-NSOOBA-24h'!D84,'03.80 NSOOBA-KYEBANDO-24h'!D84)</f>
        <v>0.5</v>
      </c>
      <c r="E84" s="49">
        <f>AVERAGE('01.08 KYEBANDO-NSOOBA-24h'!E84,'03.80 NSOOBA-KYEBANDO-24h'!E84)</f>
        <v>0</v>
      </c>
      <c r="F84" s="49">
        <f>AVERAGE('01.08 KYEBANDO-NSOOBA-24h'!F84,'03.80 NSOOBA-KYEBANDO-24h'!F84)</f>
        <v>0</v>
      </c>
      <c r="G84" s="49">
        <f>AVERAGE('01.08 KYEBANDO-NSOOBA-24h'!G84,'03.80 NSOOBA-KYEBANDO-24h'!G84)</f>
        <v>0</v>
      </c>
      <c r="H84" s="49">
        <f>AVERAGE('01.08 KYEBANDO-NSOOBA-24h'!H84,'03.80 NSOOBA-KYEBANDO-24h'!H84)</f>
        <v>0</v>
      </c>
      <c r="I84" s="49">
        <f>AVERAGE('01.08 KYEBANDO-NSOOBA-24h'!I84,'03.80 NSOOBA-KYEBANDO-24h'!I84)</f>
        <v>0.5</v>
      </c>
      <c r="J84" s="49">
        <f>AVERAGE('01.08 KYEBANDO-NSOOBA-24h'!J84,'03.80 NSOOBA-KYEBANDO-24h'!J84)</f>
        <v>0</v>
      </c>
      <c r="K84" s="49">
        <f>AVERAGE('01.08 KYEBANDO-NSOOBA-24h'!K84,'03.80 NSOOBA-KYEBANDO-24h'!K84)</f>
        <v>0</v>
      </c>
      <c r="L84" s="49">
        <f>AVERAGE('01.08 KYEBANDO-NSOOBA-24h'!L84,'03.80 NSOOBA-KYEBANDO-24h'!L84)</f>
        <v>0</v>
      </c>
      <c r="M84" s="49">
        <f>AVERAGE('01.08 KYEBANDO-NSOOBA-24h'!M84,'03.80 NSOOBA-KYEBANDO-24h'!M84)</f>
        <v>3</v>
      </c>
      <c r="N84" s="49">
        <f>AVERAGE('01.08 KYEBANDO-NSOOBA-24h'!N84,'03.80 NSOOBA-KYEBANDO-24h'!N84)</f>
        <v>0</v>
      </c>
      <c r="O84" s="15">
        <f t="shared" si="35"/>
        <v>3</v>
      </c>
      <c r="P84" s="15">
        <f t="shared" si="36"/>
        <v>6</v>
      </c>
      <c r="R84" s="8"/>
      <c r="T84"/>
    </row>
    <row r="85" spans="2:20" ht="23.1" customHeight="1" x14ac:dyDescent="0.25">
      <c r="B85" s="23" t="s">
        <v>125</v>
      </c>
      <c r="C85" s="49">
        <f>AVERAGE('01.08 KYEBANDO-NSOOBA-24h'!C85,'03.80 NSOOBA-KYEBANDO-24h'!C85)</f>
        <v>1.5</v>
      </c>
      <c r="D85" s="49">
        <f>AVERAGE('01.08 KYEBANDO-NSOOBA-24h'!D85,'03.80 NSOOBA-KYEBANDO-24h'!D85)</f>
        <v>0</v>
      </c>
      <c r="E85" s="49">
        <f>AVERAGE('01.08 KYEBANDO-NSOOBA-24h'!E85,'03.80 NSOOBA-KYEBANDO-24h'!E85)</f>
        <v>0</v>
      </c>
      <c r="F85" s="49">
        <f>AVERAGE('01.08 KYEBANDO-NSOOBA-24h'!F85,'03.80 NSOOBA-KYEBANDO-24h'!F85)</f>
        <v>0</v>
      </c>
      <c r="G85" s="49">
        <f>AVERAGE('01.08 KYEBANDO-NSOOBA-24h'!G85,'03.80 NSOOBA-KYEBANDO-24h'!G85)</f>
        <v>0</v>
      </c>
      <c r="H85" s="49">
        <f>AVERAGE('01.08 KYEBANDO-NSOOBA-24h'!H85,'03.80 NSOOBA-KYEBANDO-24h'!H85)</f>
        <v>0</v>
      </c>
      <c r="I85" s="49">
        <f>AVERAGE('01.08 KYEBANDO-NSOOBA-24h'!I85,'03.80 NSOOBA-KYEBANDO-24h'!I85)</f>
        <v>0</v>
      </c>
      <c r="J85" s="49">
        <f>AVERAGE('01.08 KYEBANDO-NSOOBA-24h'!J85,'03.80 NSOOBA-KYEBANDO-24h'!J85)</f>
        <v>0</v>
      </c>
      <c r="K85" s="49">
        <f>AVERAGE('01.08 KYEBANDO-NSOOBA-24h'!K85,'03.80 NSOOBA-KYEBANDO-24h'!K85)</f>
        <v>0</v>
      </c>
      <c r="L85" s="49">
        <f>AVERAGE('01.08 KYEBANDO-NSOOBA-24h'!L85,'03.80 NSOOBA-KYEBANDO-24h'!L85)</f>
        <v>0</v>
      </c>
      <c r="M85" s="49">
        <f>AVERAGE('01.08 KYEBANDO-NSOOBA-24h'!M85,'03.80 NSOOBA-KYEBANDO-24h'!M85)</f>
        <v>8.5</v>
      </c>
      <c r="N85" s="49">
        <f>AVERAGE('01.08 KYEBANDO-NSOOBA-24h'!N85,'03.80 NSOOBA-KYEBANDO-24h'!N85)</f>
        <v>0</v>
      </c>
      <c r="O85" s="15">
        <f t="shared" si="35"/>
        <v>1.5</v>
      </c>
      <c r="P85" s="15">
        <f t="shared" si="36"/>
        <v>10</v>
      </c>
      <c r="R85" s="8"/>
      <c r="T85"/>
    </row>
    <row r="86" spans="2:20" ht="23.1" customHeight="1" x14ac:dyDescent="0.25">
      <c r="B86" s="24" t="s">
        <v>126</v>
      </c>
      <c r="C86" s="49">
        <f>AVERAGE('01.08 KYEBANDO-NSOOBA-24h'!C86,'03.80 NSOOBA-KYEBANDO-24h'!C86)</f>
        <v>1</v>
      </c>
      <c r="D86" s="49">
        <f>AVERAGE('01.08 KYEBANDO-NSOOBA-24h'!D86,'03.80 NSOOBA-KYEBANDO-24h'!D86)</f>
        <v>0</v>
      </c>
      <c r="E86" s="49">
        <f>AVERAGE('01.08 KYEBANDO-NSOOBA-24h'!E86,'03.80 NSOOBA-KYEBANDO-24h'!E86)</f>
        <v>0.5</v>
      </c>
      <c r="F86" s="49">
        <f>AVERAGE('01.08 KYEBANDO-NSOOBA-24h'!F86,'03.80 NSOOBA-KYEBANDO-24h'!F86)</f>
        <v>0.5</v>
      </c>
      <c r="G86" s="49">
        <f>AVERAGE('01.08 KYEBANDO-NSOOBA-24h'!G86,'03.80 NSOOBA-KYEBANDO-24h'!G86)</f>
        <v>0</v>
      </c>
      <c r="H86" s="49">
        <f>AVERAGE('01.08 KYEBANDO-NSOOBA-24h'!H86,'03.80 NSOOBA-KYEBANDO-24h'!H86)</f>
        <v>0</v>
      </c>
      <c r="I86" s="49">
        <f>AVERAGE('01.08 KYEBANDO-NSOOBA-24h'!I86,'03.80 NSOOBA-KYEBANDO-24h'!I86)</f>
        <v>0</v>
      </c>
      <c r="J86" s="49">
        <f>AVERAGE('01.08 KYEBANDO-NSOOBA-24h'!J86,'03.80 NSOOBA-KYEBANDO-24h'!J86)</f>
        <v>0</v>
      </c>
      <c r="K86" s="49">
        <f>AVERAGE('01.08 KYEBANDO-NSOOBA-24h'!K86,'03.80 NSOOBA-KYEBANDO-24h'!K86)</f>
        <v>0</v>
      </c>
      <c r="L86" s="49">
        <f>AVERAGE('01.08 KYEBANDO-NSOOBA-24h'!L86,'03.80 NSOOBA-KYEBANDO-24h'!L86)</f>
        <v>0</v>
      </c>
      <c r="M86" s="49">
        <f>AVERAGE('01.08 KYEBANDO-NSOOBA-24h'!M86,'03.80 NSOOBA-KYEBANDO-24h'!M86)</f>
        <v>2.5</v>
      </c>
      <c r="N86" s="49">
        <f>AVERAGE('01.08 KYEBANDO-NSOOBA-24h'!N86,'03.80 NSOOBA-KYEBANDO-24h'!N86)</f>
        <v>0</v>
      </c>
      <c r="O86" s="15">
        <f t="shared" si="35"/>
        <v>2</v>
      </c>
      <c r="P86" s="15">
        <f t="shared" si="36"/>
        <v>4.5</v>
      </c>
      <c r="R86" s="8"/>
      <c r="T86"/>
    </row>
    <row r="87" spans="2:20" ht="23.1" customHeight="1" x14ac:dyDescent="0.25">
      <c r="B87" s="23" t="s">
        <v>127</v>
      </c>
      <c r="C87" s="49">
        <f>AVERAGE('01.08 KYEBANDO-NSOOBA-24h'!C87,'03.80 NSOOBA-KYEBANDO-24h'!C87)</f>
        <v>0.5</v>
      </c>
      <c r="D87" s="49">
        <f>AVERAGE('01.08 KYEBANDO-NSOOBA-24h'!D87,'03.80 NSOOBA-KYEBANDO-24h'!D87)</f>
        <v>0</v>
      </c>
      <c r="E87" s="49">
        <f>AVERAGE('01.08 KYEBANDO-NSOOBA-24h'!E87,'03.80 NSOOBA-KYEBANDO-24h'!E87)</f>
        <v>0</v>
      </c>
      <c r="F87" s="49">
        <f>AVERAGE('01.08 KYEBANDO-NSOOBA-24h'!F87,'03.80 NSOOBA-KYEBANDO-24h'!F87)</f>
        <v>0</v>
      </c>
      <c r="G87" s="49">
        <f>AVERAGE('01.08 KYEBANDO-NSOOBA-24h'!G87,'03.80 NSOOBA-KYEBANDO-24h'!G87)</f>
        <v>0</v>
      </c>
      <c r="H87" s="49">
        <f>AVERAGE('01.08 KYEBANDO-NSOOBA-24h'!H87,'03.80 NSOOBA-KYEBANDO-24h'!H87)</f>
        <v>0</v>
      </c>
      <c r="I87" s="49">
        <f>AVERAGE('01.08 KYEBANDO-NSOOBA-24h'!I87,'03.80 NSOOBA-KYEBANDO-24h'!I87)</f>
        <v>0</v>
      </c>
      <c r="J87" s="49">
        <f>AVERAGE('01.08 KYEBANDO-NSOOBA-24h'!J87,'03.80 NSOOBA-KYEBANDO-24h'!J87)</f>
        <v>0</v>
      </c>
      <c r="K87" s="49">
        <f>AVERAGE('01.08 KYEBANDO-NSOOBA-24h'!K87,'03.80 NSOOBA-KYEBANDO-24h'!K87)</f>
        <v>0</v>
      </c>
      <c r="L87" s="49">
        <f>AVERAGE('01.08 KYEBANDO-NSOOBA-24h'!L87,'03.80 NSOOBA-KYEBANDO-24h'!L87)</f>
        <v>0</v>
      </c>
      <c r="M87" s="49">
        <f>AVERAGE('01.08 KYEBANDO-NSOOBA-24h'!M87,'03.80 NSOOBA-KYEBANDO-24h'!M87)</f>
        <v>6</v>
      </c>
      <c r="N87" s="49">
        <f>AVERAGE('01.08 KYEBANDO-NSOOBA-24h'!N87,'03.80 NSOOBA-KYEBANDO-24h'!N87)</f>
        <v>0</v>
      </c>
      <c r="O87" s="15">
        <f t="shared" si="35"/>
        <v>0.5</v>
      </c>
      <c r="P87" s="15">
        <f t="shared" si="36"/>
        <v>6.5</v>
      </c>
      <c r="R87" s="8"/>
      <c r="T87"/>
    </row>
    <row r="88" spans="2:20" ht="23.1" customHeight="1" x14ac:dyDescent="0.25">
      <c r="B88" s="25" t="s">
        <v>128</v>
      </c>
      <c r="C88" s="49">
        <f>AVERAGE('01.08 KYEBANDO-NSOOBA-24h'!C88,'03.80 NSOOBA-KYEBANDO-24h'!C88)</f>
        <v>3.5</v>
      </c>
      <c r="D88" s="49">
        <f>AVERAGE('01.08 KYEBANDO-NSOOBA-24h'!D88,'03.80 NSOOBA-KYEBANDO-24h'!D88)</f>
        <v>0</v>
      </c>
      <c r="E88" s="49">
        <f>AVERAGE('01.08 KYEBANDO-NSOOBA-24h'!E88,'03.80 NSOOBA-KYEBANDO-24h'!E88)</f>
        <v>0</v>
      </c>
      <c r="F88" s="49">
        <f>AVERAGE('01.08 KYEBANDO-NSOOBA-24h'!F88,'03.80 NSOOBA-KYEBANDO-24h'!F88)</f>
        <v>0</v>
      </c>
      <c r="G88" s="49">
        <f>AVERAGE('01.08 KYEBANDO-NSOOBA-24h'!G88,'03.80 NSOOBA-KYEBANDO-24h'!G88)</f>
        <v>0</v>
      </c>
      <c r="H88" s="49">
        <f>AVERAGE('01.08 KYEBANDO-NSOOBA-24h'!H88,'03.80 NSOOBA-KYEBANDO-24h'!H88)</f>
        <v>0</v>
      </c>
      <c r="I88" s="49">
        <f>AVERAGE('01.08 KYEBANDO-NSOOBA-24h'!I88,'03.80 NSOOBA-KYEBANDO-24h'!I88)</f>
        <v>0</v>
      </c>
      <c r="J88" s="49">
        <f>AVERAGE('01.08 KYEBANDO-NSOOBA-24h'!J88,'03.80 NSOOBA-KYEBANDO-24h'!J88)</f>
        <v>0</v>
      </c>
      <c r="K88" s="49">
        <f>AVERAGE('01.08 KYEBANDO-NSOOBA-24h'!K88,'03.80 NSOOBA-KYEBANDO-24h'!K88)</f>
        <v>0</v>
      </c>
      <c r="L88" s="49">
        <f>AVERAGE('01.08 KYEBANDO-NSOOBA-24h'!L88,'03.80 NSOOBA-KYEBANDO-24h'!L88)</f>
        <v>0</v>
      </c>
      <c r="M88" s="49">
        <f>AVERAGE('01.08 KYEBANDO-NSOOBA-24h'!M88,'03.80 NSOOBA-KYEBANDO-24h'!M88)</f>
        <v>7</v>
      </c>
      <c r="N88" s="49">
        <f>AVERAGE('01.08 KYEBANDO-NSOOBA-24h'!N88,'03.80 NSOOBA-KYEBANDO-24h'!N88)</f>
        <v>0</v>
      </c>
      <c r="O88" s="15">
        <f t="shared" si="35"/>
        <v>3.5</v>
      </c>
      <c r="P88" s="15">
        <f t="shared" si="36"/>
        <v>10.5</v>
      </c>
      <c r="R88" s="8"/>
      <c r="T88"/>
    </row>
    <row r="89" spans="2:20" ht="23.1" customHeight="1" x14ac:dyDescent="0.25">
      <c r="B89" s="23" t="s">
        <v>129</v>
      </c>
      <c r="C89" s="49">
        <f>AVERAGE('01.08 KYEBANDO-NSOOBA-24h'!C89,'03.80 NSOOBA-KYEBANDO-24h'!C89)</f>
        <v>1.5</v>
      </c>
      <c r="D89" s="49">
        <f>AVERAGE('01.08 KYEBANDO-NSOOBA-24h'!D89,'03.80 NSOOBA-KYEBANDO-24h'!D89)</f>
        <v>0</v>
      </c>
      <c r="E89" s="49">
        <f>AVERAGE('01.08 KYEBANDO-NSOOBA-24h'!E89,'03.80 NSOOBA-KYEBANDO-24h'!E89)</f>
        <v>0</v>
      </c>
      <c r="F89" s="49">
        <f>AVERAGE('01.08 KYEBANDO-NSOOBA-24h'!F89,'03.80 NSOOBA-KYEBANDO-24h'!F89)</f>
        <v>0</v>
      </c>
      <c r="G89" s="49">
        <f>AVERAGE('01.08 KYEBANDO-NSOOBA-24h'!G89,'03.80 NSOOBA-KYEBANDO-24h'!G89)</f>
        <v>0</v>
      </c>
      <c r="H89" s="49">
        <f>AVERAGE('01.08 KYEBANDO-NSOOBA-24h'!H89,'03.80 NSOOBA-KYEBANDO-24h'!H89)</f>
        <v>0</v>
      </c>
      <c r="I89" s="49">
        <f>AVERAGE('01.08 KYEBANDO-NSOOBA-24h'!I89,'03.80 NSOOBA-KYEBANDO-24h'!I89)</f>
        <v>0</v>
      </c>
      <c r="J89" s="49">
        <f>AVERAGE('01.08 KYEBANDO-NSOOBA-24h'!J89,'03.80 NSOOBA-KYEBANDO-24h'!J89)</f>
        <v>0</v>
      </c>
      <c r="K89" s="49">
        <f>AVERAGE('01.08 KYEBANDO-NSOOBA-24h'!K89,'03.80 NSOOBA-KYEBANDO-24h'!K89)</f>
        <v>0</v>
      </c>
      <c r="L89" s="49">
        <f>AVERAGE('01.08 KYEBANDO-NSOOBA-24h'!L89,'03.80 NSOOBA-KYEBANDO-24h'!L89)</f>
        <v>0</v>
      </c>
      <c r="M89" s="49">
        <f>AVERAGE('01.08 KYEBANDO-NSOOBA-24h'!M89,'03.80 NSOOBA-KYEBANDO-24h'!M89)</f>
        <v>3</v>
      </c>
      <c r="N89" s="49">
        <f>AVERAGE('01.08 KYEBANDO-NSOOBA-24h'!N89,'03.80 NSOOBA-KYEBANDO-24h'!N89)</f>
        <v>0</v>
      </c>
      <c r="O89" s="15">
        <f t="shared" si="35"/>
        <v>1.5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AVERAGE('01.08 KYEBANDO-NSOOBA-24h'!C90,'03.80 NSOOBA-KYEBANDO-24h'!C90)</f>
        <v>1</v>
      </c>
      <c r="D90" s="49">
        <f>AVERAGE('01.08 KYEBANDO-NSOOBA-24h'!D90,'03.80 NSOOBA-KYEBANDO-24h'!D90)</f>
        <v>0</v>
      </c>
      <c r="E90" s="49">
        <f>AVERAGE('01.08 KYEBANDO-NSOOBA-24h'!E90,'03.80 NSOOBA-KYEBANDO-24h'!E90)</f>
        <v>0</v>
      </c>
      <c r="F90" s="49">
        <f>AVERAGE('01.08 KYEBANDO-NSOOBA-24h'!F90,'03.80 NSOOBA-KYEBANDO-24h'!F90)</f>
        <v>0</v>
      </c>
      <c r="G90" s="49">
        <f>AVERAGE('01.08 KYEBANDO-NSOOBA-24h'!G90,'03.80 NSOOBA-KYEBANDO-24h'!G90)</f>
        <v>0</v>
      </c>
      <c r="H90" s="49">
        <f>AVERAGE('01.08 KYEBANDO-NSOOBA-24h'!H90,'03.80 NSOOBA-KYEBANDO-24h'!H90)</f>
        <v>0</v>
      </c>
      <c r="I90" s="49">
        <f>AVERAGE('01.08 KYEBANDO-NSOOBA-24h'!I90,'03.80 NSOOBA-KYEBANDO-24h'!I90)</f>
        <v>0</v>
      </c>
      <c r="J90" s="49">
        <f>AVERAGE('01.08 KYEBANDO-NSOOBA-24h'!J90,'03.80 NSOOBA-KYEBANDO-24h'!J90)</f>
        <v>0</v>
      </c>
      <c r="K90" s="49">
        <f>AVERAGE('01.08 KYEBANDO-NSOOBA-24h'!K90,'03.80 NSOOBA-KYEBANDO-24h'!K90)</f>
        <v>0</v>
      </c>
      <c r="L90" s="49">
        <f>AVERAGE('01.08 KYEBANDO-NSOOBA-24h'!L90,'03.80 NSOOBA-KYEBANDO-24h'!L90)</f>
        <v>0</v>
      </c>
      <c r="M90" s="49">
        <f>AVERAGE('01.08 KYEBANDO-NSOOBA-24h'!M90,'03.80 NSOOBA-KYEBANDO-24h'!M90)</f>
        <v>3.5</v>
      </c>
      <c r="N90" s="49">
        <f>AVERAGE('01.08 KYEBANDO-NSOOBA-24h'!N90,'03.80 NSOOBA-KYEBANDO-24h'!N90)</f>
        <v>0</v>
      </c>
      <c r="O90" s="15">
        <f t="shared" si="35"/>
        <v>1</v>
      </c>
      <c r="P90" s="15">
        <f t="shared" si="36"/>
        <v>4.5</v>
      </c>
      <c r="R90" s="8"/>
      <c r="T90"/>
    </row>
    <row r="91" spans="2:20" ht="23.1" customHeight="1" x14ac:dyDescent="0.25">
      <c r="B91" s="23" t="s">
        <v>131</v>
      </c>
      <c r="C91" s="49">
        <f>AVERAGE('01.08 KYEBANDO-NSOOBA-24h'!C91,'03.80 NSOOBA-KYEBANDO-24h'!C91)</f>
        <v>1</v>
      </c>
      <c r="D91" s="49">
        <f>AVERAGE('01.08 KYEBANDO-NSOOBA-24h'!D91,'03.80 NSOOBA-KYEBANDO-24h'!D91)</f>
        <v>0.5</v>
      </c>
      <c r="E91" s="49">
        <f>AVERAGE('01.08 KYEBANDO-NSOOBA-24h'!E91,'03.80 NSOOBA-KYEBANDO-24h'!E91)</f>
        <v>0</v>
      </c>
      <c r="F91" s="49">
        <f>AVERAGE('01.08 KYEBANDO-NSOOBA-24h'!F91,'03.80 NSOOBA-KYEBANDO-24h'!F91)</f>
        <v>0</v>
      </c>
      <c r="G91" s="49">
        <f>AVERAGE('01.08 KYEBANDO-NSOOBA-24h'!G91,'03.80 NSOOBA-KYEBANDO-24h'!G91)</f>
        <v>0</v>
      </c>
      <c r="H91" s="49">
        <f>AVERAGE('01.08 KYEBANDO-NSOOBA-24h'!H91,'03.80 NSOOBA-KYEBANDO-24h'!H91)</f>
        <v>0</v>
      </c>
      <c r="I91" s="49">
        <f>AVERAGE('01.08 KYEBANDO-NSOOBA-24h'!I91,'03.80 NSOOBA-KYEBANDO-24h'!I91)</f>
        <v>0.5</v>
      </c>
      <c r="J91" s="49">
        <f>AVERAGE('01.08 KYEBANDO-NSOOBA-24h'!J91,'03.80 NSOOBA-KYEBANDO-24h'!J91)</f>
        <v>0</v>
      </c>
      <c r="K91" s="49">
        <f>AVERAGE('01.08 KYEBANDO-NSOOBA-24h'!K91,'03.80 NSOOBA-KYEBANDO-24h'!K91)</f>
        <v>0</v>
      </c>
      <c r="L91" s="49">
        <f>AVERAGE('01.08 KYEBANDO-NSOOBA-24h'!L91,'03.80 NSOOBA-KYEBANDO-24h'!L91)</f>
        <v>0</v>
      </c>
      <c r="M91" s="49">
        <f>AVERAGE('01.08 KYEBANDO-NSOOBA-24h'!M91,'03.80 NSOOBA-KYEBANDO-24h'!M91)</f>
        <v>2.5</v>
      </c>
      <c r="N91" s="49">
        <f>AVERAGE('01.08 KYEBANDO-NSOOBA-24h'!N91,'03.80 NSOOBA-KYEBANDO-24h'!N91)</f>
        <v>0</v>
      </c>
      <c r="O91" s="15">
        <f t="shared" si="35"/>
        <v>2</v>
      </c>
      <c r="P91" s="15">
        <f t="shared" si="36"/>
        <v>4.5</v>
      </c>
      <c r="R91" s="8"/>
      <c r="T91"/>
    </row>
    <row r="92" spans="2:20" ht="23.1" customHeight="1" x14ac:dyDescent="0.25">
      <c r="B92" s="25" t="s">
        <v>132</v>
      </c>
      <c r="C92" s="49">
        <f>AVERAGE('01.08 KYEBANDO-NSOOBA-24h'!C92,'03.80 NSOOBA-KYEBANDO-24h'!C92)</f>
        <v>0.5</v>
      </c>
      <c r="D92" s="49">
        <f>AVERAGE('01.08 KYEBANDO-NSOOBA-24h'!D92,'03.80 NSOOBA-KYEBANDO-24h'!D92)</f>
        <v>0</v>
      </c>
      <c r="E92" s="49">
        <f>AVERAGE('01.08 KYEBANDO-NSOOBA-24h'!E92,'03.80 NSOOBA-KYEBANDO-24h'!E92)</f>
        <v>0</v>
      </c>
      <c r="F92" s="49">
        <f>AVERAGE('01.08 KYEBANDO-NSOOBA-24h'!F92,'03.80 NSOOBA-KYEBANDO-24h'!F92)</f>
        <v>0</v>
      </c>
      <c r="G92" s="49">
        <f>AVERAGE('01.08 KYEBANDO-NSOOBA-24h'!G92,'03.80 NSOOBA-KYEBANDO-24h'!G92)</f>
        <v>0</v>
      </c>
      <c r="H92" s="49">
        <f>AVERAGE('01.08 KYEBANDO-NSOOBA-24h'!H92,'03.80 NSOOBA-KYEBANDO-24h'!H92)</f>
        <v>0</v>
      </c>
      <c r="I92" s="49">
        <f>AVERAGE('01.08 KYEBANDO-NSOOBA-24h'!I92,'03.80 NSOOBA-KYEBANDO-24h'!I92)</f>
        <v>0.5</v>
      </c>
      <c r="J92" s="49">
        <f>AVERAGE('01.08 KYEBANDO-NSOOBA-24h'!J92,'03.80 NSOOBA-KYEBANDO-24h'!J92)</f>
        <v>0</v>
      </c>
      <c r="K92" s="49">
        <f>AVERAGE('01.08 KYEBANDO-NSOOBA-24h'!K92,'03.80 NSOOBA-KYEBANDO-24h'!K92)</f>
        <v>0</v>
      </c>
      <c r="L92" s="49">
        <f>AVERAGE('01.08 KYEBANDO-NSOOBA-24h'!L92,'03.80 NSOOBA-KYEBANDO-24h'!L92)</f>
        <v>0</v>
      </c>
      <c r="M92" s="49">
        <f>AVERAGE('01.08 KYEBANDO-NSOOBA-24h'!M92,'03.80 NSOOBA-KYEBANDO-24h'!M92)</f>
        <v>3.5</v>
      </c>
      <c r="N92" s="49">
        <f>AVERAGE('01.08 KYEBANDO-NSOOBA-24h'!N92,'03.80 NSOOBA-KYEBANDO-24h'!N92)</f>
        <v>0</v>
      </c>
      <c r="O92" s="15">
        <f t="shared" si="35"/>
        <v>1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AVERAGE('01.08 KYEBANDO-NSOOBA-24h'!C93,'03.80 NSOOBA-KYEBANDO-24h'!C93)</f>
        <v>1</v>
      </c>
      <c r="D93" s="49">
        <f>AVERAGE('01.08 KYEBANDO-NSOOBA-24h'!D93,'03.80 NSOOBA-KYEBANDO-24h'!D93)</f>
        <v>0</v>
      </c>
      <c r="E93" s="49">
        <f>AVERAGE('01.08 KYEBANDO-NSOOBA-24h'!E93,'03.80 NSOOBA-KYEBANDO-24h'!E93)</f>
        <v>0</v>
      </c>
      <c r="F93" s="49">
        <f>AVERAGE('01.08 KYEBANDO-NSOOBA-24h'!F93,'03.80 NSOOBA-KYEBANDO-24h'!F93)</f>
        <v>0</v>
      </c>
      <c r="G93" s="49">
        <f>AVERAGE('01.08 KYEBANDO-NSOOBA-24h'!G93,'03.80 NSOOBA-KYEBANDO-24h'!G93)</f>
        <v>0</v>
      </c>
      <c r="H93" s="49">
        <f>AVERAGE('01.08 KYEBANDO-NSOOBA-24h'!H93,'03.80 NSOOBA-KYEBANDO-24h'!H93)</f>
        <v>0</v>
      </c>
      <c r="I93" s="49">
        <f>AVERAGE('01.08 KYEBANDO-NSOOBA-24h'!I93,'03.80 NSOOBA-KYEBANDO-24h'!I93)</f>
        <v>0</v>
      </c>
      <c r="J93" s="49">
        <f>AVERAGE('01.08 KYEBANDO-NSOOBA-24h'!J93,'03.80 NSOOBA-KYEBANDO-24h'!J93)</f>
        <v>0</v>
      </c>
      <c r="K93" s="49">
        <f>AVERAGE('01.08 KYEBANDO-NSOOBA-24h'!K93,'03.80 NSOOBA-KYEBANDO-24h'!K93)</f>
        <v>0</v>
      </c>
      <c r="L93" s="49">
        <f>AVERAGE('01.08 KYEBANDO-NSOOBA-24h'!L93,'03.80 NSOOBA-KYEBANDO-24h'!L93)</f>
        <v>0</v>
      </c>
      <c r="M93" s="49">
        <f>AVERAGE('01.08 KYEBANDO-NSOOBA-24h'!M93,'03.80 NSOOBA-KYEBANDO-24h'!M93)</f>
        <v>4.5</v>
      </c>
      <c r="N93" s="49">
        <f>AVERAGE('01.08 KYEBANDO-NSOOBA-24h'!N93,'03.80 NSOOBA-KYEBANDO-24h'!N93)</f>
        <v>0</v>
      </c>
      <c r="O93" s="15">
        <f t="shared" si="35"/>
        <v>1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AVERAGE('01.08 KYEBANDO-NSOOBA-24h'!C94,'03.80 NSOOBA-KYEBANDO-24h'!C94)</f>
        <v>0.5</v>
      </c>
      <c r="D94" s="49">
        <f>AVERAGE('01.08 KYEBANDO-NSOOBA-24h'!D94,'03.80 NSOOBA-KYEBANDO-24h'!D94)</f>
        <v>0</v>
      </c>
      <c r="E94" s="49">
        <f>AVERAGE('01.08 KYEBANDO-NSOOBA-24h'!E94,'03.80 NSOOBA-KYEBANDO-24h'!E94)</f>
        <v>0</v>
      </c>
      <c r="F94" s="49">
        <f>AVERAGE('01.08 KYEBANDO-NSOOBA-24h'!F94,'03.80 NSOOBA-KYEBANDO-24h'!F94)</f>
        <v>0</v>
      </c>
      <c r="G94" s="49">
        <f>AVERAGE('01.08 KYEBANDO-NSOOBA-24h'!G94,'03.80 NSOOBA-KYEBANDO-24h'!G94)</f>
        <v>0</v>
      </c>
      <c r="H94" s="49">
        <f>AVERAGE('01.08 KYEBANDO-NSOOBA-24h'!H94,'03.80 NSOOBA-KYEBANDO-24h'!H94)</f>
        <v>0</v>
      </c>
      <c r="I94" s="49">
        <f>AVERAGE('01.08 KYEBANDO-NSOOBA-24h'!I94,'03.80 NSOOBA-KYEBANDO-24h'!I94)</f>
        <v>0.5</v>
      </c>
      <c r="J94" s="49">
        <f>AVERAGE('01.08 KYEBANDO-NSOOBA-24h'!J94,'03.80 NSOOBA-KYEBANDO-24h'!J94)</f>
        <v>0</v>
      </c>
      <c r="K94" s="49">
        <f>AVERAGE('01.08 KYEBANDO-NSOOBA-24h'!K94,'03.80 NSOOBA-KYEBANDO-24h'!K94)</f>
        <v>0</v>
      </c>
      <c r="L94" s="49">
        <f>AVERAGE('01.08 KYEBANDO-NSOOBA-24h'!L94,'03.80 NSOOBA-KYEBANDO-24h'!L94)</f>
        <v>0.5</v>
      </c>
      <c r="M94" s="49">
        <f>AVERAGE('01.08 KYEBANDO-NSOOBA-24h'!M94,'03.80 NSOOBA-KYEBANDO-24h'!M94)</f>
        <v>2</v>
      </c>
      <c r="N94" s="49">
        <f>AVERAGE('01.08 KYEBANDO-NSOOBA-24h'!N94,'03.80 NSOOBA-KYEBANDO-24h'!N94)</f>
        <v>0</v>
      </c>
      <c r="O94" s="15">
        <f t="shared" si="35"/>
        <v>1.5</v>
      </c>
      <c r="P94" s="15">
        <f t="shared" si="36"/>
        <v>3.5</v>
      </c>
      <c r="R94" s="8"/>
      <c r="T94"/>
    </row>
    <row r="95" spans="2:20" ht="23.1" customHeight="1" x14ac:dyDescent="0.25">
      <c r="B95" s="23" t="s">
        <v>135</v>
      </c>
      <c r="C95" s="49">
        <f>AVERAGE('01.08 KYEBANDO-NSOOBA-24h'!C95,'03.80 NSOOBA-KYEBANDO-24h'!C95)</f>
        <v>1.5</v>
      </c>
      <c r="D95" s="49">
        <f>AVERAGE('01.08 KYEBANDO-NSOOBA-24h'!D95,'03.80 NSOOBA-KYEBANDO-24h'!D95)</f>
        <v>0</v>
      </c>
      <c r="E95" s="49">
        <f>AVERAGE('01.08 KYEBANDO-NSOOBA-24h'!E95,'03.80 NSOOBA-KYEBANDO-24h'!E95)</f>
        <v>0</v>
      </c>
      <c r="F95" s="49">
        <f>AVERAGE('01.08 KYEBANDO-NSOOBA-24h'!F95,'03.80 NSOOBA-KYEBANDO-24h'!F95)</f>
        <v>0</v>
      </c>
      <c r="G95" s="49">
        <f>AVERAGE('01.08 KYEBANDO-NSOOBA-24h'!G95,'03.80 NSOOBA-KYEBANDO-24h'!G95)</f>
        <v>0</v>
      </c>
      <c r="H95" s="49">
        <f>AVERAGE('01.08 KYEBANDO-NSOOBA-24h'!H95,'03.80 NSOOBA-KYEBANDO-24h'!H95)</f>
        <v>0</v>
      </c>
      <c r="I95" s="49">
        <f>AVERAGE('01.08 KYEBANDO-NSOOBA-24h'!I95,'03.80 NSOOBA-KYEBANDO-24h'!I95)</f>
        <v>0</v>
      </c>
      <c r="J95" s="49">
        <f>AVERAGE('01.08 KYEBANDO-NSOOBA-24h'!J95,'03.80 NSOOBA-KYEBANDO-24h'!J95)</f>
        <v>0</v>
      </c>
      <c r="K95" s="49">
        <f>AVERAGE('01.08 KYEBANDO-NSOOBA-24h'!K95,'03.80 NSOOBA-KYEBANDO-24h'!K95)</f>
        <v>0</v>
      </c>
      <c r="L95" s="49">
        <f>AVERAGE('01.08 KYEBANDO-NSOOBA-24h'!L95,'03.80 NSOOBA-KYEBANDO-24h'!L95)</f>
        <v>0</v>
      </c>
      <c r="M95" s="49">
        <f>AVERAGE('01.08 KYEBANDO-NSOOBA-24h'!M95,'03.80 NSOOBA-KYEBANDO-24h'!M95)</f>
        <v>2.5</v>
      </c>
      <c r="N95" s="49">
        <f>AVERAGE('01.08 KYEBANDO-NSOOBA-24h'!N95,'03.80 NSOOBA-KYEBANDO-24h'!N95)</f>
        <v>0</v>
      </c>
      <c r="O95" s="15">
        <f t="shared" si="35"/>
        <v>1.5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AVERAGE('01.08 KYEBANDO-NSOOBA-24h'!C96,'03.80 NSOOBA-KYEBANDO-24h'!C96)</f>
        <v>1</v>
      </c>
      <c r="D96" s="49">
        <f>AVERAGE('01.08 KYEBANDO-NSOOBA-24h'!D96,'03.80 NSOOBA-KYEBANDO-24h'!D96)</f>
        <v>0</v>
      </c>
      <c r="E96" s="49">
        <f>AVERAGE('01.08 KYEBANDO-NSOOBA-24h'!E96,'03.80 NSOOBA-KYEBANDO-24h'!E96)</f>
        <v>0</v>
      </c>
      <c r="F96" s="49">
        <f>AVERAGE('01.08 KYEBANDO-NSOOBA-24h'!F96,'03.80 NSOOBA-KYEBANDO-24h'!F96)</f>
        <v>0</v>
      </c>
      <c r="G96" s="49">
        <f>AVERAGE('01.08 KYEBANDO-NSOOBA-24h'!G96,'03.80 NSOOBA-KYEBANDO-24h'!G96)</f>
        <v>0</v>
      </c>
      <c r="H96" s="49">
        <f>AVERAGE('01.08 KYEBANDO-NSOOBA-24h'!H96,'03.80 NSOOBA-KYEBANDO-24h'!H96)</f>
        <v>0</v>
      </c>
      <c r="I96" s="49">
        <f>AVERAGE('01.08 KYEBANDO-NSOOBA-24h'!I96,'03.80 NSOOBA-KYEBANDO-24h'!I96)</f>
        <v>0</v>
      </c>
      <c r="J96" s="49">
        <f>AVERAGE('01.08 KYEBANDO-NSOOBA-24h'!J96,'03.80 NSOOBA-KYEBANDO-24h'!J96)</f>
        <v>0</v>
      </c>
      <c r="K96" s="49">
        <f>AVERAGE('01.08 KYEBANDO-NSOOBA-24h'!K96,'03.80 NSOOBA-KYEBANDO-24h'!K96)</f>
        <v>0</v>
      </c>
      <c r="L96" s="49">
        <f>AVERAGE('01.08 KYEBANDO-NSOOBA-24h'!L96,'03.80 NSOOBA-KYEBANDO-24h'!L96)</f>
        <v>0</v>
      </c>
      <c r="M96" s="49">
        <f>AVERAGE('01.08 KYEBANDO-NSOOBA-24h'!M96,'03.80 NSOOBA-KYEBANDO-24h'!M96)</f>
        <v>3.5</v>
      </c>
      <c r="N96" s="49">
        <f>AVERAGE('01.08 KYEBANDO-NSOOBA-24h'!N96,'03.80 NSOOBA-KYEBANDO-24h'!N96)</f>
        <v>0</v>
      </c>
      <c r="O96" s="15">
        <f t="shared" si="35"/>
        <v>1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AVERAGE('01.08 KYEBANDO-NSOOBA-24h'!C97,'03.80 NSOOBA-KYEBANDO-24h'!C97)</f>
        <v>1.5</v>
      </c>
      <c r="D97" s="49">
        <f>AVERAGE('01.08 KYEBANDO-NSOOBA-24h'!D97,'03.80 NSOOBA-KYEBANDO-24h'!D97)</f>
        <v>0</v>
      </c>
      <c r="E97" s="49">
        <f>AVERAGE('01.08 KYEBANDO-NSOOBA-24h'!E97,'03.80 NSOOBA-KYEBANDO-24h'!E97)</f>
        <v>0</v>
      </c>
      <c r="F97" s="49">
        <f>AVERAGE('01.08 KYEBANDO-NSOOBA-24h'!F97,'03.80 NSOOBA-KYEBANDO-24h'!F97)</f>
        <v>0</v>
      </c>
      <c r="G97" s="49">
        <f>AVERAGE('01.08 KYEBANDO-NSOOBA-24h'!G97,'03.80 NSOOBA-KYEBANDO-24h'!G97)</f>
        <v>0</v>
      </c>
      <c r="H97" s="49">
        <f>AVERAGE('01.08 KYEBANDO-NSOOBA-24h'!H97,'03.80 NSOOBA-KYEBANDO-24h'!H97)</f>
        <v>0</v>
      </c>
      <c r="I97" s="49">
        <f>AVERAGE('01.08 KYEBANDO-NSOOBA-24h'!I97,'03.80 NSOOBA-KYEBANDO-24h'!I97)</f>
        <v>0</v>
      </c>
      <c r="J97" s="49">
        <f>AVERAGE('01.08 KYEBANDO-NSOOBA-24h'!J97,'03.80 NSOOBA-KYEBANDO-24h'!J97)</f>
        <v>0</v>
      </c>
      <c r="K97" s="49">
        <f>AVERAGE('01.08 KYEBANDO-NSOOBA-24h'!K97,'03.80 NSOOBA-KYEBANDO-24h'!K97)</f>
        <v>0</v>
      </c>
      <c r="L97" s="49">
        <f>AVERAGE('01.08 KYEBANDO-NSOOBA-24h'!L97,'03.80 NSOOBA-KYEBANDO-24h'!L97)</f>
        <v>0</v>
      </c>
      <c r="M97" s="49">
        <f>AVERAGE('01.08 KYEBANDO-NSOOBA-24h'!M97,'03.80 NSOOBA-KYEBANDO-24h'!M97)</f>
        <v>3</v>
      </c>
      <c r="N97" s="49">
        <f>AVERAGE('01.08 KYEBANDO-NSOOBA-24h'!N97,'03.80 NSOOBA-KYEBANDO-24h'!N97)</f>
        <v>0</v>
      </c>
      <c r="O97" s="15">
        <f t="shared" si="35"/>
        <v>1.5</v>
      </c>
      <c r="P97" s="15">
        <f t="shared" si="36"/>
        <v>4.5</v>
      </c>
      <c r="R97" s="8"/>
      <c r="T97"/>
    </row>
    <row r="98" spans="2:20" ht="23.1" customHeight="1" x14ac:dyDescent="0.25">
      <c r="B98" s="24" t="s">
        <v>138</v>
      </c>
      <c r="C98" s="49">
        <f>AVERAGE('01.08 KYEBANDO-NSOOBA-24h'!C98,'03.80 NSOOBA-KYEBANDO-24h'!C98)</f>
        <v>2.5</v>
      </c>
      <c r="D98" s="49">
        <f>AVERAGE('01.08 KYEBANDO-NSOOBA-24h'!D98,'03.80 NSOOBA-KYEBANDO-24h'!D98)</f>
        <v>0.5</v>
      </c>
      <c r="E98" s="49">
        <f>AVERAGE('01.08 KYEBANDO-NSOOBA-24h'!E98,'03.80 NSOOBA-KYEBANDO-24h'!E98)</f>
        <v>0</v>
      </c>
      <c r="F98" s="49">
        <f>AVERAGE('01.08 KYEBANDO-NSOOBA-24h'!F98,'03.80 NSOOBA-KYEBANDO-24h'!F98)</f>
        <v>2.5</v>
      </c>
      <c r="G98" s="49">
        <f>AVERAGE('01.08 KYEBANDO-NSOOBA-24h'!G98,'03.80 NSOOBA-KYEBANDO-24h'!G98)</f>
        <v>0.5</v>
      </c>
      <c r="H98" s="49">
        <f>AVERAGE('01.08 KYEBANDO-NSOOBA-24h'!H98,'03.80 NSOOBA-KYEBANDO-24h'!H98)</f>
        <v>0</v>
      </c>
      <c r="I98" s="49">
        <f>AVERAGE('01.08 KYEBANDO-NSOOBA-24h'!I98,'03.80 NSOOBA-KYEBANDO-24h'!I98)</f>
        <v>0</v>
      </c>
      <c r="J98" s="49">
        <f>AVERAGE('01.08 KYEBANDO-NSOOBA-24h'!J98,'03.80 NSOOBA-KYEBANDO-24h'!J98)</f>
        <v>0</v>
      </c>
      <c r="K98" s="49">
        <f>AVERAGE('01.08 KYEBANDO-NSOOBA-24h'!K98,'03.80 NSOOBA-KYEBANDO-24h'!K98)</f>
        <v>0</v>
      </c>
      <c r="L98" s="49">
        <f>AVERAGE('01.08 KYEBANDO-NSOOBA-24h'!L98,'03.80 NSOOBA-KYEBANDO-24h'!L98)</f>
        <v>0</v>
      </c>
      <c r="M98" s="49">
        <f>AVERAGE('01.08 KYEBANDO-NSOOBA-24h'!M98,'03.80 NSOOBA-KYEBANDO-24h'!M98)</f>
        <v>5</v>
      </c>
      <c r="N98" s="49">
        <f>AVERAGE('01.08 KYEBANDO-NSOOBA-24h'!N98,'03.80 NSOOBA-KYEBANDO-24h'!N98)</f>
        <v>0</v>
      </c>
      <c r="O98" s="15">
        <f t="shared" si="35"/>
        <v>6</v>
      </c>
      <c r="P98" s="15">
        <f t="shared" si="36"/>
        <v>11</v>
      </c>
      <c r="R98" s="8"/>
      <c r="T98"/>
    </row>
    <row r="99" spans="2:20" ht="23.1" customHeight="1" x14ac:dyDescent="0.25">
      <c r="B99" s="23" t="s">
        <v>139</v>
      </c>
      <c r="C99" s="49">
        <f>AVERAGE('01.08 KYEBANDO-NSOOBA-24h'!C99,'03.80 NSOOBA-KYEBANDO-24h'!C99)</f>
        <v>5</v>
      </c>
      <c r="D99" s="49">
        <f>AVERAGE('01.08 KYEBANDO-NSOOBA-24h'!D99,'03.80 NSOOBA-KYEBANDO-24h'!D99)</f>
        <v>0</v>
      </c>
      <c r="E99" s="49">
        <f>AVERAGE('01.08 KYEBANDO-NSOOBA-24h'!E99,'03.80 NSOOBA-KYEBANDO-24h'!E99)</f>
        <v>0</v>
      </c>
      <c r="F99" s="49">
        <f>AVERAGE('01.08 KYEBANDO-NSOOBA-24h'!F99,'03.80 NSOOBA-KYEBANDO-24h'!F99)</f>
        <v>0.5</v>
      </c>
      <c r="G99" s="49">
        <f>AVERAGE('01.08 KYEBANDO-NSOOBA-24h'!G99,'03.80 NSOOBA-KYEBANDO-24h'!G99)</f>
        <v>0</v>
      </c>
      <c r="H99" s="49">
        <f>AVERAGE('01.08 KYEBANDO-NSOOBA-24h'!H99,'03.80 NSOOBA-KYEBANDO-24h'!H99)</f>
        <v>0</v>
      </c>
      <c r="I99" s="49">
        <f>AVERAGE('01.08 KYEBANDO-NSOOBA-24h'!I99,'03.80 NSOOBA-KYEBANDO-24h'!I99)</f>
        <v>0.5</v>
      </c>
      <c r="J99" s="49">
        <f>AVERAGE('01.08 KYEBANDO-NSOOBA-24h'!J99,'03.80 NSOOBA-KYEBANDO-24h'!J99)</f>
        <v>0</v>
      </c>
      <c r="K99" s="49">
        <f>AVERAGE('01.08 KYEBANDO-NSOOBA-24h'!K99,'03.80 NSOOBA-KYEBANDO-24h'!K99)</f>
        <v>0</v>
      </c>
      <c r="L99" s="49">
        <f>AVERAGE('01.08 KYEBANDO-NSOOBA-24h'!L99,'03.80 NSOOBA-KYEBANDO-24h'!L99)</f>
        <v>0</v>
      </c>
      <c r="M99" s="49">
        <f>AVERAGE('01.08 KYEBANDO-NSOOBA-24h'!M99,'03.80 NSOOBA-KYEBANDO-24h'!M99)</f>
        <v>4</v>
      </c>
      <c r="N99" s="49">
        <f>AVERAGE('01.08 KYEBANDO-NSOOBA-24h'!N99,'03.80 NSOOBA-KYEBANDO-24h'!N99)</f>
        <v>0</v>
      </c>
      <c r="O99" s="15">
        <f t="shared" si="35"/>
        <v>6</v>
      </c>
      <c r="P99" s="15">
        <f t="shared" si="36"/>
        <v>10</v>
      </c>
      <c r="R99" s="8"/>
      <c r="T99"/>
    </row>
    <row r="100" spans="2:20" ht="23.1" customHeight="1" x14ac:dyDescent="0.25">
      <c r="B100" s="25" t="s">
        <v>140</v>
      </c>
      <c r="C100" s="49">
        <f>AVERAGE('01.08 KYEBANDO-NSOOBA-24h'!C100,'03.80 NSOOBA-KYEBANDO-24h'!C100)</f>
        <v>2</v>
      </c>
      <c r="D100" s="49">
        <f>AVERAGE('01.08 KYEBANDO-NSOOBA-24h'!D100,'03.80 NSOOBA-KYEBANDO-24h'!D100)</f>
        <v>0</v>
      </c>
      <c r="E100" s="49">
        <f>AVERAGE('01.08 KYEBANDO-NSOOBA-24h'!E100,'03.80 NSOOBA-KYEBANDO-24h'!E100)</f>
        <v>0</v>
      </c>
      <c r="F100" s="49">
        <f>AVERAGE('01.08 KYEBANDO-NSOOBA-24h'!F100,'03.80 NSOOBA-KYEBANDO-24h'!F100)</f>
        <v>1</v>
      </c>
      <c r="G100" s="49">
        <f>AVERAGE('01.08 KYEBANDO-NSOOBA-24h'!G100,'03.80 NSOOBA-KYEBANDO-24h'!G100)</f>
        <v>1.5</v>
      </c>
      <c r="H100" s="49">
        <f>AVERAGE('01.08 KYEBANDO-NSOOBA-24h'!H100,'03.80 NSOOBA-KYEBANDO-24h'!H100)</f>
        <v>0</v>
      </c>
      <c r="I100" s="49">
        <f>AVERAGE('01.08 KYEBANDO-NSOOBA-24h'!I100,'03.80 NSOOBA-KYEBANDO-24h'!I100)</f>
        <v>0</v>
      </c>
      <c r="J100" s="49">
        <f>AVERAGE('01.08 KYEBANDO-NSOOBA-24h'!J100,'03.80 NSOOBA-KYEBANDO-24h'!J100)</f>
        <v>0.5</v>
      </c>
      <c r="K100" s="49">
        <f>AVERAGE('01.08 KYEBANDO-NSOOBA-24h'!K100,'03.80 NSOOBA-KYEBANDO-24h'!K100)</f>
        <v>0</v>
      </c>
      <c r="L100" s="49">
        <f>AVERAGE('01.08 KYEBANDO-NSOOBA-24h'!L100,'03.80 NSOOBA-KYEBANDO-24h'!L100)</f>
        <v>0</v>
      </c>
      <c r="M100" s="49">
        <f>AVERAGE('01.08 KYEBANDO-NSOOBA-24h'!M100,'03.80 NSOOBA-KYEBANDO-24h'!M100)</f>
        <v>7.5</v>
      </c>
      <c r="N100" s="49">
        <f>AVERAGE('01.08 KYEBANDO-NSOOBA-24h'!N100,'03.80 NSOOBA-KYEBANDO-24h'!N100)</f>
        <v>0</v>
      </c>
      <c r="O100" s="15">
        <f t="shared" si="35"/>
        <v>5</v>
      </c>
      <c r="P100" s="15">
        <f t="shared" si="36"/>
        <v>12.5</v>
      </c>
      <c r="R100" s="8"/>
      <c r="T100"/>
    </row>
    <row r="101" spans="2:20" ht="23.1" customHeight="1" x14ac:dyDescent="0.25">
      <c r="B101" s="23" t="s">
        <v>141</v>
      </c>
      <c r="C101" s="49">
        <f>AVERAGE('01.08 KYEBANDO-NSOOBA-24h'!C101,'03.80 NSOOBA-KYEBANDO-24h'!C101)</f>
        <v>0.5</v>
      </c>
      <c r="D101" s="49">
        <f>AVERAGE('01.08 KYEBANDO-NSOOBA-24h'!D101,'03.80 NSOOBA-KYEBANDO-24h'!D101)</f>
        <v>1</v>
      </c>
      <c r="E101" s="49">
        <f>AVERAGE('01.08 KYEBANDO-NSOOBA-24h'!E101,'03.80 NSOOBA-KYEBANDO-24h'!E101)</f>
        <v>0</v>
      </c>
      <c r="F101" s="49">
        <f>AVERAGE('01.08 KYEBANDO-NSOOBA-24h'!F101,'03.80 NSOOBA-KYEBANDO-24h'!F101)</f>
        <v>2.5</v>
      </c>
      <c r="G101" s="49">
        <f>AVERAGE('01.08 KYEBANDO-NSOOBA-24h'!G101,'03.80 NSOOBA-KYEBANDO-24h'!G101)</f>
        <v>0</v>
      </c>
      <c r="H101" s="49">
        <f>AVERAGE('01.08 KYEBANDO-NSOOBA-24h'!H101,'03.80 NSOOBA-KYEBANDO-24h'!H101)</f>
        <v>0</v>
      </c>
      <c r="I101" s="49">
        <f>AVERAGE('01.08 KYEBANDO-NSOOBA-24h'!I101,'03.80 NSOOBA-KYEBANDO-24h'!I101)</f>
        <v>0</v>
      </c>
      <c r="J101" s="49">
        <f>AVERAGE('01.08 KYEBANDO-NSOOBA-24h'!J101,'03.80 NSOOBA-KYEBANDO-24h'!J101)</f>
        <v>1</v>
      </c>
      <c r="K101" s="49">
        <f>AVERAGE('01.08 KYEBANDO-NSOOBA-24h'!K101,'03.80 NSOOBA-KYEBANDO-24h'!K101)</f>
        <v>0</v>
      </c>
      <c r="L101" s="49">
        <f>AVERAGE('01.08 KYEBANDO-NSOOBA-24h'!L101,'03.80 NSOOBA-KYEBANDO-24h'!L101)</f>
        <v>0</v>
      </c>
      <c r="M101" s="49">
        <f>AVERAGE('01.08 KYEBANDO-NSOOBA-24h'!M101,'03.80 NSOOBA-KYEBANDO-24h'!M101)</f>
        <v>6</v>
      </c>
      <c r="N101" s="49">
        <f>AVERAGE('01.08 KYEBANDO-NSOOBA-24h'!N101,'03.80 NSOOBA-KYEBANDO-24h'!N101)</f>
        <v>0</v>
      </c>
      <c r="O101" s="15">
        <f t="shared" si="35"/>
        <v>5</v>
      </c>
      <c r="P101" s="15">
        <f t="shared" si="36"/>
        <v>11</v>
      </c>
      <c r="R101" s="8"/>
      <c r="T101"/>
    </row>
    <row r="102" spans="2:20" ht="23.1" customHeight="1" x14ac:dyDescent="0.25">
      <c r="B102" s="24" t="s">
        <v>142</v>
      </c>
      <c r="C102" s="49">
        <f>AVERAGE('01.08 KYEBANDO-NSOOBA-24h'!C102,'03.80 NSOOBA-KYEBANDO-24h'!C102)</f>
        <v>3.5</v>
      </c>
      <c r="D102" s="49">
        <f>AVERAGE('01.08 KYEBANDO-NSOOBA-24h'!D102,'03.80 NSOOBA-KYEBANDO-24h'!D102)</f>
        <v>2.5</v>
      </c>
      <c r="E102" s="49">
        <f>AVERAGE('01.08 KYEBANDO-NSOOBA-24h'!E102,'03.80 NSOOBA-KYEBANDO-24h'!E102)</f>
        <v>0</v>
      </c>
      <c r="F102" s="49">
        <f>AVERAGE('01.08 KYEBANDO-NSOOBA-24h'!F102,'03.80 NSOOBA-KYEBANDO-24h'!F102)</f>
        <v>4</v>
      </c>
      <c r="G102" s="49">
        <f>AVERAGE('01.08 KYEBANDO-NSOOBA-24h'!G102,'03.80 NSOOBA-KYEBANDO-24h'!G102)</f>
        <v>0</v>
      </c>
      <c r="H102" s="49">
        <f>AVERAGE('01.08 KYEBANDO-NSOOBA-24h'!H102,'03.80 NSOOBA-KYEBANDO-24h'!H102)</f>
        <v>0</v>
      </c>
      <c r="I102" s="49">
        <f>AVERAGE('01.08 KYEBANDO-NSOOBA-24h'!I102,'03.80 NSOOBA-KYEBANDO-24h'!I102)</f>
        <v>0.5</v>
      </c>
      <c r="J102" s="49">
        <f>AVERAGE('01.08 KYEBANDO-NSOOBA-24h'!J102,'03.80 NSOOBA-KYEBANDO-24h'!J102)</f>
        <v>0</v>
      </c>
      <c r="K102" s="49">
        <f>AVERAGE('01.08 KYEBANDO-NSOOBA-24h'!K102,'03.80 NSOOBA-KYEBANDO-24h'!K102)</f>
        <v>0</v>
      </c>
      <c r="L102" s="49">
        <f>AVERAGE('01.08 KYEBANDO-NSOOBA-24h'!L102,'03.80 NSOOBA-KYEBANDO-24h'!L102)</f>
        <v>0</v>
      </c>
      <c r="M102" s="49">
        <f>AVERAGE('01.08 KYEBANDO-NSOOBA-24h'!M102,'03.80 NSOOBA-KYEBANDO-24h'!M102)</f>
        <v>4.5</v>
      </c>
      <c r="N102" s="49">
        <f>AVERAGE('01.08 KYEBANDO-NSOOBA-24h'!N102,'03.80 NSOOBA-KYEBANDO-24h'!N102)</f>
        <v>0</v>
      </c>
      <c r="O102" s="15">
        <f t="shared" si="35"/>
        <v>10.5</v>
      </c>
      <c r="P102" s="15">
        <f t="shared" si="36"/>
        <v>15</v>
      </c>
      <c r="R102" s="8"/>
      <c r="T102"/>
    </row>
    <row r="103" spans="2:20" ht="23.1" customHeight="1" x14ac:dyDescent="0.25">
      <c r="B103" s="23" t="s">
        <v>143</v>
      </c>
      <c r="C103" s="49">
        <f>AVERAGE('01.08 KYEBANDO-NSOOBA-24h'!C103,'03.80 NSOOBA-KYEBANDO-24h'!C103)</f>
        <v>1.5</v>
      </c>
      <c r="D103" s="49">
        <f>AVERAGE('01.08 KYEBANDO-NSOOBA-24h'!D103,'03.80 NSOOBA-KYEBANDO-24h'!D103)</f>
        <v>2</v>
      </c>
      <c r="E103" s="49">
        <f>AVERAGE('01.08 KYEBANDO-NSOOBA-24h'!E103,'03.80 NSOOBA-KYEBANDO-24h'!E103)</f>
        <v>0</v>
      </c>
      <c r="F103" s="49">
        <f>AVERAGE('01.08 KYEBANDO-NSOOBA-24h'!F103,'03.80 NSOOBA-KYEBANDO-24h'!F103)</f>
        <v>3</v>
      </c>
      <c r="G103" s="49">
        <f>AVERAGE('01.08 KYEBANDO-NSOOBA-24h'!G103,'03.80 NSOOBA-KYEBANDO-24h'!G103)</f>
        <v>0.5</v>
      </c>
      <c r="H103" s="49">
        <f>AVERAGE('01.08 KYEBANDO-NSOOBA-24h'!H103,'03.80 NSOOBA-KYEBANDO-24h'!H103)</f>
        <v>0</v>
      </c>
      <c r="I103" s="49">
        <f>AVERAGE('01.08 KYEBANDO-NSOOBA-24h'!I103,'03.80 NSOOBA-KYEBANDO-24h'!I103)</f>
        <v>1</v>
      </c>
      <c r="J103" s="49">
        <f>AVERAGE('01.08 KYEBANDO-NSOOBA-24h'!J103,'03.80 NSOOBA-KYEBANDO-24h'!J103)</f>
        <v>0</v>
      </c>
      <c r="K103" s="49">
        <f>AVERAGE('01.08 KYEBANDO-NSOOBA-24h'!K103,'03.80 NSOOBA-KYEBANDO-24h'!K103)</f>
        <v>0</v>
      </c>
      <c r="L103" s="49">
        <f>AVERAGE('01.08 KYEBANDO-NSOOBA-24h'!L103,'03.80 NSOOBA-KYEBANDO-24h'!L103)</f>
        <v>0</v>
      </c>
      <c r="M103" s="49">
        <f>AVERAGE('01.08 KYEBANDO-NSOOBA-24h'!M103,'03.80 NSOOBA-KYEBANDO-24h'!M103)</f>
        <v>10</v>
      </c>
      <c r="N103" s="49">
        <f>AVERAGE('01.08 KYEBANDO-NSOOBA-24h'!N103,'03.80 NSOOBA-KYEBANDO-24h'!N103)</f>
        <v>0</v>
      </c>
      <c r="O103" s="15">
        <f t="shared" si="35"/>
        <v>8</v>
      </c>
      <c r="P103" s="15">
        <f t="shared" si="36"/>
        <v>18</v>
      </c>
      <c r="R103" s="8"/>
      <c r="T103"/>
    </row>
    <row r="104" spans="2:20" ht="23.1" customHeight="1" x14ac:dyDescent="0.25">
      <c r="B104" s="25" t="s">
        <v>144</v>
      </c>
      <c r="C104" s="49">
        <f>AVERAGE('01.08 KYEBANDO-NSOOBA-24h'!C104,'03.80 NSOOBA-KYEBANDO-24h'!C104)</f>
        <v>4</v>
      </c>
      <c r="D104" s="49">
        <f>AVERAGE('01.08 KYEBANDO-NSOOBA-24h'!D104,'03.80 NSOOBA-KYEBANDO-24h'!D104)</f>
        <v>2</v>
      </c>
      <c r="E104" s="49">
        <f>AVERAGE('01.08 KYEBANDO-NSOOBA-24h'!E104,'03.80 NSOOBA-KYEBANDO-24h'!E104)</f>
        <v>0.5</v>
      </c>
      <c r="F104" s="49">
        <f>AVERAGE('01.08 KYEBANDO-NSOOBA-24h'!F104,'03.80 NSOOBA-KYEBANDO-24h'!F104)</f>
        <v>2.5</v>
      </c>
      <c r="G104" s="49">
        <f>AVERAGE('01.08 KYEBANDO-NSOOBA-24h'!G104,'03.80 NSOOBA-KYEBANDO-24h'!G104)</f>
        <v>0.5</v>
      </c>
      <c r="H104" s="49">
        <f>AVERAGE('01.08 KYEBANDO-NSOOBA-24h'!H104,'03.80 NSOOBA-KYEBANDO-24h'!H104)</f>
        <v>0</v>
      </c>
      <c r="I104" s="49">
        <f>AVERAGE('01.08 KYEBANDO-NSOOBA-24h'!I104,'03.80 NSOOBA-KYEBANDO-24h'!I104)</f>
        <v>0</v>
      </c>
      <c r="J104" s="49">
        <f>AVERAGE('01.08 KYEBANDO-NSOOBA-24h'!J104,'03.80 NSOOBA-KYEBANDO-24h'!J104)</f>
        <v>0</v>
      </c>
      <c r="K104" s="49">
        <f>AVERAGE('01.08 KYEBANDO-NSOOBA-24h'!K104,'03.80 NSOOBA-KYEBANDO-24h'!K104)</f>
        <v>0</v>
      </c>
      <c r="L104" s="49">
        <f>AVERAGE('01.08 KYEBANDO-NSOOBA-24h'!L104,'03.80 NSOOBA-KYEBANDO-24h'!L104)</f>
        <v>0</v>
      </c>
      <c r="M104" s="49">
        <f>AVERAGE('01.08 KYEBANDO-NSOOBA-24h'!M104,'03.80 NSOOBA-KYEBANDO-24h'!M104)</f>
        <v>5</v>
      </c>
      <c r="N104" s="49">
        <f>AVERAGE('01.08 KYEBANDO-NSOOBA-24h'!N104,'03.80 NSOOBA-KYEBANDO-24h'!N104)</f>
        <v>0</v>
      </c>
      <c r="O104" s="15">
        <f t="shared" si="35"/>
        <v>9.5</v>
      </c>
      <c r="P104" s="15">
        <f t="shared" si="36"/>
        <v>14.5</v>
      </c>
      <c r="R104" s="8"/>
      <c r="T104"/>
    </row>
    <row r="105" spans="2:20" ht="23.1" customHeight="1" x14ac:dyDescent="0.25">
      <c r="B105" s="23" t="s">
        <v>145</v>
      </c>
      <c r="C105" s="49">
        <f>AVERAGE('01.08 KYEBANDO-NSOOBA-24h'!C105,'03.80 NSOOBA-KYEBANDO-24h'!C105)</f>
        <v>2.5</v>
      </c>
      <c r="D105" s="49">
        <f>AVERAGE('01.08 KYEBANDO-NSOOBA-24h'!D105,'03.80 NSOOBA-KYEBANDO-24h'!D105)</f>
        <v>2</v>
      </c>
      <c r="E105" s="49">
        <f>AVERAGE('01.08 KYEBANDO-NSOOBA-24h'!E105,'03.80 NSOOBA-KYEBANDO-24h'!E105)</f>
        <v>2.5</v>
      </c>
      <c r="F105" s="49">
        <f>AVERAGE('01.08 KYEBANDO-NSOOBA-24h'!F105,'03.80 NSOOBA-KYEBANDO-24h'!F105)</f>
        <v>4</v>
      </c>
      <c r="G105" s="49">
        <f>AVERAGE('01.08 KYEBANDO-NSOOBA-24h'!G105,'03.80 NSOOBA-KYEBANDO-24h'!G105)</f>
        <v>0</v>
      </c>
      <c r="H105" s="49">
        <f>AVERAGE('01.08 KYEBANDO-NSOOBA-24h'!H105,'03.80 NSOOBA-KYEBANDO-24h'!H105)</f>
        <v>0</v>
      </c>
      <c r="I105" s="49">
        <f>AVERAGE('01.08 KYEBANDO-NSOOBA-24h'!I105,'03.80 NSOOBA-KYEBANDO-24h'!I105)</f>
        <v>0</v>
      </c>
      <c r="J105" s="49">
        <f>AVERAGE('01.08 KYEBANDO-NSOOBA-24h'!J105,'03.80 NSOOBA-KYEBANDO-24h'!J105)</f>
        <v>0</v>
      </c>
      <c r="K105" s="49">
        <f>AVERAGE('01.08 KYEBANDO-NSOOBA-24h'!K105,'03.80 NSOOBA-KYEBANDO-24h'!K105)</f>
        <v>0</v>
      </c>
      <c r="L105" s="49">
        <f>AVERAGE('01.08 KYEBANDO-NSOOBA-24h'!L105,'03.80 NSOOBA-KYEBANDO-24h'!L105)</f>
        <v>0</v>
      </c>
      <c r="M105" s="49">
        <f>AVERAGE('01.08 KYEBANDO-NSOOBA-24h'!M105,'03.80 NSOOBA-KYEBANDO-24h'!M105)</f>
        <v>8.5</v>
      </c>
      <c r="N105" s="49">
        <f>AVERAGE('01.08 KYEBANDO-NSOOBA-24h'!N105,'03.80 NSOOBA-KYEBANDO-24h'!N105)</f>
        <v>0</v>
      </c>
      <c r="O105" s="15">
        <f t="shared" si="35"/>
        <v>11</v>
      </c>
      <c r="P105" s="15">
        <f t="shared" si="36"/>
        <v>19.5</v>
      </c>
      <c r="R105" s="8"/>
      <c r="T105"/>
    </row>
    <row r="106" spans="2:20" ht="23.1" customHeight="1" x14ac:dyDescent="0.25">
      <c r="B106" s="26" t="s">
        <v>18</v>
      </c>
      <c r="C106" s="16">
        <f t="shared" ref="C106:P106" si="37">SUM(C10:C57)</f>
        <v>1437.7142857142858</v>
      </c>
      <c r="D106" s="16">
        <f t="shared" si="37"/>
        <v>354.71428571428567</v>
      </c>
      <c r="E106" s="16">
        <f t="shared" si="37"/>
        <v>252.28571428571428</v>
      </c>
      <c r="F106" s="16">
        <f t="shared" si="37"/>
        <v>616.857142857143</v>
      </c>
      <c r="G106" s="16">
        <f t="shared" si="37"/>
        <v>19.428571428571431</v>
      </c>
      <c r="H106" s="16">
        <f t="shared" si="37"/>
        <v>4.7142857142857135</v>
      </c>
      <c r="I106" s="16">
        <f t="shared" si="37"/>
        <v>237.4285714285715</v>
      </c>
      <c r="J106" s="16">
        <f t="shared" si="37"/>
        <v>49.714285714285708</v>
      </c>
      <c r="K106" s="16">
        <f t="shared" si="37"/>
        <v>18</v>
      </c>
      <c r="L106" s="16">
        <f t="shared" si="37"/>
        <v>16.88095238095238</v>
      </c>
      <c r="M106" s="16">
        <f t="shared" si="37"/>
        <v>3383.1428571428569</v>
      </c>
      <c r="N106" s="16">
        <f t="shared" si="37"/>
        <v>0</v>
      </c>
      <c r="O106" s="16">
        <f t="shared" si="37"/>
        <v>3007.7380952380954</v>
      </c>
      <c r="P106" s="16">
        <f t="shared" si="37"/>
        <v>6390.8809523809514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0.22496339650618258</v>
      </c>
      <c r="D107" s="43">
        <f t="shared" si="38"/>
        <v>5.5503190930529737E-2</v>
      </c>
      <c r="E107" s="43">
        <f t="shared" si="38"/>
        <v>3.9475890126184264E-2</v>
      </c>
      <c r="F107" s="43">
        <f t="shared" si="38"/>
        <v>9.6521457284747272E-2</v>
      </c>
      <c r="G107" s="43">
        <f t="shared" si="38"/>
        <v>3.0400458987321975E-3</v>
      </c>
      <c r="H107" s="43">
        <f t="shared" si="38"/>
        <v>7.3765819601590064E-4</v>
      </c>
      <c r="I107" s="43">
        <f t="shared" si="38"/>
        <v>3.7151149144800832E-2</v>
      </c>
      <c r="J107" s="43">
        <f t="shared" si="38"/>
        <v>7.7789409761676795E-3</v>
      </c>
      <c r="K107" s="43">
        <f t="shared" si="38"/>
        <v>2.8165131120607119E-3</v>
      </c>
      <c r="L107" s="43">
        <f t="shared" si="38"/>
        <v>2.6414124291680484E-3</v>
      </c>
      <c r="M107" s="43">
        <f t="shared" si="38"/>
        <v>0.52937034539541095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0.47800514545814365</v>
      </c>
      <c r="D108" s="44">
        <f t="shared" ref="D108:N108" si="39">D106/$O$106</f>
        <v>0.11793390065307735</v>
      </c>
      <c r="E108" s="44">
        <f t="shared" si="39"/>
        <v>8.3878883831387294E-2</v>
      </c>
      <c r="F108" s="44">
        <f t="shared" si="39"/>
        <v>0.20509004551751439</v>
      </c>
      <c r="G108" s="44">
        <f t="shared" si="39"/>
        <v>6.4595289926776172E-3</v>
      </c>
      <c r="H108" s="44">
        <f t="shared" si="39"/>
        <v>1.5673857114585391E-3</v>
      </c>
      <c r="I108" s="44">
        <f t="shared" si="39"/>
        <v>7.8939244013457366E-2</v>
      </c>
      <c r="J108" s="44">
        <f t="shared" si="39"/>
        <v>1.652879477538096E-2</v>
      </c>
      <c r="K108" s="44">
        <f t="shared" si="39"/>
        <v>5.9845636255689682E-3</v>
      </c>
      <c r="L108" s="44">
        <f t="shared" si="39"/>
        <v>5.6125074213338602E-3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74" zoomScale="60" workbookViewId="0">
      <selection activeCell="AE57" sqref="A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2" t="s">
        <v>23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2" ht="20.100000000000001" customHeight="1" x14ac:dyDescent="0.25">
      <c r="B2" s="68" t="s">
        <v>95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2:32" ht="20.100000000000001" customHeight="1" x14ac:dyDescent="0.25">
      <c r="B3" s="22" t="s">
        <v>96</v>
      </c>
      <c r="C3" s="69" t="str">
        <f>'04.08.Kyebando-Nsooba'!C3:G3</f>
        <v>MCC - C1 - STN029 - RING ROAD</v>
      </c>
      <c r="D3" s="69"/>
      <c r="E3" s="69"/>
      <c r="F3" s="69"/>
      <c r="G3" s="69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163</v>
      </c>
      <c r="E5" s="73"/>
      <c r="F5" s="41" t="s">
        <v>1</v>
      </c>
      <c r="G5" s="70">
        <f>'Avg Week Kyebando-Nsooba'!G5:H5</f>
        <v>29</v>
      </c>
      <c r="H5" s="71"/>
      <c r="I5" s="14"/>
      <c r="J5" s="2" t="s">
        <v>5</v>
      </c>
      <c r="K5" s="70" t="str">
        <f>'Avg Week Kyebando-Nsooba'!K5:L5</f>
        <v>NAKAWA JULIET</v>
      </c>
      <c r="L5" s="71"/>
      <c r="M5" s="10"/>
      <c r="N5" s="10"/>
      <c r="O5" s="3"/>
      <c r="P5" s="3"/>
    </row>
    <row r="6" spans="2:32" ht="23.25" customHeight="1" x14ac:dyDescent="0.25">
      <c r="C6" s="2" t="s">
        <v>4</v>
      </c>
      <c r="D6" s="74" t="s">
        <v>161</v>
      </c>
      <c r="E6" s="75"/>
      <c r="F6" s="2" t="s">
        <v>2</v>
      </c>
      <c r="G6" s="74" t="s">
        <v>161</v>
      </c>
      <c r="H6" s="75"/>
      <c r="J6" s="2" t="s">
        <v>21</v>
      </c>
      <c r="K6" s="70" t="str">
        <f>'Avg Week Kyebando-Nsooba'!K6:L6</f>
        <v>EMMA</v>
      </c>
      <c r="L6" s="7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1" t="s">
        <v>88</v>
      </c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Nsooba-Kyebando'!C10+'Avg Week Kyebando-Nsooba'!C10</f>
        <v>77.142857142857139</v>
      </c>
      <c r="D10" s="49">
        <f>'Avg Week Nsooba-Kyebando'!D10+'Avg Week Kyebando-Nsooba'!D10</f>
        <v>17.857142857142858</v>
      </c>
      <c r="E10" s="49">
        <f>'Avg Week Nsooba-Kyebando'!E10+'Avg Week Kyebando-Nsooba'!E10</f>
        <v>8.5714285714285712</v>
      </c>
      <c r="F10" s="49">
        <f>'Avg Week Nsooba-Kyebando'!F10+'Avg Week Kyebando-Nsooba'!F10</f>
        <v>44.714285714285715</v>
      </c>
      <c r="G10" s="49">
        <f>'Avg Week Nsooba-Kyebando'!G10+'Avg Week Kyebando-Nsooba'!G10</f>
        <v>1.4285714285714284</v>
      </c>
      <c r="H10" s="49">
        <f>'Avg Week Nsooba-Kyebando'!H10+'Avg Week Kyebando-Nsooba'!H10</f>
        <v>0.14285714285714285</v>
      </c>
      <c r="I10" s="49">
        <f>'Avg Week Nsooba-Kyebando'!I10+'Avg Week Kyebando-Nsooba'!I10</f>
        <v>6.7142857142857144</v>
      </c>
      <c r="J10" s="49">
        <f>'Avg Week Nsooba-Kyebando'!J10+'Avg Week Kyebando-Nsooba'!J10</f>
        <v>1.2857142857142856</v>
      </c>
      <c r="K10" s="49">
        <f>'Avg Week Nsooba-Kyebando'!K10+'Avg Week Kyebando-Nsooba'!K10</f>
        <v>0.14285714285714285</v>
      </c>
      <c r="L10" s="49">
        <f>'Avg Week Nsooba-Kyebando'!L10+'Avg Week Kyebando-Nsooba'!L10</f>
        <v>0.14285714285714285</v>
      </c>
      <c r="M10" s="49">
        <f>'Avg Week Nsooba-Kyebando'!M10+'Avg Week Kyebando-Nsooba'!M10</f>
        <v>126.57142857142858</v>
      </c>
      <c r="N10" s="49">
        <f>'Avg Week Nsooba-Kyebando'!N10+'Avg Week Kyebando-Nsooba'!N10</f>
        <v>0</v>
      </c>
      <c r="O10" s="15">
        <f t="shared" ref="O10:O73" si="0">SUM(C10:L10,N10)</f>
        <v>158.14285714285711</v>
      </c>
      <c r="P10" s="15">
        <f t="shared" ref="P10:P73" si="1">SUM(C10:N10)</f>
        <v>284.71428571428567</v>
      </c>
      <c r="R10" s="1" t="s">
        <v>6</v>
      </c>
      <c r="S10" s="17">
        <f t="shared" ref="S10:AF10" si="2">SUM(C10:C13)</f>
        <v>318.85714285714289</v>
      </c>
      <c r="T10" s="17">
        <f t="shared" si="2"/>
        <v>61.857142857142861</v>
      </c>
      <c r="U10" s="17">
        <f t="shared" si="2"/>
        <v>31.285714285714285</v>
      </c>
      <c r="V10" s="17">
        <f t="shared" si="2"/>
        <v>188.28571428571428</v>
      </c>
      <c r="W10" s="17">
        <f t="shared" si="2"/>
        <v>3.2857142857142856</v>
      </c>
      <c r="X10" s="17">
        <f t="shared" si="2"/>
        <v>0.42857142857142855</v>
      </c>
      <c r="Y10" s="17">
        <f t="shared" si="2"/>
        <v>26.571428571428569</v>
      </c>
      <c r="Z10" s="17">
        <f t="shared" si="2"/>
        <v>4.2857142857142856</v>
      </c>
      <c r="AA10" s="17">
        <f t="shared" si="2"/>
        <v>1.1428571428571428</v>
      </c>
      <c r="AB10" s="17">
        <f t="shared" si="2"/>
        <v>0.71428571428571419</v>
      </c>
      <c r="AC10" s="17">
        <f t="shared" si="2"/>
        <v>655.42857142857144</v>
      </c>
      <c r="AD10" s="17">
        <f t="shared" si="2"/>
        <v>0</v>
      </c>
      <c r="AE10" s="31">
        <f t="shared" si="2"/>
        <v>636.71428571428578</v>
      </c>
      <c r="AF10" s="31">
        <f t="shared" si="2"/>
        <v>1292.1428571428571</v>
      </c>
    </row>
    <row r="11" spans="2:32" s="6" customFormat="1" ht="23.1" customHeight="1" x14ac:dyDescent="0.25">
      <c r="B11" s="23" t="s">
        <v>38</v>
      </c>
      <c r="C11" s="49">
        <f>'Avg Week Nsooba-Kyebando'!C11+'Avg Week Kyebando-Nsooba'!C11</f>
        <v>73.285714285714292</v>
      </c>
      <c r="D11" s="49">
        <f>'Avg Week Nsooba-Kyebando'!D11+'Avg Week Kyebando-Nsooba'!D11</f>
        <v>12.857142857142858</v>
      </c>
      <c r="E11" s="49">
        <f>'Avg Week Nsooba-Kyebando'!E11+'Avg Week Kyebando-Nsooba'!E11</f>
        <v>6.2857142857142865</v>
      </c>
      <c r="F11" s="49">
        <f>'Avg Week Nsooba-Kyebando'!F11+'Avg Week Kyebando-Nsooba'!F11</f>
        <v>47.571428571428569</v>
      </c>
      <c r="G11" s="49">
        <f>'Avg Week Nsooba-Kyebando'!G11+'Avg Week Kyebando-Nsooba'!G11</f>
        <v>0.42857142857142855</v>
      </c>
      <c r="H11" s="49">
        <f>'Avg Week Nsooba-Kyebando'!H11+'Avg Week Kyebando-Nsooba'!H11</f>
        <v>0</v>
      </c>
      <c r="I11" s="49">
        <f>'Avg Week Nsooba-Kyebando'!I11+'Avg Week Kyebando-Nsooba'!I11</f>
        <v>6.5714285714285712</v>
      </c>
      <c r="J11" s="49">
        <f>'Avg Week Nsooba-Kyebando'!J11+'Avg Week Kyebando-Nsooba'!J11</f>
        <v>1</v>
      </c>
      <c r="K11" s="49">
        <f>'Avg Week Nsooba-Kyebando'!K11+'Avg Week Kyebando-Nsooba'!K11</f>
        <v>0.14285714285714285</v>
      </c>
      <c r="L11" s="49">
        <f>'Avg Week Nsooba-Kyebando'!L11+'Avg Week Kyebando-Nsooba'!L11</f>
        <v>0.14285714285714285</v>
      </c>
      <c r="M11" s="49">
        <f>'Avg Week Nsooba-Kyebando'!M11+'Avg Week Kyebando-Nsooba'!M11</f>
        <v>147.42857142857142</v>
      </c>
      <c r="N11" s="49">
        <f>'Avg Week Nsooba-Kyebando'!N11+'Avg Week Kyebando-Nsooba'!N11</f>
        <v>0</v>
      </c>
      <c r="O11" s="15">
        <f t="shared" si="0"/>
        <v>148.28571428571428</v>
      </c>
      <c r="P11" s="15">
        <f t="shared" si="1"/>
        <v>295.71428571428567</v>
      </c>
      <c r="R11" s="1" t="s">
        <v>7</v>
      </c>
      <c r="S11" s="17">
        <f t="shared" ref="S11:AF11" si="3">SUM(C14:C17)</f>
        <v>290.57142857142856</v>
      </c>
      <c r="T11" s="17">
        <f t="shared" si="3"/>
        <v>57.428571428571431</v>
      </c>
      <c r="U11" s="17">
        <f t="shared" si="3"/>
        <v>33</v>
      </c>
      <c r="V11" s="17">
        <f t="shared" si="3"/>
        <v>177.28571428571431</v>
      </c>
      <c r="W11" s="17">
        <f t="shared" si="3"/>
        <v>2.8571428571428568</v>
      </c>
      <c r="X11" s="17">
        <f t="shared" si="3"/>
        <v>0.2857142857142857</v>
      </c>
      <c r="Y11" s="17">
        <f t="shared" si="3"/>
        <v>25.285714285714285</v>
      </c>
      <c r="Z11" s="17">
        <f t="shared" si="3"/>
        <v>5</v>
      </c>
      <c r="AA11" s="17">
        <f t="shared" si="3"/>
        <v>1.857142857142857</v>
      </c>
      <c r="AB11" s="17">
        <f t="shared" si="3"/>
        <v>0.2857142857142857</v>
      </c>
      <c r="AC11" s="17">
        <f t="shared" si="3"/>
        <v>856.71428571428578</v>
      </c>
      <c r="AD11" s="17">
        <f t="shared" si="3"/>
        <v>0</v>
      </c>
      <c r="AE11" s="31">
        <f t="shared" si="3"/>
        <v>593.85714285714289</v>
      </c>
      <c r="AF11" s="31">
        <f t="shared" si="3"/>
        <v>1450.5714285714287</v>
      </c>
    </row>
    <row r="12" spans="2:32" ht="23.1" customHeight="1" x14ac:dyDescent="0.25">
      <c r="B12" s="23" t="s">
        <v>39</v>
      </c>
      <c r="C12" s="49">
        <f>'Avg Week Nsooba-Kyebando'!C12+'Avg Week Kyebando-Nsooba'!C12</f>
        <v>85.571428571428584</v>
      </c>
      <c r="D12" s="49">
        <f>'Avg Week Nsooba-Kyebando'!D12+'Avg Week Kyebando-Nsooba'!D12</f>
        <v>14.714285714285715</v>
      </c>
      <c r="E12" s="49">
        <f>'Avg Week Nsooba-Kyebando'!E12+'Avg Week Kyebando-Nsooba'!E12</f>
        <v>8.4285714285714288</v>
      </c>
      <c r="F12" s="49">
        <f>'Avg Week Nsooba-Kyebando'!F12+'Avg Week Kyebando-Nsooba'!F12</f>
        <v>52.142857142857139</v>
      </c>
      <c r="G12" s="49">
        <f>'Avg Week Nsooba-Kyebando'!G12+'Avg Week Kyebando-Nsooba'!G12</f>
        <v>0.8571428571428571</v>
      </c>
      <c r="H12" s="49">
        <f>'Avg Week Nsooba-Kyebando'!H12+'Avg Week Kyebando-Nsooba'!H12</f>
        <v>0.14285714285714285</v>
      </c>
      <c r="I12" s="49">
        <f>'Avg Week Nsooba-Kyebando'!I12+'Avg Week Kyebando-Nsooba'!I12</f>
        <v>7.2857142857142847</v>
      </c>
      <c r="J12" s="49">
        <f>'Avg Week Nsooba-Kyebando'!J12+'Avg Week Kyebando-Nsooba'!J12</f>
        <v>0.42857142857142855</v>
      </c>
      <c r="K12" s="49">
        <f>'Avg Week Nsooba-Kyebando'!K12+'Avg Week Kyebando-Nsooba'!K12</f>
        <v>0.5714285714285714</v>
      </c>
      <c r="L12" s="49">
        <f>'Avg Week Nsooba-Kyebando'!L12+'Avg Week Kyebando-Nsooba'!L12</f>
        <v>0.42857142857142855</v>
      </c>
      <c r="M12" s="49">
        <f>'Avg Week Nsooba-Kyebando'!M12+'Avg Week Kyebando-Nsooba'!M12</f>
        <v>188</v>
      </c>
      <c r="N12" s="49">
        <f>'Avg Week Nsooba-Kyebando'!N12+'Avg Week Kyebando-Nsooba'!N12</f>
        <v>0</v>
      </c>
      <c r="O12" s="15">
        <f t="shared" si="0"/>
        <v>170.57142857142858</v>
      </c>
      <c r="P12" s="15">
        <f t="shared" si="1"/>
        <v>358.57142857142856</v>
      </c>
      <c r="R12" s="1" t="s">
        <v>8</v>
      </c>
      <c r="S12" s="17">
        <f t="shared" ref="S12:AF12" si="4">SUM(C18:C21)</f>
        <v>268.42857142857144</v>
      </c>
      <c r="T12" s="17">
        <f t="shared" si="4"/>
        <v>73.428571428571416</v>
      </c>
      <c r="U12" s="17">
        <f t="shared" si="4"/>
        <v>37.285714285714285</v>
      </c>
      <c r="V12" s="17">
        <f t="shared" si="4"/>
        <v>146.71428571428572</v>
      </c>
      <c r="W12" s="17">
        <f t="shared" si="4"/>
        <v>5.5714285714285712</v>
      </c>
      <c r="X12" s="17">
        <f t="shared" si="4"/>
        <v>0.2857142857142857</v>
      </c>
      <c r="Y12" s="17">
        <f t="shared" si="4"/>
        <v>41.714285714285715</v>
      </c>
      <c r="Z12" s="17">
        <f t="shared" si="4"/>
        <v>5.7142857142857135</v>
      </c>
      <c r="AA12" s="17">
        <f t="shared" si="4"/>
        <v>4.4285714285714288</v>
      </c>
      <c r="AB12" s="17">
        <f t="shared" si="4"/>
        <v>0.5714285714285714</v>
      </c>
      <c r="AC12" s="17">
        <f t="shared" si="4"/>
        <v>742.28571428571433</v>
      </c>
      <c r="AD12" s="17">
        <f t="shared" si="4"/>
        <v>0</v>
      </c>
      <c r="AE12" s="31">
        <f t="shared" si="4"/>
        <v>584.14285714285711</v>
      </c>
      <c r="AF12" s="31">
        <f t="shared" si="4"/>
        <v>1326.4285714285713</v>
      </c>
    </row>
    <row r="13" spans="2:32" ht="23.1" customHeight="1" x14ac:dyDescent="0.25">
      <c r="B13" s="23" t="s">
        <v>40</v>
      </c>
      <c r="C13" s="49">
        <f>'Avg Week Nsooba-Kyebando'!C13+'Avg Week Kyebando-Nsooba'!C13</f>
        <v>82.857142857142861</v>
      </c>
      <c r="D13" s="49">
        <f>'Avg Week Nsooba-Kyebando'!D13+'Avg Week Kyebando-Nsooba'!D13</f>
        <v>16.428571428571431</v>
      </c>
      <c r="E13" s="49">
        <f>'Avg Week Nsooba-Kyebando'!E13+'Avg Week Kyebando-Nsooba'!E13</f>
        <v>8</v>
      </c>
      <c r="F13" s="49">
        <f>'Avg Week Nsooba-Kyebando'!F13+'Avg Week Kyebando-Nsooba'!F13</f>
        <v>43.857142857142861</v>
      </c>
      <c r="G13" s="49">
        <f>'Avg Week Nsooba-Kyebando'!G13+'Avg Week Kyebando-Nsooba'!G13</f>
        <v>0.5714285714285714</v>
      </c>
      <c r="H13" s="49">
        <f>'Avg Week Nsooba-Kyebando'!H13+'Avg Week Kyebando-Nsooba'!H13</f>
        <v>0.14285714285714285</v>
      </c>
      <c r="I13" s="49">
        <f>'Avg Week Nsooba-Kyebando'!I13+'Avg Week Kyebando-Nsooba'!I13</f>
        <v>6</v>
      </c>
      <c r="J13" s="49">
        <f>'Avg Week Nsooba-Kyebando'!J13+'Avg Week Kyebando-Nsooba'!J13</f>
        <v>1.5714285714285714</v>
      </c>
      <c r="K13" s="49">
        <f>'Avg Week Nsooba-Kyebando'!K13+'Avg Week Kyebando-Nsooba'!K13</f>
        <v>0.2857142857142857</v>
      </c>
      <c r="L13" s="49">
        <f>'Avg Week Nsooba-Kyebando'!L13+'Avg Week Kyebando-Nsooba'!L13</f>
        <v>0</v>
      </c>
      <c r="M13" s="49">
        <f>'Avg Week Nsooba-Kyebando'!M13+'Avg Week Kyebando-Nsooba'!M13</f>
        <v>193.42857142857144</v>
      </c>
      <c r="N13" s="49">
        <f>'Avg Week Nsooba-Kyebando'!N13+'Avg Week Kyebando-Nsooba'!N13</f>
        <v>0</v>
      </c>
      <c r="O13" s="15">
        <f t="shared" si="0"/>
        <v>159.71428571428575</v>
      </c>
      <c r="P13" s="15">
        <f t="shared" si="1"/>
        <v>353.14285714285722</v>
      </c>
      <c r="R13" s="1" t="s">
        <v>9</v>
      </c>
      <c r="S13" s="17">
        <f t="shared" ref="S13:AF13" si="5">SUM(C22:C25)</f>
        <v>235.14285714285714</v>
      </c>
      <c r="T13" s="17">
        <f t="shared" si="5"/>
        <v>72</v>
      </c>
      <c r="U13" s="17">
        <f t="shared" si="5"/>
        <v>36</v>
      </c>
      <c r="V13" s="17">
        <f t="shared" si="5"/>
        <v>116.14285714285714</v>
      </c>
      <c r="W13" s="17">
        <f t="shared" si="5"/>
        <v>1.7142857142857144</v>
      </c>
      <c r="X13" s="17">
        <f t="shared" si="5"/>
        <v>0.2857142857142857</v>
      </c>
      <c r="Y13" s="17">
        <f t="shared" si="5"/>
        <v>39.714285714285708</v>
      </c>
      <c r="Z13" s="17">
        <f t="shared" si="5"/>
        <v>7.7142857142857135</v>
      </c>
      <c r="AA13" s="17">
        <f t="shared" si="5"/>
        <v>2</v>
      </c>
      <c r="AB13" s="17">
        <f t="shared" si="5"/>
        <v>0.71428571428571419</v>
      </c>
      <c r="AC13" s="17">
        <f t="shared" si="5"/>
        <v>596.85714285714289</v>
      </c>
      <c r="AD13" s="17">
        <f t="shared" si="5"/>
        <v>0</v>
      </c>
      <c r="AE13" s="31">
        <f t="shared" si="5"/>
        <v>511.42857142857144</v>
      </c>
      <c r="AF13" s="31">
        <f t="shared" si="5"/>
        <v>1108.2857142857142</v>
      </c>
    </row>
    <row r="14" spans="2:32" ht="23.1" customHeight="1" x14ac:dyDescent="0.25">
      <c r="B14" s="23" t="s">
        <v>41</v>
      </c>
      <c r="C14" s="49">
        <f>'Avg Week Nsooba-Kyebando'!C14+'Avg Week Kyebando-Nsooba'!C14</f>
        <v>78.285714285714278</v>
      </c>
      <c r="D14" s="49">
        <f>'Avg Week Nsooba-Kyebando'!D14+'Avg Week Kyebando-Nsooba'!D14</f>
        <v>13.857142857142858</v>
      </c>
      <c r="E14" s="49">
        <f>'Avg Week Nsooba-Kyebando'!E14+'Avg Week Kyebando-Nsooba'!E14</f>
        <v>5.7142857142857144</v>
      </c>
      <c r="F14" s="49">
        <f>'Avg Week Nsooba-Kyebando'!F14+'Avg Week Kyebando-Nsooba'!F14</f>
        <v>45.142857142857146</v>
      </c>
      <c r="G14" s="49">
        <f>'Avg Week Nsooba-Kyebando'!G14+'Avg Week Kyebando-Nsooba'!G14</f>
        <v>0.5714285714285714</v>
      </c>
      <c r="H14" s="49">
        <f>'Avg Week Nsooba-Kyebando'!H14+'Avg Week Kyebando-Nsooba'!H14</f>
        <v>0</v>
      </c>
      <c r="I14" s="49">
        <f>'Avg Week Nsooba-Kyebando'!I14+'Avg Week Kyebando-Nsooba'!I14</f>
        <v>5.1428571428571423</v>
      </c>
      <c r="J14" s="49">
        <f>'Avg Week Nsooba-Kyebando'!J14+'Avg Week Kyebando-Nsooba'!J14</f>
        <v>0.85714285714285721</v>
      </c>
      <c r="K14" s="49">
        <f>'Avg Week Nsooba-Kyebando'!K14+'Avg Week Kyebando-Nsooba'!K14</f>
        <v>0.2857142857142857</v>
      </c>
      <c r="L14" s="49">
        <f>'Avg Week Nsooba-Kyebando'!L14+'Avg Week Kyebando-Nsooba'!L14</f>
        <v>0.2857142857142857</v>
      </c>
      <c r="M14" s="49">
        <f>'Avg Week Nsooba-Kyebando'!M14+'Avg Week Kyebando-Nsooba'!M14</f>
        <v>210.71428571428572</v>
      </c>
      <c r="N14" s="49">
        <f>'Avg Week Nsooba-Kyebando'!N14+'Avg Week Kyebando-Nsooba'!N14</f>
        <v>0</v>
      </c>
      <c r="O14" s="15">
        <f t="shared" si="0"/>
        <v>150.14285714285714</v>
      </c>
      <c r="P14" s="15">
        <f t="shared" si="1"/>
        <v>360.85714285714289</v>
      </c>
      <c r="R14" s="1" t="s">
        <v>10</v>
      </c>
      <c r="S14" s="17">
        <f t="shared" ref="S14:AF14" si="6">SUM(C26:C29)</f>
        <v>204.71428571428572</v>
      </c>
      <c r="T14" s="17">
        <f t="shared" si="6"/>
        <v>58.571428571428569</v>
      </c>
      <c r="U14" s="17">
        <f t="shared" si="6"/>
        <v>35.571428571428569</v>
      </c>
      <c r="V14" s="17">
        <f t="shared" si="6"/>
        <v>75.428571428571431</v>
      </c>
      <c r="W14" s="17">
        <f t="shared" si="6"/>
        <v>1.5714285714285714</v>
      </c>
      <c r="X14" s="17">
        <f t="shared" si="6"/>
        <v>1</v>
      </c>
      <c r="Y14" s="17">
        <f t="shared" si="6"/>
        <v>34.142857142857139</v>
      </c>
      <c r="Z14" s="17">
        <f t="shared" si="6"/>
        <v>4.7142857142857135</v>
      </c>
      <c r="AA14" s="17">
        <f t="shared" si="6"/>
        <v>2</v>
      </c>
      <c r="AB14" s="17">
        <f t="shared" si="6"/>
        <v>0.42857142857142855</v>
      </c>
      <c r="AC14" s="17">
        <f t="shared" si="6"/>
        <v>482.42857142857144</v>
      </c>
      <c r="AD14" s="17">
        <f t="shared" si="6"/>
        <v>0</v>
      </c>
      <c r="AE14" s="31">
        <f t="shared" si="6"/>
        <v>418.14285714285717</v>
      </c>
      <c r="AF14" s="31">
        <f t="shared" si="6"/>
        <v>900.57142857142867</v>
      </c>
    </row>
    <row r="15" spans="2:32" ht="23.1" customHeight="1" x14ac:dyDescent="0.25">
      <c r="B15" s="23" t="s">
        <v>42</v>
      </c>
      <c r="C15" s="49">
        <f>'Avg Week Nsooba-Kyebando'!C15+'Avg Week Kyebando-Nsooba'!C15</f>
        <v>69.285714285714278</v>
      </c>
      <c r="D15" s="49">
        <f>'Avg Week Nsooba-Kyebando'!D15+'Avg Week Kyebando-Nsooba'!D15</f>
        <v>13.571428571428571</v>
      </c>
      <c r="E15" s="49">
        <f>'Avg Week Nsooba-Kyebando'!E15+'Avg Week Kyebando-Nsooba'!E15</f>
        <v>10</v>
      </c>
      <c r="F15" s="49">
        <f>'Avg Week Nsooba-Kyebando'!F15+'Avg Week Kyebando-Nsooba'!F15</f>
        <v>46.571428571428569</v>
      </c>
      <c r="G15" s="49">
        <f>'Avg Week Nsooba-Kyebando'!G15+'Avg Week Kyebando-Nsooba'!G15</f>
        <v>0.71428571428571419</v>
      </c>
      <c r="H15" s="49">
        <f>'Avg Week Nsooba-Kyebando'!H15+'Avg Week Kyebando-Nsooba'!H15</f>
        <v>0</v>
      </c>
      <c r="I15" s="49">
        <f>'Avg Week Nsooba-Kyebando'!I15+'Avg Week Kyebando-Nsooba'!I15</f>
        <v>6.1428571428571423</v>
      </c>
      <c r="J15" s="49">
        <f>'Avg Week Nsooba-Kyebando'!J15+'Avg Week Kyebando-Nsooba'!J15</f>
        <v>1.5714285714285714</v>
      </c>
      <c r="K15" s="49">
        <f>'Avg Week Nsooba-Kyebando'!K15+'Avg Week Kyebando-Nsooba'!K15</f>
        <v>0.8571428571428571</v>
      </c>
      <c r="L15" s="49">
        <f>'Avg Week Nsooba-Kyebando'!L15+'Avg Week Kyebando-Nsooba'!L15</f>
        <v>0</v>
      </c>
      <c r="M15" s="49">
        <f>'Avg Week Nsooba-Kyebando'!M15+'Avg Week Kyebando-Nsooba'!M15</f>
        <v>230.42857142857142</v>
      </c>
      <c r="N15" s="49">
        <f>'Avg Week Nsooba-Kyebando'!N15+'Avg Week Kyebando-Nsooba'!N15</f>
        <v>0</v>
      </c>
      <c r="O15" s="15">
        <f t="shared" si="0"/>
        <v>148.71428571428572</v>
      </c>
      <c r="P15" s="15">
        <f t="shared" si="1"/>
        <v>379.14285714285711</v>
      </c>
      <c r="R15" s="1" t="s">
        <v>11</v>
      </c>
      <c r="S15" s="17">
        <f t="shared" ref="S15:AF15" si="7">SUM(C30:C33)</f>
        <v>175</v>
      </c>
      <c r="T15" s="17">
        <f t="shared" si="7"/>
        <v>49.857142857142861</v>
      </c>
      <c r="U15" s="17">
        <f t="shared" si="7"/>
        <v>29</v>
      </c>
      <c r="V15" s="17">
        <f t="shared" si="7"/>
        <v>70.428571428571431</v>
      </c>
      <c r="W15" s="17">
        <f t="shared" si="7"/>
        <v>1.4285714285714284</v>
      </c>
      <c r="X15" s="17">
        <f t="shared" si="7"/>
        <v>0.2857142857142857</v>
      </c>
      <c r="Y15" s="17">
        <f t="shared" si="7"/>
        <v>45.857142857142854</v>
      </c>
      <c r="Z15" s="17">
        <f t="shared" si="7"/>
        <v>8.5714285714285712</v>
      </c>
      <c r="AA15" s="17">
        <f t="shared" si="7"/>
        <v>3.4285714285714284</v>
      </c>
      <c r="AB15" s="17">
        <f t="shared" si="7"/>
        <v>0.71428571428571419</v>
      </c>
      <c r="AC15" s="17">
        <f t="shared" si="7"/>
        <v>415</v>
      </c>
      <c r="AD15" s="17">
        <f t="shared" si="7"/>
        <v>0.42857142857142855</v>
      </c>
      <c r="AE15" s="31">
        <f t="shared" si="7"/>
        <v>385</v>
      </c>
      <c r="AF15" s="31">
        <f t="shared" si="7"/>
        <v>800</v>
      </c>
    </row>
    <row r="16" spans="2:32" ht="23.1" customHeight="1" x14ac:dyDescent="0.25">
      <c r="B16" s="23" t="s">
        <v>43</v>
      </c>
      <c r="C16" s="49">
        <f>'Avg Week Nsooba-Kyebando'!C16+'Avg Week Kyebando-Nsooba'!C16</f>
        <v>74.571428571428569</v>
      </c>
      <c r="D16" s="49">
        <f>'Avg Week Nsooba-Kyebando'!D16+'Avg Week Kyebando-Nsooba'!D16</f>
        <v>14.571428571428571</v>
      </c>
      <c r="E16" s="49">
        <f>'Avg Week Nsooba-Kyebando'!E16+'Avg Week Kyebando-Nsooba'!E16</f>
        <v>8</v>
      </c>
      <c r="F16" s="49">
        <f>'Avg Week Nsooba-Kyebando'!F16+'Avg Week Kyebando-Nsooba'!F16</f>
        <v>47.857142857142861</v>
      </c>
      <c r="G16" s="49">
        <f>'Avg Week Nsooba-Kyebando'!G16+'Avg Week Kyebando-Nsooba'!G16</f>
        <v>0.42857142857142855</v>
      </c>
      <c r="H16" s="49">
        <f>'Avg Week Nsooba-Kyebando'!H16+'Avg Week Kyebando-Nsooba'!H16</f>
        <v>0.14285714285714285</v>
      </c>
      <c r="I16" s="49">
        <f>'Avg Week Nsooba-Kyebando'!I16+'Avg Week Kyebando-Nsooba'!I16</f>
        <v>7.2857142857142865</v>
      </c>
      <c r="J16" s="49">
        <f>'Avg Week Nsooba-Kyebando'!J16+'Avg Week Kyebando-Nsooba'!J16</f>
        <v>1.5714285714285714</v>
      </c>
      <c r="K16" s="49">
        <f>'Avg Week Nsooba-Kyebando'!K16+'Avg Week Kyebando-Nsooba'!K16</f>
        <v>0.14285714285714285</v>
      </c>
      <c r="L16" s="49">
        <f>'Avg Week Nsooba-Kyebando'!L16+'Avg Week Kyebando-Nsooba'!L16</f>
        <v>0</v>
      </c>
      <c r="M16" s="49">
        <f>'Avg Week Nsooba-Kyebando'!M16+'Avg Week Kyebando-Nsooba'!M16</f>
        <v>221.85714285714286</v>
      </c>
      <c r="N16" s="49">
        <f>'Avg Week Nsooba-Kyebando'!N16+'Avg Week Kyebando-Nsooba'!N16</f>
        <v>0</v>
      </c>
      <c r="O16" s="15">
        <f t="shared" si="0"/>
        <v>154.57142857142856</v>
      </c>
      <c r="P16" s="15">
        <f t="shared" si="1"/>
        <v>376.42857142857144</v>
      </c>
      <c r="R16" s="1" t="s">
        <v>12</v>
      </c>
      <c r="S16" s="17">
        <f t="shared" ref="S16:AF16" si="8">SUM(C34:C37)</f>
        <v>181</v>
      </c>
      <c r="T16" s="17">
        <f t="shared" si="8"/>
        <v>43.857142857142861</v>
      </c>
      <c r="U16" s="17">
        <f t="shared" si="8"/>
        <v>32.714285714285708</v>
      </c>
      <c r="V16" s="17">
        <f t="shared" si="8"/>
        <v>60.428571428571431</v>
      </c>
      <c r="W16" s="17">
        <f t="shared" si="8"/>
        <v>1.5714285714285712</v>
      </c>
      <c r="X16" s="17">
        <f t="shared" si="8"/>
        <v>0.85714285714285698</v>
      </c>
      <c r="Y16" s="17">
        <f t="shared" si="8"/>
        <v>36.714285714285715</v>
      </c>
      <c r="Z16" s="17">
        <f t="shared" si="8"/>
        <v>5.5714285714285712</v>
      </c>
      <c r="AA16" s="17">
        <f t="shared" si="8"/>
        <v>3.5714285714285712</v>
      </c>
      <c r="AB16" s="17">
        <f t="shared" si="8"/>
        <v>0.71428571428571419</v>
      </c>
      <c r="AC16" s="17">
        <f t="shared" si="8"/>
        <v>406.14285714285711</v>
      </c>
      <c r="AD16" s="17">
        <f t="shared" si="8"/>
        <v>0</v>
      </c>
      <c r="AE16" s="31">
        <f t="shared" si="8"/>
        <v>367</v>
      </c>
      <c r="AF16" s="31">
        <f t="shared" si="8"/>
        <v>773.14285714285711</v>
      </c>
    </row>
    <row r="17" spans="2:32" ht="23.1" customHeight="1" x14ac:dyDescent="0.25">
      <c r="B17" s="23" t="s">
        <v>44</v>
      </c>
      <c r="C17" s="49">
        <f>'Avg Week Nsooba-Kyebando'!C17+'Avg Week Kyebando-Nsooba'!C17</f>
        <v>68.428571428571431</v>
      </c>
      <c r="D17" s="49">
        <f>'Avg Week Nsooba-Kyebando'!D17+'Avg Week Kyebando-Nsooba'!D17</f>
        <v>15.428571428571427</v>
      </c>
      <c r="E17" s="49">
        <f>'Avg Week Nsooba-Kyebando'!E17+'Avg Week Kyebando-Nsooba'!E17</f>
        <v>9.2857142857142847</v>
      </c>
      <c r="F17" s="49">
        <f>'Avg Week Nsooba-Kyebando'!F17+'Avg Week Kyebando-Nsooba'!F17</f>
        <v>37.714285714285715</v>
      </c>
      <c r="G17" s="49">
        <f>'Avg Week Nsooba-Kyebando'!G17+'Avg Week Kyebando-Nsooba'!G17</f>
        <v>1.1428571428571428</v>
      </c>
      <c r="H17" s="49">
        <f>'Avg Week Nsooba-Kyebando'!H17+'Avg Week Kyebando-Nsooba'!H17</f>
        <v>0.14285714285714285</v>
      </c>
      <c r="I17" s="49">
        <f>'Avg Week Nsooba-Kyebando'!I17+'Avg Week Kyebando-Nsooba'!I17</f>
        <v>6.7142857142857144</v>
      </c>
      <c r="J17" s="49">
        <f>'Avg Week Nsooba-Kyebando'!J17+'Avg Week Kyebando-Nsooba'!J17</f>
        <v>1</v>
      </c>
      <c r="K17" s="49">
        <f>'Avg Week Nsooba-Kyebando'!K17+'Avg Week Kyebando-Nsooba'!K17</f>
        <v>0.5714285714285714</v>
      </c>
      <c r="L17" s="49">
        <f>'Avg Week Nsooba-Kyebando'!L17+'Avg Week Kyebando-Nsooba'!L17</f>
        <v>0</v>
      </c>
      <c r="M17" s="49">
        <f>'Avg Week Nsooba-Kyebando'!M17+'Avg Week Kyebando-Nsooba'!M17</f>
        <v>193.71428571428572</v>
      </c>
      <c r="N17" s="49">
        <f>'Avg Week Nsooba-Kyebando'!N17+'Avg Week Kyebando-Nsooba'!N17</f>
        <v>0</v>
      </c>
      <c r="O17" s="15">
        <f t="shared" si="0"/>
        <v>140.42857142857144</v>
      </c>
      <c r="P17" s="15">
        <f t="shared" si="1"/>
        <v>334.14285714285717</v>
      </c>
      <c r="R17" s="1" t="s">
        <v>13</v>
      </c>
      <c r="S17" s="17">
        <f t="shared" ref="S17:AF17" si="9">SUM(C38:C41)</f>
        <v>203.28571428571428</v>
      </c>
      <c r="T17" s="17">
        <f t="shared" si="9"/>
        <v>38.428571428571423</v>
      </c>
      <c r="U17" s="17">
        <f t="shared" si="9"/>
        <v>27</v>
      </c>
      <c r="V17" s="17">
        <f t="shared" si="9"/>
        <v>48</v>
      </c>
      <c r="W17" s="17">
        <f t="shared" si="9"/>
        <v>2.2857142857142856</v>
      </c>
      <c r="X17" s="17">
        <f t="shared" si="9"/>
        <v>0</v>
      </c>
      <c r="Y17" s="17">
        <f t="shared" si="9"/>
        <v>25.857142857142858</v>
      </c>
      <c r="Z17" s="17">
        <f t="shared" si="9"/>
        <v>4.7142857142857144</v>
      </c>
      <c r="AA17" s="17">
        <f t="shared" si="9"/>
        <v>2.714285714285714</v>
      </c>
      <c r="AB17" s="17">
        <f t="shared" si="9"/>
        <v>1.2857142857142856</v>
      </c>
      <c r="AC17" s="17">
        <f t="shared" si="9"/>
        <v>371.14285714285717</v>
      </c>
      <c r="AD17" s="17">
        <f t="shared" si="9"/>
        <v>0</v>
      </c>
      <c r="AE17" s="31">
        <f t="shared" si="9"/>
        <v>353.57142857142856</v>
      </c>
      <c r="AF17" s="31">
        <f t="shared" si="9"/>
        <v>724.71428571428578</v>
      </c>
    </row>
    <row r="18" spans="2:32" ht="23.1" customHeight="1" x14ac:dyDescent="0.25">
      <c r="B18" s="23" t="s">
        <v>45</v>
      </c>
      <c r="C18" s="49">
        <f>'Avg Week Nsooba-Kyebando'!C18+'Avg Week Kyebando-Nsooba'!C18</f>
        <v>74</v>
      </c>
      <c r="D18" s="49">
        <f>'Avg Week Nsooba-Kyebando'!D18+'Avg Week Kyebando-Nsooba'!D18</f>
        <v>16.857142857142854</v>
      </c>
      <c r="E18" s="49">
        <f>'Avg Week Nsooba-Kyebando'!E18+'Avg Week Kyebando-Nsooba'!E18</f>
        <v>9.8571428571428577</v>
      </c>
      <c r="F18" s="49">
        <f>'Avg Week Nsooba-Kyebando'!F18+'Avg Week Kyebando-Nsooba'!F18</f>
        <v>41.285714285714285</v>
      </c>
      <c r="G18" s="49">
        <f>'Avg Week Nsooba-Kyebando'!G18+'Avg Week Kyebando-Nsooba'!G18</f>
        <v>0.71428571428571419</v>
      </c>
      <c r="H18" s="49">
        <f>'Avg Week Nsooba-Kyebando'!H18+'Avg Week Kyebando-Nsooba'!H18</f>
        <v>0</v>
      </c>
      <c r="I18" s="49">
        <f>'Avg Week Nsooba-Kyebando'!I18+'Avg Week Kyebando-Nsooba'!I18</f>
        <v>8.2857142857142847</v>
      </c>
      <c r="J18" s="49">
        <f>'Avg Week Nsooba-Kyebando'!J18+'Avg Week Kyebando-Nsooba'!J18</f>
        <v>1.5714285714285714</v>
      </c>
      <c r="K18" s="49">
        <f>'Avg Week Nsooba-Kyebando'!K18+'Avg Week Kyebando-Nsooba'!K18</f>
        <v>0.71428571428571419</v>
      </c>
      <c r="L18" s="49">
        <f>'Avg Week Nsooba-Kyebando'!L18+'Avg Week Kyebando-Nsooba'!L18</f>
        <v>0.2857142857142857</v>
      </c>
      <c r="M18" s="49">
        <f>'Avg Week Nsooba-Kyebando'!M18+'Avg Week Kyebando-Nsooba'!M18</f>
        <v>207.85714285714286</v>
      </c>
      <c r="N18" s="49">
        <f>'Avg Week Nsooba-Kyebando'!N18+'Avg Week Kyebando-Nsooba'!N18</f>
        <v>0</v>
      </c>
      <c r="O18" s="15">
        <f t="shared" si="0"/>
        <v>153.57142857142858</v>
      </c>
      <c r="P18" s="15">
        <f t="shared" si="1"/>
        <v>361.42857142857144</v>
      </c>
      <c r="R18" s="1" t="s">
        <v>14</v>
      </c>
      <c r="S18" s="17">
        <f t="shared" ref="S18:AF18" si="10">SUM(C42:C45)</f>
        <v>177.57142857142856</v>
      </c>
      <c r="T18" s="17">
        <f t="shared" si="10"/>
        <v>48.571428571428569</v>
      </c>
      <c r="U18" s="17">
        <f t="shared" si="10"/>
        <v>37.428571428571423</v>
      </c>
      <c r="V18" s="17">
        <f t="shared" si="10"/>
        <v>60.142857142857153</v>
      </c>
      <c r="W18" s="17">
        <f t="shared" si="10"/>
        <v>1.4285714285714284</v>
      </c>
      <c r="X18" s="17">
        <f t="shared" si="10"/>
        <v>0.2857142857142857</v>
      </c>
      <c r="Y18" s="17">
        <f t="shared" si="10"/>
        <v>34</v>
      </c>
      <c r="Z18" s="17">
        <f t="shared" si="10"/>
        <v>5.5714285714285712</v>
      </c>
      <c r="AA18" s="17">
        <f t="shared" si="10"/>
        <v>1.5714285714285714</v>
      </c>
      <c r="AB18" s="17">
        <f t="shared" si="10"/>
        <v>0.30952380952380953</v>
      </c>
      <c r="AC18" s="17">
        <f t="shared" si="10"/>
        <v>390</v>
      </c>
      <c r="AD18" s="17">
        <f t="shared" si="10"/>
        <v>0</v>
      </c>
      <c r="AE18" s="31">
        <f t="shared" si="10"/>
        <v>366.88095238095235</v>
      </c>
      <c r="AF18" s="31">
        <f t="shared" si="10"/>
        <v>756.88095238095241</v>
      </c>
    </row>
    <row r="19" spans="2:32" ht="23.1" customHeight="1" x14ac:dyDescent="0.25">
      <c r="B19" s="23" t="s">
        <v>46</v>
      </c>
      <c r="C19" s="49">
        <f>'Avg Week Nsooba-Kyebando'!C19+'Avg Week Kyebando-Nsooba'!C19</f>
        <v>69.857142857142861</v>
      </c>
      <c r="D19" s="49">
        <f>'Avg Week Nsooba-Kyebando'!D19+'Avg Week Kyebando-Nsooba'!D19</f>
        <v>15.285714285714285</v>
      </c>
      <c r="E19" s="49">
        <f>'Avg Week Nsooba-Kyebando'!E19+'Avg Week Kyebando-Nsooba'!E19</f>
        <v>8.1428571428571423</v>
      </c>
      <c r="F19" s="49">
        <f>'Avg Week Nsooba-Kyebando'!F19+'Avg Week Kyebando-Nsooba'!F19</f>
        <v>41.571428571428569</v>
      </c>
      <c r="G19" s="49">
        <f>'Avg Week Nsooba-Kyebando'!G19+'Avg Week Kyebando-Nsooba'!G19</f>
        <v>0.8571428571428571</v>
      </c>
      <c r="H19" s="49">
        <f>'Avg Week Nsooba-Kyebando'!H19+'Avg Week Kyebando-Nsooba'!H19</f>
        <v>0.14285714285714285</v>
      </c>
      <c r="I19" s="49">
        <f>'Avg Week Nsooba-Kyebando'!I19+'Avg Week Kyebando-Nsooba'!I19</f>
        <v>11.714285714285715</v>
      </c>
      <c r="J19" s="49">
        <f>'Avg Week Nsooba-Kyebando'!J19+'Avg Week Kyebando-Nsooba'!J19</f>
        <v>1.4285714285714284</v>
      </c>
      <c r="K19" s="49">
        <f>'Avg Week Nsooba-Kyebando'!K19+'Avg Week Kyebando-Nsooba'!K19</f>
        <v>0.5714285714285714</v>
      </c>
      <c r="L19" s="49">
        <f>'Avg Week Nsooba-Kyebando'!L19+'Avg Week Kyebando-Nsooba'!L19</f>
        <v>0.14285714285714285</v>
      </c>
      <c r="M19" s="49">
        <f>'Avg Week Nsooba-Kyebando'!M19+'Avg Week Kyebando-Nsooba'!M19</f>
        <v>195.42857142857144</v>
      </c>
      <c r="N19" s="49">
        <f>'Avg Week Nsooba-Kyebando'!N19+'Avg Week Kyebando-Nsooba'!N19</f>
        <v>0</v>
      </c>
      <c r="O19" s="15">
        <f t="shared" si="0"/>
        <v>149.71428571428569</v>
      </c>
      <c r="P19" s="15">
        <f t="shared" si="1"/>
        <v>345.14285714285711</v>
      </c>
      <c r="R19" s="1" t="s">
        <v>15</v>
      </c>
      <c r="S19" s="17">
        <f t="shared" ref="S19:AF19" si="11">SUM(C46:C49)</f>
        <v>226.42857142857144</v>
      </c>
      <c r="T19" s="17">
        <f t="shared" si="11"/>
        <v>55.428571428571431</v>
      </c>
      <c r="U19" s="17">
        <f t="shared" si="11"/>
        <v>35.142857142857146</v>
      </c>
      <c r="V19" s="17">
        <f t="shared" si="11"/>
        <v>65.142857142857139</v>
      </c>
      <c r="W19" s="17">
        <f t="shared" si="11"/>
        <v>2</v>
      </c>
      <c r="X19" s="17">
        <f t="shared" si="11"/>
        <v>1</v>
      </c>
      <c r="Y19" s="17">
        <f t="shared" si="11"/>
        <v>37.714285714285715</v>
      </c>
      <c r="Z19" s="17">
        <f t="shared" si="11"/>
        <v>6</v>
      </c>
      <c r="AA19" s="17">
        <f t="shared" si="11"/>
        <v>2</v>
      </c>
      <c r="AB19" s="17">
        <f t="shared" si="11"/>
        <v>11.714285714285715</v>
      </c>
      <c r="AC19" s="17">
        <f t="shared" si="11"/>
        <v>418.14285714285711</v>
      </c>
      <c r="AD19" s="17">
        <f t="shared" si="11"/>
        <v>0</v>
      </c>
      <c r="AE19" s="31">
        <f t="shared" si="11"/>
        <v>442.57142857142861</v>
      </c>
      <c r="AF19" s="31">
        <f t="shared" si="11"/>
        <v>860.71428571428578</v>
      </c>
    </row>
    <row r="20" spans="2:32" ht="23.1" customHeight="1" x14ac:dyDescent="0.25">
      <c r="B20" s="23" t="s">
        <v>47</v>
      </c>
      <c r="C20" s="49">
        <f>'Avg Week Nsooba-Kyebando'!C20+'Avg Week Kyebando-Nsooba'!C20</f>
        <v>66.571428571428569</v>
      </c>
      <c r="D20" s="49">
        <f>'Avg Week Nsooba-Kyebando'!D20+'Avg Week Kyebando-Nsooba'!D20</f>
        <v>15.571428571428573</v>
      </c>
      <c r="E20" s="49">
        <f>'Avg Week Nsooba-Kyebando'!E20+'Avg Week Kyebando-Nsooba'!E20</f>
        <v>9</v>
      </c>
      <c r="F20" s="49">
        <f>'Avg Week Nsooba-Kyebando'!F20+'Avg Week Kyebando-Nsooba'!F20</f>
        <v>36</v>
      </c>
      <c r="G20" s="49">
        <f>'Avg Week Nsooba-Kyebando'!G20+'Avg Week Kyebando-Nsooba'!G20</f>
        <v>0.5714285714285714</v>
      </c>
      <c r="H20" s="49">
        <f>'Avg Week Nsooba-Kyebando'!H20+'Avg Week Kyebando-Nsooba'!H20</f>
        <v>0.14285714285714285</v>
      </c>
      <c r="I20" s="49">
        <f>'Avg Week Nsooba-Kyebando'!I20+'Avg Week Kyebando-Nsooba'!I20</f>
        <v>10.857142857142858</v>
      </c>
      <c r="J20" s="49">
        <f>'Avg Week Nsooba-Kyebando'!J20+'Avg Week Kyebando-Nsooba'!J20</f>
        <v>1.1428571428571428</v>
      </c>
      <c r="K20" s="49">
        <f>'Avg Week Nsooba-Kyebando'!K20+'Avg Week Kyebando-Nsooba'!K20</f>
        <v>1.7142857142857144</v>
      </c>
      <c r="L20" s="49">
        <f>'Avg Week Nsooba-Kyebando'!L20+'Avg Week Kyebando-Nsooba'!L20</f>
        <v>0.14285714285714285</v>
      </c>
      <c r="M20" s="49">
        <f>'Avg Week Nsooba-Kyebando'!M20+'Avg Week Kyebando-Nsooba'!M20</f>
        <v>165</v>
      </c>
      <c r="N20" s="49">
        <f>'Avg Week Nsooba-Kyebando'!N20+'Avg Week Kyebando-Nsooba'!N20</f>
        <v>0</v>
      </c>
      <c r="O20" s="15">
        <f t="shared" si="0"/>
        <v>141.71428571428569</v>
      </c>
      <c r="P20" s="15">
        <f t="shared" si="1"/>
        <v>306.71428571428567</v>
      </c>
      <c r="R20" s="1" t="s">
        <v>16</v>
      </c>
      <c r="S20" s="17">
        <f t="shared" ref="S20:AF20" si="12">SUM(C50:C53)</f>
        <v>288.71428571428572</v>
      </c>
      <c r="T20" s="17">
        <f t="shared" si="12"/>
        <v>63.714285714285722</v>
      </c>
      <c r="U20" s="17">
        <f t="shared" si="12"/>
        <v>42.142857142857139</v>
      </c>
      <c r="V20" s="17">
        <f t="shared" si="12"/>
        <v>79.142857142857139</v>
      </c>
      <c r="W20" s="17">
        <f t="shared" si="12"/>
        <v>3.5714285714285712</v>
      </c>
      <c r="X20" s="17">
        <f t="shared" si="12"/>
        <v>0.2857142857142857</v>
      </c>
      <c r="Y20" s="17">
        <f t="shared" si="12"/>
        <v>31.142857142857142</v>
      </c>
      <c r="Z20" s="17">
        <f t="shared" si="12"/>
        <v>6.5714285714285712</v>
      </c>
      <c r="AA20" s="17">
        <f t="shared" si="12"/>
        <v>3.9999999999999996</v>
      </c>
      <c r="AB20" s="17">
        <f t="shared" si="12"/>
        <v>0.2857142857142857</v>
      </c>
      <c r="AC20" s="17">
        <f t="shared" si="12"/>
        <v>568.85714285714289</v>
      </c>
      <c r="AD20" s="17">
        <f t="shared" si="12"/>
        <v>0</v>
      </c>
      <c r="AE20" s="31">
        <f t="shared" si="12"/>
        <v>519.57142857142856</v>
      </c>
      <c r="AF20" s="31">
        <f t="shared" si="12"/>
        <v>1088.4285714285716</v>
      </c>
    </row>
    <row r="21" spans="2:32" ht="23.1" customHeight="1" x14ac:dyDescent="0.25">
      <c r="B21" s="23" t="s">
        <v>48</v>
      </c>
      <c r="C21" s="49">
        <f>'Avg Week Nsooba-Kyebando'!C21+'Avg Week Kyebando-Nsooba'!C21</f>
        <v>58</v>
      </c>
      <c r="D21" s="49">
        <f>'Avg Week Nsooba-Kyebando'!D21+'Avg Week Kyebando-Nsooba'!D21</f>
        <v>25.714285714285715</v>
      </c>
      <c r="E21" s="49">
        <f>'Avg Week Nsooba-Kyebando'!E21+'Avg Week Kyebando-Nsooba'!E21</f>
        <v>10.285714285714285</v>
      </c>
      <c r="F21" s="49">
        <f>'Avg Week Nsooba-Kyebando'!F21+'Avg Week Kyebando-Nsooba'!F21</f>
        <v>27.857142857142858</v>
      </c>
      <c r="G21" s="49">
        <f>'Avg Week Nsooba-Kyebando'!G21+'Avg Week Kyebando-Nsooba'!G21</f>
        <v>3.4285714285714284</v>
      </c>
      <c r="H21" s="49">
        <f>'Avg Week Nsooba-Kyebando'!H21+'Avg Week Kyebando-Nsooba'!H21</f>
        <v>0</v>
      </c>
      <c r="I21" s="49">
        <f>'Avg Week Nsooba-Kyebando'!I21+'Avg Week Kyebando-Nsooba'!I21</f>
        <v>10.857142857142858</v>
      </c>
      <c r="J21" s="49">
        <f>'Avg Week Nsooba-Kyebando'!J21+'Avg Week Kyebando-Nsooba'!J21</f>
        <v>1.5714285714285716</v>
      </c>
      <c r="K21" s="49">
        <f>'Avg Week Nsooba-Kyebando'!K21+'Avg Week Kyebando-Nsooba'!K21</f>
        <v>1.4285714285714284</v>
      </c>
      <c r="L21" s="49">
        <f>'Avg Week Nsooba-Kyebando'!L21+'Avg Week Kyebando-Nsooba'!L21</f>
        <v>0</v>
      </c>
      <c r="M21" s="49">
        <f>'Avg Week Nsooba-Kyebando'!M21+'Avg Week Kyebando-Nsooba'!M21</f>
        <v>174</v>
      </c>
      <c r="N21" s="49">
        <f>'Avg Week Nsooba-Kyebando'!N21+'Avg Week Kyebando-Nsooba'!N21</f>
        <v>0</v>
      </c>
      <c r="O21" s="15">
        <f t="shared" si="0"/>
        <v>139.14285714285714</v>
      </c>
      <c r="P21" s="15">
        <f t="shared" si="1"/>
        <v>313.14285714285711</v>
      </c>
      <c r="R21" s="36" t="s">
        <v>20</v>
      </c>
      <c r="S21" s="34">
        <f t="shared" ref="S21:AF21" si="13">SUM(C54:C57)</f>
        <v>278</v>
      </c>
      <c r="T21" s="17">
        <f t="shared" si="13"/>
        <v>46.857142857142861</v>
      </c>
      <c r="U21" s="17">
        <f t="shared" si="13"/>
        <v>33.142857142857146</v>
      </c>
      <c r="V21" s="17">
        <f t="shared" si="13"/>
        <v>89.714285714285722</v>
      </c>
      <c r="W21" s="17">
        <f t="shared" si="13"/>
        <v>4.2857142857142856</v>
      </c>
      <c r="X21" s="17">
        <f t="shared" si="13"/>
        <v>1</v>
      </c>
      <c r="Y21" s="17">
        <f t="shared" si="13"/>
        <v>32.714285714285715</v>
      </c>
      <c r="Z21" s="17">
        <f t="shared" si="13"/>
        <v>5.2857142857142856</v>
      </c>
      <c r="AA21" s="17">
        <f t="shared" si="13"/>
        <v>2.2857142857142856</v>
      </c>
      <c r="AB21" s="17">
        <f t="shared" si="13"/>
        <v>0.14285714285714285</v>
      </c>
      <c r="AC21" s="17">
        <f t="shared" si="13"/>
        <v>603.42857142857144</v>
      </c>
      <c r="AD21" s="17">
        <f t="shared" si="13"/>
        <v>0</v>
      </c>
      <c r="AE21" s="31">
        <f t="shared" si="13"/>
        <v>493.42857142857144</v>
      </c>
      <c r="AF21" s="31">
        <f t="shared" si="13"/>
        <v>1096.8571428571429</v>
      </c>
    </row>
    <row r="22" spans="2:32" ht="23.1" customHeight="1" x14ac:dyDescent="0.25">
      <c r="B22" s="23" t="s">
        <v>49</v>
      </c>
      <c r="C22" s="49">
        <f>'Avg Week Nsooba-Kyebando'!C22+'Avg Week Kyebando-Nsooba'!C22</f>
        <v>66.857142857142861</v>
      </c>
      <c r="D22" s="49">
        <f>'Avg Week Nsooba-Kyebando'!D22+'Avg Week Kyebando-Nsooba'!D22</f>
        <v>19.142857142857142</v>
      </c>
      <c r="E22" s="49">
        <f>'Avg Week Nsooba-Kyebando'!E22+'Avg Week Kyebando-Nsooba'!E22</f>
        <v>9.2857142857142865</v>
      </c>
      <c r="F22" s="49">
        <f>'Avg Week Nsooba-Kyebando'!F22+'Avg Week Kyebando-Nsooba'!F22</f>
        <v>35.857142857142854</v>
      </c>
      <c r="G22" s="49">
        <f>'Avg Week Nsooba-Kyebando'!G22+'Avg Week Kyebando-Nsooba'!G22</f>
        <v>0.2857142857142857</v>
      </c>
      <c r="H22" s="49">
        <f>'Avg Week Nsooba-Kyebando'!H22+'Avg Week Kyebando-Nsooba'!H22</f>
        <v>0.14285714285714285</v>
      </c>
      <c r="I22" s="49">
        <f>'Avg Week Nsooba-Kyebando'!I22+'Avg Week Kyebando-Nsooba'!I22</f>
        <v>11</v>
      </c>
      <c r="J22" s="49">
        <f>'Avg Week Nsooba-Kyebando'!J22+'Avg Week Kyebando-Nsooba'!J22</f>
        <v>1.7142857142857142</v>
      </c>
      <c r="K22" s="49">
        <f>'Avg Week Nsooba-Kyebando'!K22+'Avg Week Kyebando-Nsooba'!K22</f>
        <v>0.85714285714285721</v>
      </c>
      <c r="L22" s="49">
        <f>'Avg Week Nsooba-Kyebando'!L22+'Avg Week Kyebando-Nsooba'!L22</f>
        <v>0</v>
      </c>
      <c r="M22" s="49">
        <f>'Avg Week Nsooba-Kyebando'!M22+'Avg Week Kyebando-Nsooba'!M22</f>
        <v>152.28571428571428</v>
      </c>
      <c r="N22" s="49">
        <f>'Avg Week Nsooba-Kyebando'!N22+'Avg Week Kyebando-Nsooba'!N22</f>
        <v>0</v>
      </c>
      <c r="O22" s="15">
        <f t="shared" si="0"/>
        <v>145.14285714285714</v>
      </c>
      <c r="P22" s="15">
        <f t="shared" si="1"/>
        <v>297.42857142857144</v>
      </c>
      <c r="R22" s="1" t="s">
        <v>146</v>
      </c>
      <c r="S22" s="34">
        <f>SUM(C58:C61)</f>
        <v>277</v>
      </c>
      <c r="T22" s="34">
        <f t="shared" ref="T22:AF22" si="14">SUM(D58:D61)</f>
        <v>40</v>
      </c>
      <c r="U22" s="34">
        <f t="shared" si="14"/>
        <v>34</v>
      </c>
      <c r="V22" s="34">
        <f t="shared" si="14"/>
        <v>114</v>
      </c>
      <c r="W22" s="34">
        <f t="shared" si="14"/>
        <v>3.5</v>
      </c>
      <c r="X22" s="34">
        <f t="shared" si="14"/>
        <v>2.5</v>
      </c>
      <c r="Y22" s="34">
        <f t="shared" si="14"/>
        <v>33</v>
      </c>
      <c r="Z22" s="34">
        <f t="shared" si="14"/>
        <v>7.5</v>
      </c>
      <c r="AA22" s="34">
        <f t="shared" si="14"/>
        <v>5.5</v>
      </c>
      <c r="AB22" s="34">
        <f t="shared" si="14"/>
        <v>1</v>
      </c>
      <c r="AC22" s="34">
        <f t="shared" si="14"/>
        <v>490</v>
      </c>
      <c r="AD22" s="34">
        <f t="shared" si="14"/>
        <v>0</v>
      </c>
      <c r="AE22" s="31">
        <f t="shared" si="14"/>
        <v>518</v>
      </c>
      <c r="AF22" s="31">
        <f t="shared" si="14"/>
        <v>1008</v>
      </c>
    </row>
    <row r="23" spans="2:32" ht="23.1" customHeight="1" x14ac:dyDescent="0.25">
      <c r="B23" s="23" t="s">
        <v>50</v>
      </c>
      <c r="C23" s="49">
        <f>'Avg Week Nsooba-Kyebando'!C23+'Avg Week Kyebando-Nsooba'!C23</f>
        <v>54.571428571428569</v>
      </c>
      <c r="D23" s="49">
        <f>'Avg Week Nsooba-Kyebando'!D23+'Avg Week Kyebando-Nsooba'!D23</f>
        <v>21.571428571428573</v>
      </c>
      <c r="E23" s="49">
        <f>'Avg Week Nsooba-Kyebando'!E23+'Avg Week Kyebando-Nsooba'!E23</f>
        <v>8.2857142857142865</v>
      </c>
      <c r="F23" s="49">
        <f>'Avg Week Nsooba-Kyebando'!F23+'Avg Week Kyebando-Nsooba'!F23</f>
        <v>27.285714285714285</v>
      </c>
      <c r="G23" s="49">
        <f>'Avg Week Nsooba-Kyebando'!G23+'Avg Week Kyebando-Nsooba'!G23</f>
        <v>0.7142857142857143</v>
      </c>
      <c r="H23" s="49">
        <f>'Avg Week Nsooba-Kyebando'!H23+'Avg Week Kyebando-Nsooba'!H23</f>
        <v>0.14285714285714285</v>
      </c>
      <c r="I23" s="49">
        <f>'Avg Week Nsooba-Kyebando'!I23+'Avg Week Kyebando-Nsooba'!I23</f>
        <v>8.2857142857142847</v>
      </c>
      <c r="J23" s="49">
        <f>'Avg Week Nsooba-Kyebando'!J23+'Avg Week Kyebando-Nsooba'!J23</f>
        <v>2.4285714285714284</v>
      </c>
      <c r="K23" s="49">
        <f>'Avg Week Nsooba-Kyebando'!K23+'Avg Week Kyebando-Nsooba'!K23</f>
        <v>0.42857142857142855</v>
      </c>
      <c r="L23" s="49">
        <f>'Avg Week Nsooba-Kyebando'!L23+'Avg Week Kyebando-Nsooba'!L23</f>
        <v>0.14285714285714285</v>
      </c>
      <c r="M23" s="49">
        <f>'Avg Week Nsooba-Kyebando'!M23+'Avg Week Kyebando-Nsooba'!M23</f>
        <v>142.14285714285714</v>
      </c>
      <c r="N23" s="49">
        <f>'Avg Week Nsooba-Kyebando'!N23+'Avg Week Kyebando-Nsooba'!N23</f>
        <v>0</v>
      </c>
      <c r="O23" s="15">
        <f t="shared" si="0"/>
        <v>123.85714285714286</v>
      </c>
      <c r="P23" s="15">
        <f t="shared" si="1"/>
        <v>266</v>
      </c>
      <c r="R23" s="1" t="s">
        <v>147</v>
      </c>
      <c r="S23" s="34">
        <f>SUM(C62:C65)</f>
        <v>269</v>
      </c>
      <c r="T23" s="34">
        <f t="shared" ref="T23:AF23" si="15">SUM(D62:D65)</f>
        <v>33</v>
      </c>
      <c r="U23" s="34">
        <f t="shared" si="15"/>
        <v>26</v>
      </c>
      <c r="V23" s="34">
        <f t="shared" si="15"/>
        <v>138.5</v>
      </c>
      <c r="W23" s="34">
        <f t="shared" si="15"/>
        <v>3.5</v>
      </c>
      <c r="X23" s="34">
        <f t="shared" si="15"/>
        <v>1.5</v>
      </c>
      <c r="Y23" s="34">
        <f t="shared" si="15"/>
        <v>20.5</v>
      </c>
      <c r="Z23" s="34">
        <f t="shared" si="15"/>
        <v>3</v>
      </c>
      <c r="AA23" s="34">
        <f t="shared" si="15"/>
        <v>0.5</v>
      </c>
      <c r="AB23" s="34">
        <f t="shared" si="15"/>
        <v>0</v>
      </c>
      <c r="AC23" s="34">
        <f t="shared" si="15"/>
        <v>478</v>
      </c>
      <c r="AD23" s="34">
        <f t="shared" si="15"/>
        <v>0</v>
      </c>
      <c r="AE23" s="31">
        <f t="shared" si="15"/>
        <v>495.5</v>
      </c>
      <c r="AF23" s="31">
        <f t="shared" si="15"/>
        <v>973.5</v>
      </c>
    </row>
    <row r="24" spans="2:32" ht="23.1" customHeight="1" x14ac:dyDescent="0.25">
      <c r="B24" s="23" t="s">
        <v>51</v>
      </c>
      <c r="C24" s="49">
        <f>'Avg Week Nsooba-Kyebando'!C24+'Avg Week Kyebando-Nsooba'!C24</f>
        <v>58.571428571428569</v>
      </c>
      <c r="D24" s="49">
        <f>'Avg Week Nsooba-Kyebando'!D24+'Avg Week Kyebando-Nsooba'!D24</f>
        <v>16.714285714285715</v>
      </c>
      <c r="E24" s="49">
        <f>'Avg Week Nsooba-Kyebando'!E24+'Avg Week Kyebando-Nsooba'!E24</f>
        <v>9.7142857142857135</v>
      </c>
      <c r="F24" s="49">
        <f>'Avg Week Nsooba-Kyebando'!F24+'Avg Week Kyebando-Nsooba'!F24</f>
        <v>26.285714285714285</v>
      </c>
      <c r="G24" s="49">
        <f>'Avg Week Nsooba-Kyebando'!G24+'Avg Week Kyebando-Nsooba'!G24</f>
        <v>0.42857142857142855</v>
      </c>
      <c r="H24" s="49">
        <f>'Avg Week Nsooba-Kyebando'!H24+'Avg Week Kyebando-Nsooba'!H24</f>
        <v>0</v>
      </c>
      <c r="I24" s="49">
        <f>'Avg Week Nsooba-Kyebando'!I24+'Avg Week Kyebando-Nsooba'!I24</f>
        <v>10.142857142857142</v>
      </c>
      <c r="J24" s="49">
        <f>'Avg Week Nsooba-Kyebando'!J24+'Avg Week Kyebando-Nsooba'!J24</f>
        <v>2.1428571428571428</v>
      </c>
      <c r="K24" s="49">
        <f>'Avg Week Nsooba-Kyebando'!K24+'Avg Week Kyebando-Nsooba'!K24</f>
        <v>0</v>
      </c>
      <c r="L24" s="49">
        <f>'Avg Week Nsooba-Kyebando'!L24+'Avg Week Kyebando-Nsooba'!L24</f>
        <v>0.2857142857142857</v>
      </c>
      <c r="M24" s="49">
        <f>'Avg Week Nsooba-Kyebando'!M24+'Avg Week Kyebando-Nsooba'!M24</f>
        <v>154.85714285714286</v>
      </c>
      <c r="N24" s="49">
        <f>'Avg Week Nsooba-Kyebando'!N24+'Avg Week Kyebando-Nsooba'!N24</f>
        <v>0</v>
      </c>
      <c r="O24" s="15">
        <f t="shared" si="0"/>
        <v>124.28571428571428</v>
      </c>
      <c r="P24" s="15">
        <f t="shared" si="1"/>
        <v>279.14285714285711</v>
      </c>
      <c r="R24" s="1" t="s">
        <v>148</v>
      </c>
      <c r="S24" s="34">
        <f>SUM(C66:C69)</f>
        <v>236.5</v>
      </c>
      <c r="T24" s="34">
        <f t="shared" ref="T24:AF24" si="16">SUM(D66:D69)</f>
        <v>24</v>
      </c>
      <c r="U24" s="34">
        <f t="shared" si="16"/>
        <v>16.5</v>
      </c>
      <c r="V24" s="34">
        <f t="shared" si="16"/>
        <v>75</v>
      </c>
      <c r="W24" s="34">
        <f t="shared" si="16"/>
        <v>26</v>
      </c>
      <c r="X24" s="34">
        <f t="shared" si="16"/>
        <v>2.5</v>
      </c>
      <c r="Y24" s="34">
        <f t="shared" si="16"/>
        <v>13</v>
      </c>
      <c r="Z24" s="34">
        <f t="shared" si="16"/>
        <v>4</v>
      </c>
      <c r="AA24" s="34">
        <f t="shared" si="16"/>
        <v>2</v>
      </c>
      <c r="AB24" s="34">
        <f t="shared" si="16"/>
        <v>0.5</v>
      </c>
      <c r="AC24" s="34">
        <f t="shared" si="16"/>
        <v>394</v>
      </c>
      <c r="AD24" s="34">
        <f t="shared" si="16"/>
        <v>0</v>
      </c>
      <c r="AE24" s="31">
        <f t="shared" si="16"/>
        <v>400</v>
      </c>
      <c r="AF24" s="31">
        <f t="shared" si="16"/>
        <v>794</v>
      </c>
    </row>
    <row r="25" spans="2:32" ht="23.1" customHeight="1" x14ac:dyDescent="0.25">
      <c r="B25" s="23" t="s">
        <v>52</v>
      </c>
      <c r="C25" s="49">
        <f>'Avg Week Nsooba-Kyebando'!C25+'Avg Week Kyebando-Nsooba'!C25</f>
        <v>55.142857142857139</v>
      </c>
      <c r="D25" s="49">
        <f>'Avg Week Nsooba-Kyebando'!D25+'Avg Week Kyebando-Nsooba'!D25</f>
        <v>14.571428571428571</v>
      </c>
      <c r="E25" s="49">
        <f>'Avg Week Nsooba-Kyebando'!E25+'Avg Week Kyebando-Nsooba'!E25</f>
        <v>8.7142857142857153</v>
      </c>
      <c r="F25" s="49">
        <f>'Avg Week Nsooba-Kyebando'!F25+'Avg Week Kyebando-Nsooba'!F25</f>
        <v>26.714285714285715</v>
      </c>
      <c r="G25" s="49">
        <f>'Avg Week Nsooba-Kyebando'!G25+'Avg Week Kyebando-Nsooba'!G25</f>
        <v>0.2857142857142857</v>
      </c>
      <c r="H25" s="49">
        <f>'Avg Week Nsooba-Kyebando'!H25+'Avg Week Kyebando-Nsooba'!H25</f>
        <v>0</v>
      </c>
      <c r="I25" s="49">
        <f>'Avg Week Nsooba-Kyebando'!I25+'Avg Week Kyebando-Nsooba'!I25</f>
        <v>10.285714285714285</v>
      </c>
      <c r="J25" s="49">
        <f>'Avg Week Nsooba-Kyebando'!J25+'Avg Week Kyebando-Nsooba'!J25</f>
        <v>1.4285714285714284</v>
      </c>
      <c r="K25" s="49">
        <f>'Avg Week Nsooba-Kyebando'!K25+'Avg Week Kyebando-Nsooba'!K25</f>
        <v>0.7142857142857143</v>
      </c>
      <c r="L25" s="49">
        <f>'Avg Week Nsooba-Kyebando'!L25+'Avg Week Kyebando-Nsooba'!L25</f>
        <v>0.2857142857142857</v>
      </c>
      <c r="M25" s="49">
        <f>'Avg Week Nsooba-Kyebando'!M25+'Avg Week Kyebando-Nsooba'!M25</f>
        <v>147.57142857142856</v>
      </c>
      <c r="N25" s="49">
        <f>'Avg Week Nsooba-Kyebando'!N25+'Avg Week Kyebando-Nsooba'!N25</f>
        <v>0</v>
      </c>
      <c r="O25" s="15">
        <f t="shared" si="0"/>
        <v>118.14285714285715</v>
      </c>
      <c r="P25" s="15">
        <f t="shared" si="1"/>
        <v>265.71428571428572</v>
      </c>
      <c r="R25" s="1" t="s">
        <v>149</v>
      </c>
      <c r="S25" s="34">
        <f>SUM(C70:C73)</f>
        <v>139</v>
      </c>
      <c r="T25" s="34">
        <f t="shared" ref="T25:AF25" si="17">SUM(D70:D73)</f>
        <v>13</v>
      </c>
      <c r="U25" s="34">
        <f t="shared" si="17"/>
        <v>19</v>
      </c>
      <c r="V25" s="34">
        <f t="shared" si="17"/>
        <v>31</v>
      </c>
      <c r="W25" s="34">
        <f t="shared" si="17"/>
        <v>0</v>
      </c>
      <c r="X25" s="34">
        <f t="shared" si="17"/>
        <v>0</v>
      </c>
      <c r="Y25" s="34">
        <f t="shared" si="17"/>
        <v>4.5</v>
      </c>
      <c r="Z25" s="34">
        <f t="shared" si="17"/>
        <v>2.5</v>
      </c>
      <c r="AA25" s="34">
        <f t="shared" si="17"/>
        <v>0</v>
      </c>
      <c r="AB25" s="34">
        <f t="shared" si="17"/>
        <v>0</v>
      </c>
      <c r="AC25" s="34">
        <f t="shared" si="17"/>
        <v>215.5</v>
      </c>
      <c r="AD25" s="34">
        <f t="shared" si="17"/>
        <v>0</v>
      </c>
      <c r="AE25" s="31">
        <f t="shared" si="17"/>
        <v>209</v>
      </c>
      <c r="AF25" s="31">
        <f t="shared" si="17"/>
        <v>424.5</v>
      </c>
    </row>
    <row r="26" spans="2:32" ht="23.1" customHeight="1" x14ac:dyDescent="0.25">
      <c r="B26" s="23" t="s">
        <v>53</v>
      </c>
      <c r="C26" s="49">
        <f>'Avg Week Nsooba-Kyebando'!C26+'Avg Week Kyebando-Nsooba'!C26</f>
        <v>53</v>
      </c>
      <c r="D26" s="49">
        <f>'Avg Week Nsooba-Kyebando'!D26+'Avg Week Kyebando-Nsooba'!D26</f>
        <v>14.571428571428571</v>
      </c>
      <c r="E26" s="49">
        <f>'Avg Week Nsooba-Kyebando'!E26+'Avg Week Kyebando-Nsooba'!E26</f>
        <v>10.285714285714286</v>
      </c>
      <c r="F26" s="49">
        <f>'Avg Week Nsooba-Kyebando'!F26+'Avg Week Kyebando-Nsooba'!F26</f>
        <v>24.428571428571431</v>
      </c>
      <c r="G26" s="49">
        <f>'Avg Week Nsooba-Kyebando'!G26+'Avg Week Kyebando-Nsooba'!G26</f>
        <v>0.2857142857142857</v>
      </c>
      <c r="H26" s="49">
        <f>'Avg Week Nsooba-Kyebando'!H26+'Avg Week Kyebando-Nsooba'!H26</f>
        <v>0</v>
      </c>
      <c r="I26" s="49">
        <f>'Avg Week Nsooba-Kyebando'!I26+'Avg Week Kyebando-Nsooba'!I26</f>
        <v>9.5714285714285712</v>
      </c>
      <c r="J26" s="49">
        <f>'Avg Week Nsooba-Kyebando'!J26+'Avg Week Kyebando-Nsooba'!J26</f>
        <v>1.2857142857142856</v>
      </c>
      <c r="K26" s="49">
        <f>'Avg Week Nsooba-Kyebando'!K26+'Avg Week Kyebando-Nsooba'!K26</f>
        <v>0.8571428571428571</v>
      </c>
      <c r="L26" s="49">
        <f>'Avg Week Nsooba-Kyebando'!L26+'Avg Week Kyebando-Nsooba'!L26</f>
        <v>0</v>
      </c>
      <c r="M26" s="49">
        <f>'Avg Week Nsooba-Kyebando'!M26+'Avg Week Kyebando-Nsooba'!M26</f>
        <v>140</v>
      </c>
      <c r="N26" s="49">
        <f>'Avg Week Nsooba-Kyebando'!N26+'Avg Week Kyebando-Nsooba'!N26</f>
        <v>0</v>
      </c>
      <c r="O26" s="15">
        <f t="shared" si="0"/>
        <v>114.28571428571431</v>
      </c>
      <c r="P26" s="15">
        <f t="shared" si="1"/>
        <v>254.28571428571431</v>
      </c>
      <c r="R26" s="1" t="s">
        <v>150</v>
      </c>
      <c r="S26" s="34">
        <f>SUM(C74:C77)</f>
        <v>91.5</v>
      </c>
      <c r="T26" s="34">
        <f t="shared" ref="T26:AF26" si="18">SUM(D74:D77)</f>
        <v>10</v>
      </c>
      <c r="U26" s="34">
        <f t="shared" si="18"/>
        <v>12.5</v>
      </c>
      <c r="V26" s="34">
        <f t="shared" si="18"/>
        <v>12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1.5</v>
      </c>
      <c r="AA26" s="34">
        <f t="shared" si="18"/>
        <v>1</v>
      </c>
      <c r="AB26" s="34">
        <f t="shared" si="18"/>
        <v>0</v>
      </c>
      <c r="AC26" s="34">
        <f t="shared" si="18"/>
        <v>169.5</v>
      </c>
      <c r="AD26" s="34">
        <f t="shared" si="18"/>
        <v>0</v>
      </c>
      <c r="AE26" s="31">
        <f t="shared" si="18"/>
        <v>131.5</v>
      </c>
      <c r="AF26" s="31">
        <f t="shared" si="18"/>
        <v>301</v>
      </c>
    </row>
    <row r="27" spans="2:32" ht="23.1" customHeight="1" x14ac:dyDescent="0.25">
      <c r="B27" s="23" t="s">
        <v>54</v>
      </c>
      <c r="C27" s="49">
        <f>'Avg Week Nsooba-Kyebando'!C27+'Avg Week Kyebando-Nsooba'!C27</f>
        <v>49.571428571428569</v>
      </c>
      <c r="D27" s="49">
        <f>'Avg Week Nsooba-Kyebando'!D27+'Avg Week Kyebando-Nsooba'!D27</f>
        <v>16</v>
      </c>
      <c r="E27" s="49">
        <f>'Avg Week Nsooba-Kyebando'!E27+'Avg Week Kyebando-Nsooba'!E27</f>
        <v>7.5714285714285712</v>
      </c>
      <c r="F27" s="49">
        <f>'Avg Week Nsooba-Kyebando'!F27+'Avg Week Kyebando-Nsooba'!F27</f>
        <v>21.142857142857142</v>
      </c>
      <c r="G27" s="49">
        <f>'Avg Week Nsooba-Kyebando'!G27+'Avg Week Kyebando-Nsooba'!G27</f>
        <v>0.14285714285714285</v>
      </c>
      <c r="H27" s="49">
        <f>'Avg Week Nsooba-Kyebando'!H27+'Avg Week Kyebando-Nsooba'!H27</f>
        <v>0.14285714285714285</v>
      </c>
      <c r="I27" s="49">
        <f>'Avg Week Nsooba-Kyebando'!I27+'Avg Week Kyebando-Nsooba'!I27</f>
        <v>7.8571428571428577</v>
      </c>
      <c r="J27" s="49">
        <f>'Avg Week Nsooba-Kyebando'!J27+'Avg Week Kyebando-Nsooba'!J27</f>
        <v>1.4285714285714284</v>
      </c>
      <c r="K27" s="49">
        <f>'Avg Week Nsooba-Kyebando'!K27+'Avg Week Kyebando-Nsooba'!K27</f>
        <v>0.14285714285714285</v>
      </c>
      <c r="L27" s="49">
        <f>'Avg Week Nsooba-Kyebando'!L27+'Avg Week Kyebando-Nsooba'!L27</f>
        <v>0.14285714285714285</v>
      </c>
      <c r="M27" s="49">
        <f>'Avg Week Nsooba-Kyebando'!M27+'Avg Week Kyebando-Nsooba'!M27</f>
        <v>106.85714285714286</v>
      </c>
      <c r="N27" s="49">
        <f>'Avg Week Nsooba-Kyebando'!N27+'Avg Week Kyebando-Nsooba'!N27</f>
        <v>0</v>
      </c>
      <c r="O27" s="15">
        <f t="shared" si="0"/>
        <v>104.14285714285712</v>
      </c>
      <c r="P27" s="15">
        <f t="shared" si="1"/>
        <v>211</v>
      </c>
      <c r="R27" s="1" t="s">
        <v>151</v>
      </c>
      <c r="S27" s="34">
        <f>SUM(C78:C81)</f>
        <v>65.5</v>
      </c>
      <c r="T27" s="34">
        <f t="shared" ref="T27:AF27" si="19">SUM(D78:D81)</f>
        <v>3</v>
      </c>
      <c r="U27" s="34">
        <f t="shared" si="19"/>
        <v>2.5</v>
      </c>
      <c r="V27" s="34">
        <f t="shared" si="19"/>
        <v>4.5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104</v>
      </c>
      <c r="AD27" s="34">
        <f t="shared" si="19"/>
        <v>0</v>
      </c>
      <c r="AE27" s="31">
        <f t="shared" si="19"/>
        <v>76.5</v>
      </c>
      <c r="AF27" s="31">
        <f t="shared" si="19"/>
        <v>180.5</v>
      </c>
    </row>
    <row r="28" spans="2:32" ht="23.1" customHeight="1" x14ac:dyDescent="0.25">
      <c r="B28" s="23" t="s">
        <v>55</v>
      </c>
      <c r="C28" s="49">
        <f>'Avg Week Nsooba-Kyebando'!C28+'Avg Week Kyebando-Nsooba'!C28</f>
        <v>46.428571428571431</v>
      </c>
      <c r="D28" s="49">
        <f>'Avg Week Nsooba-Kyebando'!D28+'Avg Week Kyebando-Nsooba'!D28</f>
        <v>11.857142857142858</v>
      </c>
      <c r="E28" s="49">
        <f>'Avg Week Nsooba-Kyebando'!E28+'Avg Week Kyebando-Nsooba'!E28</f>
        <v>6.2857142857142856</v>
      </c>
      <c r="F28" s="49">
        <f>'Avg Week Nsooba-Kyebando'!F28+'Avg Week Kyebando-Nsooba'!F28</f>
        <v>17.714285714285715</v>
      </c>
      <c r="G28" s="49">
        <f>'Avg Week Nsooba-Kyebando'!G28+'Avg Week Kyebando-Nsooba'!G28</f>
        <v>0.71428571428571419</v>
      </c>
      <c r="H28" s="49">
        <f>'Avg Week Nsooba-Kyebando'!H28+'Avg Week Kyebando-Nsooba'!H28</f>
        <v>0</v>
      </c>
      <c r="I28" s="49">
        <f>'Avg Week Nsooba-Kyebando'!I28+'Avg Week Kyebando-Nsooba'!I28</f>
        <v>7.5714285714285712</v>
      </c>
      <c r="J28" s="49">
        <f>'Avg Week Nsooba-Kyebando'!J28+'Avg Week Kyebando-Nsooba'!J28</f>
        <v>1.1428571428571428</v>
      </c>
      <c r="K28" s="49">
        <f>'Avg Week Nsooba-Kyebando'!K28+'Avg Week Kyebando-Nsooba'!K28</f>
        <v>0.71428571428571419</v>
      </c>
      <c r="L28" s="49">
        <f>'Avg Week Nsooba-Kyebando'!L28+'Avg Week Kyebando-Nsooba'!L28</f>
        <v>0.14285714285714285</v>
      </c>
      <c r="M28" s="49">
        <f>'Avg Week Nsooba-Kyebando'!M28+'Avg Week Kyebando-Nsooba'!M28</f>
        <v>120.57142857142858</v>
      </c>
      <c r="N28" s="49">
        <f>'Avg Week Nsooba-Kyebando'!N28+'Avg Week Kyebando-Nsooba'!N28</f>
        <v>0</v>
      </c>
      <c r="O28" s="15">
        <f t="shared" si="0"/>
        <v>92.571428571428569</v>
      </c>
      <c r="P28" s="15">
        <f t="shared" si="1"/>
        <v>213.14285714285717</v>
      </c>
      <c r="R28" s="1" t="s">
        <v>152</v>
      </c>
      <c r="S28" s="34">
        <f>SUM(C82:C85)</f>
        <v>39</v>
      </c>
      <c r="T28" s="34">
        <f t="shared" ref="T28:AF28" si="20">SUM(D82:D85)</f>
        <v>4</v>
      </c>
      <c r="U28" s="34">
        <f t="shared" si="20"/>
        <v>1.5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59.5</v>
      </c>
      <c r="AD28" s="34">
        <f t="shared" si="20"/>
        <v>0</v>
      </c>
      <c r="AE28" s="31">
        <f t="shared" si="20"/>
        <v>47.5</v>
      </c>
      <c r="AF28" s="31">
        <f t="shared" si="20"/>
        <v>107</v>
      </c>
    </row>
    <row r="29" spans="2:32" ht="23.1" customHeight="1" x14ac:dyDescent="0.25">
      <c r="B29" s="23" t="s">
        <v>56</v>
      </c>
      <c r="C29" s="49">
        <f>'Avg Week Nsooba-Kyebando'!C29+'Avg Week Kyebando-Nsooba'!C29</f>
        <v>55.714285714285715</v>
      </c>
      <c r="D29" s="49">
        <f>'Avg Week Nsooba-Kyebando'!D29+'Avg Week Kyebando-Nsooba'!D29</f>
        <v>16.142857142857142</v>
      </c>
      <c r="E29" s="49">
        <f>'Avg Week Nsooba-Kyebando'!E29+'Avg Week Kyebando-Nsooba'!E29</f>
        <v>11.428571428571427</v>
      </c>
      <c r="F29" s="49">
        <f>'Avg Week Nsooba-Kyebando'!F29+'Avg Week Kyebando-Nsooba'!F29</f>
        <v>12.142857142857142</v>
      </c>
      <c r="G29" s="49">
        <f>'Avg Week Nsooba-Kyebando'!G29+'Avg Week Kyebando-Nsooba'!G29</f>
        <v>0.42857142857142855</v>
      </c>
      <c r="H29" s="49">
        <f>'Avg Week Nsooba-Kyebando'!H29+'Avg Week Kyebando-Nsooba'!H29</f>
        <v>0.8571428571428571</v>
      </c>
      <c r="I29" s="49">
        <f>'Avg Week Nsooba-Kyebando'!I29+'Avg Week Kyebando-Nsooba'!I29</f>
        <v>9.1428571428571423</v>
      </c>
      <c r="J29" s="49">
        <f>'Avg Week Nsooba-Kyebando'!J29+'Avg Week Kyebando-Nsooba'!J29</f>
        <v>0.8571428571428571</v>
      </c>
      <c r="K29" s="49">
        <f>'Avg Week Nsooba-Kyebando'!K29+'Avg Week Kyebando-Nsooba'!K29</f>
        <v>0.2857142857142857</v>
      </c>
      <c r="L29" s="49">
        <f>'Avg Week Nsooba-Kyebando'!L29+'Avg Week Kyebando-Nsooba'!L29</f>
        <v>0.14285714285714285</v>
      </c>
      <c r="M29" s="49">
        <f>'Avg Week Nsooba-Kyebando'!M29+'Avg Week Kyebando-Nsooba'!M29</f>
        <v>115</v>
      </c>
      <c r="N29" s="49">
        <f>'Avg Week Nsooba-Kyebando'!N29+'Avg Week Kyebando-Nsooba'!N29</f>
        <v>0</v>
      </c>
      <c r="O29" s="15">
        <f t="shared" si="0"/>
        <v>107.14285714285715</v>
      </c>
      <c r="P29" s="15">
        <f t="shared" si="1"/>
        <v>222.14285714285717</v>
      </c>
      <c r="R29" s="1" t="s">
        <v>153</v>
      </c>
      <c r="S29" s="34">
        <f>SUM(C86:C89)</f>
        <v>24.5</v>
      </c>
      <c r="T29" s="34">
        <f t="shared" ref="T29:AF29" si="21">SUM(D86:D89)</f>
        <v>1.5</v>
      </c>
      <c r="U29" s="34">
        <f t="shared" si="21"/>
        <v>1.5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0.5</v>
      </c>
      <c r="AB29" s="34">
        <f t="shared" si="21"/>
        <v>0</v>
      </c>
      <c r="AC29" s="34">
        <f t="shared" si="21"/>
        <v>40.5</v>
      </c>
      <c r="AD29" s="34">
        <f t="shared" si="21"/>
        <v>0</v>
      </c>
      <c r="AE29" s="31">
        <f t="shared" si="21"/>
        <v>29.5</v>
      </c>
      <c r="AF29" s="31">
        <f t="shared" si="21"/>
        <v>70</v>
      </c>
    </row>
    <row r="30" spans="2:32" ht="23.1" customHeight="1" x14ac:dyDescent="0.25">
      <c r="B30" s="23" t="s">
        <v>57</v>
      </c>
      <c r="C30" s="49">
        <f>'Avg Week Nsooba-Kyebando'!C30+'Avg Week Kyebando-Nsooba'!C30</f>
        <v>47</v>
      </c>
      <c r="D30" s="49">
        <f>'Avg Week Nsooba-Kyebando'!D30+'Avg Week Kyebando-Nsooba'!D30</f>
        <v>11.285714285714286</v>
      </c>
      <c r="E30" s="49">
        <f>'Avg Week Nsooba-Kyebando'!E30+'Avg Week Kyebando-Nsooba'!E30</f>
        <v>8.2857142857142865</v>
      </c>
      <c r="F30" s="49">
        <f>'Avg Week Nsooba-Kyebando'!F30+'Avg Week Kyebando-Nsooba'!F30</f>
        <v>21.428571428571431</v>
      </c>
      <c r="G30" s="49">
        <f>'Avg Week Nsooba-Kyebando'!G30+'Avg Week Kyebando-Nsooba'!G30</f>
        <v>0.5714285714285714</v>
      </c>
      <c r="H30" s="49">
        <f>'Avg Week Nsooba-Kyebando'!H30+'Avg Week Kyebando-Nsooba'!H30</f>
        <v>0.14285714285714285</v>
      </c>
      <c r="I30" s="49">
        <f>'Avg Week Nsooba-Kyebando'!I30+'Avg Week Kyebando-Nsooba'!I30</f>
        <v>9.4285714285714288</v>
      </c>
      <c r="J30" s="49">
        <f>'Avg Week Nsooba-Kyebando'!J30+'Avg Week Kyebando-Nsooba'!J30</f>
        <v>2.5714285714285712</v>
      </c>
      <c r="K30" s="49">
        <f>'Avg Week Nsooba-Kyebando'!K30+'Avg Week Kyebando-Nsooba'!K30</f>
        <v>1.1428571428571428</v>
      </c>
      <c r="L30" s="49">
        <f>'Avg Week Nsooba-Kyebando'!L30+'Avg Week Kyebando-Nsooba'!L30</f>
        <v>0</v>
      </c>
      <c r="M30" s="49">
        <f>'Avg Week Nsooba-Kyebando'!M30+'Avg Week Kyebando-Nsooba'!M30</f>
        <v>113.42857142857142</v>
      </c>
      <c r="N30" s="49">
        <f>'Avg Week Nsooba-Kyebando'!N30+'Avg Week Kyebando-Nsooba'!N30</f>
        <v>0.42857142857142855</v>
      </c>
      <c r="O30" s="15">
        <f t="shared" si="0"/>
        <v>102.28571428571428</v>
      </c>
      <c r="P30" s="15">
        <f t="shared" si="1"/>
        <v>215.71428571428569</v>
      </c>
      <c r="R30" s="1" t="s">
        <v>154</v>
      </c>
      <c r="S30" s="34">
        <f>SUM(C90:C93)</f>
        <v>16.5</v>
      </c>
      <c r="T30" s="34">
        <f t="shared" ref="T30:AF30" si="22">SUM(D90:D93)</f>
        <v>0.5</v>
      </c>
      <c r="U30" s="34">
        <f t="shared" si="22"/>
        <v>1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38</v>
      </c>
      <c r="AD30" s="34">
        <f t="shared" si="22"/>
        <v>0</v>
      </c>
      <c r="AE30" s="31">
        <f t="shared" si="22"/>
        <v>20.5</v>
      </c>
      <c r="AF30" s="31">
        <f t="shared" si="22"/>
        <v>58.5</v>
      </c>
    </row>
    <row r="31" spans="2:32" ht="23.1" customHeight="1" x14ac:dyDescent="0.25">
      <c r="B31" s="24" t="s">
        <v>58</v>
      </c>
      <c r="C31" s="49">
        <f>'Avg Week Nsooba-Kyebando'!C31+'Avg Week Kyebando-Nsooba'!C31</f>
        <v>42.857142857142861</v>
      </c>
      <c r="D31" s="49">
        <f>'Avg Week Nsooba-Kyebando'!D31+'Avg Week Kyebando-Nsooba'!D31</f>
        <v>12.857142857142858</v>
      </c>
      <c r="E31" s="49">
        <f>'Avg Week Nsooba-Kyebando'!E31+'Avg Week Kyebando-Nsooba'!E31</f>
        <v>5.8571428571428577</v>
      </c>
      <c r="F31" s="49">
        <f>'Avg Week Nsooba-Kyebando'!F31+'Avg Week Kyebando-Nsooba'!F31</f>
        <v>15.857142857142858</v>
      </c>
      <c r="G31" s="49">
        <f>'Avg Week Nsooba-Kyebando'!G31+'Avg Week Kyebando-Nsooba'!G31</f>
        <v>0.14285714285714285</v>
      </c>
      <c r="H31" s="49">
        <f>'Avg Week Nsooba-Kyebando'!H31+'Avg Week Kyebando-Nsooba'!H31</f>
        <v>0</v>
      </c>
      <c r="I31" s="49">
        <f>'Avg Week Nsooba-Kyebando'!I31+'Avg Week Kyebando-Nsooba'!I31</f>
        <v>9.1428571428571423</v>
      </c>
      <c r="J31" s="49">
        <f>'Avg Week Nsooba-Kyebando'!J31+'Avg Week Kyebando-Nsooba'!J31</f>
        <v>1.2857142857142856</v>
      </c>
      <c r="K31" s="49">
        <f>'Avg Week Nsooba-Kyebando'!K31+'Avg Week Kyebando-Nsooba'!K31</f>
        <v>1</v>
      </c>
      <c r="L31" s="49">
        <f>'Avg Week Nsooba-Kyebando'!L31+'Avg Week Kyebando-Nsooba'!L31</f>
        <v>0.42857142857142855</v>
      </c>
      <c r="M31" s="49">
        <f>'Avg Week Nsooba-Kyebando'!M31+'Avg Week Kyebando-Nsooba'!M31</f>
        <v>104.85714285714286</v>
      </c>
      <c r="N31" s="49">
        <f>'Avg Week Nsooba-Kyebando'!N31+'Avg Week Kyebando-Nsooba'!N31</f>
        <v>0</v>
      </c>
      <c r="O31" s="15">
        <f t="shared" si="0"/>
        <v>89.428571428571445</v>
      </c>
      <c r="P31" s="15">
        <f t="shared" si="1"/>
        <v>194.28571428571431</v>
      </c>
      <c r="R31" s="1" t="s">
        <v>155</v>
      </c>
      <c r="S31" s="34">
        <f>SUM(C94:C97)</f>
        <v>13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0.5</v>
      </c>
      <c r="AA31" s="34">
        <f t="shared" si="23"/>
        <v>0</v>
      </c>
      <c r="AB31" s="34">
        <f t="shared" si="23"/>
        <v>1</v>
      </c>
      <c r="AC31" s="34">
        <f t="shared" si="23"/>
        <v>28.5</v>
      </c>
      <c r="AD31" s="34">
        <f t="shared" si="23"/>
        <v>0</v>
      </c>
      <c r="AE31" s="31">
        <f t="shared" si="23"/>
        <v>17</v>
      </c>
      <c r="AF31" s="31">
        <f t="shared" si="23"/>
        <v>45.5</v>
      </c>
    </row>
    <row r="32" spans="2:32" ht="23.1" customHeight="1" x14ac:dyDescent="0.25">
      <c r="B32" s="24" t="s">
        <v>59</v>
      </c>
      <c r="C32" s="49">
        <f>'Avg Week Nsooba-Kyebando'!C32+'Avg Week Kyebando-Nsooba'!C32</f>
        <v>42.714285714285715</v>
      </c>
      <c r="D32" s="49">
        <f>'Avg Week Nsooba-Kyebando'!D32+'Avg Week Kyebando-Nsooba'!D32</f>
        <v>12.285714285714285</v>
      </c>
      <c r="E32" s="49">
        <f>'Avg Week Nsooba-Kyebando'!E32+'Avg Week Kyebando-Nsooba'!E32</f>
        <v>8.4285714285714288</v>
      </c>
      <c r="F32" s="49">
        <f>'Avg Week Nsooba-Kyebando'!F32+'Avg Week Kyebando-Nsooba'!F32</f>
        <v>18</v>
      </c>
      <c r="G32" s="49">
        <f>'Avg Week Nsooba-Kyebando'!G32+'Avg Week Kyebando-Nsooba'!G32</f>
        <v>0.14285714285714285</v>
      </c>
      <c r="H32" s="49">
        <f>'Avg Week Nsooba-Kyebando'!H32+'Avg Week Kyebando-Nsooba'!H32</f>
        <v>0</v>
      </c>
      <c r="I32" s="49">
        <f>'Avg Week Nsooba-Kyebando'!I32+'Avg Week Kyebando-Nsooba'!I32</f>
        <v>8.5714285714285712</v>
      </c>
      <c r="J32" s="49">
        <f>'Avg Week Nsooba-Kyebando'!J32+'Avg Week Kyebando-Nsooba'!J32</f>
        <v>2.2857142857142856</v>
      </c>
      <c r="K32" s="49">
        <f>'Avg Week Nsooba-Kyebando'!K32+'Avg Week Kyebando-Nsooba'!K32</f>
        <v>0.8571428571428571</v>
      </c>
      <c r="L32" s="49">
        <f>'Avg Week Nsooba-Kyebando'!L32+'Avg Week Kyebando-Nsooba'!L32</f>
        <v>0.14285714285714285</v>
      </c>
      <c r="M32" s="49">
        <f>'Avg Week Nsooba-Kyebando'!M32+'Avg Week Kyebando-Nsooba'!M32</f>
        <v>100.14285714285714</v>
      </c>
      <c r="N32" s="49">
        <f>'Avg Week Nsooba-Kyebando'!N32+'Avg Week Kyebando-Nsooba'!N32</f>
        <v>0</v>
      </c>
      <c r="O32" s="15">
        <f t="shared" si="0"/>
        <v>93.428571428571431</v>
      </c>
      <c r="P32" s="15">
        <f t="shared" si="1"/>
        <v>193.57142857142856</v>
      </c>
      <c r="R32" s="1" t="s">
        <v>156</v>
      </c>
      <c r="S32" s="34">
        <f>SUM(C98:C101)</f>
        <v>26.5</v>
      </c>
      <c r="T32" s="34">
        <f t="shared" ref="T32:AF32" si="24">SUM(D98:D101)</f>
        <v>2.5</v>
      </c>
      <c r="U32" s="34">
        <f t="shared" si="24"/>
        <v>1</v>
      </c>
      <c r="V32" s="34">
        <f t="shared" si="24"/>
        <v>19</v>
      </c>
      <c r="W32" s="34">
        <f t="shared" si="24"/>
        <v>2</v>
      </c>
      <c r="X32" s="34">
        <f t="shared" si="24"/>
        <v>0</v>
      </c>
      <c r="Y32" s="34">
        <f t="shared" si="24"/>
        <v>2.5</v>
      </c>
      <c r="Z32" s="34">
        <f t="shared" si="24"/>
        <v>1.5</v>
      </c>
      <c r="AA32" s="34">
        <f t="shared" si="24"/>
        <v>0</v>
      </c>
      <c r="AB32" s="34">
        <f t="shared" si="24"/>
        <v>0.5</v>
      </c>
      <c r="AC32" s="34">
        <f t="shared" si="24"/>
        <v>55.5</v>
      </c>
      <c r="AD32" s="34">
        <f t="shared" si="24"/>
        <v>0</v>
      </c>
      <c r="AE32" s="31">
        <f t="shared" si="24"/>
        <v>55.5</v>
      </c>
      <c r="AF32" s="31">
        <f t="shared" si="24"/>
        <v>111</v>
      </c>
    </row>
    <row r="33" spans="2:32" ht="23.1" customHeight="1" x14ac:dyDescent="0.25">
      <c r="B33" s="23" t="s">
        <v>60</v>
      </c>
      <c r="C33" s="49">
        <f>'Avg Week Nsooba-Kyebando'!C33+'Avg Week Kyebando-Nsooba'!C33</f>
        <v>42.428571428571431</v>
      </c>
      <c r="D33" s="49">
        <f>'Avg Week Nsooba-Kyebando'!D33+'Avg Week Kyebando-Nsooba'!D33</f>
        <v>13.428571428571429</v>
      </c>
      <c r="E33" s="49">
        <f>'Avg Week Nsooba-Kyebando'!E33+'Avg Week Kyebando-Nsooba'!E33</f>
        <v>6.4285714285714288</v>
      </c>
      <c r="F33" s="49">
        <f>'Avg Week Nsooba-Kyebando'!F33+'Avg Week Kyebando-Nsooba'!F33</f>
        <v>15.142857142857142</v>
      </c>
      <c r="G33" s="49">
        <f>'Avg Week Nsooba-Kyebando'!G33+'Avg Week Kyebando-Nsooba'!G33</f>
        <v>0.5714285714285714</v>
      </c>
      <c r="H33" s="49">
        <f>'Avg Week Nsooba-Kyebando'!H33+'Avg Week Kyebando-Nsooba'!H33</f>
        <v>0.14285714285714285</v>
      </c>
      <c r="I33" s="49">
        <f>'Avg Week Nsooba-Kyebando'!I33+'Avg Week Kyebando-Nsooba'!I33</f>
        <v>18.714285714285715</v>
      </c>
      <c r="J33" s="49">
        <f>'Avg Week Nsooba-Kyebando'!J33+'Avg Week Kyebando-Nsooba'!J33</f>
        <v>2.4285714285714284</v>
      </c>
      <c r="K33" s="49">
        <f>'Avg Week Nsooba-Kyebando'!K33+'Avg Week Kyebando-Nsooba'!K33</f>
        <v>0.42857142857142855</v>
      </c>
      <c r="L33" s="49">
        <f>'Avg Week Nsooba-Kyebando'!L33+'Avg Week Kyebando-Nsooba'!L33</f>
        <v>0.14285714285714285</v>
      </c>
      <c r="M33" s="49">
        <f>'Avg Week Nsooba-Kyebando'!M33+'Avg Week Kyebando-Nsooba'!M33</f>
        <v>96.571428571428569</v>
      </c>
      <c r="N33" s="49">
        <f>'Avg Week Nsooba-Kyebando'!N33+'Avg Week Kyebando-Nsooba'!N33</f>
        <v>0</v>
      </c>
      <c r="O33" s="15">
        <f t="shared" si="0"/>
        <v>99.857142857142861</v>
      </c>
      <c r="P33" s="15">
        <f t="shared" si="1"/>
        <v>196.42857142857144</v>
      </c>
      <c r="R33" s="1" t="s">
        <v>157</v>
      </c>
      <c r="S33" s="34">
        <f>SUM(C102:C105)</f>
        <v>169.5</v>
      </c>
      <c r="T33" s="34">
        <f t="shared" ref="T33:AF33" si="25">SUM(D102:D105)</f>
        <v>24</v>
      </c>
      <c r="U33" s="34">
        <f t="shared" si="25"/>
        <v>12.5</v>
      </c>
      <c r="V33" s="34">
        <f t="shared" si="25"/>
        <v>72</v>
      </c>
      <c r="W33" s="34">
        <f t="shared" si="25"/>
        <v>1</v>
      </c>
      <c r="X33" s="34">
        <f t="shared" si="25"/>
        <v>2</v>
      </c>
      <c r="Y33" s="34">
        <f t="shared" si="25"/>
        <v>7.5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141.5</v>
      </c>
      <c r="AD33" s="34">
        <f t="shared" si="25"/>
        <v>0</v>
      </c>
      <c r="AE33" s="31">
        <f t="shared" si="25"/>
        <v>289</v>
      </c>
      <c r="AF33" s="31">
        <f t="shared" si="25"/>
        <v>430.5</v>
      </c>
    </row>
    <row r="34" spans="2:32" ht="23.1" customHeight="1" x14ac:dyDescent="0.25">
      <c r="B34" s="24" t="s">
        <v>61</v>
      </c>
      <c r="C34" s="49">
        <f>'Avg Week Nsooba-Kyebando'!C34+'Avg Week Kyebando-Nsooba'!C34</f>
        <v>50.285714285714285</v>
      </c>
      <c r="D34" s="49">
        <f>'Avg Week Nsooba-Kyebando'!D34+'Avg Week Kyebando-Nsooba'!D34</f>
        <v>11.571428571428571</v>
      </c>
      <c r="E34" s="49">
        <f>'Avg Week Nsooba-Kyebando'!E34+'Avg Week Kyebando-Nsooba'!E34</f>
        <v>8.1428571428571423</v>
      </c>
      <c r="F34" s="49">
        <f>'Avg Week Nsooba-Kyebando'!F34+'Avg Week Kyebando-Nsooba'!F34</f>
        <v>18</v>
      </c>
      <c r="G34" s="49">
        <f>'Avg Week Nsooba-Kyebando'!G34+'Avg Week Kyebando-Nsooba'!G34</f>
        <v>1.1428571428571428</v>
      </c>
      <c r="H34" s="49">
        <f>'Avg Week Nsooba-Kyebando'!H34+'Avg Week Kyebando-Nsooba'!H34</f>
        <v>0.14285714285714285</v>
      </c>
      <c r="I34" s="49">
        <f>'Avg Week Nsooba-Kyebando'!I34+'Avg Week Kyebando-Nsooba'!I34</f>
        <v>11.285714285714285</v>
      </c>
      <c r="J34" s="49">
        <f>'Avg Week Nsooba-Kyebando'!J34+'Avg Week Kyebando-Nsooba'!J34</f>
        <v>1.5714285714285714</v>
      </c>
      <c r="K34" s="49">
        <f>'Avg Week Nsooba-Kyebando'!K34+'Avg Week Kyebando-Nsooba'!K34</f>
        <v>1.5714285714285714</v>
      </c>
      <c r="L34" s="49">
        <f>'Avg Week Nsooba-Kyebando'!L34+'Avg Week Kyebando-Nsooba'!L34</f>
        <v>0</v>
      </c>
      <c r="M34" s="49">
        <f>'Avg Week Nsooba-Kyebando'!M34+'Avg Week Kyebando-Nsooba'!M34</f>
        <v>110.14285714285714</v>
      </c>
      <c r="N34" s="49">
        <f>'Avg Week Nsooba-Kyebando'!N34+'Avg Week Kyebando-Nsooba'!N34</f>
        <v>0</v>
      </c>
      <c r="O34" s="15">
        <f t="shared" si="0"/>
        <v>103.71428571428569</v>
      </c>
      <c r="P34" s="15">
        <f t="shared" si="1"/>
        <v>213.85714285714283</v>
      </c>
      <c r="R34" s="53" t="s">
        <v>90</v>
      </c>
      <c r="S34" s="54">
        <f t="shared" ref="S34:AF34" si="26">MAX(S10:S12)</f>
        <v>318.85714285714289</v>
      </c>
      <c r="T34" s="54">
        <f t="shared" si="26"/>
        <v>73.428571428571416</v>
      </c>
      <c r="U34" s="54">
        <f t="shared" si="26"/>
        <v>37.285714285714285</v>
      </c>
      <c r="V34" s="54">
        <f t="shared" si="26"/>
        <v>188.28571428571428</v>
      </c>
      <c r="W34" s="54">
        <f t="shared" si="26"/>
        <v>5.5714285714285712</v>
      </c>
      <c r="X34" s="54">
        <f t="shared" si="26"/>
        <v>0.42857142857142855</v>
      </c>
      <c r="Y34" s="54">
        <f t="shared" si="26"/>
        <v>41.714285714285715</v>
      </c>
      <c r="Z34" s="54">
        <f t="shared" si="26"/>
        <v>5.7142857142857135</v>
      </c>
      <c r="AA34" s="54">
        <f t="shared" si="26"/>
        <v>4.4285714285714288</v>
      </c>
      <c r="AB34" s="54">
        <f t="shared" si="26"/>
        <v>0.71428571428571419</v>
      </c>
      <c r="AC34" s="54">
        <f t="shared" si="26"/>
        <v>856.71428571428578</v>
      </c>
      <c r="AD34" s="54">
        <f t="shared" si="26"/>
        <v>0</v>
      </c>
      <c r="AE34" s="40">
        <f t="shared" si="26"/>
        <v>636.71428571428578</v>
      </c>
      <c r="AF34" s="40">
        <f t="shared" si="26"/>
        <v>1450.5714285714287</v>
      </c>
    </row>
    <row r="35" spans="2:32" ht="23.1" customHeight="1" x14ac:dyDescent="0.25">
      <c r="B35" s="24" t="s">
        <v>62</v>
      </c>
      <c r="C35" s="49">
        <f>'Avg Week Nsooba-Kyebando'!C35+'Avg Week Kyebando-Nsooba'!C35</f>
        <v>46.571428571428569</v>
      </c>
      <c r="D35" s="49">
        <f>'Avg Week Nsooba-Kyebando'!D35+'Avg Week Kyebando-Nsooba'!D35</f>
        <v>11.714285714285715</v>
      </c>
      <c r="E35" s="49">
        <f>'Avg Week Nsooba-Kyebando'!E35+'Avg Week Kyebando-Nsooba'!E35</f>
        <v>7.5714285714285712</v>
      </c>
      <c r="F35" s="49">
        <f>'Avg Week Nsooba-Kyebando'!F35+'Avg Week Kyebando-Nsooba'!F35</f>
        <v>12.714285714285714</v>
      </c>
      <c r="G35" s="49">
        <f>'Avg Week Nsooba-Kyebando'!G35+'Avg Week Kyebando-Nsooba'!G35</f>
        <v>0.2857142857142857</v>
      </c>
      <c r="H35" s="49">
        <f>'Avg Week Nsooba-Kyebando'!H35+'Avg Week Kyebando-Nsooba'!H35</f>
        <v>0.42857142857142855</v>
      </c>
      <c r="I35" s="49">
        <f>'Avg Week Nsooba-Kyebando'!I35+'Avg Week Kyebando-Nsooba'!I35</f>
        <v>9.571428571428573</v>
      </c>
      <c r="J35" s="49">
        <f>'Avg Week Nsooba-Kyebando'!J35+'Avg Week Kyebando-Nsooba'!J35</f>
        <v>1.4285714285714284</v>
      </c>
      <c r="K35" s="49">
        <f>'Avg Week Nsooba-Kyebando'!K35+'Avg Week Kyebando-Nsooba'!K35</f>
        <v>1.4285714285714284</v>
      </c>
      <c r="L35" s="49">
        <f>'Avg Week Nsooba-Kyebando'!L35+'Avg Week Kyebando-Nsooba'!L35</f>
        <v>0.42857142857142855</v>
      </c>
      <c r="M35" s="49">
        <f>'Avg Week Nsooba-Kyebando'!M35+'Avg Week Kyebando-Nsooba'!M35</f>
        <v>111</v>
      </c>
      <c r="N35" s="49">
        <f>'Avg Week Nsooba-Kyebando'!N35+'Avg Week Kyebando-Nsooba'!N35</f>
        <v>0</v>
      </c>
      <c r="O35" s="15">
        <f t="shared" si="0"/>
        <v>92.142857142857153</v>
      </c>
      <c r="P35" s="15">
        <f t="shared" si="1"/>
        <v>203.14285714285717</v>
      </c>
      <c r="R35" s="53" t="s">
        <v>91</v>
      </c>
      <c r="S35" s="54">
        <f t="shared" ref="S35:AF35" si="27">MAX(S13:S18)</f>
        <v>235.14285714285714</v>
      </c>
      <c r="T35" s="54">
        <f t="shared" si="27"/>
        <v>72</v>
      </c>
      <c r="U35" s="54">
        <f t="shared" si="27"/>
        <v>37.428571428571423</v>
      </c>
      <c r="V35" s="54">
        <f t="shared" si="27"/>
        <v>116.14285714285714</v>
      </c>
      <c r="W35" s="54">
        <f t="shared" si="27"/>
        <v>2.2857142857142856</v>
      </c>
      <c r="X35" s="54">
        <f t="shared" si="27"/>
        <v>1</v>
      </c>
      <c r="Y35" s="54">
        <f t="shared" si="27"/>
        <v>45.857142857142854</v>
      </c>
      <c r="Z35" s="54">
        <f t="shared" si="27"/>
        <v>8.5714285714285712</v>
      </c>
      <c r="AA35" s="54">
        <f t="shared" si="27"/>
        <v>3.5714285714285712</v>
      </c>
      <c r="AB35" s="54">
        <f t="shared" si="27"/>
        <v>1.2857142857142856</v>
      </c>
      <c r="AC35" s="54">
        <f t="shared" si="27"/>
        <v>596.85714285714289</v>
      </c>
      <c r="AD35" s="54">
        <f t="shared" si="27"/>
        <v>0.42857142857142855</v>
      </c>
      <c r="AE35" s="40">
        <f t="shared" si="27"/>
        <v>511.42857142857144</v>
      </c>
      <c r="AF35" s="40">
        <f t="shared" si="27"/>
        <v>1108.2857142857142</v>
      </c>
    </row>
    <row r="36" spans="2:32" ht="23.1" customHeight="1" x14ac:dyDescent="0.25">
      <c r="B36" s="24" t="s">
        <v>63</v>
      </c>
      <c r="C36" s="49">
        <f>'Avg Week Nsooba-Kyebando'!C36+'Avg Week Kyebando-Nsooba'!C36</f>
        <v>43.428571428571431</v>
      </c>
      <c r="D36" s="49">
        <f>'Avg Week Nsooba-Kyebando'!D36+'Avg Week Kyebando-Nsooba'!D36</f>
        <v>8.571428571428573</v>
      </c>
      <c r="E36" s="49">
        <f>'Avg Week Nsooba-Kyebando'!E36+'Avg Week Kyebando-Nsooba'!E36</f>
        <v>10.142857142857142</v>
      </c>
      <c r="F36" s="49">
        <f>'Avg Week Nsooba-Kyebando'!F36+'Avg Week Kyebando-Nsooba'!F36</f>
        <v>17</v>
      </c>
      <c r="G36" s="49">
        <f>'Avg Week Nsooba-Kyebando'!G36+'Avg Week Kyebando-Nsooba'!G36</f>
        <v>0.14285714285714285</v>
      </c>
      <c r="H36" s="49">
        <f>'Avg Week Nsooba-Kyebando'!H36+'Avg Week Kyebando-Nsooba'!H36</f>
        <v>0.14285714285714285</v>
      </c>
      <c r="I36" s="49">
        <f>'Avg Week Nsooba-Kyebando'!I36+'Avg Week Kyebando-Nsooba'!I36</f>
        <v>8.8571428571428577</v>
      </c>
      <c r="J36" s="49">
        <f>'Avg Week Nsooba-Kyebando'!J36+'Avg Week Kyebando-Nsooba'!J36</f>
        <v>1.2857142857142856</v>
      </c>
      <c r="K36" s="49">
        <f>'Avg Week Nsooba-Kyebando'!K36+'Avg Week Kyebando-Nsooba'!K36</f>
        <v>0.2857142857142857</v>
      </c>
      <c r="L36" s="49">
        <f>'Avg Week Nsooba-Kyebando'!L36+'Avg Week Kyebando-Nsooba'!L36</f>
        <v>0.14285714285714285</v>
      </c>
      <c r="M36" s="49">
        <f>'Avg Week Nsooba-Kyebando'!M36+'Avg Week Kyebando-Nsooba'!M36</f>
        <v>98.857142857142861</v>
      </c>
      <c r="N36" s="49">
        <f>'Avg Week Nsooba-Kyebando'!N36+'Avg Week Kyebando-Nsooba'!N36</f>
        <v>0</v>
      </c>
      <c r="O36" s="15">
        <f t="shared" si="0"/>
        <v>90</v>
      </c>
      <c r="P36" s="15">
        <f t="shared" si="1"/>
        <v>188.85714285714286</v>
      </c>
      <c r="R36" s="53" t="s">
        <v>92</v>
      </c>
      <c r="S36" s="54">
        <f t="shared" ref="S36:AF36" si="28">MAX(S19:S21)</f>
        <v>288.71428571428572</v>
      </c>
      <c r="T36" s="54">
        <f t="shared" si="28"/>
        <v>63.714285714285722</v>
      </c>
      <c r="U36" s="54">
        <f t="shared" si="28"/>
        <v>42.142857142857139</v>
      </c>
      <c r="V36" s="54">
        <f t="shared" si="28"/>
        <v>89.714285714285722</v>
      </c>
      <c r="W36" s="54">
        <f t="shared" si="28"/>
        <v>4.2857142857142856</v>
      </c>
      <c r="X36" s="54">
        <f t="shared" si="28"/>
        <v>1</v>
      </c>
      <c r="Y36" s="54">
        <f t="shared" si="28"/>
        <v>37.714285714285715</v>
      </c>
      <c r="Z36" s="54">
        <f t="shared" si="28"/>
        <v>6.5714285714285712</v>
      </c>
      <c r="AA36" s="54">
        <f t="shared" si="28"/>
        <v>3.9999999999999996</v>
      </c>
      <c r="AB36" s="54">
        <f t="shared" si="28"/>
        <v>11.714285714285715</v>
      </c>
      <c r="AC36" s="54">
        <f t="shared" si="28"/>
        <v>603.42857142857144</v>
      </c>
      <c r="AD36" s="54">
        <f t="shared" si="28"/>
        <v>0</v>
      </c>
      <c r="AE36" s="40">
        <f t="shared" si="28"/>
        <v>519.57142857142856</v>
      </c>
      <c r="AF36" s="40">
        <f t="shared" si="28"/>
        <v>1096.8571428571429</v>
      </c>
    </row>
    <row r="37" spans="2:32" ht="23.1" customHeight="1" x14ac:dyDescent="0.25">
      <c r="B37" s="23" t="s">
        <v>64</v>
      </c>
      <c r="C37" s="49">
        <f>'Avg Week Nsooba-Kyebando'!C37+'Avg Week Kyebando-Nsooba'!C37</f>
        <v>40.714285714285708</v>
      </c>
      <c r="D37" s="49">
        <f>'Avg Week Nsooba-Kyebando'!D37+'Avg Week Kyebando-Nsooba'!D37</f>
        <v>12</v>
      </c>
      <c r="E37" s="49">
        <f>'Avg Week Nsooba-Kyebando'!E37+'Avg Week Kyebando-Nsooba'!E37</f>
        <v>6.8571428571428577</v>
      </c>
      <c r="F37" s="49">
        <f>'Avg Week Nsooba-Kyebando'!F37+'Avg Week Kyebando-Nsooba'!F37</f>
        <v>12.714285714285715</v>
      </c>
      <c r="G37" s="49">
        <f>'Avg Week Nsooba-Kyebando'!G37+'Avg Week Kyebando-Nsooba'!G37</f>
        <v>0</v>
      </c>
      <c r="H37" s="49">
        <f>'Avg Week Nsooba-Kyebando'!H37+'Avg Week Kyebando-Nsooba'!H37</f>
        <v>0.14285714285714285</v>
      </c>
      <c r="I37" s="49">
        <f>'Avg Week Nsooba-Kyebando'!I37+'Avg Week Kyebando-Nsooba'!I37</f>
        <v>7</v>
      </c>
      <c r="J37" s="49">
        <f>'Avg Week Nsooba-Kyebando'!J37+'Avg Week Kyebando-Nsooba'!J37</f>
        <v>1.2857142857142856</v>
      </c>
      <c r="K37" s="49">
        <f>'Avg Week Nsooba-Kyebando'!K37+'Avg Week Kyebando-Nsooba'!K37</f>
        <v>0.2857142857142857</v>
      </c>
      <c r="L37" s="49">
        <f>'Avg Week Nsooba-Kyebando'!L37+'Avg Week Kyebando-Nsooba'!L37</f>
        <v>0.14285714285714285</v>
      </c>
      <c r="M37" s="49">
        <f>'Avg Week Nsooba-Kyebando'!M37+'Avg Week Kyebando-Nsooba'!M37</f>
        <v>86.142857142857139</v>
      </c>
      <c r="N37" s="49">
        <f>'Avg Week Nsooba-Kyebando'!N37+'Avg Week Kyebando-Nsooba'!N37</f>
        <v>0</v>
      </c>
      <c r="O37" s="15">
        <f t="shared" si="0"/>
        <v>81.142857142857139</v>
      </c>
      <c r="P37" s="15">
        <f t="shared" si="1"/>
        <v>167.28571428571428</v>
      </c>
      <c r="R37" s="37" t="s">
        <v>85</v>
      </c>
      <c r="S37" s="55">
        <f t="shared" ref="S37:AF37" si="29">SUM(S10:S12)</f>
        <v>877.85714285714289</v>
      </c>
      <c r="T37" s="56">
        <f t="shared" si="29"/>
        <v>192.71428571428572</v>
      </c>
      <c r="U37" s="56">
        <f t="shared" si="29"/>
        <v>101.57142857142856</v>
      </c>
      <c r="V37" s="56">
        <f t="shared" si="29"/>
        <v>512.28571428571422</v>
      </c>
      <c r="W37" s="56">
        <f t="shared" si="29"/>
        <v>11.714285714285714</v>
      </c>
      <c r="X37" s="56">
        <f t="shared" si="29"/>
        <v>0.99999999999999989</v>
      </c>
      <c r="Y37" s="56">
        <f t="shared" si="29"/>
        <v>93.571428571428569</v>
      </c>
      <c r="Z37" s="56">
        <f t="shared" si="29"/>
        <v>14.999999999999998</v>
      </c>
      <c r="AA37" s="56">
        <f t="shared" si="29"/>
        <v>7.4285714285714288</v>
      </c>
      <c r="AB37" s="56">
        <f t="shared" si="29"/>
        <v>1.5714285714285712</v>
      </c>
      <c r="AC37" s="56">
        <f t="shared" si="29"/>
        <v>2254.4285714285716</v>
      </c>
      <c r="AD37" s="56">
        <f t="shared" si="29"/>
        <v>0</v>
      </c>
      <c r="AE37" s="57">
        <f t="shared" si="29"/>
        <v>1814.7142857142858</v>
      </c>
      <c r="AF37" s="57">
        <f t="shared" si="29"/>
        <v>4069.1428571428569</v>
      </c>
    </row>
    <row r="38" spans="2:32" ht="23.1" customHeight="1" x14ac:dyDescent="0.25">
      <c r="B38" s="24" t="s">
        <v>65</v>
      </c>
      <c r="C38" s="49">
        <f>'Avg Week Nsooba-Kyebando'!C38+'Avg Week Kyebando-Nsooba'!C38</f>
        <v>50.571428571428569</v>
      </c>
      <c r="D38" s="49">
        <f>'Avg Week Nsooba-Kyebando'!D38+'Avg Week Kyebando-Nsooba'!D38</f>
        <v>10.428571428571429</v>
      </c>
      <c r="E38" s="49">
        <f>'Avg Week Nsooba-Kyebando'!E38+'Avg Week Kyebando-Nsooba'!E38</f>
        <v>7.8571428571428577</v>
      </c>
      <c r="F38" s="49">
        <f>'Avg Week Nsooba-Kyebando'!F38+'Avg Week Kyebando-Nsooba'!F38</f>
        <v>14.714285714285715</v>
      </c>
      <c r="G38" s="49">
        <f>'Avg Week Nsooba-Kyebando'!G38+'Avg Week Kyebando-Nsooba'!G38</f>
        <v>0.5714285714285714</v>
      </c>
      <c r="H38" s="49">
        <f>'Avg Week Nsooba-Kyebando'!H38+'Avg Week Kyebando-Nsooba'!H38</f>
        <v>0</v>
      </c>
      <c r="I38" s="49">
        <f>'Avg Week Nsooba-Kyebando'!I38+'Avg Week Kyebando-Nsooba'!I38</f>
        <v>7.5714285714285712</v>
      </c>
      <c r="J38" s="49">
        <f>'Avg Week Nsooba-Kyebando'!J38+'Avg Week Kyebando-Nsooba'!J38</f>
        <v>1</v>
      </c>
      <c r="K38" s="49">
        <f>'Avg Week Nsooba-Kyebando'!K38+'Avg Week Kyebando-Nsooba'!K38</f>
        <v>0.71428571428571419</v>
      </c>
      <c r="L38" s="49">
        <f>'Avg Week Nsooba-Kyebando'!L38+'Avg Week Kyebando-Nsooba'!L38</f>
        <v>0.5714285714285714</v>
      </c>
      <c r="M38" s="49">
        <f>'Avg Week Nsooba-Kyebando'!M38+'Avg Week Kyebando-Nsooba'!M38</f>
        <v>105.71428571428571</v>
      </c>
      <c r="N38" s="49">
        <f>'Avg Week Nsooba-Kyebando'!N38+'Avg Week Kyebando-Nsooba'!N38</f>
        <v>0</v>
      </c>
      <c r="O38" s="15">
        <f t="shared" si="0"/>
        <v>94</v>
      </c>
      <c r="P38" s="15">
        <f t="shared" si="1"/>
        <v>199.71428571428572</v>
      </c>
      <c r="R38" s="28" t="s">
        <v>86</v>
      </c>
      <c r="S38" s="56">
        <f t="shared" ref="S38:AF38" si="30">SUM(S13:S18)</f>
        <v>1176.7142857142858</v>
      </c>
      <c r="T38" s="56">
        <f t="shared" si="30"/>
        <v>311.28571428571428</v>
      </c>
      <c r="U38" s="56">
        <f t="shared" si="30"/>
        <v>197.71428571428569</v>
      </c>
      <c r="V38" s="56">
        <f t="shared" si="30"/>
        <v>430.57142857142861</v>
      </c>
      <c r="W38" s="56">
        <f t="shared" si="30"/>
        <v>9.9999999999999982</v>
      </c>
      <c r="X38" s="56">
        <f t="shared" si="30"/>
        <v>2.7142857142857135</v>
      </c>
      <c r="Y38" s="56">
        <f t="shared" si="30"/>
        <v>216.28571428571428</v>
      </c>
      <c r="Z38" s="56">
        <f t="shared" si="30"/>
        <v>36.857142857142854</v>
      </c>
      <c r="AA38" s="56">
        <f t="shared" si="30"/>
        <v>15.285714285714285</v>
      </c>
      <c r="AB38" s="56">
        <f t="shared" si="30"/>
        <v>4.1666666666666661</v>
      </c>
      <c r="AC38" s="56">
        <f t="shared" si="30"/>
        <v>2661.5714285714284</v>
      </c>
      <c r="AD38" s="56">
        <f t="shared" si="30"/>
        <v>0.42857142857142855</v>
      </c>
      <c r="AE38" s="57">
        <f t="shared" si="30"/>
        <v>2402.0238095238096</v>
      </c>
      <c r="AF38" s="57">
        <f t="shared" si="30"/>
        <v>5063.5952380952385</v>
      </c>
    </row>
    <row r="39" spans="2:32" ht="23.1" customHeight="1" x14ac:dyDescent="0.25">
      <c r="B39" s="24" t="s">
        <v>66</v>
      </c>
      <c r="C39" s="49">
        <f>'Avg Week Nsooba-Kyebando'!C39+'Avg Week Kyebando-Nsooba'!C39</f>
        <v>46.714285714285715</v>
      </c>
      <c r="D39" s="49">
        <f>'Avg Week Nsooba-Kyebando'!D39+'Avg Week Kyebando-Nsooba'!D39</f>
        <v>10.857142857142858</v>
      </c>
      <c r="E39" s="49">
        <f>'Avg Week Nsooba-Kyebando'!E39+'Avg Week Kyebando-Nsooba'!E39</f>
        <v>7.8571428571428577</v>
      </c>
      <c r="F39" s="49">
        <f>'Avg Week Nsooba-Kyebando'!F39+'Avg Week Kyebando-Nsooba'!F39</f>
        <v>10.285714285714286</v>
      </c>
      <c r="G39" s="49">
        <f>'Avg Week Nsooba-Kyebando'!G39+'Avg Week Kyebando-Nsooba'!G39</f>
        <v>0.8571428571428571</v>
      </c>
      <c r="H39" s="49">
        <f>'Avg Week Nsooba-Kyebando'!H39+'Avg Week Kyebando-Nsooba'!H39</f>
        <v>0</v>
      </c>
      <c r="I39" s="49">
        <f>'Avg Week Nsooba-Kyebando'!I39+'Avg Week Kyebando-Nsooba'!I39</f>
        <v>7.1428571428571423</v>
      </c>
      <c r="J39" s="49">
        <f>'Avg Week Nsooba-Kyebando'!J39+'Avg Week Kyebando-Nsooba'!J39</f>
        <v>1.1428571428571428</v>
      </c>
      <c r="K39" s="49">
        <f>'Avg Week Nsooba-Kyebando'!K39+'Avg Week Kyebando-Nsooba'!K39</f>
        <v>0.5714285714285714</v>
      </c>
      <c r="L39" s="49">
        <f>'Avg Week Nsooba-Kyebando'!L39+'Avg Week Kyebando-Nsooba'!L39</f>
        <v>0.2857142857142857</v>
      </c>
      <c r="M39" s="49">
        <f>'Avg Week Nsooba-Kyebando'!M39+'Avg Week Kyebando-Nsooba'!M39</f>
        <v>103.85714285714286</v>
      </c>
      <c r="N39" s="49">
        <f>'Avg Week Nsooba-Kyebando'!N39+'Avg Week Kyebando-Nsooba'!N39</f>
        <v>0</v>
      </c>
      <c r="O39" s="15">
        <f t="shared" si="0"/>
        <v>85.714285714285722</v>
      </c>
      <c r="P39" s="15">
        <f t="shared" si="1"/>
        <v>189.57142857142858</v>
      </c>
      <c r="R39" s="29" t="s">
        <v>87</v>
      </c>
      <c r="S39" s="56">
        <f t="shared" ref="S39:AF39" si="31">SUM(S19:S21)</f>
        <v>793.14285714285711</v>
      </c>
      <c r="T39" s="56">
        <f t="shared" si="31"/>
        <v>166</v>
      </c>
      <c r="U39" s="56">
        <f t="shared" si="31"/>
        <v>110.42857142857142</v>
      </c>
      <c r="V39" s="56">
        <f t="shared" si="31"/>
        <v>234</v>
      </c>
      <c r="W39" s="56">
        <f t="shared" si="31"/>
        <v>9.8571428571428577</v>
      </c>
      <c r="X39" s="56">
        <f t="shared" si="31"/>
        <v>2.2857142857142856</v>
      </c>
      <c r="Y39" s="56">
        <f t="shared" si="31"/>
        <v>101.57142857142858</v>
      </c>
      <c r="Z39" s="56">
        <f t="shared" si="31"/>
        <v>17.857142857142858</v>
      </c>
      <c r="AA39" s="56">
        <f t="shared" si="31"/>
        <v>8.2857142857142847</v>
      </c>
      <c r="AB39" s="56">
        <f t="shared" si="31"/>
        <v>12.142857142857144</v>
      </c>
      <c r="AC39" s="56">
        <f t="shared" si="31"/>
        <v>1590.4285714285716</v>
      </c>
      <c r="AD39" s="56">
        <f t="shared" si="31"/>
        <v>0</v>
      </c>
      <c r="AE39" s="57">
        <f t="shared" si="31"/>
        <v>1455.5714285714284</v>
      </c>
      <c r="AF39" s="57">
        <f t="shared" si="31"/>
        <v>3046</v>
      </c>
    </row>
    <row r="40" spans="2:32" ht="23.1" customHeight="1" x14ac:dyDescent="0.25">
      <c r="B40" s="24" t="s">
        <v>67</v>
      </c>
      <c r="C40" s="49">
        <f>'Avg Week Nsooba-Kyebando'!C40+'Avg Week Kyebando-Nsooba'!C40</f>
        <v>35</v>
      </c>
      <c r="D40" s="49">
        <f>'Avg Week Nsooba-Kyebando'!D40+'Avg Week Kyebando-Nsooba'!D40</f>
        <v>8.5714285714285712</v>
      </c>
      <c r="E40" s="49">
        <f>'Avg Week Nsooba-Kyebando'!E40+'Avg Week Kyebando-Nsooba'!E40</f>
        <v>5.1428571428571423</v>
      </c>
      <c r="F40" s="49">
        <f>'Avg Week Nsooba-Kyebando'!F40+'Avg Week Kyebando-Nsooba'!F40</f>
        <v>10.142857142857142</v>
      </c>
      <c r="G40" s="49">
        <f>'Avg Week Nsooba-Kyebando'!G40+'Avg Week Kyebando-Nsooba'!G40</f>
        <v>0.42857142857142855</v>
      </c>
      <c r="H40" s="49">
        <f>'Avg Week Nsooba-Kyebando'!H40+'Avg Week Kyebando-Nsooba'!H40</f>
        <v>0</v>
      </c>
      <c r="I40" s="49">
        <f>'Avg Week Nsooba-Kyebando'!I40+'Avg Week Kyebando-Nsooba'!I40</f>
        <v>5</v>
      </c>
      <c r="J40" s="49">
        <f>'Avg Week Nsooba-Kyebando'!J40+'Avg Week Kyebando-Nsooba'!J40</f>
        <v>1.7142857142857144</v>
      </c>
      <c r="K40" s="49">
        <f>'Avg Week Nsooba-Kyebando'!K40+'Avg Week Kyebando-Nsooba'!K40</f>
        <v>1</v>
      </c>
      <c r="L40" s="49">
        <f>'Avg Week Nsooba-Kyebando'!L40+'Avg Week Kyebando-Nsooba'!L40</f>
        <v>0.42857142857142855</v>
      </c>
      <c r="M40" s="49">
        <f>'Avg Week Nsooba-Kyebando'!M40+'Avg Week Kyebando-Nsooba'!M40</f>
        <v>89.857142857142861</v>
      </c>
      <c r="N40" s="49">
        <f>'Avg Week Nsooba-Kyebando'!N40+'Avg Week Kyebando-Nsooba'!N40</f>
        <v>0</v>
      </c>
      <c r="O40" s="15">
        <f t="shared" si="0"/>
        <v>67.428571428571416</v>
      </c>
      <c r="P40" s="15">
        <f t="shared" si="1"/>
        <v>157.28571428571428</v>
      </c>
      <c r="R40" s="5" t="s">
        <v>17</v>
      </c>
      <c r="S40" s="56">
        <f t="shared" ref="S40:AF40" si="32">SUM(S10:S21)</f>
        <v>2847.7142857142858</v>
      </c>
      <c r="T40" s="56">
        <f t="shared" si="32"/>
        <v>670</v>
      </c>
      <c r="U40" s="56">
        <f t="shared" si="32"/>
        <v>409.71428571428572</v>
      </c>
      <c r="V40" s="56">
        <f t="shared" si="32"/>
        <v>1176.8571428571429</v>
      </c>
      <c r="W40" s="56">
        <f t="shared" si="32"/>
        <v>31.571428571428569</v>
      </c>
      <c r="X40" s="56">
        <f t="shared" si="32"/>
        <v>5.9999999999999991</v>
      </c>
      <c r="Y40" s="56">
        <f t="shared" si="32"/>
        <v>411.42857142857144</v>
      </c>
      <c r="Z40" s="56">
        <f t="shared" si="32"/>
        <v>69.714285714285708</v>
      </c>
      <c r="AA40" s="56">
        <f t="shared" si="32"/>
        <v>31.000000000000004</v>
      </c>
      <c r="AB40" s="56">
        <f t="shared" si="32"/>
        <v>17.88095238095238</v>
      </c>
      <c r="AC40" s="56">
        <f t="shared" si="32"/>
        <v>6506.4285714285716</v>
      </c>
      <c r="AD40" s="56">
        <f t="shared" si="32"/>
        <v>0.42857142857142855</v>
      </c>
      <c r="AE40" s="57">
        <f t="shared" si="32"/>
        <v>5672.3095238095239</v>
      </c>
      <c r="AF40" s="57">
        <f t="shared" si="32"/>
        <v>12178.738095238094</v>
      </c>
    </row>
    <row r="41" spans="2:32" ht="23.1" customHeight="1" x14ac:dyDescent="0.25">
      <c r="B41" s="23" t="s">
        <v>68</v>
      </c>
      <c r="C41" s="49">
        <f>'Avg Week Nsooba-Kyebando'!C41+'Avg Week Kyebando-Nsooba'!C41</f>
        <v>71</v>
      </c>
      <c r="D41" s="49">
        <f>'Avg Week Nsooba-Kyebando'!D41+'Avg Week Kyebando-Nsooba'!D41</f>
        <v>8.5714285714285712</v>
      </c>
      <c r="E41" s="49">
        <f>'Avg Week Nsooba-Kyebando'!E41+'Avg Week Kyebando-Nsooba'!E41</f>
        <v>6.1428571428571423</v>
      </c>
      <c r="F41" s="49">
        <f>'Avg Week Nsooba-Kyebando'!F41+'Avg Week Kyebando-Nsooba'!F41</f>
        <v>12.857142857142858</v>
      </c>
      <c r="G41" s="49">
        <f>'Avg Week Nsooba-Kyebando'!G41+'Avg Week Kyebando-Nsooba'!G41</f>
        <v>0.42857142857142855</v>
      </c>
      <c r="H41" s="49">
        <f>'Avg Week Nsooba-Kyebando'!H41+'Avg Week Kyebando-Nsooba'!H41</f>
        <v>0</v>
      </c>
      <c r="I41" s="49">
        <f>'Avg Week Nsooba-Kyebando'!I41+'Avg Week Kyebando-Nsooba'!I41</f>
        <v>6.1428571428571423</v>
      </c>
      <c r="J41" s="49">
        <f>'Avg Week Nsooba-Kyebando'!J41+'Avg Week Kyebando-Nsooba'!J41</f>
        <v>0.8571428571428571</v>
      </c>
      <c r="K41" s="49">
        <f>'Avg Week Nsooba-Kyebando'!K41+'Avg Week Kyebando-Nsooba'!K41</f>
        <v>0.42857142857142855</v>
      </c>
      <c r="L41" s="49">
        <f>'Avg Week Nsooba-Kyebando'!L41+'Avg Week Kyebando-Nsooba'!L41</f>
        <v>0</v>
      </c>
      <c r="M41" s="49">
        <f>'Avg Week Nsooba-Kyebando'!M41+'Avg Week Kyebando-Nsooba'!M41</f>
        <v>71.714285714285722</v>
      </c>
      <c r="N41" s="49">
        <f>'Avg Week Nsooba-Kyebando'!N41+'Avg Week Kyebando-Nsooba'!N41</f>
        <v>0</v>
      </c>
      <c r="O41" s="15">
        <f t="shared" si="0"/>
        <v>106.42857142857143</v>
      </c>
      <c r="P41" s="15">
        <f t="shared" si="1"/>
        <v>178.14285714285717</v>
      </c>
      <c r="R41" s="5" t="s">
        <v>177</v>
      </c>
      <c r="S41" s="56">
        <f>SUM(S10:S33)</f>
        <v>4215.2142857142862</v>
      </c>
      <c r="T41" s="56">
        <f t="shared" ref="T41:AD41" si="33">SUM(T10:T33)</f>
        <v>825.5</v>
      </c>
      <c r="U41" s="56">
        <f t="shared" si="33"/>
        <v>537.71428571428578</v>
      </c>
      <c r="V41" s="56">
        <f t="shared" si="33"/>
        <v>1648.3571428571429</v>
      </c>
      <c r="W41" s="56">
        <f t="shared" si="33"/>
        <v>67.571428571428569</v>
      </c>
      <c r="X41" s="56">
        <f t="shared" si="33"/>
        <v>14.5</v>
      </c>
      <c r="Y41" s="56">
        <f t="shared" si="33"/>
        <v>499.42857142857144</v>
      </c>
      <c r="Z41" s="56">
        <f t="shared" si="33"/>
        <v>91.714285714285708</v>
      </c>
      <c r="AA41" s="56">
        <f t="shared" si="33"/>
        <v>40.5</v>
      </c>
      <c r="AB41" s="56">
        <f t="shared" si="33"/>
        <v>20.88095238095238</v>
      </c>
      <c r="AC41" s="56">
        <f t="shared" si="33"/>
        <v>8720.9285714285725</v>
      </c>
      <c r="AD41" s="56">
        <f t="shared" si="33"/>
        <v>0.42857142857142855</v>
      </c>
      <c r="AE41" s="57">
        <f>SUM(AE10:AE33)</f>
        <v>7961.8095238095239</v>
      </c>
      <c r="AF41" s="57">
        <f>SUM(AF10:AF33)</f>
        <v>16682.738095238092</v>
      </c>
    </row>
    <row r="42" spans="2:32" ht="23.1" customHeight="1" x14ac:dyDescent="0.25">
      <c r="B42" s="24" t="s">
        <v>69</v>
      </c>
      <c r="C42" s="49">
        <f>'Avg Week Nsooba-Kyebando'!C42+'Avg Week Kyebando-Nsooba'!C42</f>
        <v>42.428571428571431</v>
      </c>
      <c r="D42" s="49">
        <f>'Avg Week Nsooba-Kyebando'!D42+'Avg Week Kyebando-Nsooba'!D42</f>
        <v>11.714285714285714</v>
      </c>
      <c r="E42" s="49">
        <f>'Avg Week Nsooba-Kyebando'!E42+'Avg Week Kyebando-Nsooba'!E42</f>
        <v>8.7142857142857135</v>
      </c>
      <c r="F42" s="49">
        <f>'Avg Week Nsooba-Kyebando'!F42+'Avg Week Kyebando-Nsooba'!F42</f>
        <v>15.571428571428573</v>
      </c>
      <c r="G42" s="49">
        <f>'Avg Week Nsooba-Kyebando'!G42+'Avg Week Kyebando-Nsooba'!G42</f>
        <v>0.71428571428571419</v>
      </c>
      <c r="H42" s="49">
        <f>'Avg Week Nsooba-Kyebando'!H42+'Avg Week Kyebando-Nsooba'!H42</f>
        <v>0</v>
      </c>
      <c r="I42" s="49">
        <f>'Avg Week Nsooba-Kyebando'!I42+'Avg Week Kyebando-Nsooba'!I42</f>
        <v>6.2857142857142865</v>
      </c>
      <c r="J42" s="49">
        <f>'Avg Week Nsooba-Kyebando'!J42+'Avg Week Kyebando-Nsooba'!J42</f>
        <v>0.71428571428571419</v>
      </c>
      <c r="K42" s="49">
        <f>'Avg Week Nsooba-Kyebando'!K42+'Avg Week Kyebando-Nsooba'!K42</f>
        <v>0.2857142857142857</v>
      </c>
      <c r="L42" s="49">
        <f>'Avg Week Nsooba-Kyebando'!L42+'Avg Week Kyebando-Nsooba'!L42</f>
        <v>0</v>
      </c>
      <c r="M42" s="49">
        <f>'Avg Week Nsooba-Kyebando'!M42+'Avg Week Kyebando-Nsooba'!M42</f>
        <v>88.714285714285722</v>
      </c>
      <c r="N42" s="49">
        <f>'Avg Week Nsooba-Kyebando'!N42+'Avg Week Kyebando-Nsooba'!N42</f>
        <v>0</v>
      </c>
      <c r="O42" s="15">
        <f t="shared" si="0"/>
        <v>86.428571428571431</v>
      </c>
      <c r="P42" s="15">
        <f t="shared" si="1"/>
        <v>175.14285714285717</v>
      </c>
      <c r="R42" s="5" t="s">
        <v>160</v>
      </c>
      <c r="S42" s="48">
        <f>S41/S40</f>
        <v>1.4802096919835459</v>
      </c>
      <c r="T42" s="48">
        <f t="shared" ref="T42:AF42" si="34">T41/T40</f>
        <v>1.232089552238806</v>
      </c>
      <c r="U42" s="48">
        <f t="shared" si="34"/>
        <v>1.3124128312412833</v>
      </c>
      <c r="V42" s="48">
        <f t="shared" si="34"/>
        <v>1.4006433600388444</v>
      </c>
      <c r="W42" s="48">
        <f t="shared" si="34"/>
        <v>2.1402714932126696</v>
      </c>
      <c r="X42" s="48">
        <f t="shared" si="34"/>
        <v>2.416666666666667</v>
      </c>
      <c r="Y42" s="48">
        <f t="shared" si="34"/>
        <v>1.2138888888888888</v>
      </c>
      <c r="Z42" s="48">
        <f t="shared" si="34"/>
        <v>1.3155737704918034</v>
      </c>
      <c r="AA42" s="48">
        <f t="shared" si="34"/>
        <v>1.3064516129032258</v>
      </c>
      <c r="AB42" s="48">
        <f t="shared" si="34"/>
        <v>1.1677762982689748</v>
      </c>
      <c r="AC42" s="48">
        <f t="shared" si="34"/>
        <v>1.3403556921725768</v>
      </c>
      <c r="AD42" s="48">
        <f t="shared" si="34"/>
        <v>1</v>
      </c>
      <c r="AE42" s="58">
        <f t="shared" si="34"/>
        <v>1.40362748019829</v>
      </c>
      <c r="AF42" s="58">
        <f t="shared" si="34"/>
        <v>1.3698248508818061</v>
      </c>
    </row>
    <row r="43" spans="2:32" ht="23.1" customHeight="1" x14ac:dyDescent="0.25">
      <c r="B43" s="23" t="s">
        <v>70</v>
      </c>
      <c r="C43" s="49">
        <f>'Avg Week Nsooba-Kyebando'!C43+'Avg Week Kyebando-Nsooba'!C43</f>
        <v>47.714285714285715</v>
      </c>
      <c r="D43" s="49">
        <f>'Avg Week Nsooba-Kyebando'!D43+'Avg Week Kyebando-Nsooba'!D43</f>
        <v>13.857142857142858</v>
      </c>
      <c r="E43" s="49">
        <f>'Avg Week Nsooba-Kyebando'!E43+'Avg Week Kyebando-Nsooba'!E43</f>
        <v>10.142857142857142</v>
      </c>
      <c r="F43" s="49">
        <f>'Avg Week Nsooba-Kyebando'!F43+'Avg Week Kyebando-Nsooba'!F43</f>
        <v>16.714285714285715</v>
      </c>
      <c r="G43" s="49">
        <f>'Avg Week Nsooba-Kyebando'!G43+'Avg Week Kyebando-Nsooba'!G43</f>
        <v>0.2857142857142857</v>
      </c>
      <c r="H43" s="49">
        <f>'Avg Week Nsooba-Kyebando'!H43+'Avg Week Kyebando-Nsooba'!H43</f>
        <v>0.14285714285714285</v>
      </c>
      <c r="I43" s="49">
        <f>'Avg Week Nsooba-Kyebando'!I43+'Avg Week Kyebando-Nsooba'!I43</f>
        <v>8.4285714285714288</v>
      </c>
      <c r="J43" s="49">
        <f>'Avg Week Nsooba-Kyebando'!J43+'Avg Week Kyebando-Nsooba'!J43</f>
        <v>2.1428571428571428</v>
      </c>
      <c r="K43" s="49">
        <f>'Avg Week Nsooba-Kyebando'!K43+'Avg Week Kyebando-Nsooba'!K43</f>
        <v>0.5714285714285714</v>
      </c>
      <c r="L43" s="49">
        <f>'Avg Week Nsooba-Kyebando'!L43+'Avg Week Kyebando-Nsooba'!L43</f>
        <v>0</v>
      </c>
      <c r="M43" s="49">
        <f>'Avg Week Nsooba-Kyebando'!M43+'Avg Week Kyebando-Nsooba'!M43</f>
        <v>110.14285714285714</v>
      </c>
      <c r="N43" s="49">
        <f>'Avg Week Nsooba-Kyebando'!N43+'Avg Week Kyebando-Nsooba'!N43</f>
        <v>0</v>
      </c>
      <c r="O43" s="15">
        <f t="shared" si="0"/>
        <v>99.999999999999986</v>
      </c>
      <c r="P43" s="15">
        <f t="shared" si="1"/>
        <v>210.14285714285711</v>
      </c>
    </row>
    <row r="44" spans="2:32" ht="23.1" customHeight="1" x14ac:dyDescent="0.25">
      <c r="B44" s="25" t="s">
        <v>71</v>
      </c>
      <c r="C44" s="49">
        <f>'Avg Week Nsooba-Kyebando'!C44+'Avg Week Kyebando-Nsooba'!C44</f>
        <v>41.428571428571431</v>
      </c>
      <c r="D44" s="49">
        <f>'Avg Week Nsooba-Kyebando'!D44+'Avg Week Kyebando-Nsooba'!D44</f>
        <v>12.142857142857144</v>
      </c>
      <c r="E44" s="49">
        <f>'Avg Week Nsooba-Kyebando'!E44+'Avg Week Kyebando-Nsooba'!E44</f>
        <v>9</v>
      </c>
      <c r="F44" s="49">
        <f>'Avg Week Nsooba-Kyebando'!F44+'Avg Week Kyebando-Nsooba'!F44</f>
        <v>12.428571428571427</v>
      </c>
      <c r="G44" s="49">
        <f>'Avg Week Nsooba-Kyebando'!G44+'Avg Week Kyebando-Nsooba'!G44</f>
        <v>0.2857142857142857</v>
      </c>
      <c r="H44" s="49">
        <f>'Avg Week Nsooba-Kyebando'!H44+'Avg Week Kyebando-Nsooba'!H44</f>
        <v>0</v>
      </c>
      <c r="I44" s="49">
        <f>'Avg Week Nsooba-Kyebando'!I44+'Avg Week Kyebando-Nsooba'!I44</f>
        <v>8.4285714285714288</v>
      </c>
      <c r="J44" s="49">
        <f>'Avg Week Nsooba-Kyebando'!J44+'Avg Week Kyebando-Nsooba'!J44</f>
        <v>1.7142857142857142</v>
      </c>
      <c r="K44" s="49">
        <f>'Avg Week Nsooba-Kyebando'!K44+'Avg Week Kyebando-Nsooba'!K44</f>
        <v>0.14285714285714285</v>
      </c>
      <c r="L44" s="49">
        <f>'Avg Week Nsooba-Kyebando'!L44+'Avg Week Kyebando-Nsooba'!L44</f>
        <v>0.14285714285714285</v>
      </c>
      <c r="M44" s="49">
        <f>'Avg Week Nsooba-Kyebando'!M44+'Avg Week Kyebando-Nsooba'!M44</f>
        <v>90</v>
      </c>
      <c r="N44" s="49">
        <f>'Avg Week Nsooba-Kyebando'!N44+'Avg Week Kyebando-Nsooba'!N44</f>
        <v>0</v>
      </c>
      <c r="O44" s="15">
        <f t="shared" si="0"/>
        <v>85.714285714285708</v>
      </c>
      <c r="P44" s="15">
        <f t="shared" si="1"/>
        <v>175.71428571428572</v>
      </c>
    </row>
    <row r="45" spans="2:32" ht="23.1" customHeight="1" x14ac:dyDescent="0.25">
      <c r="B45" s="23" t="s">
        <v>72</v>
      </c>
      <c r="C45" s="49">
        <f>'Avg Week Nsooba-Kyebando'!C45+'Avg Week Kyebando-Nsooba'!C45</f>
        <v>46</v>
      </c>
      <c r="D45" s="49">
        <f>'Avg Week Nsooba-Kyebando'!D45+'Avg Week Kyebando-Nsooba'!D45</f>
        <v>10.857142857142858</v>
      </c>
      <c r="E45" s="49">
        <f>'Avg Week Nsooba-Kyebando'!E45+'Avg Week Kyebando-Nsooba'!E45</f>
        <v>9.5714285714285712</v>
      </c>
      <c r="F45" s="49">
        <f>'Avg Week Nsooba-Kyebando'!F45+'Avg Week Kyebando-Nsooba'!F45</f>
        <v>15.428571428571429</v>
      </c>
      <c r="G45" s="49">
        <f>'Avg Week Nsooba-Kyebando'!G45+'Avg Week Kyebando-Nsooba'!G45</f>
        <v>0.14285714285714285</v>
      </c>
      <c r="H45" s="49">
        <f>'Avg Week Nsooba-Kyebando'!H45+'Avg Week Kyebando-Nsooba'!H45</f>
        <v>0.14285714285714285</v>
      </c>
      <c r="I45" s="49">
        <f>'Avg Week Nsooba-Kyebando'!I45+'Avg Week Kyebando-Nsooba'!I45</f>
        <v>10.857142857142858</v>
      </c>
      <c r="J45" s="49">
        <f>'Avg Week Nsooba-Kyebando'!J45+'Avg Week Kyebando-Nsooba'!J45</f>
        <v>1</v>
      </c>
      <c r="K45" s="49">
        <f>'Avg Week Nsooba-Kyebando'!K45+'Avg Week Kyebando-Nsooba'!K45</f>
        <v>0.5714285714285714</v>
      </c>
      <c r="L45" s="49">
        <f>'Avg Week Nsooba-Kyebando'!L45+'Avg Week Kyebando-Nsooba'!L45</f>
        <v>0.16666666666666666</v>
      </c>
      <c r="M45" s="49">
        <f>'Avg Week Nsooba-Kyebando'!M45+'Avg Week Kyebando-Nsooba'!M45</f>
        <v>101.14285714285714</v>
      </c>
      <c r="N45" s="49">
        <f>'Avg Week Nsooba-Kyebando'!N45+'Avg Week Kyebando-Nsooba'!N45</f>
        <v>0</v>
      </c>
      <c r="O45" s="15">
        <f t="shared" si="0"/>
        <v>94.738095238095241</v>
      </c>
      <c r="P45" s="15">
        <f t="shared" si="1"/>
        <v>195.88095238095238</v>
      </c>
    </row>
    <row r="46" spans="2:32" ht="23.1" customHeight="1" x14ac:dyDescent="0.25">
      <c r="B46" s="24" t="s">
        <v>73</v>
      </c>
      <c r="C46" s="49">
        <f>'Avg Week Nsooba-Kyebando'!C46+'Avg Week Kyebando-Nsooba'!C46</f>
        <v>52.571428571428569</v>
      </c>
      <c r="D46" s="49">
        <f>'Avg Week Nsooba-Kyebando'!D46+'Avg Week Kyebando-Nsooba'!D46</f>
        <v>15.571428571428569</v>
      </c>
      <c r="E46" s="49">
        <f>'Avg Week Nsooba-Kyebando'!E46+'Avg Week Kyebando-Nsooba'!E46</f>
        <v>8.5714285714285712</v>
      </c>
      <c r="F46" s="49">
        <f>'Avg Week Nsooba-Kyebando'!F46+'Avg Week Kyebando-Nsooba'!F46</f>
        <v>18</v>
      </c>
      <c r="G46" s="49">
        <f>'Avg Week Nsooba-Kyebando'!G46+'Avg Week Kyebando-Nsooba'!G46</f>
        <v>0.42857142857142855</v>
      </c>
      <c r="H46" s="49">
        <f>'Avg Week Nsooba-Kyebando'!H46+'Avg Week Kyebando-Nsooba'!H46</f>
        <v>0</v>
      </c>
      <c r="I46" s="49">
        <f>'Avg Week Nsooba-Kyebando'!I46+'Avg Week Kyebando-Nsooba'!I46</f>
        <v>10.571428571428571</v>
      </c>
      <c r="J46" s="49">
        <f>'Avg Week Nsooba-Kyebando'!J46+'Avg Week Kyebando-Nsooba'!J46</f>
        <v>2.7142857142857144</v>
      </c>
      <c r="K46" s="49">
        <f>'Avg Week Nsooba-Kyebando'!K46+'Avg Week Kyebando-Nsooba'!K46</f>
        <v>0.2857142857142857</v>
      </c>
      <c r="L46" s="49">
        <f>'Avg Week Nsooba-Kyebando'!L46+'Avg Week Kyebando-Nsooba'!L46</f>
        <v>0</v>
      </c>
      <c r="M46" s="49">
        <f>'Avg Week Nsooba-Kyebando'!M46+'Avg Week Kyebando-Nsooba'!M46</f>
        <v>103.57142857142857</v>
      </c>
      <c r="N46" s="49">
        <f>'Avg Week Nsooba-Kyebando'!N46+'Avg Week Kyebando-Nsooba'!N46</f>
        <v>0</v>
      </c>
      <c r="O46" s="15">
        <f t="shared" si="0"/>
        <v>108.71428571428571</v>
      </c>
      <c r="P46" s="15">
        <f t="shared" si="1"/>
        <v>212.28571428571428</v>
      </c>
      <c r="R46" s="8"/>
      <c r="T46"/>
    </row>
    <row r="47" spans="2:32" ht="23.1" customHeight="1" x14ac:dyDescent="0.25">
      <c r="B47" s="24" t="s">
        <v>74</v>
      </c>
      <c r="C47" s="49">
        <f>'Avg Week Nsooba-Kyebando'!C47+'Avg Week Kyebando-Nsooba'!C47</f>
        <v>57.857142857142861</v>
      </c>
      <c r="D47" s="49">
        <f>'Avg Week Nsooba-Kyebando'!D47+'Avg Week Kyebando-Nsooba'!D47</f>
        <v>13</v>
      </c>
      <c r="E47" s="49">
        <f>'Avg Week Nsooba-Kyebando'!E47+'Avg Week Kyebando-Nsooba'!E47</f>
        <v>10.857142857142858</v>
      </c>
      <c r="F47" s="49">
        <f>'Avg Week Nsooba-Kyebando'!F47+'Avg Week Kyebando-Nsooba'!F47</f>
        <v>16.142857142857142</v>
      </c>
      <c r="G47" s="49">
        <f>'Avg Week Nsooba-Kyebando'!G47+'Avg Week Kyebando-Nsooba'!G47</f>
        <v>0.71428571428571419</v>
      </c>
      <c r="H47" s="49">
        <f>'Avg Week Nsooba-Kyebando'!H47+'Avg Week Kyebando-Nsooba'!H47</f>
        <v>0</v>
      </c>
      <c r="I47" s="49">
        <f>'Avg Week Nsooba-Kyebando'!I47+'Avg Week Kyebando-Nsooba'!I47</f>
        <v>9.8571428571428577</v>
      </c>
      <c r="J47" s="49">
        <f>'Avg Week Nsooba-Kyebando'!J47+'Avg Week Kyebando-Nsooba'!J47</f>
        <v>1.8571428571428572</v>
      </c>
      <c r="K47" s="49">
        <f>'Avg Week Nsooba-Kyebando'!K47+'Avg Week Kyebando-Nsooba'!K47</f>
        <v>0.8571428571428571</v>
      </c>
      <c r="L47" s="49">
        <f>'Avg Week Nsooba-Kyebando'!L47+'Avg Week Kyebando-Nsooba'!L47</f>
        <v>0</v>
      </c>
      <c r="M47" s="49">
        <f>'Avg Week Nsooba-Kyebando'!M47+'Avg Week Kyebando-Nsooba'!M47</f>
        <v>117.28571428571429</v>
      </c>
      <c r="N47" s="49">
        <f>'Avg Week Nsooba-Kyebando'!N47+'Avg Week Kyebando-Nsooba'!N47</f>
        <v>0</v>
      </c>
      <c r="O47" s="15">
        <f t="shared" si="0"/>
        <v>111.14285714285715</v>
      </c>
      <c r="P47" s="15">
        <f t="shared" si="1"/>
        <v>228.42857142857144</v>
      </c>
      <c r="R47" s="8"/>
      <c r="T47"/>
    </row>
    <row r="48" spans="2:32" ht="23.1" customHeight="1" x14ac:dyDescent="0.25">
      <c r="B48" s="24" t="s">
        <v>75</v>
      </c>
      <c r="C48" s="49">
        <f>'Avg Week Nsooba-Kyebando'!C48+'Avg Week Kyebando-Nsooba'!C48</f>
        <v>63</v>
      </c>
      <c r="D48" s="49">
        <f>'Avg Week Nsooba-Kyebando'!D48+'Avg Week Kyebando-Nsooba'!D48</f>
        <v>12.428571428571431</v>
      </c>
      <c r="E48" s="49">
        <f>'Avg Week Nsooba-Kyebando'!E48+'Avg Week Kyebando-Nsooba'!E48</f>
        <v>7.8571428571428577</v>
      </c>
      <c r="F48" s="49">
        <f>'Avg Week Nsooba-Kyebando'!F48+'Avg Week Kyebando-Nsooba'!F48</f>
        <v>17.857142857142858</v>
      </c>
      <c r="G48" s="49">
        <f>'Avg Week Nsooba-Kyebando'!G48+'Avg Week Kyebando-Nsooba'!G48</f>
        <v>0.42857142857142855</v>
      </c>
      <c r="H48" s="49">
        <f>'Avg Week Nsooba-Kyebando'!H48+'Avg Week Kyebando-Nsooba'!H48</f>
        <v>0</v>
      </c>
      <c r="I48" s="49">
        <f>'Avg Week Nsooba-Kyebando'!I48+'Avg Week Kyebando-Nsooba'!I48</f>
        <v>12</v>
      </c>
      <c r="J48" s="49">
        <f>'Avg Week Nsooba-Kyebando'!J48+'Avg Week Kyebando-Nsooba'!J48</f>
        <v>0.42857142857142855</v>
      </c>
      <c r="K48" s="49">
        <f>'Avg Week Nsooba-Kyebando'!K48+'Avg Week Kyebando-Nsooba'!K48</f>
        <v>0.5714285714285714</v>
      </c>
      <c r="L48" s="49">
        <f>'Avg Week Nsooba-Kyebando'!L48+'Avg Week Kyebando-Nsooba'!L48</f>
        <v>0.2857142857142857</v>
      </c>
      <c r="M48" s="49">
        <f>'Avg Week Nsooba-Kyebando'!M48+'Avg Week Kyebando-Nsooba'!M48</f>
        <v>104.42857142857142</v>
      </c>
      <c r="N48" s="49">
        <f>'Avg Week Nsooba-Kyebando'!N48+'Avg Week Kyebando-Nsooba'!N48</f>
        <v>0</v>
      </c>
      <c r="O48" s="15">
        <f t="shared" si="0"/>
        <v>114.85714285714288</v>
      </c>
      <c r="P48" s="15">
        <f t="shared" si="1"/>
        <v>219.28571428571428</v>
      </c>
      <c r="R48" s="8"/>
      <c r="T48"/>
    </row>
    <row r="49" spans="2:20" ht="23.1" customHeight="1" x14ac:dyDescent="0.25">
      <c r="B49" s="23" t="s">
        <v>76</v>
      </c>
      <c r="C49" s="49">
        <f>'Avg Week Nsooba-Kyebando'!C49+'Avg Week Kyebando-Nsooba'!C49</f>
        <v>53</v>
      </c>
      <c r="D49" s="49">
        <f>'Avg Week Nsooba-Kyebando'!D49+'Avg Week Kyebando-Nsooba'!D49</f>
        <v>14.428571428571427</v>
      </c>
      <c r="E49" s="49">
        <f>'Avg Week Nsooba-Kyebando'!E49+'Avg Week Kyebando-Nsooba'!E49</f>
        <v>7.8571428571428577</v>
      </c>
      <c r="F49" s="49">
        <f>'Avg Week Nsooba-Kyebando'!F49+'Avg Week Kyebando-Nsooba'!F49</f>
        <v>13.142857142857142</v>
      </c>
      <c r="G49" s="49">
        <f>'Avg Week Nsooba-Kyebando'!G49+'Avg Week Kyebando-Nsooba'!G49</f>
        <v>0.42857142857142855</v>
      </c>
      <c r="H49" s="49">
        <f>'Avg Week Nsooba-Kyebando'!H49+'Avg Week Kyebando-Nsooba'!H49</f>
        <v>1</v>
      </c>
      <c r="I49" s="49">
        <f>'Avg Week Nsooba-Kyebando'!I49+'Avg Week Kyebando-Nsooba'!I49</f>
        <v>5.2857142857142856</v>
      </c>
      <c r="J49" s="49">
        <f>'Avg Week Nsooba-Kyebando'!J49+'Avg Week Kyebando-Nsooba'!J49</f>
        <v>1</v>
      </c>
      <c r="K49" s="49">
        <f>'Avg Week Nsooba-Kyebando'!K49+'Avg Week Kyebando-Nsooba'!K49</f>
        <v>0.2857142857142857</v>
      </c>
      <c r="L49" s="49">
        <f>'Avg Week Nsooba-Kyebando'!L49+'Avg Week Kyebando-Nsooba'!L49</f>
        <v>11.428571428571429</v>
      </c>
      <c r="M49" s="49">
        <f>'Avg Week Nsooba-Kyebando'!M49+'Avg Week Kyebando-Nsooba'!M49</f>
        <v>92.857142857142861</v>
      </c>
      <c r="N49" s="49">
        <f>'Avg Week Nsooba-Kyebando'!N49+'Avg Week Kyebando-Nsooba'!N49</f>
        <v>0</v>
      </c>
      <c r="O49" s="15">
        <f t="shared" si="0"/>
        <v>107.85714285714288</v>
      </c>
      <c r="P49" s="15">
        <f t="shared" si="1"/>
        <v>200.71428571428572</v>
      </c>
      <c r="R49" s="8"/>
      <c r="T49"/>
    </row>
    <row r="50" spans="2:20" ht="23.1" customHeight="1" x14ac:dyDescent="0.25">
      <c r="B50" s="24" t="s">
        <v>77</v>
      </c>
      <c r="C50" s="49">
        <f>'Avg Week Nsooba-Kyebando'!C50+'Avg Week Kyebando-Nsooba'!C50</f>
        <v>70.714285714285722</v>
      </c>
      <c r="D50" s="49">
        <f>'Avg Week Nsooba-Kyebando'!D50+'Avg Week Kyebando-Nsooba'!D50</f>
        <v>16.857142857142858</v>
      </c>
      <c r="E50" s="49">
        <f>'Avg Week Nsooba-Kyebando'!E50+'Avg Week Kyebando-Nsooba'!E50</f>
        <v>9.5714285714285712</v>
      </c>
      <c r="F50" s="49">
        <f>'Avg Week Nsooba-Kyebando'!F50+'Avg Week Kyebando-Nsooba'!F50</f>
        <v>17.857142857142858</v>
      </c>
      <c r="G50" s="49">
        <f>'Avg Week Nsooba-Kyebando'!G50+'Avg Week Kyebando-Nsooba'!G50</f>
        <v>1.2857142857142856</v>
      </c>
      <c r="H50" s="49">
        <f>'Avg Week Nsooba-Kyebando'!H50+'Avg Week Kyebando-Nsooba'!H50</f>
        <v>0</v>
      </c>
      <c r="I50" s="49">
        <f>'Avg Week Nsooba-Kyebando'!I50+'Avg Week Kyebando-Nsooba'!I50</f>
        <v>6.5714285714285712</v>
      </c>
      <c r="J50" s="49">
        <f>'Avg Week Nsooba-Kyebando'!J50+'Avg Week Kyebando-Nsooba'!J50</f>
        <v>1.1428571428571428</v>
      </c>
      <c r="K50" s="49">
        <f>'Avg Week Nsooba-Kyebando'!K50+'Avg Week Kyebando-Nsooba'!K50</f>
        <v>0.71428571428571419</v>
      </c>
      <c r="L50" s="49">
        <f>'Avg Week Nsooba-Kyebando'!L50+'Avg Week Kyebando-Nsooba'!L50</f>
        <v>0.14285714285714285</v>
      </c>
      <c r="M50" s="49">
        <f>'Avg Week Nsooba-Kyebando'!M50+'Avg Week Kyebando-Nsooba'!M50</f>
        <v>123.42857142857143</v>
      </c>
      <c r="N50" s="49">
        <f>'Avg Week Nsooba-Kyebando'!N50+'Avg Week Kyebando-Nsooba'!N50</f>
        <v>0</v>
      </c>
      <c r="O50" s="15">
        <f t="shared" si="0"/>
        <v>124.85714285714286</v>
      </c>
      <c r="P50" s="15">
        <f t="shared" si="1"/>
        <v>248.28571428571428</v>
      </c>
      <c r="R50" s="8"/>
      <c r="T50"/>
    </row>
    <row r="51" spans="2:20" ht="23.1" customHeight="1" x14ac:dyDescent="0.25">
      <c r="B51" s="24" t="s">
        <v>78</v>
      </c>
      <c r="C51" s="49">
        <f>'Avg Week Nsooba-Kyebando'!C51+'Avg Week Kyebando-Nsooba'!C51</f>
        <v>70.714285714285708</v>
      </c>
      <c r="D51" s="49">
        <f>'Avg Week Nsooba-Kyebando'!D51+'Avg Week Kyebando-Nsooba'!D51</f>
        <v>16</v>
      </c>
      <c r="E51" s="49">
        <f>'Avg Week Nsooba-Kyebando'!E51+'Avg Week Kyebando-Nsooba'!E51</f>
        <v>9.1428571428571423</v>
      </c>
      <c r="F51" s="49">
        <f>'Avg Week Nsooba-Kyebando'!F51+'Avg Week Kyebando-Nsooba'!F51</f>
        <v>21.142857142857142</v>
      </c>
      <c r="G51" s="49">
        <f>'Avg Week Nsooba-Kyebando'!G51+'Avg Week Kyebando-Nsooba'!G51</f>
        <v>1.2857142857142856</v>
      </c>
      <c r="H51" s="49">
        <f>'Avg Week Nsooba-Kyebando'!H51+'Avg Week Kyebando-Nsooba'!H51</f>
        <v>0.14285714285714285</v>
      </c>
      <c r="I51" s="49">
        <f>'Avg Week Nsooba-Kyebando'!I51+'Avg Week Kyebando-Nsooba'!I51</f>
        <v>8.7142857142857153</v>
      </c>
      <c r="J51" s="49">
        <f>'Avg Week Nsooba-Kyebando'!J51+'Avg Week Kyebando-Nsooba'!J51</f>
        <v>1</v>
      </c>
      <c r="K51" s="49">
        <f>'Avg Week Nsooba-Kyebando'!K51+'Avg Week Kyebando-Nsooba'!K51</f>
        <v>1</v>
      </c>
      <c r="L51" s="49">
        <f>'Avg Week Nsooba-Kyebando'!L51+'Avg Week Kyebando-Nsooba'!L51</f>
        <v>0</v>
      </c>
      <c r="M51" s="49">
        <f>'Avg Week Nsooba-Kyebando'!M51+'Avg Week Kyebando-Nsooba'!M51</f>
        <v>139.28571428571428</v>
      </c>
      <c r="N51" s="49">
        <f>'Avg Week Nsooba-Kyebando'!N51+'Avg Week Kyebando-Nsooba'!N51</f>
        <v>0</v>
      </c>
      <c r="O51" s="15">
        <f t="shared" si="0"/>
        <v>129.14285714285714</v>
      </c>
      <c r="P51" s="15">
        <f t="shared" si="1"/>
        <v>268.42857142857144</v>
      </c>
      <c r="R51" s="8"/>
      <c r="T51"/>
    </row>
    <row r="52" spans="2:20" ht="23.1" customHeight="1" x14ac:dyDescent="0.25">
      <c r="B52" s="24" t="s">
        <v>79</v>
      </c>
      <c r="C52" s="49">
        <f>'Avg Week Nsooba-Kyebando'!C52+'Avg Week Kyebando-Nsooba'!C52</f>
        <v>75</v>
      </c>
      <c r="D52" s="49">
        <f>'Avg Week Nsooba-Kyebando'!D52+'Avg Week Kyebando-Nsooba'!D52</f>
        <v>14.714285714285714</v>
      </c>
      <c r="E52" s="49">
        <f>'Avg Week Nsooba-Kyebando'!E52+'Avg Week Kyebando-Nsooba'!E52</f>
        <v>13.142857142857142</v>
      </c>
      <c r="F52" s="49">
        <f>'Avg Week Nsooba-Kyebando'!F52+'Avg Week Kyebando-Nsooba'!F52</f>
        <v>23.142857142857146</v>
      </c>
      <c r="G52" s="49">
        <f>'Avg Week Nsooba-Kyebando'!G52+'Avg Week Kyebando-Nsooba'!G52</f>
        <v>0.14285714285714285</v>
      </c>
      <c r="H52" s="49">
        <f>'Avg Week Nsooba-Kyebando'!H52+'Avg Week Kyebando-Nsooba'!H52</f>
        <v>0.14285714285714285</v>
      </c>
      <c r="I52" s="49">
        <f>'Avg Week Nsooba-Kyebando'!I52+'Avg Week Kyebando-Nsooba'!I52</f>
        <v>6.7142857142857144</v>
      </c>
      <c r="J52" s="49">
        <f>'Avg Week Nsooba-Kyebando'!J52+'Avg Week Kyebando-Nsooba'!J52</f>
        <v>2</v>
      </c>
      <c r="K52" s="49">
        <f>'Avg Week Nsooba-Kyebando'!K52+'Avg Week Kyebando-Nsooba'!K52</f>
        <v>0.8571428571428571</v>
      </c>
      <c r="L52" s="49">
        <f>'Avg Week Nsooba-Kyebando'!L52+'Avg Week Kyebando-Nsooba'!L52</f>
        <v>0.14285714285714285</v>
      </c>
      <c r="M52" s="49">
        <f>'Avg Week Nsooba-Kyebando'!M52+'Avg Week Kyebando-Nsooba'!M52</f>
        <v>150.14285714285714</v>
      </c>
      <c r="N52" s="49">
        <f>'Avg Week Nsooba-Kyebando'!N52+'Avg Week Kyebando-Nsooba'!N52</f>
        <v>0</v>
      </c>
      <c r="O52" s="15">
        <f t="shared" si="0"/>
        <v>136</v>
      </c>
      <c r="P52" s="15">
        <f t="shared" si="1"/>
        <v>286.14285714285711</v>
      </c>
      <c r="R52" s="8"/>
      <c r="T52"/>
    </row>
    <row r="53" spans="2:20" ht="23.1" customHeight="1" x14ac:dyDescent="0.25">
      <c r="B53" s="23" t="s">
        <v>80</v>
      </c>
      <c r="C53" s="49">
        <f>'Avg Week Nsooba-Kyebando'!C53+'Avg Week Kyebando-Nsooba'!C53</f>
        <v>72.285714285714292</v>
      </c>
      <c r="D53" s="49">
        <f>'Avg Week Nsooba-Kyebando'!D53+'Avg Week Kyebando-Nsooba'!D53</f>
        <v>16.142857142857142</v>
      </c>
      <c r="E53" s="49">
        <f>'Avg Week Nsooba-Kyebando'!E53+'Avg Week Kyebando-Nsooba'!E53</f>
        <v>10.285714285714285</v>
      </c>
      <c r="F53" s="49">
        <f>'Avg Week Nsooba-Kyebando'!F53+'Avg Week Kyebando-Nsooba'!F53</f>
        <v>17</v>
      </c>
      <c r="G53" s="49">
        <f>'Avg Week Nsooba-Kyebando'!G53+'Avg Week Kyebando-Nsooba'!G53</f>
        <v>0.8571428571428571</v>
      </c>
      <c r="H53" s="49">
        <f>'Avg Week Nsooba-Kyebando'!H53+'Avg Week Kyebando-Nsooba'!H53</f>
        <v>0</v>
      </c>
      <c r="I53" s="49">
        <f>'Avg Week Nsooba-Kyebando'!I53+'Avg Week Kyebando-Nsooba'!I53</f>
        <v>9.1428571428571423</v>
      </c>
      <c r="J53" s="49">
        <f>'Avg Week Nsooba-Kyebando'!J53+'Avg Week Kyebando-Nsooba'!J53</f>
        <v>2.4285714285714284</v>
      </c>
      <c r="K53" s="49">
        <f>'Avg Week Nsooba-Kyebando'!K53+'Avg Week Kyebando-Nsooba'!K53</f>
        <v>1.4285714285714284</v>
      </c>
      <c r="L53" s="49">
        <f>'Avg Week Nsooba-Kyebando'!L53+'Avg Week Kyebando-Nsooba'!L53</f>
        <v>0</v>
      </c>
      <c r="M53" s="49">
        <f>'Avg Week Nsooba-Kyebando'!M53+'Avg Week Kyebando-Nsooba'!M53</f>
        <v>156</v>
      </c>
      <c r="N53" s="49">
        <f>'Avg Week Nsooba-Kyebando'!N53+'Avg Week Kyebando-Nsooba'!N53</f>
        <v>0</v>
      </c>
      <c r="O53" s="15">
        <f t="shared" si="0"/>
        <v>129.57142857142856</v>
      </c>
      <c r="P53" s="15">
        <f t="shared" si="1"/>
        <v>285.57142857142856</v>
      </c>
      <c r="R53" s="8"/>
      <c r="T53"/>
    </row>
    <row r="54" spans="2:20" ht="23.1" customHeight="1" x14ac:dyDescent="0.25">
      <c r="B54" s="23" t="s">
        <v>81</v>
      </c>
      <c r="C54" s="49">
        <f>'Avg Week Nsooba-Kyebando'!C54+'Avg Week Kyebando-Nsooba'!C54</f>
        <v>71.428571428571431</v>
      </c>
      <c r="D54" s="49">
        <f>'Avg Week Nsooba-Kyebando'!D54+'Avg Week Kyebando-Nsooba'!D54</f>
        <v>10.714285714285714</v>
      </c>
      <c r="E54" s="49">
        <f>'Avg Week Nsooba-Kyebando'!E54+'Avg Week Kyebando-Nsooba'!E54</f>
        <v>10.714285714285715</v>
      </c>
      <c r="F54" s="49">
        <f>'Avg Week Nsooba-Kyebando'!F54+'Avg Week Kyebando-Nsooba'!F54</f>
        <v>15.142857142857142</v>
      </c>
      <c r="G54" s="49">
        <f>'Avg Week Nsooba-Kyebando'!G54+'Avg Week Kyebando-Nsooba'!G54</f>
        <v>0.8571428571428571</v>
      </c>
      <c r="H54" s="49">
        <f>'Avg Week Nsooba-Kyebando'!H54+'Avg Week Kyebando-Nsooba'!H54</f>
        <v>0.85714285714285721</v>
      </c>
      <c r="I54" s="49">
        <f>'Avg Week Nsooba-Kyebando'!I54+'Avg Week Kyebando-Nsooba'!I54</f>
        <v>8.1428571428571423</v>
      </c>
      <c r="J54" s="49">
        <f>'Avg Week Nsooba-Kyebando'!J54+'Avg Week Kyebando-Nsooba'!J54</f>
        <v>1.4285714285714284</v>
      </c>
      <c r="K54" s="49">
        <f>'Avg Week Nsooba-Kyebando'!K54+'Avg Week Kyebando-Nsooba'!K54</f>
        <v>0.42857142857142855</v>
      </c>
      <c r="L54" s="49">
        <f>'Avg Week Nsooba-Kyebando'!L54+'Avg Week Kyebando-Nsooba'!L54</f>
        <v>0</v>
      </c>
      <c r="M54" s="49">
        <f>'Avg Week Nsooba-Kyebando'!M54+'Avg Week Kyebando-Nsooba'!M54</f>
        <v>158</v>
      </c>
      <c r="N54" s="49">
        <f>'Avg Week Nsooba-Kyebando'!N54+'Avg Week Kyebando-Nsooba'!N54</f>
        <v>0</v>
      </c>
      <c r="O54" s="15">
        <f t="shared" si="0"/>
        <v>119.71428571428572</v>
      </c>
      <c r="P54" s="15">
        <f t="shared" si="1"/>
        <v>277.71428571428572</v>
      </c>
      <c r="R54" s="8"/>
      <c r="T54"/>
    </row>
    <row r="55" spans="2:20" ht="23.1" customHeight="1" x14ac:dyDescent="0.25">
      <c r="B55" s="23" t="s">
        <v>82</v>
      </c>
      <c r="C55" s="49">
        <f>'Avg Week Nsooba-Kyebando'!C55+'Avg Week Kyebando-Nsooba'!C55</f>
        <v>71.714285714285708</v>
      </c>
      <c r="D55" s="49">
        <f>'Avg Week Nsooba-Kyebando'!D55+'Avg Week Kyebando-Nsooba'!D55</f>
        <v>11.285714285714285</v>
      </c>
      <c r="E55" s="49">
        <f>'Avg Week Nsooba-Kyebando'!E55+'Avg Week Kyebando-Nsooba'!E55</f>
        <v>8.1428571428571423</v>
      </c>
      <c r="F55" s="49">
        <f>'Avg Week Nsooba-Kyebando'!F55+'Avg Week Kyebando-Nsooba'!F55</f>
        <v>24.857142857142858</v>
      </c>
      <c r="G55" s="49">
        <f>'Avg Week Nsooba-Kyebando'!G55+'Avg Week Kyebando-Nsooba'!G55</f>
        <v>1</v>
      </c>
      <c r="H55" s="49">
        <f>'Avg Week Nsooba-Kyebando'!H55+'Avg Week Kyebando-Nsooba'!H55</f>
        <v>0</v>
      </c>
      <c r="I55" s="49">
        <f>'Avg Week Nsooba-Kyebando'!I55+'Avg Week Kyebando-Nsooba'!I55</f>
        <v>8.2857142857142865</v>
      </c>
      <c r="J55" s="49">
        <f>'Avg Week Nsooba-Kyebando'!J55+'Avg Week Kyebando-Nsooba'!J55</f>
        <v>1.1428571428571428</v>
      </c>
      <c r="K55" s="49">
        <f>'Avg Week Nsooba-Kyebando'!K55+'Avg Week Kyebando-Nsooba'!K55</f>
        <v>0.5714285714285714</v>
      </c>
      <c r="L55" s="49">
        <f>'Avg Week Nsooba-Kyebando'!L55+'Avg Week Kyebando-Nsooba'!L55</f>
        <v>0</v>
      </c>
      <c r="M55" s="49">
        <f>'Avg Week Nsooba-Kyebando'!M55+'Avg Week Kyebando-Nsooba'!M55</f>
        <v>158.28571428571428</v>
      </c>
      <c r="N55" s="49">
        <f>'Avg Week Nsooba-Kyebando'!N55+'Avg Week Kyebando-Nsooba'!N55</f>
        <v>0</v>
      </c>
      <c r="O55" s="15">
        <f t="shared" si="0"/>
        <v>127</v>
      </c>
      <c r="P55" s="15">
        <f t="shared" si="1"/>
        <v>285.28571428571428</v>
      </c>
      <c r="R55" s="8"/>
      <c r="T55"/>
    </row>
    <row r="56" spans="2:20" ht="23.1" customHeight="1" x14ac:dyDescent="0.25">
      <c r="B56" s="23" t="s">
        <v>83</v>
      </c>
      <c r="C56" s="49">
        <f>'Avg Week Nsooba-Kyebando'!C56+'Avg Week Kyebando-Nsooba'!C56</f>
        <v>77</v>
      </c>
      <c r="D56" s="49">
        <f>'Avg Week Nsooba-Kyebando'!D56+'Avg Week Kyebando-Nsooba'!D56</f>
        <v>12.428571428571429</v>
      </c>
      <c r="E56" s="49">
        <f>'Avg Week Nsooba-Kyebando'!E56+'Avg Week Kyebando-Nsooba'!E56</f>
        <v>7.2857142857142865</v>
      </c>
      <c r="F56" s="49">
        <f>'Avg Week Nsooba-Kyebando'!F56+'Avg Week Kyebando-Nsooba'!F56</f>
        <v>29.428571428571427</v>
      </c>
      <c r="G56" s="49">
        <f>'Avg Week Nsooba-Kyebando'!G56+'Avg Week Kyebando-Nsooba'!G56</f>
        <v>1.4285714285714284</v>
      </c>
      <c r="H56" s="49">
        <f>'Avg Week Nsooba-Kyebando'!H56+'Avg Week Kyebando-Nsooba'!H56</f>
        <v>0.14285714285714285</v>
      </c>
      <c r="I56" s="49">
        <f>'Avg Week Nsooba-Kyebando'!I56+'Avg Week Kyebando-Nsooba'!I56</f>
        <v>9.7142857142857153</v>
      </c>
      <c r="J56" s="49">
        <f>'Avg Week Nsooba-Kyebando'!J56+'Avg Week Kyebando-Nsooba'!J56</f>
        <v>1.7142857142857144</v>
      </c>
      <c r="K56" s="49">
        <f>'Avg Week Nsooba-Kyebando'!K56+'Avg Week Kyebando-Nsooba'!K56</f>
        <v>1</v>
      </c>
      <c r="L56" s="49">
        <f>'Avg Week Nsooba-Kyebando'!L56+'Avg Week Kyebando-Nsooba'!L56</f>
        <v>0</v>
      </c>
      <c r="M56" s="49">
        <f>'Avg Week Nsooba-Kyebando'!M56+'Avg Week Kyebando-Nsooba'!M56</f>
        <v>152.42857142857144</v>
      </c>
      <c r="N56" s="49">
        <f>'Avg Week Nsooba-Kyebando'!N56+'Avg Week Kyebando-Nsooba'!N56</f>
        <v>0</v>
      </c>
      <c r="O56" s="15">
        <f t="shared" si="0"/>
        <v>140.14285714285717</v>
      </c>
      <c r="P56" s="15">
        <f t="shared" si="1"/>
        <v>292.57142857142861</v>
      </c>
      <c r="R56" s="8"/>
      <c r="T56"/>
    </row>
    <row r="57" spans="2:20" ht="23.1" customHeight="1" x14ac:dyDescent="0.25">
      <c r="B57" s="23" t="s">
        <v>84</v>
      </c>
      <c r="C57" s="49">
        <f>'Avg Week Nsooba-Kyebando'!C57+'Avg Week Kyebando-Nsooba'!C57</f>
        <v>57.857142857142861</v>
      </c>
      <c r="D57" s="49">
        <f>'Avg Week Nsooba-Kyebando'!D57+'Avg Week Kyebando-Nsooba'!D57</f>
        <v>12.428571428571431</v>
      </c>
      <c r="E57" s="49">
        <f>'Avg Week Nsooba-Kyebando'!E57+'Avg Week Kyebando-Nsooba'!E57</f>
        <v>7</v>
      </c>
      <c r="F57" s="49">
        <f>'Avg Week Nsooba-Kyebando'!F57+'Avg Week Kyebando-Nsooba'!F57</f>
        <v>20.285714285714285</v>
      </c>
      <c r="G57" s="49">
        <f>'Avg Week Nsooba-Kyebando'!G57+'Avg Week Kyebando-Nsooba'!G57</f>
        <v>1</v>
      </c>
      <c r="H57" s="49">
        <f>'Avg Week Nsooba-Kyebando'!H57+'Avg Week Kyebando-Nsooba'!H57</f>
        <v>0</v>
      </c>
      <c r="I57" s="49">
        <f>'Avg Week Nsooba-Kyebando'!I57+'Avg Week Kyebando-Nsooba'!I57</f>
        <v>6.5714285714285712</v>
      </c>
      <c r="J57" s="49">
        <f>'Avg Week Nsooba-Kyebando'!J57+'Avg Week Kyebando-Nsooba'!J57</f>
        <v>1</v>
      </c>
      <c r="K57" s="49">
        <f>'Avg Week Nsooba-Kyebando'!K57+'Avg Week Kyebando-Nsooba'!K57</f>
        <v>0.2857142857142857</v>
      </c>
      <c r="L57" s="49">
        <f>'Avg Week Nsooba-Kyebando'!L57+'Avg Week Kyebando-Nsooba'!L57</f>
        <v>0.14285714285714285</v>
      </c>
      <c r="M57" s="49">
        <f>'Avg Week Nsooba-Kyebando'!M57+'Avg Week Kyebando-Nsooba'!M57</f>
        <v>134.71428571428572</v>
      </c>
      <c r="N57" s="49">
        <f>'Avg Week Nsooba-Kyebando'!N57+'Avg Week Kyebando-Nsooba'!N57</f>
        <v>0</v>
      </c>
      <c r="O57" s="15">
        <f t="shared" si="0"/>
        <v>106.57142857142858</v>
      </c>
      <c r="P57" s="15">
        <f t="shared" si="1"/>
        <v>241.28571428571431</v>
      </c>
      <c r="R57" s="8"/>
      <c r="T57"/>
    </row>
    <row r="58" spans="2:20" ht="23.1" customHeight="1" x14ac:dyDescent="0.25">
      <c r="B58" s="23" t="s">
        <v>99</v>
      </c>
      <c r="C58" s="49">
        <f>'Avg Week Nsooba-Kyebando'!C58+'Avg Week Kyebando-Nsooba'!C58</f>
        <v>64.5</v>
      </c>
      <c r="D58" s="49">
        <f>'Avg Week Nsooba-Kyebando'!D58+'Avg Week Kyebando-Nsooba'!D58</f>
        <v>12</v>
      </c>
      <c r="E58" s="49">
        <f>'Avg Week Nsooba-Kyebando'!E58+'Avg Week Kyebando-Nsooba'!E58</f>
        <v>11.5</v>
      </c>
      <c r="F58" s="49">
        <f>'Avg Week Nsooba-Kyebando'!F58+'Avg Week Kyebando-Nsooba'!F58</f>
        <v>25.5</v>
      </c>
      <c r="G58" s="49">
        <f>'Avg Week Nsooba-Kyebando'!G58+'Avg Week Kyebando-Nsooba'!G58</f>
        <v>1</v>
      </c>
      <c r="H58" s="49">
        <f>'Avg Week Nsooba-Kyebando'!H58+'Avg Week Kyebando-Nsooba'!H58</f>
        <v>0</v>
      </c>
      <c r="I58" s="49">
        <f>'Avg Week Nsooba-Kyebando'!I58+'Avg Week Kyebando-Nsooba'!I58</f>
        <v>8</v>
      </c>
      <c r="J58" s="49">
        <f>'Avg Week Nsooba-Kyebando'!J58+'Avg Week Kyebando-Nsooba'!J58</f>
        <v>1</v>
      </c>
      <c r="K58" s="49">
        <f>'Avg Week Nsooba-Kyebando'!K58+'Avg Week Kyebando-Nsooba'!K58</f>
        <v>1</v>
      </c>
      <c r="L58" s="49">
        <f>'Avg Week Nsooba-Kyebando'!L58+'Avg Week Kyebando-Nsooba'!L58</f>
        <v>0</v>
      </c>
      <c r="M58" s="49">
        <f>'Avg Week Nsooba-Kyebando'!M58+'Avg Week Kyebando-Nsooba'!M58</f>
        <v>121.5</v>
      </c>
      <c r="N58" s="49">
        <f>'Avg Week Nsooba-Kyebando'!N58+'Avg Week Kyebando-Nsooba'!N58</f>
        <v>0</v>
      </c>
      <c r="O58" s="15">
        <f t="shared" si="0"/>
        <v>124.5</v>
      </c>
      <c r="P58" s="15">
        <f t="shared" si="1"/>
        <v>246</v>
      </c>
      <c r="R58" s="8"/>
      <c r="T58"/>
    </row>
    <row r="59" spans="2:20" ht="23.1" customHeight="1" x14ac:dyDescent="0.25">
      <c r="B59" s="23" t="s">
        <v>100</v>
      </c>
      <c r="C59" s="49">
        <f>'Avg Week Nsooba-Kyebando'!C59+'Avg Week Kyebando-Nsooba'!C59</f>
        <v>59.5</v>
      </c>
      <c r="D59" s="49">
        <f>'Avg Week Nsooba-Kyebando'!D59+'Avg Week Kyebando-Nsooba'!D59</f>
        <v>7</v>
      </c>
      <c r="E59" s="49">
        <f>'Avg Week Nsooba-Kyebando'!E59+'Avg Week Kyebando-Nsooba'!E59</f>
        <v>5.5</v>
      </c>
      <c r="F59" s="49">
        <f>'Avg Week Nsooba-Kyebando'!F59+'Avg Week Kyebando-Nsooba'!F59</f>
        <v>35</v>
      </c>
      <c r="G59" s="49">
        <f>'Avg Week Nsooba-Kyebando'!G59+'Avg Week Kyebando-Nsooba'!G59</f>
        <v>0.5</v>
      </c>
      <c r="H59" s="49">
        <f>'Avg Week Nsooba-Kyebando'!H59+'Avg Week Kyebando-Nsooba'!H59</f>
        <v>0.5</v>
      </c>
      <c r="I59" s="49">
        <f>'Avg Week Nsooba-Kyebando'!I59+'Avg Week Kyebando-Nsooba'!I59</f>
        <v>8</v>
      </c>
      <c r="J59" s="49">
        <f>'Avg Week Nsooba-Kyebando'!J59+'Avg Week Kyebando-Nsooba'!J59</f>
        <v>2.5</v>
      </c>
      <c r="K59" s="49">
        <f>'Avg Week Nsooba-Kyebando'!K59+'Avg Week Kyebando-Nsooba'!K59</f>
        <v>3</v>
      </c>
      <c r="L59" s="49">
        <f>'Avg Week Nsooba-Kyebando'!L59+'Avg Week Kyebando-Nsooba'!L59</f>
        <v>0</v>
      </c>
      <c r="M59" s="49">
        <f>'Avg Week Nsooba-Kyebando'!M59+'Avg Week Kyebando-Nsooba'!M59</f>
        <v>114</v>
      </c>
      <c r="N59" s="49">
        <f>'Avg Week Nsooba-Kyebando'!N59+'Avg Week Kyebando-Nsooba'!N59</f>
        <v>0</v>
      </c>
      <c r="O59" s="15">
        <f t="shared" si="0"/>
        <v>121.5</v>
      </c>
      <c r="P59" s="15">
        <f t="shared" si="1"/>
        <v>235.5</v>
      </c>
      <c r="R59" s="8"/>
      <c r="T59"/>
    </row>
    <row r="60" spans="2:20" ht="23.1" customHeight="1" x14ac:dyDescent="0.25">
      <c r="B60" s="23" t="s">
        <v>101</v>
      </c>
      <c r="C60" s="49">
        <f>'Avg Week Nsooba-Kyebando'!C60+'Avg Week Kyebando-Nsooba'!C60</f>
        <v>80.5</v>
      </c>
      <c r="D60" s="49">
        <f>'Avg Week Nsooba-Kyebando'!D60+'Avg Week Kyebando-Nsooba'!D60</f>
        <v>11.5</v>
      </c>
      <c r="E60" s="49">
        <f>'Avg Week Nsooba-Kyebando'!E60+'Avg Week Kyebando-Nsooba'!E60</f>
        <v>6</v>
      </c>
      <c r="F60" s="49">
        <f>'Avg Week Nsooba-Kyebando'!F60+'Avg Week Kyebando-Nsooba'!F60</f>
        <v>28</v>
      </c>
      <c r="G60" s="49">
        <f>'Avg Week Nsooba-Kyebando'!G60+'Avg Week Kyebando-Nsooba'!G60</f>
        <v>1</v>
      </c>
      <c r="H60" s="49">
        <f>'Avg Week Nsooba-Kyebando'!H60+'Avg Week Kyebando-Nsooba'!H60</f>
        <v>0.5</v>
      </c>
      <c r="I60" s="49">
        <f>'Avg Week Nsooba-Kyebando'!I60+'Avg Week Kyebando-Nsooba'!I60</f>
        <v>5.5</v>
      </c>
      <c r="J60" s="49">
        <f>'Avg Week Nsooba-Kyebando'!J60+'Avg Week Kyebando-Nsooba'!J60</f>
        <v>2</v>
      </c>
      <c r="K60" s="49">
        <f>'Avg Week Nsooba-Kyebando'!K60+'Avg Week Kyebando-Nsooba'!K60</f>
        <v>0.5</v>
      </c>
      <c r="L60" s="49">
        <f>'Avg Week Nsooba-Kyebando'!L60+'Avg Week Kyebando-Nsooba'!L60</f>
        <v>0</v>
      </c>
      <c r="M60" s="49">
        <f>'Avg Week Nsooba-Kyebando'!M60+'Avg Week Kyebando-Nsooba'!M60</f>
        <v>137</v>
      </c>
      <c r="N60" s="49">
        <f>'Avg Week Nsooba-Kyebando'!N60+'Avg Week Kyebando-Nsooba'!N60</f>
        <v>0</v>
      </c>
      <c r="O60" s="15">
        <f t="shared" si="0"/>
        <v>135.5</v>
      </c>
      <c r="P60" s="15">
        <f t="shared" si="1"/>
        <v>272.5</v>
      </c>
      <c r="R60" s="8"/>
      <c r="T60"/>
    </row>
    <row r="61" spans="2:20" ht="23.1" customHeight="1" x14ac:dyDescent="0.25">
      <c r="B61" s="23" t="s">
        <v>102</v>
      </c>
      <c r="C61" s="49">
        <f>'Avg Week Nsooba-Kyebando'!C61+'Avg Week Kyebando-Nsooba'!C61</f>
        <v>72.5</v>
      </c>
      <c r="D61" s="49">
        <f>'Avg Week Nsooba-Kyebando'!D61+'Avg Week Kyebando-Nsooba'!D61</f>
        <v>9.5</v>
      </c>
      <c r="E61" s="49">
        <f>'Avg Week Nsooba-Kyebando'!E61+'Avg Week Kyebando-Nsooba'!E61</f>
        <v>11</v>
      </c>
      <c r="F61" s="49">
        <f>'Avg Week Nsooba-Kyebando'!F61+'Avg Week Kyebando-Nsooba'!F61</f>
        <v>25.5</v>
      </c>
      <c r="G61" s="49">
        <f>'Avg Week Nsooba-Kyebando'!G61+'Avg Week Kyebando-Nsooba'!G61</f>
        <v>1</v>
      </c>
      <c r="H61" s="49">
        <f>'Avg Week Nsooba-Kyebando'!H61+'Avg Week Kyebando-Nsooba'!H61</f>
        <v>1.5</v>
      </c>
      <c r="I61" s="49">
        <f>'Avg Week Nsooba-Kyebando'!I61+'Avg Week Kyebando-Nsooba'!I61</f>
        <v>11.5</v>
      </c>
      <c r="J61" s="49">
        <f>'Avg Week Nsooba-Kyebando'!J61+'Avg Week Kyebando-Nsooba'!J61</f>
        <v>2</v>
      </c>
      <c r="K61" s="49">
        <f>'Avg Week Nsooba-Kyebando'!K61+'Avg Week Kyebando-Nsooba'!K61</f>
        <v>1</v>
      </c>
      <c r="L61" s="49">
        <f>'Avg Week Nsooba-Kyebando'!L61+'Avg Week Kyebando-Nsooba'!L61</f>
        <v>1</v>
      </c>
      <c r="M61" s="49">
        <f>'Avg Week Nsooba-Kyebando'!M61+'Avg Week Kyebando-Nsooba'!M61</f>
        <v>117.5</v>
      </c>
      <c r="N61" s="49">
        <f>'Avg Week Nsooba-Kyebando'!N61+'Avg Week Kyebando-Nsooba'!N61</f>
        <v>0</v>
      </c>
      <c r="O61" s="15">
        <f t="shared" si="0"/>
        <v>136.5</v>
      </c>
      <c r="P61" s="15">
        <f t="shared" si="1"/>
        <v>254</v>
      </c>
      <c r="R61" s="8"/>
      <c r="T61"/>
    </row>
    <row r="62" spans="2:20" ht="23.1" customHeight="1" x14ac:dyDescent="0.25">
      <c r="B62" s="23" t="s">
        <v>107</v>
      </c>
      <c r="C62" s="49">
        <f>'Avg Week Nsooba-Kyebando'!C62+'Avg Week Kyebando-Nsooba'!C62</f>
        <v>82</v>
      </c>
      <c r="D62" s="49">
        <f>'Avg Week Nsooba-Kyebando'!D62+'Avg Week Kyebando-Nsooba'!D62</f>
        <v>8</v>
      </c>
      <c r="E62" s="49">
        <f>'Avg Week Nsooba-Kyebando'!E62+'Avg Week Kyebando-Nsooba'!E62</f>
        <v>8</v>
      </c>
      <c r="F62" s="49">
        <f>'Avg Week Nsooba-Kyebando'!F62+'Avg Week Kyebando-Nsooba'!F62</f>
        <v>44.5</v>
      </c>
      <c r="G62" s="49">
        <f>'Avg Week Nsooba-Kyebando'!G62+'Avg Week Kyebando-Nsooba'!G62</f>
        <v>0.5</v>
      </c>
      <c r="H62" s="49">
        <f>'Avg Week Nsooba-Kyebando'!H62+'Avg Week Kyebando-Nsooba'!H62</f>
        <v>0</v>
      </c>
      <c r="I62" s="49">
        <f>'Avg Week Nsooba-Kyebando'!I62+'Avg Week Kyebando-Nsooba'!I62</f>
        <v>7</v>
      </c>
      <c r="J62" s="49">
        <f>'Avg Week Nsooba-Kyebando'!J62+'Avg Week Kyebando-Nsooba'!J62</f>
        <v>2</v>
      </c>
      <c r="K62" s="49">
        <f>'Avg Week Nsooba-Kyebando'!K62+'Avg Week Kyebando-Nsooba'!K62</f>
        <v>0.5</v>
      </c>
      <c r="L62" s="49">
        <f>'Avg Week Nsooba-Kyebando'!L62+'Avg Week Kyebando-Nsooba'!L62</f>
        <v>0</v>
      </c>
      <c r="M62" s="49">
        <f>'Avg Week Nsooba-Kyebando'!M62+'Avg Week Kyebando-Nsooba'!M62</f>
        <v>137.5</v>
      </c>
      <c r="N62" s="49">
        <f>'Avg Week Nsooba-Kyebando'!N62+'Avg Week Kyebando-Nsooba'!N62</f>
        <v>0</v>
      </c>
      <c r="O62" s="15">
        <f t="shared" si="0"/>
        <v>152.5</v>
      </c>
      <c r="P62" s="15">
        <f t="shared" si="1"/>
        <v>290</v>
      </c>
      <c r="R62" s="8"/>
      <c r="T62"/>
    </row>
    <row r="63" spans="2:20" ht="23.1" customHeight="1" x14ac:dyDescent="0.25">
      <c r="B63" s="23" t="s">
        <v>108</v>
      </c>
      <c r="C63" s="49">
        <f>'Avg Week Nsooba-Kyebando'!C63+'Avg Week Kyebando-Nsooba'!C63</f>
        <v>76.5</v>
      </c>
      <c r="D63" s="49">
        <f>'Avg Week Nsooba-Kyebando'!D63+'Avg Week Kyebando-Nsooba'!D63</f>
        <v>8.5</v>
      </c>
      <c r="E63" s="49">
        <f>'Avg Week Nsooba-Kyebando'!E63+'Avg Week Kyebando-Nsooba'!E63</f>
        <v>7.5</v>
      </c>
      <c r="F63" s="49">
        <f>'Avg Week Nsooba-Kyebando'!F63+'Avg Week Kyebando-Nsooba'!F63</f>
        <v>34</v>
      </c>
      <c r="G63" s="49">
        <f>'Avg Week Nsooba-Kyebando'!G63+'Avg Week Kyebando-Nsooba'!G63</f>
        <v>1.5</v>
      </c>
      <c r="H63" s="49">
        <f>'Avg Week Nsooba-Kyebando'!H63+'Avg Week Kyebando-Nsooba'!H63</f>
        <v>0</v>
      </c>
      <c r="I63" s="49">
        <f>'Avg Week Nsooba-Kyebando'!I63+'Avg Week Kyebando-Nsooba'!I63</f>
        <v>5.5</v>
      </c>
      <c r="J63" s="49">
        <f>'Avg Week Nsooba-Kyebando'!J63+'Avg Week Kyebando-Nsooba'!J63</f>
        <v>1</v>
      </c>
      <c r="K63" s="49">
        <f>'Avg Week Nsooba-Kyebando'!K63+'Avg Week Kyebando-Nsooba'!K63</f>
        <v>0</v>
      </c>
      <c r="L63" s="49">
        <f>'Avg Week Nsooba-Kyebando'!L63+'Avg Week Kyebando-Nsooba'!L63</f>
        <v>0</v>
      </c>
      <c r="M63" s="49">
        <f>'Avg Week Nsooba-Kyebando'!M63+'Avg Week Kyebando-Nsooba'!M63</f>
        <v>129.5</v>
      </c>
      <c r="N63" s="49">
        <f>'Avg Week Nsooba-Kyebando'!N63+'Avg Week Kyebando-Nsooba'!N63</f>
        <v>0</v>
      </c>
      <c r="O63" s="15">
        <f t="shared" si="0"/>
        <v>134.5</v>
      </c>
      <c r="P63" s="15">
        <f t="shared" si="1"/>
        <v>264</v>
      </c>
      <c r="R63" s="8"/>
      <c r="T63"/>
    </row>
    <row r="64" spans="2:20" ht="23.1" customHeight="1" x14ac:dyDescent="0.25">
      <c r="B64" s="23" t="s">
        <v>109</v>
      </c>
      <c r="C64" s="49">
        <f>'Avg Week Nsooba-Kyebando'!C64+'Avg Week Kyebando-Nsooba'!C64</f>
        <v>50.5</v>
      </c>
      <c r="D64" s="49">
        <f>'Avg Week Nsooba-Kyebando'!D64+'Avg Week Kyebando-Nsooba'!D64</f>
        <v>8</v>
      </c>
      <c r="E64" s="49">
        <f>'Avg Week Nsooba-Kyebando'!E64+'Avg Week Kyebando-Nsooba'!E64</f>
        <v>6</v>
      </c>
      <c r="F64" s="49">
        <f>'Avg Week Nsooba-Kyebando'!F64+'Avg Week Kyebando-Nsooba'!F64</f>
        <v>27.5</v>
      </c>
      <c r="G64" s="49">
        <f>'Avg Week Nsooba-Kyebando'!G64+'Avg Week Kyebando-Nsooba'!G64</f>
        <v>0.5</v>
      </c>
      <c r="H64" s="49">
        <f>'Avg Week Nsooba-Kyebando'!H64+'Avg Week Kyebando-Nsooba'!H64</f>
        <v>1.5</v>
      </c>
      <c r="I64" s="49">
        <f>'Avg Week Nsooba-Kyebando'!I64+'Avg Week Kyebando-Nsooba'!I64</f>
        <v>4</v>
      </c>
      <c r="J64" s="49">
        <f>'Avg Week Nsooba-Kyebando'!J64+'Avg Week Kyebando-Nsooba'!J64</f>
        <v>0</v>
      </c>
      <c r="K64" s="49">
        <f>'Avg Week Nsooba-Kyebando'!K64+'Avg Week Kyebando-Nsooba'!K64</f>
        <v>0</v>
      </c>
      <c r="L64" s="49">
        <f>'Avg Week Nsooba-Kyebando'!L64+'Avg Week Kyebando-Nsooba'!L64</f>
        <v>0</v>
      </c>
      <c r="M64" s="49">
        <f>'Avg Week Nsooba-Kyebando'!M64+'Avg Week Kyebando-Nsooba'!M64</f>
        <v>122.5</v>
      </c>
      <c r="N64" s="49">
        <f>'Avg Week Nsooba-Kyebando'!N64+'Avg Week Kyebando-Nsooba'!N64</f>
        <v>0</v>
      </c>
      <c r="O64" s="15">
        <f t="shared" si="0"/>
        <v>98</v>
      </c>
      <c r="P64" s="15">
        <f t="shared" si="1"/>
        <v>220.5</v>
      </c>
      <c r="R64" s="8"/>
      <c r="T64"/>
    </row>
    <row r="65" spans="2:20" ht="23.1" customHeight="1" x14ac:dyDescent="0.25">
      <c r="B65" s="23" t="s">
        <v>158</v>
      </c>
      <c r="C65" s="49">
        <f>'Avg Week Nsooba-Kyebando'!C65+'Avg Week Kyebando-Nsooba'!C65</f>
        <v>60</v>
      </c>
      <c r="D65" s="49">
        <f>'Avg Week Nsooba-Kyebando'!D65+'Avg Week Kyebando-Nsooba'!D65</f>
        <v>8.5</v>
      </c>
      <c r="E65" s="49">
        <f>'Avg Week Nsooba-Kyebando'!E65+'Avg Week Kyebando-Nsooba'!E65</f>
        <v>4.5</v>
      </c>
      <c r="F65" s="49">
        <f>'Avg Week Nsooba-Kyebando'!F65+'Avg Week Kyebando-Nsooba'!F65</f>
        <v>32.5</v>
      </c>
      <c r="G65" s="49">
        <f>'Avg Week Nsooba-Kyebando'!G65+'Avg Week Kyebando-Nsooba'!G65</f>
        <v>1</v>
      </c>
      <c r="H65" s="49">
        <f>'Avg Week Nsooba-Kyebando'!H65+'Avg Week Kyebando-Nsooba'!H65</f>
        <v>0</v>
      </c>
      <c r="I65" s="49">
        <f>'Avg Week Nsooba-Kyebando'!I65+'Avg Week Kyebando-Nsooba'!I65</f>
        <v>4</v>
      </c>
      <c r="J65" s="49">
        <f>'Avg Week Nsooba-Kyebando'!J65+'Avg Week Kyebando-Nsooba'!J65</f>
        <v>0</v>
      </c>
      <c r="K65" s="49">
        <f>'Avg Week Nsooba-Kyebando'!K65+'Avg Week Kyebando-Nsooba'!K65</f>
        <v>0</v>
      </c>
      <c r="L65" s="49">
        <f>'Avg Week Nsooba-Kyebando'!L65+'Avg Week Kyebando-Nsooba'!L65</f>
        <v>0</v>
      </c>
      <c r="M65" s="49">
        <f>'Avg Week Nsooba-Kyebando'!M65+'Avg Week Kyebando-Nsooba'!M65</f>
        <v>88.5</v>
      </c>
      <c r="N65" s="49">
        <f>'Avg Week Nsooba-Kyebando'!N65+'Avg Week Kyebando-Nsooba'!N65</f>
        <v>0</v>
      </c>
      <c r="O65" s="15">
        <f t="shared" si="0"/>
        <v>110.5</v>
      </c>
      <c r="P65" s="15">
        <f t="shared" si="1"/>
        <v>199</v>
      </c>
      <c r="R65" s="8"/>
      <c r="T65"/>
    </row>
    <row r="66" spans="2:20" ht="23.1" customHeight="1" x14ac:dyDescent="0.25">
      <c r="B66" s="23" t="s">
        <v>103</v>
      </c>
      <c r="C66" s="49">
        <f>'Avg Week Nsooba-Kyebando'!C66+'Avg Week Kyebando-Nsooba'!C66</f>
        <v>72</v>
      </c>
      <c r="D66" s="49">
        <f>'Avg Week Nsooba-Kyebando'!D66+'Avg Week Kyebando-Nsooba'!D66</f>
        <v>4.5</v>
      </c>
      <c r="E66" s="49">
        <f>'Avg Week Nsooba-Kyebando'!E66+'Avg Week Kyebando-Nsooba'!E66</f>
        <v>6</v>
      </c>
      <c r="F66" s="49">
        <f>'Avg Week Nsooba-Kyebando'!F66+'Avg Week Kyebando-Nsooba'!F66</f>
        <v>18</v>
      </c>
      <c r="G66" s="49">
        <f>'Avg Week Nsooba-Kyebando'!G66+'Avg Week Kyebando-Nsooba'!G66</f>
        <v>24</v>
      </c>
      <c r="H66" s="49">
        <f>'Avg Week Nsooba-Kyebando'!H66+'Avg Week Kyebando-Nsooba'!H66</f>
        <v>2</v>
      </c>
      <c r="I66" s="49">
        <f>'Avg Week Nsooba-Kyebando'!I66+'Avg Week Kyebando-Nsooba'!I66</f>
        <v>3.5</v>
      </c>
      <c r="J66" s="49">
        <f>'Avg Week Nsooba-Kyebando'!J66+'Avg Week Kyebando-Nsooba'!J66</f>
        <v>2.5</v>
      </c>
      <c r="K66" s="49">
        <f>'Avg Week Nsooba-Kyebando'!K66+'Avg Week Kyebando-Nsooba'!K66</f>
        <v>0.5</v>
      </c>
      <c r="L66" s="49">
        <f>'Avg Week Nsooba-Kyebando'!L66+'Avg Week Kyebando-Nsooba'!L66</f>
        <v>0.5</v>
      </c>
      <c r="M66" s="49">
        <f>'Avg Week Nsooba-Kyebando'!M66+'Avg Week Kyebando-Nsooba'!M66</f>
        <v>112.5</v>
      </c>
      <c r="N66" s="49">
        <f>'Avg Week Nsooba-Kyebando'!N66+'Avg Week Kyebando-Nsooba'!N66</f>
        <v>0</v>
      </c>
      <c r="O66" s="15">
        <f t="shared" si="0"/>
        <v>133.5</v>
      </c>
      <c r="P66" s="15">
        <f t="shared" si="1"/>
        <v>246</v>
      </c>
      <c r="R66" s="8"/>
      <c r="T66"/>
    </row>
    <row r="67" spans="2:20" ht="23.1" customHeight="1" x14ac:dyDescent="0.25">
      <c r="B67" s="23" t="s">
        <v>104</v>
      </c>
      <c r="C67" s="49">
        <f>'Avg Week Nsooba-Kyebando'!C67+'Avg Week Kyebando-Nsooba'!C67</f>
        <v>70</v>
      </c>
      <c r="D67" s="49">
        <f>'Avg Week Nsooba-Kyebando'!D67+'Avg Week Kyebando-Nsooba'!D67</f>
        <v>8.5</v>
      </c>
      <c r="E67" s="49">
        <f>'Avg Week Nsooba-Kyebando'!E67+'Avg Week Kyebando-Nsooba'!E67</f>
        <v>2.5</v>
      </c>
      <c r="F67" s="49">
        <f>'Avg Week Nsooba-Kyebando'!F67+'Avg Week Kyebando-Nsooba'!F67</f>
        <v>26</v>
      </c>
      <c r="G67" s="49">
        <f>'Avg Week Nsooba-Kyebando'!G67+'Avg Week Kyebando-Nsooba'!G67</f>
        <v>2</v>
      </c>
      <c r="H67" s="49">
        <f>'Avg Week Nsooba-Kyebando'!H67+'Avg Week Kyebando-Nsooba'!H67</f>
        <v>0</v>
      </c>
      <c r="I67" s="49">
        <f>'Avg Week Nsooba-Kyebando'!I67+'Avg Week Kyebando-Nsooba'!I67</f>
        <v>3</v>
      </c>
      <c r="J67" s="49">
        <f>'Avg Week Nsooba-Kyebando'!J67+'Avg Week Kyebando-Nsooba'!J67</f>
        <v>0.5</v>
      </c>
      <c r="K67" s="49">
        <f>'Avg Week Nsooba-Kyebando'!K67+'Avg Week Kyebando-Nsooba'!K67</f>
        <v>0.5</v>
      </c>
      <c r="L67" s="49">
        <f>'Avg Week Nsooba-Kyebando'!L67+'Avg Week Kyebando-Nsooba'!L67</f>
        <v>0</v>
      </c>
      <c r="M67" s="49">
        <f>'Avg Week Nsooba-Kyebando'!M67+'Avg Week Kyebando-Nsooba'!M67</f>
        <v>109</v>
      </c>
      <c r="N67" s="49">
        <f>'Avg Week Nsooba-Kyebando'!N67+'Avg Week Kyebando-Nsooba'!N67</f>
        <v>0</v>
      </c>
      <c r="O67" s="15">
        <f t="shared" si="0"/>
        <v>113</v>
      </c>
      <c r="P67" s="15">
        <f t="shared" si="1"/>
        <v>222</v>
      </c>
      <c r="R67" s="8"/>
      <c r="T67"/>
    </row>
    <row r="68" spans="2:20" ht="23.1" customHeight="1" x14ac:dyDescent="0.25">
      <c r="B68" s="23" t="s">
        <v>105</v>
      </c>
      <c r="C68" s="49">
        <f>'Avg Week Nsooba-Kyebando'!C68+'Avg Week Kyebando-Nsooba'!C68</f>
        <v>56</v>
      </c>
      <c r="D68" s="49">
        <f>'Avg Week Nsooba-Kyebando'!D68+'Avg Week Kyebando-Nsooba'!D68</f>
        <v>8</v>
      </c>
      <c r="E68" s="49">
        <f>'Avg Week Nsooba-Kyebando'!E68+'Avg Week Kyebando-Nsooba'!E68</f>
        <v>4.5</v>
      </c>
      <c r="F68" s="49">
        <f>'Avg Week Nsooba-Kyebando'!F68+'Avg Week Kyebando-Nsooba'!F68</f>
        <v>21.5</v>
      </c>
      <c r="G68" s="49">
        <f>'Avg Week Nsooba-Kyebando'!G68+'Avg Week Kyebando-Nsooba'!G68</f>
        <v>0</v>
      </c>
      <c r="H68" s="49">
        <f>'Avg Week Nsooba-Kyebando'!H68+'Avg Week Kyebando-Nsooba'!H68</f>
        <v>0.5</v>
      </c>
      <c r="I68" s="49">
        <f>'Avg Week Nsooba-Kyebando'!I68+'Avg Week Kyebando-Nsooba'!I68</f>
        <v>2.5</v>
      </c>
      <c r="J68" s="49">
        <f>'Avg Week Nsooba-Kyebando'!J68+'Avg Week Kyebando-Nsooba'!J68</f>
        <v>1</v>
      </c>
      <c r="K68" s="49">
        <f>'Avg Week Nsooba-Kyebando'!K68+'Avg Week Kyebando-Nsooba'!K68</f>
        <v>0.5</v>
      </c>
      <c r="L68" s="49">
        <f>'Avg Week Nsooba-Kyebando'!L68+'Avg Week Kyebando-Nsooba'!L68</f>
        <v>0</v>
      </c>
      <c r="M68" s="49">
        <f>'Avg Week Nsooba-Kyebando'!M68+'Avg Week Kyebando-Nsooba'!M68</f>
        <v>87.5</v>
      </c>
      <c r="N68" s="49">
        <f>'Avg Week Nsooba-Kyebando'!N68+'Avg Week Kyebando-Nsooba'!N68</f>
        <v>0</v>
      </c>
      <c r="O68" s="15">
        <f t="shared" si="0"/>
        <v>94.5</v>
      </c>
      <c r="P68" s="15">
        <f t="shared" si="1"/>
        <v>182</v>
      </c>
      <c r="R68" s="8"/>
      <c r="T68"/>
    </row>
    <row r="69" spans="2:20" ht="23.1" customHeight="1" x14ac:dyDescent="0.25">
      <c r="B69" s="23" t="s">
        <v>106</v>
      </c>
      <c r="C69" s="49">
        <f>'Avg Week Nsooba-Kyebando'!C69+'Avg Week Kyebando-Nsooba'!C69</f>
        <v>38.5</v>
      </c>
      <c r="D69" s="49">
        <f>'Avg Week Nsooba-Kyebando'!D69+'Avg Week Kyebando-Nsooba'!D69</f>
        <v>3</v>
      </c>
      <c r="E69" s="49">
        <f>'Avg Week Nsooba-Kyebando'!E69+'Avg Week Kyebando-Nsooba'!E69</f>
        <v>3.5</v>
      </c>
      <c r="F69" s="49">
        <f>'Avg Week Nsooba-Kyebando'!F69+'Avg Week Kyebando-Nsooba'!F69</f>
        <v>9.5</v>
      </c>
      <c r="G69" s="49">
        <f>'Avg Week Nsooba-Kyebando'!G69+'Avg Week Kyebando-Nsooba'!G69</f>
        <v>0</v>
      </c>
      <c r="H69" s="49">
        <f>'Avg Week Nsooba-Kyebando'!H69+'Avg Week Kyebando-Nsooba'!H69</f>
        <v>0</v>
      </c>
      <c r="I69" s="49">
        <f>'Avg Week Nsooba-Kyebando'!I69+'Avg Week Kyebando-Nsooba'!I69</f>
        <v>4</v>
      </c>
      <c r="J69" s="49">
        <f>'Avg Week Nsooba-Kyebando'!J69+'Avg Week Kyebando-Nsooba'!J69</f>
        <v>0</v>
      </c>
      <c r="K69" s="49">
        <f>'Avg Week Nsooba-Kyebando'!K69+'Avg Week Kyebando-Nsooba'!K69</f>
        <v>0.5</v>
      </c>
      <c r="L69" s="49">
        <f>'Avg Week Nsooba-Kyebando'!L69+'Avg Week Kyebando-Nsooba'!L69</f>
        <v>0</v>
      </c>
      <c r="M69" s="49">
        <f>'Avg Week Nsooba-Kyebando'!M69+'Avg Week Kyebando-Nsooba'!M69</f>
        <v>85</v>
      </c>
      <c r="N69" s="49">
        <f>'Avg Week Nsooba-Kyebando'!N69+'Avg Week Kyebando-Nsooba'!N69</f>
        <v>0</v>
      </c>
      <c r="O69" s="15">
        <f t="shared" si="0"/>
        <v>59</v>
      </c>
      <c r="P69" s="15">
        <f t="shared" si="1"/>
        <v>144</v>
      </c>
      <c r="R69" s="8"/>
      <c r="T69"/>
    </row>
    <row r="70" spans="2:20" ht="23.1" customHeight="1" x14ac:dyDescent="0.25">
      <c r="B70" s="23" t="s">
        <v>110</v>
      </c>
      <c r="C70" s="49">
        <f>'Avg Week Nsooba-Kyebando'!C70+'Avg Week Kyebando-Nsooba'!C70</f>
        <v>47</v>
      </c>
      <c r="D70" s="49">
        <f>'Avg Week Nsooba-Kyebando'!D70+'Avg Week Kyebando-Nsooba'!D70</f>
        <v>2</v>
      </c>
      <c r="E70" s="49">
        <f>'Avg Week Nsooba-Kyebando'!E70+'Avg Week Kyebando-Nsooba'!E70</f>
        <v>4.5</v>
      </c>
      <c r="F70" s="49">
        <f>'Avg Week Nsooba-Kyebando'!F70+'Avg Week Kyebando-Nsooba'!F70</f>
        <v>13.5</v>
      </c>
      <c r="G70" s="49">
        <f>'Avg Week Nsooba-Kyebando'!G70+'Avg Week Kyebando-Nsooba'!G70</f>
        <v>0</v>
      </c>
      <c r="H70" s="49">
        <f>'Avg Week Nsooba-Kyebando'!H70+'Avg Week Kyebando-Nsooba'!H70</f>
        <v>0</v>
      </c>
      <c r="I70" s="49">
        <f>'Avg Week Nsooba-Kyebando'!I70+'Avg Week Kyebando-Nsooba'!I70</f>
        <v>2</v>
      </c>
      <c r="J70" s="49">
        <f>'Avg Week Nsooba-Kyebando'!J70+'Avg Week Kyebando-Nsooba'!J70</f>
        <v>1.5</v>
      </c>
      <c r="K70" s="49">
        <f>'Avg Week Nsooba-Kyebando'!K70+'Avg Week Kyebando-Nsooba'!K70</f>
        <v>0</v>
      </c>
      <c r="L70" s="49">
        <f>'Avg Week Nsooba-Kyebando'!L70+'Avg Week Kyebando-Nsooba'!L70</f>
        <v>0</v>
      </c>
      <c r="M70" s="49">
        <f>'Avg Week Nsooba-Kyebando'!M70+'Avg Week Kyebando-Nsooba'!M70</f>
        <v>55</v>
      </c>
      <c r="N70" s="49">
        <f>'Avg Week Nsooba-Kyebando'!N70+'Avg Week Kyebando-Nsooba'!N70</f>
        <v>0</v>
      </c>
      <c r="O70" s="15">
        <f t="shared" si="0"/>
        <v>70.5</v>
      </c>
      <c r="P70" s="15">
        <f t="shared" si="1"/>
        <v>125.5</v>
      </c>
      <c r="R70" s="8"/>
      <c r="T70"/>
    </row>
    <row r="71" spans="2:20" ht="23.1" customHeight="1" x14ac:dyDescent="0.25">
      <c r="B71" s="23" t="s">
        <v>111</v>
      </c>
      <c r="C71" s="49">
        <f>'Avg Week Nsooba-Kyebando'!C71+'Avg Week Kyebando-Nsooba'!C71</f>
        <v>37</v>
      </c>
      <c r="D71" s="49">
        <f>'Avg Week Nsooba-Kyebando'!D71+'Avg Week Kyebando-Nsooba'!D71</f>
        <v>4</v>
      </c>
      <c r="E71" s="49">
        <f>'Avg Week Nsooba-Kyebando'!E71+'Avg Week Kyebando-Nsooba'!E71</f>
        <v>3.5</v>
      </c>
      <c r="F71" s="49">
        <f>'Avg Week Nsooba-Kyebando'!F71+'Avg Week Kyebando-Nsooba'!F71</f>
        <v>9.5</v>
      </c>
      <c r="G71" s="49">
        <f>'Avg Week Nsooba-Kyebando'!G71+'Avg Week Kyebando-Nsooba'!G71</f>
        <v>0</v>
      </c>
      <c r="H71" s="49">
        <f>'Avg Week Nsooba-Kyebando'!H71+'Avg Week Kyebando-Nsooba'!H71</f>
        <v>0</v>
      </c>
      <c r="I71" s="49">
        <f>'Avg Week Nsooba-Kyebando'!I71+'Avg Week Kyebando-Nsooba'!I71</f>
        <v>2</v>
      </c>
      <c r="J71" s="49">
        <f>'Avg Week Nsooba-Kyebando'!J71+'Avg Week Kyebando-Nsooba'!J71</f>
        <v>0.5</v>
      </c>
      <c r="K71" s="49">
        <f>'Avg Week Nsooba-Kyebando'!K71+'Avg Week Kyebando-Nsooba'!K71</f>
        <v>0</v>
      </c>
      <c r="L71" s="49">
        <f>'Avg Week Nsooba-Kyebando'!L71+'Avg Week Kyebando-Nsooba'!L71</f>
        <v>0</v>
      </c>
      <c r="M71" s="49">
        <f>'Avg Week Nsooba-Kyebando'!M71+'Avg Week Kyebando-Nsooba'!M71</f>
        <v>61.5</v>
      </c>
      <c r="N71" s="49">
        <f>'Avg Week Nsooba-Kyebando'!N71+'Avg Week Kyebando-Nsooba'!N71</f>
        <v>0</v>
      </c>
      <c r="O71" s="15">
        <f t="shared" si="0"/>
        <v>56.5</v>
      </c>
      <c r="P71" s="15">
        <f t="shared" si="1"/>
        <v>118</v>
      </c>
      <c r="R71" s="8"/>
      <c r="T71"/>
    </row>
    <row r="72" spans="2:20" ht="23.1" customHeight="1" x14ac:dyDescent="0.25">
      <c r="B72" s="23" t="s">
        <v>112</v>
      </c>
      <c r="C72" s="49">
        <f>'Avg Week Nsooba-Kyebando'!C72+'Avg Week Kyebando-Nsooba'!C72</f>
        <v>16.5</v>
      </c>
      <c r="D72" s="49">
        <f>'Avg Week Nsooba-Kyebando'!D72+'Avg Week Kyebando-Nsooba'!D72</f>
        <v>3.5</v>
      </c>
      <c r="E72" s="49">
        <f>'Avg Week Nsooba-Kyebando'!E72+'Avg Week Kyebando-Nsooba'!E72</f>
        <v>8</v>
      </c>
      <c r="F72" s="49">
        <f>'Avg Week Nsooba-Kyebando'!F72+'Avg Week Kyebando-Nsooba'!F72</f>
        <v>2.5</v>
      </c>
      <c r="G72" s="49">
        <f>'Avg Week Nsooba-Kyebando'!G72+'Avg Week Kyebando-Nsooba'!G72</f>
        <v>0</v>
      </c>
      <c r="H72" s="49">
        <f>'Avg Week Nsooba-Kyebando'!H72+'Avg Week Kyebando-Nsooba'!H72</f>
        <v>0</v>
      </c>
      <c r="I72" s="49">
        <f>'Avg Week Nsooba-Kyebando'!I72+'Avg Week Kyebando-Nsooba'!I72</f>
        <v>0</v>
      </c>
      <c r="J72" s="49">
        <f>'Avg Week Nsooba-Kyebando'!J72+'Avg Week Kyebando-Nsooba'!J72</f>
        <v>0.5</v>
      </c>
      <c r="K72" s="49">
        <f>'Avg Week Nsooba-Kyebando'!K72+'Avg Week Kyebando-Nsooba'!K72</f>
        <v>0</v>
      </c>
      <c r="L72" s="49">
        <f>'Avg Week Nsooba-Kyebando'!L72+'Avg Week Kyebando-Nsooba'!L72</f>
        <v>0</v>
      </c>
      <c r="M72" s="49">
        <f>'Avg Week Nsooba-Kyebando'!M72+'Avg Week Kyebando-Nsooba'!M72</f>
        <v>61.5</v>
      </c>
      <c r="N72" s="49">
        <f>'Avg Week Nsooba-Kyebando'!N72+'Avg Week Kyebando-Nsooba'!N72</f>
        <v>0</v>
      </c>
      <c r="O72" s="15">
        <f t="shared" si="0"/>
        <v>31</v>
      </c>
      <c r="P72" s="15">
        <f t="shared" si="1"/>
        <v>92.5</v>
      </c>
      <c r="R72" s="8"/>
      <c r="T72"/>
    </row>
    <row r="73" spans="2:20" ht="23.1" customHeight="1" x14ac:dyDescent="0.25">
      <c r="B73" s="23" t="s">
        <v>113</v>
      </c>
      <c r="C73" s="49">
        <f>'Avg Week Nsooba-Kyebando'!C73+'Avg Week Kyebando-Nsooba'!C73</f>
        <v>38.5</v>
      </c>
      <c r="D73" s="49">
        <f>'Avg Week Nsooba-Kyebando'!D73+'Avg Week Kyebando-Nsooba'!D73</f>
        <v>3.5</v>
      </c>
      <c r="E73" s="49">
        <f>'Avg Week Nsooba-Kyebando'!E73+'Avg Week Kyebando-Nsooba'!E73</f>
        <v>3</v>
      </c>
      <c r="F73" s="49">
        <f>'Avg Week Nsooba-Kyebando'!F73+'Avg Week Kyebando-Nsooba'!F73</f>
        <v>5.5</v>
      </c>
      <c r="G73" s="49">
        <f>'Avg Week Nsooba-Kyebando'!G73+'Avg Week Kyebando-Nsooba'!G73</f>
        <v>0</v>
      </c>
      <c r="H73" s="49">
        <f>'Avg Week Nsooba-Kyebando'!H73+'Avg Week Kyebando-Nsooba'!H73</f>
        <v>0</v>
      </c>
      <c r="I73" s="49">
        <f>'Avg Week Nsooba-Kyebando'!I73+'Avg Week Kyebando-Nsooba'!I73</f>
        <v>0.5</v>
      </c>
      <c r="J73" s="49">
        <f>'Avg Week Nsooba-Kyebando'!J73+'Avg Week Kyebando-Nsooba'!J73</f>
        <v>0</v>
      </c>
      <c r="K73" s="49">
        <f>'Avg Week Nsooba-Kyebando'!K73+'Avg Week Kyebando-Nsooba'!K73</f>
        <v>0</v>
      </c>
      <c r="L73" s="49">
        <f>'Avg Week Nsooba-Kyebando'!L73+'Avg Week Kyebando-Nsooba'!L73</f>
        <v>0</v>
      </c>
      <c r="M73" s="49">
        <f>'Avg Week Nsooba-Kyebando'!M73+'Avg Week Kyebando-Nsooba'!M73</f>
        <v>37.5</v>
      </c>
      <c r="N73" s="49">
        <f>'Avg Week Nsooba-Kyebando'!N73+'Avg Week Kyebando-Nsooba'!N73</f>
        <v>0</v>
      </c>
      <c r="O73" s="15">
        <f t="shared" si="0"/>
        <v>51</v>
      </c>
      <c r="P73" s="15">
        <f t="shared" si="1"/>
        <v>88.5</v>
      </c>
      <c r="R73" s="8"/>
      <c r="T73"/>
    </row>
    <row r="74" spans="2:20" ht="23.1" customHeight="1" x14ac:dyDescent="0.25">
      <c r="B74" s="23" t="s">
        <v>114</v>
      </c>
      <c r="C74" s="49">
        <f>'Avg Week Nsooba-Kyebando'!C74+'Avg Week Kyebando-Nsooba'!C74</f>
        <v>31</v>
      </c>
      <c r="D74" s="49">
        <f>'Avg Week Nsooba-Kyebando'!D74+'Avg Week Kyebando-Nsooba'!D74</f>
        <v>3</v>
      </c>
      <c r="E74" s="49">
        <f>'Avg Week Nsooba-Kyebando'!E74+'Avg Week Kyebando-Nsooba'!E74</f>
        <v>5</v>
      </c>
      <c r="F74" s="49">
        <f>'Avg Week Nsooba-Kyebando'!F74+'Avg Week Kyebando-Nsooba'!F74</f>
        <v>4.5</v>
      </c>
      <c r="G74" s="49">
        <f>'Avg Week Nsooba-Kyebando'!G74+'Avg Week Kyebando-Nsooba'!G74</f>
        <v>0</v>
      </c>
      <c r="H74" s="49">
        <f>'Avg Week Nsooba-Kyebando'!H74+'Avg Week Kyebando-Nsooba'!H74</f>
        <v>0</v>
      </c>
      <c r="I74" s="49">
        <f>'Avg Week Nsooba-Kyebando'!I74+'Avg Week Kyebando-Nsooba'!I74</f>
        <v>1.5</v>
      </c>
      <c r="J74" s="49">
        <f>'Avg Week Nsooba-Kyebando'!J74+'Avg Week Kyebando-Nsooba'!J74</f>
        <v>0.5</v>
      </c>
      <c r="K74" s="49">
        <f>'Avg Week Nsooba-Kyebando'!K74+'Avg Week Kyebando-Nsooba'!K74</f>
        <v>0</v>
      </c>
      <c r="L74" s="49">
        <f>'Avg Week Nsooba-Kyebando'!L74+'Avg Week Kyebando-Nsooba'!L74</f>
        <v>0</v>
      </c>
      <c r="M74" s="49">
        <f>'Avg Week Nsooba-Kyebando'!M74+'Avg Week Kyebando-Nsooba'!M74</f>
        <v>45</v>
      </c>
      <c r="N74" s="49">
        <f>'Avg Week Nsooba-Kyebando'!N74+'Avg Week Kyebando-Nsooba'!N74</f>
        <v>0</v>
      </c>
      <c r="O74" s="15">
        <f t="shared" ref="O74:O105" si="35">SUM(C74:L74,N74)</f>
        <v>45.5</v>
      </c>
      <c r="P74" s="15">
        <f t="shared" ref="P74:P105" si="36">SUM(C74:N74)</f>
        <v>90.5</v>
      </c>
      <c r="R74" s="8"/>
      <c r="T74"/>
    </row>
    <row r="75" spans="2:20" ht="23.1" customHeight="1" x14ac:dyDescent="0.25">
      <c r="B75" s="23" t="s">
        <v>115</v>
      </c>
      <c r="C75" s="49">
        <f>'Avg Week Nsooba-Kyebando'!C75+'Avg Week Kyebando-Nsooba'!C75</f>
        <v>25.5</v>
      </c>
      <c r="D75" s="49">
        <f>'Avg Week Nsooba-Kyebando'!D75+'Avg Week Kyebando-Nsooba'!D75</f>
        <v>2.5</v>
      </c>
      <c r="E75" s="49">
        <f>'Avg Week Nsooba-Kyebando'!E75+'Avg Week Kyebando-Nsooba'!E75</f>
        <v>2.5</v>
      </c>
      <c r="F75" s="49">
        <f>'Avg Week Nsooba-Kyebando'!F75+'Avg Week Kyebando-Nsooba'!F75</f>
        <v>1.5</v>
      </c>
      <c r="G75" s="49">
        <f>'Avg Week Nsooba-Kyebando'!G75+'Avg Week Kyebando-Nsooba'!G75</f>
        <v>0</v>
      </c>
      <c r="H75" s="49">
        <f>'Avg Week Nsooba-Kyebando'!H75+'Avg Week Kyebando-Nsooba'!H75</f>
        <v>0</v>
      </c>
      <c r="I75" s="49">
        <f>'Avg Week Nsooba-Kyebando'!I75+'Avg Week Kyebando-Nsooba'!I75</f>
        <v>0.5</v>
      </c>
      <c r="J75" s="49">
        <f>'Avg Week Nsooba-Kyebando'!J75+'Avg Week Kyebando-Nsooba'!J75</f>
        <v>0.5</v>
      </c>
      <c r="K75" s="49">
        <f>'Avg Week Nsooba-Kyebando'!K75+'Avg Week Kyebando-Nsooba'!K75</f>
        <v>0.5</v>
      </c>
      <c r="L75" s="49">
        <f>'Avg Week Nsooba-Kyebando'!L75+'Avg Week Kyebando-Nsooba'!L75</f>
        <v>0</v>
      </c>
      <c r="M75" s="49">
        <f>'Avg Week Nsooba-Kyebando'!M75+'Avg Week Kyebando-Nsooba'!M75</f>
        <v>49</v>
      </c>
      <c r="N75" s="49">
        <f>'Avg Week Nsooba-Kyebando'!N75+'Avg Week Kyebando-Nsooba'!N75</f>
        <v>0</v>
      </c>
      <c r="O75" s="15">
        <f t="shared" si="35"/>
        <v>33.5</v>
      </c>
      <c r="P75" s="15">
        <f t="shared" si="36"/>
        <v>82.5</v>
      </c>
      <c r="R75" s="8"/>
      <c r="T75"/>
    </row>
    <row r="76" spans="2:20" ht="23.1" customHeight="1" x14ac:dyDescent="0.25">
      <c r="B76" s="23" t="s">
        <v>116</v>
      </c>
      <c r="C76" s="49">
        <f>'Avg Week Nsooba-Kyebando'!C76+'Avg Week Kyebando-Nsooba'!C76</f>
        <v>19</v>
      </c>
      <c r="D76" s="49">
        <f>'Avg Week Nsooba-Kyebando'!D76+'Avg Week Kyebando-Nsooba'!D76</f>
        <v>2.5</v>
      </c>
      <c r="E76" s="49">
        <f>'Avg Week Nsooba-Kyebando'!E76+'Avg Week Kyebando-Nsooba'!E76</f>
        <v>2.5</v>
      </c>
      <c r="F76" s="49">
        <f>'Avg Week Nsooba-Kyebando'!F76+'Avg Week Kyebando-Nsooba'!F76</f>
        <v>3.5</v>
      </c>
      <c r="G76" s="49">
        <f>'Avg Week Nsooba-Kyebando'!G76+'Avg Week Kyebando-Nsooba'!G76</f>
        <v>0</v>
      </c>
      <c r="H76" s="49">
        <f>'Avg Week Nsooba-Kyebando'!H76+'Avg Week Kyebando-Nsooba'!H76</f>
        <v>0</v>
      </c>
      <c r="I76" s="49">
        <f>'Avg Week Nsooba-Kyebando'!I76+'Avg Week Kyebando-Nsooba'!I76</f>
        <v>0.5</v>
      </c>
      <c r="J76" s="49">
        <f>'Avg Week Nsooba-Kyebando'!J76+'Avg Week Kyebando-Nsooba'!J76</f>
        <v>0</v>
      </c>
      <c r="K76" s="49">
        <f>'Avg Week Nsooba-Kyebando'!K76+'Avg Week Kyebando-Nsooba'!K76</f>
        <v>0.5</v>
      </c>
      <c r="L76" s="49">
        <f>'Avg Week Nsooba-Kyebando'!L76+'Avg Week Kyebando-Nsooba'!L76</f>
        <v>0</v>
      </c>
      <c r="M76" s="49">
        <f>'Avg Week Nsooba-Kyebando'!M76+'Avg Week Kyebando-Nsooba'!M76</f>
        <v>41.5</v>
      </c>
      <c r="N76" s="49">
        <f>'Avg Week Nsooba-Kyebando'!N76+'Avg Week Kyebando-Nsooba'!N76</f>
        <v>0</v>
      </c>
      <c r="O76" s="15">
        <f t="shared" si="35"/>
        <v>28.5</v>
      </c>
      <c r="P76" s="15">
        <f t="shared" si="36"/>
        <v>70</v>
      </c>
      <c r="R76" s="8"/>
      <c r="T76"/>
    </row>
    <row r="77" spans="2:20" ht="23.1" customHeight="1" x14ac:dyDescent="0.25">
      <c r="B77" s="23" t="s">
        <v>117</v>
      </c>
      <c r="C77" s="49">
        <f>'Avg Week Nsooba-Kyebando'!C77+'Avg Week Kyebando-Nsooba'!C77</f>
        <v>16</v>
      </c>
      <c r="D77" s="49">
        <f>'Avg Week Nsooba-Kyebando'!D77+'Avg Week Kyebando-Nsooba'!D77</f>
        <v>2</v>
      </c>
      <c r="E77" s="49">
        <f>'Avg Week Nsooba-Kyebando'!E77+'Avg Week Kyebando-Nsooba'!E77</f>
        <v>2.5</v>
      </c>
      <c r="F77" s="49">
        <f>'Avg Week Nsooba-Kyebando'!F77+'Avg Week Kyebando-Nsooba'!F77</f>
        <v>2.5</v>
      </c>
      <c r="G77" s="49">
        <f>'Avg Week Nsooba-Kyebando'!G77+'Avg Week Kyebando-Nsooba'!G77</f>
        <v>0</v>
      </c>
      <c r="H77" s="49">
        <f>'Avg Week Nsooba-Kyebando'!H77+'Avg Week Kyebando-Nsooba'!H77</f>
        <v>0</v>
      </c>
      <c r="I77" s="49">
        <f>'Avg Week Nsooba-Kyebando'!I77+'Avg Week Kyebando-Nsooba'!I77</f>
        <v>0.5</v>
      </c>
      <c r="J77" s="49">
        <f>'Avg Week Nsooba-Kyebando'!J77+'Avg Week Kyebando-Nsooba'!J77</f>
        <v>0.5</v>
      </c>
      <c r="K77" s="49">
        <f>'Avg Week Nsooba-Kyebando'!K77+'Avg Week Kyebando-Nsooba'!K77</f>
        <v>0</v>
      </c>
      <c r="L77" s="49">
        <f>'Avg Week Nsooba-Kyebando'!L77+'Avg Week Kyebando-Nsooba'!L77</f>
        <v>0</v>
      </c>
      <c r="M77" s="49">
        <f>'Avg Week Nsooba-Kyebando'!M77+'Avg Week Kyebando-Nsooba'!M77</f>
        <v>34</v>
      </c>
      <c r="N77" s="49">
        <f>'Avg Week Nsooba-Kyebando'!N77+'Avg Week Kyebando-Nsooba'!N77</f>
        <v>0</v>
      </c>
      <c r="O77" s="15">
        <f t="shared" si="35"/>
        <v>24</v>
      </c>
      <c r="P77" s="15">
        <f t="shared" si="36"/>
        <v>58</v>
      </c>
      <c r="R77" s="8"/>
      <c r="T77"/>
    </row>
    <row r="78" spans="2:20" ht="23.1" customHeight="1" x14ac:dyDescent="0.25">
      <c r="B78" s="24" t="s">
        <v>118</v>
      </c>
      <c r="C78" s="49">
        <f>'Avg Week Nsooba-Kyebando'!C78+'Avg Week Kyebando-Nsooba'!C78</f>
        <v>10.5</v>
      </c>
      <c r="D78" s="49">
        <f>'Avg Week Nsooba-Kyebando'!D78+'Avg Week Kyebando-Nsooba'!D78</f>
        <v>1.5</v>
      </c>
      <c r="E78" s="49">
        <f>'Avg Week Nsooba-Kyebando'!E78+'Avg Week Kyebando-Nsooba'!E78</f>
        <v>0.5</v>
      </c>
      <c r="F78" s="49">
        <f>'Avg Week Nsooba-Kyebando'!F78+'Avg Week Kyebando-Nsooba'!F78</f>
        <v>0</v>
      </c>
      <c r="G78" s="49">
        <f>'Avg Week Nsooba-Kyebando'!G78+'Avg Week Kyebando-Nsooba'!G78</f>
        <v>0</v>
      </c>
      <c r="H78" s="49">
        <f>'Avg Week Nsooba-Kyebando'!H78+'Avg Week Kyebando-Nsooba'!H78</f>
        <v>0</v>
      </c>
      <c r="I78" s="49">
        <f>'Avg Week Nsooba-Kyebando'!I78+'Avg Week Kyebando-Nsooba'!I78</f>
        <v>0</v>
      </c>
      <c r="J78" s="49">
        <f>'Avg Week Nsooba-Kyebando'!J78+'Avg Week Kyebando-Nsooba'!J78</f>
        <v>0</v>
      </c>
      <c r="K78" s="49">
        <f>'Avg Week Nsooba-Kyebando'!K78+'Avg Week Kyebando-Nsooba'!K78</f>
        <v>0</v>
      </c>
      <c r="L78" s="49">
        <f>'Avg Week Nsooba-Kyebando'!L78+'Avg Week Kyebando-Nsooba'!L78</f>
        <v>0</v>
      </c>
      <c r="M78" s="49">
        <f>'Avg Week Nsooba-Kyebando'!M78+'Avg Week Kyebando-Nsooba'!M78</f>
        <v>24.5</v>
      </c>
      <c r="N78" s="49">
        <f>'Avg Week Nsooba-Kyebando'!N78+'Avg Week Kyebando-Nsooba'!N78</f>
        <v>0</v>
      </c>
      <c r="O78" s="15">
        <f t="shared" si="35"/>
        <v>12.5</v>
      </c>
      <c r="P78" s="15">
        <f t="shared" si="36"/>
        <v>37</v>
      </c>
      <c r="R78" s="8"/>
      <c r="T78"/>
    </row>
    <row r="79" spans="2:20" ht="23.1" customHeight="1" x14ac:dyDescent="0.25">
      <c r="B79" s="23" t="s">
        <v>119</v>
      </c>
      <c r="C79" s="49">
        <f>'Avg Week Nsooba-Kyebando'!C79+'Avg Week Kyebando-Nsooba'!C79</f>
        <v>18.5</v>
      </c>
      <c r="D79" s="49">
        <f>'Avg Week Nsooba-Kyebando'!D79+'Avg Week Kyebando-Nsooba'!D79</f>
        <v>0</v>
      </c>
      <c r="E79" s="49">
        <f>'Avg Week Nsooba-Kyebando'!E79+'Avg Week Kyebando-Nsooba'!E79</f>
        <v>1.5</v>
      </c>
      <c r="F79" s="49">
        <f>'Avg Week Nsooba-Kyebando'!F79+'Avg Week Kyebando-Nsooba'!F79</f>
        <v>2.5</v>
      </c>
      <c r="G79" s="49">
        <f>'Avg Week Nsooba-Kyebando'!G79+'Avg Week Kyebando-Nsooba'!G79</f>
        <v>0</v>
      </c>
      <c r="H79" s="49">
        <f>'Avg Week Nsooba-Kyebando'!H79+'Avg Week Kyebando-Nsooba'!H79</f>
        <v>0</v>
      </c>
      <c r="I79" s="49">
        <f>'Avg Week Nsooba-Kyebando'!I79+'Avg Week Kyebando-Nsooba'!I79</f>
        <v>0</v>
      </c>
      <c r="J79" s="49">
        <f>'Avg Week Nsooba-Kyebando'!J79+'Avg Week Kyebando-Nsooba'!J79</f>
        <v>0</v>
      </c>
      <c r="K79" s="49">
        <f>'Avg Week Nsooba-Kyebando'!K79+'Avg Week Kyebando-Nsooba'!K79</f>
        <v>0</v>
      </c>
      <c r="L79" s="49">
        <f>'Avg Week Nsooba-Kyebando'!L79+'Avg Week Kyebando-Nsooba'!L79</f>
        <v>0</v>
      </c>
      <c r="M79" s="49">
        <f>'Avg Week Nsooba-Kyebando'!M79+'Avg Week Kyebando-Nsooba'!M79</f>
        <v>27</v>
      </c>
      <c r="N79" s="49">
        <f>'Avg Week Nsooba-Kyebando'!N79+'Avg Week Kyebando-Nsooba'!N79</f>
        <v>0</v>
      </c>
      <c r="O79" s="15">
        <f t="shared" si="35"/>
        <v>22.5</v>
      </c>
      <c r="P79" s="15">
        <f t="shared" si="36"/>
        <v>49.5</v>
      </c>
      <c r="R79" s="8"/>
      <c r="T79"/>
    </row>
    <row r="80" spans="2:20" ht="23.1" customHeight="1" x14ac:dyDescent="0.25">
      <c r="B80" s="25" t="s">
        <v>120</v>
      </c>
      <c r="C80" s="49">
        <f>'Avg Week Nsooba-Kyebando'!C80+'Avg Week Kyebando-Nsooba'!C80</f>
        <v>18</v>
      </c>
      <c r="D80" s="49">
        <f>'Avg Week Nsooba-Kyebando'!D80+'Avg Week Kyebando-Nsooba'!D80</f>
        <v>0</v>
      </c>
      <c r="E80" s="49">
        <f>'Avg Week Nsooba-Kyebando'!E80+'Avg Week Kyebando-Nsooba'!E80</f>
        <v>0.5</v>
      </c>
      <c r="F80" s="49">
        <f>'Avg Week Nsooba-Kyebando'!F80+'Avg Week Kyebando-Nsooba'!F80</f>
        <v>1</v>
      </c>
      <c r="G80" s="49">
        <f>'Avg Week Nsooba-Kyebando'!G80+'Avg Week Kyebando-Nsooba'!G80</f>
        <v>0</v>
      </c>
      <c r="H80" s="49">
        <f>'Avg Week Nsooba-Kyebando'!H80+'Avg Week Kyebando-Nsooba'!H80</f>
        <v>0</v>
      </c>
      <c r="I80" s="49">
        <f>'Avg Week Nsooba-Kyebando'!I80+'Avg Week Kyebando-Nsooba'!I80</f>
        <v>0.5</v>
      </c>
      <c r="J80" s="49">
        <f>'Avg Week Nsooba-Kyebando'!J80+'Avg Week Kyebando-Nsooba'!J80</f>
        <v>0</v>
      </c>
      <c r="K80" s="49">
        <f>'Avg Week Nsooba-Kyebando'!K80+'Avg Week Kyebando-Nsooba'!K80</f>
        <v>0</v>
      </c>
      <c r="L80" s="49">
        <f>'Avg Week Nsooba-Kyebando'!L80+'Avg Week Kyebando-Nsooba'!L80</f>
        <v>0</v>
      </c>
      <c r="M80" s="49">
        <f>'Avg Week Nsooba-Kyebando'!M80+'Avg Week Kyebando-Nsooba'!M80</f>
        <v>23</v>
      </c>
      <c r="N80" s="49">
        <f>'Avg Week Nsooba-Kyebando'!N80+'Avg Week Kyebando-Nsooba'!N80</f>
        <v>0</v>
      </c>
      <c r="O80" s="15">
        <f t="shared" si="35"/>
        <v>20</v>
      </c>
      <c r="P80" s="15">
        <f t="shared" si="36"/>
        <v>43</v>
      </c>
      <c r="R80" s="8"/>
      <c r="T80"/>
    </row>
    <row r="81" spans="2:20" ht="23.1" customHeight="1" x14ac:dyDescent="0.25">
      <c r="B81" s="23" t="s">
        <v>121</v>
      </c>
      <c r="C81" s="49">
        <f>'Avg Week Nsooba-Kyebando'!C81+'Avg Week Kyebando-Nsooba'!C81</f>
        <v>18.5</v>
      </c>
      <c r="D81" s="49">
        <f>'Avg Week Nsooba-Kyebando'!D81+'Avg Week Kyebando-Nsooba'!D81</f>
        <v>1.5</v>
      </c>
      <c r="E81" s="49">
        <f>'Avg Week Nsooba-Kyebando'!E81+'Avg Week Kyebando-Nsooba'!E81</f>
        <v>0</v>
      </c>
      <c r="F81" s="49">
        <f>'Avg Week Nsooba-Kyebando'!F81+'Avg Week Kyebando-Nsooba'!F81</f>
        <v>1</v>
      </c>
      <c r="G81" s="49">
        <f>'Avg Week Nsooba-Kyebando'!G81+'Avg Week Kyebando-Nsooba'!G81</f>
        <v>0</v>
      </c>
      <c r="H81" s="49">
        <f>'Avg Week Nsooba-Kyebando'!H81+'Avg Week Kyebando-Nsooba'!H81</f>
        <v>0</v>
      </c>
      <c r="I81" s="49">
        <f>'Avg Week Nsooba-Kyebando'!I81+'Avg Week Kyebando-Nsooba'!I81</f>
        <v>0</v>
      </c>
      <c r="J81" s="49">
        <f>'Avg Week Nsooba-Kyebando'!J81+'Avg Week Kyebando-Nsooba'!J81</f>
        <v>0.5</v>
      </c>
      <c r="K81" s="49">
        <f>'Avg Week Nsooba-Kyebando'!K81+'Avg Week Kyebando-Nsooba'!K81</f>
        <v>0</v>
      </c>
      <c r="L81" s="49">
        <f>'Avg Week Nsooba-Kyebando'!L81+'Avg Week Kyebando-Nsooba'!L81</f>
        <v>0</v>
      </c>
      <c r="M81" s="49">
        <f>'Avg Week Nsooba-Kyebando'!M81+'Avg Week Kyebando-Nsooba'!M81</f>
        <v>29.5</v>
      </c>
      <c r="N81" s="49">
        <f>'Avg Week Nsooba-Kyebando'!N81+'Avg Week Kyebando-Nsooba'!N81</f>
        <v>0</v>
      </c>
      <c r="O81" s="15">
        <f t="shared" si="35"/>
        <v>21.5</v>
      </c>
      <c r="P81" s="15">
        <f t="shared" si="36"/>
        <v>51</v>
      </c>
      <c r="R81" s="8"/>
      <c r="T81"/>
    </row>
    <row r="82" spans="2:20" ht="23.1" customHeight="1" x14ac:dyDescent="0.25">
      <c r="B82" s="24" t="s">
        <v>122</v>
      </c>
      <c r="C82" s="49">
        <f>'Avg Week Nsooba-Kyebando'!C82+'Avg Week Kyebando-Nsooba'!C82</f>
        <v>10.5</v>
      </c>
      <c r="D82" s="49">
        <f>'Avg Week Nsooba-Kyebando'!D82+'Avg Week Kyebando-Nsooba'!D82</f>
        <v>1</v>
      </c>
      <c r="E82" s="49">
        <f>'Avg Week Nsooba-Kyebando'!E82+'Avg Week Kyebando-Nsooba'!E82</f>
        <v>1</v>
      </c>
      <c r="F82" s="49">
        <f>'Avg Week Nsooba-Kyebando'!F82+'Avg Week Kyebando-Nsooba'!F82</f>
        <v>1.5</v>
      </c>
      <c r="G82" s="49">
        <f>'Avg Week Nsooba-Kyebando'!G82+'Avg Week Kyebando-Nsooba'!G82</f>
        <v>0</v>
      </c>
      <c r="H82" s="49">
        <f>'Avg Week Nsooba-Kyebando'!H82+'Avg Week Kyebando-Nsooba'!H82</f>
        <v>0</v>
      </c>
      <c r="I82" s="49">
        <f>'Avg Week Nsooba-Kyebando'!I82+'Avg Week Kyebando-Nsooba'!I82</f>
        <v>0</v>
      </c>
      <c r="J82" s="49">
        <f>'Avg Week Nsooba-Kyebando'!J82+'Avg Week Kyebando-Nsooba'!J82</f>
        <v>0</v>
      </c>
      <c r="K82" s="49">
        <f>'Avg Week Nsooba-Kyebando'!K82+'Avg Week Kyebando-Nsooba'!K82</f>
        <v>0</v>
      </c>
      <c r="L82" s="49">
        <f>'Avg Week Nsooba-Kyebando'!L82+'Avg Week Kyebando-Nsooba'!L82</f>
        <v>0</v>
      </c>
      <c r="M82" s="49">
        <f>'Avg Week Nsooba-Kyebando'!M82+'Avg Week Kyebando-Nsooba'!M82</f>
        <v>18</v>
      </c>
      <c r="N82" s="49">
        <f>'Avg Week Nsooba-Kyebando'!N82+'Avg Week Kyebando-Nsooba'!N82</f>
        <v>0</v>
      </c>
      <c r="O82" s="15">
        <f t="shared" si="35"/>
        <v>14</v>
      </c>
      <c r="P82" s="15">
        <f t="shared" si="36"/>
        <v>32</v>
      </c>
      <c r="R82" s="8"/>
      <c r="T82"/>
    </row>
    <row r="83" spans="2:20" ht="23.1" customHeight="1" x14ac:dyDescent="0.25">
      <c r="B83" s="23" t="s">
        <v>123</v>
      </c>
      <c r="C83" s="49">
        <f>'Avg Week Nsooba-Kyebando'!C83+'Avg Week Kyebando-Nsooba'!C83</f>
        <v>9</v>
      </c>
      <c r="D83" s="49">
        <f>'Avg Week Nsooba-Kyebando'!D83+'Avg Week Kyebando-Nsooba'!D83</f>
        <v>1</v>
      </c>
      <c r="E83" s="49">
        <f>'Avg Week Nsooba-Kyebando'!E83+'Avg Week Kyebando-Nsooba'!E83</f>
        <v>0.5</v>
      </c>
      <c r="F83" s="49">
        <f>'Avg Week Nsooba-Kyebando'!F83+'Avg Week Kyebando-Nsooba'!F83</f>
        <v>0.5</v>
      </c>
      <c r="G83" s="49">
        <f>'Avg Week Nsooba-Kyebando'!G83+'Avg Week Kyebando-Nsooba'!G83</f>
        <v>0</v>
      </c>
      <c r="H83" s="49">
        <f>'Avg Week Nsooba-Kyebando'!H83+'Avg Week Kyebando-Nsooba'!H83</f>
        <v>0</v>
      </c>
      <c r="I83" s="49">
        <f>'Avg Week Nsooba-Kyebando'!I83+'Avg Week Kyebando-Nsooba'!I83</f>
        <v>0</v>
      </c>
      <c r="J83" s="49">
        <f>'Avg Week Nsooba-Kyebando'!J83+'Avg Week Kyebando-Nsooba'!J83</f>
        <v>0</v>
      </c>
      <c r="K83" s="49">
        <f>'Avg Week Nsooba-Kyebando'!K83+'Avg Week Kyebando-Nsooba'!K83</f>
        <v>0</v>
      </c>
      <c r="L83" s="49">
        <f>'Avg Week Nsooba-Kyebando'!L83+'Avg Week Kyebando-Nsooba'!L83</f>
        <v>0</v>
      </c>
      <c r="M83" s="49">
        <f>'Avg Week Nsooba-Kyebando'!M83+'Avg Week Kyebando-Nsooba'!M83</f>
        <v>16</v>
      </c>
      <c r="N83" s="49">
        <f>'Avg Week Nsooba-Kyebando'!N83+'Avg Week Kyebando-Nsooba'!N83</f>
        <v>0</v>
      </c>
      <c r="O83" s="15">
        <f t="shared" si="35"/>
        <v>11</v>
      </c>
      <c r="P83" s="15">
        <f t="shared" si="36"/>
        <v>27</v>
      </c>
      <c r="R83" s="8"/>
      <c r="T83"/>
    </row>
    <row r="84" spans="2:20" ht="23.1" customHeight="1" x14ac:dyDescent="0.25">
      <c r="B84" s="25" t="s">
        <v>124</v>
      </c>
      <c r="C84" s="49">
        <f>'Avg Week Nsooba-Kyebando'!C84+'Avg Week Kyebando-Nsooba'!C84</f>
        <v>10</v>
      </c>
      <c r="D84" s="49">
        <f>'Avg Week Nsooba-Kyebando'!D84+'Avg Week Kyebando-Nsooba'!D84</f>
        <v>0.5</v>
      </c>
      <c r="E84" s="49">
        <f>'Avg Week Nsooba-Kyebando'!E84+'Avg Week Kyebando-Nsooba'!E84</f>
        <v>0</v>
      </c>
      <c r="F84" s="49">
        <f>'Avg Week Nsooba-Kyebando'!F84+'Avg Week Kyebando-Nsooba'!F84</f>
        <v>0</v>
      </c>
      <c r="G84" s="49">
        <f>'Avg Week Nsooba-Kyebando'!G84+'Avg Week Kyebando-Nsooba'!G84</f>
        <v>0</v>
      </c>
      <c r="H84" s="49">
        <f>'Avg Week Nsooba-Kyebando'!H84+'Avg Week Kyebando-Nsooba'!H84</f>
        <v>0</v>
      </c>
      <c r="I84" s="49">
        <f>'Avg Week Nsooba-Kyebando'!I84+'Avg Week Kyebando-Nsooba'!I84</f>
        <v>0.5</v>
      </c>
      <c r="J84" s="49">
        <f>'Avg Week Nsooba-Kyebando'!J84+'Avg Week Kyebando-Nsooba'!J84</f>
        <v>0</v>
      </c>
      <c r="K84" s="49">
        <f>'Avg Week Nsooba-Kyebando'!K84+'Avg Week Kyebando-Nsooba'!K84</f>
        <v>0</v>
      </c>
      <c r="L84" s="49">
        <f>'Avg Week Nsooba-Kyebando'!L84+'Avg Week Kyebando-Nsooba'!L84</f>
        <v>0</v>
      </c>
      <c r="M84" s="49">
        <f>'Avg Week Nsooba-Kyebando'!M84+'Avg Week Kyebando-Nsooba'!M84</f>
        <v>8.5</v>
      </c>
      <c r="N84" s="49">
        <f>'Avg Week Nsooba-Kyebando'!N84+'Avg Week Kyebando-Nsooba'!N84</f>
        <v>0</v>
      </c>
      <c r="O84" s="15">
        <f t="shared" si="35"/>
        <v>11</v>
      </c>
      <c r="P84" s="15">
        <f t="shared" si="36"/>
        <v>19.5</v>
      </c>
      <c r="R84" s="8"/>
      <c r="T84"/>
    </row>
    <row r="85" spans="2:20" ht="23.1" customHeight="1" x14ac:dyDescent="0.25">
      <c r="B85" s="23" t="s">
        <v>125</v>
      </c>
      <c r="C85" s="49">
        <f>'Avg Week Nsooba-Kyebando'!C85+'Avg Week Kyebando-Nsooba'!C85</f>
        <v>9.5</v>
      </c>
      <c r="D85" s="49">
        <f>'Avg Week Nsooba-Kyebando'!D85+'Avg Week Kyebando-Nsooba'!D85</f>
        <v>1.5</v>
      </c>
      <c r="E85" s="49">
        <f>'Avg Week Nsooba-Kyebando'!E85+'Avg Week Kyebando-Nsooba'!E85</f>
        <v>0</v>
      </c>
      <c r="F85" s="49">
        <f>'Avg Week Nsooba-Kyebando'!F85+'Avg Week Kyebando-Nsooba'!F85</f>
        <v>0</v>
      </c>
      <c r="G85" s="49">
        <f>'Avg Week Nsooba-Kyebando'!G85+'Avg Week Kyebando-Nsooba'!G85</f>
        <v>0</v>
      </c>
      <c r="H85" s="49">
        <f>'Avg Week Nsooba-Kyebando'!H85+'Avg Week Kyebando-Nsooba'!H85</f>
        <v>0</v>
      </c>
      <c r="I85" s="49">
        <f>'Avg Week Nsooba-Kyebando'!I85+'Avg Week Kyebando-Nsooba'!I85</f>
        <v>0</v>
      </c>
      <c r="J85" s="49">
        <f>'Avg Week Nsooba-Kyebando'!J85+'Avg Week Kyebando-Nsooba'!J85</f>
        <v>0.5</v>
      </c>
      <c r="K85" s="49">
        <f>'Avg Week Nsooba-Kyebando'!K85+'Avg Week Kyebando-Nsooba'!K85</f>
        <v>0</v>
      </c>
      <c r="L85" s="49">
        <f>'Avg Week Nsooba-Kyebando'!L85+'Avg Week Kyebando-Nsooba'!L85</f>
        <v>0</v>
      </c>
      <c r="M85" s="49">
        <f>'Avg Week Nsooba-Kyebando'!M85+'Avg Week Kyebando-Nsooba'!M85</f>
        <v>17</v>
      </c>
      <c r="N85" s="49">
        <f>'Avg Week Nsooba-Kyebando'!N85+'Avg Week Kyebando-Nsooba'!N85</f>
        <v>0</v>
      </c>
      <c r="O85" s="15">
        <f t="shared" si="35"/>
        <v>11.5</v>
      </c>
      <c r="P85" s="15">
        <f t="shared" si="36"/>
        <v>28.5</v>
      </c>
      <c r="R85" s="8"/>
      <c r="T85"/>
    </row>
    <row r="86" spans="2:20" ht="23.1" customHeight="1" x14ac:dyDescent="0.25">
      <c r="B86" s="24" t="s">
        <v>126</v>
      </c>
      <c r="C86" s="49">
        <f>'Avg Week Nsooba-Kyebando'!C86+'Avg Week Kyebando-Nsooba'!C86</f>
        <v>9</v>
      </c>
      <c r="D86" s="49">
        <f>'Avg Week Nsooba-Kyebando'!D86+'Avg Week Kyebando-Nsooba'!D86</f>
        <v>0.5</v>
      </c>
      <c r="E86" s="49">
        <f>'Avg Week Nsooba-Kyebando'!E86+'Avg Week Kyebando-Nsooba'!E86</f>
        <v>0.5</v>
      </c>
      <c r="F86" s="49">
        <f>'Avg Week Nsooba-Kyebando'!F86+'Avg Week Kyebando-Nsooba'!F86</f>
        <v>1</v>
      </c>
      <c r="G86" s="49">
        <f>'Avg Week Nsooba-Kyebando'!G86+'Avg Week Kyebando-Nsooba'!G86</f>
        <v>0</v>
      </c>
      <c r="H86" s="49">
        <f>'Avg Week Nsooba-Kyebando'!H86+'Avg Week Kyebando-Nsooba'!H86</f>
        <v>0</v>
      </c>
      <c r="I86" s="49">
        <f>'Avg Week Nsooba-Kyebando'!I86+'Avg Week Kyebando-Nsooba'!I86</f>
        <v>0</v>
      </c>
      <c r="J86" s="49">
        <f>'Avg Week Nsooba-Kyebando'!J86+'Avg Week Kyebando-Nsooba'!J86</f>
        <v>0</v>
      </c>
      <c r="K86" s="49">
        <f>'Avg Week Nsooba-Kyebando'!K86+'Avg Week Kyebando-Nsooba'!K86</f>
        <v>0.5</v>
      </c>
      <c r="L86" s="49">
        <f>'Avg Week Nsooba-Kyebando'!L86+'Avg Week Kyebando-Nsooba'!L86</f>
        <v>0</v>
      </c>
      <c r="M86" s="49">
        <f>'Avg Week Nsooba-Kyebando'!M86+'Avg Week Kyebando-Nsooba'!M86</f>
        <v>10</v>
      </c>
      <c r="N86" s="49">
        <f>'Avg Week Nsooba-Kyebando'!N86+'Avg Week Kyebando-Nsooba'!N86</f>
        <v>0</v>
      </c>
      <c r="O86" s="15">
        <f t="shared" si="35"/>
        <v>11.5</v>
      </c>
      <c r="P86" s="15">
        <f t="shared" si="36"/>
        <v>21.5</v>
      </c>
      <c r="R86" s="8"/>
      <c r="T86"/>
    </row>
    <row r="87" spans="2:20" ht="23.1" customHeight="1" x14ac:dyDescent="0.25">
      <c r="B87" s="23" t="s">
        <v>127</v>
      </c>
      <c r="C87" s="49">
        <f>'Avg Week Nsooba-Kyebando'!C87+'Avg Week Kyebando-Nsooba'!C87</f>
        <v>5.5</v>
      </c>
      <c r="D87" s="49">
        <f>'Avg Week Nsooba-Kyebando'!D87+'Avg Week Kyebando-Nsooba'!D87</f>
        <v>0.5</v>
      </c>
      <c r="E87" s="49">
        <f>'Avg Week Nsooba-Kyebando'!E87+'Avg Week Kyebando-Nsooba'!E87</f>
        <v>0.5</v>
      </c>
      <c r="F87" s="49">
        <f>'Avg Week Nsooba-Kyebando'!F87+'Avg Week Kyebando-Nsooba'!F87</f>
        <v>0</v>
      </c>
      <c r="G87" s="49">
        <f>'Avg Week Nsooba-Kyebando'!G87+'Avg Week Kyebando-Nsooba'!G87</f>
        <v>0</v>
      </c>
      <c r="H87" s="49">
        <f>'Avg Week Nsooba-Kyebando'!H87+'Avg Week Kyebando-Nsooba'!H87</f>
        <v>0</v>
      </c>
      <c r="I87" s="49">
        <f>'Avg Week Nsooba-Kyebando'!I87+'Avg Week Kyebando-Nsooba'!I87</f>
        <v>0</v>
      </c>
      <c r="J87" s="49">
        <f>'Avg Week Nsooba-Kyebando'!J87+'Avg Week Kyebando-Nsooba'!J87</f>
        <v>0</v>
      </c>
      <c r="K87" s="49">
        <f>'Avg Week Nsooba-Kyebando'!K87+'Avg Week Kyebando-Nsooba'!K87</f>
        <v>0</v>
      </c>
      <c r="L87" s="49">
        <f>'Avg Week Nsooba-Kyebando'!L87+'Avg Week Kyebando-Nsooba'!L87</f>
        <v>0</v>
      </c>
      <c r="M87" s="49">
        <f>'Avg Week Nsooba-Kyebando'!M87+'Avg Week Kyebando-Nsooba'!M87</f>
        <v>14.5</v>
      </c>
      <c r="N87" s="49">
        <f>'Avg Week Nsooba-Kyebando'!N87+'Avg Week Kyebando-Nsooba'!N87</f>
        <v>0</v>
      </c>
      <c r="O87" s="15">
        <f t="shared" si="35"/>
        <v>6.5</v>
      </c>
      <c r="P87" s="15">
        <f t="shared" si="36"/>
        <v>21</v>
      </c>
      <c r="R87" s="8"/>
      <c r="T87"/>
    </row>
    <row r="88" spans="2:20" ht="23.1" customHeight="1" x14ac:dyDescent="0.25">
      <c r="B88" s="25" t="s">
        <v>128</v>
      </c>
      <c r="C88" s="49">
        <f>'Avg Week Nsooba-Kyebando'!C88+'Avg Week Kyebando-Nsooba'!C88</f>
        <v>4</v>
      </c>
      <c r="D88" s="49">
        <f>'Avg Week Nsooba-Kyebando'!D88+'Avg Week Kyebando-Nsooba'!D88</f>
        <v>0</v>
      </c>
      <c r="E88" s="49">
        <f>'Avg Week Nsooba-Kyebando'!E88+'Avg Week Kyebando-Nsooba'!E88</f>
        <v>0</v>
      </c>
      <c r="F88" s="49">
        <f>'Avg Week Nsooba-Kyebando'!F88+'Avg Week Kyebando-Nsooba'!F88</f>
        <v>0</v>
      </c>
      <c r="G88" s="49">
        <f>'Avg Week Nsooba-Kyebando'!G88+'Avg Week Kyebando-Nsooba'!G88</f>
        <v>0</v>
      </c>
      <c r="H88" s="49">
        <f>'Avg Week Nsooba-Kyebando'!H88+'Avg Week Kyebando-Nsooba'!H88</f>
        <v>0</v>
      </c>
      <c r="I88" s="49">
        <f>'Avg Week Nsooba-Kyebando'!I88+'Avg Week Kyebando-Nsooba'!I88</f>
        <v>0</v>
      </c>
      <c r="J88" s="49">
        <f>'Avg Week Nsooba-Kyebando'!J88+'Avg Week Kyebando-Nsooba'!J88</f>
        <v>0</v>
      </c>
      <c r="K88" s="49">
        <f>'Avg Week Nsooba-Kyebando'!K88+'Avg Week Kyebando-Nsooba'!K88</f>
        <v>0</v>
      </c>
      <c r="L88" s="49">
        <f>'Avg Week Nsooba-Kyebando'!L88+'Avg Week Kyebando-Nsooba'!L88</f>
        <v>0</v>
      </c>
      <c r="M88" s="49">
        <f>'Avg Week Nsooba-Kyebando'!M88+'Avg Week Kyebando-Nsooba'!M88</f>
        <v>8.5</v>
      </c>
      <c r="N88" s="49">
        <f>'Avg Week Nsooba-Kyebando'!N88+'Avg Week Kyebando-Nsooba'!N88</f>
        <v>0</v>
      </c>
      <c r="O88" s="15">
        <f t="shared" si="35"/>
        <v>4</v>
      </c>
      <c r="P88" s="15">
        <f t="shared" si="36"/>
        <v>12.5</v>
      </c>
      <c r="R88" s="8"/>
      <c r="T88"/>
    </row>
    <row r="89" spans="2:20" ht="23.1" customHeight="1" x14ac:dyDescent="0.25">
      <c r="B89" s="23" t="s">
        <v>129</v>
      </c>
      <c r="C89" s="49">
        <f>'Avg Week Nsooba-Kyebando'!C89+'Avg Week Kyebando-Nsooba'!C89</f>
        <v>6</v>
      </c>
      <c r="D89" s="49">
        <f>'Avg Week Nsooba-Kyebando'!D89+'Avg Week Kyebando-Nsooba'!D89</f>
        <v>0.5</v>
      </c>
      <c r="E89" s="49">
        <f>'Avg Week Nsooba-Kyebando'!E89+'Avg Week Kyebando-Nsooba'!E89</f>
        <v>0.5</v>
      </c>
      <c r="F89" s="49">
        <f>'Avg Week Nsooba-Kyebando'!F89+'Avg Week Kyebando-Nsooba'!F89</f>
        <v>0.5</v>
      </c>
      <c r="G89" s="49">
        <f>'Avg Week Nsooba-Kyebando'!G89+'Avg Week Kyebando-Nsooba'!G89</f>
        <v>0</v>
      </c>
      <c r="H89" s="49">
        <f>'Avg Week Nsooba-Kyebando'!H89+'Avg Week Kyebando-Nsooba'!H89</f>
        <v>0</v>
      </c>
      <c r="I89" s="49">
        <f>'Avg Week Nsooba-Kyebando'!I89+'Avg Week Kyebando-Nsooba'!I89</f>
        <v>0</v>
      </c>
      <c r="J89" s="49">
        <f>'Avg Week Nsooba-Kyebando'!J89+'Avg Week Kyebando-Nsooba'!J89</f>
        <v>0</v>
      </c>
      <c r="K89" s="49">
        <f>'Avg Week Nsooba-Kyebando'!K89+'Avg Week Kyebando-Nsooba'!K89</f>
        <v>0</v>
      </c>
      <c r="L89" s="49">
        <f>'Avg Week Nsooba-Kyebando'!L89+'Avg Week Kyebando-Nsooba'!L89</f>
        <v>0</v>
      </c>
      <c r="M89" s="49">
        <f>'Avg Week Nsooba-Kyebando'!M89+'Avg Week Kyebando-Nsooba'!M89</f>
        <v>7.5</v>
      </c>
      <c r="N89" s="49">
        <f>'Avg Week Nsooba-Kyebando'!N89+'Avg Week Kyebando-Nsooba'!N89</f>
        <v>0</v>
      </c>
      <c r="O89" s="15">
        <f t="shared" si="35"/>
        <v>7.5</v>
      </c>
      <c r="P89" s="15">
        <f t="shared" si="36"/>
        <v>15</v>
      </c>
      <c r="R89" s="8"/>
      <c r="T89"/>
    </row>
    <row r="90" spans="2:20" ht="23.1" customHeight="1" x14ac:dyDescent="0.25">
      <c r="B90" s="24" t="s">
        <v>130</v>
      </c>
      <c r="C90" s="49">
        <f>'Avg Week Nsooba-Kyebando'!C90+'Avg Week Kyebando-Nsooba'!C90</f>
        <v>6</v>
      </c>
      <c r="D90" s="49">
        <f>'Avg Week Nsooba-Kyebando'!D90+'Avg Week Kyebando-Nsooba'!D90</f>
        <v>0</v>
      </c>
      <c r="E90" s="49">
        <f>'Avg Week Nsooba-Kyebando'!E90+'Avg Week Kyebando-Nsooba'!E90</f>
        <v>0</v>
      </c>
      <c r="F90" s="49">
        <f>'Avg Week Nsooba-Kyebando'!F90+'Avg Week Kyebando-Nsooba'!F90</f>
        <v>0.5</v>
      </c>
      <c r="G90" s="49">
        <f>'Avg Week Nsooba-Kyebando'!G90+'Avg Week Kyebando-Nsooba'!G90</f>
        <v>0</v>
      </c>
      <c r="H90" s="49">
        <f>'Avg Week Nsooba-Kyebando'!H90+'Avg Week Kyebando-Nsooba'!H90</f>
        <v>0</v>
      </c>
      <c r="I90" s="49">
        <f>'Avg Week Nsooba-Kyebando'!I90+'Avg Week Kyebando-Nsooba'!I90</f>
        <v>0</v>
      </c>
      <c r="J90" s="49">
        <f>'Avg Week Nsooba-Kyebando'!J90+'Avg Week Kyebando-Nsooba'!J90</f>
        <v>0</v>
      </c>
      <c r="K90" s="49">
        <f>'Avg Week Nsooba-Kyebando'!K90+'Avg Week Kyebando-Nsooba'!K90</f>
        <v>0</v>
      </c>
      <c r="L90" s="49">
        <f>'Avg Week Nsooba-Kyebando'!L90+'Avg Week Kyebando-Nsooba'!L90</f>
        <v>0</v>
      </c>
      <c r="M90" s="49">
        <f>'Avg Week Nsooba-Kyebando'!M90+'Avg Week Kyebando-Nsooba'!M90</f>
        <v>12</v>
      </c>
      <c r="N90" s="49">
        <f>'Avg Week Nsooba-Kyebando'!N90+'Avg Week Kyebando-Nsooba'!N90</f>
        <v>0</v>
      </c>
      <c r="O90" s="15">
        <f t="shared" si="35"/>
        <v>6.5</v>
      </c>
      <c r="P90" s="15">
        <f t="shared" si="36"/>
        <v>18.5</v>
      </c>
      <c r="R90" s="8"/>
      <c r="T90"/>
    </row>
    <row r="91" spans="2:20" ht="23.1" customHeight="1" x14ac:dyDescent="0.25">
      <c r="B91" s="23" t="s">
        <v>131</v>
      </c>
      <c r="C91" s="49">
        <f>'Avg Week Nsooba-Kyebando'!C91+'Avg Week Kyebando-Nsooba'!C91</f>
        <v>3.5</v>
      </c>
      <c r="D91" s="49">
        <f>'Avg Week Nsooba-Kyebando'!D91+'Avg Week Kyebando-Nsooba'!D91</f>
        <v>0.5</v>
      </c>
      <c r="E91" s="49">
        <f>'Avg Week Nsooba-Kyebando'!E91+'Avg Week Kyebando-Nsooba'!E91</f>
        <v>0.5</v>
      </c>
      <c r="F91" s="49">
        <f>'Avg Week Nsooba-Kyebando'!F91+'Avg Week Kyebando-Nsooba'!F91</f>
        <v>0</v>
      </c>
      <c r="G91" s="49">
        <f>'Avg Week Nsooba-Kyebando'!G91+'Avg Week Kyebando-Nsooba'!G91</f>
        <v>0</v>
      </c>
      <c r="H91" s="49">
        <f>'Avg Week Nsooba-Kyebando'!H91+'Avg Week Kyebando-Nsooba'!H91</f>
        <v>0</v>
      </c>
      <c r="I91" s="49">
        <f>'Avg Week Nsooba-Kyebando'!I91+'Avg Week Kyebando-Nsooba'!I91</f>
        <v>0.5</v>
      </c>
      <c r="J91" s="49">
        <f>'Avg Week Nsooba-Kyebando'!J91+'Avg Week Kyebando-Nsooba'!J91</f>
        <v>0</v>
      </c>
      <c r="K91" s="49">
        <f>'Avg Week Nsooba-Kyebando'!K91+'Avg Week Kyebando-Nsooba'!K91</f>
        <v>0</v>
      </c>
      <c r="L91" s="49">
        <f>'Avg Week Nsooba-Kyebando'!L91+'Avg Week Kyebando-Nsooba'!L91</f>
        <v>0</v>
      </c>
      <c r="M91" s="49">
        <f>'Avg Week Nsooba-Kyebando'!M91+'Avg Week Kyebando-Nsooba'!M91</f>
        <v>8</v>
      </c>
      <c r="N91" s="49">
        <f>'Avg Week Nsooba-Kyebando'!N91+'Avg Week Kyebando-Nsooba'!N91</f>
        <v>0</v>
      </c>
      <c r="O91" s="15">
        <f t="shared" si="35"/>
        <v>5</v>
      </c>
      <c r="P91" s="15">
        <f t="shared" si="36"/>
        <v>13</v>
      </c>
      <c r="R91" s="8"/>
      <c r="T91"/>
    </row>
    <row r="92" spans="2:20" ht="23.1" customHeight="1" x14ac:dyDescent="0.25">
      <c r="B92" s="25" t="s">
        <v>132</v>
      </c>
      <c r="C92" s="49">
        <f>'Avg Week Nsooba-Kyebando'!C92+'Avg Week Kyebando-Nsooba'!C92</f>
        <v>3</v>
      </c>
      <c r="D92" s="49">
        <f>'Avg Week Nsooba-Kyebando'!D92+'Avg Week Kyebando-Nsooba'!D92</f>
        <v>0</v>
      </c>
      <c r="E92" s="49">
        <f>'Avg Week Nsooba-Kyebando'!E92+'Avg Week Kyebando-Nsooba'!E92</f>
        <v>0.5</v>
      </c>
      <c r="F92" s="49">
        <f>'Avg Week Nsooba-Kyebando'!F92+'Avg Week Kyebando-Nsooba'!F92</f>
        <v>1</v>
      </c>
      <c r="G92" s="49">
        <f>'Avg Week Nsooba-Kyebando'!G92+'Avg Week Kyebando-Nsooba'!G92</f>
        <v>0</v>
      </c>
      <c r="H92" s="49">
        <f>'Avg Week Nsooba-Kyebando'!H92+'Avg Week Kyebando-Nsooba'!H92</f>
        <v>0</v>
      </c>
      <c r="I92" s="49">
        <f>'Avg Week Nsooba-Kyebando'!I92+'Avg Week Kyebando-Nsooba'!I92</f>
        <v>0.5</v>
      </c>
      <c r="J92" s="49">
        <f>'Avg Week Nsooba-Kyebando'!J92+'Avg Week Kyebando-Nsooba'!J92</f>
        <v>0</v>
      </c>
      <c r="K92" s="49">
        <f>'Avg Week Nsooba-Kyebando'!K92+'Avg Week Kyebando-Nsooba'!K92</f>
        <v>0</v>
      </c>
      <c r="L92" s="49">
        <f>'Avg Week Nsooba-Kyebando'!L92+'Avg Week Kyebando-Nsooba'!L92</f>
        <v>0</v>
      </c>
      <c r="M92" s="49">
        <f>'Avg Week Nsooba-Kyebando'!M92+'Avg Week Kyebando-Nsooba'!M92</f>
        <v>9.5</v>
      </c>
      <c r="N92" s="49">
        <f>'Avg Week Nsooba-Kyebando'!N92+'Avg Week Kyebando-Nsooba'!N92</f>
        <v>0</v>
      </c>
      <c r="O92" s="15">
        <f t="shared" si="35"/>
        <v>5</v>
      </c>
      <c r="P92" s="15">
        <f t="shared" si="36"/>
        <v>14.5</v>
      </c>
      <c r="R92" s="8"/>
      <c r="T92"/>
    </row>
    <row r="93" spans="2:20" ht="23.1" customHeight="1" x14ac:dyDescent="0.25">
      <c r="B93" s="23" t="s">
        <v>133</v>
      </c>
      <c r="C93" s="49">
        <f>'Avg Week Nsooba-Kyebando'!C93+'Avg Week Kyebando-Nsooba'!C93</f>
        <v>4</v>
      </c>
      <c r="D93" s="49">
        <f>'Avg Week Nsooba-Kyebando'!D93+'Avg Week Kyebando-Nsooba'!D93</f>
        <v>0</v>
      </c>
      <c r="E93" s="49">
        <f>'Avg Week Nsooba-Kyebando'!E93+'Avg Week Kyebando-Nsooba'!E93</f>
        <v>0</v>
      </c>
      <c r="F93" s="49">
        <f>'Avg Week Nsooba-Kyebando'!F93+'Avg Week Kyebando-Nsooba'!F93</f>
        <v>0</v>
      </c>
      <c r="G93" s="49">
        <f>'Avg Week Nsooba-Kyebando'!G93+'Avg Week Kyebando-Nsooba'!G93</f>
        <v>0</v>
      </c>
      <c r="H93" s="49">
        <f>'Avg Week Nsooba-Kyebando'!H93+'Avg Week Kyebando-Nsooba'!H93</f>
        <v>0</v>
      </c>
      <c r="I93" s="49">
        <f>'Avg Week Nsooba-Kyebando'!I93+'Avg Week Kyebando-Nsooba'!I93</f>
        <v>0</v>
      </c>
      <c r="J93" s="49">
        <f>'Avg Week Nsooba-Kyebando'!J93+'Avg Week Kyebando-Nsooba'!J93</f>
        <v>0</v>
      </c>
      <c r="K93" s="49">
        <f>'Avg Week Nsooba-Kyebando'!K93+'Avg Week Kyebando-Nsooba'!K93</f>
        <v>0</v>
      </c>
      <c r="L93" s="49">
        <f>'Avg Week Nsooba-Kyebando'!L93+'Avg Week Kyebando-Nsooba'!L93</f>
        <v>0</v>
      </c>
      <c r="M93" s="49">
        <f>'Avg Week Nsooba-Kyebando'!M93+'Avg Week Kyebando-Nsooba'!M93</f>
        <v>8.5</v>
      </c>
      <c r="N93" s="49">
        <f>'Avg Week Nsooba-Kyebando'!N93+'Avg Week Kyebando-Nsooba'!N93</f>
        <v>0</v>
      </c>
      <c r="O93" s="15">
        <f t="shared" si="35"/>
        <v>4</v>
      </c>
      <c r="P93" s="15">
        <f t="shared" si="36"/>
        <v>12.5</v>
      </c>
      <c r="R93" s="8"/>
      <c r="T93"/>
    </row>
    <row r="94" spans="2:20" ht="23.1" customHeight="1" x14ac:dyDescent="0.25">
      <c r="B94" s="24" t="s">
        <v>134</v>
      </c>
      <c r="C94" s="49">
        <f>'Avg Week Nsooba-Kyebando'!C94+'Avg Week Kyebando-Nsooba'!C94</f>
        <v>1</v>
      </c>
      <c r="D94" s="49">
        <f>'Avg Week Nsooba-Kyebando'!D94+'Avg Week Kyebando-Nsooba'!D94</f>
        <v>0</v>
      </c>
      <c r="E94" s="49">
        <f>'Avg Week Nsooba-Kyebando'!E94+'Avg Week Kyebando-Nsooba'!E94</f>
        <v>0</v>
      </c>
      <c r="F94" s="49">
        <f>'Avg Week Nsooba-Kyebando'!F94+'Avg Week Kyebando-Nsooba'!F94</f>
        <v>0</v>
      </c>
      <c r="G94" s="49">
        <f>'Avg Week Nsooba-Kyebando'!G94+'Avg Week Kyebando-Nsooba'!G94</f>
        <v>0</v>
      </c>
      <c r="H94" s="49">
        <f>'Avg Week Nsooba-Kyebando'!H94+'Avg Week Kyebando-Nsooba'!H94</f>
        <v>0</v>
      </c>
      <c r="I94" s="49">
        <f>'Avg Week Nsooba-Kyebando'!I94+'Avg Week Kyebando-Nsooba'!I94</f>
        <v>0.5</v>
      </c>
      <c r="J94" s="49">
        <f>'Avg Week Nsooba-Kyebando'!J94+'Avg Week Kyebando-Nsooba'!J94</f>
        <v>0.5</v>
      </c>
      <c r="K94" s="49">
        <f>'Avg Week Nsooba-Kyebando'!K94+'Avg Week Kyebando-Nsooba'!K94</f>
        <v>0</v>
      </c>
      <c r="L94" s="49">
        <f>'Avg Week Nsooba-Kyebando'!L94+'Avg Week Kyebando-Nsooba'!L94</f>
        <v>1</v>
      </c>
      <c r="M94" s="49">
        <f>'Avg Week Nsooba-Kyebando'!M94+'Avg Week Kyebando-Nsooba'!M94</f>
        <v>5</v>
      </c>
      <c r="N94" s="49">
        <f>'Avg Week Nsooba-Kyebando'!N94+'Avg Week Kyebando-Nsooba'!N94</f>
        <v>0</v>
      </c>
      <c r="O94" s="15">
        <f t="shared" si="35"/>
        <v>3</v>
      </c>
      <c r="P94" s="15">
        <f t="shared" si="36"/>
        <v>8</v>
      </c>
      <c r="R94" s="8"/>
      <c r="T94"/>
    </row>
    <row r="95" spans="2:20" ht="23.1" customHeight="1" x14ac:dyDescent="0.25">
      <c r="B95" s="23" t="s">
        <v>135</v>
      </c>
      <c r="C95" s="49">
        <f>'Avg Week Nsooba-Kyebando'!C95+'Avg Week Kyebando-Nsooba'!C95</f>
        <v>4</v>
      </c>
      <c r="D95" s="49">
        <f>'Avg Week Nsooba-Kyebando'!D95+'Avg Week Kyebando-Nsooba'!D95</f>
        <v>0</v>
      </c>
      <c r="E95" s="49">
        <f>'Avg Week Nsooba-Kyebando'!E95+'Avg Week Kyebando-Nsooba'!E95</f>
        <v>0</v>
      </c>
      <c r="F95" s="49">
        <f>'Avg Week Nsooba-Kyebando'!F95+'Avg Week Kyebando-Nsooba'!F95</f>
        <v>0</v>
      </c>
      <c r="G95" s="49">
        <f>'Avg Week Nsooba-Kyebando'!G95+'Avg Week Kyebando-Nsooba'!G95</f>
        <v>0</v>
      </c>
      <c r="H95" s="49">
        <f>'Avg Week Nsooba-Kyebando'!H95+'Avg Week Kyebando-Nsooba'!H95</f>
        <v>0</v>
      </c>
      <c r="I95" s="49">
        <f>'Avg Week Nsooba-Kyebando'!I95+'Avg Week Kyebando-Nsooba'!I95</f>
        <v>0.5</v>
      </c>
      <c r="J95" s="49">
        <f>'Avg Week Nsooba-Kyebando'!J95+'Avg Week Kyebando-Nsooba'!J95</f>
        <v>0</v>
      </c>
      <c r="K95" s="49">
        <f>'Avg Week Nsooba-Kyebando'!K95+'Avg Week Kyebando-Nsooba'!K95</f>
        <v>0</v>
      </c>
      <c r="L95" s="49">
        <f>'Avg Week Nsooba-Kyebando'!L95+'Avg Week Kyebando-Nsooba'!L95</f>
        <v>0</v>
      </c>
      <c r="M95" s="49">
        <f>'Avg Week Nsooba-Kyebando'!M95+'Avg Week Kyebando-Nsooba'!M95</f>
        <v>7</v>
      </c>
      <c r="N95" s="49">
        <f>'Avg Week Nsooba-Kyebando'!N95+'Avg Week Kyebando-Nsooba'!N95</f>
        <v>0</v>
      </c>
      <c r="O95" s="15">
        <f t="shared" si="35"/>
        <v>4.5</v>
      </c>
      <c r="P95" s="15">
        <f t="shared" si="36"/>
        <v>11.5</v>
      </c>
      <c r="R95" s="8"/>
      <c r="T95"/>
    </row>
    <row r="96" spans="2:20" ht="23.1" customHeight="1" x14ac:dyDescent="0.25">
      <c r="B96" s="25" t="s">
        <v>136</v>
      </c>
      <c r="C96" s="49">
        <f>'Avg Week Nsooba-Kyebando'!C96+'Avg Week Kyebando-Nsooba'!C96</f>
        <v>4</v>
      </c>
      <c r="D96" s="49">
        <f>'Avg Week Nsooba-Kyebando'!D96+'Avg Week Kyebando-Nsooba'!D96</f>
        <v>0</v>
      </c>
      <c r="E96" s="49">
        <f>'Avg Week Nsooba-Kyebando'!E96+'Avg Week Kyebando-Nsooba'!E96</f>
        <v>0</v>
      </c>
      <c r="F96" s="49">
        <f>'Avg Week Nsooba-Kyebando'!F96+'Avg Week Kyebando-Nsooba'!F96</f>
        <v>0</v>
      </c>
      <c r="G96" s="49">
        <f>'Avg Week Nsooba-Kyebando'!G96+'Avg Week Kyebando-Nsooba'!G96</f>
        <v>0</v>
      </c>
      <c r="H96" s="49">
        <f>'Avg Week Nsooba-Kyebando'!H96+'Avg Week Kyebando-Nsooba'!H96</f>
        <v>0</v>
      </c>
      <c r="I96" s="49">
        <f>'Avg Week Nsooba-Kyebando'!I96+'Avg Week Kyebando-Nsooba'!I96</f>
        <v>0.5</v>
      </c>
      <c r="J96" s="49">
        <f>'Avg Week Nsooba-Kyebando'!J96+'Avg Week Kyebando-Nsooba'!J96</f>
        <v>0</v>
      </c>
      <c r="K96" s="49">
        <f>'Avg Week Nsooba-Kyebando'!K96+'Avg Week Kyebando-Nsooba'!K96</f>
        <v>0</v>
      </c>
      <c r="L96" s="49">
        <f>'Avg Week Nsooba-Kyebando'!L96+'Avg Week Kyebando-Nsooba'!L96</f>
        <v>0</v>
      </c>
      <c r="M96" s="49">
        <f>'Avg Week Nsooba-Kyebando'!M96+'Avg Week Kyebando-Nsooba'!M96</f>
        <v>7.5</v>
      </c>
      <c r="N96" s="49">
        <f>'Avg Week Nsooba-Kyebando'!N96+'Avg Week Kyebando-Nsooba'!N96</f>
        <v>0</v>
      </c>
      <c r="O96" s="15">
        <f t="shared" si="35"/>
        <v>4.5</v>
      </c>
      <c r="P96" s="15">
        <f t="shared" si="36"/>
        <v>12</v>
      </c>
      <c r="R96" s="8"/>
      <c r="T96"/>
    </row>
    <row r="97" spans="2:20" ht="23.1" customHeight="1" x14ac:dyDescent="0.25">
      <c r="B97" s="23" t="s">
        <v>137</v>
      </c>
      <c r="C97" s="49">
        <f>'Avg Week Nsooba-Kyebando'!C97+'Avg Week Kyebando-Nsooba'!C97</f>
        <v>4</v>
      </c>
      <c r="D97" s="49">
        <f>'Avg Week Nsooba-Kyebando'!D97+'Avg Week Kyebando-Nsooba'!D97</f>
        <v>0</v>
      </c>
      <c r="E97" s="49">
        <f>'Avg Week Nsooba-Kyebando'!E97+'Avg Week Kyebando-Nsooba'!E97</f>
        <v>0</v>
      </c>
      <c r="F97" s="49">
        <f>'Avg Week Nsooba-Kyebando'!F97+'Avg Week Kyebando-Nsooba'!F97</f>
        <v>0.5</v>
      </c>
      <c r="G97" s="49">
        <f>'Avg Week Nsooba-Kyebando'!G97+'Avg Week Kyebando-Nsooba'!G97</f>
        <v>0</v>
      </c>
      <c r="H97" s="49">
        <f>'Avg Week Nsooba-Kyebando'!H97+'Avg Week Kyebando-Nsooba'!H97</f>
        <v>0</v>
      </c>
      <c r="I97" s="49">
        <f>'Avg Week Nsooba-Kyebando'!I97+'Avg Week Kyebando-Nsooba'!I97</f>
        <v>0.5</v>
      </c>
      <c r="J97" s="49">
        <f>'Avg Week Nsooba-Kyebando'!J97+'Avg Week Kyebando-Nsooba'!J97</f>
        <v>0</v>
      </c>
      <c r="K97" s="49">
        <f>'Avg Week Nsooba-Kyebando'!K97+'Avg Week Kyebando-Nsooba'!K97</f>
        <v>0</v>
      </c>
      <c r="L97" s="49">
        <f>'Avg Week Nsooba-Kyebando'!L97+'Avg Week Kyebando-Nsooba'!L97</f>
        <v>0</v>
      </c>
      <c r="M97" s="49">
        <f>'Avg Week Nsooba-Kyebando'!M97+'Avg Week Kyebando-Nsooba'!M97</f>
        <v>9</v>
      </c>
      <c r="N97" s="49">
        <f>'Avg Week Nsooba-Kyebando'!N97+'Avg Week Kyebando-Nsooba'!N97</f>
        <v>0</v>
      </c>
      <c r="O97" s="15">
        <f t="shared" si="35"/>
        <v>5</v>
      </c>
      <c r="P97" s="15">
        <f t="shared" si="36"/>
        <v>14</v>
      </c>
      <c r="R97" s="8"/>
      <c r="T97"/>
    </row>
    <row r="98" spans="2:20" ht="23.1" customHeight="1" x14ac:dyDescent="0.25">
      <c r="B98" s="24" t="s">
        <v>138</v>
      </c>
      <c r="C98" s="49">
        <f>'Avg Week Nsooba-Kyebando'!C98+'Avg Week Kyebando-Nsooba'!C98</f>
        <v>6</v>
      </c>
      <c r="D98" s="49">
        <f>'Avg Week Nsooba-Kyebando'!D98+'Avg Week Kyebando-Nsooba'!D98</f>
        <v>1</v>
      </c>
      <c r="E98" s="49">
        <f>'Avg Week Nsooba-Kyebando'!E98+'Avg Week Kyebando-Nsooba'!E98</f>
        <v>0.5</v>
      </c>
      <c r="F98" s="49">
        <f>'Avg Week Nsooba-Kyebando'!F98+'Avg Week Kyebando-Nsooba'!F98</f>
        <v>3.5</v>
      </c>
      <c r="G98" s="49">
        <f>'Avg Week Nsooba-Kyebando'!G98+'Avg Week Kyebando-Nsooba'!G98</f>
        <v>0.5</v>
      </c>
      <c r="H98" s="49">
        <f>'Avg Week Nsooba-Kyebando'!H98+'Avg Week Kyebando-Nsooba'!H98</f>
        <v>0</v>
      </c>
      <c r="I98" s="49">
        <f>'Avg Week Nsooba-Kyebando'!I98+'Avg Week Kyebando-Nsooba'!I98</f>
        <v>0</v>
      </c>
      <c r="J98" s="49">
        <f>'Avg Week Nsooba-Kyebando'!J98+'Avg Week Kyebando-Nsooba'!J98</f>
        <v>0</v>
      </c>
      <c r="K98" s="49">
        <f>'Avg Week Nsooba-Kyebando'!K98+'Avg Week Kyebando-Nsooba'!K98</f>
        <v>0</v>
      </c>
      <c r="L98" s="49">
        <f>'Avg Week Nsooba-Kyebando'!L98+'Avg Week Kyebando-Nsooba'!L98</f>
        <v>0</v>
      </c>
      <c r="M98" s="49">
        <f>'Avg Week Nsooba-Kyebando'!M98+'Avg Week Kyebando-Nsooba'!M98</f>
        <v>10</v>
      </c>
      <c r="N98" s="49">
        <f>'Avg Week Nsooba-Kyebando'!N98+'Avg Week Kyebando-Nsooba'!N98</f>
        <v>0</v>
      </c>
      <c r="O98" s="15">
        <f t="shared" si="35"/>
        <v>11.5</v>
      </c>
      <c r="P98" s="15">
        <f t="shared" si="36"/>
        <v>21.5</v>
      </c>
      <c r="R98" s="8"/>
      <c r="T98"/>
    </row>
    <row r="99" spans="2:20" ht="23.1" customHeight="1" x14ac:dyDescent="0.25">
      <c r="B99" s="23" t="s">
        <v>139</v>
      </c>
      <c r="C99" s="49">
        <f>'Avg Week Nsooba-Kyebando'!C99+'Avg Week Kyebando-Nsooba'!C99</f>
        <v>8.5</v>
      </c>
      <c r="D99" s="49">
        <f>'Avg Week Nsooba-Kyebando'!D99+'Avg Week Kyebando-Nsooba'!D99</f>
        <v>0</v>
      </c>
      <c r="E99" s="49">
        <f>'Avg Week Nsooba-Kyebando'!E99+'Avg Week Kyebando-Nsooba'!E99</f>
        <v>0</v>
      </c>
      <c r="F99" s="49">
        <f>'Avg Week Nsooba-Kyebando'!F99+'Avg Week Kyebando-Nsooba'!F99</f>
        <v>2</v>
      </c>
      <c r="G99" s="49">
        <f>'Avg Week Nsooba-Kyebando'!G99+'Avg Week Kyebando-Nsooba'!G99</f>
        <v>0</v>
      </c>
      <c r="H99" s="49">
        <f>'Avg Week Nsooba-Kyebando'!H99+'Avg Week Kyebando-Nsooba'!H99</f>
        <v>0</v>
      </c>
      <c r="I99" s="49">
        <f>'Avg Week Nsooba-Kyebando'!I99+'Avg Week Kyebando-Nsooba'!I99</f>
        <v>1</v>
      </c>
      <c r="J99" s="49">
        <f>'Avg Week Nsooba-Kyebando'!J99+'Avg Week Kyebando-Nsooba'!J99</f>
        <v>0</v>
      </c>
      <c r="K99" s="49">
        <f>'Avg Week Nsooba-Kyebando'!K99+'Avg Week Kyebando-Nsooba'!K99</f>
        <v>0</v>
      </c>
      <c r="L99" s="49">
        <f>'Avg Week Nsooba-Kyebando'!L99+'Avg Week Kyebando-Nsooba'!L99</f>
        <v>0</v>
      </c>
      <c r="M99" s="49">
        <f>'Avg Week Nsooba-Kyebando'!M99+'Avg Week Kyebando-Nsooba'!M99</f>
        <v>10</v>
      </c>
      <c r="N99" s="49">
        <f>'Avg Week Nsooba-Kyebando'!N99+'Avg Week Kyebando-Nsooba'!N99</f>
        <v>0</v>
      </c>
      <c r="O99" s="15">
        <f t="shared" si="35"/>
        <v>11.5</v>
      </c>
      <c r="P99" s="15">
        <f t="shared" si="36"/>
        <v>21.5</v>
      </c>
      <c r="R99" s="8"/>
      <c r="T99"/>
    </row>
    <row r="100" spans="2:20" ht="23.1" customHeight="1" x14ac:dyDescent="0.25">
      <c r="B100" s="25" t="s">
        <v>140</v>
      </c>
      <c r="C100" s="49">
        <f>'Avg Week Nsooba-Kyebando'!C100+'Avg Week Kyebando-Nsooba'!C100</f>
        <v>5.5</v>
      </c>
      <c r="D100" s="49">
        <f>'Avg Week Nsooba-Kyebando'!D100+'Avg Week Kyebando-Nsooba'!D100</f>
        <v>0</v>
      </c>
      <c r="E100" s="49">
        <f>'Avg Week Nsooba-Kyebando'!E100+'Avg Week Kyebando-Nsooba'!E100</f>
        <v>0</v>
      </c>
      <c r="F100" s="49">
        <f>'Avg Week Nsooba-Kyebando'!F100+'Avg Week Kyebando-Nsooba'!F100</f>
        <v>6</v>
      </c>
      <c r="G100" s="49">
        <f>'Avg Week Nsooba-Kyebando'!G100+'Avg Week Kyebando-Nsooba'!G100</f>
        <v>1.5</v>
      </c>
      <c r="H100" s="49">
        <f>'Avg Week Nsooba-Kyebando'!H100+'Avg Week Kyebando-Nsooba'!H100</f>
        <v>0</v>
      </c>
      <c r="I100" s="49">
        <f>'Avg Week Nsooba-Kyebando'!I100+'Avg Week Kyebando-Nsooba'!I100</f>
        <v>1</v>
      </c>
      <c r="J100" s="49">
        <f>'Avg Week Nsooba-Kyebando'!J100+'Avg Week Kyebando-Nsooba'!J100</f>
        <v>0.5</v>
      </c>
      <c r="K100" s="49">
        <f>'Avg Week Nsooba-Kyebando'!K100+'Avg Week Kyebando-Nsooba'!K100</f>
        <v>0</v>
      </c>
      <c r="L100" s="49">
        <f>'Avg Week Nsooba-Kyebando'!L100+'Avg Week Kyebando-Nsooba'!L100</f>
        <v>0</v>
      </c>
      <c r="M100" s="49">
        <f>'Avg Week Nsooba-Kyebando'!M100+'Avg Week Kyebando-Nsooba'!M100</f>
        <v>22</v>
      </c>
      <c r="N100" s="49">
        <f>'Avg Week Nsooba-Kyebando'!N100+'Avg Week Kyebando-Nsooba'!N100</f>
        <v>0</v>
      </c>
      <c r="O100" s="15">
        <f t="shared" si="35"/>
        <v>14.5</v>
      </c>
      <c r="P100" s="15">
        <f t="shared" si="36"/>
        <v>36.5</v>
      </c>
      <c r="R100" s="8"/>
      <c r="T100"/>
    </row>
    <row r="101" spans="2:20" ht="23.1" customHeight="1" x14ac:dyDescent="0.25">
      <c r="B101" s="23" t="s">
        <v>141</v>
      </c>
      <c r="C101" s="49">
        <f>'Avg Week Nsooba-Kyebando'!C101+'Avg Week Kyebando-Nsooba'!C101</f>
        <v>6.5</v>
      </c>
      <c r="D101" s="49">
        <f>'Avg Week Nsooba-Kyebando'!D101+'Avg Week Kyebando-Nsooba'!D101</f>
        <v>1.5</v>
      </c>
      <c r="E101" s="49">
        <f>'Avg Week Nsooba-Kyebando'!E101+'Avg Week Kyebando-Nsooba'!E101</f>
        <v>0.5</v>
      </c>
      <c r="F101" s="49">
        <f>'Avg Week Nsooba-Kyebando'!F101+'Avg Week Kyebando-Nsooba'!F101</f>
        <v>7.5</v>
      </c>
      <c r="G101" s="49">
        <f>'Avg Week Nsooba-Kyebando'!G101+'Avg Week Kyebando-Nsooba'!G101</f>
        <v>0</v>
      </c>
      <c r="H101" s="49">
        <f>'Avg Week Nsooba-Kyebando'!H101+'Avg Week Kyebando-Nsooba'!H101</f>
        <v>0</v>
      </c>
      <c r="I101" s="49">
        <f>'Avg Week Nsooba-Kyebando'!I101+'Avg Week Kyebando-Nsooba'!I101</f>
        <v>0.5</v>
      </c>
      <c r="J101" s="49">
        <f>'Avg Week Nsooba-Kyebando'!J101+'Avg Week Kyebando-Nsooba'!J101</f>
        <v>1</v>
      </c>
      <c r="K101" s="49">
        <f>'Avg Week Nsooba-Kyebando'!K101+'Avg Week Kyebando-Nsooba'!K101</f>
        <v>0</v>
      </c>
      <c r="L101" s="49">
        <f>'Avg Week Nsooba-Kyebando'!L101+'Avg Week Kyebando-Nsooba'!L101</f>
        <v>0.5</v>
      </c>
      <c r="M101" s="49">
        <f>'Avg Week Nsooba-Kyebando'!M101+'Avg Week Kyebando-Nsooba'!M101</f>
        <v>13.5</v>
      </c>
      <c r="N101" s="49">
        <f>'Avg Week Nsooba-Kyebando'!N101+'Avg Week Kyebando-Nsooba'!N101</f>
        <v>0</v>
      </c>
      <c r="O101" s="15">
        <f t="shared" si="35"/>
        <v>18</v>
      </c>
      <c r="P101" s="15">
        <f t="shared" si="36"/>
        <v>31.5</v>
      </c>
      <c r="R101" s="8"/>
      <c r="T101"/>
    </row>
    <row r="102" spans="2:20" ht="23.1" customHeight="1" x14ac:dyDescent="0.25">
      <c r="B102" s="24" t="s">
        <v>142</v>
      </c>
      <c r="C102" s="49">
        <f>'Avg Week Nsooba-Kyebando'!C102+'Avg Week Kyebando-Nsooba'!C102</f>
        <v>26</v>
      </c>
      <c r="D102" s="49">
        <f>'Avg Week Nsooba-Kyebando'!D102+'Avg Week Kyebando-Nsooba'!D102</f>
        <v>5</v>
      </c>
      <c r="E102" s="49">
        <f>'Avg Week Nsooba-Kyebando'!E102+'Avg Week Kyebando-Nsooba'!E102</f>
        <v>0.5</v>
      </c>
      <c r="F102" s="49">
        <f>'Avg Week Nsooba-Kyebando'!F102+'Avg Week Kyebando-Nsooba'!F102</f>
        <v>6.5</v>
      </c>
      <c r="G102" s="49">
        <f>'Avg Week Nsooba-Kyebando'!G102+'Avg Week Kyebando-Nsooba'!G102</f>
        <v>0</v>
      </c>
      <c r="H102" s="49">
        <f>'Avg Week Nsooba-Kyebando'!H102+'Avg Week Kyebando-Nsooba'!H102</f>
        <v>0</v>
      </c>
      <c r="I102" s="49">
        <f>'Avg Week Nsooba-Kyebando'!I102+'Avg Week Kyebando-Nsooba'!I102</f>
        <v>2.5</v>
      </c>
      <c r="J102" s="49">
        <f>'Avg Week Nsooba-Kyebando'!J102+'Avg Week Kyebando-Nsooba'!J102</f>
        <v>0</v>
      </c>
      <c r="K102" s="49">
        <f>'Avg Week Nsooba-Kyebando'!K102+'Avg Week Kyebando-Nsooba'!K102</f>
        <v>0</v>
      </c>
      <c r="L102" s="49">
        <f>'Avg Week Nsooba-Kyebando'!L102+'Avg Week Kyebando-Nsooba'!L102</f>
        <v>0</v>
      </c>
      <c r="M102" s="49">
        <f>'Avg Week Nsooba-Kyebando'!M102+'Avg Week Kyebando-Nsooba'!M102</f>
        <v>16</v>
      </c>
      <c r="N102" s="49">
        <f>'Avg Week Nsooba-Kyebando'!N102+'Avg Week Kyebando-Nsooba'!N102</f>
        <v>0</v>
      </c>
      <c r="O102" s="15">
        <f t="shared" si="35"/>
        <v>40.5</v>
      </c>
      <c r="P102" s="15">
        <f t="shared" si="36"/>
        <v>56.5</v>
      </c>
      <c r="R102" s="8"/>
      <c r="T102"/>
    </row>
    <row r="103" spans="2:20" ht="23.1" customHeight="1" x14ac:dyDescent="0.25">
      <c r="B103" s="23" t="s">
        <v>143</v>
      </c>
      <c r="C103" s="49">
        <f>'Avg Week Nsooba-Kyebando'!C103+'Avg Week Kyebando-Nsooba'!C103</f>
        <v>27.5</v>
      </c>
      <c r="D103" s="49">
        <f>'Avg Week Nsooba-Kyebando'!D103+'Avg Week Kyebando-Nsooba'!D103</f>
        <v>8</v>
      </c>
      <c r="E103" s="49">
        <f>'Avg Week Nsooba-Kyebando'!E103+'Avg Week Kyebando-Nsooba'!E103</f>
        <v>3</v>
      </c>
      <c r="F103" s="49">
        <f>'Avg Week Nsooba-Kyebando'!F103+'Avg Week Kyebando-Nsooba'!F103</f>
        <v>16</v>
      </c>
      <c r="G103" s="49">
        <f>'Avg Week Nsooba-Kyebando'!G103+'Avg Week Kyebando-Nsooba'!G103</f>
        <v>0.5</v>
      </c>
      <c r="H103" s="49">
        <f>'Avg Week Nsooba-Kyebando'!H103+'Avg Week Kyebando-Nsooba'!H103</f>
        <v>2</v>
      </c>
      <c r="I103" s="49">
        <f>'Avg Week Nsooba-Kyebando'!I103+'Avg Week Kyebando-Nsooba'!I103</f>
        <v>1</v>
      </c>
      <c r="J103" s="49">
        <f>'Avg Week Nsooba-Kyebando'!J103+'Avg Week Kyebando-Nsooba'!J103</f>
        <v>0</v>
      </c>
      <c r="K103" s="49">
        <f>'Avg Week Nsooba-Kyebando'!K103+'Avg Week Kyebando-Nsooba'!K103</f>
        <v>0</v>
      </c>
      <c r="L103" s="49">
        <f>'Avg Week Nsooba-Kyebando'!L103+'Avg Week Kyebando-Nsooba'!L103</f>
        <v>0</v>
      </c>
      <c r="M103" s="49">
        <f>'Avg Week Nsooba-Kyebando'!M103+'Avg Week Kyebando-Nsooba'!M103</f>
        <v>24.5</v>
      </c>
      <c r="N103" s="49">
        <f>'Avg Week Nsooba-Kyebando'!N103+'Avg Week Kyebando-Nsooba'!N103</f>
        <v>0</v>
      </c>
      <c r="O103" s="15">
        <f t="shared" si="35"/>
        <v>58</v>
      </c>
      <c r="P103" s="15">
        <f t="shared" si="36"/>
        <v>82.5</v>
      </c>
      <c r="R103" s="8"/>
      <c r="T103"/>
    </row>
    <row r="104" spans="2:20" ht="23.1" customHeight="1" x14ac:dyDescent="0.25">
      <c r="B104" s="25" t="s">
        <v>144</v>
      </c>
      <c r="C104" s="49">
        <f>'Avg Week Nsooba-Kyebando'!C104+'Avg Week Kyebando-Nsooba'!C104</f>
        <v>53.5</v>
      </c>
      <c r="D104" s="49">
        <f>'Avg Week Nsooba-Kyebando'!D104+'Avg Week Kyebando-Nsooba'!D104</f>
        <v>7</v>
      </c>
      <c r="E104" s="49">
        <f>'Avg Week Nsooba-Kyebando'!E104+'Avg Week Kyebando-Nsooba'!E104</f>
        <v>3.5</v>
      </c>
      <c r="F104" s="49">
        <f>'Avg Week Nsooba-Kyebando'!F104+'Avg Week Kyebando-Nsooba'!F104</f>
        <v>30</v>
      </c>
      <c r="G104" s="49">
        <f>'Avg Week Nsooba-Kyebando'!G104+'Avg Week Kyebando-Nsooba'!G104</f>
        <v>0.5</v>
      </c>
      <c r="H104" s="49">
        <f>'Avg Week Nsooba-Kyebando'!H104+'Avg Week Kyebando-Nsooba'!H104</f>
        <v>0</v>
      </c>
      <c r="I104" s="49">
        <f>'Avg Week Nsooba-Kyebando'!I104+'Avg Week Kyebando-Nsooba'!I104</f>
        <v>3.5</v>
      </c>
      <c r="J104" s="49">
        <f>'Avg Week Nsooba-Kyebando'!J104+'Avg Week Kyebando-Nsooba'!J104</f>
        <v>0.5</v>
      </c>
      <c r="K104" s="49">
        <f>'Avg Week Nsooba-Kyebando'!K104+'Avg Week Kyebando-Nsooba'!K104</f>
        <v>0</v>
      </c>
      <c r="L104" s="49">
        <f>'Avg Week Nsooba-Kyebando'!L104+'Avg Week Kyebando-Nsooba'!L104</f>
        <v>0</v>
      </c>
      <c r="M104" s="49">
        <f>'Avg Week Nsooba-Kyebando'!M104+'Avg Week Kyebando-Nsooba'!M104</f>
        <v>31.5</v>
      </c>
      <c r="N104" s="49">
        <f>'Avg Week Nsooba-Kyebando'!N104+'Avg Week Kyebando-Nsooba'!N104</f>
        <v>0</v>
      </c>
      <c r="O104" s="15">
        <f t="shared" si="35"/>
        <v>98.5</v>
      </c>
      <c r="P104" s="15">
        <f t="shared" si="36"/>
        <v>130</v>
      </c>
      <c r="R104" s="8"/>
      <c r="T104"/>
    </row>
    <row r="105" spans="2:20" ht="23.1" customHeight="1" x14ac:dyDescent="0.25">
      <c r="B105" s="23" t="s">
        <v>145</v>
      </c>
      <c r="C105" s="49">
        <f>'Avg Week Nsooba-Kyebando'!C105+'Avg Week Kyebando-Nsooba'!C105</f>
        <v>62.5</v>
      </c>
      <c r="D105" s="49">
        <f>'Avg Week Nsooba-Kyebando'!D105+'Avg Week Kyebando-Nsooba'!D105</f>
        <v>4</v>
      </c>
      <c r="E105" s="49">
        <f>'Avg Week Nsooba-Kyebando'!E105+'Avg Week Kyebando-Nsooba'!E105</f>
        <v>5.5</v>
      </c>
      <c r="F105" s="49">
        <f>'Avg Week Nsooba-Kyebando'!F105+'Avg Week Kyebando-Nsooba'!F105</f>
        <v>19.5</v>
      </c>
      <c r="G105" s="49">
        <f>'Avg Week Nsooba-Kyebando'!G105+'Avg Week Kyebando-Nsooba'!G105</f>
        <v>0</v>
      </c>
      <c r="H105" s="49">
        <f>'Avg Week Nsooba-Kyebando'!H105+'Avg Week Kyebando-Nsooba'!H105</f>
        <v>0</v>
      </c>
      <c r="I105" s="49">
        <f>'Avg Week Nsooba-Kyebando'!I105+'Avg Week Kyebando-Nsooba'!I105</f>
        <v>0.5</v>
      </c>
      <c r="J105" s="49">
        <f>'Avg Week Nsooba-Kyebando'!J105+'Avg Week Kyebando-Nsooba'!J105</f>
        <v>0</v>
      </c>
      <c r="K105" s="49">
        <f>'Avg Week Nsooba-Kyebando'!K105+'Avg Week Kyebando-Nsooba'!K105</f>
        <v>0</v>
      </c>
      <c r="L105" s="49">
        <f>'Avg Week Nsooba-Kyebando'!L105+'Avg Week Kyebando-Nsooba'!L105</f>
        <v>0</v>
      </c>
      <c r="M105" s="49">
        <f>'Avg Week Nsooba-Kyebando'!M105+'Avg Week Kyebando-Nsooba'!M105</f>
        <v>69.5</v>
      </c>
      <c r="N105" s="49">
        <f>'Avg Week Nsooba-Kyebando'!N105+'Avg Week Kyebando-Nsooba'!N105</f>
        <v>0</v>
      </c>
      <c r="O105" s="15">
        <f t="shared" si="35"/>
        <v>92</v>
      </c>
      <c r="P105" s="15">
        <f t="shared" si="36"/>
        <v>161.5</v>
      </c>
      <c r="R105" s="8"/>
      <c r="T105"/>
    </row>
    <row r="106" spans="2:20" ht="23.1" customHeight="1" x14ac:dyDescent="0.25">
      <c r="B106" s="26" t="s">
        <v>18</v>
      </c>
      <c r="C106" s="16">
        <f t="shared" ref="C106:P106" si="37">SUM(C10:C57)</f>
        <v>2847.7142857142853</v>
      </c>
      <c r="D106" s="16">
        <f t="shared" si="37"/>
        <v>669.99999999999989</v>
      </c>
      <c r="E106" s="16">
        <f t="shared" si="37"/>
        <v>409.71428571428567</v>
      </c>
      <c r="F106" s="16">
        <f t="shared" si="37"/>
        <v>1176.8571428571424</v>
      </c>
      <c r="G106" s="16">
        <f t="shared" si="37"/>
        <v>31.571428571428559</v>
      </c>
      <c r="H106" s="16">
        <f t="shared" si="37"/>
        <v>6.0000000000000009</v>
      </c>
      <c r="I106" s="16">
        <f t="shared" si="37"/>
        <v>411.4285714285715</v>
      </c>
      <c r="J106" s="16">
        <f t="shared" si="37"/>
        <v>69.714285714285708</v>
      </c>
      <c r="K106" s="16">
        <f t="shared" si="37"/>
        <v>31</v>
      </c>
      <c r="L106" s="16">
        <f t="shared" si="37"/>
        <v>17.88095238095238</v>
      </c>
      <c r="M106" s="16">
        <f t="shared" si="37"/>
        <v>6506.4285714285706</v>
      </c>
      <c r="N106" s="16">
        <f t="shared" si="37"/>
        <v>0.42857142857142855</v>
      </c>
      <c r="O106" s="16">
        <f t="shared" si="37"/>
        <v>5672.3095238095248</v>
      </c>
      <c r="P106" s="16">
        <f t="shared" si="37"/>
        <v>12178.738095238094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0.23382671204890645</v>
      </c>
      <c r="D107" s="43">
        <f t="shared" si="38"/>
        <v>5.5013909878066182E-2</v>
      </c>
      <c r="E107" s="43">
        <f t="shared" si="38"/>
        <v>3.3641768343346229E-2</v>
      </c>
      <c r="F107" s="43">
        <f t="shared" si="38"/>
        <v>9.6632108651494478E-2</v>
      </c>
      <c r="G107" s="43">
        <f t="shared" si="38"/>
        <v>2.5923398897766789E-3</v>
      </c>
      <c r="H107" s="43">
        <f t="shared" si="38"/>
        <v>4.9266187950507048E-4</v>
      </c>
      <c r="I107" s="43">
        <f t="shared" si="38"/>
        <v>3.378252888034769E-2</v>
      </c>
      <c r="J107" s="43">
        <f t="shared" si="38"/>
        <v>5.7242618380589127E-3</v>
      </c>
      <c r="K107" s="43">
        <f t="shared" si="38"/>
        <v>2.5454197107761972E-3</v>
      </c>
      <c r="L107" s="43">
        <f t="shared" si="38"/>
        <v>1.4682106012234438E-3</v>
      </c>
      <c r="M107" s="43">
        <f t="shared" si="38"/>
        <v>0.53424488814424831</v>
      </c>
      <c r="N107" s="43">
        <f t="shared" si="38"/>
        <v>3.519013425036217E-5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0.50203788664229299</v>
      </c>
      <c r="D108" s="44">
        <f t="shared" ref="D108:N108" si="39">D106/$O$106</f>
        <v>0.11811767273765196</v>
      </c>
      <c r="E108" s="44">
        <f t="shared" si="39"/>
        <v>7.2230593904389309E-2</v>
      </c>
      <c r="F108" s="44">
        <f t="shared" si="39"/>
        <v>0.20747406993875836</v>
      </c>
      <c r="G108" s="44">
        <f t="shared" si="39"/>
        <v>5.565886071433066E-3</v>
      </c>
      <c r="H108" s="44">
        <f t="shared" si="39"/>
        <v>1.0577702036207641E-3</v>
      </c>
      <c r="I108" s="44">
        <f t="shared" si="39"/>
        <v>7.2532813962566695E-2</v>
      </c>
      <c r="J108" s="44">
        <f t="shared" si="39"/>
        <v>1.2290282365879352E-2</v>
      </c>
      <c r="K108" s="44">
        <f t="shared" si="39"/>
        <v>5.4651460520406137E-3</v>
      </c>
      <c r="L108" s="44">
        <f t="shared" si="39"/>
        <v>3.1523231068221972E-3</v>
      </c>
      <c r="M108" s="44"/>
      <c r="N108" s="44">
        <f t="shared" si="39"/>
        <v>7.5555014544340278E-5</v>
      </c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  <c r="R111" s="8"/>
      <c r="T111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Q113" s="7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20" s="7" customFormat="1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/>
      <c r="P129"/>
      <c r="Q129"/>
      <c r="S129" s="8"/>
      <c r="T129" s="8"/>
    </row>
    <row r="130" spans="2:20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20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20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20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20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20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20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20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20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20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20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20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20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20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20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0.10000000000000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2.5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38</vt:i4>
      </vt:variant>
    </vt:vector>
  </HeadingPairs>
  <TitlesOfParts>
    <vt:vector size="57" baseType="lpstr">
      <vt:lpstr>29.07 NSOOBA-KYEBANDO</vt:lpstr>
      <vt:lpstr>29.07 KYEBANDO-NSOOBA</vt:lpstr>
      <vt:lpstr>30.07 NSOOBA-KYEBANDO</vt:lpstr>
      <vt:lpstr>30.07 KYEBANDO-NSOOBA</vt:lpstr>
      <vt:lpstr>31.08 NSOOBA-KYEBANDO</vt:lpstr>
      <vt:lpstr>31.08 KYEBANDO-NSOOBA</vt:lpstr>
      <vt:lpstr>01.08 NSOOBA-KYEBANDO-24h</vt:lpstr>
      <vt:lpstr>01.08 KYEBANDO-NSOOBA-24h</vt:lpstr>
      <vt:lpstr>02.08 NSOOBA-KYEBANDO</vt:lpstr>
      <vt:lpstr>02.08 KYEBANDO-NSOOBA</vt:lpstr>
      <vt:lpstr>03.08 KYEBANDO-NSOOBA-24h</vt:lpstr>
      <vt:lpstr>03.80 NSOOBA-KYEBANDO-24h</vt:lpstr>
      <vt:lpstr>04.08.Nsooba-Kyebando</vt:lpstr>
      <vt:lpstr>4.08.Nsooba-Kyebando</vt:lpstr>
      <vt:lpstr>4.08. Kyebando-Nsooba</vt:lpstr>
      <vt:lpstr>04.08.Kyebando-Nsooba</vt:lpstr>
      <vt:lpstr>Avg Week Nsooba-Kyebando</vt:lpstr>
      <vt:lpstr>Avg Week Kyebando-Nsooba</vt:lpstr>
      <vt:lpstr>Avg Week Nsooba-Kyebando-2Dir</vt:lpstr>
      <vt:lpstr>'01.08 KYEBANDO-NSOOBA-24h'!Print_Area</vt:lpstr>
      <vt:lpstr>'01.08 NSOOBA-KYEBANDO-24h'!Print_Area</vt:lpstr>
      <vt:lpstr>'02.08 KYEBANDO-NSOOBA'!Print_Area</vt:lpstr>
      <vt:lpstr>'02.08 NSOOBA-KYEBANDO'!Print_Area</vt:lpstr>
      <vt:lpstr>'03.08 KYEBANDO-NSOOBA-24h'!Print_Area</vt:lpstr>
      <vt:lpstr>'03.80 NSOOBA-KYEBANDO-24h'!Print_Area</vt:lpstr>
      <vt:lpstr>'04.08.Kyebando-Nsooba'!Print_Area</vt:lpstr>
      <vt:lpstr>'04.08.Nsooba-Kyebando'!Print_Area</vt:lpstr>
      <vt:lpstr>'29.07 KYEBANDO-NSOOBA'!Print_Area</vt:lpstr>
      <vt:lpstr>'29.07 NSOOBA-KYEBANDO'!Print_Area</vt:lpstr>
      <vt:lpstr>'30.07 KYEBANDO-NSOOBA'!Print_Area</vt:lpstr>
      <vt:lpstr>'30.07 NSOOBA-KYEBANDO'!Print_Area</vt:lpstr>
      <vt:lpstr>'31.08 KYEBANDO-NSOOBA'!Print_Area</vt:lpstr>
      <vt:lpstr>'31.08 NSOOBA-KYEBANDO'!Print_Area</vt:lpstr>
      <vt:lpstr>'4.08. Kyebando-Nsooba'!Print_Area</vt:lpstr>
      <vt:lpstr>'4.08.Nsooba-Kyebando'!Print_Area</vt:lpstr>
      <vt:lpstr>'Avg Week Kyebando-Nsooba'!Print_Area</vt:lpstr>
      <vt:lpstr>'Avg Week Nsooba-Kyebando'!Print_Area</vt:lpstr>
      <vt:lpstr>'Avg Week Nsooba-Kyebando-2Dir'!Print_Area</vt:lpstr>
      <vt:lpstr>'01.08 KYEBANDO-NSOOBA-24h'!Print_Titles</vt:lpstr>
      <vt:lpstr>'01.08 NSOOBA-KYEBANDO-24h'!Print_Titles</vt:lpstr>
      <vt:lpstr>'02.08 KYEBANDO-NSOOBA'!Print_Titles</vt:lpstr>
      <vt:lpstr>'02.08 NSOOBA-KYEBANDO'!Print_Titles</vt:lpstr>
      <vt:lpstr>'03.08 KYEBANDO-NSOOBA-24h'!Print_Titles</vt:lpstr>
      <vt:lpstr>'03.80 NSOOBA-KYEBANDO-24h'!Print_Titles</vt:lpstr>
      <vt:lpstr>'04.08.Kyebando-Nsooba'!Print_Titles</vt:lpstr>
      <vt:lpstr>'04.08.Nsooba-Kyebando'!Print_Titles</vt:lpstr>
      <vt:lpstr>'29.07 KYEBANDO-NSOOBA'!Print_Titles</vt:lpstr>
      <vt:lpstr>'29.07 NSOOBA-KYEBANDO'!Print_Titles</vt:lpstr>
      <vt:lpstr>'30.07 KYEBANDO-NSOOBA'!Print_Titles</vt:lpstr>
      <vt:lpstr>'30.07 NSOOBA-KYEBANDO'!Print_Titles</vt:lpstr>
      <vt:lpstr>'31.08 KYEBANDO-NSOOBA'!Print_Titles</vt:lpstr>
      <vt:lpstr>'31.08 NSOOBA-KYEBANDO'!Print_Titles</vt:lpstr>
      <vt:lpstr>'4.08. Kyebando-Nsooba'!Print_Titles</vt:lpstr>
      <vt:lpstr>'4.08.Nsooba-Kyebando'!Print_Titles</vt:lpstr>
      <vt:lpstr>'Avg Week Kyebando-Nsooba'!Print_Titles</vt:lpstr>
      <vt:lpstr>'Avg Week Nsooba-Kyebando'!Print_Titles</vt:lpstr>
      <vt:lpstr>'Avg Week Nsooba-Kyebando-2Dir'!Print_Titles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2020-01-15T17:40:36Z</dcterms:modified>
</cp:coreProperties>
</file>