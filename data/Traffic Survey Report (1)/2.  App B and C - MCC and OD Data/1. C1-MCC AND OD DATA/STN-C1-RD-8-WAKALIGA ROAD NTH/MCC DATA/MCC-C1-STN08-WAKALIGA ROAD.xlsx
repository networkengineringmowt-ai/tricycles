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1 Analysis Complete\STN-C1-RD-8-WAKALIGA ROAD NTH\MCC DATA\"/>
    </mc:Choice>
  </mc:AlternateContent>
  <xr:revisionPtr revIDLastSave="0" documentId="13_ncr:1_{D223C6F1-AA80-4BF0-96A9-FE9B89B5A1EC}" xr6:coauthVersionLast="45" xr6:coauthVersionMax="45" xr10:uidLastSave="{00000000-0000-0000-0000-000000000000}"/>
  <bookViews>
    <workbookView xWindow="-120" yWindow="-120" windowWidth="20730" windowHeight="11160" tabRatio="940" firstSheet="14" activeTab="16" xr2:uid="{00000000-000D-0000-FFFF-FFFF00000000}"/>
  </bookViews>
  <sheets>
    <sheet name="22.07 Natete-Rubaga" sheetId="93" r:id="rId1"/>
    <sheet name="22.07 Rubaga-Natete" sheetId="94" r:id="rId2"/>
    <sheet name="23.07 Natete-Rubaga" sheetId="95" r:id="rId3"/>
    <sheet name="23.07 Rubaga-Natete" sheetId="96" r:id="rId4"/>
    <sheet name="24.07 Natete-Rubaga" sheetId="97" r:id="rId5"/>
    <sheet name="24.07 Rubaga-Natete" sheetId="98" r:id="rId6"/>
    <sheet name="25.07 Natete-Rubaga" sheetId="99" r:id="rId7"/>
    <sheet name="25.07 Rubaga-natete" sheetId="100" r:id="rId8"/>
    <sheet name="26.07 Natete-Rubaga-24h" sheetId="101" r:id="rId9"/>
    <sheet name="26.07 Rubaga-Natete-24h" sheetId="109" r:id="rId10"/>
    <sheet name="27.07 Natete-Rubaga-24h" sheetId="105" r:id="rId11"/>
    <sheet name="27.07 Rubaga-Natete-24h" sheetId="110" r:id="rId12"/>
    <sheet name="28.07 Natete-Rubaga" sheetId="103" r:id="rId13"/>
    <sheet name="28.07 Rubaga-Natete" sheetId="104" r:id="rId14"/>
    <sheet name="Avg Week Nateete-Rubaga" sheetId="107" r:id="rId15"/>
    <sheet name="Avg Week Rubaga-Nateete" sheetId="108" r:id="rId16"/>
    <sheet name="Avg Week Nateete-Rubaga-2Dir" sheetId="111" r:id="rId17"/>
  </sheets>
  <definedNames>
    <definedName name="_xlnm.Print_Area" localSheetId="0">'22.07 Natete-Rubaga'!$A$1:$AF$60</definedName>
    <definedName name="_xlnm.Print_Area" localSheetId="1">'22.07 Rubaga-Natete'!$A$1:$AF$60</definedName>
    <definedName name="_xlnm.Print_Area" localSheetId="2">'23.07 Natete-Rubaga'!$A$1:$AF$60</definedName>
    <definedName name="_xlnm.Print_Area" localSheetId="3">'23.07 Rubaga-Natete'!$A$1:$AF$60</definedName>
    <definedName name="_xlnm.Print_Area" localSheetId="4">'24.07 Natete-Rubaga'!$A$1:$AF$60</definedName>
    <definedName name="_xlnm.Print_Area" localSheetId="5">'24.07 Rubaga-Natete'!$A$1:$AF$60</definedName>
    <definedName name="_xlnm.Print_Area" localSheetId="6">'25.07 Natete-Rubaga'!$A$1:$AF$60</definedName>
    <definedName name="_xlnm.Print_Area" localSheetId="7">'25.07 Rubaga-natete'!$A$1:$AF$60</definedName>
    <definedName name="_xlnm.Print_Area" localSheetId="8">'26.07 Natete-Rubaga-24h'!$A$1:$AF$108</definedName>
    <definedName name="_xlnm.Print_Area" localSheetId="9">'26.07 Rubaga-Natete-24h'!$A$1:$AF$108</definedName>
    <definedName name="_xlnm.Print_Area" localSheetId="10">'27.07 Natete-Rubaga-24h'!$A$1:$AF$108</definedName>
    <definedName name="_xlnm.Print_Area" localSheetId="11">'27.07 Rubaga-Natete-24h'!$A$1:$AF$108</definedName>
    <definedName name="_xlnm.Print_Area" localSheetId="12">'28.07 Natete-Rubaga'!$A$1:$AF$60</definedName>
    <definedName name="_xlnm.Print_Area" localSheetId="13">'28.07 Rubaga-Natete'!$A$1:$AF$60</definedName>
    <definedName name="_xlnm.Print_Area" localSheetId="14">'Avg Week Nateete-Rubaga'!$A$1:$AF$108</definedName>
    <definedName name="_xlnm.Print_Area" localSheetId="16">'Avg Week Nateete-Rubaga-2Dir'!$A$1:$AF$108</definedName>
    <definedName name="_xlnm.Print_Area" localSheetId="15">'Avg Week Rubaga-Nateete'!$A$1:$AF$108</definedName>
    <definedName name="_xlnm.Print_Titles" localSheetId="0">'22.07 Natete-Rubaga'!$1:$8</definedName>
    <definedName name="_xlnm.Print_Titles" localSheetId="1">'22.07 Rubaga-Natete'!$1:$8</definedName>
    <definedName name="_xlnm.Print_Titles" localSheetId="2">'23.07 Natete-Rubaga'!$1:$8</definedName>
    <definedName name="_xlnm.Print_Titles" localSheetId="3">'23.07 Rubaga-Natete'!$1:$8</definedName>
    <definedName name="_xlnm.Print_Titles" localSheetId="4">'24.07 Natete-Rubaga'!$1:$8</definedName>
    <definedName name="_xlnm.Print_Titles" localSheetId="5">'24.07 Rubaga-Natete'!$1:$8</definedName>
    <definedName name="_xlnm.Print_Titles" localSheetId="6">'25.07 Natete-Rubaga'!$1:$8</definedName>
    <definedName name="_xlnm.Print_Titles" localSheetId="7">'25.07 Rubaga-natete'!$1:$8</definedName>
    <definedName name="_xlnm.Print_Titles" localSheetId="8">'26.07 Natete-Rubaga-24h'!$1:$8</definedName>
    <definedName name="_xlnm.Print_Titles" localSheetId="9">'26.07 Rubaga-Natete-24h'!$1:$8</definedName>
    <definedName name="_xlnm.Print_Titles" localSheetId="10">'27.07 Natete-Rubaga-24h'!$1:$8</definedName>
    <definedName name="_xlnm.Print_Titles" localSheetId="11">'27.07 Rubaga-Natete-24h'!$1:$8</definedName>
    <definedName name="_xlnm.Print_Titles" localSheetId="12">'28.07 Natete-Rubaga'!$1:$8</definedName>
    <definedName name="_xlnm.Print_Titles" localSheetId="13">'28.07 Rubaga-Natete'!$1:$8</definedName>
    <definedName name="_xlnm.Print_Titles" localSheetId="14">'Avg Week Nateete-Rubaga'!$1:$8</definedName>
    <definedName name="_xlnm.Print_Titles" localSheetId="16">'Avg Week Nateete-Rubaga-2Dir'!$1:$8</definedName>
    <definedName name="_xlnm.Print_Titles" localSheetId="15">'Avg Week Rubaga-Nateete'!$1:$8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10" i="111" l="1"/>
  <c r="AF11" i="111"/>
  <c r="AF12" i="111"/>
  <c r="AF13" i="111"/>
  <c r="AF14" i="111"/>
  <c r="AF35" i="111" s="1"/>
  <c r="AF15" i="111"/>
  <c r="AF38" i="111" s="1"/>
  <c r="AF16" i="111"/>
  <c r="AF17" i="111"/>
  <c r="AF40" i="111" s="1"/>
  <c r="AF18" i="111"/>
  <c r="AF19" i="111"/>
  <c r="AF20" i="111"/>
  <c r="AF21" i="111"/>
  <c r="AF22" i="111"/>
  <c r="AF23" i="111"/>
  <c r="AF24" i="111"/>
  <c r="AF25" i="111"/>
  <c r="AF41" i="111" s="1"/>
  <c r="AF26" i="111"/>
  <c r="AF27" i="111"/>
  <c r="AF28" i="111"/>
  <c r="AF29" i="111"/>
  <c r="AF30" i="111"/>
  <c r="AF31" i="111"/>
  <c r="AF32" i="111"/>
  <c r="AF33" i="111"/>
  <c r="AF34" i="111"/>
  <c r="AF36" i="111"/>
  <c r="AF37" i="111"/>
  <c r="AF39" i="111"/>
  <c r="AE33" i="111"/>
  <c r="AE32" i="111"/>
  <c r="AE31" i="111"/>
  <c r="AE30" i="111"/>
  <c r="AE29" i="111"/>
  <c r="AE28" i="111"/>
  <c r="AE27" i="111"/>
  <c r="AE26" i="111"/>
  <c r="AE25" i="111"/>
  <c r="AE24" i="111"/>
  <c r="AE23" i="111"/>
  <c r="AE22" i="111"/>
  <c r="X25" i="108" l="1"/>
  <c r="C59" i="108"/>
  <c r="D59" i="108"/>
  <c r="E59" i="108"/>
  <c r="F59" i="108"/>
  <c r="F59" i="111" s="1"/>
  <c r="G59" i="108"/>
  <c r="H59" i="108"/>
  <c r="I59" i="108"/>
  <c r="J59" i="108"/>
  <c r="K59" i="108"/>
  <c r="L59" i="108"/>
  <c r="M59" i="108"/>
  <c r="N59" i="108"/>
  <c r="N59" i="111" s="1"/>
  <c r="C60" i="108"/>
  <c r="D60" i="108"/>
  <c r="E60" i="108"/>
  <c r="F60" i="108"/>
  <c r="G60" i="108"/>
  <c r="H60" i="108"/>
  <c r="I60" i="108"/>
  <c r="J60" i="108"/>
  <c r="J60" i="111" s="1"/>
  <c r="K60" i="108"/>
  <c r="L60" i="108"/>
  <c r="M60" i="108"/>
  <c r="N60" i="108"/>
  <c r="C61" i="108"/>
  <c r="D61" i="108"/>
  <c r="E61" i="108"/>
  <c r="F61" i="108"/>
  <c r="F61" i="111" s="1"/>
  <c r="G61" i="108"/>
  <c r="H61" i="108"/>
  <c r="I61" i="108"/>
  <c r="J61" i="108"/>
  <c r="K61" i="108"/>
  <c r="L61" i="108"/>
  <c r="M61" i="108"/>
  <c r="N61" i="108"/>
  <c r="N61" i="111" s="1"/>
  <c r="C62" i="108"/>
  <c r="D62" i="108"/>
  <c r="E62" i="108"/>
  <c r="F62" i="108"/>
  <c r="G62" i="108"/>
  <c r="H62" i="108"/>
  <c r="I62" i="108"/>
  <c r="J62" i="108"/>
  <c r="J62" i="111" s="1"/>
  <c r="K62" i="108"/>
  <c r="L62" i="108"/>
  <c r="M62" i="108"/>
  <c r="N62" i="108"/>
  <c r="C63" i="108"/>
  <c r="D63" i="108"/>
  <c r="E63" i="108"/>
  <c r="F63" i="108"/>
  <c r="F63" i="111" s="1"/>
  <c r="G63" i="108"/>
  <c r="H63" i="108"/>
  <c r="I63" i="108"/>
  <c r="J63" i="108"/>
  <c r="K63" i="108"/>
  <c r="L63" i="108"/>
  <c r="M63" i="108"/>
  <c r="N63" i="108"/>
  <c r="N63" i="111" s="1"/>
  <c r="C64" i="108"/>
  <c r="D64" i="108"/>
  <c r="E64" i="108"/>
  <c r="F64" i="108"/>
  <c r="G64" i="108"/>
  <c r="H64" i="108"/>
  <c r="I64" i="108"/>
  <c r="J64" i="108"/>
  <c r="J64" i="111" s="1"/>
  <c r="K64" i="108"/>
  <c r="L64" i="108"/>
  <c r="M64" i="108"/>
  <c r="N64" i="108"/>
  <c r="C65" i="108"/>
  <c r="D65" i="108"/>
  <c r="E65" i="108"/>
  <c r="F65" i="108"/>
  <c r="F65" i="111" s="1"/>
  <c r="G65" i="108"/>
  <c r="H65" i="108"/>
  <c r="I65" i="108"/>
  <c r="J65" i="108"/>
  <c r="K65" i="108"/>
  <c r="L65" i="108"/>
  <c r="M65" i="108"/>
  <c r="N65" i="108"/>
  <c r="N65" i="111" s="1"/>
  <c r="C66" i="108"/>
  <c r="D66" i="108"/>
  <c r="E66" i="108"/>
  <c r="F66" i="108"/>
  <c r="G66" i="108"/>
  <c r="H66" i="108"/>
  <c r="I66" i="108"/>
  <c r="J66" i="108"/>
  <c r="J66" i="111" s="1"/>
  <c r="K66" i="108"/>
  <c r="L66" i="108"/>
  <c r="M66" i="108"/>
  <c r="N66" i="108"/>
  <c r="C67" i="108"/>
  <c r="D67" i="108"/>
  <c r="E67" i="108"/>
  <c r="F67" i="108"/>
  <c r="F67" i="111" s="1"/>
  <c r="G67" i="108"/>
  <c r="H67" i="108"/>
  <c r="I67" i="108"/>
  <c r="J67" i="108"/>
  <c r="K67" i="108"/>
  <c r="L67" i="108"/>
  <c r="M67" i="108"/>
  <c r="N67" i="108"/>
  <c r="N67" i="111" s="1"/>
  <c r="C68" i="108"/>
  <c r="D68" i="108"/>
  <c r="E68" i="108"/>
  <c r="F68" i="108"/>
  <c r="G68" i="108"/>
  <c r="H68" i="108"/>
  <c r="I68" i="108"/>
  <c r="J68" i="108"/>
  <c r="J68" i="111" s="1"/>
  <c r="K68" i="108"/>
  <c r="L68" i="108"/>
  <c r="M68" i="108"/>
  <c r="N68" i="108"/>
  <c r="C69" i="108"/>
  <c r="D69" i="108"/>
  <c r="E69" i="108"/>
  <c r="F69" i="108"/>
  <c r="F69" i="111" s="1"/>
  <c r="G69" i="108"/>
  <c r="H69" i="108"/>
  <c r="I69" i="108"/>
  <c r="J69" i="108"/>
  <c r="K69" i="108"/>
  <c r="L69" i="108"/>
  <c r="M69" i="108"/>
  <c r="N69" i="108"/>
  <c r="N69" i="111" s="1"/>
  <c r="C70" i="108"/>
  <c r="D70" i="108"/>
  <c r="E70" i="108"/>
  <c r="F70" i="108"/>
  <c r="G70" i="108"/>
  <c r="H70" i="108"/>
  <c r="I70" i="108"/>
  <c r="J70" i="108"/>
  <c r="J70" i="111" s="1"/>
  <c r="K70" i="108"/>
  <c r="L70" i="108"/>
  <c r="M70" i="108"/>
  <c r="N70" i="108"/>
  <c r="C71" i="108"/>
  <c r="D71" i="108"/>
  <c r="E71" i="108"/>
  <c r="F71" i="108"/>
  <c r="F71" i="111" s="1"/>
  <c r="G71" i="108"/>
  <c r="H71" i="108"/>
  <c r="I71" i="108"/>
  <c r="J71" i="108"/>
  <c r="K71" i="108"/>
  <c r="L71" i="108"/>
  <c r="M71" i="108"/>
  <c r="N71" i="108"/>
  <c r="N71" i="111" s="1"/>
  <c r="C72" i="108"/>
  <c r="D72" i="108"/>
  <c r="E72" i="108"/>
  <c r="F72" i="108"/>
  <c r="G72" i="108"/>
  <c r="H72" i="108"/>
  <c r="I72" i="108"/>
  <c r="J72" i="108"/>
  <c r="J72" i="111" s="1"/>
  <c r="K72" i="108"/>
  <c r="L72" i="108"/>
  <c r="M72" i="108"/>
  <c r="N72" i="108"/>
  <c r="C73" i="108"/>
  <c r="D73" i="108"/>
  <c r="E73" i="108"/>
  <c r="F73" i="108"/>
  <c r="F73" i="111" s="1"/>
  <c r="G73" i="108"/>
  <c r="H73" i="108"/>
  <c r="I73" i="108"/>
  <c r="J73" i="108"/>
  <c r="K73" i="108"/>
  <c r="L73" i="108"/>
  <c r="M73" i="108"/>
  <c r="N73" i="108"/>
  <c r="N73" i="111" s="1"/>
  <c r="C74" i="108"/>
  <c r="D74" i="108"/>
  <c r="E74" i="108"/>
  <c r="F74" i="108"/>
  <c r="G74" i="108"/>
  <c r="H74" i="108"/>
  <c r="I74" i="108"/>
  <c r="J74" i="108"/>
  <c r="J74" i="111" s="1"/>
  <c r="K74" i="108"/>
  <c r="L74" i="108"/>
  <c r="M74" i="108"/>
  <c r="N74" i="108"/>
  <c r="C75" i="108"/>
  <c r="D75" i="108"/>
  <c r="E75" i="108"/>
  <c r="F75" i="108"/>
  <c r="F75" i="111" s="1"/>
  <c r="G75" i="108"/>
  <c r="H75" i="108"/>
  <c r="I75" i="108"/>
  <c r="J75" i="108"/>
  <c r="K75" i="108"/>
  <c r="L75" i="108"/>
  <c r="M75" i="108"/>
  <c r="N75" i="108"/>
  <c r="N75" i="111" s="1"/>
  <c r="C76" i="108"/>
  <c r="D76" i="108"/>
  <c r="E76" i="108"/>
  <c r="F76" i="108"/>
  <c r="G76" i="108"/>
  <c r="H76" i="108"/>
  <c r="I76" i="108"/>
  <c r="J76" i="108"/>
  <c r="J76" i="111" s="1"/>
  <c r="K76" i="108"/>
  <c r="L76" i="108"/>
  <c r="M76" i="108"/>
  <c r="N76" i="108"/>
  <c r="C77" i="108"/>
  <c r="D77" i="108"/>
  <c r="E77" i="108"/>
  <c r="F77" i="108"/>
  <c r="F77" i="111" s="1"/>
  <c r="G77" i="108"/>
  <c r="H77" i="108"/>
  <c r="I77" i="108"/>
  <c r="J77" i="108"/>
  <c r="K77" i="108"/>
  <c r="L77" i="108"/>
  <c r="M77" i="108"/>
  <c r="N77" i="108"/>
  <c r="N77" i="111" s="1"/>
  <c r="C78" i="108"/>
  <c r="D78" i="108"/>
  <c r="E78" i="108"/>
  <c r="F78" i="108"/>
  <c r="G78" i="108"/>
  <c r="H78" i="108"/>
  <c r="I78" i="108"/>
  <c r="J78" i="108"/>
  <c r="J78" i="111" s="1"/>
  <c r="K78" i="108"/>
  <c r="L78" i="108"/>
  <c r="M78" i="108"/>
  <c r="N78" i="108"/>
  <c r="C79" i="108"/>
  <c r="D79" i="108"/>
  <c r="E79" i="108"/>
  <c r="F79" i="108"/>
  <c r="F79" i="111" s="1"/>
  <c r="G79" i="108"/>
  <c r="H79" i="108"/>
  <c r="I79" i="108"/>
  <c r="J79" i="108"/>
  <c r="K79" i="108"/>
  <c r="L79" i="108"/>
  <c r="M79" i="108"/>
  <c r="N79" i="108"/>
  <c r="N79" i="111" s="1"/>
  <c r="C80" i="108"/>
  <c r="D80" i="108"/>
  <c r="E80" i="108"/>
  <c r="F80" i="108"/>
  <c r="G80" i="108"/>
  <c r="H80" i="108"/>
  <c r="I80" i="108"/>
  <c r="J80" i="108"/>
  <c r="J80" i="111" s="1"/>
  <c r="K80" i="108"/>
  <c r="L80" i="108"/>
  <c r="M80" i="108"/>
  <c r="N80" i="108"/>
  <c r="C81" i="108"/>
  <c r="D81" i="108"/>
  <c r="E81" i="108"/>
  <c r="F81" i="108"/>
  <c r="F81" i="111" s="1"/>
  <c r="G81" i="108"/>
  <c r="H81" i="108"/>
  <c r="I81" i="108"/>
  <c r="J81" i="108"/>
  <c r="K81" i="108"/>
  <c r="L81" i="108"/>
  <c r="M81" i="108"/>
  <c r="N81" i="108"/>
  <c r="N81" i="111" s="1"/>
  <c r="C82" i="108"/>
  <c r="D82" i="108"/>
  <c r="T28" i="108" s="1"/>
  <c r="E82" i="108"/>
  <c r="F82" i="108"/>
  <c r="G82" i="108"/>
  <c r="H82" i="108"/>
  <c r="I82" i="108"/>
  <c r="J82" i="108"/>
  <c r="J82" i="111" s="1"/>
  <c r="K82" i="108"/>
  <c r="L82" i="108"/>
  <c r="M82" i="108"/>
  <c r="N82" i="108"/>
  <c r="C83" i="108"/>
  <c r="D83" i="108"/>
  <c r="E83" i="108"/>
  <c r="F83" i="108"/>
  <c r="F83" i="111" s="1"/>
  <c r="G83" i="108"/>
  <c r="H83" i="108"/>
  <c r="I83" i="108"/>
  <c r="J83" i="108"/>
  <c r="K83" i="108"/>
  <c r="L83" i="108"/>
  <c r="M83" i="108"/>
  <c r="N83" i="108"/>
  <c r="N83" i="111" s="1"/>
  <c r="C84" i="108"/>
  <c r="D84" i="108"/>
  <c r="E84" i="108"/>
  <c r="F84" i="108"/>
  <c r="G84" i="108"/>
  <c r="H84" i="108"/>
  <c r="I84" i="108"/>
  <c r="J84" i="108"/>
  <c r="J84" i="111" s="1"/>
  <c r="K84" i="108"/>
  <c r="L84" i="108"/>
  <c r="M84" i="108"/>
  <c r="N84" i="108"/>
  <c r="C85" i="108"/>
  <c r="D85" i="108"/>
  <c r="E85" i="108"/>
  <c r="F85" i="108"/>
  <c r="F85" i="111" s="1"/>
  <c r="G85" i="108"/>
  <c r="H85" i="108"/>
  <c r="I85" i="108"/>
  <c r="J85" i="108"/>
  <c r="K85" i="108"/>
  <c r="L85" i="108"/>
  <c r="M85" i="108"/>
  <c r="N85" i="108"/>
  <c r="N85" i="111" s="1"/>
  <c r="C86" i="108"/>
  <c r="D86" i="108"/>
  <c r="E86" i="108"/>
  <c r="F86" i="108"/>
  <c r="G86" i="108"/>
  <c r="H86" i="108"/>
  <c r="I86" i="108"/>
  <c r="J86" i="108"/>
  <c r="J86" i="111" s="1"/>
  <c r="K86" i="108"/>
  <c r="L86" i="108"/>
  <c r="M86" i="108"/>
  <c r="N86" i="108"/>
  <c r="C87" i="108"/>
  <c r="D87" i="108"/>
  <c r="E87" i="108"/>
  <c r="F87" i="108"/>
  <c r="F87" i="111" s="1"/>
  <c r="G87" i="108"/>
  <c r="H87" i="108"/>
  <c r="I87" i="108"/>
  <c r="J87" i="108"/>
  <c r="K87" i="108"/>
  <c r="L87" i="108"/>
  <c r="M87" i="108"/>
  <c r="N87" i="108"/>
  <c r="N87" i="111" s="1"/>
  <c r="C88" i="108"/>
  <c r="D88" i="108"/>
  <c r="E88" i="108"/>
  <c r="F88" i="108"/>
  <c r="G88" i="108"/>
  <c r="H88" i="108"/>
  <c r="I88" i="108"/>
  <c r="J88" i="108"/>
  <c r="J88" i="111" s="1"/>
  <c r="K88" i="108"/>
  <c r="L88" i="108"/>
  <c r="M88" i="108"/>
  <c r="N88" i="108"/>
  <c r="C89" i="108"/>
  <c r="D89" i="108"/>
  <c r="E89" i="108"/>
  <c r="F89" i="108"/>
  <c r="F89" i="111" s="1"/>
  <c r="G89" i="108"/>
  <c r="H89" i="108"/>
  <c r="I89" i="108"/>
  <c r="J89" i="108"/>
  <c r="K89" i="108"/>
  <c r="L89" i="108"/>
  <c r="M89" i="108"/>
  <c r="N89" i="108"/>
  <c r="N89" i="111" s="1"/>
  <c r="C90" i="108"/>
  <c r="D90" i="108"/>
  <c r="E90" i="108"/>
  <c r="F90" i="108"/>
  <c r="G90" i="108"/>
  <c r="H90" i="108"/>
  <c r="I90" i="108"/>
  <c r="J90" i="108"/>
  <c r="J90" i="111" s="1"/>
  <c r="K90" i="108"/>
  <c r="L90" i="108"/>
  <c r="AB30" i="108" s="1"/>
  <c r="M90" i="108"/>
  <c r="N90" i="108"/>
  <c r="C91" i="108"/>
  <c r="D91" i="108"/>
  <c r="E91" i="108"/>
  <c r="F91" i="108"/>
  <c r="F91" i="111" s="1"/>
  <c r="G91" i="108"/>
  <c r="H91" i="108"/>
  <c r="I91" i="108"/>
  <c r="J91" i="108"/>
  <c r="K91" i="108"/>
  <c r="L91" i="108"/>
  <c r="M91" i="108"/>
  <c r="N91" i="108"/>
  <c r="N91" i="111" s="1"/>
  <c r="C92" i="108"/>
  <c r="D92" i="108"/>
  <c r="E92" i="108"/>
  <c r="F92" i="108"/>
  <c r="G92" i="108"/>
  <c r="H92" i="108"/>
  <c r="I92" i="108"/>
  <c r="J92" i="108"/>
  <c r="J92" i="111" s="1"/>
  <c r="K92" i="108"/>
  <c r="L92" i="108"/>
  <c r="M92" i="108"/>
  <c r="N92" i="108"/>
  <c r="C93" i="108"/>
  <c r="D93" i="108"/>
  <c r="E93" i="108"/>
  <c r="F93" i="108"/>
  <c r="F93" i="111" s="1"/>
  <c r="G93" i="108"/>
  <c r="H93" i="108"/>
  <c r="I93" i="108"/>
  <c r="J93" i="108"/>
  <c r="K93" i="108"/>
  <c r="L93" i="108"/>
  <c r="M93" i="108"/>
  <c r="N93" i="108"/>
  <c r="N93" i="111" s="1"/>
  <c r="C94" i="108"/>
  <c r="D94" i="108"/>
  <c r="E94" i="108"/>
  <c r="F94" i="108"/>
  <c r="G94" i="108"/>
  <c r="H94" i="108"/>
  <c r="I94" i="108"/>
  <c r="J94" i="108"/>
  <c r="J94" i="111" s="1"/>
  <c r="Z31" i="111" s="1"/>
  <c r="K94" i="108"/>
  <c r="L94" i="108"/>
  <c r="M94" i="108"/>
  <c r="N94" i="108"/>
  <c r="C95" i="108"/>
  <c r="D95" i="108"/>
  <c r="E95" i="108"/>
  <c r="F95" i="108"/>
  <c r="F95" i="111" s="1"/>
  <c r="G95" i="108"/>
  <c r="H95" i="108"/>
  <c r="I95" i="108"/>
  <c r="J95" i="108"/>
  <c r="K95" i="108"/>
  <c r="L95" i="108"/>
  <c r="M95" i="108"/>
  <c r="N95" i="108"/>
  <c r="N95" i="111" s="1"/>
  <c r="C96" i="108"/>
  <c r="D96" i="108"/>
  <c r="E96" i="108"/>
  <c r="F96" i="108"/>
  <c r="G96" i="108"/>
  <c r="H96" i="108"/>
  <c r="I96" i="108"/>
  <c r="J96" i="108"/>
  <c r="J96" i="111" s="1"/>
  <c r="K96" i="108"/>
  <c r="L96" i="108"/>
  <c r="M96" i="108"/>
  <c r="N96" i="108"/>
  <c r="C97" i="108"/>
  <c r="D97" i="108"/>
  <c r="E97" i="108"/>
  <c r="F97" i="108"/>
  <c r="F97" i="111" s="1"/>
  <c r="G97" i="108"/>
  <c r="H97" i="108"/>
  <c r="I97" i="108"/>
  <c r="J97" i="108"/>
  <c r="K97" i="108"/>
  <c r="L97" i="108"/>
  <c r="M97" i="108"/>
  <c r="N97" i="108"/>
  <c r="N97" i="111" s="1"/>
  <c r="C98" i="108"/>
  <c r="D98" i="108"/>
  <c r="E98" i="108"/>
  <c r="F98" i="108"/>
  <c r="G98" i="108"/>
  <c r="H98" i="108"/>
  <c r="I98" i="108"/>
  <c r="J98" i="108"/>
  <c r="J98" i="111" s="1"/>
  <c r="K98" i="108"/>
  <c r="L98" i="108"/>
  <c r="M98" i="108"/>
  <c r="N98" i="108"/>
  <c r="C99" i="108"/>
  <c r="D99" i="108"/>
  <c r="E99" i="108"/>
  <c r="F99" i="108"/>
  <c r="F99" i="111" s="1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X33" i="108" s="1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U22" i="108" s="1"/>
  <c r="F58" i="108"/>
  <c r="G58" i="108"/>
  <c r="W22" i="108" s="1"/>
  <c r="H58" i="108"/>
  <c r="X22" i="108" s="1"/>
  <c r="I58" i="108"/>
  <c r="Y22" i="108" s="1"/>
  <c r="J58" i="108"/>
  <c r="K58" i="108"/>
  <c r="AA22" i="108" s="1"/>
  <c r="L58" i="108"/>
  <c r="AB22" i="108" s="1"/>
  <c r="M58" i="108"/>
  <c r="AC22" i="108" s="1"/>
  <c r="N58" i="108"/>
  <c r="C58" i="108"/>
  <c r="C59" i="107"/>
  <c r="D59" i="107"/>
  <c r="E59" i="107"/>
  <c r="F59" i="107"/>
  <c r="G59" i="107"/>
  <c r="H59" i="107"/>
  <c r="I59" i="107"/>
  <c r="J59" i="107"/>
  <c r="K59" i="107"/>
  <c r="L59" i="107"/>
  <c r="M59" i="107"/>
  <c r="N59" i="107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M65" i="111" s="1"/>
  <c r="N65" i="107"/>
  <c r="C66" i="107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I68" i="111" s="1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E71" i="107"/>
  <c r="E71" i="111" s="1"/>
  <c r="O71" i="111" s="1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M73" i="111" s="1"/>
  <c r="N73" i="107"/>
  <c r="C74" i="107"/>
  <c r="D74" i="107"/>
  <c r="E74" i="107"/>
  <c r="F74" i="107"/>
  <c r="G74" i="107"/>
  <c r="H74" i="107"/>
  <c r="I74" i="107"/>
  <c r="J74" i="107"/>
  <c r="K74" i="107"/>
  <c r="L74" i="107"/>
  <c r="M74" i="107"/>
  <c r="N74" i="107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I76" i="111" s="1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E79" i="107"/>
  <c r="E79" i="111" s="1"/>
  <c r="F79" i="107"/>
  <c r="G79" i="107"/>
  <c r="H79" i="107"/>
  <c r="I79" i="107"/>
  <c r="J79" i="107"/>
  <c r="K79" i="107"/>
  <c r="L79" i="107"/>
  <c r="M79" i="107"/>
  <c r="N79" i="107"/>
  <c r="C80" i="107"/>
  <c r="D80" i="107"/>
  <c r="E80" i="107"/>
  <c r="F80" i="107"/>
  <c r="G80" i="107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M81" i="111" s="1"/>
  <c r="N81" i="107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D83" i="107"/>
  <c r="E83" i="107"/>
  <c r="F83" i="107"/>
  <c r="G83" i="107"/>
  <c r="H83" i="107"/>
  <c r="I83" i="107"/>
  <c r="J83" i="107"/>
  <c r="K83" i="107"/>
  <c r="L83" i="107"/>
  <c r="M83" i="107"/>
  <c r="N83" i="107"/>
  <c r="C84" i="107"/>
  <c r="D84" i="107"/>
  <c r="E84" i="107"/>
  <c r="F84" i="107"/>
  <c r="G84" i="107"/>
  <c r="H84" i="107"/>
  <c r="I84" i="107"/>
  <c r="I84" i="111" s="1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E87" i="107"/>
  <c r="E87" i="111" s="1"/>
  <c r="F87" i="107"/>
  <c r="G87" i="107"/>
  <c r="H87" i="107"/>
  <c r="I87" i="107"/>
  <c r="J87" i="107"/>
  <c r="K87" i="107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D89" i="107"/>
  <c r="E89" i="107"/>
  <c r="F89" i="107"/>
  <c r="G89" i="107"/>
  <c r="H89" i="107"/>
  <c r="I89" i="107"/>
  <c r="J89" i="107"/>
  <c r="K89" i="107"/>
  <c r="L89" i="107"/>
  <c r="M89" i="107"/>
  <c r="M89" i="111" s="1"/>
  <c r="N89" i="107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D91" i="107"/>
  <c r="E91" i="107"/>
  <c r="F91" i="107"/>
  <c r="G91" i="107"/>
  <c r="H91" i="107"/>
  <c r="I91" i="107"/>
  <c r="J91" i="107"/>
  <c r="K91" i="107"/>
  <c r="L91" i="107"/>
  <c r="M91" i="107"/>
  <c r="N91" i="107"/>
  <c r="C92" i="107"/>
  <c r="D92" i="107"/>
  <c r="E92" i="107"/>
  <c r="F92" i="107"/>
  <c r="G92" i="107"/>
  <c r="H92" i="107"/>
  <c r="I92" i="107"/>
  <c r="I92" i="111" s="1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G94" i="107"/>
  <c r="H94" i="107"/>
  <c r="I94" i="107"/>
  <c r="J94" i="107"/>
  <c r="K94" i="107"/>
  <c r="L94" i="107"/>
  <c r="M94" i="107"/>
  <c r="N94" i="107"/>
  <c r="C95" i="107"/>
  <c r="D95" i="107"/>
  <c r="E95" i="107"/>
  <c r="E95" i="111" s="1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M97" i="111" s="1"/>
  <c r="N97" i="107"/>
  <c r="C98" i="107"/>
  <c r="D98" i="107"/>
  <c r="E98" i="107"/>
  <c r="F98" i="107"/>
  <c r="G98" i="107"/>
  <c r="H98" i="107"/>
  <c r="I98" i="107"/>
  <c r="J98" i="107"/>
  <c r="K98" i="107"/>
  <c r="L98" i="107"/>
  <c r="M98" i="107"/>
  <c r="N98" i="107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C105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E58" i="107"/>
  <c r="F58" i="107"/>
  <c r="V22" i="107" s="1"/>
  <c r="G58" i="107"/>
  <c r="W22" i="107" s="1"/>
  <c r="H58" i="107"/>
  <c r="I58" i="107"/>
  <c r="J58" i="107"/>
  <c r="Z22" i="107" s="1"/>
  <c r="K58" i="107"/>
  <c r="AA22" i="107" s="1"/>
  <c r="L58" i="107"/>
  <c r="M58" i="107"/>
  <c r="N58" i="107"/>
  <c r="AD22" i="107" s="1"/>
  <c r="C58" i="107"/>
  <c r="C59" i="111"/>
  <c r="D59" i="111"/>
  <c r="E59" i="111"/>
  <c r="G59" i="111"/>
  <c r="H59" i="111"/>
  <c r="I59" i="111"/>
  <c r="J59" i="111"/>
  <c r="K59" i="111"/>
  <c r="L59" i="111"/>
  <c r="M59" i="111"/>
  <c r="C60" i="111"/>
  <c r="D60" i="111"/>
  <c r="E60" i="111"/>
  <c r="F60" i="111"/>
  <c r="G60" i="111"/>
  <c r="H60" i="111"/>
  <c r="I60" i="111"/>
  <c r="K60" i="111"/>
  <c r="L60" i="111"/>
  <c r="M60" i="111"/>
  <c r="N60" i="111"/>
  <c r="C61" i="111"/>
  <c r="D61" i="111"/>
  <c r="E61" i="111"/>
  <c r="G61" i="111"/>
  <c r="H61" i="111"/>
  <c r="I61" i="111"/>
  <c r="J61" i="111"/>
  <c r="K61" i="111"/>
  <c r="L61" i="111"/>
  <c r="M61" i="111"/>
  <c r="C62" i="111"/>
  <c r="D62" i="111"/>
  <c r="E62" i="111"/>
  <c r="F62" i="111"/>
  <c r="G62" i="111"/>
  <c r="H62" i="111"/>
  <c r="I62" i="111"/>
  <c r="K62" i="111"/>
  <c r="L62" i="111"/>
  <c r="M62" i="111"/>
  <c r="N62" i="111"/>
  <c r="C63" i="111"/>
  <c r="D63" i="111"/>
  <c r="E63" i="111"/>
  <c r="G63" i="111"/>
  <c r="H63" i="111"/>
  <c r="I63" i="111"/>
  <c r="J63" i="111"/>
  <c r="K63" i="111"/>
  <c r="L63" i="111"/>
  <c r="M63" i="111"/>
  <c r="C64" i="111"/>
  <c r="D64" i="111"/>
  <c r="E64" i="111"/>
  <c r="F64" i="111"/>
  <c r="G64" i="111"/>
  <c r="H64" i="111"/>
  <c r="I64" i="111"/>
  <c r="K64" i="111"/>
  <c r="L64" i="111"/>
  <c r="M64" i="111"/>
  <c r="N64" i="111"/>
  <c r="C65" i="111"/>
  <c r="D65" i="111"/>
  <c r="E65" i="111"/>
  <c r="G65" i="111"/>
  <c r="H65" i="111"/>
  <c r="I65" i="111"/>
  <c r="J65" i="111"/>
  <c r="K65" i="111"/>
  <c r="L65" i="111"/>
  <c r="C66" i="111"/>
  <c r="D66" i="111"/>
  <c r="E66" i="111"/>
  <c r="F66" i="111"/>
  <c r="G66" i="111"/>
  <c r="H66" i="111"/>
  <c r="I66" i="111"/>
  <c r="K66" i="111"/>
  <c r="L66" i="111"/>
  <c r="M66" i="111"/>
  <c r="N66" i="111"/>
  <c r="C67" i="111"/>
  <c r="D67" i="111"/>
  <c r="E67" i="111"/>
  <c r="G67" i="111"/>
  <c r="H67" i="111"/>
  <c r="I67" i="111"/>
  <c r="J67" i="111"/>
  <c r="K67" i="111"/>
  <c r="L67" i="111"/>
  <c r="M67" i="111"/>
  <c r="C68" i="111"/>
  <c r="D68" i="111"/>
  <c r="E68" i="111"/>
  <c r="F68" i="111"/>
  <c r="G68" i="111"/>
  <c r="H68" i="111"/>
  <c r="K68" i="111"/>
  <c r="L68" i="111"/>
  <c r="M68" i="111"/>
  <c r="N68" i="111"/>
  <c r="C69" i="111"/>
  <c r="D69" i="111"/>
  <c r="E69" i="111"/>
  <c r="G69" i="111"/>
  <c r="H69" i="111"/>
  <c r="I69" i="111"/>
  <c r="J69" i="111"/>
  <c r="K69" i="111"/>
  <c r="L69" i="111"/>
  <c r="M69" i="111"/>
  <c r="C70" i="111"/>
  <c r="D70" i="111"/>
  <c r="E70" i="111"/>
  <c r="F70" i="111"/>
  <c r="G70" i="111"/>
  <c r="H70" i="111"/>
  <c r="I70" i="111"/>
  <c r="K70" i="111"/>
  <c r="L70" i="111"/>
  <c r="M70" i="111"/>
  <c r="N70" i="111"/>
  <c r="C71" i="111"/>
  <c r="D71" i="111"/>
  <c r="G71" i="111"/>
  <c r="H71" i="111"/>
  <c r="I71" i="111"/>
  <c r="J71" i="111"/>
  <c r="K71" i="111"/>
  <c r="L71" i="111"/>
  <c r="M71" i="111"/>
  <c r="C72" i="111"/>
  <c r="D72" i="111"/>
  <c r="E72" i="111"/>
  <c r="F72" i="111"/>
  <c r="G72" i="111"/>
  <c r="H72" i="111"/>
  <c r="I72" i="111"/>
  <c r="K72" i="111"/>
  <c r="L72" i="111"/>
  <c r="M72" i="111"/>
  <c r="N72" i="111"/>
  <c r="C73" i="111"/>
  <c r="D73" i="111"/>
  <c r="E73" i="111"/>
  <c r="G73" i="111"/>
  <c r="H73" i="111"/>
  <c r="I73" i="111"/>
  <c r="J73" i="111"/>
  <c r="K73" i="111"/>
  <c r="L73" i="111"/>
  <c r="C74" i="111"/>
  <c r="D74" i="111"/>
  <c r="E74" i="111"/>
  <c r="F74" i="111"/>
  <c r="G74" i="111"/>
  <c r="H74" i="111"/>
  <c r="I74" i="111"/>
  <c r="K74" i="111"/>
  <c r="L74" i="111"/>
  <c r="M74" i="111"/>
  <c r="N74" i="111"/>
  <c r="AD26" i="111" s="1"/>
  <c r="C75" i="111"/>
  <c r="D75" i="111"/>
  <c r="E75" i="111"/>
  <c r="G75" i="111"/>
  <c r="H75" i="111"/>
  <c r="I75" i="111"/>
  <c r="J75" i="111"/>
  <c r="K75" i="111"/>
  <c r="L75" i="111"/>
  <c r="M75" i="111"/>
  <c r="C76" i="111"/>
  <c r="D76" i="111"/>
  <c r="E76" i="111"/>
  <c r="F76" i="111"/>
  <c r="G76" i="111"/>
  <c r="H76" i="111"/>
  <c r="K76" i="111"/>
  <c r="L76" i="111"/>
  <c r="M76" i="111"/>
  <c r="N76" i="111"/>
  <c r="C77" i="111"/>
  <c r="D77" i="111"/>
  <c r="E77" i="111"/>
  <c r="G77" i="111"/>
  <c r="H77" i="111"/>
  <c r="I77" i="111"/>
  <c r="J77" i="111"/>
  <c r="K77" i="111"/>
  <c r="L77" i="111"/>
  <c r="M77" i="111"/>
  <c r="C78" i="111"/>
  <c r="D78" i="111"/>
  <c r="E78" i="111"/>
  <c r="F78" i="111"/>
  <c r="G78" i="111"/>
  <c r="H78" i="111"/>
  <c r="I78" i="111"/>
  <c r="K78" i="111"/>
  <c r="L78" i="111"/>
  <c r="M78" i="111"/>
  <c r="N78" i="111"/>
  <c r="C79" i="111"/>
  <c r="D79" i="111"/>
  <c r="G79" i="111"/>
  <c r="H79" i="111"/>
  <c r="I79" i="111"/>
  <c r="J79" i="111"/>
  <c r="K79" i="111"/>
  <c r="L79" i="111"/>
  <c r="M79" i="111"/>
  <c r="C80" i="111"/>
  <c r="D80" i="111"/>
  <c r="E80" i="111"/>
  <c r="F80" i="111"/>
  <c r="G80" i="111"/>
  <c r="H80" i="111"/>
  <c r="I80" i="111"/>
  <c r="K80" i="111"/>
  <c r="L80" i="111"/>
  <c r="M80" i="111"/>
  <c r="N80" i="111"/>
  <c r="C81" i="111"/>
  <c r="D81" i="111"/>
  <c r="E81" i="111"/>
  <c r="G81" i="111"/>
  <c r="H81" i="111"/>
  <c r="I81" i="111"/>
  <c r="J81" i="111"/>
  <c r="K81" i="111"/>
  <c r="L81" i="111"/>
  <c r="C82" i="111"/>
  <c r="D82" i="111"/>
  <c r="E82" i="111"/>
  <c r="F82" i="111"/>
  <c r="G82" i="111"/>
  <c r="H82" i="111"/>
  <c r="X28" i="111" s="1"/>
  <c r="I82" i="111"/>
  <c r="K82" i="111"/>
  <c r="L82" i="111"/>
  <c r="M82" i="111"/>
  <c r="N82" i="111"/>
  <c r="AD28" i="111" s="1"/>
  <c r="C83" i="111"/>
  <c r="D83" i="111"/>
  <c r="E83" i="111"/>
  <c r="G83" i="111"/>
  <c r="H83" i="111"/>
  <c r="I83" i="111"/>
  <c r="J83" i="111"/>
  <c r="K83" i="111"/>
  <c r="L83" i="111"/>
  <c r="M83" i="111"/>
  <c r="C84" i="111"/>
  <c r="D84" i="111"/>
  <c r="E84" i="111"/>
  <c r="F84" i="111"/>
  <c r="G84" i="111"/>
  <c r="H84" i="111"/>
  <c r="K84" i="111"/>
  <c r="L84" i="111"/>
  <c r="M84" i="111"/>
  <c r="N84" i="111"/>
  <c r="C85" i="111"/>
  <c r="D85" i="111"/>
  <c r="E85" i="111"/>
  <c r="G85" i="111"/>
  <c r="H85" i="111"/>
  <c r="I85" i="111"/>
  <c r="J85" i="111"/>
  <c r="K85" i="111"/>
  <c r="L85" i="111"/>
  <c r="M85" i="111"/>
  <c r="C86" i="111"/>
  <c r="D86" i="111"/>
  <c r="E86" i="111"/>
  <c r="F86" i="111"/>
  <c r="G86" i="111"/>
  <c r="H86" i="111"/>
  <c r="I86" i="111"/>
  <c r="K86" i="111"/>
  <c r="L86" i="111"/>
  <c r="M86" i="111"/>
  <c r="N86" i="111"/>
  <c r="C87" i="111"/>
  <c r="D87" i="111"/>
  <c r="G87" i="111"/>
  <c r="H87" i="111"/>
  <c r="I87" i="111"/>
  <c r="J87" i="111"/>
  <c r="K87" i="111"/>
  <c r="L87" i="111"/>
  <c r="M87" i="111"/>
  <c r="C88" i="111"/>
  <c r="D88" i="111"/>
  <c r="E88" i="111"/>
  <c r="F88" i="111"/>
  <c r="G88" i="111"/>
  <c r="H88" i="111"/>
  <c r="I88" i="111"/>
  <c r="K88" i="111"/>
  <c r="L88" i="111"/>
  <c r="M88" i="111"/>
  <c r="N88" i="111"/>
  <c r="C89" i="111"/>
  <c r="D89" i="111"/>
  <c r="E89" i="111"/>
  <c r="G89" i="111"/>
  <c r="H89" i="111"/>
  <c r="I89" i="111"/>
  <c r="J89" i="111"/>
  <c r="K89" i="111"/>
  <c r="L89" i="111"/>
  <c r="C90" i="111"/>
  <c r="D90" i="111"/>
  <c r="E90" i="111"/>
  <c r="F90" i="111"/>
  <c r="G90" i="111"/>
  <c r="H90" i="111"/>
  <c r="I90" i="111"/>
  <c r="K90" i="111"/>
  <c r="L90" i="111"/>
  <c r="M90" i="111"/>
  <c r="N90" i="111"/>
  <c r="C91" i="111"/>
  <c r="D91" i="111"/>
  <c r="E91" i="111"/>
  <c r="G91" i="111"/>
  <c r="H91" i="111"/>
  <c r="I91" i="111"/>
  <c r="J91" i="111"/>
  <c r="K91" i="111"/>
  <c r="L91" i="111"/>
  <c r="M91" i="111"/>
  <c r="C92" i="111"/>
  <c r="D92" i="111"/>
  <c r="E92" i="111"/>
  <c r="F92" i="111"/>
  <c r="G92" i="111"/>
  <c r="H92" i="111"/>
  <c r="K92" i="111"/>
  <c r="L92" i="111"/>
  <c r="M92" i="111"/>
  <c r="N92" i="111"/>
  <c r="C93" i="111"/>
  <c r="D93" i="111"/>
  <c r="E93" i="111"/>
  <c r="G93" i="111"/>
  <c r="H93" i="111"/>
  <c r="I93" i="111"/>
  <c r="J93" i="111"/>
  <c r="K93" i="111"/>
  <c r="L93" i="111"/>
  <c r="M93" i="111"/>
  <c r="C94" i="111"/>
  <c r="D94" i="111"/>
  <c r="E94" i="111"/>
  <c r="F94" i="111"/>
  <c r="G94" i="111"/>
  <c r="H94" i="111"/>
  <c r="I94" i="111"/>
  <c r="K94" i="111"/>
  <c r="L94" i="111"/>
  <c r="M94" i="111"/>
  <c r="N94" i="111"/>
  <c r="C95" i="111"/>
  <c r="D95" i="111"/>
  <c r="G95" i="111"/>
  <c r="H95" i="111"/>
  <c r="I95" i="111"/>
  <c r="J95" i="111"/>
  <c r="K95" i="111"/>
  <c r="L95" i="111"/>
  <c r="M95" i="111"/>
  <c r="C96" i="111"/>
  <c r="D96" i="111"/>
  <c r="E96" i="111"/>
  <c r="F96" i="111"/>
  <c r="G96" i="111"/>
  <c r="H96" i="111"/>
  <c r="I96" i="111"/>
  <c r="K96" i="111"/>
  <c r="L96" i="111"/>
  <c r="M96" i="111"/>
  <c r="N96" i="111"/>
  <c r="C97" i="111"/>
  <c r="D97" i="111"/>
  <c r="E97" i="111"/>
  <c r="G97" i="111"/>
  <c r="H97" i="111"/>
  <c r="I97" i="111"/>
  <c r="J97" i="111"/>
  <c r="K97" i="111"/>
  <c r="L97" i="111"/>
  <c r="C98" i="111"/>
  <c r="D98" i="111"/>
  <c r="E98" i="111"/>
  <c r="F98" i="111"/>
  <c r="G98" i="111"/>
  <c r="H98" i="111"/>
  <c r="X32" i="111" s="1"/>
  <c r="I98" i="111"/>
  <c r="K98" i="111"/>
  <c r="L98" i="111"/>
  <c r="M98" i="111"/>
  <c r="N98" i="111"/>
  <c r="C99" i="111"/>
  <c r="D99" i="111"/>
  <c r="E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C103" i="111"/>
  <c r="O103" i="111" s="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V22" i="111" s="1"/>
  <c r="G58" i="111"/>
  <c r="H58" i="111"/>
  <c r="I58" i="111"/>
  <c r="Y22" i="111" s="1"/>
  <c r="J58" i="111"/>
  <c r="Z22" i="111" s="1"/>
  <c r="K58" i="111"/>
  <c r="L58" i="111"/>
  <c r="M58" i="111"/>
  <c r="N58" i="111"/>
  <c r="AD22" i="111" s="1"/>
  <c r="C58" i="111"/>
  <c r="Y23" i="111" l="1"/>
  <c r="V32" i="111"/>
  <c r="V28" i="111"/>
  <c r="V24" i="111"/>
  <c r="P80" i="107"/>
  <c r="Z33" i="111"/>
  <c r="Z29" i="111"/>
  <c r="Z27" i="111"/>
  <c r="Z25" i="111"/>
  <c r="W30" i="111"/>
  <c r="AC22" i="111"/>
  <c r="U22" i="111"/>
  <c r="V30" i="111"/>
  <c r="P91" i="108"/>
  <c r="O75" i="108"/>
  <c r="P59" i="108"/>
  <c r="AF26" i="108" s="1"/>
  <c r="AD32" i="111"/>
  <c r="Y30" i="111"/>
  <c r="AD30" i="111"/>
  <c r="X26" i="111"/>
  <c r="X24" i="111"/>
  <c r="Y22" i="107"/>
  <c r="O99" i="107"/>
  <c r="O91" i="107"/>
  <c r="X29" i="107"/>
  <c r="O83" i="107"/>
  <c r="AB26" i="107"/>
  <c r="O75" i="107"/>
  <c r="T24" i="107"/>
  <c r="O63" i="107"/>
  <c r="Z22" i="108"/>
  <c r="Y33" i="108"/>
  <c r="Y32" i="108"/>
  <c r="Y31" i="108"/>
  <c r="Y30" i="108"/>
  <c r="Y29" i="108"/>
  <c r="Y28" i="108"/>
  <c r="Y27" i="108"/>
  <c r="Y26" i="108"/>
  <c r="Y25" i="108"/>
  <c r="Y24" i="108"/>
  <c r="Y23" i="108"/>
  <c r="W25" i="111"/>
  <c r="P105" i="108"/>
  <c r="AB32" i="108"/>
  <c r="P99" i="108"/>
  <c r="P97" i="108"/>
  <c r="X31" i="108"/>
  <c r="T30" i="108"/>
  <c r="O89" i="108"/>
  <c r="X29" i="108"/>
  <c r="AB28" i="108"/>
  <c r="O83" i="108"/>
  <c r="O81" i="108"/>
  <c r="X27" i="108"/>
  <c r="AB26" i="108"/>
  <c r="P75" i="108"/>
  <c r="P73" i="108"/>
  <c r="AB24" i="108"/>
  <c r="P67" i="108"/>
  <c r="P65" i="108"/>
  <c r="X23" i="108"/>
  <c r="T22" i="108"/>
  <c r="V26" i="111"/>
  <c r="AD24" i="111"/>
  <c r="AD32" i="107"/>
  <c r="V32" i="107"/>
  <c r="AD30" i="107"/>
  <c r="V30" i="107"/>
  <c r="AD28" i="107"/>
  <c r="V28" i="107"/>
  <c r="AD26" i="107"/>
  <c r="V26" i="107"/>
  <c r="AD24" i="107"/>
  <c r="V24" i="107"/>
  <c r="P103" i="108"/>
  <c r="W33" i="108"/>
  <c r="P101" i="108"/>
  <c r="W32" i="108"/>
  <c r="P95" i="108"/>
  <c r="W31" i="108"/>
  <c r="P93" i="108"/>
  <c r="W30" i="108"/>
  <c r="P87" i="108"/>
  <c r="W29" i="108"/>
  <c r="P85" i="108"/>
  <c r="W28" i="108"/>
  <c r="P79" i="108"/>
  <c r="W27" i="108"/>
  <c r="P77" i="108"/>
  <c r="W26" i="108"/>
  <c r="P71" i="108"/>
  <c r="W25" i="108"/>
  <c r="P69" i="108"/>
  <c r="W24" i="108"/>
  <c r="P63" i="108"/>
  <c r="AF30" i="108" s="1"/>
  <c r="W23" i="108"/>
  <c r="P61" i="108"/>
  <c r="Z33" i="108"/>
  <c r="AD32" i="108"/>
  <c r="V32" i="108"/>
  <c r="Z31" i="108"/>
  <c r="AD30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AC22" i="107"/>
  <c r="U22" i="107"/>
  <c r="AC33" i="108"/>
  <c r="U33" i="108"/>
  <c r="AC32" i="108"/>
  <c r="U32" i="108"/>
  <c r="AC31" i="108"/>
  <c r="U31" i="108"/>
  <c r="AC30" i="108"/>
  <c r="U30" i="108"/>
  <c r="AC29" i="108"/>
  <c r="U29" i="108"/>
  <c r="AC28" i="108"/>
  <c r="U28" i="108"/>
  <c r="AC27" i="108"/>
  <c r="U27" i="108"/>
  <c r="AC26" i="108"/>
  <c r="U26" i="108"/>
  <c r="AC25" i="108"/>
  <c r="U25" i="108"/>
  <c r="AC24" i="108"/>
  <c r="U24" i="108"/>
  <c r="AC23" i="108"/>
  <c r="U23" i="108"/>
  <c r="AA23" i="111"/>
  <c r="Z33" i="107"/>
  <c r="Z31" i="107"/>
  <c r="Z29" i="107"/>
  <c r="Z27" i="107"/>
  <c r="Z25" i="107"/>
  <c r="Z23" i="107"/>
  <c r="AA33" i="108"/>
  <c r="AA32" i="108"/>
  <c r="S32" i="108"/>
  <c r="AA31" i="108"/>
  <c r="AA30" i="108"/>
  <c r="S30" i="108"/>
  <c r="AA29" i="108"/>
  <c r="AA28" i="108"/>
  <c r="S28" i="108"/>
  <c r="AA27" i="108"/>
  <c r="AA26" i="108"/>
  <c r="S26" i="108"/>
  <c r="AA25" i="108"/>
  <c r="AA24" i="108"/>
  <c r="S24" i="108"/>
  <c r="AA23" i="108"/>
  <c r="Y32" i="111"/>
  <c r="Y29" i="111"/>
  <c r="Y28" i="111"/>
  <c r="T33" i="111"/>
  <c r="T31" i="111"/>
  <c r="T29" i="111"/>
  <c r="T27" i="111"/>
  <c r="T25" i="111"/>
  <c r="AB32" i="107"/>
  <c r="AB30" i="107"/>
  <c r="AB28" i="107"/>
  <c r="T26" i="107"/>
  <c r="AB22" i="111"/>
  <c r="AB22" i="107"/>
  <c r="T22" i="107"/>
  <c r="O104" i="107"/>
  <c r="P102" i="107"/>
  <c r="O98" i="107"/>
  <c r="P96" i="107"/>
  <c r="P88" i="107"/>
  <c r="O80" i="107"/>
  <c r="O72" i="107"/>
  <c r="P70" i="107"/>
  <c r="P64" i="107"/>
  <c r="Y27" i="111"/>
  <c r="X30" i="111"/>
  <c r="AB33" i="111"/>
  <c r="AB31" i="111"/>
  <c r="AB29" i="111"/>
  <c r="AB27" i="111"/>
  <c r="AB25" i="111"/>
  <c r="O92" i="107"/>
  <c r="T30" i="107"/>
  <c r="T28" i="107"/>
  <c r="AB24" i="107"/>
  <c r="T22" i="111"/>
  <c r="X33" i="111"/>
  <c r="O87" i="111"/>
  <c r="X27" i="111"/>
  <c r="X25" i="111"/>
  <c r="X33" i="107"/>
  <c r="X27" i="107"/>
  <c r="X25" i="107"/>
  <c r="X23" i="107"/>
  <c r="T32" i="107"/>
  <c r="Y33" i="111"/>
  <c r="Y31" i="111"/>
  <c r="X31" i="111"/>
  <c r="X29" i="111"/>
  <c r="X23" i="111"/>
  <c r="X32" i="107"/>
  <c r="X31" i="107"/>
  <c r="X30" i="107"/>
  <c r="X24" i="107"/>
  <c r="X22" i="111"/>
  <c r="W33" i="111"/>
  <c r="W32" i="111"/>
  <c r="W31" i="111"/>
  <c r="W29" i="111"/>
  <c r="W28" i="111"/>
  <c r="O84" i="107"/>
  <c r="O76" i="107"/>
  <c r="X28" i="107"/>
  <c r="X26" i="107"/>
  <c r="P86" i="111"/>
  <c r="W24" i="111"/>
  <c r="X22" i="107"/>
  <c r="P103" i="107"/>
  <c r="W33" i="107"/>
  <c r="P101" i="107"/>
  <c r="P99" i="107"/>
  <c r="W32" i="107"/>
  <c r="P97" i="107"/>
  <c r="P95" i="107"/>
  <c r="W31" i="107"/>
  <c r="P93" i="107"/>
  <c r="P91" i="107"/>
  <c r="W30" i="107"/>
  <c r="P89" i="107"/>
  <c r="P87" i="107"/>
  <c r="W29" i="107"/>
  <c r="P85" i="107"/>
  <c r="P83" i="107"/>
  <c r="W28" i="107"/>
  <c r="P81" i="107"/>
  <c r="P79" i="107"/>
  <c r="W27" i="107"/>
  <c r="P77" i="107"/>
  <c r="P75" i="107"/>
  <c r="W26" i="107"/>
  <c r="P73" i="107"/>
  <c r="P71" i="107"/>
  <c r="W25" i="107"/>
  <c r="P69" i="107"/>
  <c r="P67" i="107"/>
  <c r="O67" i="107"/>
  <c r="W24" i="107"/>
  <c r="P65" i="107"/>
  <c r="O65" i="107"/>
  <c r="P63" i="107"/>
  <c r="AF30" i="107" s="1"/>
  <c r="W23" i="107"/>
  <c r="P61" i="107"/>
  <c r="P59" i="107"/>
  <c r="O59" i="107"/>
  <c r="O90" i="107"/>
  <c r="O82" i="107"/>
  <c r="O74" i="107"/>
  <c r="O61" i="107"/>
  <c r="AE28" i="107" s="1"/>
  <c r="P78" i="107"/>
  <c r="S22" i="108"/>
  <c r="P58" i="108"/>
  <c r="O58" i="108"/>
  <c r="AD33" i="108"/>
  <c r="V33" i="108"/>
  <c r="AD31" i="108"/>
  <c r="V31" i="108"/>
  <c r="AD29" i="108"/>
  <c r="V29" i="108"/>
  <c r="AD27" i="108"/>
  <c r="V27" i="108"/>
  <c r="AD25" i="108"/>
  <c r="V25" i="108"/>
  <c r="AD23" i="108"/>
  <c r="V23" i="108"/>
  <c r="O105" i="108"/>
  <c r="O73" i="108"/>
  <c r="P89" i="108"/>
  <c r="P105" i="107"/>
  <c r="S22" i="111"/>
  <c r="W22" i="111"/>
  <c r="AD33" i="111"/>
  <c r="V33" i="111"/>
  <c r="AD31" i="111"/>
  <c r="V31" i="111"/>
  <c r="AD29" i="111"/>
  <c r="V29" i="111"/>
  <c r="AD27" i="111"/>
  <c r="V27" i="111"/>
  <c r="AD25" i="111"/>
  <c r="V25" i="111"/>
  <c r="AD23" i="111"/>
  <c r="V23" i="111"/>
  <c r="S22" i="107"/>
  <c r="P58" i="107"/>
  <c r="O58" i="107"/>
  <c r="AD33" i="107"/>
  <c r="V33" i="107"/>
  <c r="AD31" i="107"/>
  <c r="V31" i="107"/>
  <c r="AD29" i="107"/>
  <c r="V29" i="107"/>
  <c r="AD27" i="107"/>
  <c r="V27" i="107"/>
  <c r="AD25" i="107"/>
  <c r="V25" i="107"/>
  <c r="AD23" i="107"/>
  <c r="V23" i="107"/>
  <c r="O105" i="107"/>
  <c r="O97" i="107"/>
  <c r="O89" i="107"/>
  <c r="O81" i="107"/>
  <c r="O73" i="107"/>
  <c r="P104" i="107"/>
  <c r="P72" i="107"/>
  <c r="O99" i="108"/>
  <c r="O67" i="108"/>
  <c r="P83" i="108"/>
  <c r="T26" i="108"/>
  <c r="W27" i="111"/>
  <c r="AC33" i="111"/>
  <c r="U33" i="111"/>
  <c r="AC32" i="111"/>
  <c r="U32" i="111"/>
  <c r="AC31" i="111"/>
  <c r="U31" i="111"/>
  <c r="AC30" i="111"/>
  <c r="U30" i="111"/>
  <c r="AC29" i="111"/>
  <c r="U29" i="111"/>
  <c r="AC28" i="111"/>
  <c r="U28" i="111"/>
  <c r="AC27" i="111"/>
  <c r="U27" i="111"/>
  <c r="AC26" i="111"/>
  <c r="U26" i="111"/>
  <c r="AC25" i="111"/>
  <c r="U25" i="111"/>
  <c r="AC24" i="111"/>
  <c r="U24" i="111"/>
  <c r="AC23" i="111"/>
  <c r="U23" i="111"/>
  <c r="AC33" i="107"/>
  <c r="U33" i="107"/>
  <c r="AC32" i="107"/>
  <c r="U32" i="107"/>
  <c r="AC31" i="107"/>
  <c r="U31" i="107"/>
  <c r="AC30" i="107"/>
  <c r="U30" i="107"/>
  <c r="AC29" i="107"/>
  <c r="U29" i="107"/>
  <c r="AC28" i="107"/>
  <c r="U28" i="107"/>
  <c r="AC27" i="107"/>
  <c r="U27" i="107"/>
  <c r="AC26" i="107"/>
  <c r="U26" i="107"/>
  <c r="AC25" i="107"/>
  <c r="U25" i="107"/>
  <c r="AC24" i="107"/>
  <c r="U24" i="107"/>
  <c r="AC23" i="107"/>
  <c r="U23" i="107"/>
  <c r="O96" i="107"/>
  <c r="O88" i="107"/>
  <c r="AB33" i="108"/>
  <c r="T33" i="108"/>
  <c r="AB31" i="108"/>
  <c r="T31" i="108"/>
  <c r="AB29" i="108"/>
  <c r="T29" i="108"/>
  <c r="AB27" i="108"/>
  <c r="T27" i="108"/>
  <c r="AB25" i="108"/>
  <c r="T25" i="108"/>
  <c r="AB23" i="108"/>
  <c r="T23" i="108"/>
  <c r="O97" i="108"/>
  <c r="O65" i="108"/>
  <c r="AE32" i="108" s="1"/>
  <c r="P81" i="108"/>
  <c r="W23" i="111"/>
  <c r="P102" i="111"/>
  <c r="AB32" i="111"/>
  <c r="T32" i="111"/>
  <c r="AB30" i="111"/>
  <c r="T30" i="111"/>
  <c r="AB28" i="111"/>
  <c r="T28" i="111"/>
  <c r="AB26" i="111"/>
  <c r="T26" i="111"/>
  <c r="P70" i="111"/>
  <c r="AB24" i="111"/>
  <c r="T24" i="111"/>
  <c r="AB23" i="111"/>
  <c r="T23" i="111"/>
  <c r="AB33" i="107"/>
  <c r="T33" i="107"/>
  <c r="AB31" i="107"/>
  <c r="T31" i="107"/>
  <c r="AB29" i="107"/>
  <c r="T29" i="107"/>
  <c r="AB27" i="107"/>
  <c r="T27" i="107"/>
  <c r="AB25" i="107"/>
  <c r="T25" i="107"/>
  <c r="AB23" i="107"/>
  <c r="T23" i="107"/>
  <c r="O103" i="107"/>
  <c r="O95" i="107"/>
  <c r="O87" i="107"/>
  <c r="O79" i="107"/>
  <c r="O71" i="107"/>
  <c r="P104" i="108"/>
  <c r="P102" i="108"/>
  <c r="P100" i="108"/>
  <c r="P96" i="108"/>
  <c r="P94" i="108"/>
  <c r="P92" i="108"/>
  <c r="P88" i="108"/>
  <c r="P86" i="108"/>
  <c r="P84" i="108"/>
  <c r="P80" i="108"/>
  <c r="P78" i="108"/>
  <c r="P76" i="108"/>
  <c r="P72" i="108"/>
  <c r="P70" i="108"/>
  <c r="P68" i="108"/>
  <c r="P64" i="108"/>
  <c r="P62" i="108"/>
  <c r="P60" i="108"/>
  <c r="O91" i="108"/>
  <c r="O59" i="108"/>
  <c r="T24" i="108"/>
  <c r="T32" i="108"/>
  <c r="S33" i="111"/>
  <c r="AA32" i="111"/>
  <c r="S32" i="111"/>
  <c r="AA31" i="111"/>
  <c r="S31" i="111"/>
  <c r="AA30" i="111"/>
  <c r="S30" i="111"/>
  <c r="AA29" i="111"/>
  <c r="S29" i="111"/>
  <c r="AA28" i="111"/>
  <c r="S28" i="111"/>
  <c r="AA27" i="111"/>
  <c r="S27" i="111"/>
  <c r="AA26" i="111"/>
  <c r="S26" i="111"/>
  <c r="AA25" i="111"/>
  <c r="S25" i="111"/>
  <c r="AA24" i="111"/>
  <c r="S24" i="111"/>
  <c r="S23" i="111"/>
  <c r="AA33" i="107"/>
  <c r="S33" i="107"/>
  <c r="P100" i="107"/>
  <c r="AA32" i="107"/>
  <c r="S32" i="107"/>
  <c r="P98" i="107"/>
  <c r="AA31" i="107"/>
  <c r="S31" i="107"/>
  <c r="P92" i="107"/>
  <c r="AA30" i="107"/>
  <c r="S30" i="107"/>
  <c r="P90" i="107"/>
  <c r="AA29" i="107"/>
  <c r="S29" i="107"/>
  <c r="P84" i="107"/>
  <c r="AA28" i="107"/>
  <c r="S28" i="107"/>
  <c r="P82" i="107"/>
  <c r="AA27" i="107"/>
  <c r="S27" i="107"/>
  <c r="P76" i="107"/>
  <c r="AA26" i="107"/>
  <c r="S26" i="107"/>
  <c r="P74" i="107"/>
  <c r="AA25" i="107"/>
  <c r="S25" i="107"/>
  <c r="P68" i="107"/>
  <c r="O68" i="107"/>
  <c r="AA24" i="107"/>
  <c r="S24" i="107"/>
  <c r="P66" i="107"/>
  <c r="O64" i="107"/>
  <c r="AA23" i="107"/>
  <c r="S23" i="107"/>
  <c r="O62" i="107"/>
  <c r="AE29" i="107" s="1"/>
  <c r="P60" i="107"/>
  <c r="AF27" i="107" s="1"/>
  <c r="O60" i="107"/>
  <c r="AE27" i="107" s="1"/>
  <c r="O102" i="107"/>
  <c r="O94" i="107"/>
  <c r="O86" i="107"/>
  <c r="O78" i="107"/>
  <c r="O70" i="107"/>
  <c r="P94" i="107"/>
  <c r="P62" i="107"/>
  <c r="AF29" i="107" s="1"/>
  <c r="Z32" i="108"/>
  <c r="Z30" i="108"/>
  <c r="Z28" i="108"/>
  <c r="Z26" i="108"/>
  <c r="Z24" i="108"/>
  <c r="W26" i="111"/>
  <c r="AA33" i="111"/>
  <c r="AA22" i="111"/>
  <c r="Z32" i="111"/>
  <c r="Z30" i="111"/>
  <c r="Z28" i="111"/>
  <c r="Z26" i="111"/>
  <c r="Z24" i="111"/>
  <c r="Z23" i="111"/>
  <c r="Z32" i="107"/>
  <c r="Z30" i="107"/>
  <c r="Z28" i="107"/>
  <c r="Z26" i="107"/>
  <c r="Z24" i="107"/>
  <c r="O101" i="107"/>
  <c r="O93" i="107"/>
  <c r="O85" i="107"/>
  <c r="O77" i="107"/>
  <c r="O69" i="107"/>
  <c r="Y26" i="111"/>
  <c r="Y25" i="111"/>
  <c r="Y24" i="111"/>
  <c r="Y33" i="107"/>
  <c r="Y32" i="107"/>
  <c r="Y31" i="107"/>
  <c r="Y30" i="107"/>
  <c r="Y29" i="107"/>
  <c r="Y28" i="107"/>
  <c r="Y27" i="107"/>
  <c r="Y26" i="107"/>
  <c r="Y25" i="107"/>
  <c r="Y24" i="107"/>
  <c r="Y23" i="107"/>
  <c r="O100" i="107"/>
  <c r="O66" i="107"/>
  <c r="AE33" i="107" s="1"/>
  <c r="P86" i="107"/>
  <c r="X32" i="108"/>
  <c r="X30" i="108"/>
  <c r="X28" i="108"/>
  <c r="X26" i="108"/>
  <c r="X24" i="108"/>
  <c r="O98" i="108"/>
  <c r="O90" i="108"/>
  <c r="O82" i="108"/>
  <c r="O74" i="108"/>
  <c r="O66" i="108"/>
  <c r="P98" i="108"/>
  <c r="P90" i="108"/>
  <c r="P82" i="108"/>
  <c r="P74" i="108"/>
  <c r="P66" i="108"/>
  <c r="O104" i="108"/>
  <c r="O96" i="108"/>
  <c r="O88" i="108"/>
  <c r="O80" i="108"/>
  <c r="O72" i="108"/>
  <c r="O64" i="108"/>
  <c r="S23" i="108"/>
  <c r="S25" i="108"/>
  <c r="S27" i="108"/>
  <c r="S29" i="108"/>
  <c r="S31" i="108"/>
  <c r="S33" i="108"/>
  <c r="O103" i="108"/>
  <c r="O95" i="108"/>
  <c r="O87" i="108"/>
  <c r="O79" i="108"/>
  <c r="O71" i="108"/>
  <c r="O63" i="108"/>
  <c r="O102" i="108"/>
  <c r="O94" i="108"/>
  <c r="O86" i="108"/>
  <c r="O78" i="108"/>
  <c r="O70" i="108"/>
  <c r="O62" i="108"/>
  <c r="O101" i="108"/>
  <c r="O93" i="108"/>
  <c r="O85" i="108"/>
  <c r="O77" i="108"/>
  <c r="O69" i="108"/>
  <c r="O61" i="108"/>
  <c r="O100" i="108"/>
  <c r="O92" i="108"/>
  <c r="O84" i="108"/>
  <c r="O76" i="108"/>
  <c r="O68" i="108"/>
  <c r="O60" i="108"/>
  <c r="O95" i="111"/>
  <c r="P94" i="111"/>
  <c r="O79" i="111"/>
  <c r="P78" i="111"/>
  <c r="O63" i="111"/>
  <c r="P62" i="111"/>
  <c r="O99" i="111"/>
  <c r="P98" i="111"/>
  <c r="O91" i="111"/>
  <c r="P90" i="111"/>
  <c r="O83" i="111"/>
  <c r="P82" i="111"/>
  <c r="O75" i="111"/>
  <c r="P74" i="111"/>
  <c r="O67" i="111"/>
  <c r="P66" i="111"/>
  <c r="O59" i="111"/>
  <c r="P105" i="111"/>
  <c r="O104" i="111"/>
  <c r="P103" i="111"/>
  <c r="O102" i="111"/>
  <c r="P101" i="111"/>
  <c r="O100" i="111"/>
  <c r="P99" i="111"/>
  <c r="O98" i="111"/>
  <c r="P97" i="111"/>
  <c r="O96" i="111"/>
  <c r="P95" i="111"/>
  <c r="O94" i="111"/>
  <c r="P93" i="111"/>
  <c r="O92" i="111"/>
  <c r="P91" i="111"/>
  <c r="O90" i="111"/>
  <c r="P89" i="111"/>
  <c r="O88" i="111"/>
  <c r="P87" i="111"/>
  <c r="O86" i="111"/>
  <c r="P85" i="111"/>
  <c r="O84" i="111"/>
  <c r="P83" i="111"/>
  <c r="O82" i="111"/>
  <c r="P81" i="111"/>
  <c r="O80" i="111"/>
  <c r="P79" i="111"/>
  <c r="O78" i="111"/>
  <c r="P77" i="111"/>
  <c r="O76" i="111"/>
  <c r="P75" i="111"/>
  <c r="O74" i="111"/>
  <c r="P73" i="111"/>
  <c r="O72" i="111"/>
  <c r="P71" i="111"/>
  <c r="O70" i="111"/>
  <c r="P69" i="111"/>
  <c r="O68" i="111"/>
  <c r="P67" i="111"/>
  <c r="O66" i="111"/>
  <c r="P65" i="111"/>
  <c r="O64" i="111"/>
  <c r="P63" i="111"/>
  <c r="O62" i="111"/>
  <c r="P61" i="111"/>
  <c r="O60" i="111"/>
  <c r="P59" i="111"/>
  <c r="O105" i="111"/>
  <c r="O101" i="111"/>
  <c r="O97" i="111"/>
  <c r="O93" i="111"/>
  <c r="O89" i="111"/>
  <c r="O85" i="111"/>
  <c r="O81" i="111"/>
  <c r="O77" i="111"/>
  <c r="O73" i="111"/>
  <c r="O69" i="111"/>
  <c r="O65" i="111"/>
  <c r="O61" i="111"/>
  <c r="P104" i="111"/>
  <c r="P100" i="111"/>
  <c r="P96" i="111"/>
  <c r="P92" i="111"/>
  <c r="P88" i="111"/>
  <c r="P84" i="111"/>
  <c r="P80" i="111"/>
  <c r="P76" i="111"/>
  <c r="P72" i="111"/>
  <c r="P68" i="111"/>
  <c r="P64" i="111"/>
  <c r="P60" i="111"/>
  <c r="P58" i="111"/>
  <c r="O58" i="111"/>
  <c r="AE32" i="107" l="1"/>
  <c r="AE30" i="107"/>
  <c r="AE28" i="108"/>
  <c r="AE31" i="108"/>
  <c r="AE26" i="108"/>
  <c r="AF32" i="107"/>
  <c r="AF32" i="108"/>
  <c r="AE29" i="108"/>
  <c r="AE25" i="107"/>
  <c r="AE27" i="108"/>
  <c r="AE31" i="107"/>
  <c r="AF27" i="108"/>
  <c r="AF25" i="107"/>
  <c r="AE25" i="108"/>
  <c r="AE26" i="107"/>
  <c r="AF31" i="107"/>
  <c r="AE33" i="108"/>
  <c r="AF33" i="107"/>
  <c r="AF29" i="108"/>
  <c r="AF25" i="108"/>
  <c r="AF26" i="107"/>
  <c r="AF28" i="108"/>
  <c r="AF33" i="108"/>
  <c r="AE30" i="108"/>
  <c r="AF31" i="108"/>
  <c r="AF28" i="107"/>
  <c r="D6" i="98"/>
  <c r="G6" i="98"/>
  <c r="K5" i="95"/>
  <c r="K6" i="94"/>
  <c r="C3" i="95"/>
  <c r="C3" i="94"/>
  <c r="K6" i="98" l="1"/>
  <c r="K6" i="99" s="1"/>
  <c r="K6" i="100" s="1"/>
  <c r="K6" i="101" s="1"/>
  <c r="K6" i="109" s="1"/>
  <c r="K6" i="105" s="1"/>
  <c r="K6" i="110" s="1"/>
  <c r="K6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G5" i="96"/>
  <c r="K6" i="95"/>
  <c r="G5" i="95"/>
  <c r="G5" i="94"/>
  <c r="G6" i="104"/>
  <c r="G6" i="108" s="1"/>
  <c r="G6" i="110"/>
  <c r="G6" i="109"/>
  <c r="G6" i="100"/>
  <c r="G6" i="103"/>
  <c r="G6" i="107" s="1"/>
  <c r="G6" i="105"/>
  <c r="G6" i="101"/>
  <c r="G6" i="99"/>
  <c r="G6" i="97"/>
  <c r="D6" i="104"/>
  <c r="D6" i="108" s="1"/>
  <c r="D6" i="110"/>
  <c r="D6" i="109"/>
  <c r="D6" i="100"/>
  <c r="D6" i="103"/>
  <c r="D6" i="107" s="1"/>
  <c r="D6" i="105"/>
  <c r="D6" i="101"/>
  <c r="D6" i="99"/>
  <c r="D6" i="97"/>
  <c r="D5" i="104"/>
  <c r="D5" i="110"/>
  <c r="D5" i="109"/>
  <c r="D5" i="100"/>
  <c r="D5" i="98"/>
  <c r="D5" i="96"/>
  <c r="D5" i="94"/>
  <c r="K6" i="107" l="1"/>
  <c r="K6" i="104"/>
  <c r="K6" i="108" s="1"/>
  <c r="K6" i="111" s="1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A19" i="103"/>
  <c r="Z19" i="103"/>
  <c r="Z27" i="103" s="1"/>
  <c r="Y19" i="103"/>
  <c r="X19" i="103"/>
  <c r="W19" i="103"/>
  <c r="W27" i="103" s="1"/>
  <c r="V19" i="103"/>
  <c r="U19" i="103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A19" i="97"/>
  <c r="Z19" i="97"/>
  <c r="Y19" i="97"/>
  <c r="X19" i="97"/>
  <c r="X27" i="97" s="1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7" l="1"/>
  <c r="AB27" i="97"/>
  <c r="S27" i="103"/>
  <c r="AA27" i="103"/>
  <c r="W39" i="105"/>
  <c r="S27" i="99"/>
  <c r="AA27" i="99"/>
  <c r="S39" i="101"/>
  <c r="T27" i="103"/>
  <c r="AB27" i="103"/>
  <c r="X39" i="105"/>
  <c r="V27" i="97"/>
  <c r="AD27" i="97"/>
  <c r="T27" i="99"/>
  <c r="U24" i="103"/>
  <c r="V27" i="103"/>
  <c r="AD27" i="103"/>
  <c r="U39" i="109"/>
  <c r="AA39" i="105"/>
  <c r="Z27" i="97"/>
  <c r="AD38" i="101"/>
  <c r="Y27" i="103"/>
  <c r="Z39" i="105"/>
  <c r="W27" i="99"/>
  <c r="W39" i="101"/>
  <c r="X27" i="103"/>
  <c r="Y39" i="109"/>
  <c r="AA39" i="101"/>
  <c r="AD39" i="105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D106" i="108" s="1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I106" i="107" s="1"/>
  <c r="J10" i="107"/>
  <c r="K10" i="107"/>
  <c r="L10" i="107"/>
  <c r="M10" i="107"/>
  <c r="N10" i="107"/>
  <c r="C10" i="107"/>
  <c r="H106" i="107" l="1"/>
  <c r="AF25" i="101"/>
  <c r="H106" i="108"/>
  <c r="L106" i="108"/>
  <c r="C106" i="108"/>
  <c r="Z26" i="95"/>
  <c r="J106" i="107"/>
  <c r="G106" i="107"/>
  <c r="L106" i="107"/>
  <c r="S21" i="107"/>
  <c r="K106" i="107"/>
  <c r="AF28" i="101"/>
  <c r="N106" i="108"/>
  <c r="J106" i="108"/>
  <c r="F106" i="108"/>
  <c r="M106" i="108"/>
  <c r="K106" i="108"/>
  <c r="I106" i="108"/>
  <c r="N106" i="107"/>
  <c r="AB26" i="103"/>
  <c r="G106" i="108"/>
  <c r="C106" i="107"/>
  <c r="F106" i="107"/>
  <c r="M106" i="107"/>
  <c r="E106" i="107"/>
  <c r="X23" i="103"/>
  <c r="E106" i="108"/>
  <c r="D106" i="107"/>
  <c r="T26" i="103"/>
  <c r="U38" i="109"/>
  <c r="AF32" i="101"/>
  <c r="S38" i="105"/>
  <c r="AB26" i="98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AE24" i="108" s="1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AF24" i="108" s="1"/>
  <c r="P55" i="108"/>
  <c r="AF22" i="108" s="1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AF23" i="108" s="1"/>
  <c r="O55" i="108"/>
  <c r="AE22" i="108" s="1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AE24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AF24" i="107" s="1"/>
  <c r="P56" i="107"/>
  <c r="O56" i="107"/>
  <c r="AE23" i="107" s="1"/>
  <c r="P55" i="107"/>
  <c r="AF22" i="107" s="1"/>
  <c r="O55" i="107"/>
  <c r="AE22" i="107" s="1"/>
  <c r="AC21" i="107"/>
  <c r="AA21" i="107"/>
  <c r="Y21" i="107"/>
  <c r="W21" i="107"/>
  <c r="U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23" i="107" l="1"/>
  <c r="S42" i="110"/>
  <c r="V41" i="107"/>
  <c r="W41" i="108"/>
  <c r="Y41" i="108"/>
  <c r="K106" i="111"/>
  <c r="S21" i="111"/>
  <c r="AD41" i="107"/>
  <c r="AE23" i="108"/>
  <c r="AD12" i="111"/>
  <c r="P106" i="107"/>
  <c r="AC41" i="108"/>
  <c r="AD41" i="108"/>
  <c r="N106" i="111"/>
  <c r="E106" i="111"/>
  <c r="AA41" i="107"/>
  <c r="AD39" i="107"/>
  <c r="S41" i="108"/>
  <c r="AA41" i="108"/>
  <c r="G106" i="111"/>
  <c r="I106" i="111"/>
  <c r="V41" i="108"/>
  <c r="M106" i="111"/>
  <c r="D106" i="111"/>
  <c r="T41" i="107"/>
  <c r="AB41" i="108"/>
  <c r="O57" i="111"/>
  <c r="C106" i="111"/>
  <c r="J106" i="111"/>
  <c r="U39" i="107"/>
  <c r="X41" i="107"/>
  <c r="U41" i="107"/>
  <c r="U41" i="108"/>
  <c r="Y34" i="108"/>
  <c r="T41" i="108"/>
  <c r="L106" i="111"/>
  <c r="V22" i="93"/>
  <c r="AE24" i="98"/>
  <c r="Z41" i="107"/>
  <c r="W41" i="107"/>
  <c r="O106" i="107"/>
  <c r="H108" i="107" s="1"/>
  <c r="Y41" i="107"/>
  <c r="AB41" i="107"/>
  <c r="AC41" i="107"/>
  <c r="AA42" i="110"/>
  <c r="Z41" i="108"/>
  <c r="F106" i="111"/>
  <c r="S41" i="107"/>
  <c r="P106" i="108"/>
  <c r="H107" i="108" s="1"/>
  <c r="O106" i="108"/>
  <c r="X41" i="108"/>
  <c r="H106" i="111"/>
  <c r="T13" i="111"/>
  <c r="V36" i="108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Y42" i="108" s="1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V40" i="108"/>
  <c r="Z35" i="108"/>
  <c r="U34" i="108"/>
  <c r="T40" i="108"/>
  <c r="S34" i="108"/>
  <c r="AF16" i="108"/>
  <c r="AA37" i="108"/>
  <c r="AA36" i="108"/>
  <c r="AB34" i="108"/>
  <c r="AB37" i="108"/>
  <c r="W40" i="108"/>
  <c r="W42" i="108" s="1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V42" i="107" s="1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Y41" i="111" l="1"/>
  <c r="Z42" i="108"/>
  <c r="V42" i="108"/>
  <c r="AD42" i="107"/>
  <c r="S42" i="107"/>
  <c r="S42" i="108"/>
  <c r="U42" i="108"/>
  <c r="AE41" i="107"/>
  <c r="AC41" i="111"/>
  <c r="T41" i="111"/>
  <c r="AC42" i="107"/>
  <c r="AA42" i="107"/>
  <c r="AB41" i="111"/>
  <c r="Z41" i="111"/>
  <c r="AA41" i="111"/>
  <c r="U41" i="111"/>
  <c r="V41" i="111"/>
  <c r="X42" i="108"/>
  <c r="AB42" i="107"/>
  <c r="T42" i="108"/>
  <c r="AF41" i="107"/>
  <c r="AF42" i="107" s="1"/>
  <c r="S37" i="111"/>
  <c r="S41" i="111"/>
  <c r="Y42" i="107"/>
  <c r="AB42" i="108"/>
  <c r="AD41" i="111"/>
  <c r="X41" i="111"/>
  <c r="T42" i="107"/>
  <c r="AD42" i="108"/>
  <c r="AE41" i="108"/>
  <c r="W42" i="107"/>
  <c r="U42" i="107"/>
  <c r="AC42" i="108"/>
  <c r="W41" i="111"/>
  <c r="W42" i="111" s="1"/>
  <c r="AF41" i="108"/>
  <c r="Z42" i="107"/>
  <c r="X42" i="107"/>
  <c r="AA42" i="108"/>
  <c r="AD37" i="111"/>
  <c r="X34" i="111"/>
  <c r="AD39" i="111"/>
  <c r="T34" i="111"/>
  <c r="W37" i="111"/>
  <c r="X36" i="111"/>
  <c r="Z39" i="111"/>
  <c r="AD38" i="111"/>
  <c r="V40" i="111"/>
  <c r="AA35" i="111"/>
  <c r="S34" i="111"/>
  <c r="T39" i="111"/>
  <c r="AC34" i="111"/>
  <c r="AD34" i="111"/>
  <c r="T37" i="111"/>
  <c r="AE15" i="111"/>
  <c r="AE12" i="111"/>
  <c r="AA36" i="111"/>
  <c r="AE14" i="111"/>
  <c r="AE18" i="111"/>
  <c r="Z37" i="111"/>
  <c r="T38" i="111"/>
  <c r="W36" i="111"/>
  <c r="Y40" i="111"/>
  <c r="Y42" i="111" s="1"/>
  <c r="U36" i="111"/>
  <c r="Z36" i="111"/>
  <c r="V35" i="111"/>
  <c r="AB40" i="111"/>
  <c r="X39" i="111"/>
  <c r="AB36" i="111"/>
  <c r="AE20" i="111"/>
  <c r="AE10" i="111"/>
  <c r="X35" i="111"/>
  <c r="S40" i="111"/>
  <c r="S42" i="111" s="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E21" i="111"/>
  <c r="W38" i="111"/>
  <c r="X38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C36" i="111"/>
  <c r="Y36" i="111"/>
  <c r="U37" i="111"/>
  <c r="AA39" i="111"/>
  <c r="S39" i="111"/>
  <c r="S38" i="111"/>
  <c r="Y38" i="111"/>
  <c r="O106" i="111"/>
  <c r="K108" i="111" s="1"/>
  <c r="P106" i="111"/>
  <c r="N107" i="111" s="1"/>
  <c r="W39" i="111"/>
  <c r="AE17" i="111"/>
  <c r="AC38" i="111"/>
  <c r="U38" i="111"/>
  <c r="AC40" i="111"/>
  <c r="Y37" i="111"/>
  <c r="AE16" i="111"/>
  <c r="Y35" i="111"/>
  <c r="S35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A42" i="111" l="1"/>
  <c r="X42" i="111"/>
  <c r="Z42" i="111"/>
  <c r="AF42" i="108"/>
  <c r="AB42" i="111"/>
  <c r="AE41" i="111"/>
  <c r="AE42" i="111" s="1"/>
  <c r="AD42" i="111"/>
  <c r="V42" i="111"/>
  <c r="T42" i="111"/>
  <c r="U42" i="111"/>
  <c r="AC42" i="111"/>
  <c r="AE42" i="108"/>
  <c r="AE42" i="107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N108" i="111"/>
  <c r="H108" i="111"/>
  <c r="C108" i="111"/>
  <c r="AE35" i="111"/>
  <c r="AE36" i="111"/>
  <c r="M107" i="111"/>
  <c r="D107" i="111"/>
  <c r="L107" i="111"/>
  <c r="G107" i="111"/>
  <c r="J107" i="111"/>
  <c r="AE38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<sst xmlns="http://schemas.openxmlformats.org/spreadsheetml/2006/main" count="2340" uniqueCount="181">
  <si>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</si>
  <si>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</si>
  <si>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</si>
  <si>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</si>
  <si>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</si>
  <si>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</si>
  <si>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</si>
  <si>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</si>
  <si>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</si>
  <si>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</si>
  <si>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</si>
  <si>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</si>
  <si>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</si>
  <si>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</si>
  <si>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</si>
  <si>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</si>
  <si>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</si>
  <si>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</si>
  <si>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</si>
  <si>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</si>
  <si>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</si>
  <si>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</si>
  <si>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</si>
  <si>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</si>
  <si>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</si>
  <si>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</si>
  <si>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</si>
  <si>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</si>
  <si>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</si>
  <si>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</si>
  <si>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</si>
  <si>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</si>
  <si>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</si>
  <si>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</si>
  <si>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</si>
  <si>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</si>
  <si>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</si>
  <si>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</si>
  <si>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</si>
  <si>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</si>
  <si>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</si>
  <si>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</si>
  <si>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</si>
  <si>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</si>
  <si>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</si>
  <si>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</si>
  <si>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</si>
  <si>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</si>
  <si>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</si>
  <si>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</si>
  <si>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</si>
  <si>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</si>
  <si>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</si>
  <si>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</si>
  <si>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</si>
  <si>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</si>
  <si>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</si>
  <si>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</si>
  <si>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</si>
  <si>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</si>
  <si>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</si>
  <si>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</si>
  <si>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</si>
  <si>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</si>
  <si>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</si>
  <si>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</si>
  <si>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</si>
  <si>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</si>
  <si>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</si>
  <si>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</si>
  <si>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</si>
  <si>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</si>
  <si>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</si>
  <si>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</si>
  <si>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</si>
  <si>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</si>
  <si>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</si>
  <si>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</si>
  <si>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</si>
  <si>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</si>
  <si>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</si>
  <si>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</si>
  <si>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</si>
  <si>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</si>
  <si>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</si>
  <si>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</si>
  <si>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</si>
  <si>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</si>
  <si>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</si>
  <si>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</si>
  <si>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</si>
  <si>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</si>
  <si>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</si>
  <si>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</si>
  <si>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</si>
  <si>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</si>
  <si>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</si>
  <si>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</si>
  <si>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</si>
  <si>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</si>
  <si>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</si>
  <si>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</si>
  <si>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</si>
  <si>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</si>
  <si>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</si>
  <si>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</si>
  <si>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</si>
  <si>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</si>
  <si>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</si>
  <si>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</si>
  <si>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</si>
  <si>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</si>
  <si>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</si>
  <si>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</si>
  <si>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</si>
  <si>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</si>
  <si>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</si>
  <si>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</si>
  <si>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</si>
  <si>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</si>
  <si>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</si>
  <si>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</si>
  <si>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</si>
  <si>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</si>
  <si>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</si>
  <si>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</si>
  <si>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</si>
  <si>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</si>
  <si>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</si>
  <si>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</si>
  <si>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</si>
  <si>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</si>
  <si>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</si>
  <si>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</si>
  <si>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</si>
  <si>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</si>
  <si>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</si>
  <si>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</si>
  <si>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</si>
  <si>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</si>
  <si>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</si>
  <si>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</si>
  <si>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</si>
  <si>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</si>
  <si>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</si>
  <si>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</si>
  <si>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</si>
  <si>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</si>
  <si>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</si>
  <si>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</si>
  <si>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</si>
  <si>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</si>
  <si>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</si>
  <si>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</si>
  <si>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</si>
  <si>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</si>
  <si>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</si>
  <si>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</si>
  <si>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</si>
  <si>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</si>
  <si>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</si>
  <si>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</si>
  <si>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</si>
  <si>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</si>
  <si>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</si>
  <si>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</si>
  <si>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</si>
  <si>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</si>
  <si>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</si>
  <si>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</si>
  <si>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Oloya Felix</t>
  </si>
  <si>
    <t>Natete</t>
  </si>
  <si>
    <t>Total Wakaliga</t>
  </si>
  <si>
    <t>Rubaga</t>
  </si>
  <si>
    <t>Osigai Geoge Brian</t>
  </si>
  <si>
    <t>oloya Felix</t>
  </si>
  <si>
    <t>Mujuni peter</t>
  </si>
  <si>
    <t>MCC-CI-STN08-WAKALIGA ROAD</t>
  </si>
  <si>
    <t>Mujuni Peter</t>
  </si>
  <si>
    <t>Osigai Geuge Brian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</si>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</sst>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9" xfId="0" applyFont="1" applyFill="1" applyBorder="1" applyAlignment="1">
      <alignment horizontal="center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Natete-Rubaga'!$AE$9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Natete-Rubaga'!$AE$10:$AE$21</c:f>
              <c:numCache>
                <c:formatCode>0</c:formatCode>
                <c:ptCount val="12"/>
                <c:pt idx="0">
                  <c:v>331</c:v>
                </c:pt>
                <c:pt idx="1">
                  <c:v>555</c:v>
                </c:pt>
                <c:pt idx="2">
                  <c:v>677</c:v>
                </c:pt>
                <c:pt idx="3">
                  <c:v>521</c:v>
                </c:pt>
                <c:pt idx="4">
                  <c:v>381</c:v>
                </c:pt>
                <c:pt idx="5">
                  <c:v>371</c:v>
                </c:pt>
                <c:pt idx="6">
                  <c:v>315</c:v>
                </c:pt>
                <c:pt idx="7">
                  <c:v>299</c:v>
                </c:pt>
                <c:pt idx="8">
                  <c:v>298</c:v>
                </c:pt>
                <c:pt idx="9">
                  <c:v>375</c:v>
                </c:pt>
                <c:pt idx="10">
                  <c:v>430</c:v>
                </c:pt>
                <c:pt idx="11">
                  <c:v>430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Natete-Rubaga'!$AF$9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Natete-Rubaga'!$AF$10:$AF$21</c:f>
              <c:numCache>
                <c:formatCode>0</c:formatCode>
                <c:ptCount val="12"/>
                <c:pt idx="0">
                  <c:v>1174</c:v>
                </c:pt>
                <c:pt idx="1">
                  <c:v>2565</c:v>
                </c:pt>
                <c:pt idx="2">
                  <c:v>1825</c:v>
                </c:pt>
                <c:pt idx="3">
                  <c:v>1286</c:v>
                </c:pt>
                <c:pt idx="4">
                  <c:v>1237</c:v>
                </c:pt>
                <c:pt idx="5">
                  <c:v>969</c:v>
                </c:pt>
                <c:pt idx="6">
                  <c:v>780</c:v>
                </c:pt>
                <c:pt idx="7">
                  <c:v>715</c:v>
                </c:pt>
                <c:pt idx="8">
                  <c:v>562</c:v>
                </c:pt>
                <c:pt idx="9">
                  <c:v>979</c:v>
                </c:pt>
                <c:pt idx="10">
                  <c:v>1100</c:v>
                </c:pt>
                <c:pt idx="11">
                  <c:v>835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70144"/>
        <c:axId val="-291663072"/>
      </c:lineChart>
      <c:catAx>
        <c:axId val="-291670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3072"/>
        <c:crosses val="autoZero"/>
        <c:auto val="1"/>
        <c:lblAlgn val="ctr"/>
        <c:lblOffset val="100"/>
        <c:noMultiLvlLbl val="0"/>
      </c:catAx>
      <c:valAx>
        <c:axId val="-29166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Natete-Rubaga'!$C$59:$N$59</c:f>
              <c:numCache>
                <c:formatCode>0.0%</c:formatCode>
                <c:ptCount val="12"/>
                <c:pt idx="0">
                  <c:v>0.12148000285164326</c:v>
                </c:pt>
                <c:pt idx="1">
                  <c:v>2.345476580879732E-2</c:v>
                </c:pt>
                <c:pt idx="2">
                  <c:v>1.0907535467313038E-2</c:v>
                </c:pt>
                <c:pt idx="3">
                  <c:v>0.17352249233620873</c:v>
                </c:pt>
                <c:pt idx="4">
                  <c:v>2.9942254223996579E-3</c:v>
                </c:pt>
                <c:pt idx="5">
                  <c:v>4.4200470521137802E-3</c:v>
                </c:pt>
                <c:pt idx="6">
                  <c:v>1.0123333570970271E-2</c:v>
                </c:pt>
                <c:pt idx="7">
                  <c:v>6.5587794966849647E-3</c:v>
                </c:pt>
                <c:pt idx="8">
                  <c:v>1.2119483852570043E-3</c:v>
                </c:pt>
                <c:pt idx="9">
                  <c:v>5.7032865188564913E-4</c:v>
                </c:pt>
                <c:pt idx="10">
                  <c:v>0.6447565409567263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Natete-Rubaga'!$C$60:$N$60</c:f>
              <c:numCache>
                <c:formatCode>0.00%</c:formatCode>
                <c:ptCount val="12"/>
                <c:pt idx="0">
                  <c:v>0.34196267308850092</c:v>
                </c:pt>
                <c:pt idx="1">
                  <c:v>6.6024483243026288E-2</c:v>
                </c:pt>
                <c:pt idx="2">
                  <c:v>3.0704394942805538E-2</c:v>
                </c:pt>
                <c:pt idx="3">
                  <c:v>0.48846076660646198</c:v>
                </c:pt>
                <c:pt idx="4">
                  <c:v>8.4286574352799518E-3</c:v>
                </c:pt>
                <c:pt idx="5">
                  <c:v>1.244230383303231E-2</c:v>
                </c:pt>
                <c:pt idx="6">
                  <c:v>2.8496889424041744E-2</c:v>
                </c:pt>
                <c:pt idx="7">
                  <c:v>1.8462773429660847E-2</c:v>
                </c:pt>
                <c:pt idx="8">
                  <c:v>3.4115994380895043E-3</c:v>
                </c:pt>
                <c:pt idx="9">
                  <c:v>1.6054585591009432E-3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Rubaga-Natete'!$AE$9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Rubaga-Natete'!$AE$10:$AE$21</c:f>
              <c:numCache>
                <c:formatCode>0</c:formatCode>
                <c:ptCount val="12"/>
                <c:pt idx="0">
                  <c:v>792</c:v>
                </c:pt>
                <c:pt idx="1">
                  <c:v>359</c:v>
                </c:pt>
                <c:pt idx="2">
                  <c:v>359</c:v>
                </c:pt>
                <c:pt idx="3">
                  <c:v>464</c:v>
                </c:pt>
                <c:pt idx="4">
                  <c:v>364</c:v>
                </c:pt>
                <c:pt idx="5">
                  <c:v>451</c:v>
                </c:pt>
                <c:pt idx="6">
                  <c:v>562</c:v>
                </c:pt>
                <c:pt idx="7">
                  <c:v>496</c:v>
                </c:pt>
                <c:pt idx="8">
                  <c:v>451</c:v>
                </c:pt>
                <c:pt idx="9">
                  <c:v>577</c:v>
                </c:pt>
                <c:pt idx="10">
                  <c:v>779</c:v>
                </c:pt>
                <c:pt idx="11">
                  <c:v>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Rubaga-Natete'!$AF$9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Rubaga-Natete'!$AF$10:$AF$21</c:f>
              <c:numCache>
                <c:formatCode>0</c:formatCode>
                <c:ptCount val="12"/>
                <c:pt idx="0">
                  <c:v>1347</c:v>
                </c:pt>
                <c:pt idx="1">
                  <c:v>1320</c:v>
                </c:pt>
                <c:pt idx="2">
                  <c:v>1210</c:v>
                </c:pt>
                <c:pt idx="3">
                  <c:v>1157</c:v>
                </c:pt>
                <c:pt idx="4">
                  <c:v>1148</c:v>
                </c:pt>
                <c:pt idx="5">
                  <c:v>1069</c:v>
                </c:pt>
                <c:pt idx="6">
                  <c:v>1037</c:v>
                </c:pt>
                <c:pt idx="7">
                  <c:v>1004</c:v>
                </c:pt>
                <c:pt idx="8">
                  <c:v>679</c:v>
                </c:pt>
                <c:pt idx="9">
                  <c:v>1146</c:v>
                </c:pt>
                <c:pt idx="10">
                  <c:v>1696</c:v>
                </c:pt>
                <c:pt idx="11">
                  <c:v>1511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1440"/>
        <c:axId val="-291665792"/>
      </c:lineChart>
      <c:catAx>
        <c:axId val="-2916614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5792"/>
        <c:crosses val="autoZero"/>
        <c:auto val="1"/>
        <c:lblAlgn val="ctr"/>
        <c:lblOffset val="100"/>
        <c:noMultiLvlLbl val="0"/>
      </c:catAx>
      <c:valAx>
        <c:axId val="-291665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Rubaga-Natete'!$C$59:$N$59</c:f>
              <c:numCache>
                <c:formatCode>0.0%</c:formatCode>
                <c:ptCount val="12"/>
                <c:pt idx="0">
                  <c:v>0.16336218933258867</c:v>
                </c:pt>
                <c:pt idx="1">
                  <c:v>1.5777715721865402E-2</c:v>
                </c:pt>
                <c:pt idx="2">
                  <c:v>1.5009773806199386E-2</c:v>
                </c:pt>
                <c:pt idx="3">
                  <c:v>0.21858419435911758</c:v>
                </c:pt>
                <c:pt idx="4">
                  <c:v>3.769896676905892E-3</c:v>
                </c:pt>
                <c:pt idx="5">
                  <c:v>5.864283719631388E-3</c:v>
                </c:pt>
                <c:pt idx="6">
                  <c:v>1.4311644791957553E-2</c:v>
                </c:pt>
                <c:pt idx="7">
                  <c:v>7.3303546495392348E-3</c:v>
                </c:pt>
                <c:pt idx="8">
                  <c:v>1.1170064227869309E-3</c:v>
                </c:pt>
                <c:pt idx="9">
                  <c:v>1.0471935213627478E-3</c:v>
                </c:pt>
                <c:pt idx="10">
                  <c:v>0.55382574699804521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Rubaga-Natete'!$S$9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Rubaga-Natete'!$S$10:$S$21</c:f>
              <c:numCache>
                <c:formatCode>0</c:formatCode>
                <c:ptCount val="12"/>
                <c:pt idx="0">
                  <c:v>295</c:v>
                </c:pt>
                <c:pt idx="1">
                  <c:v>80</c:v>
                </c:pt>
                <c:pt idx="2">
                  <c:v>99</c:v>
                </c:pt>
                <c:pt idx="3">
                  <c:v>131</c:v>
                </c:pt>
                <c:pt idx="4">
                  <c:v>82</c:v>
                </c:pt>
                <c:pt idx="5">
                  <c:v>152</c:v>
                </c:pt>
                <c:pt idx="6">
                  <c:v>241</c:v>
                </c:pt>
                <c:pt idx="7">
                  <c:v>153</c:v>
                </c:pt>
                <c:pt idx="8">
                  <c:v>201</c:v>
                </c:pt>
                <c:pt idx="9">
                  <c:v>194</c:v>
                </c:pt>
                <c:pt idx="10">
                  <c:v>387</c:v>
                </c:pt>
                <c:pt idx="11">
                  <c:v>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Rubaga-Natete'!$T$9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Rubaga-Natete'!$T$10:$T$21</c:f>
              <c:numCache>
                <c:formatCode>0</c:formatCode>
                <c:ptCount val="12"/>
                <c:pt idx="0">
                  <c:v>32</c:v>
                </c:pt>
                <c:pt idx="1">
                  <c:v>14</c:v>
                </c:pt>
                <c:pt idx="2">
                  <c:v>14</c:v>
                </c:pt>
                <c:pt idx="3">
                  <c:v>26</c:v>
                </c:pt>
                <c:pt idx="4">
                  <c:v>16</c:v>
                </c:pt>
                <c:pt idx="5">
                  <c:v>29</c:v>
                </c:pt>
                <c:pt idx="6">
                  <c:v>12</c:v>
                </c:pt>
                <c:pt idx="7">
                  <c:v>24</c:v>
                </c:pt>
                <c:pt idx="8">
                  <c:v>20</c:v>
                </c:pt>
                <c:pt idx="9">
                  <c:v>12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Rubaga-Natete'!$U$9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Rubaga-Natete'!$U$10:$U$21</c:f>
              <c:numCache>
                <c:formatCode>0</c:formatCode>
                <c:ptCount val="12"/>
                <c:pt idx="0">
                  <c:v>13</c:v>
                </c:pt>
                <c:pt idx="1">
                  <c:v>9</c:v>
                </c:pt>
                <c:pt idx="2">
                  <c:v>12</c:v>
                </c:pt>
                <c:pt idx="3">
                  <c:v>21</c:v>
                </c:pt>
                <c:pt idx="4">
                  <c:v>18</c:v>
                </c:pt>
                <c:pt idx="5">
                  <c:v>18</c:v>
                </c:pt>
                <c:pt idx="6">
                  <c:v>23</c:v>
                </c:pt>
                <c:pt idx="7">
                  <c:v>25</c:v>
                </c:pt>
                <c:pt idx="8">
                  <c:v>26</c:v>
                </c:pt>
                <c:pt idx="9">
                  <c:v>14</c:v>
                </c:pt>
                <c:pt idx="10">
                  <c:v>14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Rubaga-Natete'!$V$9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Rubaga-Natete'!$V$10:$V$21</c:f>
              <c:numCache>
                <c:formatCode>0</c:formatCode>
                <c:ptCount val="12"/>
                <c:pt idx="0">
                  <c:v>421</c:v>
                </c:pt>
                <c:pt idx="1">
                  <c:v>225</c:v>
                </c:pt>
                <c:pt idx="2">
                  <c:v>196</c:v>
                </c:pt>
                <c:pt idx="3">
                  <c:v>236</c:v>
                </c:pt>
                <c:pt idx="4">
                  <c:v>215</c:v>
                </c:pt>
                <c:pt idx="5">
                  <c:v>178</c:v>
                </c:pt>
                <c:pt idx="6">
                  <c:v>244</c:v>
                </c:pt>
                <c:pt idx="7">
                  <c:v>251</c:v>
                </c:pt>
                <c:pt idx="8">
                  <c:v>162</c:v>
                </c:pt>
                <c:pt idx="9">
                  <c:v>316</c:v>
                </c:pt>
                <c:pt idx="10">
                  <c:v>338</c:v>
                </c:pt>
                <c:pt idx="11">
                  <c:v>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Rubaga-Natete'!$W$9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Rubaga-Natete'!$W$10:$W$21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1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Rubaga-Natete'!$X$9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Rubaga-Natete'!$X$10:$X$21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7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9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Rubaga-Natete'!$Y$9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Rubaga-Natete'!$Y$10:$Y$21</c:f>
              <c:numCache>
                <c:formatCode>0</c:formatCode>
                <c:ptCount val="12"/>
                <c:pt idx="0">
                  <c:v>9</c:v>
                </c:pt>
                <c:pt idx="1">
                  <c:v>14</c:v>
                </c:pt>
                <c:pt idx="2">
                  <c:v>18</c:v>
                </c:pt>
                <c:pt idx="3">
                  <c:v>24</c:v>
                </c:pt>
                <c:pt idx="4">
                  <c:v>20</c:v>
                </c:pt>
                <c:pt idx="5">
                  <c:v>25</c:v>
                </c:pt>
                <c:pt idx="6">
                  <c:v>17</c:v>
                </c:pt>
                <c:pt idx="7">
                  <c:v>16</c:v>
                </c:pt>
                <c:pt idx="8">
                  <c:v>20</c:v>
                </c:pt>
                <c:pt idx="9">
                  <c:v>18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Rubaga-Natete'!$Z$9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34</c:v>
                </c:pt>
                <c:pt idx="6">
                  <c:v>10</c:v>
                </c:pt>
                <c:pt idx="7">
                  <c:v>8</c:v>
                </c:pt>
                <c:pt idx="8">
                  <c:v>10</c:v>
                </c:pt>
                <c:pt idx="9">
                  <c:v>8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Rubaga-Natete'!$AA$9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Rubaga-Natete'!$AB$9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Rubaga-Natete'!$AC$9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Rubaga-Natete'!$AC$10:$AC$21</c:f>
              <c:numCache>
                <c:formatCode>0</c:formatCode>
                <c:ptCount val="12"/>
                <c:pt idx="0">
                  <c:v>555</c:v>
                </c:pt>
                <c:pt idx="1">
                  <c:v>961</c:v>
                </c:pt>
                <c:pt idx="2">
                  <c:v>851</c:v>
                </c:pt>
                <c:pt idx="3">
                  <c:v>693</c:v>
                </c:pt>
                <c:pt idx="4">
                  <c:v>784</c:v>
                </c:pt>
                <c:pt idx="5">
                  <c:v>618</c:v>
                </c:pt>
                <c:pt idx="6">
                  <c:v>475</c:v>
                </c:pt>
                <c:pt idx="7">
                  <c:v>508</c:v>
                </c:pt>
                <c:pt idx="8">
                  <c:v>228</c:v>
                </c:pt>
                <c:pt idx="9">
                  <c:v>569</c:v>
                </c:pt>
                <c:pt idx="10">
                  <c:v>917</c:v>
                </c:pt>
                <c:pt idx="11">
                  <c:v>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Rubaga-Natete'!$AD$9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Rubaga-Natete'!$AD$10:$AD$21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91658176"/>
        <c:axId val="-291657088"/>
      </c:lineChart>
      <c:catAx>
        <c:axId val="-29165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57088"/>
        <c:crosses val="autoZero"/>
        <c:auto val="1"/>
        <c:lblAlgn val="ctr"/>
        <c:lblOffset val="100"/>
        <c:noMultiLvlLbl val="0"/>
      </c:catAx>
      <c:valAx>
        <c:axId val="-2916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5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Rubaga-Natete'!$C$60:$N$60</c:f>
              <c:numCache>
                <c:formatCode>0.00%</c:formatCode>
                <c:ptCount val="12"/>
                <c:pt idx="0">
                  <c:v>0.36613988421217336</c:v>
                </c:pt>
                <c:pt idx="1">
                  <c:v>3.5362228133312468E-2</c:v>
                </c:pt>
                <c:pt idx="2">
                  <c:v>3.3641057737443282E-2</c:v>
                </c:pt>
                <c:pt idx="3">
                  <c:v>0.489907682678767</c:v>
                </c:pt>
                <c:pt idx="4">
                  <c:v>8.4493819433578473E-3</c:v>
                </c:pt>
                <c:pt idx="5">
                  <c:v>1.3143483023001095E-2</c:v>
                </c:pt>
                <c:pt idx="6">
                  <c:v>3.2076357377562197E-2</c:v>
                </c:pt>
                <c:pt idx="7">
                  <c:v>1.642935377875137E-2</c:v>
                </c:pt>
                <c:pt idx="8">
                  <c:v>2.5035205758097323E-3</c:v>
                </c:pt>
                <c:pt idx="9">
                  <c:v>2.3470505398216243E-3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Natete-Rubaga'!$AE$10:$AE$21</c:f>
              <c:numCache>
                <c:formatCode>0</c:formatCode>
                <c:ptCount val="12"/>
                <c:pt idx="0">
                  <c:v>485</c:v>
                </c:pt>
                <c:pt idx="1">
                  <c:v>541</c:v>
                </c:pt>
                <c:pt idx="2">
                  <c:v>426</c:v>
                </c:pt>
                <c:pt idx="3">
                  <c:v>358</c:v>
                </c:pt>
                <c:pt idx="4">
                  <c:v>369</c:v>
                </c:pt>
                <c:pt idx="5">
                  <c:v>342</c:v>
                </c:pt>
                <c:pt idx="6">
                  <c:v>276</c:v>
                </c:pt>
                <c:pt idx="7">
                  <c:v>342</c:v>
                </c:pt>
                <c:pt idx="8">
                  <c:v>285</c:v>
                </c:pt>
                <c:pt idx="9">
                  <c:v>342</c:v>
                </c:pt>
                <c:pt idx="10">
                  <c:v>345</c:v>
                </c:pt>
                <c:pt idx="11">
                  <c:v>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Natete-Rubaga'!$AF$9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Natete-Rubaga'!$AF$10:$AF$21</c:f>
              <c:numCache>
                <c:formatCode>0</c:formatCode>
                <c:ptCount val="12"/>
                <c:pt idx="0">
                  <c:v>2054</c:v>
                </c:pt>
                <c:pt idx="1">
                  <c:v>2356</c:v>
                </c:pt>
                <c:pt idx="2">
                  <c:v>1609</c:v>
                </c:pt>
                <c:pt idx="3">
                  <c:v>1467</c:v>
                </c:pt>
                <c:pt idx="4">
                  <c:v>1055</c:v>
                </c:pt>
                <c:pt idx="5">
                  <c:v>974</c:v>
                </c:pt>
                <c:pt idx="6">
                  <c:v>780</c:v>
                </c:pt>
                <c:pt idx="7">
                  <c:v>906</c:v>
                </c:pt>
                <c:pt idx="8">
                  <c:v>810</c:v>
                </c:pt>
                <c:pt idx="9">
                  <c:v>952</c:v>
                </c:pt>
                <c:pt idx="10">
                  <c:v>894</c:v>
                </c:pt>
                <c:pt idx="11">
                  <c:v>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4160"/>
        <c:axId val="-195597952"/>
      </c:lineChart>
      <c:catAx>
        <c:axId val="-291664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7952"/>
        <c:crosses val="autoZero"/>
        <c:auto val="1"/>
        <c:lblAlgn val="ctr"/>
        <c:lblOffset val="100"/>
        <c:noMultiLvlLbl val="0"/>
      </c:catAx>
      <c:valAx>
        <c:axId val="-195597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916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Natete-Rubaga'!$C$59:$N$59</c:f>
              <c:numCache>
                <c:formatCode>0.0%</c:formatCode>
                <c:ptCount val="12"/>
                <c:pt idx="0">
                  <c:v>0.10045069653100246</c:v>
                </c:pt>
                <c:pt idx="1">
                  <c:v>2.5198033324228354E-2</c:v>
                </c:pt>
                <c:pt idx="2">
                  <c:v>1.3657470636438131E-2</c:v>
                </c:pt>
                <c:pt idx="3">
                  <c:v>0.1382136028407539</c:v>
                </c:pt>
                <c:pt idx="4">
                  <c:v>3.4826550122917235E-3</c:v>
                </c:pt>
                <c:pt idx="5">
                  <c:v>4.7118273695711558E-3</c:v>
                </c:pt>
                <c:pt idx="6">
                  <c:v>8.8090685605025955E-3</c:v>
                </c:pt>
                <c:pt idx="7">
                  <c:v>8.4676317945916423E-3</c:v>
                </c:pt>
                <c:pt idx="8">
                  <c:v>6.1458617863971595E-4</c:v>
                </c:pt>
                <c:pt idx="9">
                  <c:v>3.4143676591095329E-4</c:v>
                </c:pt>
                <c:pt idx="10">
                  <c:v>0.69605299098606943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Natete-Rubaga'!$S$9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Natete-Rubaga'!$S$10:$S$21</c:f>
              <c:numCache>
                <c:formatCode>0</c:formatCode>
                <c:ptCount val="12"/>
                <c:pt idx="0">
                  <c:v>162</c:v>
                </c:pt>
                <c:pt idx="1">
                  <c:v>169</c:v>
                </c:pt>
                <c:pt idx="2">
                  <c:v>130</c:v>
                </c:pt>
                <c:pt idx="3">
                  <c:v>137</c:v>
                </c:pt>
                <c:pt idx="4">
                  <c:v>124</c:v>
                </c:pt>
                <c:pt idx="5">
                  <c:v>115</c:v>
                </c:pt>
                <c:pt idx="6">
                  <c:v>100</c:v>
                </c:pt>
                <c:pt idx="7">
                  <c:v>111</c:v>
                </c:pt>
                <c:pt idx="8">
                  <c:v>75</c:v>
                </c:pt>
                <c:pt idx="9">
                  <c:v>107</c:v>
                </c:pt>
                <c:pt idx="10">
                  <c:v>122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Natete-Rubaga'!$T$9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Natete-Rubaga'!$T$10:$T$21</c:f>
              <c:numCache>
                <c:formatCode>0</c:formatCode>
                <c:ptCount val="12"/>
                <c:pt idx="0">
                  <c:v>55</c:v>
                </c:pt>
                <c:pt idx="1">
                  <c:v>42</c:v>
                </c:pt>
                <c:pt idx="2">
                  <c:v>19</c:v>
                </c:pt>
                <c:pt idx="3">
                  <c:v>25</c:v>
                </c:pt>
                <c:pt idx="4">
                  <c:v>42</c:v>
                </c:pt>
                <c:pt idx="5">
                  <c:v>27</c:v>
                </c:pt>
                <c:pt idx="6">
                  <c:v>17</c:v>
                </c:pt>
                <c:pt idx="7">
                  <c:v>19</c:v>
                </c:pt>
                <c:pt idx="8">
                  <c:v>18</c:v>
                </c:pt>
                <c:pt idx="9">
                  <c:v>40</c:v>
                </c:pt>
                <c:pt idx="10">
                  <c:v>28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Natete-Rubaga'!$U$9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Natete-Rubaga'!$U$10:$U$21</c:f>
              <c:numCache>
                <c:formatCode>0</c:formatCode>
                <c:ptCount val="12"/>
                <c:pt idx="0">
                  <c:v>30</c:v>
                </c:pt>
                <c:pt idx="1">
                  <c:v>11</c:v>
                </c:pt>
                <c:pt idx="2">
                  <c:v>9</c:v>
                </c:pt>
                <c:pt idx="3">
                  <c:v>14</c:v>
                </c:pt>
                <c:pt idx="4">
                  <c:v>13</c:v>
                </c:pt>
                <c:pt idx="5">
                  <c:v>17</c:v>
                </c:pt>
                <c:pt idx="6">
                  <c:v>9</c:v>
                </c:pt>
                <c:pt idx="7">
                  <c:v>22</c:v>
                </c:pt>
                <c:pt idx="8">
                  <c:v>21</c:v>
                </c:pt>
                <c:pt idx="9">
                  <c:v>15</c:v>
                </c:pt>
                <c:pt idx="10">
                  <c:v>17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Natete-Rubaga'!$V$9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Natete-Rubaga'!$V$10:$V$21</c:f>
              <c:numCache>
                <c:formatCode>0</c:formatCode>
                <c:ptCount val="12"/>
                <c:pt idx="0">
                  <c:v>209</c:v>
                </c:pt>
                <c:pt idx="1">
                  <c:v>293</c:v>
                </c:pt>
                <c:pt idx="2">
                  <c:v>240</c:v>
                </c:pt>
                <c:pt idx="3">
                  <c:v>154</c:v>
                </c:pt>
                <c:pt idx="4">
                  <c:v>154</c:v>
                </c:pt>
                <c:pt idx="5">
                  <c:v>155</c:v>
                </c:pt>
                <c:pt idx="6">
                  <c:v>112</c:v>
                </c:pt>
                <c:pt idx="7">
                  <c:v>142</c:v>
                </c:pt>
                <c:pt idx="8">
                  <c:v>135</c:v>
                </c:pt>
                <c:pt idx="9">
                  <c:v>151</c:v>
                </c:pt>
                <c:pt idx="10">
                  <c:v>145</c:v>
                </c:pt>
                <c:pt idx="11">
                  <c:v>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Natete-Rubaga'!$W$9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Natete-Rubaga'!$W$10:$W$21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6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Natete-Rubaga'!$X$9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Natete-Rubaga'!$X$10:$X$21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10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Natete-Rubaga'!$Y$9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Natete-Rubaga'!$Y$10:$Y$21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11</c:v>
                </c:pt>
                <c:pt idx="3">
                  <c:v>8</c:v>
                </c:pt>
                <c:pt idx="4">
                  <c:v>14</c:v>
                </c:pt>
                <c:pt idx="5">
                  <c:v>5</c:v>
                </c:pt>
                <c:pt idx="6">
                  <c:v>13</c:v>
                </c:pt>
                <c:pt idx="7">
                  <c:v>12</c:v>
                </c:pt>
                <c:pt idx="8">
                  <c:v>14</c:v>
                </c:pt>
                <c:pt idx="9">
                  <c:v>13</c:v>
                </c:pt>
                <c:pt idx="10">
                  <c:v>10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Natete-Rubaga'!$Z$9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Natete-Rubaga'!$Z$10:$Z$21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6</c:v>
                </c:pt>
                <c:pt idx="3">
                  <c:v>12</c:v>
                </c:pt>
                <c:pt idx="4">
                  <c:v>16</c:v>
                </c:pt>
                <c:pt idx="5">
                  <c:v>16</c:v>
                </c:pt>
                <c:pt idx="6">
                  <c:v>14</c:v>
                </c:pt>
                <c:pt idx="7">
                  <c:v>23</c:v>
                </c:pt>
                <c:pt idx="8">
                  <c:v>7</c:v>
                </c:pt>
                <c:pt idx="9">
                  <c:v>5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Natete-Rubaga'!$AA$9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Natete-Rubaga'!$AB$9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Natete-Rubaga'!$AC$9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Natete-Rubaga'!$AC$10:$AC$21</c:f>
              <c:numCache>
                <c:formatCode>0</c:formatCode>
                <c:ptCount val="12"/>
                <c:pt idx="0">
                  <c:v>1569</c:v>
                </c:pt>
                <c:pt idx="1">
                  <c:v>1815</c:v>
                </c:pt>
                <c:pt idx="2">
                  <c:v>1183</c:v>
                </c:pt>
                <c:pt idx="3">
                  <c:v>1109</c:v>
                </c:pt>
                <c:pt idx="4">
                  <c:v>686</c:v>
                </c:pt>
                <c:pt idx="5">
                  <c:v>632</c:v>
                </c:pt>
                <c:pt idx="6">
                  <c:v>504</c:v>
                </c:pt>
                <c:pt idx="7">
                  <c:v>564</c:v>
                </c:pt>
                <c:pt idx="8">
                  <c:v>525</c:v>
                </c:pt>
                <c:pt idx="9">
                  <c:v>610</c:v>
                </c:pt>
                <c:pt idx="10">
                  <c:v>549</c:v>
                </c:pt>
                <c:pt idx="11">
                  <c:v>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Natete-Rubaga'!$AD$9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Natete-Rubaga'!$AD$10:$AD$21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85440"/>
        <c:axId val="-195596320"/>
      </c:lineChart>
      <c:catAx>
        <c:axId val="-19558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6320"/>
        <c:crosses val="autoZero"/>
        <c:auto val="1"/>
        <c:lblAlgn val="ctr"/>
        <c:lblOffset val="100"/>
        <c:noMultiLvlLbl val="0"/>
      </c:catAx>
      <c:valAx>
        <c:axId val="-19559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Natete-Rubaga'!$C$60:$N$60</c:f>
              <c:numCache>
                <c:formatCode>0.00%</c:formatCode>
                <c:ptCount val="12"/>
                <c:pt idx="0">
                  <c:v>0.33048753089193439</c:v>
                </c:pt>
                <c:pt idx="1">
                  <c:v>8.2902718490226915E-2</c:v>
                </c:pt>
                <c:pt idx="2">
                  <c:v>4.493372275893058E-2</c:v>
                </c:pt>
                <c:pt idx="3">
                  <c:v>0.45472927432037746</c:v>
                </c:pt>
                <c:pt idx="4">
                  <c:v>1.1458099303527296E-2</c:v>
                </c:pt>
                <c:pt idx="5">
                  <c:v>1.5502134351831049E-2</c:v>
                </c:pt>
                <c:pt idx="6">
                  <c:v>2.8982251179510223E-2</c:v>
                </c:pt>
                <c:pt idx="7">
                  <c:v>2.7858908110536956E-2</c:v>
                </c:pt>
                <c:pt idx="8">
                  <c:v>2.0220175241518761E-3</c:v>
                </c:pt>
                <c:pt idx="9">
                  <c:v>1.1233430689732643E-3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Rubaga-Natete'!$AE$9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Rubaga-Natete'!$AE$10:$AE$21</c:f>
              <c:numCache>
                <c:formatCode>0</c:formatCode>
                <c:ptCount val="12"/>
                <c:pt idx="0">
                  <c:v>800</c:v>
                </c:pt>
                <c:pt idx="1">
                  <c:v>413</c:v>
                </c:pt>
                <c:pt idx="2">
                  <c:v>373</c:v>
                </c:pt>
                <c:pt idx="3">
                  <c:v>355</c:v>
                </c:pt>
                <c:pt idx="4">
                  <c:v>340</c:v>
                </c:pt>
                <c:pt idx="5">
                  <c:v>374</c:v>
                </c:pt>
                <c:pt idx="6">
                  <c:v>361</c:v>
                </c:pt>
                <c:pt idx="7">
                  <c:v>355</c:v>
                </c:pt>
                <c:pt idx="8">
                  <c:v>309</c:v>
                </c:pt>
                <c:pt idx="9">
                  <c:v>388</c:v>
                </c:pt>
                <c:pt idx="10">
                  <c:v>703</c:v>
                </c:pt>
                <c:pt idx="11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Rubaga-Natete'!$AF$9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Rubaga-Natete'!$AF$10:$AF$21</c:f>
              <c:numCache>
                <c:formatCode>0</c:formatCode>
                <c:ptCount val="12"/>
                <c:pt idx="0">
                  <c:v>1973</c:v>
                </c:pt>
                <c:pt idx="1">
                  <c:v>1289</c:v>
                </c:pt>
                <c:pt idx="2">
                  <c:v>1183</c:v>
                </c:pt>
                <c:pt idx="3">
                  <c:v>1315</c:v>
                </c:pt>
                <c:pt idx="4">
                  <c:v>1297</c:v>
                </c:pt>
                <c:pt idx="5">
                  <c:v>1215</c:v>
                </c:pt>
                <c:pt idx="6">
                  <c:v>877</c:v>
                </c:pt>
                <c:pt idx="7">
                  <c:v>995</c:v>
                </c:pt>
                <c:pt idx="8">
                  <c:v>826</c:v>
                </c:pt>
                <c:pt idx="9">
                  <c:v>990</c:v>
                </c:pt>
                <c:pt idx="10">
                  <c:v>1529</c:v>
                </c:pt>
                <c:pt idx="11">
                  <c:v>1829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5776"/>
        <c:axId val="-195593056"/>
      </c:lineChart>
      <c:catAx>
        <c:axId val="-195595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3056"/>
        <c:crosses val="autoZero"/>
        <c:auto val="1"/>
        <c:lblAlgn val="ctr"/>
        <c:lblOffset val="100"/>
        <c:noMultiLvlLbl val="0"/>
      </c:catAx>
      <c:valAx>
        <c:axId val="-195593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Rubaga-Natete'!$C$59:$N$59</c:f>
              <c:numCache>
                <c:formatCode>0.0%</c:formatCode>
                <c:ptCount val="12"/>
                <c:pt idx="0">
                  <c:v>0.13134874004439223</c:v>
                </c:pt>
                <c:pt idx="1">
                  <c:v>1.4819166993080037E-2</c:v>
                </c:pt>
                <c:pt idx="2">
                  <c:v>1.5928972450711582E-2</c:v>
                </c:pt>
                <c:pt idx="3">
                  <c:v>0.17867867867867868</c:v>
                </c:pt>
                <c:pt idx="4">
                  <c:v>4.8962005483744611E-3</c:v>
                </c:pt>
                <c:pt idx="5">
                  <c:v>5.483744614179397E-3</c:v>
                </c:pt>
                <c:pt idx="6">
                  <c:v>1.1555033294163729E-2</c:v>
                </c:pt>
                <c:pt idx="7">
                  <c:v>8.0950515733124433E-3</c:v>
                </c:pt>
                <c:pt idx="8">
                  <c:v>1.0445227836532185E-3</c:v>
                </c:pt>
                <c:pt idx="9">
                  <c:v>6.5282673978326157E-4</c:v>
                </c:pt>
                <c:pt idx="10">
                  <c:v>0.62749706227967095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Rubaga-Natete'!$S$9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Rubaga-Natete'!$S$10:$S$21</c:f>
              <c:numCache>
                <c:formatCode>0</c:formatCode>
                <c:ptCount val="12"/>
                <c:pt idx="0">
                  <c:v>287</c:v>
                </c:pt>
                <c:pt idx="1">
                  <c:v>114</c:v>
                </c:pt>
                <c:pt idx="2">
                  <c:v>91</c:v>
                </c:pt>
                <c:pt idx="3">
                  <c:v>104</c:v>
                </c:pt>
                <c:pt idx="4">
                  <c:v>115</c:v>
                </c:pt>
                <c:pt idx="5">
                  <c:v>136</c:v>
                </c:pt>
                <c:pt idx="6">
                  <c:v>123</c:v>
                </c:pt>
                <c:pt idx="7">
                  <c:v>107</c:v>
                </c:pt>
                <c:pt idx="8">
                  <c:v>106</c:v>
                </c:pt>
                <c:pt idx="9">
                  <c:v>168</c:v>
                </c:pt>
                <c:pt idx="10">
                  <c:v>271</c:v>
                </c:pt>
                <c:pt idx="11">
                  <c:v>390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Rubaga-Natete'!$T$9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Rubaga-Natete'!$T$10:$T$21</c:f>
              <c:numCache>
                <c:formatCode>0</c:formatCode>
                <c:ptCount val="12"/>
                <c:pt idx="0">
                  <c:v>29</c:v>
                </c:pt>
                <c:pt idx="1">
                  <c:v>14</c:v>
                </c:pt>
                <c:pt idx="2">
                  <c:v>17</c:v>
                </c:pt>
                <c:pt idx="3">
                  <c:v>18</c:v>
                </c:pt>
                <c:pt idx="4">
                  <c:v>10</c:v>
                </c:pt>
                <c:pt idx="5">
                  <c:v>19</c:v>
                </c:pt>
                <c:pt idx="6">
                  <c:v>19</c:v>
                </c:pt>
                <c:pt idx="7">
                  <c:v>14</c:v>
                </c:pt>
                <c:pt idx="8">
                  <c:v>23</c:v>
                </c:pt>
                <c:pt idx="9">
                  <c:v>22</c:v>
                </c:pt>
                <c:pt idx="10">
                  <c:v>16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Rubaga-Natete'!$U$9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Rubaga-Natete'!$U$10:$U$21</c:f>
              <c:numCache>
                <c:formatCode>0</c:formatCode>
                <c:ptCount val="12"/>
                <c:pt idx="0">
                  <c:v>19</c:v>
                </c:pt>
                <c:pt idx="1">
                  <c:v>7</c:v>
                </c:pt>
                <c:pt idx="2">
                  <c:v>13</c:v>
                </c:pt>
                <c:pt idx="3">
                  <c:v>27</c:v>
                </c:pt>
                <c:pt idx="4">
                  <c:v>24</c:v>
                </c:pt>
                <c:pt idx="5">
                  <c:v>24</c:v>
                </c:pt>
                <c:pt idx="6">
                  <c:v>22</c:v>
                </c:pt>
                <c:pt idx="7">
                  <c:v>27</c:v>
                </c:pt>
                <c:pt idx="8">
                  <c:v>27</c:v>
                </c:pt>
                <c:pt idx="9">
                  <c:v>29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Rubaga-Natete'!$V$9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Rubaga-Natete'!$V$10:$V$21</c:f>
              <c:numCache>
                <c:formatCode>0</c:formatCode>
                <c:ptCount val="12"/>
                <c:pt idx="0">
                  <c:v>410</c:v>
                </c:pt>
                <c:pt idx="1">
                  <c:v>247</c:v>
                </c:pt>
                <c:pt idx="2">
                  <c:v>211</c:v>
                </c:pt>
                <c:pt idx="3">
                  <c:v>148</c:v>
                </c:pt>
                <c:pt idx="4">
                  <c:v>154</c:v>
                </c:pt>
                <c:pt idx="5">
                  <c:v>149</c:v>
                </c:pt>
                <c:pt idx="6">
                  <c:v>165</c:v>
                </c:pt>
                <c:pt idx="7">
                  <c:v>165</c:v>
                </c:pt>
                <c:pt idx="8">
                  <c:v>124</c:v>
                </c:pt>
                <c:pt idx="9">
                  <c:v>134</c:v>
                </c:pt>
                <c:pt idx="10">
                  <c:v>360</c:v>
                </c:pt>
                <c:pt idx="11">
                  <c:v>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Rubaga-Natete'!$W$9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Rubaga-Natete'!$W$10:$W$21</c:f>
              <c:numCache>
                <c:formatCode>0</c:formatCode>
                <c:ptCount val="12"/>
                <c:pt idx="0">
                  <c:v>14</c:v>
                </c:pt>
                <c:pt idx="1">
                  <c:v>7</c:v>
                </c:pt>
                <c:pt idx="2">
                  <c:v>6</c:v>
                </c:pt>
                <c:pt idx="3">
                  <c:v>20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Rubaga-Natete'!$X$9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Rubaga-Natete'!$X$10:$X$21</c:f>
              <c:numCache>
                <c:formatCode>0</c:formatCode>
                <c:ptCount val="12"/>
                <c:pt idx="0">
                  <c:v>9</c:v>
                </c:pt>
                <c:pt idx="1">
                  <c:v>5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8</c:v>
                </c:pt>
                <c:pt idx="6">
                  <c:v>5</c:v>
                </c:pt>
                <c:pt idx="7">
                  <c:v>9</c:v>
                </c:pt>
                <c:pt idx="8">
                  <c:v>3</c:v>
                </c:pt>
                <c:pt idx="9">
                  <c:v>7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Rubaga-Natete'!$Y$9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Rubaga-Natete'!$Y$10:$Y$21</c:f>
              <c:numCache>
                <c:formatCode>0</c:formatCode>
                <c:ptCount val="12"/>
                <c:pt idx="0">
                  <c:v>18</c:v>
                </c:pt>
                <c:pt idx="1">
                  <c:v>11</c:v>
                </c:pt>
                <c:pt idx="2">
                  <c:v>20</c:v>
                </c:pt>
                <c:pt idx="3">
                  <c:v>13</c:v>
                </c:pt>
                <c:pt idx="4">
                  <c:v>9</c:v>
                </c:pt>
                <c:pt idx="5">
                  <c:v>17</c:v>
                </c:pt>
                <c:pt idx="6">
                  <c:v>10</c:v>
                </c:pt>
                <c:pt idx="7">
                  <c:v>16</c:v>
                </c:pt>
                <c:pt idx="8">
                  <c:v>13</c:v>
                </c:pt>
                <c:pt idx="9">
                  <c:v>11</c:v>
                </c:pt>
                <c:pt idx="10">
                  <c:v>27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Rubaga-Natete'!$Z$9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Rubaga-Natete'!$Z$10:$Z$21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7</c:v>
                </c:pt>
                <c:pt idx="3">
                  <c:v>15</c:v>
                </c:pt>
                <c:pt idx="4">
                  <c:v>14</c:v>
                </c:pt>
                <c:pt idx="5">
                  <c:v>15</c:v>
                </c:pt>
                <c:pt idx="6">
                  <c:v>12</c:v>
                </c:pt>
                <c:pt idx="7">
                  <c:v>11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Rubaga-Natete'!$AA$9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Rubaga-Natete'!$AA$10:$AA$21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Rubaga-Natete'!$AB$9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Rubaga-Natete'!$AC$9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Rubaga-Natete'!$AC$10:$AC$21</c:f>
              <c:numCache>
                <c:formatCode>0</c:formatCode>
                <c:ptCount val="12"/>
                <c:pt idx="0">
                  <c:v>1173</c:v>
                </c:pt>
                <c:pt idx="1">
                  <c:v>876</c:v>
                </c:pt>
                <c:pt idx="2">
                  <c:v>810</c:v>
                </c:pt>
                <c:pt idx="3">
                  <c:v>960</c:v>
                </c:pt>
                <c:pt idx="4">
                  <c:v>957</c:v>
                </c:pt>
                <c:pt idx="5">
                  <c:v>841</c:v>
                </c:pt>
                <c:pt idx="6">
                  <c:v>516</c:v>
                </c:pt>
                <c:pt idx="7">
                  <c:v>640</c:v>
                </c:pt>
                <c:pt idx="8">
                  <c:v>517</c:v>
                </c:pt>
                <c:pt idx="9">
                  <c:v>602</c:v>
                </c:pt>
                <c:pt idx="10">
                  <c:v>826</c:v>
                </c:pt>
                <c:pt idx="11">
                  <c:v>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Rubaga-Natete'!$AD$9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Rubaga-Natete'!$AD$10:$AD$21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90336"/>
        <c:axId val="-195586528"/>
      </c:lineChart>
      <c:catAx>
        <c:axId val="-19559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86528"/>
        <c:crosses val="autoZero"/>
        <c:auto val="1"/>
        <c:lblAlgn val="ctr"/>
        <c:lblOffset val="100"/>
        <c:noMultiLvlLbl val="0"/>
      </c:catAx>
      <c:valAx>
        <c:axId val="-19558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Rubaga-Natete'!$C$60:$N$60</c:f>
              <c:numCache>
                <c:formatCode>0.00%</c:formatCode>
                <c:ptCount val="12"/>
                <c:pt idx="0">
                  <c:v>0.35261128636522959</c:v>
                </c:pt>
                <c:pt idx="1">
                  <c:v>3.9782684893094986E-2</c:v>
                </c:pt>
                <c:pt idx="2">
                  <c:v>4.276200490711532E-2</c:v>
                </c:pt>
                <c:pt idx="3">
                  <c:v>0.47967052225727302</c:v>
                </c:pt>
                <c:pt idx="4">
                  <c:v>1.3144058885383806E-2</c:v>
                </c:pt>
                <c:pt idx="5">
                  <c:v>1.4721345951629864E-2</c:v>
                </c:pt>
                <c:pt idx="6">
                  <c:v>3.1019978969505785E-2</c:v>
                </c:pt>
                <c:pt idx="7">
                  <c:v>2.1731510690501228E-2</c:v>
                </c:pt>
                <c:pt idx="8">
                  <c:v>2.8040658955485456E-3</c:v>
                </c:pt>
                <c:pt idx="9">
                  <c:v>1.7525411847178409E-3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Natete-Rubaga'!$AE$9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Natete-Rubaga'!$AE$10:$AE$21</c:f>
              <c:numCache>
                <c:formatCode>0</c:formatCode>
                <c:ptCount val="12"/>
                <c:pt idx="0">
                  <c:v>376</c:v>
                </c:pt>
                <c:pt idx="1">
                  <c:v>450</c:v>
                </c:pt>
                <c:pt idx="2">
                  <c:v>531</c:v>
                </c:pt>
                <c:pt idx="3">
                  <c:v>390</c:v>
                </c:pt>
                <c:pt idx="4">
                  <c:v>338</c:v>
                </c:pt>
                <c:pt idx="5">
                  <c:v>329</c:v>
                </c:pt>
                <c:pt idx="6">
                  <c:v>349</c:v>
                </c:pt>
                <c:pt idx="7">
                  <c:v>313</c:v>
                </c:pt>
                <c:pt idx="8">
                  <c:v>377</c:v>
                </c:pt>
                <c:pt idx="9">
                  <c:v>216</c:v>
                </c:pt>
                <c:pt idx="10">
                  <c:v>272</c:v>
                </c:pt>
                <c:pt idx="1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Natete-Rubaga'!$AF$9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Natete-Rubaga'!$AF$10:$AF$21</c:f>
              <c:numCache>
                <c:formatCode>0</c:formatCode>
                <c:ptCount val="12"/>
                <c:pt idx="0">
                  <c:v>1702</c:v>
                </c:pt>
                <c:pt idx="1">
                  <c:v>1841</c:v>
                </c:pt>
                <c:pt idx="2">
                  <c:v>1857</c:v>
                </c:pt>
                <c:pt idx="3">
                  <c:v>1385</c:v>
                </c:pt>
                <c:pt idx="4">
                  <c:v>1145</c:v>
                </c:pt>
                <c:pt idx="5">
                  <c:v>922</c:v>
                </c:pt>
                <c:pt idx="6">
                  <c:v>924</c:v>
                </c:pt>
                <c:pt idx="7">
                  <c:v>904</c:v>
                </c:pt>
                <c:pt idx="8">
                  <c:v>982</c:v>
                </c:pt>
                <c:pt idx="9">
                  <c:v>624</c:v>
                </c:pt>
                <c:pt idx="10">
                  <c:v>536</c:v>
                </c:pt>
                <c:pt idx="11">
                  <c:v>517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1968"/>
        <c:axId val="-195591424"/>
      </c:lineChart>
      <c:catAx>
        <c:axId val="-195591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1424"/>
        <c:crosses val="autoZero"/>
        <c:auto val="1"/>
        <c:lblAlgn val="ctr"/>
        <c:lblOffset val="100"/>
        <c:noMultiLvlLbl val="0"/>
      </c:catAx>
      <c:valAx>
        <c:axId val="-19559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9559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Natete-Rubaga'!$C$59:$N$59</c:f>
              <c:numCache>
                <c:formatCode>0.0%</c:formatCode>
                <c:ptCount val="12"/>
                <c:pt idx="0">
                  <c:v>0.10173176400029987</c:v>
                </c:pt>
                <c:pt idx="1">
                  <c:v>3.0886873078941449E-2</c:v>
                </c:pt>
                <c:pt idx="2">
                  <c:v>1.7242671864457604E-2</c:v>
                </c:pt>
                <c:pt idx="3">
                  <c:v>0.13801634305420196</c:v>
                </c:pt>
                <c:pt idx="4">
                  <c:v>2.9987255416448009E-3</c:v>
                </c:pt>
                <c:pt idx="5">
                  <c:v>3.2985980958092809E-3</c:v>
                </c:pt>
                <c:pt idx="6">
                  <c:v>9.670889871804483E-3</c:v>
                </c:pt>
                <c:pt idx="7">
                  <c:v>6.1473873603718416E-3</c:v>
                </c:pt>
                <c:pt idx="8">
                  <c:v>7.4968138541120022E-4</c:v>
                </c:pt>
                <c:pt idx="9">
                  <c:v>3.7484069270560011E-4</c:v>
                </c:pt>
                <c:pt idx="10">
                  <c:v>0.68888222505435193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Natete-Rubaga'!$S$9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Natete-Rubaga'!$S$10:$S$21</c:f>
              <c:numCache>
                <c:formatCode>0</c:formatCode>
                <c:ptCount val="12"/>
                <c:pt idx="0">
                  <c:v>124</c:v>
                </c:pt>
                <c:pt idx="1">
                  <c:v>149</c:v>
                </c:pt>
                <c:pt idx="2">
                  <c:v>182</c:v>
                </c:pt>
                <c:pt idx="3">
                  <c:v>123</c:v>
                </c:pt>
                <c:pt idx="4">
                  <c:v>120</c:v>
                </c:pt>
                <c:pt idx="5">
                  <c:v>97</c:v>
                </c:pt>
                <c:pt idx="6">
                  <c:v>109</c:v>
                </c:pt>
                <c:pt idx="7">
                  <c:v>109</c:v>
                </c:pt>
                <c:pt idx="8">
                  <c:v>138</c:v>
                </c:pt>
                <c:pt idx="9">
                  <c:v>52</c:v>
                </c:pt>
                <c:pt idx="10">
                  <c:v>91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Natete-Rubaga'!$T$9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Natete-Rubaga'!$T$10:$T$21</c:f>
              <c:numCache>
                <c:formatCode>0</c:formatCode>
                <c:ptCount val="12"/>
                <c:pt idx="0">
                  <c:v>32</c:v>
                </c:pt>
                <c:pt idx="1">
                  <c:v>33</c:v>
                </c:pt>
                <c:pt idx="2">
                  <c:v>60</c:v>
                </c:pt>
                <c:pt idx="3">
                  <c:v>42</c:v>
                </c:pt>
                <c:pt idx="4">
                  <c:v>34</c:v>
                </c:pt>
                <c:pt idx="5">
                  <c:v>36</c:v>
                </c:pt>
                <c:pt idx="6">
                  <c:v>37</c:v>
                </c:pt>
                <c:pt idx="7">
                  <c:v>30</c:v>
                </c:pt>
                <c:pt idx="8">
                  <c:v>45</c:v>
                </c:pt>
                <c:pt idx="9">
                  <c:v>29</c:v>
                </c:pt>
                <c:pt idx="10">
                  <c:v>17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Natete-Rubaga'!$U$9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Natete-Rubaga'!$U$10:$U$21</c:f>
              <c:numCache>
                <c:formatCode>0</c:formatCode>
                <c:ptCount val="12"/>
                <c:pt idx="0">
                  <c:v>13</c:v>
                </c:pt>
                <c:pt idx="1">
                  <c:v>25</c:v>
                </c:pt>
                <c:pt idx="2">
                  <c:v>21</c:v>
                </c:pt>
                <c:pt idx="3">
                  <c:v>24</c:v>
                </c:pt>
                <c:pt idx="4">
                  <c:v>20</c:v>
                </c:pt>
                <c:pt idx="5">
                  <c:v>31</c:v>
                </c:pt>
                <c:pt idx="6">
                  <c:v>22</c:v>
                </c:pt>
                <c:pt idx="7">
                  <c:v>18</c:v>
                </c:pt>
                <c:pt idx="8">
                  <c:v>27</c:v>
                </c:pt>
                <c:pt idx="9">
                  <c:v>12</c:v>
                </c:pt>
                <c:pt idx="10">
                  <c:v>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Natete-Rubaga'!$V$9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Natete-Rubaga'!$V$10:$V$21</c:f>
              <c:numCache>
                <c:formatCode>0</c:formatCode>
                <c:ptCount val="12"/>
                <c:pt idx="0">
                  <c:v>179</c:v>
                </c:pt>
                <c:pt idx="1">
                  <c:v>207</c:v>
                </c:pt>
                <c:pt idx="2">
                  <c:v>253</c:v>
                </c:pt>
                <c:pt idx="3">
                  <c:v>189</c:v>
                </c:pt>
                <c:pt idx="4">
                  <c:v>143</c:v>
                </c:pt>
                <c:pt idx="5">
                  <c:v>146</c:v>
                </c:pt>
                <c:pt idx="6">
                  <c:v>146</c:v>
                </c:pt>
                <c:pt idx="7">
                  <c:v>137</c:v>
                </c:pt>
                <c:pt idx="8">
                  <c:v>143</c:v>
                </c:pt>
                <c:pt idx="9">
                  <c:v>84</c:v>
                </c:pt>
                <c:pt idx="10">
                  <c:v>117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Natete-Rubaga'!$W$9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Natete-Rubaga'!$W$10:$W$21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Natete-Rubaga'!$X$9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Natete-Rubaga'!$X$10:$X$21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Natete-Rubaga'!$Y$9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Natete-Rubaga'!$Y$10:$Y$21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2</c:v>
                </c:pt>
                <c:pt idx="3">
                  <c:v>4</c:v>
                </c:pt>
                <c:pt idx="4">
                  <c:v>11</c:v>
                </c:pt>
                <c:pt idx="5">
                  <c:v>8</c:v>
                </c:pt>
                <c:pt idx="6">
                  <c:v>15</c:v>
                </c:pt>
                <c:pt idx="7">
                  <c:v>1</c:v>
                </c:pt>
                <c:pt idx="8">
                  <c:v>9</c:v>
                </c:pt>
                <c:pt idx="9">
                  <c:v>23</c:v>
                </c:pt>
                <c:pt idx="10">
                  <c:v>23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Natete-Rubaga'!$Z$9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Natete-Rubaga'!$Z$10:$Z$21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7</c:v>
                </c:pt>
                <c:pt idx="3">
                  <c:v>3</c:v>
                </c:pt>
                <c:pt idx="4">
                  <c:v>5</c:v>
                </c:pt>
                <c:pt idx="5">
                  <c:v>9</c:v>
                </c:pt>
                <c:pt idx="6">
                  <c:v>11</c:v>
                </c:pt>
                <c:pt idx="7">
                  <c:v>9</c:v>
                </c:pt>
                <c:pt idx="8">
                  <c:v>9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Natete-Rubaga'!$AA$9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Natete-Rubaga'!$AB$9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Natete-Rubaga'!$AC$9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Natete-Rubaga'!$AC$10:$AC$21</c:f>
              <c:numCache>
                <c:formatCode>0</c:formatCode>
                <c:ptCount val="12"/>
                <c:pt idx="0">
                  <c:v>1326</c:v>
                </c:pt>
                <c:pt idx="1">
                  <c:v>1391</c:v>
                </c:pt>
                <c:pt idx="2">
                  <c:v>1326</c:v>
                </c:pt>
                <c:pt idx="3">
                  <c:v>995</c:v>
                </c:pt>
                <c:pt idx="4">
                  <c:v>807</c:v>
                </c:pt>
                <c:pt idx="5">
                  <c:v>593</c:v>
                </c:pt>
                <c:pt idx="6">
                  <c:v>575</c:v>
                </c:pt>
                <c:pt idx="7">
                  <c:v>591</c:v>
                </c:pt>
                <c:pt idx="8">
                  <c:v>605</c:v>
                </c:pt>
                <c:pt idx="9">
                  <c:v>408</c:v>
                </c:pt>
                <c:pt idx="10">
                  <c:v>264</c:v>
                </c:pt>
                <c:pt idx="11">
                  <c:v>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Natete-Rubaga'!$AD$9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Natete-Rubaga'!$AD$10:$AD$21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3242704"/>
        <c:axId val="-153249776"/>
      </c:lineChart>
      <c:catAx>
        <c:axId val="-1532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9776"/>
        <c:crosses val="autoZero"/>
        <c:auto val="1"/>
        <c:lblAlgn val="ctr"/>
        <c:lblOffset val="100"/>
        <c:noMultiLvlLbl val="0"/>
      </c:catAx>
      <c:valAx>
        <c:axId val="-15324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Natete-Rubaga'!$C$60:$N$60</c:f>
              <c:numCache>
                <c:formatCode>0.00%</c:formatCode>
                <c:ptCount val="12"/>
                <c:pt idx="0">
                  <c:v>0.32698795180722889</c:v>
                </c:pt>
                <c:pt idx="1">
                  <c:v>9.927710843373494E-2</c:v>
                </c:pt>
                <c:pt idx="2">
                  <c:v>5.5421686746987948E-2</c:v>
                </c:pt>
                <c:pt idx="3">
                  <c:v>0.4436144578313253</c:v>
                </c:pt>
                <c:pt idx="4">
                  <c:v>9.6385542168674707E-3</c:v>
                </c:pt>
                <c:pt idx="5">
                  <c:v>1.0602409638554217E-2</c:v>
                </c:pt>
                <c:pt idx="6">
                  <c:v>3.1084337349397591E-2</c:v>
                </c:pt>
                <c:pt idx="7">
                  <c:v>1.9759036144578312E-2</c:v>
                </c:pt>
                <c:pt idx="8">
                  <c:v>2.4096385542168677E-3</c:v>
                </c:pt>
                <c:pt idx="9">
                  <c:v>1.2048192771084338E-3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Rubaga-Natete'!$AE$9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Rubaga-Natete'!$AE$10:$AE$21</c:f>
              <c:numCache>
                <c:formatCode>0</c:formatCode>
                <c:ptCount val="12"/>
                <c:pt idx="0">
                  <c:v>308</c:v>
                </c:pt>
                <c:pt idx="1">
                  <c:v>297</c:v>
                </c:pt>
                <c:pt idx="2">
                  <c:v>319</c:v>
                </c:pt>
                <c:pt idx="3">
                  <c:v>331</c:v>
                </c:pt>
                <c:pt idx="4">
                  <c:v>388</c:v>
                </c:pt>
                <c:pt idx="5">
                  <c:v>424</c:v>
                </c:pt>
                <c:pt idx="6">
                  <c:v>371</c:v>
                </c:pt>
                <c:pt idx="7">
                  <c:v>363</c:v>
                </c:pt>
                <c:pt idx="8">
                  <c:v>324</c:v>
                </c:pt>
                <c:pt idx="9">
                  <c:v>581</c:v>
                </c:pt>
                <c:pt idx="10">
                  <c:v>653</c:v>
                </c:pt>
                <c:pt idx="11">
                  <c:v>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Rubaga-Natete'!$AF$9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Rubaga-Natete'!$AF$10:$AF$21</c:f>
              <c:numCache>
                <c:formatCode>0</c:formatCode>
                <c:ptCount val="12"/>
                <c:pt idx="0">
                  <c:v>811</c:v>
                </c:pt>
                <c:pt idx="1">
                  <c:v>1095</c:v>
                </c:pt>
                <c:pt idx="2">
                  <c:v>1189</c:v>
                </c:pt>
                <c:pt idx="3">
                  <c:v>1124</c:v>
                </c:pt>
                <c:pt idx="4">
                  <c:v>1298</c:v>
                </c:pt>
                <c:pt idx="5">
                  <c:v>1222</c:v>
                </c:pt>
                <c:pt idx="6">
                  <c:v>968</c:v>
                </c:pt>
                <c:pt idx="7">
                  <c:v>794</c:v>
                </c:pt>
                <c:pt idx="8">
                  <c:v>859</c:v>
                </c:pt>
                <c:pt idx="9">
                  <c:v>1158</c:v>
                </c:pt>
                <c:pt idx="10">
                  <c:v>1344</c:v>
                </c:pt>
                <c:pt idx="11">
                  <c:v>1429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3253040"/>
        <c:axId val="-153245968"/>
      </c:lineChart>
      <c:catAx>
        <c:axId val="-153253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5968"/>
        <c:crosses val="autoZero"/>
        <c:auto val="1"/>
        <c:lblAlgn val="ctr"/>
        <c:lblOffset val="100"/>
        <c:noMultiLvlLbl val="0"/>
      </c:catAx>
      <c:valAx>
        <c:axId val="-153245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5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Rubaga-Natete'!$C$59:$N$59</c:f>
              <c:numCache>
                <c:formatCode>0.0%</c:formatCode>
                <c:ptCount val="12"/>
                <c:pt idx="0">
                  <c:v>0.14220148972989241</c:v>
                </c:pt>
                <c:pt idx="1">
                  <c:v>1.3618237905349485E-2</c:v>
                </c:pt>
                <c:pt idx="2">
                  <c:v>1.745542096155293E-2</c:v>
                </c:pt>
                <c:pt idx="3">
                  <c:v>0.17350086524715974</c:v>
                </c:pt>
                <c:pt idx="4">
                  <c:v>5.9438717929425925E-3</c:v>
                </c:pt>
                <c:pt idx="5">
                  <c:v>5.642916259122715E-3</c:v>
                </c:pt>
                <c:pt idx="6">
                  <c:v>9.781054849146039E-3</c:v>
                </c:pt>
                <c:pt idx="7">
                  <c:v>8.6524715973214962E-3</c:v>
                </c:pt>
                <c:pt idx="8">
                  <c:v>8.2762771800466478E-4</c:v>
                </c:pt>
                <c:pt idx="9">
                  <c:v>1.3542999021894516E-3</c:v>
                </c:pt>
                <c:pt idx="10">
                  <c:v>0.62102174403731847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Rubaga-Natete'!$C$60:$N$60</c:f>
              <c:numCache>
                <c:formatCode>0.00%</c:formatCode>
                <c:ptCount val="12"/>
                <c:pt idx="0">
                  <c:v>0.37522334723049433</c:v>
                </c:pt>
                <c:pt idx="1">
                  <c:v>3.5934087750645223E-2</c:v>
                </c:pt>
                <c:pt idx="2">
                  <c:v>4.6059162199722059E-2</c:v>
                </c:pt>
                <c:pt idx="3">
                  <c:v>0.45781218979551319</c:v>
                </c:pt>
                <c:pt idx="4">
                  <c:v>1.5683938852491561E-2</c:v>
                </c:pt>
                <c:pt idx="5">
                  <c:v>1.4889815366289458E-2</c:v>
                </c:pt>
                <c:pt idx="6">
                  <c:v>2.5809013301568394E-2</c:v>
                </c:pt>
                <c:pt idx="7">
                  <c:v>2.2831050228310501E-2</c:v>
                </c:pt>
                <c:pt idx="8">
                  <c:v>2.1838395870557871E-3</c:v>
                </c:pt>
                <c:pt idx="9">
                  <c:v>3.5735556879094698E-3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Natete-Rubaga'!$AE$10:$AE$21</c:f>
              <c:numCache>
                <c:formatCode>0</c:formatCode>
                <c:ptCount val="12"/>
                <c:pt idx="0">
                  <c:v>420</c:v>
                </c:pt>
                <c:pt idx="1">
                  <c:v>435</c:v>
                </c:pt>
                <c:pt idx="2">
                  <c:v>438</c:v>
                </c:pt>
                <c:pt idx="3">
                  <c:v>440</c:v>
                </c:pt>
                <c:pt idx="4">
                  <c:v>363</c:v>
                </c:pt>
                <c:pt idx="5">
                  <c:v>361</c:v>
                </c:pt>
                <c:pt idx="6">
                  <c:v>368</c:v>
                </c:pt>
                <c:pt idx="7">
                  <c:v>399</c:v>
                </c:pt>
                <c:pt idx="8">
                  <c:v>295</c:v>
                </c:pt>
                <c:pt idx="9">
                  <c:v>384</c:v>
                </c:pt>
                <c:pt idx="10">
                  <c:v>391</c:v>
                </c:pt>
                <c:pt idx="11">
                  <c:v>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Natete-Rubaga'!$AF$9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Natete-Rubaga'!$AF$10:$AF$21</c:f>
              <c:numCache>
                <c:formatCode>0</c:formatCode>
                <c:ptCount val="12"/>
                <c:pt idx="0">
                  <c:v>1660</c:v>
                </c:pt>
                <c:pt idx="1">
                  <c:v>2475</c:v>
                </c:pt>
                <c:pt idx="2">
                  <c:v>1940</c:v>
                </c:pt>
                <c:pt idx="3">
                  <c:v>1420</c:v>
                </c:pt>
                <c:pt idx="4">
                  <c:v>1277</c:v>
                </c:pt>
                <c:pt idx="5">
                  <c:v>1151</c:v>
                </c:pt>
                <c:pt idx="6">
                  <c:v>993</c:v>
                </c:pt>
                <c:pt idx="7">
                  <c:v>777</c:v>
                </c:pt>
                <c:pt idx="8">
                  <c:v>735</c:v>
                </c:pt>
                <c:pt idx="9">
                  <c:v>815</c:v>
                </c:pt>
                <c:pt idx="10">
                  <c:v>756</c:v>
                </c:pt>
                <c:pt idx="11">
                  <c:v>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3241072"/>
        <c:axId val="-153244880"/>
      </c:lineChart>
      <c:catAx>
        <c:axId val="-153241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4880"/>
        <c:crosses val="autoZero"/>
        <c:auto val="1"/>
        <c:lblAlgn val="ctr"/>
        <c:lblOffset val="100"/>
        <c:noMultiLvlLbl val="0"/>
      </c:catAx>
      <c:valAx>
        <c:axId val="-153244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Natete-Rubaga'!$C$59:$N$59</c:f>
              <c:numCache>
                <c:formatCode>0.0%</c:formatCode>
                <c:ptCount val="12"/>
                <c:pt idx="0">
                  <c:v>0.11206026770700209</c:v>
                </c:pt>
                <c:pt idx="1">
                  <c:v>2.3407546915988432E-2</c:v>
                </c:pt>
                <c:pt idx="2">
                  <c:v>1.695029259433645E-2</c:v>
                </c:pt>
                <c:pt idx="3">
                  <c:v>0.13910002017891976</c:v>
                </c:pt>
                <c:pt idx="4">
                  <c:v>4.7756776753884438E-3</c:v>
                </c:pt>
                <c:pt idx="5">
                  <c:v>3.8339947534808635E-3</c:v>
                </c:pt>
                <c:pt idx="6">
                  <c:v>9.3495661532252642E-3</c:v>
                </c:pt>
                <c:pt idx="7">
                  <c:v>7.8697787045133513E-3</c:v>
                </c:pt>
                <c:pt idx="8">
                  <c:v>8.7441985605703904E-4</c:v>
                </c:pt>
                <c:pt idx="9">
                  <c:v>4.7084146095379027E-4</c:v>
                </c:pt>
                <c:pt idx="10">
                  <c:v>0.68130759400013452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Natete-Rubaga'!$S$9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Natete-Rubaga'!$S$10:$S$21</c:f>
              <c:numCache>
                <c:formatCode>0</c:formatCode>
                <c:ptCount val="12"/>
                <c:pt idx="0">
                  <c:v>143</c:v>
                </c:pt>
                <c:pt idx="1">
                  <c:v>151</c:v>
                </c:pt>
                <c:pt idx="2">
                  <c:v>160</c:v>
                </c:pt>
                <c:pt idx="3">
                  <c:v>182</c:v>
                </c:pt>
                <c:pt idx="4">
                  <c:v>149</c:v>
                </c:pt>
                <c:pt idx="5">
                  <c:v>129</c:v>
                </c:pt>
                <c:pt idx="6">
                  <c:v>116</c:v>
                </c:pt>
                <c:pt idx="7">
                  <c:v>141</c:v>
                </c:pt>
                <c:pt idx="8">
                  <c:v>91</c:v>
                </c:pt>
                <c:pt idx="9">
                  <c:v>120</c:v>
                </c:pt>
                <c:pt idx="10">
                  <c:v>121</c:v>
                </c:pt>
                <c:pt idx="11">
                  <c:v>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Natete-Rubaga'!$T$9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Natete-Rubaga'!$T$10:$T$21</c:f>
              <c:numCache>
                <c:formatCode>0</c:formatCode>
                <c:ptCount val="12"/>
                <c:pt idx="0">
                  <c:v>30</c:v>
                </c:pt>
                <c:pt idx="1">
                  <c:v>31</c:v>
                </c:pt>
                <c:pt idx="2">
                  <c:v>22</c:v>
                </c:pt>
                <c:pt idx="3">
                  <c:v>32</c:v>
                </c:pt>
                <c:pt idx="4">
                  <c:v>26</c:v>
                </c:pt>
                <c:pt idx="5">
                  <c:v>24</c:v>
                </c:pt>
                <c:pt idx="6">
                  <c:v>32</c:v>
                </c:pt>
                <c:pt idx="7">
                  <c:v>25</c:v>
                </c:pt>
                <c:pt idx="8">
                  <c:v>33</c:v>
                </c:pt>
                <c:pt idx="9">
                  <c:v>27</c:v>
                </c:pt>
                <c:pt idx="10">
                  <c:v>25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Natete-Rubaga'!$U$9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Natete-Rubaga'!$U$10:$U$21</c:f>
              <c:numCache>
                <c:formatCode>0</c:formatCode>
                <c:ptCount val="12"/>
                <c:pt idx="0">
                  <c:v>26</c:v>
                </c:pt>
                <c:pt idx="1">
                  <c:v>18</c:v>
                </c:pt>
                <c:pt idx="2">
                  <c:v>16</c:v>
                </c:pt>
                <c:pt idx="3">
                  <c:v>12</c:v>
                </c:pt>
                <c:pt idx="4">
                  <c:v>19</c:v>
                </c:pt>
                <c:pt idx="5">
                  <c:v>23</c:v>
                </c:pt>
                <c:pt idx="6">
                  <c:v>21</c:v>
                </c:pt>
                <c:pt idx="7">
                  <c:v>31</c:v>
                </c:pt>
                <c:pt idx="8">
                  <c:v>6</c:v>
                </c:pt>
                <c:pt idx="9">
                  <c:v>26</c:v>
                </c:pt>
                <c:pt idx="10">
                  <c:v>25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Natete-Rubaga'!$V$9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Natete-Rubaga'!$V$10:$V$21</c:f>
              <c:numCache>
                <c:formatCode>0</c:formatCode>
                <c:ptCount val="12"/>
                <c:pt idx="0">
                  <c:v>191</c:v>
                </c:pt>
                <c:pt idx="1">
                  <c:v>211</c:v>
                </c:pt>
                <c:pt idx="2">
                  <c:v>203</c:v>
                </c:pt>
                <c:pt idx="3">
                  <c:v>175</c:v>
                </c:pt>
                <c:pt idx="4">
                  <c:v>141</c:v>
                </c:pt>
                <c:pt idx="5">
                  <c:v>151</c:v>
                </c:pt>
                <c:pt idx="6">
                  <c:v>170</c:v>
                </c:pt>
                <c:pt idx="7">
                  <c:v>163</c:v>
                </c:pt>
                <c:pt idx="8">
                  <c:v>132</c:v>
                </c:pt>
                <c:pt idx="9">
                  <c:v>167</c:v>
                </c:pt>
                <c:pt idx="10">
                  <c:v>173</c:v>
                </c:pt>
                <c:pt idx="11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Natete-Rubaga'!$W$9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Natete-Rubaga'!$W$10:$W$21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14</c:v>
                </c:pt>
                <c:pt idx="3">
                  <c:v>9</c:v>
                </c:pt>
                <c:pt idx="4">
                  <c:v>1</c:v>
                </c:pt>
                <c:pt idx="5">
                  <c:v>2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  <c:pt idx="9">
                  <c:v>3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Natete-Rubaga'!$X$9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8</c:v>
                </c:pt>
                <c:pt idx="8">
                  <c:v>5</c:v>
                </c:pt>
                <c:pt idx="9">
                  <c:v>10</c:v>
                </c:pt>
                <c:pt idx="10">
                  <c:v>11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Natete-Rubaga'!$Y$9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Natete-Rubaga'!$Y$10:$Y$21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16</c:v>
                </c:pt>
                <c:pt idx="6">
                  <c:v>7</c:v>
                </c:pt>
                <c:pt idx="7">
                  <c:v>19</c:v>
                </c:pt>
                <c:pt idx="8">
                  <c:v>11</c:v>
                </c:pt>
                <c:pt idx="9">
                  <c:v>15</c:v>
                </c:pt>
                <c:pt idx="10">
                  <c:v>17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Natete-Rubaga'!$Z$9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Natete-Rubaga'!$Z$10:$Z$21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15</c:v>
                </c:pt>
                <c:pt idx="3">
                  <c:v>11</c:v>
                </c:pt>
                <c:pt idx="4">
                  <c:v>13</c:v>
                </c:pt>
                <c:pt idx="5">
                  <c:v>12</c:v>
                </c:pt>
                <c:pt idx="6">
                  <c:v>8</c:v>
                </c:pt>
                <c:pt idx="7">
                  <c:v>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Natete-Rubaga'!$AA$9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Natete-Rubaga'!$AB$9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Natete-Rubaga'!$AC$9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Natete-Rubaga'!$AC$10:$AC$21</c:f>
              <c:numCache>
                <c:formatCode>0</c:formatCode>
                <c:ptCount val="12"/>
                <c:pt idx="0">
                  <c:v>1240</c:v>
                </c:pt>
                <c:pt idx="1">
                  <c:v>2040</c:v>
                </c:pt>
                <c:pt idx="2">
                  <c:v>1502</c:v>
                </c:pt>
                <c:pt idx="3">
                  <c:v>980</c:v>
                </c:pt>
                <c:pt idx="4">
                  <c:v>914</c:v>
                </c:pt>
                <c:pt idx="5">
                  <c:v>790</c:v>
                </c:pt>
                <c:pt idx="6">
                  <c:v>625</c:v>
                </c:pt>
                <c:pt idx="7">
                  <c:v>378</c:v>
                </c:pt>
                <c:pt idx="8">
                  <c:v>440</c:v>
                </c:pt>
                <c:pt idx="9">
                  <c:v>431</c:v>
                </c:pt>
                <c:pt idx="10">
                  <c:v>365</c:v>
                </c:pt>
                <c:pt idx="11">
                  <c:v>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Natete-Rubaga'!$AD$9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Natete-Rubaga'!$AD$10:$AD$21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3248688"/>
        <c:axId val="-153248144"/>
      </c:lineChart>
      <c:catAx>
        <c:axId val="-15324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8144"/>
        <c:crosses val="autoZero"/>
        <c:auto val="1"/>
        <c:lblAlgn val="ctr"/>
        <c:lblOffset val="100"/>
        <c:noMultiLvlLbl val="0"/>
      </c:catAx>
      <c:valAx>
        <c:axId val="-15324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Natete-Rubaga'!$C$60:$N$60</c:f>
              <c:numCache>
                <c:formatCode>0.00%</c:formatCode>
                <c:ptCount val="12"/>
                <c:pt idx="0">
                  <c:v>0.35162515829463908</c:v>
                </c:pt>
                <c:pt idx="1">
                  <c:v>7.3448712536935412E-2</c:v>
                </c:pt>
                <c:pt idx="2">
                  <c:v>5.3186998733642889E-2</c:v>
                </c:pt>
                <c:pt idx="3">
                  <c:v>0.43647108484592656</c:v>
                </c:pt>
                <c:pt idx="4">
                  <c:v>1.49852258336851E-2</c:v>
                </c:pt>
                <c:pt idx="5">
                  <c:v>1.2030392570704939E-2</c:v>
                </c:pt>
                <c:pt idx="6">
                  <c:v>2.9337273111017307E-2</c:v>
                </c:pt>
                <c:pt idx="7">
                  <c:v>2.4693963697762771E-2</c:v>
                </c:pt>
                <c:pt idx="8">
                  <c:v>2.7437737441958631E-3</c:v>
                </c:pt>
                <c:pt idx="9">
                  <c:v>1.4774166314900801E-3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Rubaga-natete'!$AE$9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Rubaga-natete'!$AE$10:$AE$21</c:f>
              <c:numCache>
                <c:formatCode>0</c:formatCode>
                <c:ptCount val="12"/>
                <c:pt idx="0">
                  <c:v>286</c:v>
                </c:pt>
                <c:pt idx="1">
                  <c:v>423</c:v>
                </c:pt>
                <c:pt idx="2">
                  <c:v>394</c:v>
                </c:pt>
                <c:pt idx="3">
                  <c:v>431</c:v>
                </c:pt>
                <c:pt idx="4">
                  <c:v>398</c:v>
                </c:pt>
                <c:pt idx="5">
                  <c:v>461</c:v>
                </c:pt>
                <c:pt idx="6">
                  <c:v>417</c:v>
                </c:pt>
                <c:pt idx="7">
                  <c:v>387</c:v>
                </c:pt>
                <c:pt idx="8">
                  <c:v>453</c:v>
                </c:pt>
                <c:pt idx="9">
                  <c:v>517</c:v>
                </c:pt>
                <c:pt idx="10">
                  <c:v>473</c:v>
                </c:pt>
                <c:pt idx="11">
                  <c:v>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Rubaga-natete'!$AF$9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Rubaga-natete'!$AF$10:$AF$21</c:f>
              <c:numCache>
                <c:formatCode>0</c:formatCode>
                <c:ptCount val="12"/>
                <c:pt idx="0">
                  <c:v>714</c:v>
                </c:pt>
                <c:pt idx="1">
                  <c:v>1134</c:v>
                </c:pt>
                <c:pt idx="2">
                  <c:v>1043</c:v>
                </c:pt>
                <c:pt idx="3">
                  <c:v>1076</c:v>
                </c:pt>
                <c:pt idx="4">
                  <c:v>903</c:v>
                </c:pt>
                <c:pt idx="5">
                  <c:v>929</c:v>
                </c:pt>
                <c:pt idx="6">
                  <c:v>818</c:v>
                </c:pt>
                <c:pt idx="7">
                  <c:v>705</c:v>
                </c:pt>
                <c:pt idx="8">
                  <c:v>933</c:v>
                </c:pt>
                <c:pt idx="9">
                  <c:v>1214</c:v>
                </c:pt>
                <c:pt idx="10">
                  <c:v>1163</c:v>
                </c:pt>
                <c:pt idx="11">
                  <c:v>1402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3243248"/>
        <c:axId val="-152083952"/>
      </c:lineChart>
      <c:catAx>
        <c:axId val="-153243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3952"/>
        <c:crosses val="autoZero"/>
        <c:auto val="1"/>
        <c:lblAlgn val="ctr"/>
        <c:lblOffset val="100"/>
        <c:noMultiLvlLbl val="0"/>
      </c:catAx>
      <c:valAx>
        <c:axId val="-15208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324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Rubaga-natete'!$C$59:$N$59</c:f>
              <c:numCache>
                <c:formatCode>0.0%</c:formatCode>
                <c:ptCount val="12"/>
                <c:pt idx="0">
                  <c:v>0.16669436596310452</c:v>
                </c:pt>
                <c:pt idx="1">
                  <c:v>1.4126641183313944E-2</c:v>
                </c:pt>
                <c:pt idx="2">
                  <c:v>1.6287186305467841E-2</c:v>
                </c:pt>
                <c:pt idx="3">
                  <c:v>0.19910254279541301</c:v>
                </c:pt>
                <c:pt idx="4">
                  <c:v>6.9802227023433609E-3</c:v>
                </c:pt>
                <c:pt idx="5">
                  <c:v>5.7337543626391893E-3</c:v>
                </c:pt>
                <c:pt idx="6">
                  <c:v>1.0054844606946984E-2</c:v>
                </c:pt>
                <c:pt idx="7">
                  <c:v>7.1464184809705835E-3</c:v>
                </c:pt>
                <c:pt idx="8">
                  <c:v>1.3295662290177829E-3</c:v>
                </c:pt>
                <c:pt idx="9">
                  <c:v>8.3097889313611434E-4</c:v>
                </c:pt>
                <c:pt idx="10">
                  <c:v>0.57171347847764664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Rubaga-natete'!$S$9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Rubaga-natete'!$S$10:$S$21</c:f>
              <c:numCache>
                <c:formatCode>0</c:formatCode>
                <c:ptCount val="12"/>
                <c:pt idx="0">
                  <c:v>105</c:v>
                </c:pt>
                <c:pt idx="1">
                  <c:v>127</c:v>
                </c:pt>
                <c:pt idx="2">
                  <c:v>168</c:v>
                </c:pt>
                <c:pt idx="3">
                  <c:v>159</c:v>
                </c:pt>
                <c:pt idx="4">
                  <c:v>142</c:v>
                </c:pt>
                <c:pt idx="5">
                  <c:v>166</c:v>
                </c:pt>
                <c:pt idx="6">
                  <c:v>141</c:v>
                </c:pt>
                <c:pt idx="7">
                  <c:v>144</c:v>
                </c:pt>
                <c:pt idx="8">
                  <c:v>179</c:v>
                </c:pt>
                <c:pt idx="9">
                  <c:v>218</c:v>
                </c:pt>
                <c:pt idx="10">
                  <c:v>225</c:v>
                </c:pt>
                <c:pt idx="11">
                  <c:v>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Rubaga-natete'!$T$9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Rubaga-natete'!$T$10:$T$21</c:f>
              <c:numCache>
                <c:formatCode>0</c:formatCode>
                <c:ptCount val="12"/>
                <c:pt idx="0">
                  <c:v>14</c:v>
                </c:pt>
                <c:pt idx="1">
                  <c:v>17</c:v>
                </c:pt>
                <c:pt idx="2">
                  <c:v>5</c:v>
                </c:pt>
                <c:pt idx="3">
                  <c:v>18</c:v>
                </c:pt>
                <c:pt idx="4">
                  <c:v>15</c:v>
                </c:pt>
                <c:pt idx="5">
                  <c:v>9</c:v>
                </c:pt>
                <c:pt idx="6">
                  <c:v>13</c:v>
                </c:pt>
                <c:pt idx="7">
                  <c:v>11</c:v>
                </c:pt>
                <c:pt idx="8">
                  <c:v>9</c:v>
                </c:pt>
                <c:pt idx="9">
                  <c:v>13</c:v>
                </c:pt>
                <c:pt idx="10">
                  <c:v>18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Rubaga-natete'!$U$9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Rubaga-natete'!$U$10:$U$21</c:f>
              <c:numCache>
                <c:formatCode>0</c:formatCode>
                <c:ptCount val="12"/>
                <c:pt idx="0">
                  <c:v>10</c:v>
                </c:pt>
                <c:pt idx="1">
                  <c:v>14</c:v>
                </c:pt>
                <c:pt idx="2">
                  <c:v>12</c:v>
                </c:pt>
                <c:pt idx="3">
                  <c:v>17</c:v>
                </c:pt>
                <c:pt idx="4">
                  <c:v>25</c:v>
                </c:pt>
                <c:pt idx="5">
                  <c:v>12</c:v>
                </c:pt>
                <c:pt idx="6">
                  <c:v>15</c:v>
                </c:pt>
                <c:pt idx="7">
                  <c:v>19</c:v>
                </c:pt>
                <c:pt idx="8">
                  <c:v>12</c:v>
                </c:pt>
                <c:pt idx="9">
                  <c:v>14</c:v>
                </c:pt>
                <c:pt idx="10">
                  <c:v>19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Rubaga-natete'!$V$9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Rubaga-natete'!$V$10:$V$21</c:f>
              <c:numCache>
                <c:formatCode>0</c:formatCode>
                <c:ptCount val="12"/>
                <c:pt idx="0">
                  <c:v>134</c:v>
                </c:pt>
                <c:pt idx="1">
                  <c:v>229</c:v>
                </c:pt>
                <c:pt idx="2">
                  <c:v>184</c:v>
                </c:pt>
                <c:pt idx="3">
                  <c:v>209</c:v>
                </c:pt>
                <c:pt idx="4">
                  <c:v>191</c:v>
                </c:pt>
                <c:pt idx="5">
                  <c:v>241</c:v>
                </c:pt>
                <c:pt idx="6">
                  <c:v>212</c:v>
                </c:pt>
                <c:pt idx="7">
                  <c:v>188</c:v>
                </c:pt>
                <c:pt idx="8">
                  <c:v>218</c:v>
                </c:pt>
                <c:pt idx="9">
                  <c:v>238</c:v>
                </c:pt>
                <c:pt idx="10">
                  <c:v>170</c:v>
                </c:pt>
                <c:pt idx="11">
                  <c:v>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Rubaga-natete'!$W$9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Rubaga-natete'!$W$10:$W$21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11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10</c:v>
                </c:pt>
                <c:pt idx="7">
                  <c:v>4</c:v>
                </c:pt>
                <c:pt idx="8">
                  <c:v>5</c:v>
                </c:pt>
                <c:pt idx="9">
                  <c:v>7</c:v>
                </c:pt>
                <c:pt idx="10">
                  <c:v>16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Rubaga-natete'!$X$9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Rubaga-natete'!$X$10:$X$21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Rubaga-natete'!$Y$9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Rubaga-natete'!$Y$10:$Y$21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6</c:v>
                </c:pt>
                <c:pt idx="3">
                  <c:v>9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6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Rubaga-natete'!$Z$9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Rubaga-natete'!$Z$10:$Z$21</c:f>
              <c:numCache>
                <c:formatCode>0</c:formatCode>
                <c:ptCount val="12"/>
                <c:pt idx="0">
                  <c:v>4</c:v>
                </c:pt>
                <c:pt idx="1">
                  <c:v>13</c:v>
                </c:pt>
                <c:pt idx="2">
                  <c:v>1</c:v>
                </c:pt>
                <c:pt idx="3">
                  <c:v>9</c:v>
                </c:pt>
                <c:pt idx="4">
                  <c:v>7</c:v>
                </c:pt>
                <c:pt idx="5">
                  <c:v>10</c:v>
                </c:pt>
                <c:pt idx="6">
                  <c:v>7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Rubaga-natete'!$AA$9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Rubaga-natete'!$AB$9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Rubaga-natete'!$AC$9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Rubaga-natete'!$AC$10:$AC$21</c:f>
              <c:numCache>
                <c:formatCode>0</c:formatCode>
                <c:ptCount val="12"/>
                <c:pt idx="0">
                  <c:v>428</c:v>
                </c:pt>
                <c:pt idx="1">
                  <c:v>711</c:v>
                </c:pt>
                <c:pt idx="2">
                  <c:v>649</c:v>
                </c:pt>
                <c:pt idx="3">
                  <c:v>645</c:v>
                </c:pt>
                <c:pt idx="4">
                  <c:v>505</c:v>
                </c:pt>
                <c:pt idx="5">
                  <c:v>468</c:v>
                </c:pt>
                <c:pt idx="6">
                  <c:v>401</c:v>
                </c:pt>
                <c:pt idx="7">
                  <c:v>318</c:v>
                </c:pt>
                <c:pt idx="8">
                  <c:v>480</c:v>
                </c:pt>
                <c:pt idx="9">
                  <c:v>697</c:v>
                </c:pt>
                <c:pt idx="10">
                  <c:v>690</c:v>
                </c:pt>
                <c:pt idx="11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Rubaga-natete'!$AD$9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Rubaga-natete'!$AD$10:$AD$21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52092656"/>
        <c:axId val="-152086672"/>
      </c:lineChart>
      <c:catAx>
        <c:axId val="-15209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6672"/>
        <c:crosses val="autoZero"/>
        <c:auto val="1"/>
        <c:lblAlgn val="ctr"/>
        <c:lblOffset val="100"/>
        <c:noMultiLvlLbl val="0"/>
      </c:catAx>
      <c:valAx>
        <c:axId val="-1520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9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Rubaga-natete'!$C$60:$N$60</c:f>
              <c:numCache>
                <c:formatCode>0.00%</c:formatCode>
                <c:ptCount val="12"/>
                <c:pt idx="0">
                  <c:v>0.38921226232052775</c:v>
                </c:pt>
                <c:pt idx="1">
                  <c:v>3.2984090027163369E-2</c:v>
                </c:pt>
                <c:pt idx="2">
                  <c:v>3.802871556072953E-2</c:v>
                </c:pt>
                <c:pt idx="3">
                  <c:v>0.46488164532402015</c:v>
                </c:pt>
                <c:pt idx="4">
                  <c:v>1.6298020954598369E-2</c:v>
                </c:pt>
                <c:pt idx="5">
                  <c:v>1.3387660069848661E-2</c:v>
                </c:pt>
                <c:pt idx="6">
                  <c:v>2.3476911136980985E-2</c:v>
                </c:pt>
                <c:pt idx="7">
                  <c:v>1.6686069072564997E-2</c:v>
                </c:pt>
                <c:pt idx="8">
                  <c:v>3.1043849437330227E-3</c:v>
                </c:pt>
                <c:pt idx="9">
                  <c:v>1.9402405898331393E-3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Natete-Rubaga-24h'!$AE$9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Natete-Rubaga-24h'!$R$10:$R$33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Natete-Rubaga-24h'!$AE$10:$AE$33</c:f>
              <c:numCache>
                <c:formatCode>0</c:formatCode>
                <c:ptCount val="24"/>
                <c:pt idx="0">
                  <c:v>676</c:v>
                </c:pt>
                <c:pt idx="1">
                  <c:v>516</c:v>
                </c:pt>
                <c:pt idx="2">
                  <c:v>496</c:v>
                </c:pt>
                <c:pt idx="3">
                  <c:v>416</c:v>
                </c:pt>
                <c:pt idx="4">
                  <c:v>405</c:v>
                </c:pt>
                <c:pt idx="5">
                  <c:v>314</c:v>
                </c:pt>
                <c:pt idx="6">
                  <c:v>336</c:v>
                </c:pt>
                <c:pt idx="7">
                  <c:v>372</c:v>
                </c:pt>
                <c:pt idx="8">
                  <c:v>194</c:v>
                </c:pt>
                <c:pt idx="9">
                  <c:v>257</c:v>
                </c:pt>
                <c:pt idx="10">
                  <c:v>341</c:v>
                </c:pt>
                <c:pt idx="11">
                  <c:v>267</c:v>
                </c:pt>
                <c:pt idx="12">
                  <c:v>1661</c:v>
                </c:pt>
                <c:pt idx="13">
                  <c:v>582</c:v>
                </c:pt>
                <c:pt idx="14">
                  <c:v>556</c:v>
                </c:pt>
                <c:pt idx="15">
                  <c:v>534</c:v>
                </c:pt>
                <c:pt idx="16">
                  <c:v>174</c:v>
                </c:pt>
                <c:pt idx="17">
                  <c:v>73</c:v>
                </c:pt>
                <c:pt idx="18">
                  <c:v>75</c:v>
                </c:pt>
                <c:pt idx="19">
                  <c:v>39</c:v>
                </c:pt>
                <c:pt idx="20">
                  <c:v>39</c:v>
                </c:pt>
                <c:pt idx="21">
                  <c:v>67</c:v>
                </c:pt>
                <c:pt idx="22">
                  <c:v>263</c:v>
                </c:pt>
                <c:pt idx="23">
                  <c:v>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Natete-Rubaga-24h'!$AF$9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Natete-Rubaga-24h'!$R$10:$R$33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Natete-Rubaga-24h'!$AF$10:$AF$33</c:f>
              <c:numCache>
                <c:formatCode>0</c:formatCode>
                <c:ptCount val="24"/>
                <c:pt idx="0">
                  <c:v>2358</c:v>
                </c:pt>
                <c:pt idx="1">
                  <c:v>1639</c:v>
                </c:pt>
                <c:pt idx="2">
                  <c:v>1612</c:v>
                </c:pt>
                <c:pt idx="3">
                  <c:v>1069</c:v>
                </c:pt>
                <c:pt idx="4">
                  <c:v>1010</c:v>
                </c:pt>
                <c:pt idx="5">
                  <c:v>793</c:v>
                </c:pt>
                <c:pt idx="6">
                  <c:v>801</c:v>
                </c:pt>
                <c:pt idx="7">
                  <c:v>820</c:v>
                </c:pt>
                <c:pt idx="8">
                  <c:v>594</c:v>
                </c:pt>
                <c:pt idx="9">
                  <c:v>569</c:v>
                </c:pt>
                <c:pt idx="10">
                  <c:v>885</c:v>
                </c:pt>
                <c:pt idx="11">
                  <c:v>615</c:v>
                </c:pt>
                <c:pt idx="12">
                  <c:v>2621</c:v>
                </c:pt>
                <c:pt idx="13">
                  <c:v>1612</c:v>
                </c:pt>
                <c:pt idx="14">
                  <c:v>1236</c:v>
                </c:pt>
                <c:pt idx="15">
                  <c:v>889</c:v>
                </c:pt>
                <c:pt idx="16">
                  <c:v>424</c:v>
                </c:pt>
                <c:pt idx="17">
                  <c:v>307</c:v>
                </c:pt>
                <c:pt idx="18">
                  <c:v>215</c:v>
                </c:pt>
                <c:pt idx="19">
                  <c:v>125</c:v>
                </c:pt>
                <c:pt idx="20">
                  <c:v>108</c:v>
                </c:pt>
                <c:pt idx="21">
                  <c:v>149</c:v>
                </c:pt>
                <c:pt idx="22">
                  <c:v>583</c:v>
                </c:pt>
                <c:pt idx="23">
                  <c:v>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2087760"/>
        <c:axId val="-152088848"/>
      </c:lineChart>
      <c:catAx>
        <c:axId val="-152087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8848"/>
        <c:crosses val="autoZero"/>
        <c:auto val="1"/>
        <c:lblAlgn val="ctr"/>
        <c:lblOffset val="100"/>
        <c:noMultiLvlLbl val="0"/>
      </c:catAx>
      <c:valAx>
        <c:axId val="-152088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Natete-Rubaga-24h'!$C$9:$N$9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Natete-Rubaga-24h'!$C$107:$N$107</c:f>
              <c:numCache>
                <c:formatCode>0.0%</c:formatCode>
                <c:ptCount val="12"/>
                <c:pt idx="0">
                  <c:v>0.13029255931812947</c:v>
                </c:pt>
                <c:pt idx="1">
                  <c:v>4.9573830914535821E-2</c:v>
                </c:pt>
                <c:pt idx="2">
                  <c:v>3.0914535821239347E-2</c:v>
                </c:pt>
                <c:pt idx="3">
                  <c:v>0.14710896106887814</c:v>
                </c:pt>
                <c:pt idx="4">
                  <c:v>9.675190048375951E-3</c:v>
                </c:pt>
                <c:pt idx="5">
                  <c:v>9.4909007141211702E-3</c:v>
                </c:pt>
                <c:pt idx="6">
                  <c:v>1.317668739921677E-2</c:v>
                </c:pt>
                <c:pt idx="7">
                  <c:v>1.0873070721032021E-2</c:v>
                </c:pt>
                <c:pt idx="8">
                  <c:v>6.4961990324809956E-3</c:v>
                </c:pt>
                <c:pt idx="9">
                  <c:v>7.8783690393918453E-3</c:v>
                </c:pt>
                <c:pt idx="10">
                  <c:v>0.5866390232665285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Natete-Rubaga-24h'!$C$9:$N$9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Natete-Rubaga-24h'!$C$108:$N$108</c:f>
              <c:numCache>
                <c:formatCode>0.00%</c:formatCode>
                <c:ptCount val="12"/>
                <c:pt idx="0">
                  <c:v>0.31485192607437096</c:v>
                </c:pt>
                <c:pt idx="1">
                  <c:v>0.11979514584725005</c:v>
                </c:pt>
                <c:pt idx="2">
                  <c:v>7.4704965486528607E-2</c:v>
                </c:pt>
                <c:pt idx="3">
                  <c:v>0.3554887552883545</c:v>
                </c:pt>
                <c:pt idx="4">
                  <c:v>2.3380093520374082E-2</c:v>
                </c:pt>
                <c:pt idx="5">
                  <c:v>2.2934758405700289E-2</c:v>
                </c:pt>
                <c:pt idx="6">
                  <c:v>3.1841460699176129E-2</c:v>
                </c:pt>
                <c:pt idx="7">
                  <c:v>2.627477176575373E-2</c:v>
                </c:pt>
                <c:pt idx="8">
                  <c:v>1.569806279225117E-2</c:v>
                </c:pt>
                <c:pt idx="9">
                  <c:v>1.9038076152304611E-2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Rubaga-Natete-24h'!$AE$9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Rubaga-Natete-24h'!$R$10:$R$33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Rubaga-Natete-24h'!$AE$10:$AE$33</c:f>
              <c:numCache>
                <c:formatCode>0</c:formatCode>
                <c:ptCount val="24"/>
                <c:pt idx="0">
                  <c:v>372</c:v>
                </c:pt>
                <c:pt idx="1">
                  <c:v>446</c:v>
                </c:pt>
                <c:pt idx="2">
                  <c:v>423</c:v>
                </c:pt>
                <c:pt idx="3">
                  <c:v>423</c:v>
                </c:pt>
                <c:pt idx="4">
                  <c:v>433</c:v>
                </c:pt>
                <c:pt idx="5">
                  <c:v>449</c:v>
                </c:pt>
                <c:pt idx="6">
                  <c:v>481</c:v>
                </c:pt>
                <c:pt idx="7">
                  <c:v>433</c:v>
                </c:pt>
                <c:pt idx="8">
                  <c:v>386</c:v>
                </c:pt>
                <c:pt idx="9">
                  <c:v>335</c:v>
                </c:pt>
                <c:pt idx="10">
                  <c:v>547</c:v>
                </c:pt>
                <c:pt idx="11">
                  <c:v>634</c:v>
                </c:pt>
                <c:pt idx="12">
                  <c:v>644</c:v>
                </c:pt>
                <c:pt idx="13">
                  <c:v>399</c:v>
                </c:pt>
                <c:pt idx="14">
                  <c:v>409</c:v>
                </c:pt>
                <c:pt idx="15">
                  <c:v>301</c:v>
                </c:pt>
                <c:pt idx="16">
                  <c:v>220</c:v>
                </c:pt>
                <c:pt idx="17">
                  <c:v>133</c:v>
                </c:pt>
                <c:pt idx="18">
                  <c:v>88</c:v>
                </c:pt>
                <c:pt idx="19">
                  <c:v>57</c:v>
                </c:pt>
                <c:pt idx="20">
                  <c:v>28</c:v>
                </c:pt>
                <c:pt idx="21">
                  <c:v>74</c:v>
                </c:pt>
                <c:pt idx="22">
                  <c:v>217</c:v>
                </c:pt>
                <c:pt idx="23">
                  <c:v>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Rubaga-Natete-24h'!$AF$9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Rubaga-Natete-24h'!$R$10:$R$33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Rubaga-Natete-24h'!$AF$10:$AF$33</c:f>
              <c:numCache>
                <c:formatCode>0</c:formatCode>
                <c:ptCount val="24"/>
                <c:pt idx="0">
                  <c:v>820</c:v>
                </c:pt>
                <c:pt idx="1">
                  <c:v>1109</c:v>
                </c:pt>
                <c:pt idx="2">
                  <c:v>1165</c:v>
                </c:pt>
                <c:pt idx="3">
                  <c:v>1119</c:v>
                </c:pt>
                <c:pt idx="4">
                  <c:v>1083</c:v>
                </c:pt>
                <c:pt idx="5">
                  <c:v>1024</c:v>
                </c:pt>
                <c:pt idx="6">
                  <c:v>1090</c:v>
                </c:pt>
                <c:pt idx="7">
                  <c:v>832</c:v>
                </c:pt>
                <c:pt idx="8">
                  <c:v>757</c:v>
                </c:pt>
                <c:pt idx="9">
                  <c:v>857</c:v>
                </c:pt>
                <c:pt idx="10">
                  <c:v>1051</c:v>
                </c:pt>
                <c:pt idx="11">
                  <c:v>1394</c:v>
                </c:pt>
                <c:pt idx="12">
                  <c:v>1417</c:v>
                </c:pt>
                <c:pt idx="13">
                  <c:v>1192</c:v>
                </c:pt>
                <c:pt idx="14">
                  <c:v>1329</c:v>
                </c:pt>
                <c:pt idx="15">
                  <c:v>658</c:v>
                </c:pt>
                <c:pt idx="16">
                  <c:v>428</c:v>
                </c:pt>
                <c:pt idx="17">
                  <c:v>365</c:v>
                </c:pt>
                <c:pt idx="18">
                  <c:v>189</c:v>
                </c:pt>
                <c:pt idx="19">
                  <c:v>163</c:v>
                </c:pt>
                <c:pt idx="20">
                  <c:v>88</c:v>
                </c:pt>
                <c:pt idx="21">
                  <c:v>145</c:v>
                </c:pt>
                <c:pt idx="22">
                  <c:v>502</c:v>
                </c:pt>
                <c:pt idx="23">
                  <c:v>820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2087216"/>
        <c:axId val="-152082320"/>
      </c:lineChart>
      <c:catAx>
        <c:axId val="-152087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2320"/>
        <c:crosses val="autoZero"/>
        <c:auto val="1"/>
        <c:lblAlgn val="ctr"/>
        <c:lblOffset val="100"/>
        <c:noMultiLvlLbl val="0"/>
      </c:catAx>
      <c:valAx>
        <c:axId val="-152082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8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Rubaga-Natete-24h'!$C$9:$N$9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Rubaga-Natete-24h'!$C$107:$N$107</c:f>
              <c:numCache>
                <c:formatCode>0.0%</c:formatCode>
                <c:ptCount val="12"/>
                <c:pt idx="0">
                  <c:v>0.2027861407358269</c:v>
                </c:pt>
                <c:pt idx="1">
                  <c:v>1.6890340358218094E-2</c:v>
                </c:pt>
                <c:pt idx="2">
                  <c:v>1.9849977037301628E-2</c:v>
                </c:pt>
                <c:pt idx="3">
                  <c:v>0.15492167168444149</c:v>
                </c:pt>
                <c:pt idx="4">
                  <c:v>4.7966525488595197E-3</c:v>
                </c:pt>
                <c:pt idx="5">
                  <c:v>6.0213297953768431E-3</c:v>
                </c:pt>
                <c:pt idx="6">
                  <c:v>1.0256671939582589E-2</c:v>
                </c:pt>
                <c:pt idx="7">
                  <c:v>6.3785273256110626E-3</c:v>
                </c:pt>
                <c:pt idx="8">
                  <c:v>9.1850793488799302E-4</c:v>
                </c:pt>
                <c:pt idx="9">
                  <c:v>9.1850793488799302E-4</c:v>
                </c:pt>
                <c:pt idx="10">
                  <c:v>0.57626167270500583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Rubaga-Natete-24h'!$C$9:$N$9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Rubaga-Natete-24h'!$C$108:$N$108</c:f>
              <c:numCache>
                <c:formatCode>0.00%</c:formatCode>
                <c:ptCount val="12"/>
                <c:pt idx="0">
                  <c:v>0.4785645472061657</c:v>
                </c:pt>
                <c:pt idx="1">
                  <c:v>3.9860308285163779E-2</c:v>
                </c:pt>
                <c:pt idx="2">
                  <c:v>4.6844894026974955E-2</c:v>
                </c:pt>
                <c:pt idx="3">
                  <c:v>0.36560693641618497</c:v>
                </c:pt>
                <c:pt idx="4">
                  <c:v>1.1319845857418112E-2</c:v>
                </c:pt>
                <c:pt idx="5">
                  <c:v>1.4210019267822735E-2</c:v>
                </c:pt>
                <c:pt idx="6">
                  <c:v>2.4205202312138727E-2</c:v>
                </c:pt>
                <c:pt idx="7">
                  <c:v>1.5052986512524085E-2</c:v>
                </c:pt>
                <c:pt idx="8">
                  <c:v>2.167630057803468E-3</c:v>
                </c:pt>
                <c:pt idx="9">
                  <c:v>2.167630057803468E-3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Natete-Rubaga-24h'!$AE$9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Natete-Rubaga-24h'!$R$10:$R$33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Natete-Rubaga-24h'!$AE$10:$AE$33</c:f>
              <c:numCache>
                <c:formatCode>0</c:formatCode>
                <c:ptCount val="24"/>
                <c:pt idx="0">
                  <c:v>332</c:v>
                </c:pt>
                <c:pt idx="1">
                  <c:v>425</c:v>
                </c:pt>
                <c:pt idx="2">
                  <c:v>496</c:v>
                </c:pt>
                <c:pt idx="3">
                  <c:v>467</c:v>
                </c:pt>
                <c:pt idx="4">
                  <c:v>388</c:v>
                </c:pt>
                <c:pt idx="5">
                  <c:v>391</c:v>
                </c:pt>
                <c:pt idx="6">
                  <c:v>389</c:v>
                </c:pt>
                <c:pt idx="7">
                  <c:v>326</c:v>
                </c:pt>
                <c:pt idx="8">
                  <c:v>278</c:v>
                </c:pt>
                <c:pt idx="9">
                  <c:v>341</c:v>
                </c:pt>
                <c:pt idx="10">
                  <c:v>337</c:v>
                </c:pt>
                <c:pt idx="11">
                  <c:v>354</c:v>
                </c:pt>
                <c:pt idx="12">
                  <c:v>650</c:v>
                </c:pt>
                <c:pt idx="13">
                  <c:v>764</c:v>
                </c:pt>
                <c:pt idx="14">
                  <c:v>418</c:v>
                </c:pt>
                <c:pt idx="15">
                  <c:v>457</c:v>
                </c:pt>
                <c:pt idx="16">
                  <c:v>368</c:v>
                </c:pt>
                <c:pt idx="17">
                  <c:v>159</c:v>
                </c:pt>
                <c:pt idx="18">
                  <c:v>60</c:v>
                </c:pt>
                <c:pt idx="19">
                  <c:v>49</c:v>
                </c:pt>
                <c:pt idx="20">
                  <c:v>37</c:v>
                </c:pt>
                <c:pt idx="21">
                  <c:v>50</c:v>
                </c:pt>
                <c:pt idx="22">
                  <c:v>132</c:v>
                </c:pt>
                <c:pt idx="23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Natete-Rubaga-24h'!$AF$9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Natete-Rubaga-24h'!$R$10:$R$33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Natete-Rubaga-24h'!$AF$10:$AF$33</c:f>
              <c:numCache>
                <c:formatCode>0</c:formatCode>
                <c:ptCount val="24"/>
                <c:pt idx="0">
                  <c:v>1065</c:v>
                </c:pt>
                <c:pt idx="1">
                  <c:v>1650</c:v>
                </c:pt>
                <c:pt idx="2">
                  <c:v>1954</c:v>
                </c:pt>
                <c:pt idx="3">
                  <c:v>1152</c:v>
                </c:pt>
                <c:pt idx="4">
                  <c:v>1012</c:v>
                </c:pt>
                <c:pt idx="5">
                  <c:v>1140</c:v>
                </c:pt>
                <c:pt idx="6">
                  <c:v>936</c:v>
                </c:pt>
                <c:pt idx="7">
                  <c:v>805</c:v>
                </c:pt>
                <c:pt idx="8">
                  <c:v>665</c:v>
                </c:pt>
                <c:pt idx="9">
                  <c:v>707</c:v>
                </c:pt>
                <c:pt idx="10">
                  <c:v>754</c:v>
                </c:pt>
                <c:pt idx="11">
                  <c:v>868</c:v>
                </c:pt>
                <c:pt idx="12">
                  <c:v>1265</c:v>
                </c:pt>
                <c:pt idx="13">
                  <c:v>1534</c:v>
                </c:pt>
                <c:pt idx="14">
                  <c:v>1033</c:v>
                </c:pt>
                <c:pt idx="15">
                  <c:v>922</c:v>
                </c:pt>
                <c:pt idx="16">
                  <c:v>713</c:v>
                </c:pt>
                <c:pt idx="17">
                  <c:v>339</c:v>
                </c:pt>
                <c:pt idx="18">
                  <c:v>142</c:v>
                </c:pt>
                <c:pt idx="19">
                  <c:v>86</c:v>
                </c:pt>
                <c:pt idx="20">
                  <c:v>84</c:v>
                </c:pt>
                <c:pt idx="21">
                  <c:v>124</c:v>
                </c:pt>
                <c:pt idx="22">
                  <c:v>253</c:v>
                </c:pt>
                <c:pt idx="23">
                  <c:v>452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2093744"/>
        <c:axId val="-152095920"/>
      </c:lineChart>
      <c:catAx>
        <c:axId val="-152093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95920"/>
        <c:crosses val="autoZero"/>
        <c:auto val="1"/>
        <c:lblAlgn val="ctr"/>
        <c:lblOffset val="100"/>
        <c:noMultiLvlLbl val="0"/>
      </c:catAx>
      <c:valAx>
        <c:axId val="-152095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209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Natete-Rubaga-24h'!$C$9:$N$9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Natete-Rubaga-24h'!$C$107:$N$107</c:f>
              <c:numCache>
                <c:formatCode>0.0%</c:formatCode>
                <c:ptCount val="12"/>
                <c:pt idx="0">
                  <c:v>0.14418722971254133</c:v>
                </c:pt>
                <c:pt idx="1">
                  <c:v>3.8209107097430681E-2</c:v>
                </c:pt>
                <c:pt idx="2">
                  <c:v>2.6609005342152124E-2</c:v>
                </c:pt>
                <c:pt idx="3">
                  <c:v>0.1622996692953447</c:v>
                </c:pt>
                <c:pt idx="4">
                  <c:v>3.7649453065377765E-3</c:v>
                </c:pt>
                <c:pt idx="5">
                  <c:v>6.0035614347494276E-3</c:v>
                </c:pt>
                <c:pt idx="6">
                  <c:v>1.2058000508776394E-2</c:v>
                </c:pt>
                <c:pt idx="7">
                  <c:v>6.4105825489697279E-3</c:v>
                </c:pt>
                <c:pt idx="8">
                  <c:v>3.0526583566522515E-4</c:v>
                </c:pt>
                <c:pt idx="9">
                  <c:v>8.6491986771813792E-4</c:v>
                </c:pt>
                <c:pt idx="10">
                  <c:v>0.59877893665733906</c:v>
                </c:pt>
                <c:pt idx="11">
                  <c:v>5.0877639277537522E-4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Natete-Rubaga-24h'!$C$9:$N$9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Natete-Rubaga-24h'!$C$108:$N$108</c:f>
              <c:numCache>
                <c:formatCode>0.00%</c:formatCode>
                <c:ptCount val="12"/>
                <c:pt idx="0">
                  <c:v>0.35937103728125791</c:v>
                </c:pt>
                <c:pt idx="1">
                  <c:v>9.5232056809535892E-2</c:v>
                </c:pt>
                <c:pt idx="2">
                  <c:v>6.6320060867359878E-2</c:v>
                </c:pt>
                <c:pt idx="3">
                  <c:v>0.40451432919097136</c:v>
                </c:pt>
                <c:pt idx="4">
                  <c:v>9.3837179812325637E-3</c:v>
                </c:pt>
                <c:pt idx="5">
                  <c:v>1.4963225970073548E-2</c:v>
                </c:pt>
                <c:pt idx="6">
                  <c:v>3.0053258939893482E-2</c:v>
                </c:pt>
                <c:pt idx="7">
                  <c:v>1.5977681968044635E-2</c:v>
                </c:pt>
                <c:pt idx="8">
                  <c:v>7.6084199847831603E-4</c:v>
                </c:pt>
                <c:pt idx="9">
                  <c:v>2.155718995688562E-3</c:v>
                </c:pt>
                <c:pt idx="11">
                  <c:v>1.2680699974638599E-3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Rubaga-Natete-24h'!$AE$9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Rubaga-Natete-24h'!$R$10:$R$33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Rubaga-Natete-24h'!$AE$10:$AE$33</c:f>
              <c:numCache>
                <c:formatCode>0</c:formatCode>
                <c:ptCount val="24"/>
                <c:pt idx="0">
                  <c:v>532</c:v>
                </c:pt>
                <c:pt idx="1">
                  <c:v>217</c:v>
                </c:pt>
                <c:pt idx="2">
                  <c:v>259</c:v>
                </c:pt>
                <c:pt idx="3">
                  <c:v>319</c:v>
                </c:pt>
                <c:pt idx="4">
                  <c:v>331</c:v>
                </c:pt>
                <c:pt idx="5">
                  <c:v>372</c:v>
                </c:pt>
                <c:pt idx="6">
                  <c:v>363</c:v>
                </c:pt>
                <c:pt idx="7">
                  <c:v>350</c:v>
                </c:pt>
                <c:pt idx="8">
                  <c:v>360</c:v>
                </c:pt>
                <c:pt idx="9">
                  <c:v>533</c:v>
                </c:pt>
                <c:pt idx="10">
                  <c:v>486</c:v>
                </c:pt>
                <c:pt idx="11">
                  <c:v>494</c:v>
                </c:pt>
                <c:pt idx="12">
                  <c:v>470</c:v>
                </c:pt>
                <c:pt idx="13">
                  <c:v>388</c:v>
                </c:pt>
                <c:pt idx="14">
                  <c:v>482</c:v>
                </c:pt>
                <c:pt idx="15">
                  <c:v>553</c:v>
                </c:pt>
                <c:pt idx="16">
                  <c:v>268</c:v>
                </c:pt>
                <c:pt idx="17">
                  <c:v>181</c:v>
                </c:pt>
                <c:pt idx="18">
                  <c:v>86</c:v>
                </c:pt>
                <c:pt idx="19">
                  <c:v>53</c:v>
                </c:pt>
                <c:pt idx="20">
                  <c:v>57</c:v>
                </c:pt>
                <c:pt idx="21">
                  <c:v>41</c:v>
                </c:pt>
                <c:pt idx="22">
                  <c:v>39</c:v>
                </c:pt>
                <c:pt idx="23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Rubaga-Natete-24h'!$AF$9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Rubaga-Natete-24h'!$R$10:$R$33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Rubaga-Natete-24h'!$AF$10:$AF$33</c:f>
              <c:numCache>
                <c:formatCode>0</c:formatCode>
                <c:ptCount val="24"/>
                <c:pt idx="0">
                  <c:v>1212</c:v>
                </c:pt>
                <c:pt idx="1">
                  <c:v>612</c:v>
                </c:pt>
                <c:pt idx="2">
                  <c:v>843</c:v>
                </c:pt>
                <c:pt idx="3">
                  <c:v>878</c:v>
                </c:pt>
                <c:pt idx="4">
                  <c:v>915</c:v>
                </c:pt>
                <c:pt idx="5">
                  <c:v>844</c:v>
                </c:pt>
                <c:pt idx="6">
                  <c:v>764</c:v>
                </c:pt>
                <c:pt idx="7">
                  <c:v>657</c:v>
                </c:pt>
                <c:pt idx="8">
                  <c:v>724</c:v>
                </c:pt>
                <c:pt idx="9">
                  <c:v>1050</c:v>
                </c:pt>
                <c:pt idx="10">
                  <c:v>1062</c:v>
                </c:pt>
                <c:pt idx="11">
                  <c:v>1087</c:v>
                </c:pt>
                <c:pt idx="12">
                  <c:v>1229</c:v>
                </c:pt>
                <c:pt idx="13">
                  <c:v>1134</c:v>
                </c:pt>
                <c:pt idx="14">
                  <c:v>960</c:v>
                </c:pt>
                <c:pt idx="15">
                  <c:v>998</c:v>
                </c:pt>
                <c:pt idx="16">
                  <c:v>536</c:v>
                </c:pt>
                <c:pt idx="17">
                  <c:v>433</c:v>
                </c:pt>
                <c:pt idx="18">
                  <c:v>194</c:v>
                </c:pt>
                <c:pt idx="19">
                  <c:v>107</c:v>
                </c:pt>
                <c:pt idx="20">
                  <c:v>78</c:v>
                </c:pt>
                <c:pt idx="21">
                  <c:v>110</c:v>
                </c:pt>
                <c:pt idx="22">
                  <c:v>157</c:v>
                </c:pt>
                <c:pt idx="23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852720"/>
        <c:axId val="-149852176"/>
      </c:lineChart>
      <c:catAx>
        <c:axId val="-149852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52176"/>
        <c:crosses val="autoZero"/>
        <c:auto val="1"/>
        <c:lblAlgn val="ctr"/>
        <c:lblOffset val="100"/>
        <c:noMultiLvlLbl val="0"/>
      </c:catAx>
      <c:valAx>
        <c:axId val="-14985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5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Rubaga-Natete-24h'!$C$9:$N$9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Rubaga-Natete-24h'!$C$107:$N$107</c:f>
              <c:numCache>
                <c:formatCode>0.0%</c:formatCode>
                <c:ptCount val="12"/>
                <c:pt idx="0">
                  <c:v>0.20386737054392312</c:v>
                </c:pt>
                <c:pt idx="1">
                  <c:v>2.1590841686932795E-2</c:v>
                </c:pt>
                <c:pt idx="2">
                  <c:v>2.028590070585444E-2</c:v>
                </c:pt>
                <c:pt idx="3">
                  <c:v>0.15528797674832434</c:v>
                </c:pt>
                <c:pt idx="4">
                  <c:v>5.3383949225932733E-3</c:v>
                </c:pt>
                <c:pt idx="5">
                  <c:v>5.3977104217331987E-3</c:v>
                </c:pt>
                <c:pt idx="6">
                  <c:v>1.4413666291001839E-2</c:v>
                </c:pt>
                <c:pt idx="7">
                  <c:v>7.3551218933507329E-3</c:v>
                </c:pt>
                <c:pt idx="8">
                  <c:v>1.7201494750578325E-3</c:v>
                </c:pt>
                <c:pt idx="9">
                  <c:v>7.7110148881902839E-4</c:v>
                </c:pt>
                <c:pt idx="10">
                  <c:v>0.56397176582240938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Rubaga-Natete-24h'!$C$9:$N$9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Rubaga-Natete-24h'!$C$108:$N$108</c:f>
              <c:numCache>
                <c:formatCode>0.00%</c:formatCode>
                <c:ptCount val="12"/>
                <c:pt idx="0">
                  <c:v>0.46755543463474358</c:v>
                </c:pt>
                <c:pt idx="1">
                  <c:v>4.9517072507141886E-2</c:v>
                </c:pt>
                <c:pt idx="2">
                  <c:v>4.6524282410556388E-2</c:v>
                </c:pt>
                <c:pt idx="3">
                  <c:v>0.35614202149367435</c:v>
                </c:pt>
                <c:pt idx="4">
                  <c:v>1.2243232213304313E-2</c:v>
                </c:pt>
                <c:pt idx="5">
                  <c:v>1.2379268126785472E-2</c:v>
                </c:pt>
                <c:pt idx="6">
                  <c:v>3.3056726975921644E-2</c:v>
                </c:pt>
                <c:pt idx="7">
                  <c:v>1.6868453271663718E-2</c:v>
                </c:pt>
                <c:pt idx="8">
                  <c:v>3.9450414909536118E-3</c:v>
                </c:pt>
                <c:pt idx="9">
                  <c:v>1.7684668752550674E-3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Natete-Rubaga'!$AE$10:$AE$21</c:f>
              <c:numCache>
                <c:formatCode>0</c:formatCode>
                <c:ptCount val="12"/>
                <c:pt idx="0">
                  <c:v>467</c:v>
                </c:pt>
                <c:pt idx="1">
                  <c:v>305</c:v>
                </c:pt>
                <c:pt idx="2">
                  <c:v>347</c:v>
                </c:pt>
                <c:pt idx="3">
                  <c:v>308</c:v>
                </c:pt>
                <c:pt idx="4">
                  <c:v>373</c:v>
                </c:pt>
                <c:pt idx="5">
                  <c:v>298</c:v>
                </c:pt>
                <c:pt idx="6">
                  <c:v>192</c:v>
                </c:pt>
                <c:pt idx="7">
                  <c:v>198</c:v>
                </c:pt>
                <c:pt idx="8">
                  <c:v>315</c:v>
                </c:pt>
                <c:pt idx="9">
                  <c:v>360</c:v>
                </c:pt>
                <c:pt idx="10">
                  <c:v>427</c:v>
                </c:pt>
                <c:pt idx="11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Natete-Rubaga'!$AF$9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Natete-Rubaga'!$AF$10:$AF$21</c:f>
              <c:numCache>
                <c:formatCode>0</c:formatCode>
                <c:ptCount val="12"/>
                <c:pt idx="0">
                  <c:v>1113</c:v>
                </c:pt>
                <c:pt idx="1">
                  <c:v>1010</c:v>
                </c:pt>
                <c:pt idx="2">
                  <c:v>991</c:v>
                </c:pt>
                <c:pt idx="3">
                  <c:v>759</c:v>
                </c:pt>
                <c:pt idx="4">
                  <c:v>1024</c:v>
                </c:pt>
                <c:pt idx="5">
                  <c:v>700</c:v>
                </c:pt>
                <c:pt idx="6">
                  <c:v>704</c:v>
                </c:pt>
                <c:pt idx="7">
                  <c:v>646</c:v>
                </c:pt>
                <c:pt idx="8">
                  <c:v>825</c:v>
                </c:pt>
                <c:pt idx="9">
                  <c:v>892</c:v>
                </c:pt>
                <c:pt idx="10">
                  <c:v>1029</c:v>
                </c:pt>
                <c:pt idx="11">
                  <c:v>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854896"/>
        <c:axId val="-149851632"/>
      </c:lineChart>
      <c:catAx>
        <c:axId val="-149854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51632"/>
        <c:crosses val="autoZero"/>
        <c:auto val="1"/>
        <c:lblAlgn val="ctr"/>
        <c:lblOffset val="100"/>
        <c:noMultiLvlLbl val="0"/>
      </c:catAx>
      <c:valAx>
        <c:axId val="-149851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5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Natete-Rubaga'!$C$59:$N$59</c:f>
              <c:numCache>
                <c:formatCode>0.0%</c:formatCode>
                <c:ptCount val="12"/>
                <c:pt idx="0">
                  <c:v>0.1224056376098079</c:v>
                </c:pt>
                <c:pt idx="1">
                  <c:v>5.0004826720725939E-2</c:v>
                </c:pt>
                <c:pt idx="2">
                  <c:v>1.6893522540785789E-2</c:v>
                </c:pt>
                <c:pt idx="3">
                  <c:v>0.14518775943623902</c:v>
                </c:pt>
                <c:pt idx="4">
                  <c:v>1.3225214789072305E-2</c:v>
                </c:pt>
                <c:pt idx="5">
                  <c:v>5.2128583840139013E-3</c:v>
                </c:pt>
                <c:pt idx="6">
                  <c:v>1.3707886861666184E-2</c:v>
                </c:pt>
                <c:pt idx="7">
                  <c:v>4.3440486533449178E-3</c:v>
                </c:pt>
                <c:pt idx="8">
                  <c:v>4.8267207259387971E-4</c:v>
                </c:pt>
                <c:pt idx="9">
                  <c:v>9.6534414518775942E-4</c:v>
                </c:pt>
                <c:pt idx="10">
                  <c:v>0.62757022878656243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Natete-Rubaga'!$S$9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Natete-Rubaga'!$S$10:$S$21</c:f>
              <c:numCache>
                <c:formatCode>0</c:formatCode>
                <c:ptCount val="12"/>
                <c:pt idx="0">
                  <c:v>105</c:v>
                </c:pt>
                <c:pt idx="1">
                  <c:v>83</c:v>
                </c:pt>
                <c:pt idx="2">
                  <c:v>91</c:v>
                </c:pt>
                <c:pt idx="3">
                  <c:v>113</c:v>
                </c:pt>
                <c:pt idx="4">
                  <c:v>130</c:v>
                </c:pt>
                <c:pt idx="5">
                  <c:v>100</c:v>
                </c:pt>
                <c:pt idx="6">
                  <c:v>68</c:v>
                </c:pt>
                <c:pt idx="7">
                  <c:v>82</c:v>
                </c:pt>
                <c:pt idx="8">
                  <c:v>130</c:v>
                </c:pt>
                <c:pt idx="9">
                  <c:v>123</c:v>
                </c:pt>
                <c:pt idx="10">
                  <c:v>162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Natete-Rubaga'!$T$9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Natete-Rubaga'!$R$10:$R$21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Natete-Rubaga'!$T$10:$T$21</c:f>
              <c:numCache>
                <c:formatCode>0</c:formatCode>
                <c:ptCount val="12"/>
                <c:pt idx="0">
                  <c:v>23</c:v>
                </c:pt>
                <c:pt idx="1">
                  <c:v>42</c:v>
                </c:pt>
                <c:pt idx="2">
                  <c:v>47</c:v>
                </c:pt>
                <c:pt idx="3">
                  <c:v>24</c:v>
                </c:pt>
                <c:pt idx="4">
                  <c:v>55</c:v>
                </c:pt>
                <c:pt idx="5">
                  <c:v>34</c:v>
                </c:pt>
                <c:pt idx="6">
                  <c:v>31</c:v>
                </c:pt>
                <c:pt idx="7">
                  <c:v>18</c:v>
                </c:pt>
                <c:pt idx="8">
                  <c:v>44</c:v>
                </c:pt>
                <c:pt idx="9">
                  <c:v>66</c:v>
                </c:pt>
                <c:pt idx="10">
                  <c:v>80</c:v>
                </c:pt>
                <c:pt idx="11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Natete-Rubaga'!$U$9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Natete-Rubaga'!$U$10:$U$21</c:f>
              <c:numCache>
                <c:formatCode>0</c:formatCode>
                <c:ptCount val="12"/>
                <c:pt idx="0">
                  <c:v>67</c:v>
                </c:pt>
                <c:pt idx="1">
                  <c:v>5</c:v>
                </c:pt>
                <c:pt idx="2">
                  <c:v>9</c:v>
                </c:pt>
                <c:pt idx="3">
                  <c:v>7</c:v>
                </c:pt>
                <c:pt idx="4">
                  <c:v>12</c:v>
                </c:pt>
                <c:pt idx="5">
                  <c:v>14</c:v>
                </c:pt>
                <c:pt idx="6">
                  <c:v>3</c:v>
                </c:pt>
                <c:pt idx="7">
                  <c:v>6</c:v>
                </c:pt>
                <c:pt idx="8">
                  <c:v>11</c:v>
                </c:pt>
                <c:pt idx="9">
                  <c:v>11</c:v>
                </c:pt>
                <c:pt idx="10">
                  <c:v>19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Natete-Rubaga'!$V$9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Natete-Rubaga'!$V$10:$V$21</c:f>
              <c:numCache>
                <c:formatCode>0</c:formatCode>
                <c:ptCount val="12"/>
                <c:pt idx="0">
                  <c:v>150</c:v>
                </c:pt>
                <c:pt idx="1">
                  <c:v>153</c:v>
                </c:pt>
                <c:pt idx="2">
                  <c:v>174</c:v>
                </c:pt>
                <c:pt idx="3">
                  <c:v>143</c:v>
                </c:pt>
                <c:pt idx="4">
                  <c:v>155</c:v>
                </c:pt>
                <c:pt idx="5">
                  <c:v>125</c:v>
                </c:pt>
                <c:pt idx="6">
                  <c:v>72</c:v>
                </c:pt>
                <c:pt idx="7">
                  <c:v>77</c:v>
                </c:pt>
                <c:pt idx="8">
                  <c:v>100</c:v>
                </c:pt>
                <c:pt idx="9">
                  <c:v>128</c:v>
                </c:pt>
                <c:pt idx="10">
                  <c:v>125</c:v>
                </c:pt>
                <c:pt idx="1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Natete-Rubaga'!$W$9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Natete-Rubaga'!$W$10:$W$21</c:f>
              <c:numCache>
                <c:formatCode>0</c:formatCode>
                <c:ptCount val="12"/>
                <c:pt idx="0">
                  <c:v>104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Natete-Rubaga'!$X$9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Natete-Rubaga'!$X$10:$X$21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6</c:v>
                </c:pt>
                <c:pt idx="9">
                  <c:v>8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Natete-Rubaga'!$Y$9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Natete-Rubaga'!$Y$10:$Y$21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15</c:v>
                </c:pt>
                <c:pt idx="3">
                  <c:v>11</c:v>
                </c:pt>
                <c:pt idx="4">
                  <c:v>14</c:v>
                </c:pt>
                <c:pt idx="5">
                  <c:v>12</c:v>
                </c:pt>
                <c:pt idx="6">
                  <c:v>13</c:v>
                </c:pt>
                <c:pt idx="7">
                  <c:v>10</c:v>
                </c:pt>
                <c:pt idx="8">
                  <c:v>13</c:v>
                </c:pt>
                <c:pt idx="9">
                  <c:v>12</c:v>
                </c:pt>
                <c:pt idx="10">
                  <c:v>20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Natete-Rubaga'!$Z$9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Natete-Rubaga'!$Z$10:$Z$21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4</c:v>
                </c:pt>
                <c:pt idx="9">
                  <c:v>7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Natete-Rubaga'!$AA$9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Natete-Rubaga'!$AB$9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Natete-Rubaga'!$AC$9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Natete-Rubaga'!$AC$10:$AC$21</c:f>
              <c:numCache>
                <c:formatCode>0</c:formatCode>
                <c:ptCount val="12"/>
                <c:pt idx="0">
                  <c:v>646</c:v>
                </c:pt>
                <c:pt idx="1">
                  <c:v>705</c:v>
                </c:pt>
                <c:pt idx="2">
                  <c:v>644</c:v>
                </c:pt>
                <c:pt idx="3">
                  <c:v>451</c:v>
                </c:pt>
                <c:pt idx="4">
                  <c:v>651</c:v>
                </c:pt>
                <c:pt idx="5">
                  <c:v>402</c:v>
                </c:pt>
                <c:pt idx="6">
                  <c:v>512</c:v>
                </c:pt>
                <c:pt idx="7">
                  <c:v>448</c:v>
                </c:pt>
                <c:pt idx="8">
                  <c:v>510</c:v>
                </c:pt>
                <c:pt idx="9">
                  <c:v>532</c:v>
                </c:pt>
                <c:pt idx="10">
                  <c:v>602</c:v>
                </c:pt>
                <c:pt idx="11">
                  <c:v>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Natete-Rubaga'!$AD$9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Natete-Rubaga'!$AD$10:$AD$21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9841840"/>
        <c:axId val="-149851088"/>
      </c:lineChart>
      <c:catAx>
        <c:axId val="-14984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51088"/>
        <c:crosses val="autoZero"/>
        <c:auto val="1"/>
        <c:lblAlgn val="ctr"/>
        <c:lblOffset val="100"/>
        <c:noMultiLvlLbl val="0"/>
      </c:catAx>
      <c:valAx>
        <c:axId val="-14985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4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Natete-Rubaga'!$C$60:$N$60</c:f>
              <c:numCache>
                <c:formatCode>0.00%</c:formatCode>
                <c:ptCount val="12"/>
                <c:pt idx="0">
                  <c:v>0.32866770347330221</c:v>
                </c:pt>
                <c:pt idx="1">
                  <c:v>0.13426645930533956</c:v>
                </c:pt>
                <c:pt idx="2">
                  <c:v>4.5360290305857955E-2</c:v>
                </c:pt>
                <c:pt idx="3">
                  <c:v>0.38983929497148784</c:v>
                </c:pt>
                <c:pt idx="4">
                  <c:v>3.5510627268014516E-2</c:v>
                </c:pt>
                <c:pt idx="5">
                  <c:v>1.3996889580093312E-2</c:v>
                </c:pt>
                <c:pt idx="6">
                  <c:v>3.6806635562467598E-2</c:v>
                </c:pt>
                <c:pt idx="7">
                  <c:v>1.1664074650077761E-2</c:v>
                </c:pt>
                <c:pt idx="8">
                  <c:v>1.2960082944530845E-3</c:v>
                </c:pt>
                <c:pt idx="9">
                  <c:v>2.592016588906169E-3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Rubaga-Natete'!$AE$9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Rubaga-Natete'!$AE$10:$AE$21</c:f>
              <c:numCache>
                <c:formatCode>0</c:formatCode>
                <c:ptCount val="12"/>
                <c:pt idx="0">
                  <c:v>248</c:v>
                </c:pt>
                <c:pt idx="1">
                  <c:v>470</c:v>
                </c:pt>
                <c:pt idx="2">
                  <c:v>234</c:v>
                </c:pt>
                <c:pt idx="3">
                  <c:v>258</c:v>
                </c:pt>
                <c:pt idx="4">
                  <c:v>336</c:v>
                </c:pt>
                <c:pt idx="5">
                  <c:v>345</c:v>
                </c:pt>
                <c:pt idx="6">
                  <c:v>351</c:v>
                </c:pt>
                <c:pt idx="7">
                  <c:v>274</c:v>
                </c:pt>
                <c:pt idx="8">
                  <c:v>317</c:v>
                </c:pt>
                <c:pt idx="9">
                  <c:v>363</c:v>
                </c:pt>
                <c:pt idx="10">
                  <c:v>406</c:v>
                </c:pt>
                <c:pt idx="11">
                  <c:v>417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Rubaga-Natete'!$AF$9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Rubaga-Natete'!$AF$10:$AF$21</c:f>
              <c:numCache>
                <c:formatCode>0</c:formatCode>
                <c:ptCount val="12"/>
                <c:pt idx="0">
                  <c:v>488</c:v>
                </c:pt>
                <c:pt idx="1">
                  <c:v>1110</c:v>
                </c:pt>
                <c:pt idx="2">
                  <c:v>501</c:v>
                </c:pt>
                <c:pt idx="3">
                  <c:v>605</c:v>
                </c:pt>
                <c:pt idx="4">
                  <c:v>899</c:v>
                </c:pt>
                <c:pt idx="5">
                  <c:v>803</c:v>
                </c:pt>
                <c:pt idx="6">
                  <c:v>677</c:v>
                </c:pt>
                <c:pt idx="7">
                  <c:v>592</c:v>
                </c:pt>
                <c:pt idx="8">
                  <c:v>715</c:v>
                </c:pt>
                <c:pt idx="9">
                  <c:v>875</c:v>
                </c:pt>
                <c:pt idx="10">
                  <c:v>948</c:v>
                </c:pt>
                <c:pt idx="11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9847280"/>
        <c:axId val="-149844016"/>
      </c:lineChart>
      <c:catAx>
        <c:axId val="-149847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44016"/>
        <c:crosses val="autoZero"/>
        <c:auto val="1"/>
        <c:lblAlgn val="ctr"/>
        <c:lblOffset val="100"/>
        <c:noMultiLvlLbl val="0"/>
      </c:catAx>
      <c:valAx>
        <c:axId val="-149844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984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Rubaga-Natete'!$C$59:$N$59</c:f>
              <c:numCache>
                <c:formatCode>0.0%</c:formatCode>
                <c:ptCount val="12"/>
                <c:pt idx="0">
                  <c:v>0.17921146953405018</c:v>
                </c:pt>
                <c:pt idx="1">
                  <c:v>3.1497773433257305E-2</c:v>
                </c:pt>
                <c:pt idx="2">
                  <c:v>1.7812533941566198E-2</c:v>
                </c:pt>
                <c:pt idx="3">
                  <c:v>0.17052242858694472</c:v>
                </c:pt>
                <c:pt idx="4">
                  <c:v>6.1909416748126425E-3</c:v>
                </c:pt>
                <c:pt idx="5">
                  <c:v>8.0373628760725541E-3</c:v>
                </c:pt>
                <c:pt idx="6">
                  <c:v>1.3468013468013467E-2</c:v>
                </c:pt>
                <c:pt idx="7">
                  <c:v>7.8201368523949169E-3</c:v>
                </c:pt>
                <c:pt idx="8">
                  <c:v>3.2583903551645487E-4</c:v>
                </c:pt>
                <c:pt idx="9">
                  <c:v>1.6291951775822744E-3</c:v>
                </c:pt>
                <c:pt idx="10">
                  <c:v>0.56348430541978933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1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Rubaga-Natete'!$S$9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Rubaga-Natete'!$S$10:$S$21</c:f>
              <c:numCache>
                <c:formatCode>0</c:formatCode>
                <c:ptCount val="12"/>
                <c:pt idx="0">
                  <c:v>54</c:v>
                </c:pt>
                <c:pt idx="1">
                  <c:v>169</c:v>
                </c:pt>
                <c:pt idx="2">
                  <c:v>50</c:v>
                </c:pt>
                <c:pt idx="3">
                  <c:v>76</c:v>
                </c:pt>
                <c:pt idx="4">
                  <c:v>146</c:v>
                </c:pt>
                <c:pt idx="5">
                  <c:v>158</c:v>
                </c:pt>
                <c:pt idx="6">
                  <c:v>160</c:v>
                </c:pt>
                <c:pt idx="7">
                  <c:v>112</c:v>
                </c:pt>
                <c:pt idx="8">
                  <c:v>132</c:v>
                </c:pt>
                <c:pt idx="9">
                  <c:v>186</c:v>
                </c:pt>
                <c:pt idx="10">
                  <c:v>217</c:v>
                </c:pt>
                <c:pt idx="11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Rubaga-Natete'!$T$9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Rubaga-Natete'!$R$10:$R$21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Rubaga-Natete'!$T$10:$T$21</c:f>
              <c:numCache>
                <c:formatCode>0</c:formatCode>
                <c:ptCount val="12"/>
                <c:pt idx="0">
                  <c:v>15</c:v>
                </c:pt>
                <c:pt idx="1">
                  <c:v>14</c:v>
                </c:pt>
                <c:pt idx="2">
                  <c:v>33</c:v>
                </c:pt>
                <c:pt idx="3">
                  <c:v>23</c:v>
                </c:pt>
                <c:pt idx="4">
                  <c:v>19</c:v>
                </c:pt>
                <c:pt idx="5">
                  <c:v>26</c:v>
                </c:pt>
                <c:pt idx="6">
                  <c:v>24</c:v>
                </c:pt>
                <c:pt idx="7">
                  <c:v>34</c:v>
                </c:pt>
                <c:pt idx="8">
                  <c:v>54</c:v>
                </c:pt>
                <c:pt idx="9">
                  <c:v>20</c:v>
                </c:pt>
                <c:pt idx="10">
                  <c:v>13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Rubaga-Natete'!$U$9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Rubaga-Natete'!$U$10:$U$21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19</c:v>
                </c:pt>
                <c:pt idx="5">
                  <c:v>17</c:v>
                </c:pt>
                <c:pt idx="6">
                  <c:v>27</c:v>
                </c:pt>
                <c:pt idx="7">
                  <c:v>14</c:v>
                </c:pt>
                <c:pt idx="8">
                  <c:v>11</c:v>
                </c:pt>
                <c:pt idx="9">
                  <c:v>14</c:v>
                </c:pt>
                <c:pt idx="10">
                  <c:v>25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Rubaga-Natete'!$V$9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Rubaga-Natete'!$V$10:$V$21</c:f>
              <c:numCache>
                <c:formatCode>0</c:formatCode>
                <c:ptCount val="12"/>
                <c:pt idx="0">
                  <c:v>146</c:v>
                </c:pt>
                <c:pt idx="1">
                  <c:v>245</c:v>
                </c:pt>
                <c:pt idx="2">
                  <c:v>125</c:v>
                </c:pt>
                <c:pt idx="3">
                  <c:v>124</c:v>
                </c:pt>
                <c:pt idx="4">
                  <c:v>122</c:v>
                </c:pt>
                <c:pt idx="5">
                  <c:v>115</c:v>
                </c:pt>
                <c:pt idx="6">
                  <c:v>106</c:v>
                </c:pt>
                <c:pt idx="7">
                  <c:v>93</c:v>
                </c:pt>
                <c:pt idx="8">
                  <c:v>103</c:v>
                </c:pt>
                <c:pt idx="9">
                  <c:v>122</c:v>
                </c:pt>
                <c:pt idx="10">
                  <c:v>123</c:v>
                </c:pt>
                <c:pt idx="11">
                  <c:v>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Rubaga-Natete'!$W$9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Rubaga-Natete'!$W$10:$W$21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3</c:v>
                </c:pt>
                <c:pt idx="3">
                  <c:v>1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Rubaga-Natete'!$X$9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Rubaga-Natete'!$X$10:$X$21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7</c:v>
                </c:pt>
                <c:pt idx="3">
                  <c:v>4</c:v>
                </c:pt>
                <c:pt idx="4">
                  <c:v>13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Rubaga-Natete'!$Y$9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Rubaga-Natete'!$Y$10:$Y$21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9</c:v>
                </c:pt>
                <c:pt idx="3">
                  <c:v>22</c:v>
                </c:pt>
                <c:pt idx="4">
                  <c:v>5</c:v>
                </c:pt>
                <c:pt idx="5">
                  <c:v>14</c:v>
                </c:pt>
                <c:pt idx="6">
                  <c:v>10</c:v>
                </c:pt>
                <c:pt idx="7">
                  <c:v>9</c:v>
                </c:pt>
                <c:pt idx="8">
                  <c:v>7</c:v>
                </c:pt>
                <c:pt idx="9">
                  <c:v>3</c:v>
                </c:pt>
                <c:pt idx="10">
                  <c:v>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Rubaga-Natete'!$Z$9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Rubaga-Natete'!$Z$10:$Z$21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  <c:pt idx="6">
                  <c:v>10</c:v>
                </c:pt>
                <c:pt idx="7">
                  <c:v>3</c:v>
                </c:pt>
                <c:pt idx="8">
                  <c:v>1</c:v>
                </c:pt>
                <c:pt idx="9">
                  <c:v>5</c:v>
                </c:pt>
                <c:pt idx="10">
                  <c:v>11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Rubaga-Natete'!$AA$9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Rubaga-Natete'!$AB$9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Rubaga-Natete'!$AC$9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Rubaga-Natete'!$AC$10:$AC$21</c:f>
              <c:numCache>
                <c:formatCode>0</c:formatCode>
                <c:ptCount val="12"/>
                <c:pt idx="0">
                  <c:v>240</c:v>
                </c:pt>
                <c:pt idx="1">
                  <c:v>640</c:v>
                </c:pt>
                <c:pt idx="2">
                  <c:v>267</c:v>
                </c:pt>
                <c:pt idx="3">
                  <c:v>347</c:v>
                </c:pt>
                <c:pt idx="4">
                  <c:v>563</c:v>
                </c:pt>
                <c:pt idx="5">
                  <c:v>458</c:v>
                </c:pt>
                <c:pt idx="6">
                  <c:v>326</c:v>
                </c:pt>
                <c:pt idx="7">
                  <c:v>318</c:v>
                </c:pt>
                <c:pt idx="8">
                  <c:v>398</c:v>
                </c:pt>
                <c:pt idx="9">
                  <c:v>512</c:v>
                </c:pt>
                <c:pt idx="10">
                  <c:v>542</c:v>
                </c:pt>
                <c:pt idx="11">
                  <c:v>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Rubaga-Natete'!$AD$9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Rubaga-Natete'!$AD$10:$AD$21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71232"/>
        <c:axId val="-147765792"/>
      </c:lineChart>
      <c:catAx>
        <c:axId val="-1477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5792"/>
        <c:crosses val="autoZero"/>
        <c:auto val="1"/>
        <c:lblAlgn val="ctr"/>
        <c:lblOffset val="100"/>
        <c:noMultiLvlLbl val="0"/>
      </c:catAx>
      <c:valAx>
        <c:axId val="-14776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Rubaga-Natete'!$C$9:$N$9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Rubaga-Natete'!$C$60:$N$60</c:f>
              <c:numCache>
                <c:formatCode>0.00%</c:formatCode>
                <c:ptCount val="12"/>
                <c:pt idx="0">
                  <c:v>0.41054988803184872</c:v>
                </c:pt>
                <c:pt idx="1">
                  <c:v>7.2157253048021897E-2</c:v>
                </c:pt>
                <c:pt idx="2">
                  <c:v>4.0806170689226179E-2</c:v>
                </c:pt>
                <c:pt idx="3">
                  <c:v>0.39064443891515305</c:v>
                </c:pt>
                <c:pt idx="4">
                  <c:v>1.4182632495645683E-2</c:v>
                </c:pt>
                <c:pt idx="5">
                  <c:v>1.8412540432943519E-2</c:v>
                </c:pt>
                <c:pt idx="6">
                  <c:v>3.0853446130878329E-2</c:v>
                </c:pt>
                <c:pt idx="7">
                  <c:v>1.7914904205026127E-2</c:v>
                </c:pt>
                <c:pt idx="8">
                  <c:v>7.4645434187608855E-4</c:v>
                </c:pt>
                <c:pt idx="9">
                  <c:v>3.732271709380443E-3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Nateete-Rubaga'!$AE$9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Nateete-Rubaga'!$R$10:$R$33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Nateete-Rubaga'!$AE$10:$AE$33</c:f>
              <c:numCache>
                <c:formatCode>0</c:formatCode>
                <c:ptCount val="24"/>
                <c:pt idx="0">
                  <c:v>441</c:v>
                </c:pt>
                <c:pt idx="1">
                  <c:v>461</c:v>
                </c:pt>
                <c:pt idx="2">
                  <c:v>487.28571428571422</c:v>
                </c:pt>
                <c:pt idx="3">
                  <c:v>414.28571428571428</c:v>
                </c:pt>
                <c:pt idx="4">
                  <c:v>373.85714285714289</c:v>
                </c:pt>
                <c:pt idx="5">
                  <c:v>343.71428571428567</c:v>
                </c:pt>
                <c:pt idx="6">
                  <c:v>317.85714285714289</c:v>
                </c:pt>
                <c:pt idx="7">
                  <c:v>321.28571428571428</c:v>
                </c:pt>
                <c:pt idx="8">
                  <c:v>291.71428571428567</c:v>
                </c:pt>
                <c:pt idx="9">
                  <c:v>325.00000000000006</c:v>
                </c:pt>
                <c:pt idx="10">
                  <c:v>363.28571428571428</c:v>
                </c:pt>
                <c:pt idx="11">
                  <c:v>330.28571428571428</c:v>
                </c:pt>
                <c:pt idx="12">
                  <c:v>496.14285714285711</c:v>
                </c:pt>
                <c:pt idx="13">
                  <c:v>630.57142857142856</c:v>
                </c:pt>
                <c:pt idx="14">
                  <c:v>904.78571428571422</c:v>
                </c:pt>
                <c:pt idx="15">
                  <c:v>1155.5</c:v>
                </c:pt>
                <c:pt idx="16">
                  <c:v>1073</c:v>
                </c:pt>
                <c:pt idx="17">
                  <c:v>1023.5</c:v>
                </c:pt>
                <c:pt idx="18">
                  <c:v>849.5</c:v>
                </c:pt>
                <c:pt idx="19">
                  <c:v>673</c:v>
                </c:pt>
                <c:pt idx="20">
                  <c:v>673.5</c:v>
                </c:pt>
                <c:pt idx="21">
                  <c:v>603.5</c:v>
                </c:pt>
                <c:pt idx="22">
                  <c:v>512.5</c:v>
                </c:pt>
                <c:pt idx="23">
                  <c:v>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Nateete-Rubaga'!$AF$9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Nateete-Rubaga'!$R$10:$R$33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Nateete-Rubaga'!$AF$10:$AF$33</c:f>
              <c:numCache>
                <c:formatCode>0</c:formatCode>
                <c:ptCount val="24"/>
                <c:pt idx="0">
                  <c:v>1589.4285714285713</c:v>
                </c:pt>
                <c:pt idx="1">
                  <c:v>1933.7142857142858</c:v>
                </c:pt>
                <c:pt idx="2">
                  <c:v>1684</c:v>
                </c:pt>
                <c:pt idx="3">
                  <c:v>1219.7142857142858</c:v>
                </c:pt>
                <c:pt idx="4">
                  <c:v>1108.5714285714287</c:v>
                </c:pt>
                <c:pt idx="5">
                  <c:v>949.85714285714289</c:v>
                </c:pt>
                <c:pt idx="6">
                  <c:v>845.42857142857144</c:v>
                </c:pt>
                <c:pt idx="7">
                  <c:v>796.14285714285722</c:v>
                </c:pt>
                <c:pt idx="8">
                  <c:v>739</c:v>
                </c:pt>
                <c:pt idx="9">
                  <c:v>791.14285714285711</c:v>
                </c:pt>
                <c:pt idx="10">
                  <c:v>850.57142857142856</c:v>
                </c:pt>
                <c:pt idx="11">
                  <c:v>736.57142857142867</c:v>
                </c:pt>
                <c:pt idx="12">
                  <c:v>970.35714285714289</c:v>
                </c:pt>
                <c:pt idx="13">
                  <c:v>1201.2142857142858</c:v>
                </c:pt>
                <c:pt idx="14">
                  <c:v>1558.3571428571429</c:v>
                </c:pt>
                <c:pt idx="15">
                  <c:v>1943</c:v>
                </c:pt>
                <c:pt idx="16">
                  <c:v>1903</c:v>
                </c:pt>
                <c:pt idx="17">
                  <c:v>1903.5</c:v>
                </c:pt>
                <c:pt idx="18">
                  <c:v>1727</c:v>
                </c:pt>
                <c:pt idx="19">
                  <c:v>1573</c:v>
                </c:pt>
                <c:pt idx="20">
                  <c:v>1548.5</c:v>
                </c:pt>
                <c:pt idx="21">
                  <c:v>1413.5</c:v>
                </c:pt>
                <c:pt idx="22">
                  <c:v>1282.5</c:v>
                </c:pt>
                <c:pt idx="23">
                  <c:v>1134.5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57088"/>
        <c:axId val="-147756544"/>
      </c:lineChart>
      <c:catAx>
        <c:axId val="-147757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56544"/>
        <c:crosses val="autoZero"/>
        <c:auto val="1"/>
        <c:lblAlgn val="ctr"/>
        <c:lblOffset val="100"/>
        <c:noMultiLvlLbl val="0"/>
      </c:catAx>
      <c:valAx>
        <c:axId val="-147756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5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2131893557198896E-2"/>
          <c:y val="0.1724601557672423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Nateete-Rubaga'!$C$107:$N$107</c:f>
              <c:numCache>
                <c:formatCode>0.0%</c:formatCode>
                <c:ptCount val="12"/>
                <c:pt idx="0">
                  <c:v>0.13571690761713293</c:v>
                </c:pt>
                <c:pt idx="1">
                  <c:v>4.0414347244813076E-2</c:v>
                </c:pt>
                <c:pt idx="2">
                  <c:v>2.3650525847872864E-2</c:v>
                </c:pt>
                <c:pt idx="3">
                  <c:v>0.15052416408204775</c:v>
                </c:pt>
                <c:pt idx="4">
                  <c:v>6.7688390935817253E-3</c:v>
                </c:pt>
                <c:pt idx="5">
                  <c:v>8.132709657213865E-3</c:v>
                </c:pt>
                <c:pt idx="6">
                  <c:v>1.2167072460254115E-2</c:v>
                </c:pt>
                <c:pt idx="7">
                  <c:v>9.089102842575662E-3</c:v>
                </c:pt>
                <c:pt idx="8">
                  <c:v>3.4921821592259947E-3</c:v>
                </c:pt>
                <c:pt idx="9">
                  <c:v>4.3812237118158338E-3</c:v>
                </c:pt>
                <c:pt idx="10">
                  <c:v>0.60559557365069427</c:v>
                </c:pt>
                <c:pt idx="11">
                  <c:v>6.7351632771957471E-5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493858169916063E-2"/>
          <c:y val="0.24465766779152609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Nateete-Rubaga'!$C$9:$N$9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Nateete-Rubaga'!$C$108:$N$108</c:f>
              <c:numCache>
                <c:formatCode>0.00%</c:formatCode>
                <c:ptCount val="12"/>
                <c:pt idx="0">
                  <c:v>0.34410594443211134</c:v>
                </c:pt>
                <c:pt idx="1">
                  <c:v>0.10246930446216637</c:v>
                </c:pt>
                <c:pt idx="2">
                  <c:v>5.9965163339537907E-2</c:v>
                </c:pt>
                <c:pt idx="3">
                  <c:v>0.38164927679775956</c:v>
                </c:pt>
                <c:pt idx="4">
                  <c:v>1.7162178315886543E-2</c:v>
                </c:pt>
                <c:pt idx="5">
                  <c:v>2.0620229170580102E-2</c:v>
                </c:pt>
                <c:pt idx="6">
                  <c:v>3.0849228982735361E-2</c:v>
                </c:pt>
                <c:pt idx="7">
                  <c:v>2.3045133967451635E-2</c:v>
                </c:pt>
                <c:pt idx="8">
                  <c:v>8.8543178674499231E-3</c:v>
                </c:pt>
                <c:pt idx="9">
                  <c:v>1.1108454720879799E-2</c:v>
                </c:pt>
                <c:pt idx="11">
                  <c:v>1.7076794344165715E-4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44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Rubaga-Nateete'!$AE$9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Rubaga-Nateete'!$R$10:$R$33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Rubaga-Nateete'!$AE$10:$AE$33</c:f>
              <c:numCache>
                <c:formatCode>0</c:formatCode>
                <c:ptCount val="24"/>
                <c:pt idx="0">
                  <c:v>476.85714285714295</c:v>
                </c:pt>
                <c:pt idx="1">
                  <c:v>375</c:v>
                </c:pt>
                <c:pt idx="2">
                  <c:v>337.28571428571433</c:v>
                </c:pt>
                <c:pt idx="3">
                  <c:v>368.71428571428572</c:v>
                </c:pt>
                <c:pt idx="4">
                  <c:v>370</c:v>
                </c:pt>
                <c:pt idx="5">
                  <c:v>410.85714285714283</c:v>
                </c:pt>
                <c:pt idx="6">
                  <c:v>415.14285714285711</c:v>
                </c:pt>
                <c:pt idx="7">
                  <c:v>379.71428571428567</c:v>
                </c:pt>
                <c:pt idx="8">
                  <c:v>371.42857142857144</c:v>
                </c:pt>
                <c:pt idx="9">
                  <c:v>470.57142857142861</c:v>
                </c:pt>
                <c:pt idx="10">
                  <c:v>578.14285714285711</c:v>
                </c:pt>
                <c:pt idx="11">
                  <c:v>629.85714285714278</c:v>
                </c:pt>
                <c:pt idx="12">
                  <c:v>663.21428571428567</c:v>
                </c:pt>
                <c:pt idx="13">
                  <c:v>671.71428571428567</c:v>
                </c:pt>
                <c:pt idx="14">
                  <c:v>622.92857142857144</c:v>
                </c:pt>
                <c:pt idx="15">
                  <c:v>557</c:v>
                </c:pt>
                <c:pt idx="16">
                  <c:v>451</c:v>
                </c:pt>
                <c:pt idx="17">
                  <c:v>380</c:v>
                </c:pt>
                <c:pt idx="18">
                  <c:v>379</c:v>
                </c:pt>
                <c:pt idx="19">
                  <c:v>393.5</c:v>
                </c:pt>
                <c:pt idx="20">
                  <c:v>409</c:v>
                </c:pt>
                <c:pt idx="21">
                  <c:v>433</c:v>
                </c:pt>
                <c:pt idx="22">
                  <c:v>432</c:v>
                </c:pt>
                <c:pt idx="23">
                  <c:v>445.5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Rubaga-Nateete'!$AF$9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Rubaga-Nateete'!$R$10:$R$33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Rubaga-Nateete'!$AF$10:$AF$33</c:f>
              <c:numCache>
                <c:formatCode>0</c:formatCode>
                <c:ptCount val="24"/>
                <c:pt idx="0">
                  <c:v>1052.1428571428573</c:v>
                </c:pt>
                <c:pt idx="1">
                  <c:v>1095.5714285714284</c:v>
                </c:pt>
                <c:pt idx="2">
                  <c:v>1019.1428571428571</c:v>
                </c:pt>
                <c:pt idx="3">
                  <c:v>1039.1428571428571</c:v>
                </c:pt>
                <c:pt idx="4">
                  <c:v>1077.5714285714287</c:v>
                </c:pt>
                <c:pt idx="5">
                  <c:v>1015.1428571428572</c:v>
                </c:pt>
                <c:pt idx="6">
                  <c:v>890.14285714285711</c:v>
                </c:pt>
                <c:pt idx="7">
                  <c:v>797</c:v>
                </c:pt>
                <c:pt idx="8">
                  <c:v>784.71428571428567</c:v>
                </c:pt>
                <c:pt idx="9">
                  <c:v>1041.4285714285716</c:v>
                </c:pt>
                <c:pt idx="10">
                  <c:v>1256.1428571428571</c:v>
                </c:pt>
                <c:pt idx="11">
                  <c:v>1378</c:v>
                </c:pt>
                <c:pt idx="12">
                  <c:v>1424.1428571428571</c:v>
                </c:pt>
                <c:pt idx="13">
                  <c:v>1405.2857142857142</c:v>
                </c:pt>
                <c:pt idx="14">
                  <c:v>1376.4285714285716</c:v>
                </c:pt>
                <c:pt idx="15">
                  <c:v>1323</c:v>
                </c:pt>
                <c:pt idx="16">
                  <c:v>1187</c:v>
                </c:pt>
                <c:pt idx="17">
                  <c:v>1154.5</c:v>
                </c:pt>
                <c:pt idx="18">
                  <c:v>1167</c:v>
                </c:pt>
                <c:pt idx="19">
                  <c:v>1163</c:v>
                </c:pt>
                <c:pt idx="20">
                  <c:v>1165</c:v>
                </c:pt>
                <c:pt idx="21">
                  <c:v>1178</c:v>
                </c:pt>
                <c:pt idx="22">
                  <c:v>1131</c:v>
                </c:pt>
                <c:pt idx="23">
                  <c:v>1144.5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3072"/>
        <c:axId val="-147768512"/>
      </c:lineChart>
      <c:catAx>
        <c:axId val="-147763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8512"/>
        <c:crosses val="autoZero"/>
        <c:auto val="1"/>
        <c:lblAlgn val="ctr"/>
        <c:lblOffset val="100"/>
        <c:noMultiLvlLbl val="0"/>
      </c:catAx>
      <c:valAx>
        <c:axId val="-14776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4776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2131893557198896E-2"/>
          <c:y val="0.12109883323408104"/>
          <c:w val="0.82101228366016787"/>
          <c:h val="0.7966539476683062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Rubaga-Nateete'!$C$9:$N$9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Rubaga-Nateete'!$C$107:$N$107</c:f>
              <c:numCache>
                <c:formatCode>0.0%</c:formatCode>
                <c:ptCount val="12"/>
                <c:pt idx="0">
                  <c:v>0.18195278930039624</c:v>
                </c:pt>
                <c:pt idx="1">
                  <c:v>1.8203463606093866E-2</c:v>
                </c:pt>
                <c:pt idx="2">
                  <c:v>1.7965363939061368E-2</c:v>
                </c:pt>
                <c:pt idx="3">
                  <c:v>0.1679086292527763</c:v>
                </c:pt>
                <c:pt idx="4">
                  <c:v>4.9889320857902878E-3</c:v>
                </c:pt>
                <c:pt idx="5">
                  <c:v>6.0082962852731642E-3</c:v>
                </c:pt>
                <c:pt idx="6">
                  <c:v>1.1298573262151453E-2</c:v>
                </c:pt>
                <c:pt idx="7">
                  <c:v>7.1876336985434988E-3</c:v>
                </c:pt>
                <c:pt idx="8">
                  <c:v>1.3318700124630299E-3</c:v>
                </c:pt>
                <c:pt idx="9">
                  <c:v>9.7844081921166694E-4</c:v>
                </c:pt>
                <c:pt idx="10">
                  <c:v>0.58217600773823919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4584580250731489E-2"/>
          <c:y val="0.22878465191851022"/>
          <c:w val="0.82182781835050078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93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Rubaga-Nateete'!$C$9:$N$9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Rubaga-Nateete'!$C$108:$N$108</c:f>
              <c:numCache>
                <c:formatCode>0.00%</c:formatCode>
                <c:ptCount val="12"/>
                <c:pt idx="0">
                  <c:v>0.43547712115680842</c:v>
                </c:pt>
                <c:pt idx="1">
                  <c:v>4.356730092868781E-2</c:v>
                </c:pt>
                <c:pt idx="2">
                  <c:v>4.2997444550303181E-2</c:v>
                </c:pt>
                <c:pt idx="3">
                  <c:v>0.40186449883802716</c:v>
                </c:pt>
                <c:pt idx="4">
                  <c:v>1.1940271928340561E-2</c:v>
                </c:pt>
                <c:pt idx="5">
                  <c:v>1.437996954829978E-2</c:v>
                </c:pt>
                <c:pt idx="6">
                  <c:v>2.7041465955533386E-2</c:v>
                </c:pt>
                <c:pt idx="7">
                  <c:v>1.720253942248617E-2</c:v>
                </c:pt>
                <c:pt idx="8">
                  <c:v>3.1876341165890539E-3</c:v>
                </c:pt>
                <c:pt idx="9">
                  <c:v>2.3417535549243602E-3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366" l="0.70000000000000062" r="0.70000000000000062" t="0.75000000000000366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Nateete-Rubaga-2Dir'!$AE$9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Nateete-Rubaga-2Dir'!$R$10:$R$33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Nateete-Rubaga-2Dir'!$AE$10:$AE$33</c:f>
              <c:numCache>
                <c:formatCode>0</c:formatCode>
                <c:ptCount val="24"/>
                <c:pt idx="0">
                  <c:v>917.85714285714289</c:v>
                </c:pt>
                <c:pt idx="1">
                  <c:v>836</c:v>
                </c:pt>
                <c:pt idx="2">
                  <c:v>824.57142857142867</c:v>
                </c:pt>
                <c:pt idx="3">
                  <c:v>783</c:v>
                </c:pt>
                <c:pt idx="4">
                  <c:v>743.85714285714278</c:v>
                </c:pt>
                <c:pt idx="5">
                  <c:v>754.57142857142844</c:v>
                </c:pt>
                <c:pt idx="6">
                  <c:v>733.00000000000011</c:v>
                </c:pt>
                <c:pt idx="7">
                  <c:v>700.99999999999989</c:v>
                </c:pt>
                <c:pt idx="8">
                  <c:v>663.14285714285711</c:v>
                </c:pt>
                <c:pt idx="9">
                  <c:v>795.57142857142856</c:v>
                </c:pt>
                <c:pt idx="10">
                  <c:v>941.42857142857144</c:v>
                </c:pt>
                <c:pt idx="11">
                  <c:v>960.14285714285711</c:v>
                </c:pt>
                <c:pt idx="12">
                  <c:v>1712.5</c:v>
                </c:pt>
                <c:pt idx="13">
                  <c:v>1066.5</c:v>
                </c:pt>
                <c:pt idx="14">
                  <c:v>932.5</c:v>
                </c:pt>
                <c:pt idx="15">
                  <c:v>922.5</c:v>
                </c:pt>
                <c:pt idx="16">
                  <c:v>515</c:v>
                </c:pt>
                <c:pt idx="17">
                  <c:v>273</c:v>
                </c:pt>
                <c:pt idx="18">
                  <c:v>154.5</c:v>
                </c:pt>
                <c:pt idx="19">
                  <c:v>99</c:v>
                </c:pt>
                <c:pt idx="20">
                  <c:v>80.5</c:v>
                </c:pt>
                <c:pt idx="21">
                  <c:v>134</c:v>
                </c:pt>
                <c:pt idx="22">
                  <c:v>325.5</c:v>
                </c:pt>
                <c:pt idx="23">
                  <c:v>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Nateete-Rubaga-2Dir'!$AF$9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Nateete-Rubaga-2Dir'!$R$10:$R$33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Nateete-Rubaga-2Dir'!$AF$10:$AF$33</c:f>
              <c:numCache>
                <c:formatCode>0</c:formatCode>
                <c:ptCount val="24"/>
                <c:pt idx="0">
                  <c:v>2641.5714285714284</c:v>
                </c:pt>
                <c:pt idx="1">
                  <c:v>3029.2857142857142</c:v>
                </c:pt>
                <c:pt idx="2">
                  <c:v>2703.1428571428569</c:v>
                </c:pt>
                <c:pt idx="3">
                  <c:v>2258.8571428571427</c:v>
                </c:pt>
                <c:pt idx="4">
                  <c:v>2186.1428571428569</c:v>
                </c:pt>
                <c:pt idx="5">
                  <c:v>1964.9999999999998</c:v>
                </c:pt>
                <c:pt idx="6">
                  <c:v>1735.5714285714284</c:v>
                </c:pt>
                <c:pt idx="7">
                  <c:v>1593.1428571428569</c:v>
                </c:pt>
                <c:pt idx="8">
                  <c:v>1523.7142857142858</c:v>
                </c:pt>
                <c:pt idx="9">
                  <c:v>1832.5714285714287</c:v>
                </c:pt>
                <c:pt idx="10">
                  <c:v>2106.7142857142858</c:v>
                </c:pt>
                <c:pt idx="11">
                  <c:v>2114.5714285714284</c:v>
                </c:pt>
                <c:pt idx="12">
                  <c:v>3266</c:v>
                </c:pt>
                <c:pt idx="13">
                  <c:v>2736</c:v>
                </c:pt>
                <c:pt idx="14">
                  <c:v>2279</c:v>
                </c:pt>
                <c:pt idx="15">
                  <c:v>1733.5</c:v>
                </c:pt>
                <c:pt idx="16">
                  <c:v>1050.5</c:v>
                </c:pt>
                <c:pt idx="17">
                  <c:v>722</c:v>
                </c:pt>
                <c:pt idx="18">
                  <c:v>370</c:v>
                </c:pt>
                <c:pt idx="19">
                  <c:v>240.5</c:v>
                </c:pt>
                <c:pt idx="20">
                  <c:v>179</c:v>
                </c:pt>
                <c:pt idx="21">
                  <c:v>287</c:v>
                </c:pt>
                <c:pt idx="22">
                  <c:v>747.5</c:v>
                </c:pt>
                <c:pt idx="23">
                  <c:v>1109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Nateete-Rubaga-2Dir'!$AC$9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Nateete-Rubaga-2Dir'!$R$10:$R$33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Nateete-Rubaga-2Dir'!$AC$10:$AC$33</c:f>
              <c:numCache>
                <c:formatCode>0</c:formatCode>
                <c:ptCount val="24"/>
                <c:pt idx="0">
                  <c:v>1723.7142857142858</c:v>
                </c:pt>
                <c:pt idx="1">
                  <c:v>2193.2857142857142</c:v>
                </c:pt>
                <c:pt idx="2">
                  <c:v>1878.5714285714284</c:v>
                </c:pt>
                <c:pt idx="3">
                  <c:v>1475.8571428571427</c:v>
                </c:pt>
                <c:pt idx="4">
                  <c:v>1442.2857142857144</c:v>
                </c:pt>
                <c:pt idx="5">
                  <c:v>1210.4285714285716</c:v>
                </c:pt>
                <c:pt idx="6">
                  <c:v>1002.5714285714286</c:v>
                </c:pt>
                <c:pt idx="7">
                  <c:v>892.14285714285711</c:v>
                </c:pt>
                <c:pt idx="8">
                  <c:v>860.57142857142867</c:v>
                </c:pt>
                <c:pt idx="9">
                  <c:v>1037</c:v>
                </c:pt>
                <c:pt idx="10">
                  <c:v>1165.2857142857142</c:v>
                </c:pt>
                <c:pt idx="11">
                  <c:v>1154.4285714285716</c:v>
                </c:pt>
                <c:pt idx="12">
                  <c:v>1553.5</c:v>
                </c:pt>
                <c:pt idx="13">
                  <c:v>1669.5</c:v>
                </c:pt>
                <c:pt idx="14">
                  <c:v>1346.5</c:v>
                </c:pt>
                <c:pt idx="15">
                  <c:v>811</c:v>
                </c:pt>
                <c:pt idx="16">
                  <c:v>535.5</c:v>
                </c:pt>
                <c:pt idx="17">
                  <c:v>449</c:v>
                </c:pt>
                <c:pt idx="18">
                  <c:v>215.5</c:v>
                </c:pt>
                <c:pt idx="19">
                  <c:v>141.5</c:v>
                </c:pt>
                <c:pt idx="20">
                  <c:v>98.5</c:v>
                </c:pt>
                <c:pt idx="21">
                  <c:v>153</c:v>
                </c:pt>
                <c:pt idx="22">
                  <c:v>422</c:v>
                </c:pt>
                <c:pt idx="23">
                  <c:v>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173184"/>
        <c:axId val="-15187328"/>
      </c:lineChart>
      <c:catAx>
        <c:axId val="-15173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187328"/>
        <c:crosses val="autoZero"/>
        <c:auto val="1"/>
        <c:lblAlgn val="ctr"/>
        <c:lblOffset val="100"/>
        <c:noMultiLvlLbl val="0"/>
      </c:catAx>
      <c:valAx>
        <c:axId val="-15187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517318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862766740250188E-2"/>
          <c:y val="8.013560502587487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5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6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7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8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9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9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'Avg Week Nateete-Rubaga-2Dir'!$C$9:$N$9</c15:sqref>
                  </c15:fullRef>
                </c:ext>
              </c:extLst>
              <c:f>('Avg Week Nateete-Rubaga-2Dir'!$C$9:$D$9,'Avg Week Nateete-Rubaga-2Dir'!$F$9:$N$9)</c:f>
              <c:strCache>
                <c:ptCount val="11"/>
                <c:pt idx="0">
                  <c:v>1. Car</c:v>
                </c:pt>
                <c:pt idx="1">
                  <c:v>2. Station Wagon</c:v>
                </c:pt>
                <c:pt idx="2">
                  <c:v>4. Minibus, matatu</c:v>
                </c:pt>
                <c:pt idx="3">
                  <c:v>5. Medium bus </c:v>
                </c:pt>
                <c:pt idx="4">
                  <c:v>6. Large Bus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  <c:pt idx="10">
                  <c:v>12. Tractors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'Avg Week Nateete-Rubaga-2Dir'!$C$107:$N$107</c15:sqref>
                  </c15:fullRef>
                </c:ext>
              </c:extLst>
              <c:f>('Avg Week Nateete-Rubaga-2Dir'!$C$107:$D$107,'Avg Week Nateete-Rubaga-2Dir'!$F$107:$N$107)</c:f>
              <c:numCache>
                <c:formatCode>0.0%</c:formatCode>
                <c:ptCount val="11"/>
                <c:pt idx="0">
                  <c:v>0.24803427643578457</c:v>
                </c:pt>
                <c:pt idx="1">
                  <c:v>4.6971617954535347E-2</c:v>
                </c:pt>
                <c:pt idx="2">
                  <c:v>0.24976366831264746</c:v>
                </c:pt>
                <c:pt idx="3">
                  <c:v>9.3170292272787975E-3</c:v>
                </c:pt>
                <c:pt idx="4">
                  <c:v>1.1204902353307535E-2</c:v>
                </c:pt>
                <c:pt idx="5">
                  <c:v>1.848947906935363E-2</c:v>
                </c:pt>
                <c:pt idx="6">
                  <c:v>1.2875906401530321E-2</c:v>
                </c:pt>
                <c:pt idx="7">
                  <c:v>3.8786200453756856E-3</c:v>
                </c:pt>
                <c:pt idx="8">
                  <c:v>4.348503047288582E-3</c:v>
                </c:pt>
                <c:pt idx="9">
                  <c:v>0.93508663641621104</c:v>
                </c:pt>
                <c:pt idx="10">
                  <c:v>5.5607455847680083E-5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'Avg Week Nateete-Rubaga-2Dir'!$E$107</c15:sqref>
                  <c15:spPr xmlns:c15="http://schemas.microsoft.com/office/drawing/2012/chart">
                    <a:solidFill>
                      <a:schemeClr val="accent3"/>
                    </a:solidFill>
                    <a:ln w="25400">
                      <a:solidFill>
                        <a:schemeClr val="lt1"/>
                      </a:solidFill>
                    </a:ln>
                    <a:effectLst/>
                    <a:sp3d contourW="25400">
                      <a:contourClr>
                        <a:schemeClr val="lt1"/>
                      </a:contourClr>
                    </a:sp3d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Nateete-Rubaga-2Dir'!$C$9:$N$9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Nateete-Rubaga-2Dir'!$C$108:$N$108</c:f>
              <c:numCache>
                <c:formatCode>0.00%</c:formatCode>
                <c:ptCount val="12"/>
                <c:pt idx="0">
                  <c:v>0.66003492209118186</c:v>
                </c:pt>
                <c:pt idx="1">
                  <c:v>0.12499445093890105</c:v>
                </c:pt>
                <c:pt idx="2">
                  <c:v>8.7689962858284329E-2</c:v>
                </c:pt>
                <c:pt idx="3">
                  <c:v>0.66463694342917157</c:v>
                </c:pt>
                <c:pt idx="4">
                  <c:v>2.4793204989715732E-2</c:v>
                </c:pt>
                <c:pt idx="5">
                  <c:v>2.9816954971218858E-2</c:v>
                </c:pt>
                <c:pt idx="6">
                  <c:v>4.920167507657703E-2</c:v>
                </c:pt>
                <c:pt idx="7">
                  <c:v>3.4263602598440322E-2</c:v>
                </c:pt>
                <c:pt idx="8">
                  <c:v>1.0321253643883451E-2</c:v>
                </c:pt>
                <c:pt idx="9">
                  <c:v>1.1571642078160371E-2</c:v>
                </c:pt>
                <c:pt idx="11">
                  <c:v>1.4797496263632188E-4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Nateete-Rubaga-2Dir'!$S$9:$AF$9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Nateete-Rubaga-2Dir'!$S$41:$AF$41</c:f>
              <c:numCache>
                <c:formatCode>0</c:formatCode>
                <c:ptCount val="14"/>
                <c:pt idx="0">
                  <c:v>6372.0714285714284</c:v>
                </c:pt>
                <c:pt idx="1">
                  <c:v>1206.7142857142858</c:v>
                </c:pt>
                <c:pt idx="2">
                  <c:v>846.57142857142867</c:v>
                </c:pt>
                <c:pt idx="3">
                  <c:v>6416.5000000000009</c:v>
                </c:pt>
                <c:pt idx="4">
                  <c:v>239.35714285714283</c:v>
                </c:pt>
                <c:pt idx="5">
                  <c:v>287.85714285714283</c:v>
                </c:pt>
                <c:pt idx="6">
                  <c:v>475</c:v>
                </c:pt>
                <c:pt idx="7">
                  <c:v>330.78571428571428</c:v>
                </c:pt>
                <c:pt idx="8">
                  <c:v>99.642857142857139</c:v>
                </c:pt>
                <c:pt idx="9">
                  <c:v>111.71428571428572</c:v>
                </c:pt>
                <c:pt idx="10">
                  <c:v>24022.642857142855</c:v>
                </c:pt>
                <c:pt idx="11">
                  <c:v>1.4285714285714286</c:v>
                </c:pt>
                <c:pt idx="12">
                  <c:v>16387.642857142855</c:v>
                </c:pt>
                <c:pt idx="13">
                  <c:v>40410.28571428571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2120431136"/>
        <c:axId val="-135332576"/>
      </c:barChart>
      <c:catAx>
        <c:axId val="-212043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5332576"/>
        <c:crosses val="autoZero"/>
        <c:auto val="1"/>
        <c:lblAlgn val="ctr"/>
        <c:lblOffset val="100"/>
        <c:noMultiLvlLbl val="0"/>
      </c:catAx>
      <c:valAx>
        <c:axId val="-13533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2120431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Nateete-Rubaga-2Dir'!$S$9:$AF$9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Nateete-Rubaga-2Dir'!$S$42:$AF$42</c:f>
              <c:numCache>
                <c:formatCode>0.000</c:formatCode>
                <c:ptCount val="14"/>
                <c:pt idx="0">
                  <c:v>1.8007468712151797</c:v>
                </c:pt>
                <c:pt idx="1">
                  <c:v>1.8982022471910112</c:v>
                </c:pt>
                <c:pt idx="2">
                  <c:v>1.846105919003115</c:v>
                </c:pt>
                <c:pt idx="3">
                  <c:v>1.5122554796134808</c:v>
                </c:pt>
                <c:pt idx="4">
                  <c:v>1.7618296529968456</c:v>
                </c:pt>
                <c:pt idx="5">
                  <c:v>2.2871736662883086</c:v>
                </c:pt>
                <c:pt idx="6">
                  <c:v>1.6323024054982818</c:v>
                </c:pt>
                <c:pt idx="7">
                  <c:v>1.8146551724137931</c:v>
                </c:pt>
                <c:pt idx="8">
                  <c:v>4.5000000000000018</c:v>
                </c:pt>
                <c:pt idx="9">
                  <c:v>5.666666666666667</c:v>
                </c:pt>
                <c:pt idx="10">
                  <c:v>1.4980312330182712</c:v>
                </c:pt>
                <c:pt idx="11">
                  <c:v>1</c:v>
                </c:pt>
                <c:pt idx="12">
                  <c:v>1.6974725876381715</c:v>
                </c:pt>
                <c:pt idx="13">
                  <c:v>1.5729792250544954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35333120"/>
        <c:axId val="-135331488"/>
      </c:barChart>
      <c:catAx>
        <c:axId val="-13533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5331488"/>
        <c:crosses val="autoZero"/>
        <c:auto val="1"/>
        <c:lblAlgn val="ctr"/>
        <c:lblOffset val="100"/>
        <c:noMultiLvlLbl val="0"/>
      </c:catAx>
      <c:valAx>
        <c:axId val="-13533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533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279401</xdr:rowOff>
    </xdr:from>
    <xdr:to>
      <xdr:col>31</xdr:col>
      <xdr:colOff>555625</xdr:colOff>
      <xdr:row>73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555624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156488</xdr:colOff>
      <xdr:row>43</xdr:row>
      <xdr:rowOff>0</xdr:rowOff>
    </xdr:from>
    <xdr:to>
      <xdr:col>28</xdr:col>
      <xdr:colOff>1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75</xdr:row>
      <xdr:rowOff>3178</xdr:rowOff>
    </xdr:from>
    <xdr:to>
      <xdr:col>25</xdr:col>
      <xdr:colOff>0</xdr:colOff>
      <xdr:row>91</xdr:row>
      <xdr:rowOff>15875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6351</xdr:colOff>
      <xdr:row>58</xdr:row>
      <xdr:rowOff>282579</xdr:rowOff>
    </xdr:from>
    <xdr:to>
      <xdr:col>25</xdr:col>
      <xdr:colOff>17463</xdr:colOff>
      <xdr:row>74</xdr:row>
      <xdr:rowOff>279403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708026</xdr:colOff>
      <xdr:row>58</xdr:row>
      <xdr:rowOff>280990</xdr:rowOff>
    </xdr:from>
    <xdr:to>
      <xdr:col>31</xdr:col>
      <xdr:colOff>508000</xdr:colOff>
      <xdr:row>74</xdr:row>
      <xdr:rowOff>279403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708026</xdr:colOff>
      <xdr:row>74</xdr:row>
      <xdr:rowOff>280990</xdr:rowOff>
    </xdr:from>
    <xdr:to>
      <xdr:col>31</xdr:col>
      <xdr:colOff>508000</xdr:colOff>
      <xdr:row>91</xdr:row>
      <xdr:rowOff>9528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">
        <v>177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2" t="s">
        <v>172</v>
      </c>
      <c r="H5" s="53"/>
      <c r="I5" s="14"/>
      <c r="J5" s="2" t="s">
        <v>5</v>
      </c>
      <c r="K5" s="52" t="s">
        <v>174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171</v>
      </c>
      <c r="E6" s="53"/>
      <c r="F6" s="2" t="s">
        <v>2</v>
      </c>
      <c r="G6" s="52" t="s">
        <v>173</v>
      </c>
      <c r="H6" s="53"/>
      <c r="J6" s="2" t="s">
        <v>21</v>
      </c>
      <c r="K6" s="52" t="s">
        <v>175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3</v>
      </c>
      <c r="E10" s="50">
        <v>1</v>
      </c>
      <c r="F10" s="50">
        <v>38</v>
      </c>
      <c r="G10" s="50">
        <v>1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194</v>
      </c>
      <c r="N10" s="50">
        <v>0</v>
      </c>
      <c r="O10" s="15">
        <f t="shared" ref="O10:O57" si="0">SUM(C10:L10,N10)</f>
        <v>77</v>
      </c>
      <c r="P10" s="15">
        <f t="shared" ref="P10:P57" si="1">SUM(C10:N10)</f>
        <v>271</v>
      </c>
      <c r="R10" s="1" t="s">
        <v>6</v>
      </c>
      <c r="S10" s="17">
        <f t="shared" ref="S10:AF10" si="2">SUM(C10:C13)</f>
        <v>142</v>
      </c>
      <c r="T10" s="17">
        <f t="shared" si="2"/>
        <v>22</v>
      </c>
      <c r="U10" s="17">
        <f t="shared" si="2"/>
        <v>6</v>
      </c>
      <c r="V10" s="17">
        <f t="shared" si="2"/>
        <v>143</v>
      </c>
      <c r="W10" s="17">
        <f t="shared" si="2"/>
        <v>7</v>
      </c>
      <c r="X10" s="17">
        <f t="shared" si="2"/>
        <v>2</v>
      </c>
      <c r="Y10" s="17">
        <f t="shared" si="2"/>
        <v>8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843</v>
      </c>
      <c r="AD10" s="17">
        <f t="shared" si="2"/>
        <v>0</v>
      </c>
      <c r="AE10" s="31">
        <f t="shared" si="2"/>
        <v>331</v>
      </c>
      <c r="AF10" s="31">
        <f t="shared" si="2"/>
        <v>1174</v>
      </c>
    </row>
    <row r="11" spans="2:32" s="6" customFormat="1" ht="23.1" customHeight="1" x14ac:dyDescent="0.25">
      <c r="B11" s="23" t="s">
        <v>38</v>
      </c>
      <c r="C11" s="50">
        <v>56</v>
      </c>
      <c r="D11" s="50">
        <v>7</v>
      </c>
      <c r="E11" s="50">
        <v>0</v>
      </c>
      <c r="F11" s="50">
        <v>37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224</v>
      </c>
      <c r="N11" s="50">
        <v>0</v>
      </c>
      <c r="O11" s="15">
        <f t="shared" si="0"/>
        <v>104</v>
      </c>
      <c r="P11" s="15">
        <f t="shared" si="1"/>
        <v>328</v>
      </c>
      <c r="R11" s="1" t="s">
        <v>7</v>
      </c>
      <c r="S11" s="17">
        <f t="shared" ref="S11:AF11" si="3">SUM(C14:C17)</f>
        <v>193</v>
      </c>
      <c r="T11" s="17">
        <f t="shared" si="3"/>
        <v>52</v>
      </c>
      <c r="U11" s="17">
        <f t="shared" si="3"/>
        <v>17</v>
      </c>
      <c r="V11" s="17">
        <f t="shared" si="3"/>
        <v>273</v>
      </c>
      <c r="W11" s="17">
        <f t="shared" si="3"/>
        <v>6</v>
      </c>
      <c r="X11" s="17">
        <f t="shared" si="3"/>
        <v>1</v>
      </c>
      <c r="Y11" s="17">
        <f t="shared" si="3"/>
        <v>8</v>
      </c>
      <c r="Z11" s="17">
        <f t="shared" si="3"/>
        <v>4</v>
      </c>
      <c r="AA11" s="17">
        <f t="shared" si="3"/>
        <v>0</v>
      </c>
      <c r="AB11" s="17">
        <f t="shared" si="3"/>
        <v>1</v>
      </c>
      <c r="AC11" s="17">
        <f t="shared" si="3"/>
        <v>2010</v>
      </c>
      <c r="AD11" s="17">
        <f t="shared" si="3"/>
        <v>0</v>
      </c>
      <c r="AE11" s="31">
        <f t="shared" si="3"/>
        <v>555</v>
      </c>
      <c r="AF11" s="31">
        <f t="shared" si="3"/>
        <v>2565</v>
      </c>
    </row>
    <row r="12" spans="2:32" ht="23.1" customHeight="1" x14ac:dyDescent="0.25">
      <c r="B12" s="23" t="s">
        <v>39</v>
      </c>
      <c r="C12" s="50">
        <v>23</v>
      </c>
      <c r="D12" s="50">
        <v>8</v>
      </c>
      <c r="E12" s="50">
        <v>3</v>
      </c>
      <c r="F12" s="50">
        <v>37</v>
      </c>
      <c r="G12" s="50">
        <v>4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123</v>
      </c>
      <c r="N12" s="50">
        <v>0</v>
      </c>
      <c r="O12" s="15">
        <f t="shared" si="0"/>
        <v>77</v>
      </c>
      <c r="P12" s="15">
        <f t="shared" si="1"/>
        <v>200</v>
      </c>
      <c r="R12" s="1" t="s">
        <v>8</v>
      </c>
      <c r="S12" s="17">
        <f t="shared" ref="S12:AF12" si="4">SUM(C18:C21)</f>
        <v>232</v>
      </c>
      <c r="T12" s="17">
        <f t="shared" si="4"/>
        <v>21</v>
      </c>
      <c r="U12" s="17">
        <f t="shared" si="4"/>
        <v>9</v>
      </c>
      <c r="V12" s="17">
        <f t="shared" si="4"/>
        <v>375</v>
      </c>
      <c r="W12" s="17">
        <f t="shared" si="4"/>
        <v>9</v>
      </c>
      <c r="X12" s="17">
        <f t="shared" si="4"/>
        <v>2</v>
      </c>
      <c r="Y12" s="17">
        <f t="shared" si="4"/>
        <v>12</v>
      </c>
      <c r="Z12" s="17">
        <f t="shared" si="4"/>
        <v>14</v>
      </c>
      <c r="AA12" s="17">
        <f t="shared" si="4"/>
        <v>2</v>
      </c>
      <c r="AB12" s="17">
        <f t="shared" si="4"/>
        <v>1</v>
      </c>
      <c r="AC12" s="17">
        <f t="shared" si="4"/>
        <v>1148</v>
      </c>
      <c r="AD12" s="17">
        <f t="shared" si="4"/>
        <v>0</v>
      </c>
      <c r="AE12" s="31">
        <f t="shared" si="4"/>
        <v>677</v>
      </c>
      <c r="AF12" s="31">
        <f t="shared" si="4"/>
        <v>1825</v>
      </c>
    </row>
    <row r="13" spans="2:32" ht="23.1" customHeight="1" x14ac:dyDescent="0.25">
      <c r="B13" s="23" t="s">
        <v>40</v>
      </c>
      <c r="C13" s="50">
        <v>30</v>
      </c>
      <c r="D13" s="50">
        <v>4</v>
      </c>
      <c r="E13" s="50">
        <v>2</v>
      </c>
      <c r="F13" s="50">
        <v>31</v>
      </c>
      <c r="G13" s="50">
        <v>2</v>
      </c>
      <c r="H13" s="50">
        <v>1</v>
      </c>
      <c r="I13" s="50">
        <v>3</v>
      </c>
      <c r="J13" s="50">
        <v>0</v>
      </c>
      <c r="K13" s="50">
        <v>0</v>
      </c>
      <c r="L13" s="50">
        <v>0</v>
      </c>
      <c r="M13" s="50">
        <v>302</v>
      </c>
      <c r="N13" s="50">
        <v>0</v>
      </c>
      <c r="O13" s="15">
        <f t="shared" si="0"/>
        <v>73</v>
      </c>
      <c r="P13" s="15">
        <f t="shared" si="1"/>
        <v>375</v>
      </c>
      <c r="R13" s="1" t="s">
        <v>9</v>
      </c>
      <c r="S13" s="17">
        <f t="shared" ref="S13:AF13" si="5">SUM(C22:C25)</f>
        <v>191</v>
      </c>
      <c r="T13" s="17">
        <f t="shared" si="5"/>
        <v>35</v>
      </c>
      <c r="U13" s="17">
        <f t="shared" si="5"/>
        <v>7</v>
      </c>
      <c r="V13" s="17">
        <f t="shared" si="5"/>
        <v>257</v>
      </c>
      <c r="W13" s="17">
        <f t="shared" si="5"/>
        <v>2</v>
      </c>
      <c r="X13" s="17">
        <f t="shared" si="5"/>
        <v>1</v>
      </c>
      <c r="Y13" s="17">
        <f t="shared" si="5"/>
        <v>13</v>
      </c>
      <c r="Z13" s="17">
        <f t="shared" si="5"/>
        <v>13</v>
      </c>
      <c r="AA13" s="17">
        <f t="shared" si="5"/>
        <v>1</v>
      </c>
      <c r="AB13" s="17">
        <f t="shared" si="5"/>
        <v>1</v>
      </c>
      <c r="AC13" s="17">
        <f t="shared" si="5"/>
        <v>765</v>
      </c>
      <c r="AD13" s="17">
        <f t="shared" si="5"/>
        <v>0</v>
      </c>
      <c r="AE13" s="31">
        <f t="shared" si="5"/>
        <v>521</v>
      </c>
      <c r="AF13" s="31">
        <f t="shared" si="5"/>
        <v>1286</v>
      </c>
    </row>
    <row r="14" spans="2:32" ht="23.1" customHeight="1" x14ac:dyDescent="0.25">
      <c r="B14" s="23" t="s">
        <v>41</v>
      </c>
      <c r="C14" s="50">
        <v>47</v>
      </c>
      <c r="D14" s="50">
        <v>6</v>
      </c>
      <c r="E14" s="50">
        <v>3</v>
      </c>
      <c r="F14" s="50">
        <v>36</v>
      </c>
      <c r="G14" s="50">
        <v>1</v>
      </c>
      <c r="H14" s="50">
        <v>0</v>
      </c>
      <c r="I14" s="50">
        <v>4</v>
      </c>
      <c r="J14" s="50">
        <v>1</v>
      </c>
      <c r="K14" s="50">
        <v>0</v>
      </c>
      <c r="L14" s="50">
        <v>0</v>
      </c>
      <c r="M14" s="50">
        <v>330</v>
      </c>
      <c r="N14" s="50">
        <v>0</v>
      </c>
      <c r="O14" s="15">
        <f t="shared" si="0"/>
        <v>98</v>
      </c>
      <c r="P14" s="15">
        <f t="shared" si="1"/>
        <v>428</v>
      </c>
      <c r="R14" s="1" t="s">
        <v>10</v>
      </c>
      <c r="S14" s="17">
        <f t="shared" ref="S14:AF14" si="6">SUM(C26:C29)</f>
        <v>139</v>
      </c>
      <c r="T14" s="17">
        <f t="shared" si="6"/>
        <v>34</v>
      </c>
      <c r="U14" s="17">
        <f t="shared" si="6"/>
        <v>22</v>
      </c>
      <c r="V14" s="17">
        <f t="shared" si="6"/>
        <v>155</v>
      </c>
      <c r="W14" s="17">
        <f t="shared" si="6"/>
        <v>3</v>
      </c>
      <c r="X14" s="17">
        <f t="shared" si="6"/>
        <v>3</v>
      </c>
      <c r="Y14" s="17">
        <f t="shared" si="6"/>
        <v>12</v>
      </c>
      <c r="Z14" s="17">
        <f t="shared" si="6"/>
        <v>12</v>
      </c>
      <c r="AA14" s="17">
        <f t="shared" si="6"/>
        <v>1</v>
      </c>
      <c r="AB14" s="17">
        <f t="shared" si="6"/>
        <v>0</v>
      </c>
      <c r="AC14" s="17">
        <f t="shared" si="6"/>
        <v>856</v>
      </c>
      <c r="AD14" s="17">
        <f t="shared" si="6"/>
        <v>0</v>
      </c>
      <c r="AE14" s="31">
        <f t="shared" si="6"/>
        <v>381</v>
      </c>
      <c r="AF14" s="31">
        <f t="shared" si="6"/>
        <v>1237</v>
      </c>
    </row>
    <row r="15" spans="2:32" ht="23.1" customHeight="1" x14ac:dyDescent="0.25">
      <c r="B15" s="23" t="s">
        <v>42</v>
      </c>
      <c r="C15" s="50">
        <v>45</v>
      </c>
      <c r="D15" s="50">
        <v>12</v>
      </c>
      <c r="E15" s="50">
        <v>4</v>
      </c>
      <c r="F15" s="50">
        <v>78</v>
      </c>
      <c r="G15" s="50">
        <v>1</v>
      </c>
      <c r="H15" s="50">
        <v>0</v>
      </c>
      <c r="I15" s="50">
        <v>0</v>
      </c>
      <c r="J15" s="50">
        <v>1</v>
      </c>
      <c r="K15" s="50">
        <v>0</v>
      </c>
      <c r="L15" s="50">
        <v>1</v>
      </c>
      <c r="M15" s="50">
        <v>415</v>
      </c>
      <c r="N15" s="50">
        <v>0</v>
      </c>
      <c r="O15" s="15">
        <f t="shared" si="0"/>
        <v>142</v>
      </c>
      <c r="P15" s="15">
        <f t="shared" si="1"/>
        <v>557</v>
      </c>
      <c r="R15" s="1" t="s">
        <v>11</v>
      </c>
      <c r="S15" s="17">
        <f t="shared" ref="S15:AF15" si="7">SUM(C30:C33)</f>
        <v>119</v>
      </c>
      <c r="T15" s="17">
        <f t="shared" si="7"/>
        <v>24</v>
      </c>
      <c r="U15" s="17">
        <f t="shared" si="7"/>
        <v>14</v>
      </c>
      <c r="V15" s="17">
        <f t="shared" si="7"/>
        <v>187</v>
      </c>
      <c r="W15" s="17">
        <f t="shared" si="7"/>
        <v>2</v>
      </c>
      <c r="X15" s="17">
        <f t="shared" si="7"/>
        <v>4</v>
      </c>
      <c r="Y15" s="17">
        <f t="shared" si="7"/>
        <v>9</v>
      </c>
      <c r="Z15" s="17">
        <f t="shared" si="7"/>
        <v>10</v>
      </c>
      <c r="AA15" s="17">
        <f t="shared" si="7"/>
        <v>1</v>
      </c>
      <c r="AB15" s="17">
        <f t="shared" si="7"/>
        <v>1</v>
      </c>
      <c r="AC15" s="17">
        <f t="shared" si="7"/>
        <v>598</v>
      </c>
      <c r="AD15" s="17">
        <f t="shared" si="7"/>
        <v>0</v>
      </c>
      <c r="AE15" s="31">
        <f t="shared" si="7"/>
        <v>371</v>
      </c>
      <c r="AF15" s="31">
        <f t="shared" si="7"/>
        <v>969</v>
      </c>
    </row>
    <row r="16" spans="2:32" ht="23.1" customHeight="1" x14ac:dyDescent="0.25">
      <c r="B16" s="23" t="s">
        <v>43</v>
      </c>
      <c r="C16" s="50">
        <v>52</v>
      </c>
      <c r="D16" s="50">
        <v>18</v>
      </c>
      <c r="E16" s="50">
        <v>4</v>
      </c>
      <c r="F16" s="50">
        <v>67</v>
      </c>
      <c r="G16" s="50">
        <v>4</v>
      </c>
      <c r="H16" s="50">
        <v>1</v>
      </c>
      <c r="I16" s="50">
        <v>1</v>
      </c>
      <c r="J16" s="50">
        <v>1</v>
      </c>
      <c r="K16" s="50">
        <v>0</v>
      </c>
      <c r="L16" s="50">
        <v>0</v>
      </c>
      <c r="M16" s="50">
        <v>705</v>
      </c>
      <c r="N16" s="50">
        <v>0</v>
      </c>
      <c r="O16" s="15">
        <f t="shared" si="0"/>
        <v>148</v>
      </c>
      <c r="P16" s="15">
        <f t="shared" si="1"/>
        <v>853</v>
      </c>
      <c r="R16" s="1" t="s">
        <v>12</v>
      </c>
      <c r="S16" s="17">
        <f t="shared" ref="S16:AF16" si="8">SUM(C34:C37)</f>
        <v>90</v>
      </c>
      <c r="T16" s="17">
        <f t="shared" si="8"/>
        <v>20</v>
      </c>
      <c r="U16" s="17">
        <f t="shared" si="8"/>
        <v>23</v>
      </c>
      <c r="V16" s="17">
        <f t="shared" si="8"/>
        <v>155</v>
      </c>
      <c r="W16" s="17">
        <f t="shared" si="8"/>
        <v>1</v>
      </c>
      <c r="X16" s="17">
        <f t="shared" si="8"/>
        <v>9</v>
      </c>
      <c r="Y16" s="17">
        <f t="shared" si="8"/>
        <v>13</v>
      </c>
      <c r="Z16" s="17">
        <f t="shared" si="8"/>
        <v>1</v>
      </c>
      <c r="AA16" s="17">
        <f t="shared" si="8"/>
        <v>2</v>
      </c>
      <c r="AB16" s="17">
        <f t="shared" si="8"/>
        <v>1</v>
      </c>
      <c r="AC16" s="17">
        <f t="shared" si="8"/>
        <v>465</v>
      </c>
      <c r="AD16" s="17">
        <f t="shared" si="8"/>
        <v>0</v>
      </c>
      <c r="AE16" s="31">
        <f t="shared" si="8"/>
        <v>315</v>
      </c>
      <c r="AF16" s="31">
        <f t="shared" si="8"/>
        <v>780</v>
      </c>
    </row>
    <row r="17" spans="2:32" ht="23.1" customHeight="1" x14ac:dyDescent="0.25">
      <c r="B17" s="23" t="s">
        <v>44</v>
      </c>
      <c r="C17" s="50">
        <v>49</v>
      </c>
      <c r="D17" s="50">
        <v>16</v>
      </c>
      <c r="E17" s="50">
        <v>6</v>
      </c>
      <c r="F17" s="50">
        <v>92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560</v>
      </c>
      <c r="N17" s="50">
        <v>0</v>
      </c>
      <c r="O17" s="15">
        <f t="shared" si="0"/>
        <v>167</v>
      </c>
      <c r="P17" s="15">
        <f t="shared" si="1"/>
        <v>727</v>
      </c>
      <c r="R17" s="1" t="s">
        <v>13</v>
      </c>
      <c r="S17" s="17">
        <f t="shared" ref="S17:AF17" si="9">SUM(C38:C41)</f>
        <v>91</v>
      </c>
      <c r="T17" s="17">
        <f t="shared" si="9"/>
        <v>17</v>
      </c>
      <c r="U17" s="17">
        <f t="shared" si="9"/>
        <v>12</v>
      </c>
      <c r="V17" s="17">
        <f t="shared" si="9"/>
        <v>137</v>
      </c>
      <c r="W17" s="17">
        <f t="shared" si="9"/>
        <v>3</v>
      </c>
      <c r="X17" s="17">
        <f t="shared" si="9"/>
        <v>9</v>
      </c>
      <c r="Y17" s="17">
        <f t="shared" si="9"/>
        <v>21</v>
      </c>
      <c r="Z17" s="17">
        <f t="shared" si="9"/>
        <v>4</v>
      </c>
      <c r="AA17" s="17">
        <f t="shared" si="9"/>
        <v>5</v>
      </c>
      <c r="AB17" s="17">
        <f t="shared" si="9"/>
        <v>0</v>
      </c>
      <c r="AC17" s="17">
        <f t="shared" si="9"/>
        <v>416</v>
      </c>
      <c r="AD17" s="17">
        <f t="shared" si="9"/>
        <v>0</v>
      </c>
      <c r="AE17" s="31">
        <f t="shared" si="9"/>
        <v>299</v>
      </c>
      <c r="AF17" s="31">
        <f t="shared" si="9"/>
        <v>715</v>
      </c>
    </row>
    <row r="18" spans="2:32" ht="23.1" customHeight="1" x14ac:dyDescent="0.25">
      <c r="B18" s="23" t="s">
        <v>45</v>
      </c>
      <c r="C18" s="50">
        <v>47</v>
      </c>
      <c r="D18" s="50">
        <v>2</v>
      </c>
      <c r="E18" s="50">
        <v>1</v>
      </c>
      <c r="F18" s="50">
        <v>83</v>
      </c>
      <c r="G18" s="50">
        <v>0</v>
      </c>
      <c r="H18" s="50">
        <v>0</v>
      </c>
      <c r="I18" s="50">
        <v>3</v>
      </c>
      <c r="J18" s="50">
        <v>2</v>
      </c>
      <c r="K18" s="50">
        <v>1</v>
      </c>
      <c r="L18" s="50">
        <v>0</v>
      </c>
      <c r="M18" s="50">
        <v>355</v>
      </c>
      <c r="N18" s="50">
        <v>0</v>
      </c>
      <c r="O18" s="15">
        <f t="shared" si="0"/>
        <v>139</v>
      </c>
      <c r="P18" s="15">
        <f t="shared" si="1"/>
        <v>494</v>
      </c>
      <c r="R18" s="1" t="s">
        <v>14</v>
      </c>
      <c r="S18" s="17">
        <f t="shared" ref="S18:AF18" si="10">SUM(C42:C45)</f>
        <v>109</v>
      </c>
      <c r="T18" s="17">
        <f t="shared" si="10"/>
        <v>24</v>
      </c>
      <c r="U18" s="17">
        <f t="shared" si="10"/>
        <v>16</v>
      </c>
      <c r="V18" s="17">
        <f t="shared" si="10"/>
        <v>126</v>
      </c>
      <c r="W18" s="17">
        <f t="shared" si="10"/>
        <v>3</v>
      </c>
      <c r="X18" s="17">
        <f t="shared" si="10"/>
        <v>4</v>
      </c>
      <c r="Y18" s="17">
        <f t="shared" si="10"/>
        <v>6</v>
      </c>
      <c r="Z18" s="17">
        <f t="shared" si="10"/>
        <v>10</v>
      </c>
      <c r="AA18" s="17">
        <f t="shared" si="10"/>
        <v>0</v>
      </c>
      <c r="AB18" s="17">
        <f t="shared" si="10"/>
        <v>0</v>
      </c>
      <c r="AC18" s="17">
        <f t="shared" si="10"/>
        <v>264</v>
      </c>
      <c r="AD18" s="17">
        <f t="shared" si="10"/>
        <v>0</v>
      </c>
      <c r="AE18" s="31">
        <f t="shared" si="10"/>
        <v>298</v>
      </c>
      <c r="AF18" s="31">
        <f t="shared" si="10"/>
        <v>562</v>
      </c>
    </row>
    <row r="19" spans="2:32" ht="23.1" customHeight="1" x14ac:dyDescent="0.25">
      <c r="B19" s="23" t="s">
        <v>46</v>
      </c>
      <c r="C19" s="50">
        <v>51</v>
      </c>
      <c r="D19" s="50">
        <v>10</v>
      </c>
      <c r="E19" s="50">
        <v>3</v>
      </c>
      <c r="F19" s="50">
        <v>70</v>
      </c>
      <c r="G19" s="50">
        <v>3</v>
      </c>
      <c r="H19" s="50">
        <v>1</v>
      </c>
      <c r="I19" s="50">
        <v>4</v>
      </c>
      <c r="J19" s="50">
        <v>7</v>
      </c>
      <c r="K19" s="50">
        <v>0</v>
      </c>
      <c r="L19" s="50">
        <v>0</v>
      </c>
      <c r="M19" s="50">
        <v>290</v>
      </c>
      <c r="N19" s="50">
        <v>0</v>
      </c>
      <c r="O19" s="15">
        <f t="shared" si="0"/>
        <v>149</v>
      </c>
      <c r="P19" s="15">
        <f t="shared" si="1"/>
        <v>439</v>
      </c>
      <c r="R19" s="1" t="s">
        <v>15</v>
      </c>
      <c r="S19" s="17">
        <f t="shared" ref="S19:AF19" si="11">SUM(C46:C49)</f>
        <v>138</v>
      </c>
      <c r="T19" s="17">
        <f t="shared" si="11"/>
        <v>14</v>
      </c>
      <c r="U19" s="17">
        <f t="shared" si="11"/>
        <v>12</v>
      </c>
      <c r="V19" s="17">
        <f t="shared" si="11"/>
        <v>174</v>
      </c>
      <c r="W19" s="17">
        <f t="shared" si="11"/>
        <v>3</v>
      </c>
      <c r="X19" s="17">
        <f t="shared" si="11"/>
        <v>10</v>
      </c>
      <c r="Y19" s="17">
        <f t="shared" si="11"/>
        <v>15</v>
      </c>
      <c r="Z19" s="17">
        <f t="shared" si="11"/>
        <v>8</v>
      </c>
      <c r="AA19" s="17">
        <f t="shared" si="11"/>
        <v>1</v>
      </c>
      <c r="AB19" s="17">
        <f t="shared" si="11"/>
        <v>0</v>
      </c>
      <c r="AC19" s="17">
        <f t="shared" si="11"/>
        <v>604</v>
      </c>
      <c r="AD19" s="17">
        <f t="shared" si="11"/>
        <v>0</v>
      </c>
      <c r="AE19" s="31">
        <f t="shared" si="11"/>
        <v>375</v>
      </c>
      <c r="AF19" s="31">
        <f t="shared" si="11"/>
        <v>979</v>
      </c>
    </row>
    <row r="20" spans="2:32" ht="23.1" customHeight="1" x14ac:dyDescent="0.25">
      <c r="B20" s="23" t="s">
        <v>47</v>
      </c>
      <c r="C20" s="50">
        <v>62</v>
      </c>
      <c r="D20" s="50">
        <v>5</v>
      </c>
      <c r="E20" s="50">
        <v>1</v>
      </c>
      <c r="F20" s="50">
        <v>115</v>
      </c>
      <c r="G20" s="50">
        <v>5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280</v>
      </c>
      <c r="N20" s="50">
        <v>0</v>
      </c>
      <c r="O20" s="15">
        <f t="shared" si="0"/>
        <v>191</v>
      </c>
      <c r="P20" s="15">
        <f t="shared" si="1"/>
        <v>471</v>
      </c>
      <c r="R20" s="1" t="s">
        <v>16</v>
      </c>
      <c r="S20" s="17">
        <f t="shared" ref="S20:AF20" si="12">SUM(C50:C53)</f>
        <v>137</v>
      </c>
      <c r="T20" s="17">
        <f t="shared" si="12"/>
        <v>31</v>
      </c>
      <c r="U20" s="17">
        <f t="shared" si="12"/>
        <v>7</v>
      </c>
      <c r="V20" s="17">
        <f t="shared" si="12"/>
        <v>216</v>
      </c>
      <c r="W20" s="17">
        <f t="shared" si="12"/>
        <v>1</v>
      </c>
      <c r="X20" s="17">
        <f t="shared" si="12"/>
        <v>9</v>
      </c>
      <c r="Y20" s="17">
        <f t="shared" si="12"/>
        <v>14</v>
      </c>
      <c r="Z20" s="17">
        <f t="shared" si="12"/>
        <v>13</v>
      </c>
      <c r="AA20" s="17">
        <f t="shared" si="12"/>
        <v>0</v>
      </c>
      <c r="AB20" s="17">
        <f t="shared" si="12"/>
        <v>2</v>
      </c>
      <c r="AC20" s="17">
        <f t="shared" si="12"/>
        <v>670</v>
      </c>
      <c r="AD20" s="17">
        <f t="shared" si="12"/>
        <v>0</v>
      </c>
      <c r="AE20" s="31">
        <f t="shared" si="12"/>
        <v>430</v>
      </c>
      <c r="AF20" s="31">
        <f t="shared" si="12"/>
        <v>1100</v>
      </c>
    </row>
    <row r="21" spans="2:32" ht="23.1" customHeight="1" x14ac:dyDescent="0.25">
      <c r="B21" s="23" t="s">
        <v>48</v>
      </c>
      <c r="C21" s="50">
        <v>72</v>
      </c>
      <c r="D21" s="50">
        <v>4</v>
      </c>
      <c r="E21" s="50">
        <v>4</v>
      </c>
      <c r="F21" s="50">
        <v>107</v>
      </c>
      <c r="G21" s="50">
        <v>1</v>
      </c>
      <c r="H21" s="50">
        <v>1</v>
      </c>
      <c r="I21" s="50">
        <v>4</v>
      </c>
      <c r="J21" s="50">
        <v>3</v>
      </c>
      <c r="K21" s="50">
        <v>1</v>
      </c>
      <c r="L21" s="50">
        <v>1</v>
      </c>
      <c r="M21" s="50">
        <v>223</v>
      </c>
      <c r="N21" s="50">
        <v>0</v>
      </c>
      <c r="O21" s="15">
        <f t="shared" si="0"/>
        <v>198</v>
      </c>
      <c r="P21" s="15">
        <f t="shared" si="1"/>
        <v>421</v>
      </c>
      <c r="R21" s="36" t="s">
        <v>20</v>
      </c>
      <c r="S21" s="34">
        <f t="shared" ref="S21:AF21" si="13">SUM(C54:C57)</f>
        <v>123</v>
      </c>
      <c r="T21" s="17">
        <f t="shared" si="13"/>
        <v>35</v>
      </c>
      <c r="U21" s="17">
        <f t="shared" si="13"/>
        <v>8</v>
      </c>
      <c r="V21" s="17">
        <f t="shared" si="13"/>
        <v>236</v>
      </c>
      <c r="W21" s="17">
        <f t="shared" si="13"/>
        <v>2</v>
      </c>
      <c r="X21" s="17">
        <f t="shared" si="13"/>
        <v>8</v>
      </c>
      <c r="Y21" s="17">
        <f t="shared" si="13"/>
        <v>11</v>
      </c>
      <c r="Z21" s="17">
        <f t="shared" si="13"/>
        <v>2</v>
      </c>
      <c r="AA21" s="17">
        <f t="shared" si="13"/>
        <v>4</v>
      </c>
      <c r="AB21" s="17">
        <f t="shared" si="13"/>
        <v>1</v>
      </c>
      <c r="AC21" s="17">
        <f t="shared" si="13"/>
        <v>405</v>
      </c>
      <c r="AD21" s="17">
        <f t="shared" si="13"/>
        <v>0</v>
      </c>
      <c r="AE21" s="31">
        <f t="shared" si="13"/>
        <v>430</v>
      </c>
      <c r="AF21" s="31">
        <f t="shared" si="13"/>
        <v>835</v>
      </c>
    </row>
    <row r="22" spans="2:32" ht="23.1" customHeight="1" x14ac:dyDescent="0.25">
      <c r="B22" s="23" t="s">
        <v>49</v>
      </c>
      <c r="C22" s="50">
        <v>40</v>
      </c>
      <c r="D22" s="50">
        <v>7</v>
      </c>
      <c r="E22" s="50">
        <v>2</v>
      </c>
      <c r="F22" s="50">
        <v>40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200</v>
      </c>
      <c r="N22" s="50">
        <v>0</v>
      </c>
      <c r="O22" s="15">
        <f t="shared" si="0"/>
        <v>93</v>
      </c>
      <c r="P22" s="15">
        <f t="shared" si="1"/>
        <v>293</v>
      </c>
      <c r="R22" s="38" t="s">
        <v>90</v>
      </c>
      <c r="S22" s="39">
        <f>MAX(S10:S12)</f>
        <v>232</v>
      </c>
      <c r="T22" s="39">
        <f t="shared" ref="T22:AF22" si="14">MAX(T10:T12)</f>
        <v>52</v>
      </c>
      <c r="U22" s="39">
        <f t="shared" si="14"/>
        <v>17</v>
      </c>
      <c r="V22" s="39">
        <f t="shared" si="14"/>
        <v>375</v>
      </c>
      <c r="W22" s="39">
        <f t="shared" si="14"/>
        <v>9</v>
      </c>
      <c r="X22" s="39">
        <f t="shared" si="14"/>
        <v>2</v>
      </c>
      <c r="Y22" s="39">
        <f t="shared" si="14"/>
        <v>12</v>
      </c>
      <c r="Z22" s="39">
        <f t="shared" si="14"/>
        <v>14</v>
      </c>
      <c r="AA22" s="39">
        <f t="shared" si="14"/>
        <v>2</v>
      </c>
      <c r="AB22" s="39">
        <f t="shared" si="14"/>
        <v>1</v>
      </c>
      <c r="AC22" s="39">
        <f t="shared" si="14"/>
        <v>2010</v>
      </c>
      <c r="AD22" s="39">
        <f t="shared" si="14"/>
        <v>0</v>
      </c>
      <c r="AE22" s="40">
        <f t="shared" si="14"/>
        <v>677</v>
      </c>
      <c r="AF22" s="40">
        <f t="shared" si="14"/>
        <v>2565</v>
      </c>
    </row>
    <row r="23" spans="2:32" ht="23.1" customHeight="1" x14ac:dyDescent="0.25">
      <c r="B23" s="23" t="s">
        <v>50</v>
      </c>
      <c r="C23" s="50">
        <v>49</v>
      </c>
      <c r="D23" s="50">
        <v>5</v>
      </c>
      <c r="E23" s="50">
        <v>1</v>
      </c>
      <c r="F23" s="50">
        <v>62</v>
      </c>
      <c r="G23" s="50">
        <v>0</v>
      </c>
      <c r="H23" s="50">
        <v>1</v>
      </c>
      <c r="I23" s="50">
        <v>5</v>
      </c>
      <c r="J23" s="50">
        <v>1</v>
      </c>
      <c r="K23" s="50">
        <v>0</v>
      </c>
      <c r="L23" s="50">
        <v>0</v>
      </c>
      <c r="M23" s="50">
        <v>215</v>
      </c>
      <c r="N23" s="50">
        <v>0</v>
      </c>
      <c r="O23" s="15">
        <f t="shared" si="0"/>
        <v>124</v>
      </c>
      <c r="P23" s="15">
        <f t="shared" si="1"/>
        <v>339</v>
      </c>
      <c r="R23" s="38" t="s">
        <v>91</v>
      </c>
      <c r="S23" s="39">
        <f>MAX(S13:S18)</f>
        <v>191</v>
      </c>
      <c r="T23" s="39">
        <f t="shared" ref="T23:AF23" si="15">MAX(T13:T18)</f>
        <v>35</v>
      </c>
      <c r="U23" s="39">
        <f t="shared" si="15"/>
        <v>23</v>
      </c>
      <c r="V23" s="39">
        <f t="shared" si="15"/>
        <v>257</v>
      </c>
      <c r="W23" s="39">
        <f t="shared" si="15"/>
        <v>3</v>
      </c>
      <c r="X23" s="39">
        <f t="shared" si="15"/>
        <v>9</v>
      </c>
      <c r="Y23" s="39">
        <f t="shared" si="15"/>
        <v>21</v>
      </c>
      <c r="Z23" s="39">
        <f t="shared" si="15"/>
        <v>13</v>
      </c>
      <c r="AA23" s="39">
        <f t="shared" si="15"/>
        <v>5</v>
      </c>
      <c r="AB23" s="39">
        <f t="shared" si="15"/>
        <v>1</v>
      </c>
      <c r="AC23" s="39">
        <f t="shared" si="15"/>
        <v>856</v>
      </c>
      <c r="AD23" s="39">
        <f t="shared" si="15"/>
        <v>0</v>
      </c>
      <c r="AE23" s="40">
        <f t="shared" si="15"/>
        <v>521</v>
      </c>
      <c r="AF23" s="40">
        <f t="shared" si="15"/>
        <v>1286</v>
      </c>
    </row>
    <row r="24" spans="2:32" ht="23.1" customHeight="1" x14ac:dyDescent="0.25">
      <c r="B24" s="23" t="s">
        <v>51</v>
      </c>
      <c r="C24" s="50">
        <v>59</v>
      </c>
      <c r="D24" s="50">
        <v>15</v>
      </c>
      <c r="E24" s="50">
        <v>1</v>
      </c>
      <c r="F24" s="50">
        <v>92</v>
      </c>
      <c r="G24" s="50">
        <v>1</v>
      </c>
      <c r="H24" s="50">
        <v>0</v>
      </c>
      <c r="I24" s="50">
        <v>1</v>
      </c>
      <c r="J24" s="50">
        <v>8</v>
      </c>
      <c r="K24" s="50">
        <v>1</v>
      </c>
      <c r="L24" s="50">
        <v>1</v>
      </c>
      <c r="M24" s="50">
        <v>215</v>
      </c>
      <c r="N24" s="50">
        <v>0</v>
      </c>
      <c r="O24" s="15">
        <f t="shared" si="0"/>
        <v>179</v>
      </c>
      <c r="P24" s="15">
        <f t="shared" si="1"/>
        <v>394</v>
      </c>
      <c r="R24" s="38" t="s">
        <v>92</v>
      </c>
      <c r="S24" s="39">
        <f>MAX(S19:S21)</f>
        <v>138</v>
      </c>
      <c r="T24" s="39">
        <f t="shared" ref="T24:AF24" si="16">MAX(T19:T21)</f>
        <v>35</v>
      </c>
      <c r="U24" s="39">
        <f t="shared" si="16"/>
        <v>12</v>
      </c>
      <c r="V24" s="39">
        <f t="shared" si="16"/>
        <v>236</v>
      </c>
      <c r="W24" s="39">
        <f t="shared" si="16"/>
        <v>3</v>
      </c>
      <c r="X24" s="39">
        <f t="shared" si="16"/>
        <v>10</v>
      </c>
      <c r="Y24" s="39">
        <f t="shared" si="16"/>
        <v>15</v>
      </c>
      <c r="Z24" s="39">
        <f t="shared" si="16"/>
        <v>13</v>
      </c>
      <c r="AA24" s="39">
        <f t="shared" si="16"/>
        <v>4</v>
      </c>
      <c r="AB24" s="39">
        <f t="shared" si="16"/>
        <v>2</v>
      </c>
      <c r="AC24" s="39">
        <f t="shared" si="16"/>
        <v>670</v>
      </c>
      <c r="AD24" s="39">
        <f t="shared" si="16"/>
        <v>0</v>
      </c>
      <c r="AE24" s="40">
        <f t="shared" si="16"/>
        <v>430</v>
      </c>
      <c r="AF24" s="40">
        <f t="shared" si="16"/>
        <v>1100</v>
      </c>
    </row>
    <row r="25" spans="2:32" ht="23.1" customHeight="1" x14ac:dyDescent="0.25">
      <c r="B25" s="23" t="s">
        <v>52</v>
      </c>
      <c r="C25" s="50">
        <v>43</v>
      </c>
      <c r="D25" s="50">
        <v>8</v>
      </c>
      <c r="E25" s="50">
        <v>3</v>
      </c>
      <c r="F25" s="50">
        <v>63</v>
      </c>
      <c r="G25" s="50">
        <v>1</v>
      </c>
      <c r="H25" s="50">
        <v>0</v>
      </c>
      <c r="I25" s="50">
        <v>5</v>
      </c>
      <c r="J25" s="50">
        <v>2</v>
      </c>
      <c r="K25" s="50">
        <v>0</v>
      </c>
      <c r="L25" s="50">
        <v>0</v>
      </c>
      <c r="M25" s="50">
        <v>135</v>
      </c>
      <c r="N25" s="50">
        <v>0</v>
      </c>
      <c r="O25" s="15">
        <f t="shared" si="0"/>
        <v>125</v>
      </c>
      <c r="P25" s="15">
        <f t="shared" si="1"/>
        <v>260</v>
      </c>
      <c r="R25" s="37" t="s">
        <v>85</v>
      </c>
      <c r="S25" s="35">
        <f t="shared" ref="S25:AF25" si="17">SUM(S10:S12)</f>
        <v>567</v>
      </c>
      <c r="T25" s="16">
        <f t="shared" si="17"/>
        <v>95</v>
      </c>
      <c r="U25" s="16">
        <f t="shared" si="17"/>
        <v>32</v>
      </c>
      <c r="V25" s="16">
        <f t="shared" si="17"/>
        <v>791</v>
      </c>
      <c r="W25" s="16">
        <f t="shared" si="17"/>
        <v>22</v>
      </c>
      <c r="X25" s="16">
        <f t="shared" si="17"/>
        <v>5</v>
      </c>
      <c r="Y25" s="16">
        <f t="shared" si="17"/>
        <v>28</v>
      </c>
      <c r="Z25" s="16">
        <f t="shared" si="17"/>
        <v>19</v>
      </c>
      <c r="AA25" s="16">
        <f t="shared" si="17"/>
        <v>2</v>
      </c>
      <c r="AB25" s="16">
        <f t="shared" si="17"/>
        <v>2</v>
      </c>
      <c r="AC25" s="16">
        <f t="shared" si="17"/>
        <v>4001</v>
      </c>
      <c r="AD25" s="16">
        <f t="shared" si="17"/>
        <v>0</v>
      </c>
      <c r="AE25" s="32">
        <f t="shared" si="17"/>
        <v>1563</v>
      </c>
      <c r="AF25" s="32">
        <f t="shared" si="17"/>
        <v>5564</v>
      </c>
    </row>
    <row r="26" spans="2:32" ht="23.1" customHeight="1" x14ac:dyDescent="0.25">
      <c r="B26" s="23" t="s">
        <v>53</v>
      </c>
      <c r="C26" s="50">
        <v>50</v>
      </c>
      <c r="D26" s="50">
        <v>10</v>
      </c>
      <c r="E26" s="50">
        <v>5</v>
      </c>
      <c r="F26" s="50">
        <v>56</v>
      </c>
      <c r="G26" s="50">
        <v>2</v>
      </c>
      <c r="H26" s="50">
        <v>0</v>
      </c>
      <c r="I26" s="50">
        <v>6</v>
      </c>
      <c r="J26" s="50">
        <v>3</v>
      </c>
      <c r="K26" s="50">
        <v>0</v>
      </c>
      <c r="L26" s="50">
        <v>0</v>
      </c>
      <c r="M26" s="50">
        <v>252</v>
      </c>
      <c r="N26" s="50">
        <v>0</v>
      </c>
      <c r="O26" s="15">
        <f t="shared" si="0"/>
        <v>132</v>
      </c>
      <c r="P26" s="15">
        <f t="shared" si="1"/>
        <v>384</v>
      </c>
      <c r="R26" s="28" t="s">
        <v>86</v>
      </c>
      <c r="S26" s="16">
        <f t="shared" ref="S26:AF26" si="18">SUM(S13:S18)</f>
        <v>739</v>
      </c>
      <c r="T26" s="16">
        <f t="shared" si="18"/>
        <v>154</v>
      </c>
      <c r="U26" s="16">
        <f t="shared" si="18"/>
        <v>94</v>
      </c>
      <c r="V26" s="16">
        <f t="shared" si="18"/>
        <v>1017</v>
      </c>
      <c r="W26" s="16">
        <f t="shared" si="18"/>
        <v>14</v>
      </c>
      <c r="X26" s="16">
        <f t="shared" si="18"/>
        <v>30</v>
      </c>
      <c r="Y26" s="16">
        <f t="shared" si="18"/>
        <v>74</v>
      </c>
      <c r="Z26" s="16">
        <f t="shared" si="18"/>
        <v>50</v>
      </c>
      <c r="AA26" s="16">
        <f t="shared" si="18"/>
        <v>10</v>
      </c>
      <c r="AB26" s="16">
        <f t="shared" si="18"/>
        <v>3</v>
      </c>
      <c r="AC26" s="16">
        <f t="shared" si="18"/>
        <v>3364</v>
      </c>
      <c r="AD26" s="16">
        <f t="shared" si="18"/>
        <v>0</v>
      </c>
      <c r="AE26" s="32">
        <f t="shared" si="18"/>
        <v>2185</v>
      </c>
      <c r="AF26" s="32">
        <f t="shared" si="18"/>
        <v>5549</v>
      </c>
    </row>
    <row r="27" spans="2:32" ht="23.1" customHeight="1" x14ac:dyDescent="0.25">
      <c r="B27" s="23" t="s">
        <v>54</v>
      </c>
      <c r="C27" s="50">
        <v>27</v>
      </c>
      <c r="D27" s="50">
        <v>8</v>
      </c>
      <c r="E27" s="50">
        <v>4</v>
      </c>
      <c r="F27" s="50">
        <v>35</v>
      </c>
      <c r="G27" s="50">
        <v>0</v>
      </c>
      <c r="H27" s="50">
        <v>1</v>
      </c>
      <c r="I27" s="50">
        <v>2</v>
      </c>
      <c r="J27" s="50">
        <v>3</v>
      </c>
      <c r="K27" s="50">
        <v>1</v>
      </c>
      <c r="L27" s="50">
        <v>0</v>
      </c>
      <c r="M27" s="50">
        <v>201</v>
      </c>
      <c r="N27" s="50">
        <v>0</v>
      </c>
      <c r="O27" s="15">
        <f t="shared" si="0"/>
        <v>81</v>
      </c>
      <c r="P27" s="15">
        <f t="shared" si="1"/>
        <v>282</v>
      </c>
      <c r="R27" s="29" t="s">
        <v>87</v>
      </c>
      <c r="S27" s="16">
        <f t="shared" ref="S27:AF27" si="19">SUM(S19:S21)</f>
        <v>398</v>
      </c>
      <c r="T27" s="16">
        <f t="shared" si="19"/>
        <v>80</v>
      </c>
      <c r="U27" s="16">
        <f t="shared" si="19"/>
        <v>27</v>
      </c>
      <c r="V27" s="16">
        <f t="shared" si="19"/>
        <v>626</v>
      </c>
      <c r="W27" s="16">
        <f t="shared" si="19"/>
        <v>6</v>
      </c>
      <c r="X27" s="16">
        <f t="shared" si="19"/>
        <v>27</v>
      </c>
      <c r="Y27" s="16">
        <f t="shared" si="19"/>
        <v>40</v>
      </c>
      <c r="Z27" s="16">
        <f t="shared" si="19"/>
        <v>23</v>
      </c>
      <c r="AA27" s="16">
        <f t="shared" si="19"/>
        <v>5</v>
      </c>
      <c r="AB27" s="16">
        <f t="shared" si="19"/>
        <v>3</v>
      </c>
      <c r="AC27" s="16">
        <f t="shared" si="19"/>
        <v>1679</v>
      </c>
      <c r="AD27" s="16">
        <f t="shared" si="19"/>
        <v>0</v>
      </c>
      <c r="AE27" s="32">
        <f t="shared" si="19"/>
        <v>1235</v>
      </c>
      <c r="AF27" s="32">
        <f t="shared" si="19"/>
        <v>2914</v>
      </c>
    </row>
    <row r="28" spans="2:32" ht="23.1" customHeight="1" x14ac:dyDescent="0.25">
      <c r="B28" s="23" t="s">
        <v>55</v>
      </c>
      <c r="C28" s="50">
        <v>41</v>
      </c>
      <c r="D28" s="50">
        <v>4</v>
      </c>
      <c r="E28" s="50">
        <v>4</v>
      </c>
      <c r="F28" s="50">
        <v>34</v>
      </c>
      <c r="G28" s="50">
        <v>1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255</v>
      </c>
      <c r="N28" s="50">
        <v>0</v>
      </c>
      <c r="O28" s="15">
        <f t="shared" si="0"/>
        <v>88</v>
      </c>
      <c r="P28" s="15">
        <f t="shared" si="1"/>
        <v>343</v>
      </c>
      <c r="R28" s="5" t="s">
        <v>17</v>
      </c>
      <c r="S28" s="16">
        <f t="shared" ref="S28:AF28" si="20">SUM(S10:S21)</f>
        <v>1704</v>
      </c>
      <c r="T28" s="16">
        <f t="shared" si="20"/>
        <v>329</v>
      </c>
      <c r="U28" s="16">
        <f t="shared" si="20"/>
        <v>153</v>
      </c>
      <c r="V28" s="16">
        <f t="shared" si="20"/>
        <v>2434</v>
      </c>
      <c r="W28" s="16">
        <f t="shared" si="20"/>
        <v>42</v>
      </c>
      <c r="X28" s="16">
        <f t="shared" si="20"/>
        <v>62</v>
      </c>
      <c r="Y28" s="16">
        <f t="shared" si="20"/>
        <v>142</v>
      </c>
      <c r="Z28" s="16">
        <f t="shared" si="20"/>
        <v>92</v>
      </c>
      <c r="AA28" s="16">
        <f t="shared" si="20"/>
        <v>17</v>
      </c>
      <c r="AB28" s="16">
        <f t="shared" si="20"/>
        <v>8</v>
      </c>
      <c r="AC28" s="16">
        <f t="shared" si="20"/>
        <v>9044</v>
      </c>
      <c r="AD28" s="16">
        <f t="shared" si="20"/>
        <v>0</v>
      </c>
      <c r="AE28" s="32">
        <f t="shared" si="20"/>
        <v>4983</v>
      </c>
      <c r="AF28" s="32">
        <f t="shared" si="20"/>
        <v>14027</v>
      </c>
    </row>
    <row r="29" spans="2:32" ht="23.1" customHeight="1" x14ac:dyDescent="0.25">
      <c r="B29" s="23" t="s">
        <v>56</v>
      </c>
      <c r="C29" s="50">
        <v>21</v>
      </c>
      <c r="D29" s="50">
        <v>12</v>
      </c>
      <c r="E29" s="50">
        <v>9</v>
      </c>
      <c r="F29" s="50">
        <v>30</v>
      </c>
      <c r="G29" s="50">
        <v>0</v>
      </c>
      <c r="H29" s="50">
        <v>2</v>
      </c>
      <c r="I29" s="50">
        <v>1</v>
      </c>
      <c r="J29" s="50">
        <v>5</v>
      </c>
      <c r="K29" s="50">
        <v>0</v>
      </c>
      <c r="L29" s="50">
        <v>0</v>
      </c>
      <c r="M29" s="50">
        <v>148</v>
      </c>
      <c r="N29" s="50">
        <v>0</v>
      </c>
      <c r="O29" s="15">
        <f t="shared" si="0"/>
        <v>80</v>
      </c>
      <c r="P29" s="15">
        <f t="shared" si="1"/>
        <v>228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5</v>
      </c>
      <c r="E30" s="50">
        <v>4</v>
      </c>
      <c r="F30" s="50">
        <v>33</v>
      </c>
      <c r="G30" s="50">
        <v>0</v>
      </c>
      <c r="H30" s="50">
        <v>0</v>
      </c>
      <c r="I30" s="50">
        <v>3</v>
      </c>
      <c r="J30" s="50">
        <v>5</v>
      </c>
      <c r="K30" s="50">
        <v>1</v>
      </c>
      <c r="L30" s="50">
        <v>0</v>
      </c>
      <c r="M30" s="50">
        <v>163</v>
      </c>
      <c r="N30" s="50">
        <v>0</v>
      </c>
      <c r="O30" s="15">
        <f t="shared" si="0"/>
        <v>88</v>
      </c>
      <c r="P30" s="15">
        <f t="shared" si="1"/>
        <v>251</v>
      </c>
    </row>
    <row r="31" spans="2:32" ht="23.1" customHeight="1" x14ac:dyDescent="0.25">
      <c r="B31" s="24" t="s">
        <v>58</v>
      </c>
      <c r="C31" s="50">
        <v>35</v>
      </c>
      <c r="D31" s="50">
        <v>10</v>
      </c>
      <c r="E31" s="50">
        <v>4</v>
      </c>
      <c r="F31" s="50">
        <v>57</v>
      </c>
      <c r="G31" s="50">
        <v>2</v>
      </c>
      <c r="H31" s="50">
        <v>0</v>
      </c>
      <c r="I31" s="50">
        <v>4</v>
      </c>
      <c r="J31" s="50">
        <v>3</v>
      </c>
      <c r="K31" s="50">
        <v>0</v>
      </c>
      <c r="L31" s="50">
        <v>1</v>
      </c>
      <c r="M31" s="50">
        <v>138</v>
      </c>
      <c r="N31" s="50">
        <v>0</v>
      </c>
      <c r="O31" s="15">
        <f t="shared" si="0"/>
        <v>116</v>
      </c>
      <c r="P31" s="15">
        <f t="shared" si="1"/>
        <v>254</v>
      </c>
    </row>
    <row r="32" spans="2:32" ht="23.1" customHeight="1" x14ac:dyDescent="0.25">
      <c r="B32" s="24" t="s">
        <v>59</v>
      </c>
      <c r="C32" s="50">
        <v>24</v>
      </c>
      <c r="D32" s="50">
        <v>1</v>
      </c>
      <c r="E32" s="50">
        <v>3</v>
      </c>
      <c r="F32" s="50">
        <v>45</v>
      </c>
      <c r="G32" s="50">
        <v>0</v>
      </c>
      <c r="H32" s="50">
        <v>2</v>
      </c>
      <c r="I32" s="50">
        <v>2</v>
      </c>
      <c r="J32" s="50">
        <v>1</v>
      </c>
      <c r="K32" s="50">
        <v>0</v>
      </c>
      <c r="L32" s="50">
        <v>0</v>
      </c>
      <c r="M32" s="50">
        <v>140</v>
      </c>
      <c r="N32" s="50">
        <v>0</v>
      </c>
      <c r="O32" s="15">
        <f t="shared" si="0"/>
        <v>78</v>
      </c>
      <c r="P32" s="15">
        <f t="shared" si="1"/>
        <v>218</v>
      </c>
    </row>
    <row r="33" spans="2:20" ht="23.1" customHeight="1" x14ac:dyDescent="0.25">
      <c r="B33" s="23" t="s">
        <v>60</v>
      </c>
      <c r="C33" s="50">
        <v>23</v>
      </c>
      <c r="D33" s="50">
        <v>8</v>
      </c>
      <c r="E33" s="50">
        <v>3</v>
      </c>
      <c r="F33" s="50">
        <v>52</v>
      </c>
      <c r="G33" s="50">
        <v>0</v>
      </c>
      <c r="H33" s="50">
        <v>2</v>
      </c>
      <c r="I33" s="50">
        <v>0</v>
      </c>
      <c r="J33" s="50">
        <v>1</v>
      </c>
      <c r="K33" s="50">
        <v>0</v>
      </c>
      <c r="L33" s="50">
        <v>0</v>
      </c>
      <c r="M33" s="50">
        <v>157</v>
      </c>
      <c r="N33" s="50">
        <v>0</v>
      </c>
      <c r="O33" s="15">
        <f t="shared" si="0"/>
        <v>89</v>
      </c>
      <c r="P33" s="15">
        <f t="shared" si="1"/>
        <v>246</v>
      </c>
    </row>
    <row r="34" spans="2:20" ht="23.1" customHeight="1" x14ac:dyDescent="0.25">
      <c r="B34" s="24" t="s">
        <v>61</v>
      </c>
      <c r="C34" s="50">
        <v>17</v>
      </c>
      <c r="D34" s="50">
        <v>10</v>
      </c>
      <c r="E34" s="50">
        <v>10</v>
      </c>
      <c r="F34" s="50">
        <v>39</v>
      </c>
      <c r="G34" s="50">
        <v>1</v>
      </c>
      <c r="H34" s="50">
        <v>4</v>
      </c>
      <c r="I34" s="50">
        <v>3</v>
      </c>
      <c r="J34" s="50">
        <v>1</v>
      </c>
      <c r="K34" s="50">
        <v>2</v>
      </c>
      <c r="L34" s="50">
        <v>0</v>
      </c>
      <c r="M34" s="50">
        <v>87</v>
      </c>
      <c r="N34" s="50">
        <v>0</v>
      </c>
      <c r="O34" s="15">
        <f t="shared" si="0"/>
        <v>87</v>
      </c>
      <c r="P34" s="15">
        <f t="shared" si="1"/>
        <v>174</v>
      </c>
    </row>
    <row r="35" spans="2:20" ht="23.1" customHeight="1" x14ac:dyDescent="0.25">
      <c r="B35" s="24" t="s">
        <v>62</v>
      </c>
      <c r="C35" s="50">
        <v>21</v>
      </c>
      <c r="D35" s="50">
        <v>2</v>
      </c>
      <c r="E35" s="50">
        <v>3</v>
      </c>
      <c r="F35" s="50">
        <v>22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117</v>
      </c>
      <c r="N35" s="50">
        <v>0</v>
      </c>
      <c r="O35" s="15">
        <f t="shared" si="0"/>
        <v>50</v>
      </c>
      <c r="P35" s="15">
        <f t="shared" si="1"/>
        <v>167</v>
      </c>
    </row>
    <row r="36" spans="2:20" ht="23.1" customHeight="1" x14ac:dyDescent="0.25">
      <c r="B36" s="24" t="s">
        <v>63</v>
      </c>
      <c r="C36" s="50">
        <v>24</v>
      </c>
      <c r="D36" s="50">
        <v>2</v>
      </c>
      <c r="E36" s="50">
        <v>4</v>
      </c>
      <c r="F36" s="50">
        <v>46</v>
      </c>
      <c r="G36" s="50">
        <v>0</v>
      </c>
      <c r="H36" s="50">
        <v>1</v>
      </c>
      <c r="I36" s="50">
        <v>4</v>
      </c>
      <c r="J36" s="50">
        <v>0</v>
      </c>
      <c r="K36" s="50">
        <v>0</v>
      </c>
      <c r="L36" s="50">
        <v>1</v>
      </c>
      <c r="M36" s="50">
        <v>89</v>
      </c>
      <c r="N36" s="50">
        <v>0</v>
      </c>
      <c r="O36" s="15">
        <f t="shared" si="0"/>
        <v>82</v>
      </c>
      <c r="P36" s="15">
        <f t="shared" si="1"/>
        <v>171</v>
      </c>
    </row>
    <row r="37" spans="2:20" ht="23.1" customHeight="1" x14ac:dyDescent="0.25">
      <c r="B37" s="23" t="s">
        <v>64</v>
      </c>
      <c r="C37" s="50">
        <v>28</v>
      </c>
      <c r="D37" s="50">
        <v>6</v>
      </c>
      <c r="E37" s="50">
        <v>6</v>
      </c>
      <c r="F37" s="50">
        <v>48</v>
      </c>
      <c r="G37" s="50">
        <v>0</v>
      </c>
      <c r="H37" s="50">
        <v>4</v>
      </c>
      <c r="I37" s="50">
        <v>4</v>
      </c>
      <c r="J37" s="50">
        <v>0</v>
      </c>
      <c r="K37" s="50">
        <v>0</v>
      </c>
      <c r="L37" s="50">
        <v>0</v>
      </c>
      <c r="M37" s="50">
        <v>172</v>
      </c>
      <c r="N37" s="50">
        <v>0</v>
      </c>
      <c r="O37" s="15">
        <f t="shared" si="0"/>
        <v>96</v>
      </c>
      <c r="P37" s="15">
        <f t="shared" si="1"/>
        <v>268</v>
      </c>
    </row>
    <row r="38" spans="2:20" ht="23.1" customHeight="1" x14ac:dyDescent="0.25">
      <c r="B38" s="24" t="s">
        <v>65</v>
      </c>
      <c r="C38" s="50">
        <v>21</v>
      </c>
      <c r="D38" s="50">
        <v>4</v>
      </c>
      <c r="E38" s="50">
        <v>1</v>
      </c>
      <c r="F38" s="50">
        <v>51</v>
      </c>
      <c r="G38" s="50">
        <v>0</v>
      </c>
      <c r="H38" s="50">
        <v>2</v>
      </c>
      <c r="I38" s="50">
        <v>5</v>
      </c>
      <c r="J38" s="50">
        <v>0</v>
      </c>
      <c r="K38" s="50">
        <v>1</v>
      </c>
      <c r="L38" s="50">
        <v>0</v>
      </c>
      <c r="M38" s="50">
        <v>115</v>
      </c>
      <c r="N38" s="50">
        <v>0</v>
      </c>
      <c r="O38" s="15">
        <f t="shared" si="0"/>
        <v>85</v>
      </c>
      <c r="P38" s="15">
        <f t="shared" si="1"/>
        <v>200</v>
      </c>
    </row>
    <row r="39" spans="2:20" ht="23.1" customHeight="1" x14ac:dyDescent="0.25">
      <c r="B39" s="24" t="s">
        <v>66</v>
      </c>
      <c r="C39" s="50">
        <v>25</v>
      </c>
      <c r="D39" s="50">
        <v>3</v>
      </c>
      <c r="E39" s="50">
        <v>0</v>
      </c>
      <c r="F39" s="50">
        <v>25</v>
      </c>
      <c r="G39" s="50">
        <v>3</v>
      </c>
      <c r="H39" s="50">
        <v>2</v>
      </c>
      <c r="I39" s="50">
        <v>2</v>
      </c>
      <c r="J39" s="50">
        <v>0</v>
      </c>
      <c r="K39" s="50">
        <v>1</v>
      </c>
      <c r="L39" s="50">
        <v>0</v>
      </c>
      <c r="M39" s="50">
        <v>109</v>
      </c>
      <c r="N39" s="50">
        <v>0</v>
      </c>
      <c r="O39" s="15">
        <f t="shared" si="0"/>
        <v>61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21</v>
      </c>
      <c r="D40" s="50">
        <v>6</v>
      </c>
      <c r="E40" s="50">
        <v>5</v>
      </c>
      <c r="F40" s="50">
        <v>27</v>
      </c>
      <c r="G40" s="50">
        <v>0</v>
      </c>
      <c r="H40" s="50">
        <v>4</v>
      </c>
      <c r="I40" s="50">
        <v>5</v>
      </c>
      <c r="J40" s="50">
        <v>2</v>
      </c>
      <c r="K40" s="50">
        <v>1</v>
      </c>
      <c r="L40" s="50">
        <v>0</v>
      </c>
      <c r="M40" s="50">
        <v>110</v>
      </c>
      <c r="N40" s="50">
        <v>0</v>
      </c>
      <c r="O40" s="15">
        <f t="shared" si="0"/>
        <v>71</v>
      </c>
      <c r="P40" s="15">
        <f t="shared" si="1"/>
        <v>181</v>
      </c>
    </row>
    <row r="41" spans="2:20" ht="23.1" customHeight="1" x14ac:dyDescent="0.25">
      <c r="B41" s="23" t="s">
        <v>68</v>
      </c>
      <c r="C41" s="50">
        <v>24</v>
      </c>
      <c r="D41" s="50">
        <v>4</v>
      </c>
      <c r="E41" s="50">
        <v>6</v>
      </c>
      <c r="F41" s="50">
        <v>34</v>
      </c>
      <c r="G41" s="50">
        <v>0</v>
      </c>
      <c r="H41" s="50">
        <v>1</v>
      </c>
      <c r="I41" s="50">
        <v>9</v>
      </c>
      <c r="J41" s="50">
        <v>2</v>
      </c>
      <c r="K41" s="50">
        <v>2</v>
      </c>
      <c r="L41" s="50">
        <v>0</v>
      </c>
      <c r="M41" s="50">
        <v>82</v>
      </c>
      <c r="N41" s="50">
        <v>0</v>
      </c>
      <c r="O41" s="15">
        <f t="shared" si="0"/>
        <v>82</v>
      </c>
      <c r="P41" s="15">
        <f t="shared" si="1"/>
        <v>164</v>
      </c>
    </row>
    <row r="42" spans="2:20" ht="23.1" customHeight="1" x14ac:dyDescent="0.25">
      <c r="B42" s="24" t="s">
        <v>69</v>
      </c>
      <c r="C42" s="50">
        <v>14</v>
      </c>
      <c r="D42" s="50">
        <v>3</v>
      </c>
      <c r="E42" s="50">
        <v>3</v>
      </c>
      <c r="F42" s="50">
        <v>36</v>
      </c>
      <c r="G42" s="50">
        <v>2</v>
      </c>
      <c r="H42" s="50">
        <v>2</v>
      </c>
      <c r="I42" s="50">
        <v>1</v>
      </c>
      <c r="J42" s="50">
        <v>4</v>
      </c>
      <c r="K42" s="50">
        <v>0</v>
      </c>
      <c r="L42" s="50">
        <v>0</v>
      </c>
      <c r="M42" s="50">
        <v>68</v>
      </c>
      <c r="N42" s="50">
        <v>0</v>
      </c>
      <c r="O42" s="15">
        <f t="shared" si="0"/>
        <v>65</v>
      </c>
      <c r="P42" s="15">
        <f t="shared" si="1"/>
        <v>133</v>
      </c>
    </row>
    <row r="43" spans="2:20" ht="23.1" customHeight="1" x14ac:dyDescent="0.25">
      <c r="B43" s="23" t="s">
        <v>70</v>
      </c>
      <c r="C43" s="50">
        <v>49</v>
      </c>
      <c r="D43" s="50">
        <v>2</v>
      </c>
      <c r="E43" s="50">
        <v>5</v>
      </c>
      <c r="F43" s="50">
        <v>41</v>
      </c>
      <c r="G43" s="50">
        <v>1</v>
      </c>
      <c r="H43" s="50">
        <v>0</v>
      </c>
      <c r="I43" s="50">
        <v>2</v>
      </c>
      <c r="J43" s="50">
        <v>3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103</v>
      </c>
      <c r="P43" s="15">
        <f t="shared" si="1"/>
        <v>138</v>
      </c>
    </row>
    <row r="44" spans="2:20" ht="23.1" customHeight="1" x14ac:dyDescent="0.25">
      <c r="B44" s="25" t="s">
        <v>71</v>
      </c>
      <c r="C44" s="50">
        <v>15</v>
      </c>
      <c r="D44" s="50">
        <v>7</v>
      </c>
      <c r="E44" s="50">
        <v>5</v>
      </c>
      <c r="F44" s="50">
        <v>17</v>
      </c>
      <c r="G44" s="50">
        <v>0</v>
      </c>
      <c r="H44" s="50">
        <v>1</v>
      </c>
      <c r="I44" s="50">
        <v>1</v>
      </c>
      <c r="J44" s="50">
        <v>0</v>
      </c>
      <c r="K44" s="50">
        <v>0</v>
      </c>
      <c r="L44" s="50">
        <v>0</v>
      </c>
      <c r="M44" s="50">
        <v>45</v>
      </c>
      <c r="N44" s="50">
        <v>0</v>
      </c>
      <c r="O44" s="15">
        <f t="shared" si="0"/>
        <v>46</v>
      </c>
      <c r="P44" s="15">
        <f t="shared" si="1"/>
        <v>91</v>
      </c>
    </row>
    <row r="45" spans="2:20" ht="23.1" customHeight="1" x14ac:dyDescent="0.25">
      <c r="B45" s="23" t="s">
        <v>72</v>
      </c>
      <c r="C45" s="50">
        <v>31</v>
      </c>
      <c r="D45" s="50">
        <v>12</v>
      </c>
      <c r="E45" s="50">
        <v>3</v>
      </c>
      <c r="F45" s="50">
        <v>32</v>
      </c>
      <c r="G45" s="50">
        <v>0</v>
      </c>
      <c r="H45" s="50">
        <v>1</v>
      </c>
      <c r="I45" s="50">
        <v>2</v>
      </c>
      <c r="J45" s="50">
        <v>3</v>
      </c>
      <c r="K45" s="50">
        <v>0</v>
      </c>
      <c r="L45" s="50">
        <v>0</v>
      </c>
      <c r="M45" s="50">
        <v>116</v>
      </c>
      <c r="N45" s="50">
        <v>0</v>
      </c>
      <c r="O45" s="15">
        <f t="shared" si="0"/>
        <v>84</v>
      </c>
      <c r="P45" s="15">
        <f t="shared" si="1"/>
        <v>200</v>
      </c>
    </row>
    <row r="46" spans="2:20" ht="23.1" customHeight="1" x14ac:dyDescent="0.25">
      <c r="B46" s="24" t="s">
        <v>73</v>
      </c>
      <c r="C46" s="50">
        <v>56</v>
      </c>
      <c r="D46" s="50">
        <v>4</v>
      </c>
      <c r="E46" s="50">
        <v>5</v>
      </c>
      <c r="F46" s="50">
        <v>32</v>
      </c>
      <c r="G46" s="50">
        <v>1</v>
      </c>
      <c r="H46" s="50">
        <v>2</v>
      </c>
      <c r="I46" s="50">
        <v>3</v>
      </c>
      <c r="J46" s="50">
        <v>4</v>
      </c>
      <c r="K46" s="50">
        <v>1</v>
      </c>
      <c r="L46" s="50">
        <v>0</v>
      </c>
      <c r="M46" s="50">
        <v>103</v>
      </c>
      <c r="N46" s="50">
        <v>0</v>
      </c>
      <c r="O46" s="15">
        <f t="shared" si="0"/>
        <v>108</v>
      </c>
      <c r="P46" s="15">
        <f t="shared" si="1"/>
        <v>211</v>
      </c>
      <c r="R46" s="8"/>
      <c r="T46"/>
    </row>
    <row r="47" spans="2:20" ht="23.1" customHeight="1" x14ac:dyDescent="0.25">
      <c r="B47" s="24" t="s">
        <v>74</v>
      </c>
      <c r="C47" s="50">
        <v>31</v>
      </c>
      <c r="D47" s="50">
        <v>3</v>
      </c>
      <c r="E47" s="50">
        <v>2</v>
      </c>
      <c r="F47" s="50">
        <v>43</v>
      </c>
      <c r="G47" s="50">
        <v>0</v>
      </c>
      <c r="H47" s="50">
        <v>3</v>
      </c>
      <c r="I47" s="50">
        <v>0</v>
      </c>
      <c r="J47" s="50">
        <v>1</v>
      </c>
      <c r="K47" s="50">
        <v>0</v>
      </c>
      <c r="L47" s="50">
        <v>0</v>
      </c>
      <c r="M47" s="50">
        <v>125</v>
      </c>
      <c r="N47" s="50">
        <v>0</v>
      </c>
      <c r="O47" s="15">
        <f t="shared" si="0"/>
        <v>83</v>
      </c>
      <c r="P47" s="15">
        <f t="shared" si="1"/>
        <v>208</v>
      </c>
      <c r="R47" s="8"/>
      <c r="T47"/>
    </row>
    <row r="48" spans="2:20" ht="23.1" customHeight="1" x14ac:dyDescent="0.25">
      <c r="B48" s="24" t="s">
        <v>75</v>
      </c>
      <c r="C48" s="50">
        <v>26</v>
      </c>
      <c r="D48" s="50">
        <v>4</v>
      </c>
      <c r="E48" s="50">
        <v>1</v>
      </c>
      <c r="F48" s="50">
        <v>51</v>
      </c>
      <c r="G48" s="50">
        <v>2</v>
      </c>
      <c r="H48" s="50">
        <v>1</v>
      </c>
      <c r="I48" s="50">
        <v>4</v>
      </c>
      <c r="J48" s="50">
        <v>1</v>
      </c>
      <c r="K48" s="50">
        <v>0</v>
      </c>
      <c r="L48" s="50">
        <v>0</v>
      </c>
      <c r="M48" s="50">
        <v>168</v>
      </c>
      <c r="N48" s="50">
        <v>0</v>
      </c>
      <c r="O48" s="15">
        <f t="shared" si="0"/>
        <v>90</v>
      </c>
      <c r="P48" s="15">
        <f t="shared" si="1"/>
        <v>258</v>
      </c>
      <c r="R48" s="8"/>
      <c r="T48"/>
    </row>
    <row r="49" spans="2:20" ht="23.1" customHeight="1" x14ac:dyDescent="0.25">
      <c r="B49" s="23" t="s">
        <v>76</v>
      </c>
      <c r="C49" s="50">
        <v>25</v>
      </c>
      <c r="D49" s="50">
        <v>3</v>
      </c>
      <c r="E49" s="50">
        <v>4</v>
      </c>
      <c r="F49" s="50">
        <v>48</v>
      </c>
      <c r="G49" s="50">
        <v>0</v>
      </c>
      <c r="H49" s="50">
        <v>4</v>
      </c>
      <c r="I49" s="50">
        <v>8</v>
      </c>
      <c r="J49" s="50">
        <v>2</v>
      </c>
      <c r="K49" s="50">
        <v>0</v>
      </c>
      <c r="L49" s="50">
        <v>0</v>
      </c>
      <c r="M49" s="50">
        <v>208</v>
      </c>
      <c r="N49" s="50">
        <v>0</v>
      </c>
      <c r="O49" s="15">
        <f t="shared" si="0"/>
        <v>94</v>
      </c>
      <c r="P49" s="15">
        <f t="shared" si="1"/>
        <v>302</v>
      </c>
      <c r="R49" s="8"/>
      <c r="T49"/>
    </row>
    <row r="50" spans="2:20" ht="23.1" customHeight="1" x14ac:dyDescent="0.25">
      <c r="B50" s="24" t="s">
        <v>77</v>
      </c>
      <c r="C50" s="50">
        <v>28</v>
      </c>
      <c r="D50" s="50">
        <v>6</v>
      </c>
      <c r="E50" s="50">
        <v>4</v>
      </c>
      <c r="F50" s="50">
        <v>43</v>
      </c>
      <c r="G50" s="50">
        <v>1</v>
      </c>
      <c r="H50" s="50">
        <v>1</v>
      </c>
      <c r="I50" s="50">
        <v>4</v>
      </c>
      <c r="J50" s="50">
        <v>4</v>
      </c>
      <c r="K50" s="50">
        <v>0</v>
      </c>
      <c r="L50" s="50">
        <v>0</v>
      </c>
      <c r="M50" s="50">
        <v>178</v>
      </c>
      <c r="N50" s="50">
        <v>0</v>
      </c>
      <c r="O50" s="15">
        <f t="shared" si="0"/>
        <v>91</v>
      </c>
      <c r="P50" s="15">
        <f t="shared" si="1"/>
        <v>269</v>
      </c>
      <c r="R50" s="8"/>
      <c r="T50"/>
    </row>
    <row r="51" spans="2:20" ht="23.1" customHeight="1" x14ac:dyDescent="0.25">
      <c r="B51" s="24" t="s">
        <v>78</v>
      </c>
      <c r="C51" s="50">
        <v>24</v>
      </c>
      <c r="D51" s="50">
        <v>8</v>
      </c>
      <c r="E51" s="50">
        <v>0</v>
      </c>
      <c r="F51" s="50">
        <v>47</v>
      </c>
      <c r="G51" s="50">
        <v>0</v>
      </c>
      <c r="H51" s="50">
        <v>4</v>
      </c>
      <c r="I51" s="50">
        <v>5</v>
      </c>
      <c r="J51" s="50">
        <v>2</v>
      </c>
      <c r="K51" s="50">
        <v>0</v>
      </c>
      <c r="L51" s="50">
        <v>2</v>
      </c>
      <c r="M51" s="50">
        <v>138</v>
      </c>
      <c r="N51" s="50">
        <v>0</v>
      </c>
      <c r="O51" s="15">
        <f t="shared" si="0"/>
        <v>92</v>
      </c>
      <c r="P51" s="15">
        <f t="shared" si="1"/>
        <v>230</v>
      </c>
      <c r="R51" s="8"/>
      <c r="T51"/>
    </row>
    <row r="52" spans="2:20" ht="23.1" customHeight="1" x14ac:dyDescent="0.25">
      <c r="B52" s="24" t="s">
        <v>79</v>
      </c>
      <c r="C52" s="50">
        <v>37</v>
      </c>
      <c r="D52" s="50">
        <v>9</v>
      </c>
      <c r="E52" s="50">
        <v>3</v>
      </c>
      <c r="F52" s="50">
        <v>58</v>
      </c>
      <c r="G52" s="50">
        <v>0</v>
      </c>
      <c r="H52" s="50">
        <v>2</v>
      </c>
      <c r="I52" s="50">
        <v>3</v>
      </c>
      <c r="J52" s="50">
        <v>1</v>
      </c>
      <c r="K52" s="50">
        <v>0</v>
      </c>
      <c r="L52" s="50">
        <v>0</v>
      </c>
      <c r="M52" s="50">
        <v>151</v>
      </c>
      <c r="N52" s="50">
        <v>0</v>
      </c>
      <c r="O52" s="15">
        <f t="shared" si="0"/>
        <v>113</v>
      </c>
      <c r="P52" s="15">
        <f t="shared" si="1"/>
        <v>264</v>
      </c>
      <c r="R52" s="8"/>
      <c r="T52"/>
    </row>
    <row r="53" spans="2:20" ht="23.1" customHeight="1" x14ac:dyDescent="0.25">
      <c r="B53" s="23" t="s">
        <v>80</v>
      </c>
      <c r="C53" s="50">
        <v>48</v>
      </c>
      <c r="D53" s="50">
        <v>8</v>
      </c>
      <c r="E53" s="50">
        <v>0</v>
      </c>
      <c r="F53" s="50">
        <v>68</v>
      </c>
      <c r="G53" s="50">
        <v>0</v>
      </c>
      <c r="H53" s="50">
        <v>2</v>
      </c>
      <c r="I53" s="50">
        <v>2</v>
      </c>
      <c r="J53" s="50">
        <v>6</v>
      </c>
      <c r="K53" s="50">
        <v>0</v>
      </c>
      <c r="L53" s="50">
        <v>0</v>
      </c>
      <c r="M53" s="50">
        <v>203</v>
      </c>
      <c r="N53" s="50">
        <v>0</v>
      </c>
      <c r="O53" s="15">
        <f t="shared" si="0"/>
        <v>134</v>
      </c>
      <c r="P53" s="15">
        <f t="shared" si="1"/>
        <v>337</v>
      </c>
      <c r="R53" s="8"/>
      <c r="T53"/>
    </row>
    <row r="54" spans="2:20" ht="23.1" customHeight="1" x14ac:dyDescent="0.25">
      <c r="B54" s="23" t="s">
        <v>81</v>
      </c>
      <c r="C54" s="50">
        <v>38</v>
      </c>
      <c r="D54" s="50">
        <v>8</v>
      </c>
      <c r="E54" s="50">
        <v>4</v>
      </c>
      <c r="F54" s="50">
        <v>63</v>
      </c>
      <c r="G54" s="50">
        <v>2</v>
      </c>
      <c r="H54" s="50">
        <v>0</v>
      </c>
      <c r="I54" s="50">
        <v>3</v>
      </c>
      <c r="J54" s="50">
        <v>1</v>
      </c>
      <c r="K54" s="50">
        <v>1</v>
      </c>
      <c r="L54" s="50">
        <v>1</v>
      </c>
      <c r="M54" s="50">
        <v>152</v>
      </c>
      <c r="N54" s="50">
        <v>0</v>
      </c>
      <c r="O54" s="15">
        <f t="shared" si="0"/>
        <v>121</v>
      </c>
      <c r="P54" s="15">
        <f t="shared" si="1"/>
        <v>273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2</v>
      </c>
      <c r="E55" s="50">
        <v>0</v>
      </c>
      <c r="F55" s="50">
        <v>83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83</v>
      </c>
      <c r="N55" s="50">
        <v>0</v>
      </c>
      <c r="O55" s="15">
        <f t="shared" si="0"/>
        <v>103</v>
      </c>
      <c r="P55" s="15">
        <f t="shared" si="1"/>
        <v>186</v>
      </c>
      <c r="R55" s="8"/>
      <c r="T55"/>
    </row>
    <row r="56" spans="2:20" ht="23.1" customHeight="1" x14ac:dyDescent="0.25">
      <c r="B56" s="23" t="s">
        <v>83</v>
      </c>
      <c r="C56" s="50">
        <v>27</v>
      </c>
      <c r="D56" s="50">
        <v>12</v>
      </c>
      <c r="E56" s="50">
        <v>4</v>
      </c>
      <c r="F56" s="50">
        <v>43</v>
      </c>
      <c r="G56" s="50">
        <v>0</v>
      </c>
      <c r="H56" s="50">
        <v>2</v>
      </c>
      <c r="I56" s="50">
        <v>8</v>
      </c>
      <c r="J56" s="50">
        <v>1</v>
      </c>
      <c r="K56" s="50">
        <v>3</v>
      </c>
      <c r="L56" s="50">
        <v>0</v>
      </c>
      <c r="M56" s="50">
        <v>97</v>
      </c>
      <c r="N56" s="50">
        <v>0</v>
      </c>
      <c r="O56" s="15">
        <f t="shared" si="0"/>
        <v>100</v>
      </c>
      <c r="P56" s="15">
        <f t="shared" si="1"/>
        <v>197</v>
      </c>
      <c r="R56" s="8"/>
      <c r="T56"/>
    </row>
    <row r="57" spans="2:20" ht="23.1" customHeight="1" x14ac:dyDescent="0.25">
      <c r="B57" s="23" t="s">
        <v>84</v>
      </c>
      <c r="C57" s="50">
        <v>41</v>
      </c>
      <c r="D57" s="50">
        <v>13</v>
      </c>
      <c r="E57" s="50">
        <v>0</v>
      </c>
      <c r="F57" s="50">
        <v>47</v>
      </c>
      <c r="G57" s="50">
        <v>0</v>
      </c>
      <c r="H57" s="50">
        <v>5</v>
      </c>
      <c r="I57" s="50">
        <v>0</v>
      </c>
      <c r="J57" s="50">
        <v>0</v>
      </c>
      <c r="K57" s="50">
        <v>0</v>
      </c>
      <c r="L57" s="50">
        <v>0</v>
      </c>
      <c r="M57" s="50">
        <v>73</v>
      </c>
      <c r="N57" s="50">
        <v>0</v>
      </c>
      <c r="O57" s="15">
        <f t="shared" si="0"/>
        <v>106</v>
      </c>
      <c r="P57" s="15">
        <f t="shared" si="1"/>
        <v>179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1704</v>
      </c>
      <c r="D58" s="16">
        <f t="shared" si="21"/>
        <v>329</v>
      </c>
      <c r="E58" s="16">
        <f t="shared" si="21"/>
        <v>153</v>
      </c>
      <c r="F58" s="16">
        <f t="shared" si="21"/>
        <v>2434</v>
      </c>
      <c r="G58" s="16">
        <f t="shared" si="21"/>
        <v>42</v>
      </c>
      <c r="H58" s="16">
        <f t="shared" si="21"/>
        <v>62</v>
      </c>
      <c r="I58" s="16">
        <f t="shared" si="21"/>
        <v>142</v>
      </c>
      <c r="J58" s="16">
        <f t="shared" si="21"/>
        <v>92</v>
      </c>
      <c r="K58" s="16">
        <f t="shared" si="21"/>
        <v>17</v>
      </c>
      <c r="L58" s="16">
        <f t="shared" si="21"/>
        <v>8</v>
      </c>
      <c r="M58" s="16">
        <f t="shared" si="21"/>
        <v>9044</v>
      </c>
      <c r="N58" s="16">
        <f t="shared" si="21"/>
        <v>0</v>
      </c>
      <c r="O58" s="16">
        <f t="shared" si="21"/>
        <v>4983</v>
      </c>
      <c r="P58" s="16">
        <f t="shared" si="21"/>
        <v>14027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0.12148000285164326</v>
      </c>
      <c r="D59" s="43">
        <f t="shared" si="22"/>
        <v>2.345476580879732E-2</v>
      </c>
      <c r="E59" s="43">
        <f t="shared" si="22"/>
        <v>1.0907535467313038E-2</v>
      </c>
      <c r="F59" s="43">
        <f t="shared" si="22"/>
        <v>0.17352249233620873</v>
      </c>
      <c r="G59" s="43">
        <f t="shared" si="22"/>
        <v>2.9942254223996579E-3</v>
      </c>
      <c r="H59" s="43">
        <f t="shared" si="22"/>
        <v>4.4200470521137802E-3</v>
      </c>
      <c r="I59" s="43">
        <f t="shared" si="22"/>
        <v>1.0123333570970271E-2</v>
      </c>
      <c r="J59" s="43">
        <f t="shared" si="22"/>
        <v>6.5587794966849647E-3</v>
      </c>
      <c r="K59" s="43">
        <f t="shared" si="22"/>
        <v>1.2119483852570043E-3</v>
      </c>
      <c r="L59" s="43">
        <f t="shared" si="22"/>
        <v>5.7032865188564913E-4</v>
      </c>
      <c r="M59" s="43">
        <f t="shared" si="22"/>
        <v>0.6447565409567263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0.34196267308850092</v>
      </c>
      <c r="D60" s="44">
        <f t="shared" ref="D60:N60" si="23">D58/$O$58</f>
        <v>6.6024483243026288E-2</v>
      </c>
      <c r="E60" s="44">
        <f t="shared" si="23"/>
        <v>3.0704394942805538E-2</v>
      </c>
      <c r="F60" s="44">
        <f t="shared" si="23"/>
        <v>0.48846076660646198</v>
      </c>
      <c r="G60" s="44">
        <f t="shared" si="23"/>
        <v>8.4286574352799518E-3</v>
      </c>
      <c r="H60" s="44">
        <f t="shared" si="23"/>
        <v>1.244230383303231E-2</v>
      </c>
      <c r="I60" s="44">
        <f t="shared" si="23"/>
        <v>2.8496889424041744E-2</v>
      </c>
      <c r="J60" s="44">
        <f t="shared" si="23"/>
        <v>1.8462773429660847E-2</v>
      </c>
      <c r="K60" s="44">
        <f t="shared" si="23"/>
        <v>3.4115994380895043E-3</v>
      </c>
      <c r="L60" s="44">
        <f t="shared" si="23"/>
        <v>1.6054585591009432E-3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Natete-Rubaga'!D5</f>
        <v>22.07.19</v>
      </c>
      <c r="E5" s="3"/>
      <c r="F5" s="41" t="s">
        <v>1</v>
      </c>
      <c r="G5" s="52" t="str">
        <f>'22.07 Natete-Rubaga'!G5:H5</f>
        <v>Total Wakaliga</v>
      </c>
      <c r="H5" s="53"/>
      <c r="I5" s="14"/>
      <c r="J5" s="2" t="s">
        <v>5</v>
      </c>
      <c r="K5" s="52" t="s">
        <v>176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173</v>
      </c>
      <c r="E6" s="53"/>
      <c r="F6" s="2" t="s">
        <v>2</v>
      </c>
      <c r="G6" s="52" t="s">
        <v>171</v>
      </c>
      <c r="H6" s="53"/>
      <c r="J6" s="2" t="s">
        <v>21</v>
      </c>
      <c r="K6" s="52" t="str">
        <f>'22.07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74</v>
      </c>
      <c r="D10" s="50">
        <v>4</v>
      </c>
      <c r="E10" s="50">
        <v>4</v>
      </c>
      <c r="F10" s="50">
        <v>124</v>
      </c>
      <c r="G10" s="50">
        <v>1</v>
      </c>
      <c r="H10" s="50">
        <v>2</v>
      </c>
      <c r="I10" s="50">
        <v>3</v>
      </c>
      <c r="J10" s="50">
        <v>2</v>
      </c>
      <c r="K10" s="50">
        <v>0</v>
      </c>
      <c r="L10" s="50">
        <v>0</v>
      </c>
      <c r="M10" s="50">
        <v>154</v>
      </c>
      <c r="N10" s="50">
        <v>0</v>
      </c>
      <c r="O10" s="15">
        <f t="shared" ref="O10:O57" si="0">SUM(C10:L10,N10)</f>
        <v>214</v>
      </c>
      <c r="P10" s="15">
        <f t="shared" ref="P10:P57" si="1">SUM(C10:N10)</f>
        <v>368</v>
      </c>
      <c r="R10" s="1" t="s">
        <v>6</v>
      </c>
      <c r="S10" s="17">
        <f t="shared" ref="S10:AF10" si="2">SUM(C10:C13)</f>
        <v>295</v>
      </c>
      <c r="T10" s="17">
        <f t="shared" si="2"/>
        <v>32</v>
      </c>
      <c r="U10" s="17">
        <f t="shared" si="2"/>
        <v>13</v>
      </c>
      <c r="V10" s="17">
        <f t="shared" si="2"/>
        <v>421</v>
      </c>
      <c r="W10" s="17">
        <f t="shared" si="2"/>
        <v>7</v>
      </c>
      <c r="X10" s="17">
        <f t="shared" si="2"/>
        <v>8</v>
      </c>
      <c r="Y10" s="17">
        <f t="shared" si="2"/>
        <v>9</v>
      </c>
      <c r="Z10" s="17">
        <f t="shared" si="2"/>
        <v>4</v>
      </c>
      <c r="AA10" s="17">
        <f t="shared" si="2"/>
        <v>2</v>
      </c>
      <c r="AB10" s="17">
        <f t="shared" si="2"/>
        <v>1</v>
      </c>
      <c r="AC10" s="17">
        <f t="shared" si="2"/>
        <v>555</v>
      </c>
      <c r="AD10" s="17">
        <f t="shared" si="2"/>
        <v>0</v>
      </c>
      <c r="AE10" s="31">
        <f t="shared" si="2"/>
        <v>792</v>
      </c>
      <c r="AF10" s="31">
        <f t="shared" si="2"/>
        <v>1347</v>
      </c>
    </row>
    <row r="11" spans="2:32" s="6" customFormat="1" ht="23.1" customHeight="1" x14ac:dyDescent="0.25">
      <c r="B11" s="23" t="s">
        <v>38</v>
      </c>
      <c r="C11" s="50">
        <v>90</v>
      </c>
      <c r="D11" s="50">
        <v>11</v>
      </c>
      <c r="E11" s="50">
        <v>2</v>
      </c>
      <c r="F11" s="50">
        <v>121</v>
      </c>
      <c r="G11" s="50">
        <v>3</v>
      </c>
      <c r="H11" s="50">
        <v>1</v>
      </c>
      <c r="I11" s="50">
        <v>2</v>
      </c>
      <c r="J11" s="50">
        <v>1</v>
      </c>
      <c r="K11" s="50">
        <v>1</v>
      </c>
      <c r="L11" s="50">
        <v>0</v>
      </c>
      <c r="M11" s="50">
        <v>117</v>
      </c>
      <c r="N11" s="50">
        <v>0</v>
      </c>
      <c r="O11" s="15">
        <f t="shared" si="0"/>
        <v>232</v>
      </c>
      <c r="P11" s="15">
        <f t="shared" si="1"/>
        <v>349</v>
      </c>
      <c r="R11" s="1" t="s">
        <v>7</v>
      </c>
      <c r="S11" s="17">
        <f t="shared" ref="S11:AF11" si="3">SUM(C14:C17)</f>
        <v>80</v>
      </c>
      <c r="T11" s="17">
        <f t="shared" si="3"/>
        <v>14</v>
      </c>
      <c r="U11" s="17">
        <f t="shared" si="3"/>
        <v>9</v>
      </c>
      <c r="V11" s="17">
        <f t="shared" si="3"/>
        <v>225</v>
      </c>
      <c r="W11" s="17">
        <f t="shared" si="3"/>
        <v>3</v>
      </c>
      <c r="X11" s="17">
        <f t="shared" si="3"/>
        <v>7</v>
      </c>
      <c r="Y11" s="17">
        <f t="shared" si="3"/>
        <v>14</v>
      </c>
      <c r="Z11" s="17">
        <f t="shared" si="3"/>
        <v>5</v>
      </c>
      <c r="AA11" s="17">
        <f t="shared" si="3"/>
        <v>1</v>
      </c>
      <c r="AB11" s="17">
        <f t="shared" si="3"/>
        <v>1</v>
      </c>
      <c r="AC11" s="17">
        <f t="shared" si="3"/>
        <v>961</v>
      </c>
      <c r="AD11" s="17">
        <f t="shared" si="3"/>
        <v>0</v>
      </c>
      <c r="AE11" s="31">
        <f t="shared" si="3"/>
        <v>359</v>
      </c>
      <c r="AF11" s="31">
        <f t="shared" si="3"/>
        <v>1320</v>
      </c>
    </row>
    <row r="12" spans="2:32" ht="23.1" customHeight="1" x14ac:dyDescent="0.25">
      <c r="B12" s="23" t="s">
        <v>39</v>
      </c>
      <c r="C12" s="50">
        <v>79</v>
      </c>
      <c r="D12" s="50">
        <v>8</v>
      </c>
      <c r="E12" s="50">
        <v>6</v>
      </c>
      <c r="F12" s="50">
        <v>88</v>
      </c>
      <c r="G12" s="50">
        <v>1</v>
      </c>
      <c r="H12" s="50">
        <v>3</v>
      </c>
      <c r="I12" s="50">
        <v>3</v>
      </c>
      <c r="J12" s="50">
        <v>1</v>
      </c>
      <c r="K12" s="50">
        <v>0</v>
      </c>
      <c r="L12" s="50">
        <v>0</v>
      </c>
      <c r="M12" s="50">
        <v>114</v>
      </c>
      <c r="N12" s="50">
        <v>0</v>
      </c>
      <c r="O12" s="15">
        <f t="shared" si="0"/>
        <v>189</v>
      </c>
      <c r="P12" s="15">
        <f t="shared" si="1"/>
        <v>303</v>
      </c>
      <c r="R12" s="1" t="s">
        <v>8</v>
      </c>
      <c r="S12" s="17">
        <f t="shared" ref="S12:AF12" si="4">SUM(C18:C21)</f>
        <v>99</v>
      </c>
      <c r="T12" s="17">
        <f t="shared" si="4"/>
        <v>14</v>
      </c>
      <c r="U12" s="17">
        <f t="shared" si="4"/>
        <v>12</v>
      </c>
      <c r="V12" s="17">
        <f t="shared" si="4"/>
        <v>196</v>
      </c>
      <c r="W12" s="17">
        <f t="shared" si="4"/>
        <v>4</v>
      </c>
      <c r="X12" s="17">
        <f t="shared" si="4"/>
        <v>7</v>
      </c>
      <c r="Y12" s="17">
        <f t="shared" si="4"/>
        <v>18</v>
      </c>
      <c r="Z12" s="17">
        <f t="shared" si="4"/>
        <v>8</v>
      </c>
      <c r="AA12" s="17">
        <f t="shared" si="4"/>
        <v>1</v>
      </c>
      <c r="AB12" s="17">
        <f t="shared" si="4"/>
        <v>0</v>
      </c>
      <c r="AC12" s="17">
        <f t="shared" si="4"/>
        <v>851</v>
      </c>
      <c r="AD12" s="17">
        <f t="shared" si="4"/>
        <v>0</v>
      </c>
      <c r="AE12" s="31">
        <f t="shared" si="4"/>
        <v>359</v>
      </c>
      <c r="AF12" s="31">
        <f t="shared" si="4"/>
        <v>1210</v>
      </c>
    </row>
    <row r="13" spans="2:32" ht="23.1" customHeight="1" x14ac:dyDescent="0.25">
      <c r="B13" s="23" t="s">
        <v>40</v>
      </c>
      <c r="C13" s="50">
        <v>52</v>
      </c>
      <c r="D13" s="50">
        <v>9</v>
      </c>
      <c r="E13" s="50">
        <v>1</v>
      </c>
      <c r="F13" s="50">
        <v>88</v>
      </c>
      <c r="G13" s="50">
        <v>2</v>
      </c>
      <c r="H13" s="50">
        <v>2</v>
      </c>
      <c r="I13" s="50">
        <v>1</v>
      </c>
      <c r="J13" s="50">
        <v>0</v>
      </c>
      <c r="K13" s="50">
        <v>1</v>
      </c>
      <c r="L13" s="50">
        <v>1</v>
      </c>
      <c r="M13" s="50">
        <v>170</v>
      </c>
      <c r="N13" s="50">
        <v>0</v>
      </c>
      <c r="O13" s="15">
        <f t="shared" si="0"/>
        <v>157</v>
      </c>
      <c r="P13" s="15">
        <f t="shared" si="1"/>
        <v>327</v>
      </c>
      <c r="R13" s="1" t="s">
        <v>9</v>
      </c>
      <c r="S13" s="17">
        <f t="shared" ref="S13:AF13" si="5">SUM(C22:C25)</f>
        <v>131</v>
      </c>
      <c r="T13" s="17">
        <f t="shared" si="5"/>
        <v>26</v>
      </c>
      <c r="U13" s="17">
        <f t="shared" si="5"/>
        <v>21</v>
      </c>
      <c r="V13" s="17">
        <f t="shared" si="5"/>
        <v>236</v>
      </c>
      <c r="W13" s="17">
        <f t="shared" si="5"/>
        <v>6</v>
      </c>
      <c r="X13" s="17">
        <f t="shared" si="5"/>
        <v>11</v>
      </c>
      <c r="Y13" s="17">
        <f t="shared" si="5"/>
        <v>24</v>
      </c>
      <c r="Z13" s="17">
        <f t="shared" si="5"/>
        <v>6</v>
      </c>
      <c r="AA13" s="17">
        <f t="shared" si="5"/>
        <v>2</v>
      </c>
      <c r="AB13" s="17">
        <f t="shared" si="5"/>
        <v>1</v>
      </c>
      <c r="AC13" s="17">
        <f t="shared" si="5"/>
        <v>693</v>
      </c>
      <c r="AD13" s="17">
        <f t="shared" si="5"/>
        <v>0</v>
      </c>
      <c r="AE13" s="31">
        <f t="shared" si="5"/>
        <v>464</v>
      </c>
      <c r="AF13" s="31">
        <f t="shared" si="5"/>
        <v>1157</v>
      </c>
    </row>
    <row r="14" spans="2:32" ht="23.1" customHeight="1" x14ac:dyDescent="0.25">
      <c r="B14" s="23" t="s">
        <v>41</v>
      </c>
      <c r="C14" s="50">
        <v>26</v>
      </c>
      <c r="D14" s="50">
        <v>4</v>
      </c>
      <c r="E14" s="50">
        <v>3</v>
      </c>
      <c r="F14" s="50">
        <v>64</v>
      </c>
      <c r="G14" s="50">
        <v>1</v>
      </c>
      <c r="H14" s="50">
        <v>1</v>
      </c>
      <c r="I14" s="50">
        <v>4</v>
      </c>
      <c r="J14" s="50">
        <v>2</v>
      </c>
      <c r="K14" s="50">
        <v>0</v>
      </c>
      <c r="L14" s="50">
        <v>1</v>
      </c>
      <c r="M14" s="50">
        <v>232</v>
      </c>
      <c r="N14" s="50">
        <v>0</v>
      </c>
      <c r="O14" s="15">
        <f t="shared" si="0"/>
        <v>106</v>
      </c>
      <c r="P14" s="15">
        <f t="shared" si="1"/>
        <v>338</v>
      </c>
      <c r="R14" s="1" t="s">
        <v>10</v>
      </c>
      <c r="S14" s="17">
        <f t="shared" ref="S14:AF14" si="6">SUM(C26:C29)</f>
        <v>82</v>
      </c>
      <c r="T14" s="17">
        <f t="shared" si="6"/>
        <v>16</v>
      </c>
      <c r="U14" s="17">
        <f t="shared" si="6"/>
        <v>18</v>
      </c>
      <c r="V14" s="17">
        <f t="shared" si="6"/>
        <v>215</v>
      </c>
      <c r="W14" s="17">
        <f t="shared" si="6"/>
        <v>1</v>
      </c>
      <c r="X14" s="17">
        <f t="shared" si="6"/>
        <v>8</v>
      </c>
      <c r="Y14" s="17">
        <f t="shared" si="6"/>
        <v>20</v>
      </c>
      <c r="Z14" s="17">
        <f t="shared" si="6"/>
        <v>3</v>
      </c>
      <c r="AA14" s="17">
        <f t="shared" si="6"/>
        <v>1</v>
      </c>
      <c r="AB14" s="17">
        <f t="shared" si="6"/>
        <v>0</v>
      </c>
      <c r="AC14" s="17">
        <f t="shared" si="6"/>
        <v>784</v>
      </c>
      <c r="AD14" s="17">
        <f t="shared" si="6"/>
        <v>0</v>
      </c>
      <c r="AE14" s="31">
        <f t="shared" si="6"/>
        <v>364</v>
      </c>
      <c r="AF14" s="31">
        <f t="shared" si="6"/>
        <v>1148</v>
      </c>
    </row>
    <row r="15" spans="2:32" ht="23.1" customHeight="1" x14ac:dyDescent="0.25">
      <c r="B15" s="23" t="s">
        <v>42</v>
      </c>
      <c r="C15" s="50">
        <v>21</v>
      </c>
      <c r="D15" s="50">
        <v>6</v>
      </c>
      <c r="E15" s="50">
        <v>2</v>
      </c>
      <c r="F15" s="50">
        <v>80</v>
      </c>
      <c r="G15" s="50">
        <v>0</v>
      </c>
      <c r="H15" s="50">
        <v>2</v>
      </c>
      <c r="I15" s="50">
        <v>2</v>
      </c>
      <c r="J15" s="50">
        <v>1</v>
      </c>
      <c r="K15" s="50">
        <v>1</v>
      </c>
      <c r="L15" s="50">
        <v>0</v>
      </c>
      <c r="M15" s="50">
        <v>239</v>
      </c>
      <c r="N15" s="50">
        <v>0</v>
      </c>
      <c r="O15" s="15">
        <f t="shared" si="0"/>
        <v>115</v>
      </c>
      <c r="P15" s="15">
        <f t="shared" si="1"/>
        <v>354</v>
      </c>
      <c r="R15" s="1" t="s">
        <v>11</v>
      </c>
      <c r="S15" s="17">
        <f t="shared" ref="S15:AF15" si="7">SUM(C30:C33)</f>
        <v>152</v>
      </c>
      <c r="T15" s="17">
        <f t="shared" si="7"/>
        <v>29</v>
      </c>
      <c r="U15" s="17">
        <f t="shared" si="7"/>
        <v>18</v>
      </c>
      <c r="V15" s="17">
        <f t="shared" si="7"/>
        <v>178</v>
      </c>
      <c r="W15" s="17">
        <f t="shared" si="7"/>
        <v>7</v>
      </c>
      <c r="X15" s="17">
        <f t="shared" si="7"/>
        <v>7</v>
      </c>
      <c r="Y15" s="17">
        <f t="shared" si="7"/>
        <v>25</v>
      </c>
      <c r="Z15" s="17">
        <f t="shared" si="7"/>
        <v>34</v>
      </c>
      <c r="AA15" s="17">
        <f t="shared" si="7"/>
        <v>1</v>
      </c>
      <c r="AB15" s="17">
        <f t="shared" si="7"/>
        <v>0</v>
      </c>
      <c r="AC15" s="17">
        <f t="shared" si="7"/>
        <v>618</v>
      </c>
      <c r="AD15" s="17">
        <f t="shared" si="7"/>
        <v>0</v>
      </c>
      <c r="AE15" s="31">
        <f t="shared" si="7"/>
        <v>451</v>
      </c>
      <c r="AF15" s="31">
        <f t="shared" si="7"/>
        <v>1069</v>
      </c>
    </row>
    <row r="16" spans="2:32" ht="23.1" customHeight="1" x14ac:dyDescent="0.25">
      <c r="B16" s="23" t="s">
        <v>43</v>
      </c>
      <c r="C16" s="50">
        <v>22</v>
      </c>
      <c r="D16" s="50">
        <v>3</v>
      </c>
      <c r="E16" s="50">
        <v>4</v>
      </c>
      <c r="F16" s="50">
        <v>35</v>
      </c>
      <c r="G16" s="50">
        <v>1</v>
      </c>
      <c r="H16" s="50">
        <v>2</v>
      </c>
      <c r="I16" s="50">
        <v>1</v>
      </c>
      <c r="J16" s="50">
        <v>0</v>
      </c>
      <c r="K16" s="50">
        <v>0</v>
      </c>
      <c r="L16" s="50">
        <v>0</v>
      </c>
      <c r="M16" s="50">
        <v>240</v>
      </c>
      <c r="N16" s="50">
        <v>0</v>
      </c>
      <c r="O16" s="15">
        <f t="shared" si="0"/>
        <v>68</v>
      </c>
      <c r="P16" s="15">
        <f t="shared" si="1"/>
        <v>308</v>
      </c>
      <c r="R16" s="1" t="s">
        <v>12</v>
      </c>
      <c r="S16" s="17">
        <f t="shared" ref="S16:AF16" si="8">SUM(C34:C37)</f>
        <v>241</v>
      </c>
      <c r="T16" s="17">
        <f t="shared" si="8"/>
        <v>12</v>
      </c>
      <c r="U16" s="17">
        <f t="shared" si="8"/>
        <v>23</v>
      </c>
      <c r="V16" s="17">
        <f t="shared" si="8"/>
        <v>244</v>
      </c>
      <c r="W16" s="17">
        <f t="shared" si="8"/>
        <v>5</v>
      </c>
      <c r="X16" s="17">
        <f t="shared" si="8"/>
        <v>9</v>
      </c>
      <c r="Y16" s="17">
        <f t="shared" si="8"/>
        <v>17</v>
      </c>
      <c r="Z16" s="17">
        <f t="shared" si="8"/>
        <v>10</v>
      </c>
      <c r="AA16" s="17">
        <f t="shared" si="8"/>
        <v>1</v>
      </c>
      <c r="AB16" s="17">
        <f t="shared" si="8"/>
        <v>0</v>
      </c>
      <c r="AC16" s="17">
        <f t="shared" si="8"/>
        <v>475</v>
      </c>
      <c r="AD16" s="17">
        <f t="shared" si="8"/>
        <v>0</v>
      </c>
      <c r="AE16" s="31">
        <f t="shared" si="8"/>
        <v>562</v>
      </c>
      <c r="AF16" s="31">
        <f t="shared" si="8"/>
        <v>1037</v>
      </c>
    </row>
    <row r="17" spans="2:32" ht="23.1" customHeight="1" x14ac:dyDescent="0.25">
      <c r="B17" s="23" t="s">
        <v>44</v>
      </c>
      <c r="C17" s="50">
        <v>11</v>
      </c>
      <c r="D17" s="50">
        <v>1</v>
      </c>
      <c r="E17" s="50">
        <v>0</v>
      </c>
      <c r="F17" s="50">
        <v>46</v>
      </c>
      <c r="G17" s="50">
        <v>1</v>
      </c>
      <c r="H17" s="50">
        <v>2</v>
      </c>
      <c r="I17" s="50">
        <v>7</v>
      </c>
      <c r="J17" s="50">
        <v>2</v>
      </c>
      <c r="K17" s="50">
        <v>0</v>
      </c>
      <c r="L17" s="50">
        <v>0</v>
      </c>
      <c r="M17" s="50">
        <v>250</v>
      </c>
      <c r="N17" s="50">
        <v>0</v>
      </c>
      <c r="O17" s="15">
        <f t="shared" si="0"/>
        <v>70</v>
      </c>
      <c r="P17" s="15">
        <f t="shared" si="1"/>
        <v>320</v>
      </c>
      <c r="R17" s="1" t="s">
        <v>13</v>
      </c>
      <c r="S17" s="17">
        <f t="shared" ref="S17:AF17" si="9">SUM(C38:C41)</f>
        <v>153</v>
      </c>
      <c r="T17" s="17">
        <f t="shared" si="9"/>
        <v>24</v>
      </c>
      <c r="U17" s="17">
        <f t="shared" si="9"/>
        <v>25</v>
      </c>
      <c r="V17" s="17">
        <f t="shared" si="9"/>
        <v>251</v>
      </c>
      <c r="W17" s="17">
        <f t="shared" si="9"/>
        <v>5</v>
      </c>
      <c r="X17" s="17">
        <f t="shared" si="9"/>
        <v>9</v>
      </c>
      <c r="Y17" s="17">
        <f t="shared" si="9"/>
        <v>16</v>
      </c>
      <c r="Z17" s="17">
        <f t="shared" si="9"/>
        <v>8</v>
      </c>
      <c r="AA17" s="17">
        <f t="shared" si="9"/>
        <v>0</v>
      </c>
      <c r="AB17" s="17">
        <f t="shared" si="9"/>
        <v>5</v>
      </c>
      <c r="AC17" s="17">
        <f t="shared" si="9"/>
        <v>508</v>
      </c>
      <c r="AD17" s="17">
        <f t="shared" si="9"/>
        <v>0</v>
      </c>
      <c r="AE17" s="31">
        <f t="shared" si="9"/>
        <v>496</v>
      </c>
      <c r="AF17" s="31">
        <f t="shared" si="9"/>
        <v>1004</v>
      </c>
    </row>
    <row r="18" spans="2:32" ht="23.1" customHeight="1" x14ac:dyDescent="0.25">
      <c r="B18" s="23" t="s">
        <v>45</v>
      </c>
      <c r="C18" s="50">
        <v>31</v>
      </c>
      <c r="D18" s="50">
        <v>4</v>
      </c>
      <c r="E18" s="50">
        <v>0</v>
      </c>
      <c r="F18" s="50">
        <v>66</v>
      </c>
      <c r="G18" s="50">
        <v>1</v>
      </c>
      <c r="H18" s="50">
        <v>2</v>
      </c>
      <c r="I18" s="50">
        <v>4</v>
      </c>
      <c r="J18" s="50">
        <v>3</v>
      </c>
      <c r="K18" s="50">
        <v>1</v>
      </c>
      <c r="L18" s="50">
        <v>0</v>
      </c>
      <c r="M18" s="50">
        <v>219</v>
      </c>
      <c r="N18" s="50">
        <v>0</v>
      </c>
      <c r="O18" s="15">
        <f t="shared" si="0"/>
        <v>112</v>
      </c>
      <c r="P18" s="15">
        <f t="shared" si="1"/>
        <v>331</v>
      </c>
      <c r="R18" s="1" t="s">
        <v>14</v>
      </c>
      <c r="S18" s="17">
        <f t="shared" ref="S18:AF18" si="10">SUM(C42:C45)</f>
        <v>201</v>
      </c>
      <c r="T18" s="17">
        <f t="shared" si="10"/>
        <v>20</v>
      </c>
      <c r="U18" s="17">
        <f t="shared" si="10"/>
        <v>26</v>
      </c>
      <c r="V18" s="17">
        <f t="shared" si="10"/>
        <v>162</v>
      </c>
      <c r="W18" s="17">
        <f t="shared" si="10"/>
        <v>3</v>
      </c>
      <c r="X18" s="17">
        <f t="shared" si="10"/>
        <v>4</v>
      </c>
      <c r="Y18" s="17">
        <f t="shared" si="10"/>
        <v>20</v>
      </c>
      <c r="Z18" s="17">
        <f t="shared" si="10"/>
        <v>10</v>
      </c>
      <c r="AA18" s="17">
        <f t="shared" si="10"/>
        <v>2</v>
      </c>
      <c r="AB18" s="17">
        <f t="shared" si="10"/>
        <v>3</v>
      </c>
      <c r="AC18" s="17">
        <f t="shared" si="10"/>
        <v>228</v>
      </c>
      <c r="AD18" s="17">
        <f t="shared" si="10"/>
        <v>0</v>
      </c>
      <c r="AE18" s="31">
        <f t="shared" si="10"/>
        <v>451</v>
      </c>
      <c r="AF18" s="31">
        <f t="shared" si="10"/>
        <v>679</v>
      </c>
    </row>
    <row r="19" spans="2:32" ht="23.1" customHeight="1" x14ac:dyDescent="0.25">
      <c r="B19" s="23" t="s">
        <v>46</v>
      </c>
      <c r="C19" s="50">
        <v>19</v>
      </c>
      <c r="D19" s="50">
        <v>0</v>
      </c>
      <c r="E19" s="50">
        <v>1</v>
      </c>
      <c r="F19" s="50">
        <v>42</v>
      </c>
      <c r="G19" s="50">
        <v>1</v>
      </c>
      <c r="H19" s="50">
        <v>1</v>
      </c>
      <c r="I19" s="50">
        <v>6</v>
      </c>
      <c r="J19" s="50">
        <v>0</v>
      </c>
      <c r="K19" s="50">
        <v>0</v>
      </c>
      <c r="L19" s="50">
        <v>0</v>
      </c>
      <c r="M19" s="50">
        <v>231</v>
      </c>
      <c r="N19" s="50">
        <v>0</v>
      </c>
      <c r="O19" s="15">
        <f t="shared" si="0"/>
        <v>70</v>
      </c>
      <c r="P19" s="15">
        <f t="shared" si="1"/>
        <v>301</v>
      </c>
      <c r="R19" s="1" t="s">
        <v>15</v>
      </c>
      <c r="S19" s="17">
        <f t="shared" ref="S19:AF19" si="11">SUM(C46:C49)</f>
        <v>194</v>
      </c>
      <c r="T19" s="17">
        <f t="shared" si="11"/>
        <v>12</v>
      </c>
      <c r="U19" s="17">
        <f t="shared" si="11"/>
        <v>14</v>
      </c>
      <c r="V19" s="17">
        <f t="shared" si="11"/>
        <v>316</v>
      </c>
      <c r="W19" s="17">
        <f t="shared" si="11"/>
        <v>4</v>
      </c>
      <c r="X19" s="17">
        <f t="shared" si="11"/>
        <v>5</v>
      </c>
      <c r="Y19" s="17">
        <f t="shared" si="11"/>
        <v>18</v>
      </c>
      <c r="Z19" s="17">
        <f t="shared" si="11"/>
        <v>8</v>
      </c>
      <c r="AA19" s="17">
        <f t="shared" si="11"/>
        <v>3</v>
      </c>
      <c r="AB19" s="17">
        <f t="shared" si="11"/>
        <v>3</v>
      </c>
      <c r="AC19" s="17">
        <f t="shared" si="11"/>
        <v>569</v>
      </c>
      <c r="AD19" s="17">
        <f t="shared" si="11"/>
        <v>0</v>
      </c>
      <c r="AE19" s="31">
        <f t="shared" si="11"/>
        <v>577</v>
      </c>
      <c r="AF19" s="31">
        <f t="shared" si="11"/>
        <v>1146</v>
      </c>
    </row>
    <row r="20" spans="2:32" ht="23.1" customHeight="1" x14ac:dyDescent="0.25">
      <c r="B20" s="23" t="s">
        <v>47</v>
      </c>
      <c r="C20" s="50">
        <v>29</v>
      </c>
      <c r="D20" s="50">
        <v>7</v>
      </c>
      <c r="E20" s="50">
        <v>7</v>
      </c>
      <c r="F20" s="50">
        <v>38</v>
      </c>
      <c r="G20" s="50">
        <v>2</v>
      </c>
      <c r="H20" s="50">
        <v>2</v>
      </c>
      <c r="I20" s="50">
        <v>6</v>
      </c>
      <c r="J20" s="50">
        <v>2</v>
      </c>
      <c r="K20" s="50">
        <v>0</v>
      </c>
      <c r="L20" s="50">
        <v>0</v>
      </c>
      <c r="M20" s="50">
        <v>165</v>
      </c>
      <c r="N20" s="50">
        <v>0</v>
      </c>
      <c r="O20" s="15">
        <f t="shared" si="0"/>
        <v>93</v>
      </c>
      <c r="P20" s="15">
        <f t="shared" si="1"/>
        <v>258</v>
      </c>
      <c r="R20" s="1" t="s">
        <v>16</v>
      </c>
      <c r="S20" s="17">
        <f t="shared" ref="S20:AF20" si="12">SUM(C50:C53)</f>
        <v>387</v>
      </c>
      <c r="T20" s="17">
        <f t="shared" si="12"/>
        <v>14</v>
      </c>
      <c r="U20" s="17">
        <f t="shared" si="12"/>
        <v>14</v>
      </c>
      <c r="V20" s="17">
        <f t="shared" si="12"/>
        <v>338</v>
      </c>
      <c r="W20" s="17">
        <f t="shared" si="12"/>
        <v>7</v>
      </c>
      <c r="X20" s="17">
        <f t="shared" si="12"/>
        <v>3</v>
      </c>
      <c r="Y20" s="17">
        <f t="shared" si="12"/>
        <v>11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917</v>
      </c>
      <c r="AD20" s="17">
        <f t="shared" si="12"/>
        <v>0</v>
      </c>
      <c r="AE20" s="31">
        <f t="shared" si="12"/>
        <v>779</v>
      </c>
      <c r="AF20" s="31">
        <f t="shared" si="12"/>
        <v>1696</v>
      </c>
    </row>
    <row r="21" spans="2:32" ht="23.1" customHeight="1" x14ac:dyDescent="0.25">
      <c r="B21" s="23" t="s">
        <v>48</v>
      </c>
      <c r="C21" s="50">
        <v>20</v>
      </c>
      <c r="D21" s="50">
        <v>3</v>
      </c>
      <c r="E21" s="50">
        <v>4</v>
      </c>
      <c r="F21" s="50">
        <v>50</v>
      </c>
      <c r="G21" s="50">
        <v>0</v>
      </c>
      <c r="H21" s="50">
        <v>2</v>
      </c>
      <c r="I21" s="50">
        <v>2</v>
      </c>
      <c r="J21" s="50">
        <v>3</v>
      </c>
      <c r="K21" s="50">
        <v>0</v>
      </c>
      <c r="L21" s="50">
        <v>0</v>
      </c>
      <c r="M21" s="50">
        <v>236</v>
      </c>
      <c r="N21" s="50">
        <v>0</v>
      </c>
      <c r="O21" s="15">
        <f t="shared" si="0"/>
        <v>84</v>
      </c>
      <c r="P21" s="15">
        <f t="shared" si="1"/>
        <v>320</v>
      </c>
      <c r="R21" s="36" t="s">
        <v>20</v>
      </c>
      <c r="S21" s="34">
        <f t="shared" ref="S21:AF21" si="13">SUM(C54:C57)</f>
        <v>325</v>
      </c>
      <c r="T21" s="17">
        <f t="shared" si="13"/>
        <v>13</v>
      </c>
      <c r="U21" s="17">
        <f t="shared" si="13"/>
        <v>22</v>
      </c>
      <c r="V21" s="17">
        <f t="shared" si="13"/>
        <v>349</v>
      </c>
      <c r="W21" s="17">
        <f t="shared" si="13"/>
        <v>2</v>
      </c>
      <c r="X21" s="17">
        <f t="shared" si="13"/>
        <v>6</v>
      </c>
      <c r="Y21" s="17">
        <f t="shared" si="13"/>
        <v>13</v>
      </c>
      <c r="Z21" s="17">
        <f t="shared" si="13"/>
        <v>4</v>
      </c>
      <c r="AA21" s="17">
        <f t="shared" si="13"/>
        <v>2</v>
      </c>
      <c r="AB21" s="17">
        <f t="shared" si="13"/>
        <v>1</v>
      </c>
      <c r="AC21" s="17">
        <f t="shared" si="13"/>
        <v>774</v>
      </c>
      <c r="AD21" s="17">
        <f t="shared" si="13"/>
        <v>0</v>
      </c>
      <c r="AE21" s="31">
        <f t="shared" si="13"/>
        <v>737</v>
      </c>
      <c r="AF21" s="31">
        <f t="shared" si="13"/>
        <v>1511</v>
      </c>
    </row>
    <row r="22" spans="2:32" ht="23.1" customHeight="1" x14ac:dyDescent="0.25">
      <c r="B22" s="23" t="s">
        <v>49</v>
      </c>
      <c r="C22" s="50">
        <v>36</v>
      </c>
      <c r="D22" s="50">
        <v>5</v>
      </c>
      <c r="E22" s="50">
        <v>6</v>
      </c>
      <c r="F22" s="50">
        <v>71</v>
      </c>
      <c r="G22" s="50">
        <v>0</v>
      </c>
      <c r="H22" s="50">
        <v>3</v>
      </c>
      <c r="I22" s="50">
        <v>6</v>
      </c>
      <c r="J22" s="50">
        <v>1</v>
      </c>
      <c r="K22" s="50">
        <v>0</v>
      </c>
      <c r="L22" s="50">
        <v>0</v>
      </c>
      <c r="M22" s="50">
        <v>234</v>
      </c>
      <c r="N22" s="50">
        <v>0</v>
      </c>
      <c r="O22" s="15">
        <f t="shared" si="0"/>
        <v>128</v>
      </c>
      <c r="P22" s="15">
        <f t="shared" si="1"/>
        <v>362</v>
      </c>
      <c r="R22" s="38" t="s">
        <v>90</v>
      </c>
      <c r="S22" s="39">
        <f>MAX(S10:S12)</f>
        <v>295</v>
      </c>
      <c r="T22" s="39">
        <f t="shared" ref="T22:AF22" si="14">MAX(T10:T12)</f>
        <v>32</v>
      </c>
      <c r="U22" s="39">
        <f t="shared" si="14"/>
        <v>13</v>
      </c>
      <c r="V22" s="39">
        <f t="shared" si="14"/>
        <v>421</v>
      </c>
      <c r="W22" s="39">
        <f t="shared" si="14"/>
        <v>7</v>
      </c>
      <c r="X22" s="39">
        <f t="shared" si="14"/>
        <v>8</v>
      </c>
      <c r="Y22" s="39">
        <f t="shared" si="14"/>
        <v>18</v>
      </c>
      <c r="Z22" s="39">
        <f t="shared" si="14"/>
        <v>8</v>
      </c>
      <c r="AA22" s="39">
        <f t="shared" si="14"/>
        <v>2</v>
      </c>
      <c r="AB22" s="39">
        <f t="shared" si="14"/>
        <v>1</v>
      </c>
      <c r="AC22" s="39">
        <f t="shared" si="14"/>
        <v>961</v>
      </c>
      <c r="AD22" s="39">
        <f t="shared" si="14"/>
        <v>0</v>
      </c>
      <c r="AE22" s="40">
        <f t="shared" si="14"/>
        <v>792</v>
      </c>
      <c r="AF22" s="40">
        <f t="shared" si="14"/>
        <v>1347</v>
      </c>
    </row>
    <row r="23" spans="2:32" ht="23.1" customHeight="1" x14ac:dyDescent="0.25">
      <c r="B23" s="23" t="s">
        <v>50</v>
      </c>
      <c r="C23" s="50">
        <v>17</v>
      </c>
      <c r="D23" s="50">
        <v>9</v>
      </c>
      <c r="E23" s="50">
        <v>7</v>
      </c>
      <c r="F23" s="50">
        <v>57</v>
      </c>
      <c r="G23" s="50">
        <v>5</v>
      </c>
      <c r="H23" s="50">
        <v>4</v>
      </c>
      <c r="I23" s="50">
        <v>4</v>
      </c>
      <c r="J23" s="50">
        <v>0</v>
      </c>
      <c r="K23" s="50">
        <v>0</v>
      </c>
      <c r="L23" s="50">
        <v>1</v>
      </c>
      <c r="M23" s="50">
        <v>87</v>
      </c>
      <c r="N23" s="50">
        <v>0</v>
      </c>
      <c r="O23" s="15">
        <f t="shared" si="0"/>
        <v>104</v>
      </c>
      <c r="P23" s="15">
        <f t="shared" si="1"/>
        <v>191</v>
      </c>
      <c r="R23" s="38" t="s">
        <v>91</v>
      </c>
      <c r="S23" s="39">
        <f>MAX(S13:S18)</f>
        <v>241</v>
      </c>
      <c r="T23" s="39">
        <f t="shared" ref="T23:AF23" si="15">MAX(T13:T18)</f>
        <v>29</v>
      </c>
      <c r="U23" s="39">
        <f t="shared" si="15"/>
        <v>26</v>
      </c>
      <c r="V23" s="39">
        <f t="shared" si="15"/>
        <v>251</v>
      </c>
      <c r="W23" s="39">
        <f t="shared" si="15"/>
        <v>7</v>
      </c>
      <c r="X23" s="39">
        <f t="shared" si="15"/>
        <v>11</v>
      </c>
      <c r="Y23" s="39">
        <f t="shared" si="15"/>
        <v>25</v>
      </c>
      <c r="Z23" s="39">
        <f t="shared" si="15"/>
        <v>34</v>
      </c>
      <c r="AA23" s="39">
        <f t="shared" si="15"/>
        <v>2</v>
      </c>
      <c r="AB23" s="39">
        <f t="shared" si="15"/>
        <v>5</v>
      </c>
      <c r="AC23" s="39">
        <f t="shared" si="15"/>
        <v>784</v>
      </c>
      <c r="AD23" s="39">
        <f t="shared" si="15"/>
        <v>0</v>
      </c>
      <c r="AE23" s="40">
        <f t="shared" si="15"/>
        <v>562</v>
      </c>
      <c r="AF23" s="40">
        <f t="shared" si="15"/>
        <v>1157</v>
      </c>
    </row>
    <row r="24" spans="2:32" ht="23.1" customHeight="1" x14ac:dyDescent="0.25">
      <c r="B24" s="23" t="s">
        <v>51</v>
      </c>
      <c r="C24" s="50">
        <v>48</v>
      </c>
      <c r="D24" s="50">
        <v>6</v>
      </c>
      <c r="E24" s="50">
        <v>4</v>
      </c>
      <c r="F24" s="50">
        <v>62</v>
      </c>
      <c r="G24" s="50">
        <v>0</v>
      </c>
      <c r="H24" s="50">
        <v>4</v>
      </c>
      <c r="I24" s="50">
        <v>9</v>
      </c>
      <c r="J24" s="50">
        <v>3</v>
      </c>
      <c r="K24" s="50">
        <v>0</v>
      </c>
      <c r="L24" s="50">
        <v>0</v>
      </c>
      <c r="M24" s="50">
        <v>180</v>
      </c>
      <c r="N24" s="50">
        <v>0</v>
      </c>
      <c r="O24" s="15">
        <f t="shared" si="0"/>
        <v>136</v>
      </c>
      <c r="P24" s="15">
        <f t="shared" si="1"/>
        <v>316</v>
      </c>
      <c r="R24" s="38" t="s">
        <v>92</v>
      </c>
      <c r="S24" s="39">
        <f>MAX(S19:S21)</f>
        <v>387</v>
      </c>
      <c r="T24" s="39">
        <f t="shared" ref="T24:AF24" si="16">MAX(T19:T21)</f>
        <v>14</v>
      </c>
      <c r="U24" s="39">
        <f t="shared" si="16"/>
        <v>22</v>
      </c>
      <c r="V24" s="39">
        <f t="shared" si="16"/>
        <v>349</v>
      </c>
      <c r="W24" s="39">
        <f t="shared" si="16"/>
        <v>7</v>
      </c>
      <c r="X24" s="39">
        <f t="shared" si="16"/>
        <v>6</v>
      </c>
      <c r="Y24" s="39">
        <f t="shared" si="16"/>
        <v>18</v>
      </c>
      <c r="Z24" s="39">
        <f t="shared" si="16"/>
        <v>8</v>
      </c>
      <c r="AA24" s="39">
        <f t="shared" si="16"/>
        <v>3</v>
      </c>
      <c r="AB24" s="39">
        <f t="shared" si="16"/>
        <v>3</v>
      </c>
      <c r="AC24" s="39">
        <f t="shared" si="16"/>
        <v>917</v>
      </c>
      <c r="AD24" s="39">
        <f t="shared" si="16"/>
        <v>0</v>
      </c>
      <c r="AE24" s="40">
        <f t="shared" si="16"/>
        <v>779</v>
      </c>
      <c r="AF24" s="40">
        <f t="shared" si="16"/>
        <v>1696</v>
      </c>
    </row>
    <row r="25" spans="2:32" ht="23.1" customHeight="1" x14ac:dyDescent="0.25">
      <c r="B25" s="23" t="s">
        <v>52</v>
      </c>
      <c r="C25" s="50">
        <v>30</v>
      </c>
      <c r="D25" s="50">
        <v>6</v>
      </c>
      <c r="E25" s="50">
        <v>4</v>
      </c>
      <c r="F25" s="50">
        <v>46</v>
      </c>
      <c r="G25" s="50">
        <v>1</v>
      </c>
      <c r="H25" s="50">
        <v>0</v>
      </c>
      <c r="I25" s="50">
        <v>5</v>
      </c>
      <c r="J25" s="50">
        <v>2</v>
      </c>
      <c r="K25" s="50">
        <v>2</v>
      </c>
      <c r="L25" s="50">
        <v>0</v>
      </c>
      <c r="M25" s="50">
        <v>192</v>
      </c>
      <c r="N25" s="50">
        <v>0</v>
      </c>
      <c r="O25" s="15">
        <f t="shared" si="0"/>
        <v>96</v>
      </c>
      <c r="P25" s="15">
        <f t="shared" si="1"/>
        <v>288</v>
      </c>
      <c r="R25" s="37" t="s">
        <v>85</v>
      </c>
      <c r="S25" s="35">
        <f t="shared" ref="S25:AF25" si="17">SUM(S10:S12)</f>
        <v>474</v>
      </c>
      <c r="T25" s="16">
        <f t="shared" si="17"/>
        <v>60</v>
      </c>
      <c r="U25" s="16">
        <f t="shared" si="17"/>
        <v>34</v>
      </c>
      <c r="V25" s="16">
        <f t="shared" si="17"/>
        <v>842</v>
      </c>
      <c r="W25" s="16">
        <f t="shared" si="17"/>
        <v>14</v>
      </c>
      <c r="X25" s="16">
        <f t="shared" si="17"/>
        <v>22</v>
      </c>
      <c r="Y25" s="16">
        <f t="shared" si="17"/>
        <v>41</v>
      </c>
      <c r="Z25" s="16">
        <f t="shared" si="17"/>
        <v>17</v>
      </c>
      <c r="AA25" s="16">
        <f t="shared" si="17"/>
        <v>4</v>
      </c>
      <c r="AB25" s="16">
        <f t="shared" si="17"/>
        <v>2</v>
      </c>
      <c r="AC25" s="16">
        <f t="shared" si="17"/>
        <v>2367</v>
      </c>
      <c r="AD25" s="16">
        <f t="shared" si="17"/>
        <v>0</v>
      </c>
      <c r="AE25" s="32">
        <f t="shared" si="17"/>
        <v>1510</v>
      </c>
      <c r="AF25" s="32">
        <f t="shared" si="17"/>
        <v>3877</v>
      </c>
    </row>
    <row r="26" spans="2:32" ht="23.1" customHeight="1" x14ac:dyDescent="0.25">
      <c r="B26" s="23" t="s">
        <v>53</v>
      </c>
      <c r="C26" s="50">
        <v>14</v>
      </c>
      <c r="D26" s="50">
        <v>3</v>
      </c>
      <c r="E26" s="50">
        <v>4</v>
      </c>
      <c r="F26" s="50">
        <v>53</v>
      </c>
      <c r="G26" s="50">
        <v>0</v>
      </c>
      <c r="H26" s="50">
        <v>2</v>
      </c>
      <c r="I26" s="50">
        <v>6</v>
      </c>
      <c r="J26" s="50">
        <v>0</v>
      </c>
      <c r="K26" s="50">
        <v>0</v>
      </c>
      <c r="L26" s="50">
        <v>0</v>
      </c>
      <c r="M26" s="50">
        <v>176</v>
      </c>
      <c r="N26" s="50">
        <v>0</v>
      </c>
      <c r="O26" s="15">
        <f t="shared" si="0"/>
        <v>82</v>
      </c>
      <c r="P26" s="15">
        <f t="shared" si="1"/>
        <v>258</v>
      </c>
      <c r="R26" s="28" t="s">
        <v>86</v>
      </c>
      <c r="S26" s="16">
        <f t="shared" ref="S26:AF26" si="18">SUM(S13:S18)</f>
        <v>960</v>
      </c>
      <c r="T26" s="16">
        <f t="shared" si="18"/>
        <v>127</v>
      </c>
      <c r="U26" s="16">
        <f t="shared" si="18"/>
        <v>131</v>
      </c>
      <c r="V26" s="16">
        <f t="shared" si="18"/>
        <v>1286</v>
      </c>
      <c r="W26" s="16">
        <f t="shared" si="18"/>
        <v>27</v>
      </c>
      <c r="X26" s="16">
        <f t="shared" si="18"/>
        <v>48</v>
      </c>
      <c r="Y26" s="16">
        <f t="shared" si="18"/>
        <v>122</v>
      </c>
      <c r="Z26" s="16">
        <f t="shared" si="18"/>
        <v>71</v>
      </c>
      <c r="AA26" s="16">
        <f t="shared" si="18"/>
        <v>7</v>
      </c>
      <c r="AB26" s="16">
        <f t="shared" si="18"/>
        <v>9</v>
      </c>
      <c r="AC26" s="16">
        <f t="shared" si="18"/>
        <v>3306</v>
      </c>
      <c r="AD26" s="16">
        <f t="shared" si="18"/>
        <v>0</v>
      </c>
      <c r="AE26" s="32">
        <f t="shared" si="18"/>
        <v>2788</v>
      </c>
      <c r="AF26" s="32">
        <f t="shared" si="18"/>
        <v>6094</v>
      </c>
    </row>
    <row r="27" spans="2:32" ht="23.1" customHeight="1" x14ac:dyDescent="0.25">
      <c r="B27" s="23" t="s">
        <v>54</v>
      </c>
      <c r="C27" s="50">
        <v>19</v>
      </c>
      <c r="D27" s="50">
        <v>4</v>
      </c>
      <c r="E27" s="50">
        <v>1</v>
      </c>
      <c r="F27" s="50">
        <v>77</v>
      </c>
      <c r="G27" s="50">
        <v>1</v>
      </c>
      <c r="H27" s="50">
        <v>2</v>
      </c>
      <c r="I27" s="50">
        <v>6</v>
      </c>
      <c r="J27" s="50">
        <v>1</v>
      </c>
      <c r="K27" s="50">
        <v>0</v>
      </c>
      <c r="L27" s="50">
        <v>0</v>
      </c>
      <c r="M27" s="50">
        <v>240</v>
      </c>
      <c r="N27" s="50">
        <v>0</v>
      </c>
      <c r="O27" s="15">
        <f t="shared" si="0"/>
        <v>111</v>
      </c>
      <c r="P27" s="15">
        <f t="shared" si="1"/>
        <v>351</v>
      </c>
      <c r="R27" s="29" t="s">
        <v>87</v>
      </c>
      <c r="S27" s="16">
        <f t="shared" ref="S27:AF27" si="19">SUM(S19:S21)</f>
        <v>906</v>
      </c>
      <c r="T27" s="16">
        <f t="shared" si="19"/>
        <v>39</v>
      </c>
      <c r="U27" s="16">
        <f t="shared" si="19"/>
        <v>50</v>
      </c>
      <c r="V27" s="16">
        <f t="shared" si="19"/>
        <v>1003</v>
      </c>
      <c r="W27" s="16">
        <f t="shared" si="19"/>
        <v>13</v>
      </c>
      <c r="X27" s="16">
        <f t="shared" si="19"/>
        <v>14</v>
      </c>
      <c r="Y27" s="16">
        <f t="shared" si="19"/>
        <v>42</v>
      </c>
      <c r="Z27" s="16">
        <f t="shared" si="19"/>
        <v>17</v>
      </c>
      <c r="AA27" s="16">
        <f t="shared" si="19"/>
        <v>5</v>
      </c>
      <c r="AB27" s="16">
        <f t="shared" si="19"/>
        <v>4</v>
      </c>
      <c r="AC27" s="16">
        <f t="shared" si="19"/>
        <v>2260</v>
      </c>
      <c r="AD27" s="16">
        <f t="shared" si="19"/>
        <v>0</v>
      </c>
      <c r="AE27" s="32">
        <f t="shared" si="19"/>
        <v>2093</v>
      </c>
      <c r="AF27" s="32">
        <f t="shared" si="19"/>
        <v>4353</v>
      </c>
    </row>
    <row r="28" spans="2:32" ht="23.1" customHeight="1" x14ac:dyDescent="0.25">
      <c r="B28" s="23" t="s">
        <v>55</v>
      </c>
      <c r="C28" s="50">
        <v>19</v>
      </c>
      <c r="D28" s="50">
        <v>6</v>
      </c>
      <c r="E28" s="50">
        <v>9</v>
      </c>
      <c r="F28" s="50">
        <v>53</v>
      </c>
      <c r="G28" s="50">
        <v>0</v>
      </c>
      <c r="H28" s="50">
        <v>1</v>
      </c>
      <c r="I28" s="50">
        <v>4</v>
      </c>
      <c r="J28" s="50">
        <v>2</v>
      </c>
      <c r="K28" s="50">
        <v>1</v>
      </c>
      <c r="L28" s="50">
        <v>0</v>
      </c>
      <c r="M28" s="50">
        <v>243</v>
      </c>
      <c r="N28" s="50">
        <v>0</v>
      </c>
      <c r="O28" s="15">
        <f t="shared" si="0"/>
        <v>95</v>
      </c>
      <c r="P28" s="15">
        <f t="shared" si="1"/>
        <v>338</v>
      </c>
      <c r="R28" s="5" t="s">
        <v>17</v>
      </c>
      <c r="S28" s="16">
        <f t="shared" ref="S28:AF28" si="20">SUM(S10:S21)</f>
        <v>2340</v>
      </c>
      <c r="T28" s="16">
        <f t="shared" si="20"/>
        <v>226</v>
      </c>
      <c r="U28" s="16">
        <f t="shared" si="20"/>
        <v>215</v>
      </c>
      <c r="V28" s="16">
        <f t="shared" si="20"/>
        <v>3131</v>
      </c>
      <c r="W28" s="16">
        <f t="shared" si="20"/>
        <v>54</v>
      </c>
      <c r="X28" s="16">
        <f t="shared" si="20"/>
        <v>84</v>
      </c>
      <c r="Y28" s="16">
        <f t="shared" si="20"/>
        <v>205</v>
      </c>
      <c r="Z28" s="16">
        <f t="shared" si="20"/>
        <v>105</v>
      </c>
      <c r="AA28" s="16">
        <f t="shared" si="20"/>
        <v>16</v>
      </c>
      <c r="AB28" s="16">
        <f t="shared" si="20"/>
        <v>15</v>
      </c>
      <c r="AC28" s="16">
        <f t="shared" si="20"/>
        <v>7933</v>
      </c>
      <c r="AD28" s="16">
        <f t="shared" si="20"/>
        <v>0</v>
      </c>
      <c r="AE28" s="32">
        <f t="shared" si="20"/>
        <v>6391</v>
      </c>
      <c r="AF28" s="32">
        <f t="shared" si="20"/>
        <v>14324</v>
      </c>
    </row>
    <row r="29" spans="2:32" ht="23.1" customHeight="1" x14ac:dyDescent="0.25">
      <c r="B29" s="23" t="s">
        <v>56</v>
      </c>
      <c r="C29" s="50">
        <v>30</v>
      </c>
      <c r="D29" s="50">
        <v>3</v>
      </c>
      <c r="E29" s="50">
        <v>4</v>
      </c>
      <c r="F29" s="50">
        <v>32</v>
      </c>
      <c r="G29" s="50">
        <v>0</v>
      </c>
      <c r="H29" s="50">
        <v>3</v>
      </c>
      <c r="I29" s="50">
        <v>4</v>
      </c>
      <c r="J29" s="50">
        <v>0</v>
      </c>
      <c r="K29" s="50">
        <v>0</v>
      </c>
      <c r="L29" s="50">
        <v>0</v>
      </c>
      <c r="M29" s="50">
        <v>125</v>
      </c>
      <c r="N29" s="50">
        <v>0</v>
      </c>
      <c r="O29" s="15">
        <f t="shared" si="0"/>
        <v>76</v>
      </c>
      <c r="P29" s="15">
        <f t="shared" si="1"/>
        <v>201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10</v>
      </c>
      <c r="E30" s="50">
        <v>8</v>
      </c>
      <c r="F30" s="50">
        <v>35</v>
      </c>
      <c r="G30" s="50">
        <v>1</v>
      </c>
      <c r="H30" s="50">
        <v>2</v>
      </c>
      <c r="I30" s="50">
        <v>16</v>
      </c>
      <c r="J30" s="50">
        <v>4</v>
      </c>
      <c r="K30" s="50">
        <v>0</v>
      </c>
      <c r="L30" s="50">
        <v>0</v>
      </c>
      <c r="M30" s="50">
        <v>199</v>
      </c>
      <c r="N30" s="50">
        <v>0</v>
      </c>
      <c r="O30" s="15">
        <f t="shared" si="0"/>
        <v>113</v>
      </c>
      <c r="P30" s="15">
        <f t="shared" si="1"/>
        <v>312</v>
      </c>
    </row>
    <row r="31" spans="2:32" ht="23.1" customHeight="1" x14ac:dyDescent="0.25">
      <c r="B31" s="24" t="s">
        <v>58</v>
      </c>
      <c r="C31" s="50">
        <v>39</v>
      </c>
      <c r="D31" s="50">
        <v>6</v>
      </c>
      <c r="E31" s="50">
        <v>4</v>
      </c>
      <c r="F31" s="50">
        <v>41</v>
      </c>
      <c r="G31" s="50">
        <v>2</v>
      </c>
      <c r="H31" s="50">
        <v>3</v>
      </c>
      <c r="I31" s="50">
        <v>5</v>
      </c>
      <c r="J31" s="50">
        <v>21</v>
      </c>
      <c r="K31" s="50">
        <v>0</v>
      </c>
      <c r="L31" s="50">
        <v>0</v>
      </c>
      <c r="M31" s="50">
        <v>127</v>
      </c>
      <c r="N31" s="50">
        <v>0</v>
      </c>
      <c r="O31" s="15">
        <f t="shared" si="0"/>
        <v>121</v>
      </c>
      <c r="P31" s="15">
        <f t="shared" si="1"/>
        <v>248</v>
      </c>
    </row>
    <row r="32" spans="2:32" ht="23.1" customHeight="1" x14ac:dyDescent="0.25">
      <c r="B32" s="24" t="s">
        <v>59</v>
      </c>
      <c r="C32" s="50">
        <v>33</v>
      </c>
      <c r="D32" s="50">
        <v>7</v>
      </c>
      <c r="E32" s="50">
        <v>2</v>
      </c>
      <c r="F32" s="50">
        <v>39</v>
      </c>
      <c r="G32" s="50">
        <v>3</v>
      </c>
      <c r="H32" s="50">
        <v>1</v>
      </c>
      <c r="I32" s="50">
        <v>2</v>
      </c>
      <c r="J32" s="50">
        <v>7</v>
      </c>
      <c r="K32" s="50">
        <v>0</v>
      </c>
      <c r="L32" s="50">
        <v>0</v>
      </c>
      <c r="M32" s="50">
        <v>149</v>
      </c>
      <c r="N32" s="50">
        <v>0</v>
      </c>
      <c r="O32" s="15">
        <f t="shared" si="0"/>
        <v>94</v>
      </c>
      <c r="P32" s="15">
        <f t="shared" si="1"/>
        <v>243</v>
      </c>
    </row>
    <row r="33" spans="2:20" ht="23.1" customHeight="1" x14ac:dyDescent="0.25">
      <c r="B33" s="23" t="s">
        <v>60</v>
      </c>
      <c r="C33" s="50">
        <v>43</v>
      </c>
      <c r="D33" s="50">
        <v>6</v>
      </c>
      <c r="E33" s="50">
        <v>4</v>
      </c>
      <c r="F33" s="50">
        <v>63</v>
      </c>
      <c r="G33" s="50">
        <v>1</v>
      </c>
      <c r="H33" s="50">
        <v>1</v>
      </c>
      <c r="I33" s="50">
        <v>2</v>
      </c>
      <c r="J33" s="50">
        <v>2</v>
      </c>
      <c r="K33" s="50">
        <v>1</v>
      </c>
      <c r="L33" s="50">
        <v>0</v>
      </c>
      <c r="M33" s="50">
        <v>143</v>
      </c>
      <c r="N33" s="50">
        <v>0</v>
      </c>
      <c r="O33" s="15">
        <f t="shared" si="0"/>
        <v>123</v>
      </c>
      <c r="P33" s="15">
        <f t="shared" si="1"/>
        <v>266</v>
      </c>
    </row>
    <row r="34" spans="2:20" ht="23.1" customHeight="1" x14ac:dyDescent="0.25">
      <c r="B34" s="24" t="s">
        <v>61</v>
      </c>
      <c r="C34" s="50">
        <v>63</v>
      </c>
      <c r="D34" s="50">
        <v>3</v>
      </c>
      <c r="E34" s="50">
        <v>8</v>
      </c>
      <c r="F34" s="50">
        <v>50</v>
      </c>
      <c r="G34" s="50">
        <v>1</v>
      </c>
      <c r="H34" s="50">
        <v>1</v>
      </c>
      <c r="I34" s="50">
        <v>6</v>
      </c>
      <c r="J34" s="50">
        <v>3</v>
      </c>
      <c r="K34" s="50">
        <v>0</v>
      </c>
      <c r="L34" s="50">
        <v>0</v>
      </c>
      <c r="M34" s="50">
        <v>49</v>
      </c>
      <c r="N34" s="50">
        <v>0</v>
      </c>
      <c r="O34" s="15">
        <f t="shared" si="0"/>
        <v>135</v>
      </c>
      <c r="P34" s="15">
        <f t="shared" si="1"/>
        <v>184</v>
      </c>
    </row>
    <row r="35" spans="2:20" ht="23.1" customHeight="1" x14ac:dyDescent="0.25">
      <c r="B35" s="24" t="s">
        <v>62</v>
      </c>
      <c r="C35" s="50">
        <v>64</v>
      </c>
      <c r="D35" s="50">
        <v>2</v>
      </c>
      <c r="E35" s="50">
        <v>3</v>
      </c>
      <c r="F35" s="50">
        <v>79</v>
      </c>
      <c r="G35" s="50">
        <v>2</v>
      </c>
      <c r="H35" s="50">
        <v>2</v>
      </c>
      <c r="I35" s="50">
        <v>5</v>
      </c>
      <c r="J35" s="50">
        <v>2</v>
      </c>
      <c r="K35" s="50">
        <v>1</v>
      </c>
      <c r="L35" s="50">
        <v>0</v>
      </c>
      <c r="M35" s="50">
        <v>153</v>
      </c>
      <c r="N35" s="50">
        <v>0</v>
      </c>
      <c r="O35" s="15">
        <f t="shared" si="0"/>
        <v>160</v>
      </c>
      <c r="P35" s="15">
        <f t="shared" si="1"/>
        <v>313</v>
      </c>
    </row>
    <row r="36" spans="2:20" ht="23.1" customHeight="1" x14ac:dyDescent="0.25">
      <c r="B36" s="24" t="s">
        <v>63</v>
      </c>
      <c r="C36" s="50">
        <v>63</v>
      </c>
      <c r="D36" s="50">
        <v>5</v>
      </c>
      <c r="E36" s="50">
        <v>5</v>
      </c>
      <c r="F36" s="50">
        <v>56</v>
      </c>
      <c r="G36" s="50">
        <v>1</v>
      </c>
      <c r="H36" s="50">
        <v>5</v>
      </c>
      <c r="I36" s="50">
        <v>4</v>
      </c>
      <c r="J36" s="50">
        <v>3</v>
      </c>
      <c r="K36" s="50">
        <v>0</v>
      </c>
      <c r="L36" s="50">
        <v>0</v>
      </c>
      <c r="M36" s="50">
        <v>114</v>
      </c>
      <c r="N36" s="50">
        <v>0</v>
      </c>
      <c r="O36" s="15">
        <f t="shared" si="0"/>
        <v>142</v>
      </c>
      <c r="P36" s="15">
        <f t="shared" si="1"/>
        <v>256</v>
      </c>
    </row>
    <row r="37" spans="2:20" ht="23.1" customHeight="1" x14ac:dyDescent="0.25">
      <c r="B37" s="23" t="s">
        <v>64</v>
      </c>
      <c r="C37" s="50">
        <v>51</v>
      </c>
      <c r="D37" s="50">
        <v>2</v>
      </c>
      <c r="E37" s="50">
        <v>7</v>
      </c>
      <c r="F37" s="50">
        <v>59</v>
      </c>
      <c r="G37" s="50">
        <v>1</v>
      </c>
      <c r="H37" s="50">
        <v>1</v>
      </c>
      <c r="I37" s="50">
        <v>2</v>
      </c>
      <c r="J37" s="50">
        <v>2</v>
      </c>
      <c r="K37" s="50">
        <v>0</v>
      </c>
      <c r="L37" s="50">
        <v>0</v>
      </c>
      <c r="M37" s="50">
        <v>159</v>
      </c>
      <c r="N37" s="50">
        <v>0</v>
      </c>
      <c r="O37" s="15">
        <f t="shared" si="0"/>
        <v>125</v>
      </c>
      <c r="P37" s="15">
        <f t="shared" si="1"/>
        <v>284</v>
      </c>
    </row>
    <row r="38" spans="2:20" ht="23.1" customHeight="1" x14ac:dyDescent="0.25">
      <c r="B38" s="24" t="s">
        <v>65</v>
      </c>
      <c r="C38" s="50">
        <v>22</v>
      </c>
      <c r="D38" s="50">
        <v>1</v>
      </c>
      <c r="E38" s="50">
        <v>6</v>
      </c>
      <c r="F38" s="50">
        <v>53</v>
      </c>
      <c r="G38" s="50">
        <v>1</v>
      </c>
      <c r="H38" s="50">
        <v>2</v>
      </c>
      <c r="I38" s="50">
        <v>1</v>
      </c>
      <c r="J38" s="50">
        <v>2</v>
      </c>
      <c r="K38" s="50">
        <v>0</v>
      </c>
      <c r="L38" s="50">
        <v>0</v>
      </c>
      <c r="M38" s="50">
        <v>147</v>
      </c>
      <c r="N38" s="50">
        <v>0</v>
      </c>
      <c r="O38" s="15">
        <f t="shared" si="0"/>
        <v>88</v>
      </c>
      <c r="P38" s="15">
        <f t="shared" si="1"/>
        <v>235</v>
      </c>
    </row>
    <row r="39" spans="2:20" ht="23.1" customHeight="1" x14ac:dyDescent="0.25">
      <c r="B39" s="24" t="s">
        <v>66</v>
      </c>
      <c r="C39" s="50">
        <v>36</v>
      </c>
      <c r="D39" s="50">
        <v>3</v>
      </c>
      <c r="E39" s="50">
        <v>11</v>
      </c>
      <c r="F39" s="50">
        <v>59</v>
      </c>
      <c r="G39" s="50">
        <v>2</v>
      </c>
      <c r="H39" s="50">
        <v>3</v>
      </c>
      <c r="I39" s="50">
        <v>4</v>
      </c>
      <c r="J39" s="50">
        <v>1</v>
      </c>
      <c r="K39" s="50">
        <v>0</v>
      </c>
      <c r="L39" s="50">
        <v>1</v>
      </c>
      <c r="M39" s="50">
        <v>111</v>
      </c>
      <c r="N39" s="50">
        <v>0</v>
      </c>
      <c r="O39" s="15">
        <f t="shared" si="0"/>
        <v>120</v>
      </c>
      <c r="P39" s="15">
        <f t="shared" si="1"/>
        <v>231</v>
      </c>
    </row>
    <row r="40" spans="2:20" ht="23.1" customHeight="1" x14ac:dyDescent="0.25">
      <c r="B40" s="24" t="s">
        <v>67</v>
      </c>
      <c r="C40" s="50">
        <v>47</v>
      </c>
      <c r="D40" s="50">
        <v>16</v>
      </c>
      <c r="E40" s="50">
        <v>6</v>
      </c>
      <c r="F40" s="50">
        <v>76</v>
      </c>
      <c r="G40" s="50">
        <v>1</v>
      </c>
      <c r="H40" s="50">
        <v>1</v>
      </c>
      <c r="I40" s="50">
        <v>5</v>
      </c>
      <c r="J40" s="50">
        <v>3</v>
      </c>
      <c r="K40" s="50">
        <v>0</v>
      </c>
      <c r="L40" s="50">
        <v>4</v>
      </c>
      <c r="M40" s="50">
        <v>95</v>
      </c>
      <c r="N40" s="50">
        <v>0</v>
      </c>
      <c r="O40" s="15">
        <f t="shared" si="0"/>
        <v>159</v>
      </c>
      <c r="P40" s="15">
        <f t="shared" si="1"/>
        <v>254</v>
      </c>
    </row>
    <row r="41" spans="2:20" ht="23.1" customHeight="1" x14ac:dyDescent="0.25">
      <c r="B41" s="23" t="s">
        <v>68</v>
      </c>
      <c r="C41" s="50">
        <v>48</v>
      </c>
      <c r="D41" s="50">
        <v>4</v>
      </c>
      <c r="E41" s="50">
        <v>2</v>
      </c>
      <c r="F41" s="50">
        <v>63</v>
      </c>
      <c r="G41" s="50">
        <v>1</v>
      </c>
      <c r="H41" s="50">
        <v>3</v>
      </c>
      <c r="I41" s="50">
        <v>6</v>
      </c>
      <c r="J41" s="50">
        <v>2</v>
      </c>
      <c r="K41" s="50">
        <v>0</v>
      </c>
      <c r="L41" s="50">
        <v>0</v>
      </c>
      <c r="M41" s="50">
        <v>155</v>
      </c>
      <c r="N41" s="50">
        <v>0</v>
      </c>
      <c r="O41" s="15">
        <f t="shared" si="0"/>
        <v>129</v>
      </c>
      <c r="P41" s="15">
        <f t="shared" si="1"/>
        <v>284</v>
      </c>
    </row>
    <row r="42" spans="2:20" ht="23.1" customHeight="1" x14ac:dyDescent="0.25">
      <c r="B42" s="24" t="s">
        <v>69</v>
      </c>
      <c r="C42" s="50">
        <v>42</v>
      </c>
      <c r="D42" s="50">
        <v>7</v>
      </c>
      <c r="E42" s="50">
        <v>11</v>
      </c>
      <c r="F42" s="50">
        <v>47</v>
      </c>
      <c r="G42" s="50">
        <v>1</v>
      </c>
      <c r="H42" s="50">
        <v>0</v>
      </c>
      <c r="I42" s="50">
        <v>6</v>
      </c>
      <c r="J42" s="50">
        <v>2</v>
      </c>
      <c r="K42" s="50">
        <v>0</v>
      </c>
      <c r="L42" s="50">
        <v>0</v>
      </c>
      <c r="M42" s="50">
        <v>82</v>
      </c>
      <c r="N42" s="50">
        <v>0</v>
      </c>
      <c r="O42" s="15">
        <f t="shared" si="0"/>
        <v>116</v>
      </c>
      <c r="P42" s="15">
        <f t="shared" si="1"/>
        <v>198</v>
      </c>
    </row>
    <row r="43" spans="2:20" ht="23.1" customHeight="1" x14ac:dyDescent="0.25">
      <c r="B43" s="23" t="s">
        <v>70</v>
      </c>
      <c r="C43" s="50">
        <v>39</v>
      </c>
      <c r="D43" s="50">
        <v>5</v>
      </c>
      <c r="E43" s="50">
        <v>6</v>
      </c>
      <c r="F43" s="50">
        <v>35</v>
      </c>
      <c r="G43" s="50">
        <v>0</v>
      </c>
      <c r="H43" s="50">
        <v>4</v>
      </c>
      <c r="I43" s="50">
        <v>4</v>
      </c>
      <c r="J43" s="50">
        <v>5</v>
      </c>
      <c r="K43" s="50">
        <v>1</v>
      </c>
      <c r="L43" s="50">
        <v>0</v>
      </c>
      <c r="M43" s="50">
        <v>27</v>
      </c>
      <c r="N43" s="50">
        <v>0</v>
      </c>
      <c r="O43" s="15">
        <f t="shared" si="0"/>
        <v>99</v>
      </c>
      <c r="P43" s="15">
        <f t="shared" si="1"/>
        <v>126</v>
      </c>
    </row>
    <row r="44" spans="2:20" ht="23.1" customHeight="1" x14ac:dyDescent="0.25">
      <c r="B44" s="25" t="s">
        <v>71</v>
      </c>
      <c r="C44" s="50">
        <v>52</v>
      </c>
      <c r="D44" s="50">
        <v>6</v>
      </c>
      <c r="E44" s="50">
        <v>7</v>
      </c>
      <c r="F44" s="50">
        <v>22</v>
      </c>
      <c r="G44" s="50">
        <v>1</v>
      </c>
      <c r="H44" s="50">
        <v>0</v>
      </c>
      <c r="I44" s="50">
        <v>7</v>
      </c>
      <c r="J44" s="50">
        <v>2</v>
      </c>
      <c r="K44" s="50">
        <v>0</v>
      </c>
      <c r="L44" s="50">
        <v>3</v>
      </c>
      <c r="M44" s="50">
        <v>36</v>
      </c>
      <c r="N44" s="50">
        <v>0</v>
      </c>
      <c r="O44" s="15">
        <f t="shared" si="0"/>
        <v>100</v>
      </c>
      <c r="P44" s="15">
        <f t="shared" si="1"/>
        <v>136</v>
      </c>
    </row>
    <row r="45" spans="2:20" ht="23.1" customHeight="1" x14ac:dyDescent="0.25">
      <c r="B45" s="23" t="s">
        <v>72</v>
      </c>
      <c r="C45" s="50">
        <v>68</v>
      </c>
      <c r="D45" s="50">
        <v>2</v>
      </c>
      <c r="E45" s="50">
        <v>2</v>
      </c>
      <c r="F45" s="50">
        <v>58</v>
      </c>
      <c r="G45" s="50">
        <v>1</v>
      </c>
      <c r="H45" s="50">
        <v>0</v>
      </c>
      <c r="I45" s="50">
        <v>3</v>
      </c>
      <c r="J45" s="50">
        <v>1</v>
      </c>
      <c r="K45" s="50">
        <v>1</v>
      </c>
      <c r="L45" s="50">
        <v>0</v>
      </c>
      <c r="M45" s="50">
        <v>83</v>
      </c>
      <c r="N45" s="50">
        <v>0</v>
      </c>
      <c r="O45" s="15">
        <f t="shared" si="0"/>
        <v>136</v>
      </c>
      <c r="P45" s="15">
        <f t="shared" si="1"/>
        <v>219</v>
      </c>
    </row>
    <row r="46" spans="2:20" ht="23.1" customHeight="1" x14ac:dyDescent="0.25">
      <c r="B46" s="24" t="s">
        <v>73</v>
      </c>
      <c r="C46" s="50">
        <v>33</v>
      </c>
      <c r="D46" s="50">
        <v>3</v>
      </c>
      <c r="E46" s="50">
        <v>2</v>
      </c>
      <c r="F46" s="50">
        <v>44</v>
      </c>
      <c r="G46" s="50">
        <v>0</v>
      </c>
      <c r="H46" s="50">
        <v>1</v>
      </c>
      <c r="I46" s="50">
        <v>4</v>
      </c>
      <c r="J46" s="50">
        <v>2</v>
      </c>
      <c r="K46" s="50">
        <v>2</v>
      </c>
      <c r="L46" s="50">
        <v>1</v>
      </c>
      <c r="M46" s="50">
        <v>165</v>
      </c>
      <c r="N46" s="50">
        <v>0</v>
      </c>
      <c r="O46" s="15">
        <f t="shared" si="0"/>
        <v>92</v>
      </c>
      <c r="P46" s="15">
        <f t="shared" si="1"/>
        <v>257</v>
      </c>
      <c r="R46" s="8"/>
      <c r="T46"/>
    </row>
    <row r="47" spans="2:20" ht="23.1" customHeight="1" x14ac:dyDescent="0.25">
      <c r="B47" s="24" t="s">
        <v>74</v>
      </c>
      <c r="C47" s="50">
        <v>33</v>
      </c>
      <c r="D47" s="50">
        <v>4</v>
      </c>
      <c r="E47" s="50">
        <v>7</v>
      </c>
      <c r="F47" s="50">
        <v>70</v>
      </c>
      <c r="G47" s="50">
        <v>0</v>
      </c>
      <c r="H47" s="50">
        <v>2</v>
      </c>
      <c r="I47" s="50">
        <v>3</v>
      </c>
      <c r="J47" s="50">
        <v>1</v>
      </c>
      <c r="K47" s="50">
        <v>0</v>
      </c>
      <c r="L47" s="50">
        <v>0</v>
      </c>
      <c r="M47" s="50">
        <v>146</v>
      </c>
      <c r="N47" s="50">
        <v>0</v>
      </c>
      <c r="O47" s="15">
        <f t="shared" si="0"/>
        <v>120</v>
      </c>
      <c r="P47" s="15">
        <f t="shared" si="1"/>
        <v>266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4</v>
      </c>
      <c r="E48" s="50">
        <v>2</v>
      </c>
      <c r="F48" s="50">
        <v>98</v>
      </c>
      <c r="G48" s="50">
        <v>3</v>
      </c>
      <c r="H48" s="50">
        <v>1</v>
      </c>
      <c r="I48" s="50">
        <v>2</v>
      </c>
      <c r="J48" s="50">
        <v>1</v>
      </c>
      <c r="K48" s="50">
        <v>1</v>
      </c>
      <c r="L48" s="50">
        <v>0</v>
      </c>
      <c r="M48" s="50">
        <v>129</v>
      </c>
      <c r="N48" s="50">
        <v>0</v>
      </c>
      <c r="O48" s="15">
        <f t="shared" si="0"/>
        <v>182</v>
      </c>
      <c r="P48" s="15">
        <f t="shared" si="1"/>
        <v>311</v>
      </c>
      <c r="R48" s="8"/>
      <c r="T48"/>
    </row>
    <row r="49" spans="2:20" ht="23.1" customHeight="1" x14ac:dyDescent="0.25">
      <c r="B49" s="23" t="s">
        <v>76</v>
      </c>
      <c r="C49" s="50">
        <v>58</v>
      </c>
      <c r="D49" s="50">
        <v>1</v>
      </c>
      <c r="E49" s="50">
        <v>3</v>
      </c>
      <c r="F49" s="50">
        <v>104</v>
      </c>
      <c r="G49" s="50">
        <v>1</v>
      </c>
      <c r="H49" s="50">
        <v>1</v>
      </c>
      <c r="I49" s="50">
        <v>9</v>
      </c>
      <c r="J49" s="50">
        <v>4</v>
      </c>
      <c r="K49" s="50">
        <v>0</v>
      </c>
      <c r="L49" s="50">
        <v>2</v>
      </c>
      <c r="M49" s="50">
        <v>129</v>
      </c>
      <c r="N49" s="50">
        <v>0</v>
      </c>
      <c r="O49" s="15">
        <f t="shared" si="0"/>
        <v>183</v>
      </c>
      <c r="P49" s="15">
        <f t="shared" si="1"/>
        <v>312</v>
      </c>
      <c r="R49" s="8"/>
      <c r="T49"/>
    </row>
    <row r="50" spans="2:20" ht="23.1" customHeight="1" x14ac:dyDescent="0.25">
      <c r="B50" s="24" t="s">
        <v>77</v>
      </c>
      <c r="C50" s="50">
        <v>133</v>
      </c>
      <c r="D50" s="50">
        <v>4</v>
      </c>
      <c r="E50" s="50">
        <v>10</v>
      </c>
      <c r="F50" s="50">
        <v>6</v>
      </c>
      <c r="G50" s="50">
        <v>1</v>
      </c>
      <c r="H50" s="50">
        <v>1</v>
      </c>
      <c r="I50" s="50">
        <v>1</v>
      </c>
      <c r="J50" s="50">
        <v>2</v>
      </c>
      <c r="K50" s="50">
        <v>0</v>
      </c>
      <c r="L50" s="50">
        <v>0</v>
      </c>
      <c r="M50" s="50">
        <v>299</v>
      </c>
      <c r="N50" s="50">
        <v>0</v>
      </c>
      <c r="O50" s="15">
        <f t="shared" si="0"/>
        <v>158</v>
      </c>
      <c r="P50" s="15">
        <f t="shared" si="1"/>
        <v>457</v>
      </c>
      <c r="R50" s="8"/>
      <c r="T50"/>
    </row>
    <row r="51" spans="2:20" ht="23.1" customHeight="1" x14ac:dyDescent="0.25">
      <c r="B51" s="24" t="s">
        <v>78</v>
      </c>
      <c r="C51" s="50">
        <v>93</v>
      </c>
      <c r="D51" s="50">
        <v>5</v>
      </c>
      <c r="E51" s="50">
        <v>2</v>
      </c>
      <c r="F51" s="50">
        <v>128</v>
      </c>
      <c r="G51" s="50">
        <v>2</v>
      </c>
      <c r="H51" s="50">
        <v>1</v>
      </c>
      <c r="I51" s="50">
        <v>2</v>
      </c>
      <c r="J51" s="50">
        <v>2</v>
      </c>
      <c r="K51" s="50">
        <v>0</v>
      </c>
      <c r="L51" s="50">
        <v>0</v>
      </c>
      <c r="M51" s="50">
        <v>280</v>
      </c>
      <c r="N51" s="50">
        <v>0</v>
      </c>
      <c r="O51" s="15">
        <f t="shared" si="0"/>
        <v>235</v>
      </c>
      <c r="P51" s="15">
        <f t="shared" si="1"/>
        <v>515</v>
      </c>
      <c r="R51" s="8"/>
      <c r="T51"/>
    </row>
    <row r="52" spans="2:20" ht="23.1" customHeight="1" x14ac:dyDescent="0.25">
      <c r="B52" s="24" t="s">
        <v>79</v>
      </c>
      <c r="C52" s="50">
        <v>74</v>
      </c>
      <c r="D52" s="50">
        <v>4</v>
      </c>
      <c r="E52" s="50">
        <v>0</v>
      </c>
      <c r="F52" s="50">
        <v>91</v>
      </c>
      <c r="G52" s="50">
        <v>2</v>
      </c>
      <c r="H52" s="50">
        <v>1</v>
      </c>
      <c r="I52" s="50">
        <v>6</v>
      </c>
      <c r="J52" s="50">
        <v>1</v>
      </c>
      <c r="K52" s="50">
        <v>0</v>
      </c>
      <c r="L52" s="50">
        <v>0</v>
      </c>
      <c r="M52" s="50">
        <v>203</v>
      </c>
      <c r="N52" s="50">
        <v>0</v>
      </c>
      <c r="O52" s="15">
        <f t="shared" si="0"/>
        <v>179</v>
      </c>
      <c r="P52" s="15">
        <f t="shared" si="1"/>
        <v>382</v>
      </c>
      <c r="R52" s="8"/>
      <c r="T52"/>
    </row>
    <row r="53" spans="2:20" ht="23.1" customHeight="1" x14ac:dyDescent="0.25">
      <c r="B53" s="23" t="s">
        <v>80</v>
      </c>
      <c r="C53" s="50">
        <v>87</v>
      </c>
      <c r="D53" s="50">
        <v>1</v>
      </c>
      <c r="E53" s="50">
        <v>2</v>
      </c>
      <c r="F53" s="50">
        <v>113</v>
      </c>
      <c r="G53" s="50">
        <v>2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135</v>
      </c>
      <c r="N53" s="50">
        <v>0</v>
      </c>
      <c r="O53" s="15">
        <f t="shared" si="0"/>
        <v>207</v>
      </c>
      <c r="P53" s="15">
        <f t="shared" si="1"/>
        <v>342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3</v>
      </c>
      <c r="E54" s="50">
        <v>7</v>
      </c>
      <c r="F54" s="50">
        <v>64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0</v>
      </c>
      <c r="M54" s="50">
        <v>197</v>
      </c>
      <c r="N54" s="50">
        <v>0</v>
      </c>
      <c r="O54" s="15">
        <f t="shared" si="0"/>
        <v>149</v>
      </c>
      <c r="P54" s="15">
        <f t="shared" si="1"/>
        <v>346</v>
      </c>
      <c r="R54" s="8"/>
      <c r="T54"/>
    </row>
    <row r="55" spans="2:20" ht="23.1" customHeight="1" x14ac:dyDescent="0.25">
      <c r="B55" s="23" t="s">
        <v>82</v>
      </c>
      <c r="C55" s="50">
        <v>78</v>
      </c>
      <c r="D55" s="50">
        <v>2</v>
      </c>
      <c r="E55" s="50">
        <v>4</v>
      </c>
      <c r="F55" s="50">
        <v>88</v>
      </c>
      <c r="G55" s="50">
        <v>1</v>
      </c>
      <c r="H55" s="50">
        <v>1</v>
      </c>
      <c r="I55" s="50">
        <v>4</v>
      </c>
      <c r="J55" s="50">
        <v>1</v>
      </c>
      <c r="K55" s="50">
        <v>0</v>
      </c>
      <c r="L55" s="50">
        <v>1</v>
      </c>
      <c r="M55" s="50">
        <v>194</v>
      </c>
      <c r="N55" s="50">
        <v>0</v>
      </c>
      <c r="O55" s="15">
        <f t="shared" si="0"/>
        <v>180</v>
      </c>
      <c r="P55" s="15">
        <f t="shared" si="1"/>
        <v>374</v>
      </c>
      <c r="R55" s="8"/>
      <c r="T55"/>
    </row>
    <row r="56" spans="2:20" ht="23.1" customHeight="1" x14ac:dyDescent="0.25">
      <c r="B56" s="23" t="s">
        <v>83</v>
      </c>
      <c r="C56" s="50">
        <v>81</v>
      </c>
      <c r="D56" s="50">
        <v>2</v>
      </c>
      <c r="E56" s="50">
        <v>8</v>
      </c>
      <c r="F56" s="50">
        <v>97</v>
      </c>
      <c r="G56" s="50">
        <v>0</v>
      </c>
      <c r="H56" s="50">
        <v>1</v>
      </c>
      <c r="I56" s="50">
        <v>2</v>
      </c>
      <c r="J56" s="50">
        <v>1</v>
      </c>
      <c r="K56" s="50">
        <v>0</v>
      </c>
      <c r="L56" s="50">
        <v>0</v>
      </c>
      <c r="M56" s="50">
        <v>178</v>
      </c>
      <c r="N56" s="50">
        <v>0</v>
      </c>
      <c r="O56" s="15">
        <f t="shared" si="0"/>
        <v>192</v>
      </c>
      <c r="P56" s="15">
        <f t="shared" si="1"/>
        <v>370</v>
      </c>
      <c r="R56" s="8"/>
      <c r="T56"/>
    </row>
    <row r="57" spans="2:20" ht="23.1" customHeight="1" x14ac:dyDescent="0.25">
      <c r="B57" s="23" t="s">
        <v>84</v>
      </c>
      <c r="C57" s="50">
        <v>93</v>
      </c>
      <c r="D57" s="50">
        <v>6</v>
      </c>
      <c r="E57" s="50">
        <v>3</v>
      </c>
      <c r="F57" s="50">
        <v>100</v>
      </c>
      <c r="G57" s="50">
        <v>1</v>
      </c>
      <c r="H57" s="50">
        <v>3</v>
      </c>
      <c r="I57" s="50">
        <v>6</v>
      </c>
      <c r="J57" s="50">
        <v>2</v>
      </c>
      <c r="K57" s="50">
        <v>2</v>
      </c>
      <c r="L57" s="50">
        <v>0</v>
      </c>
      <c r="M57" s="50">
        <v>205</v>
      </c>
      <c r="N57" s="50">
        <v>0</v>
      </c>
      <c r="O57" s="15">
        <f t="shared" si="0"/>
        <v>216</v>
      </c>
      <c r="P57" s="15">
        <f t="shared" si="1"/>
        <v>421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2340</v>
      </c>
      <c r="D58" s="16">
        <f t="shared" si="21"/>
        <v>226</v>
      </c>
      <c r="E58" s="16">
        <f t="shared" si="21"/>
        <v>215</v>
      </c>
      <c r="F58" s="16">
        <f t="shared" si="21"/>
        <v>3131</v>
      </c>
      <c r="G58" s="16">
        <f t="shared" si="21"/>
        <v>54</v>
      </c>
      <c r="H58" s="16">
        <f t="shared" si="21"/>
        <v>84</v>
      </c>
      <c r="I58" s="16">
        <f t="shared" si="21"/>
        <v>205</v>
      </c>
      <c r="J58" s="16">
        <f t="shared" si="21"/>
        <v>105</v>
      </c>
      <c r="K58" s="16">
        <f t="shared" si="21"/>
        <v>16</v>
      </c>
      <c r="L58" s="16">
        <f t="shared" si="21"/>
        <v>15</v>
      </c>
      <c r="M58" s="16">
        <f t="shared" si="21"/>
        <v>7933</v>
      </c>
      <c r="N58" s="16">
        <f t="shared" si="21"/>
        <v>0</v>
      </c>
      <c r="O58" s="16">
        <f t="shared" si="21"/>
        <v>6391</v>
      </c>
      <c r="P58" s="16">
        <f t="shared" si="21"/>
        <v>14324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0.16336218933258867</v>
      </c>
      <c r="D59" s="43">
        <f t="shared" si="22"/>
        <v>1.5777715721865402E-2</v>
      </c>
      <c r="E59" s="43">
        <f t="shared" si="22"/>
        <v>1.5009773806199386E-2</v>
      </c>
      <c r="F59" s="43">
        <f t="shared" si="22"/>
        <v>0.21858419435911758</v>
      </c>
      <c r="G59" s="43">
        <f t="shared" si="22"/>
        <v>3.769896676905892E-3</v>
      </c>
      <c r="H59" s="43">
        <f t="shared" si="22"/>
        <v>5.864283719631388E-3</v>
      </c>
      <c r="I59" s="43">
        <f t="shared" si="22"/>
        <v>1.4311644791957553E-2</v>
      </c>
      <c r="J59" s="43">
        <f t="shared" si="22"/>
        <v>7.3303546495392348E-3</v>
      </c>
      <c r="K59" s="43">
        <f t="shared" si="22"/>
        <v>1.1170064227869309E-3</v>
      </c>
      <c r="L59" s="43">
        <f t="shared" si="22"/>
        <v>1.0471935213627478E-3</v>
      </c>
      <c r="M59" s="43">
        <f t="shared" si="22"/>
        <v>0.55382574699804521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0.36613988421217336</v>
      </c>
      <c r="D60" s="44">
        <f t="shared" ref="D60:N60" si="23">D58/$O$58</f>
        <v>3.5362228133312468E-2</v>
      </c>
      <c r="E60" s="44">
        <f t="shared" si="23"/>
        <v>3.3641057737443282E-2</v>
      </c>
      <c r="F60" s="44">
        <f t="shared" si="23"/>
        <v>0.489907682678767</v>
      </c>
      <c r="G60" s="44">
        <f t="shared" si="23"/>
        <v>8.4493819433578473E-3</v>
      </c>
      <c r="H60" s="44">
        <f t="shared" si="23"/>
        <v>1.3143483023001095E-2</v>
      </c>
      <c r="I60" s="44">
        <f t="shared" si="23"/>
        <v>3.2076357377562197E-2</v>
      </c>
      <c r="J60" s="44">
        <f t="shared" si="23"/>
        <v>1.642935377875137E-2</v>
      </c>
      <c r="K60" s="44">
        <f t="shared" si="23"/>
        <v>2.5035205758097323E-3</v>
      </c>
      <c r="L60" s="44">
        <f t="shared" si="23"/>
        <v>2.3470505398216243E-3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J17" sqref="J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2" t="str">
        <f>'22.07 Natete-Rubaga'!G5:H5</f>
        <v>Total Wakaliga</v>
      </c>
      <c r="H5" s="53"/>
      <c r="I5" s="14"/>
      <c r="J5" s="2" t="s">
        <v>5</v>
      </c>
      <c r="K5" s="52" t="str">
        <f>'22.07 Natete-Rubaga'!K5:L5</f>
        <v>Osigai Geoge Brian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171</v>
      </c>
      <c r="E6" s="53"/>
      <c r="F6" s="2" t="s">
        <v>2</v>
      </c>
      <c r="G6" s="52" t="s">
        <v>173</v>
      </c>
      <c r="H6" s="53"/>
      <c r="J6" s="2" t="s">
        <v>21</v>
      </c>
      <c r="K6" s="52" t="str">
        <f>'22.07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12</v>
      </c>
      <c r="E10" s="50">
        <v>12</v>
      </c>
      <c r="F10" s="50">
        <v>52</v>
      </c>
      <c r="G10" s="50">
        <v>1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403</v>
      </c>
      <c r="N10" s="50">
        <v>0</v>
      </c>
      <c r="O10" s="15">
        <f t="shared" ref="O10:O57" si="0">SUM(C10:L10,N10)</f>
        <v>108</v>
      </c>
      <c r="P10" s="15">
        <f t="shared" ref="P10:P57" si="1">SUM(C10:N10)</f>
        <v>511</v>
      </c>
      <c r="R10" s="1" t="s">
        <v>6</v>
      </c>
      <c r="S10" s="17">
        <f t="shared" ref="S10:AF10" si="2">SUM(C10:C13)</f>
        <v>162</v>
      </c>
      <c r="T10" s="17">
        <f t="shared" si="2"/>
        <v>55</v>
      </c>
      <c r="U10" s="17">
        <f t="shared" si="2"/>
        <v>30</v>
      </c>
      <c r="V10" s="17">
        <f t="shared" si="2"/>
        <v>209</v>
      </c>
      <c r="W10" s="17">
        <f t="shared" si="2"/>
        <v>9</v>
      </c>
      <c r="X10" s="17">
        <f t="shared" si="2"/>
        <v>7</v>
      </c>
      <c r="Y10" s="17">
        <f t="shared" si="2"/>
        <v>8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1569</v>
      </c>
      <c r="AD10" s="17">
        <f t="shared" si="2"/>
        <v>0</v>
      </c>
      <c r="AE10" s="31">
        <f t="shared" si="2"/>
        <v>485</v>
      </c>
      <c r="AF10" s="31">
        <f t="shared" si="2"/>
        <v>2054</v>
      </c>
    </row>
    <row r="11" spans="2:32" s="6" customFormat="1" ht="23.1" customHeight="1" x14ac:dyDescent="0.25">
      <c r="B11" s="23" t="s">
        <v>38</v>
      </c>
      <c r="C11" s="50">
        <v>52</v>
      </c>
      <c r="D11" s="50">
        <v>11</v>
      </c>
      <c r="E11" s="50">
        <v>0</v>
      </c>
      <c r="F11" s="50">
        <v>63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406</v>
      </c>
      <c r="N11" s="50">
        <v>0</v>
      </c>
      <c r="O11" s="15">
        <f t="shared" si="0"/>
        <v>129</v>
      </c>
      <c r="P11" s="15">
        <f t="shared" si="1"/>
        <v>535</v>
      </c>
      <c r="R11" s="1" t="s">
        <v>7</v>
      </c>
      <c r="S11" s="17">
        <f t="shared" ref="S11:AF11" si="3">SUM(C14:C17)</f>
        <v>169</v>
      </c>
      <c r="T11" s="17">
        <f t="shared" si="3"/>
        <v>42</v>
      </c>
      <c r="U11" s="17">
        <f t="shared" si="3"/>
        <v>11</v>
      </c>
      <c r="V11" s="17">
        <f t="shared" si="3"/>
        <v>293</v>
      </c>
      <c r="W11" s="17">
        <f t="shared" si="3"/>
        <v>12</v>
      </c>
      <c r="X11" s="17">
        <f t="shared" si="3"/>
        <v>1</v>
      </c>
      <c r="Y11" s="17">
        <f t="shared" si="3"/>
        <v>6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1815</v>
      </c>
      <c r="AD11" s="17">
        <f t="shared" si="3"/>
        <v>0</v>
      </c>
      <c r="AE11" s="31">
        <f t="shared" si="3"/>
        <v>541</v>
      </c>
      <c r="AF11" s="31">
        <f t="shared" si="3"/>
        <v>2356</v>
      </c>
    </row>
    <row r="12" spans="2:32" ht="23.1" customHeight="1" x14ac:dyDescent="0.25">
      <c r="B12" s="23" t="s">
        <v>39</v>
      </c>
      <c r="C12" s="50">
        <v>35</v>
      </c>
      <c r="D12" s="50">
        <v>16</v>
      </c>
      <c r="E12" s="50">
        <v>9</v>
      </c>
      <c r="F12" s="50">
        <v>47</v>
      </c>
      <c r="G12" s="50">
        <v>4</v>
      </c>
      <c r="H12" s="50">
        <v>3</v>
      </c>
      <c r="I12" s="50">
        <v>3</v>
      </c>
      <c r="J12" s="50">
        <v>2</v>
      </c>
      <c r="K12" s="50">
        <v>0</v>
      </c>
      <c r="L12" s="50">
        <v>0</v>
      </c>
      <c r="M12" s="50">
        <v>380</v>
      </c>
      <c r="N12" s="50">
        <v>0</v>
      </c>
      <c r="O12" s="15">
        <f t="shared" si="0"/>
        <v>119</v>
      </c>
      <c r="P12" s="15">
        <f t="shared" si="1"/>
        <v>499</v>
      </c>
      <c r="R12" s="1" t="s">
        <v>8</v>
      </c>
      <c r="S12" s="17">
        <f t="shared" ref="S12:AF12" si="4">SUM(C18:C21)</f>
        <v>130</v>
      </c>
      <c r="T12" s="17">
        <f t="shared" si="4"/>
        <v>19</v>
      </c>
      <c r="U12" s="17">
        <f t="shared" si="4"/>
        <v>9</v>
      </c>
      <c r="V12" s="17">
        <f t="shared" si="4"/>
        <v>240</v>
      </c>
      <c r="W12" s="17">
        <f t="shared" si="4"/>
        <v>6</v>
      </c>
      <c r="X12" s="17">
        <f t="shared" si="4"/>
        <v>5</v>
      </c>
      <c r="Y12" s="17">
        <f t="shared" si="4"/>
        <v>11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1183</v>
      </c>
      <c r="AD12" s="17">
        <f t="shared" si="4"/>
        <v>0</v>
      </c>
      <c r="AE12" s="31">
        <f t="shared" si="4"/>
        <v>426</v>
      </c>
      <c r="AF12" s="31">
        <f t="shared" si="4"/>
        <v>1609</v>
      </c>
    </row>
    <row r="13" spans="2:32" ht="23.1" customHeight="1" x14ac:dyDescent="0.25">
      <c r="B13" s="23" t="s">
        <v>40</v>
      </c>
      <c r="C13" s="50">
        <v>45</v>
      </c>
      <c r="D13" s="50">
        <v>16</v>
      </c>
      <c r="E13" s="50">
        <v>9</v>
      </c>
      <c r="F13" s="50">
        <v>47</v>
      </c>
      <c r="G13" s="50">
        <v>4</v>
      </c>
      <c r="H13" s="50">
        <v>3</v>
      </c>
      <c r="I13" s="50">
        <v>3</v>
      </c>
      <c r="J13" s="50">
        <v>2</v>
      </c>
      <c r="K13" s="50">
        <v>0</v>
      </c>
      <c r="L13" s="50">
        <v>0</v>
      </c>
      <c r="M13" s="50">
        <v>380</v>
      </c>
      <c r="N13" s="50">
        <v>0</v>
      </c>
      <c r="O13" s="15">
        <f t="shared" si="0"/>
        <v>129</v>
      </c>
      <c r="P13" s="15">
        <f t="shared" si="1"/>
        <v>509</v>
      </c>
      <c r="R13" s="1" t="s">
        <v>9</v>
      </c>
      <c r="S13" s="17">
        <f t="shared" ref="S13:AF13" si="5">SUM(C22:C25)</f>
        <v>137</v>
      </c>
      <c r="T13" s="17">
        <f t="shared" si="5"/>
        <v>25</v>
      </c>
      <c r="U13" s="17">
        <f t="shared" si="5"/>
        <v>14</v>
      </c>
      <c r="V13" s="17">
        <f t="shared" si="5"/>
        <v>154</v>
      </c>
      <c r="W13" s="17">
        <f t="shared" si="5"/>
        <v>2</v>
      </c>
      <c r="X13" s="17">
        <f t="shared" si="5"/>
        <v>5</v>
      </c>
      <c r="Y13" s="17">
        <f t="shared" si="5"/>
        <v>8</v>
      </c>
      <c r="Z13" s="17">
        <f t="shared" si="5"/>
        <v>12</v>
      </c>
      <c r="AA13" s="17">
        <f t="shared" si="5"/>
        <v>1</v>
      </c>
      <c r="AB13" s="17">
        <f t="shared" si="5"/>
        <v>0</v>
      </c>
      <c r="AC13" s="17">
        <f t="shared" si="5"/>
        <v>1109</v>
      </c>
      <c r="AD13" s="17">
        <f t="shared" si="5"/>
        <v>0</v>
      </c>
      <c r="AE13" s="31">
        <f t="shared" si="5"/>
        <v>358</v>
      </c>
      <c r="AF13" s="31">
        <f t="shared" si="5"/>
        <v>1467</v>
      </c>
    </row>
    <row r="14" spans="2:32" ht="23.1" customHeight="1" x14ac:dyDescent="0.25">
      <c r="B14" s="23" t="s">
        <v>41</v>
      </c>
      <c r="C14" s="50">
        <v>32</v>
      </c>
      <c r="D14" s="50">
        <v>13</v>
      </c>
      <c r="E14" s="50">
        <v>4</v>
      </c>
      <c r="F14" s="50">
        <v>64</v>
      </c>
      <c r="G14" s="50">
        <v>1</v>
      </c>
      <c r="H14" s="50">
        <v>1</v>
      </c>
      <c r="I14" s="50">
        <v>1</v>
      </c>
      <c r="J14" s="50">
        <v>1</v>
      </c>
      <c r="K14" s="50">
        <v>0</v>
      </c>
      <c r="L14" s="50">
        <v>0</v>
      </c>
      <c r="M14" s="50">
        <v>417</v>
      </c>
      <c r="N14" s="50">
        <v>0</v>
      </c>
      <c r="O14" s="15">
        <f t="shared" si="0"/>
        <v>117</v>
      </c>
      <c r="P14" s="15">
        <f t="shared" si="1"/>
        <v>534</v>
      </c>
      <c r="R14" s="1" t="s">
        <v>10</v>
      </c>
      <c r="S14" s="17">
        <f t="shared" ref="S14:AF14" si="6">SUM(C26:C29)</f>
        <v>124</v>
      </c>
      <c r="T14" s="17">
        <f t="shared" si="6"/>
        <v>42</v>
      </c>
      <c r="U14" s="17">
        <f t="shared" si="6"/>
        <v>13</v>
      </c>
      <c r="V14" s="17">
        <f t="shared" si="6"/>
        <v>154</v>
      </c>
      <c r="W14" s="17">
        <f t="shared" si="6"/>
        <v>3</v>
      </c>
      <c r="X14" s="17">
        <f t="shared" si="6"/>
        <v>3</v>
      </c>
      <c r="Y14" s="17">
        <f t="shared" si="6"/>
        <v>14</v>
      </c>
      <c r="Z14" s="17">
        <f t="shared" si="6"/>
        <v>16</v>
      </c>
      <c r="AA14" s="17">
        <f t="shared" si="6"/>
        <v>0</v>
      </c>
      <c r="AB14" s="17">
        <f t="shared" si="6"/>
        <v>0</v>
      </c>
      <c r="AC14" s="17">
        <f t="shared" si="6"/>
        <v>686</v>
      </c>
      <c r="AD14" s="17">
        <f t="shared" si="6"/>
        <v>0</v>
      </c>
      <c r="AE14" s="31">
        <f t="shared" si="6"/>
        <v>369</v>
      </c>
      <c r="AF14" s="31">
        <f t="shared" si="6"/>
        <v>1055</v>
      </c>
    </row>
    <row r="15" spans="2:32" ht="23.1" customHeight="1" x14ac:dyDescent="0.25">
      <c r="B15" s="23" t="s">
        <v>42</v>
      </c>
      <c r="C15" s="50">
        <v>32</v>
      </c>
      <c r="D15" s="50">
        <v>7</v>
      </c>
      <c r="E15" s="50">
        <v>2</v>
      </c>
      <c r="F15" s="50">
        <v>73</v>
      </c>
      <c r="G15" s="50">
        <v>4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560</v>
      </c>
      <c r="N15" s="50">
        <v>0</v>
      </c>
      <c r="O15" s="15">
        <f t="shared" si="0"/>
        <v>120</v>
      </c>
      <c r="P15" s="15">
        <f t="shared" si="1"/>
        <v>680</v>
      </c>
      <c r="R15" s="1" t="s">
        <v>11</v>
      </c>
      <c r="S15" s="17">
        <f t="shared" ref="S15:AF15" si="7">SUM(C30:C33)</f>
        <v>115</v>
      </c>
      <c r="T15" s="17">
        <f t="shared" si="7"/>
        <v>27</v>
      </c>
      <c r="U15" s="17">
        <f t="shared" si="7"/>
        <v>17</v>
      </c>
      <c r="V15" s="17">
        <f t="shared" si="7"/>
        <v>155</v>
      </c>
      <c r="W15" s="17">
        <f t="shared" si="7"/>
        <v>2</v>
      </c>
      <c r="X15" s="17">
        <f t="shared" si="7"/>
        <v>4</v>
      </c>
      <c r="Y15" s="17">
        <f t="shared" si="7"/>
        <v>5</v>
      </c>
      <c r="Z15" s="17">
        <f t="shared" si="7"/>
        <v>16</v>
      </c>
      <c r="AA15" s="17">
        <f t="shared" si="7"/>
        <v>0</v>
      </c>
      <c r="AB15" s="17">
        <f t="shared" si="7"/>
        <v>1</v>
      </c>
      <c r="AC15" s="17">
        <f t="shared" si="7"/>
        <v>632</v>
      </c>
      <c r="AD15" s="17">
        <f t="shared" si="7"/>
        <v>0</v>
      </c>
      <c r="AE15" s="31">
        <f t="shared" si="7"/>
        <v>342</v>
      </c>
      <c r="AF15" s="31">
        <f t="shared" si="7"/>
        <v>974</v>
      </c>
    </row>
    <row r="16" spans="2:32" ht="23.1" customHeight="1" x14ac:dyDescent="0.25">
      <c r="B16" s="23" t="s">
        <v>43</v>
      </c>
      <c r="C16" s="50">
        <v>65</v>
      </c>
      <c r="D16" s="50">
        <v>7</v>
      </c>
      <c r="E16" s="50">
        <v>0</v>
      </c>
      <c r="F16" s="50">
        <v>91</v>
      </c>
      <c r="G16" s="50">
        <v>5</v>
      </c>
      <c r="H16" s="50">
        <v>0</v>
      </c>
      <c r="I16" s="50">
        <v>1</v>
      </c>
      <c r="J16" s="50">
        <v>4</v>
      </c>
      <c r="K16" s="50">
        <v>0</v>
      </c>
      <c r="L16" s="50">
        <v>0</v>
      </c>
      <c r="M16" s="50">
        <v>443</v>
      </c>
      <c r="N16" s="50">
        <v>0</v>
      </c>
      <c r="O16" s="15">
        <f t="shared" si="0"/>
        <v>173</v>
      </c>
      <c r="P16" s="15">
        <f t="shared" si="1"/>
        <v>616</v>
      </c>
      <c r="R16" s="1" t="s">
        <v>12</v>
      </c>
      <c r="S16" s="17">
        <f t="shared" ref="S16:AF16" si="8">SUM(C34:C37)</f>
        <v>100</v>
      </c>
      <c r="T16" s="17">
        <f t="shared" si="8"/>
        <v>17</v>
      </c>
      <c r="U16" s="17">
        <f t="shared" si="8"/>
        <v>9</v>
      </c>
      <c r="V16" s="17">
        <f t="shared" si="8"/>
        <v>112</v>
      </c>
      <c r="W16" s="17">
        <f t="shared" si="8"/>
        <v>0</v>
      </c>
      <c r="X16" s="17">
        <f t="shared" si="8"/>
        <v>7</v>
      </c>
      <c r="Y16" s="17">
        <f t="shared" si="8"/>
        <v>13</v>
      </c>
      <c r="Z16" s="17">
        <f t="shared" si="8"/>
        <v>14</v>
      </c>
      <c r="AA16" s="17">
        <f t="shared" si="8"/>
        <v>1</v>
      </c>
      <c r="AB16" s="17">
        <f t="shared" si="8"/>
        <v>3</v>
      </c>
      <c r="AC16" s="17">
        <f t="shared" si="8"/>
        <v>504</v>
      </c>
      <c r="AD16" s="17">
        <f t="shared" si="8"/>
        <v>0</v>
      </c>
      <c r="AE16" s="31">
        <f t="shared" si="8"/>
        <v>276</v>
      </c>
      <c r="AF16" s="31">
        <f t="shared" si="8"/>
        <v>780</v>
      </c>
    </row>
    <row r="17" spans="2:32" ht="23.1" customHeight="1" x14ac:dyDescent="0.25">
      <c r="B17" s="23" t="s">
        <v>44</v>
      </c>
      <c r="C17" s="50">
        <v>40</v>
      </c>
      <c r="D17" s="50">
        <v>15</v>
      </c>
      <c r="E17" s="50">
        <v>5</v>
      </c>
      <c r="F17" s="50">
        <v>65</v>
      </c>
      <c r="G17" s="50">
        <v>2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395</v>
      </c>
      <c r="N17" s="50">
        <v>0</v>
      </c>
      <c r="O17" s="15">
        <f t="shared" si="0"/>
        <v>131</v>
      </c>
      <c r="P17" s="15">
        <f t="shared" si="1"/>
        <v>526</v>
      </c>
      <c r="R17" s="1" t="s">
        <v>13</v>
      </c>
      <c r="S17" s="17">
        <f t="shared" ref="S17:AF17" si="9">SUM(C38:C41)</f>
        <v>111</v>
      </c>
      <c r="T17" s="17">
        <f t="shared" si="9"/>
        <v>19</v>
      </c>
      <c r="U17" s="17">
        <f t="shared" si="9"/>
        <v>22</v>
      </c>
      <c r="V17" s="17">
        <f t="shared" si="9"/>
        <v>142</v>
      </c>
      <c r="W17" s="17">
        <f t="shared" si="9"/>
        <v>4</v>
      </c>
      <c r="X17" s="17">
        <f t="shared" si="9"/>
        <v>6</v>
      </c>
      <c r="Y17" s="17">
        <f t="shared" si="9"/>
        <v>12</v>
      </c>
      <c r="Z17" s="17">
        <f t="shared" si="9"/>
        <v>23</v>
      </c>
      <c r="AA17" s="17">
        <f t="shared" si="9"/>
        <v>2</v>
      </c>
      <c r="AB17" s="17">
        <f t="shared" si="9"/>
        <v>1</v>
      </c>
      <c r="AC17" s="17">
        <f t="shared" si="9"/>
        <v>564</v>
      </c>
      <c r="AD17" s="17">
        <f t="shared" si="9"/>
        <v>0</v>
      </c>
      <c r="AE17" s="31">
        <f t="shared" si="9"/>
        <v>342</v>
      </c>
      <c r="AF17" s="31">
        <f t="shared" si="9"/>
        <v>906</v>
      </c>
    </row>
    <row r="18" spans="2:32" ht="23.1" customHeight="1" x14ac:dyDescent="0.25">
      <c r="B18" s="23" t="s">
        <v>45</v>
      </c>
      <c r="C18" s="50">
        <v>26</v>
      </c>
      <c r="D18" s="50">
        <v>8</v>
      </c>
      <c r="E18" s="50">
        <v>1</v>
      </c>
      <c r="F18" s="50">
        <v>71</v>
      </c>
      <c r="G18" s="50">
        <v>3</v>
      </c>
      <c r="H18" s="50">
        <v>3</v>
      </c>
      <c r="I18" s="50">
        <v>0</v>
      </c>
      <c r="J18" s="50">
        <v>3</v>
      </c>
      <c r="K18" s="50">
        <v>0</v>
      </c>
      <c r="L18" s="50">
        <v>0</v>
      </c>
      <c r="M18" s="50">
        <v>348</v>
      </c>
      <c r="N18" s="50">
        <v>0</v>
      </c>
      <c r="O18" s="15">
        <f t="shared" si="0"/>
        <v>115</v>
      </c>
      <c r="P18" s="15">
        <f t="shared" si="1"/>
        <v>463</v>
      </c>
      <c r="R18" s="1" t="s">
        <v>14</v>
      </c>
      <c r="S18" s="17">
        <f t="shared" ref="S18:AF18" si="10">SUM(C42:C45)</f>
        <v>75</v>
      </c>
      <c r="T18" s="17">
        <f t="shared" si="10"/>
        <v>18</v>
      </c>
      <c r="U18" s="17">
        <f t="shared" si="10"/>
        <v>21</v>
      </c>
      <c r="V18" s="17">
        <f t="shared" si="10"/>
        <v>135</v>
      </c>
      <c r="W18" s="17">
        <f t="shared" si="10"/>
        <v>5</v>
      </c>
      <c r="X18" s="17">
        <f t="shared" si="10"/>
        <v>10</v>
      </c>
      <c r="Y18" s="17">
        <f t="shared" si="10"/>
        <v>14</v>
      </c>
      <c r="Z18" s="17">
        <f t="shared" si="10"/>
        <v>7</v>
      </c>
      <c r="AA18" s="17">
        <f t="shared" si="10"/>
        <v>0</v>
      </c>
      <c r="AB18" s="17">
        <f t="shared" si="10"/>
        <v>0</v>
      </c>
      <c r="AC18" s="17">
        <f t="shared" si="10"/>
        <v>525</v>
      </c>
      <c r="AD18" s="17">
        <f t="shared" si="10"/>
        <v>0</v>
      </c>
      <c r="AE18" s="31">
        <f t="shared" si="10"/>
        <v>285</v>
      </c>
      <c r="AF18" s="31">
        <f t="shared" si="10"/>
        <v>810</v>
      </c>
    </row>
    <row r="19" spans="2:32" ht="23.1" customHeight="1" x14ac:dyDescent="0.25">
      <c r="B19" s="23" t="s">
        <v>46</v>
      </c>
      <c r="C19" s="50">
        <v>36</v>
      </c>
      <c r="D19" s="50">
        <v>5</v>
      </c>
      <c r="E19" s="50">
        <v>0</v>
      </c>
      <c r="F19" s="50">
        <v>55</v>
      </c>
      <c r="G19" s="50">
        <v>2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342</v>
      </c>
      <c r="N19" s="50">
        <v>0</v>
      </c>
      <c r="O19" s="15">
        <f t="shared" si="0"/>
        <v>102</v>
      </c>
      <c r="P19" s="15">
        <f t="shared" si="1"/>
        <v>444</v>
      </c>
      <c r="R19" s="1" t="s">
        <v>15</v>
      </c>
      <c r="S19" s="17">
        <f t="shared" ref="S19:AF19" si="11">SUM(C46:C49)</f>
        <v>107</v>
      </c>
      <c r="T19" s="17">
        <f t="shared" si="11"/>
        <v>40</v>
      </c>
      <c r="U19" s="17">
        <f t="shared" si="11"/>
        <v>15</v>
      </c>
      <c r="V19" s="17">
        <f t="shared" si="11"/>
        <v>151</v>
      </c>
      <c r="W19" s="17">
        <f t="shared" si="11"/>
        <v>3</v>
      </c>
      <c r="X19" s="17">
        <f t="shared" si="11"/>
        <v>7</v>
      </c>
      <c r="Y19" s="17">
        <f t="shared" si="11"/>
        <v>13</v>
      </c>
      <c r="Z19" s="17">
        <f t="shared" si="11"/>
        <v>5</v>
      </c>
      <c r="AA19" s="17">
        <f t="shared" si="11"/>
        <v>1</v>
      </c>
      <c r="AB19" s="17">
        <f t="shared" si="11"/>
        <v>0</v>
      </c>
      <c r="AC19" s="17">
        <f t="shared" si="11"/>
        <v>610</v>
      </c>
      <c r="AD19" s="17">
        <f t="shared" si="11"/>
        <v>0</v>
      </c>
      <c r="AE19" s="31">
        <f t="shared" si="11"/>
        <v>342</v>
      </c>
      <c r="AF19" s="31">
        <f t="shared" si="11"/>
        <v>952</v>
      </c>
    </row>
    <row r="20" spans="2:32" ht="23.1" customHeight="1" x14ac:dyDescent="0.25">
      <c r="B20" s="23" t="s">
        <v>47</v>
      </c>
      <c r="C20" s="50">
        <v>42</v>
      </c>
      <c r="D20" s="50">
        <v>4</v>
      </c>
      <c r="E20" s="50">
        <v>4</v>
      </c>
      <c r="F20" s="50">
        <v>63</v>
      </c>
      <c r="G20" s="50">
        <v>1</v>
      </c>
      <c r="H20" s="50">
        <v>1</v>
      </c>
      <c r="I20" s="50">
        <v>4</v>
      </c>
      <c r="J20" s="50">
        <v>1</v>
      </c>
      <c r="K20" s="50">
        <v>0</v>
      </c>
      <c r="L20" s="50">
        <v>0</v>
      </c>
      <c r="M20" s="50">
        <v>265</v>
      </c>
      <c r="N20" s="50">
        <v>0</v>
      </c>
      <c r="O20" s="15">
        <f t="shared" si="0"/>
        <v>120</v>
      </c>
      <c r="P20" s="15">
        <f t="shared" si="1"/>
        <v>385</v>
      </c>
      <c r="R20" s="1" t="s">
        <v>16</v>
      </c>
      <c r="S20" s="17">
        <f t="shared" ref="S20:AF20" si="12">SUM(C50:C53)</f>
        <v>122</v>
      </c>
      <c r="T20" s="17">
        <f t="shared" si="12"/>
        <v>28</v>
      </c>
      <c r="U20" s="17">
        <f t="shared" si="12"/>
        <v>17</v>
      </c>
      <c r="V20" s="17">
        <f t="shared" si="12"/>
        <v>145</v>
      </c>
      <c r="W20" s="17">
        <f t="shared" si="12"/>
        <v>5</v>
      </c>
      <c r="X20" s="17">
        <f t="shared" si="12"/>
        <v>7</v>
      </c>
      <c r="Y20" s="17">
        <f t="shared" si="12"/>
        <v>10</v>
      </c>
      <c r="Z20" s="17">
        <f t="shared" si="12"/>
        <v>8</v>
      </c>
      <c r="AA20" s="17">
        <f t="shared" si="12"/>
        <v>3</v>
      </c>
      <c r="AB20" s="17">
        <f t="shared" si="12"/>
        <v>0</v>
      </c>
      <c r="AC20" s="17">
        <f t="shared" si="12"/>
        <v>549</v>
      </c>
      <c r="AD20" s="17">
        <f t="shared" si="12"/>
        <v>0</v>
      </c>
      <c r="AE20" s="31">
        <f t="shared" si="12"/>
        <v>345</v>
      </c>
      <c r="AF20" s="31">
        <f t="shared" si="12"/>
        <v>894</v>
      </c>
    </row>
    <row r="21" spans="2:32" ht="23.1" customHeight="1" x14ac:dyDescent="0.25">
      <c r="B21" s="23" t="s">
        <v>48</v>
      </c>
      <c r="C21" s="50">
        <v>26</v>
      </c>
      <c r="D21" s="50">
        <v>2</v>
      </c>
      <c r="E21" s="50">
        <v>4</v>
      </c>
      <c r="F21" s="50">
        <v>51</v>
      </c>
      <c r="G21" s="50">
        <v>0</v>
      </c>
      <c r="H21" s="50">
        <v>1</v>
      </c>
      <c r="I21" s="50">
        <v>5</v>
      </c>
      <c r="J21" s="50">
        <v>0</v>
      </c>
      <c r="K21" s="50">
        <v>0</v>
      </c>
      <c r="L21" s="50">
        <v>0</v>
      </c>
      <c r="M21" s="50">
        <v>228</v>
      </c>
      <c r="N21" s="50">
        <v>0</v>
      </c>
      <c r="O21" s="15">
        <f t="shared" si="0"/>
        <v>89</v>
      </c>
      <c r="P21" s="15">
        <f t="shared" si="1"/>
        <v>317</v>
      </c>
      <c r="R21" s="36" t="s">
        <v>20</v>
      </c>
      <c r="S21" s="34">
        <f t="shared" ref="S21:AF21" si="13">SUM(C54:C57)</f>
        <v>119</v>
      </c>
      <c r="T21" s="17">
        <f t="shared" si="13"/>
        <v>37</v>
      </c>
      <c r="U21" s="17">
        <f t="shared" si="13"/>
        <v>22</v>
      </c>
      <c r="V21" s="17">
        <f t="shared" si="13"/>
        <v>134</v>
      </c>
      <c r="W21" s="17">
        <f t="shared" si="13"/>
        <v>0</v>
      </c>
      <c r="X21" s="17">
        <f t="shared" si="13"/>
        <v>7</v>
      </c>
      <c r="Y21" s="17">
        <f t="shared" si="13"/>
        <v>15</v>
      </c>
      <c r="Z21" s="17">
        <f t="shared" si="13"/>
        <v>5</v>
      </c>
      <c r="AA21" s="17">
        <f t="shared" si="13"/>
        <v>1</v>
      </c>
      <c r="AB21" s="17">
        <f t="shared" si="13"/>
        <v>0</v>
      </c>
      <c r="AC21" s="17">
        <f t="shared" si="13"/>
        <v>447</v>
      </c>
      <c r="AD21" s="17">
        <f t="shared" si="13"/>
        <v>0</v>
      </c>
      <c r="AE21" s="31">
        <f t="shared" si="13"/>
        <v>340</v>
      </c>
      <c r="AF21" s="31">
        <f t="shared" si="13"/>
        <v>787</v>
      </c>
    </row>
    <row r="22" spans="2:32" ht="23.1" customHeight="1" x14ac:dyDescent="0.25">
      <c r="B22" s="23" t="s">
        <v>49</v>
      </c>
      <c r="C22" s="50">
        <v>31</v>
      </c>
      <c r="D22" s="50">
        <v>6</v>
      </c>
      <c r="E22" s="50">
        <v>0</v>
      </c>
      <c r="F22" s="50">
        <v>28</v>
      </c>
      <c r="G22" s="50">
        <v>0</v>
      </c>
      <c r="H22" s="50">
        <v>2</v>
      </c>
      <c r="I22" s="50">
        <v>0</v>
      </c>
      <c r="J22" s="50">
        <v>3</v>
      </c>
      <c r="K22" s="50">
        <v>1</v>
      </c>
      <c r="L22" s="50">
        <v>0</v>
      </c>
      <c r="M22" s="50">
        <v>293</v>
      </c>
      <c r="N22" s="50">
        <v>0</v>
      </c>
      <c r="O22" s="15">
        <f t="shared" si="0"/>
        <v>71</v>
      </c>
      <c r="P22" s="15">
        <f t="shared" si="1"/>
        <v>364</v>
      </c>
      <c r="R22" s="38" t="s">
        <v>90</v>
      </c>
      <c r="S22" s="39">
        <f>MAX(S10:S12)</f>
        <v>169</v>
      </c>
      <c r="T22" s="39">
        <f t="shared" ref="T22:AF22" si="14">MAX(T10:T12)</f>
        <v>55</v>
      </c>
      <c r="U22" s="39">
        <f t="shared" si="14"/>
        <v>30</v>
      </c>
      <c r="V22" s="39">
        <f t="shared" si="14"/>
        <v>293</v>
      </c>
      <c r="W22" s="39">
        <f t="shared" si="14"/>
        <v>12</v>
      </c>
      <c r="X22" s="39">
        <f t="shared" si="14"/>
        <v>7</v>
      </c>
      <c r="Y22" s="39">
        <f t="shared" si="14"/>
        <v>11</v>
      </c>
      <c r="Z22" s="39">
        <f t="shared" si="14"/>
        <v>7</v>
      </c>
      <c r="AA22" s="39">
        <f t="shared" si="14"/>
        <v>0</v>
      </c>
      <c r="AB22" s="39">
        <f t="shared" si="14"/>
        <v>0</v>
      </c>
      <c r="AC22" s="39">
        <f t="shared" si="14"/>
        <v>1815</v>
      </c>
      <c r="AD22" s="39">
        <f t="shared" si="14"/>
        <v>0</v>
      </c>
      <c r="AE22" s="40">
        <f t="shared" si="14"/>
        <v>541</v>
      </c>
      <c r="AF22" s="40">
        <f t="shared" si="14"/>
        <v>2356</v>
      </c>
    </row>
    <row r="23" spans="2:32" ht="23.1" customHeight="1" x14ac:dyDescent="0.25">
      <c r="B23" s="23" t="s">
        <v>50</v>
      </c>
      <c r="C23" s="50">
        <v>31</v>
      </c>
      <c r="D23" s="50">
        <v>6</v>
      </c>
      <c r="E23" s="50">
        <v>5</v>
      </c>
      <c r="F23" s="50">
        <v>36</v>
      </c>
      <c r="G23" s="50">
        <v>2</v>
      </c>
      <c r="H23" s="50">
        <v>0</v>
      </c>
      <c r="I23" s="50">
        <v>1</v>
      </c>
      <c r="J23" s="50">
        <v>2</v>
      </c>
      <c r="K23" s="50">
        <v>0</v>
      </c>
      <c r="L23" s="50">
        <v>0</v>
      </c>
      <c r="M23" s="50">
        <v>293</v>
      </c>
      <c r="N23" s="50">
        <v>0</v>
      </c>
      <c r="O23" s="15">
        <f t="shared" si="0"/>
        <v>83</v>
      </c>
      <c r="P23" s="15">
        <f t="shared" si="1"/>
        <v>376</v>
      </c>
      <c r="R23" s="38" t="s">
        <v>91</v>
      </c>
      <c r="S23" s="39">
        <f>MAX(S13:S18)</f>
        <v>137</v>
      </c>
      <c r="T23" s="39">
        <f t="shared" ref="T23:AF23" si="15">MAX(T13:T18)</f>
        <v>42</v>
      </c>
      <c r="U23" s="39">
        <f t="shared" si="15"/>
        <v>22</v>
      </c>
      <c r="V23" s="39">
        <f t="shared" si="15"/>
        <v>155</v>
      </c>
      <c r="W23" s="39">
        <f t="shared" si="15"/>
        <v>5</v>
      </c>
      <c r="X23" s="39">
        <f t="shared" si="15"/>
        <v>10</v>
      </c>
      <c r="Y23" s="39">
        <f t="shared" si="15"/>
        <v>14</v>
      </c>
      <c r="Z23" s="39">
        <f t="shared" si="15"/>
        <v>23</v>
      </c>
      <c r="AA23" s="39">
        <f t="shared" si="15"/>
        <v>2</v>
      </c>
      <c r="AB23" s="39">
        <f t="shared" si="15"/>
        <v>3</v>
      </c>
      <c r="AC23" s="39">
        <f t="shared" si="15"/>
        <v>1109</v>
      </c>
      <c r="AD23" s="39">
        <f t="shared" si="15"/>
        <v>0</v>
      </c>
      <c r="AE23" s="40">
        <f t="shared" si="15"/>
        <v>369</v>
      </c>
      <c r="AF23" s="40">
        <f t="shared" si="15"/>
        <v>1467</v>
      </c>
    </row>
    <row r="24" spans="2:32" ht="23.1" customHeight="1" x14ac:dyDescent="0.25">
      <c r="B24" s="23" t="s">
        <v>51</v>
      </c>
      <c r="C24" s="50">
        <v>47</v>
      </c>
      <c r="D24" s="50">
        <v>6</v>
      </c>
      <c r="E24" s="50">
        <v>7</v>
      </c>
      <c r="F24" s="50">
        <v>48</v>
      </c>
      <c r="G24" s="50">
        <v>0</v>
      </c>
      <c r="H24" s="50">
        <v>2</v>
      </c>
      <c r="I24" s="50">
        <v>3</v>
      </c>
      <c r="J24" s="50">
        <v>5</v>
      </c>
      <c r="K24" s="50">
        <v>0</v>
      </c>
      <c r="L24" s="50">
        <v>0</v>
      </c>
      <c r="M24" s="50">
        <v>291</v>
      </c>
      <c r="N24" s="50">
        <v>0</v>
      </c>
      <c r="O24" s="15">
        <f t="shared" si="0"/>
        <v>118</v>
      </c>
      <c r="P24" s="15">
        <f t="shared" si="1"/>
        <v>409</v>
      </c>
      <c r="R24" s="38" t="s">
        <v>92</v>
      </c>
      <c r="S24" s="39">
        <f>MAX(S19:S21)</f>
        <v>122</v>
      </c>
      <c r="T24" s="39">
        <f t="shared" ref="T24:AF24" si="16">MAX(T19:T21)</f>
        <v>40</v>
      </c>
      <c r="U24" s="39">
        <f t="shared" si="16"/>
        <v>22</v>
      </c>
      <c r="V24" s="39">
        <f t="shared" si="16"/>
        <v>151</v>
      </c>
      <c r="W24" s="39">
        <f t="shared" si="16"/>
        <v>5</v>
      </c>
      <c r="X24" s="39">
        <f t="shared" si="16"/>
        <v>7</v>
      </c>
      <c r="Y24" s="39">
        <f t="shared" si="16"/>
        <v>15</v>
      </c>
      <c r="Z24" s="39">
        <f t="shared" si="16"/>
        <v>8</v>
      </c>
      <c r="AA24" s="39">
        <f t="shared" si="16"/>
        <v>3</v>
      </c>
      <c r="AB24" s="39">
        <f t="shared" si="16"/>
        <v>0</v>
      </c>
      <c r="AC24" s="39">
        <f t="shared" si="16"/>
        <v>610</v>
      </c>
      <c r="AD24" s="39">
        <f t="shared" si="16"/>
        <v>0</v>
      </c>
      <c r="AE24" s="40">
        <f t="shared" si="16"/>
        <v>345</v>
      </c>
      <c r="AF24" s="40">
        <f t="shared" si="16"/>
        <v>952</v>
      </c>
    </row>
    <row r="25" spans="2:32" ht="23.1" customHeight="1" x14ac:dyDescent="0.25">
      <c r="B25" s="23" t="s">
        <v>52</v>
      </c>
      <c r="C25" s="50">
        <v>28</v>
      </c>
      <c r="D25" s="50">
        <v>7</v>
      </c>
      <c r="E25" s="50">
        <v>2</v>
      </c>
      <c r="F25" s="50">
        <v>42</v>
      </c>
      <c r="G25" s="50">
        <v>0</v>
      </c>
      <c r="H25" s="50">
        <v>1</v>
      </c>
      <c r="I25" s="50">
        <v>4</v>
      </c>
      <c r="J25" s="50">
        <v>2</v>
      </c>
      <c r="K25" s="50">
        <v>0</v>
      </c>
      <c r="L25" s="50">
        <v>0</v>
      </c>
      <c r="M25" s="50">
        <v>232</v>
      </c>
      <c r="N25" s="50">
        <v>0</v>
      </c>
      <c r="O25" s="15">
        <f t="shared" si="0"/>
        <v>86</v>
      </c>
      <c r="P25" s="15">
        <f t="shared" si="1"/>
        <v>318</v>
      </c>
      <c r="R25" s="37" t="s">
        <v>85</v>
      </c>
      <c r="S25" s="35">
        <f t="shared" ref="S25:AF25" si="17">SUM(S10:S12)</f>
        <v>461</v>
      </c>
      <c r="T25" s="16">
        <f t="shared" si="17"/>
        <v>116</v>
      </c>
      <c r="U25" s="16">
        <f t="shared" si="17"/>
        <v>50</v>
      </c>
      <c r="V25" s="16">
        <f t="shared" si="17"/>
        <v>742</v>
      </c>
      <c r="W25" s="16">
        <f t="shared" si="17"/>
        <v>27</v>
      </c>
      <c r="X25" s="16">
        <f t="shared" si="17"/>
        <v>13</v>
      </c>
      <c r="Y25" s="16">
        <f t="shared" si="17"/>
        <v>25</v>
      </c>
      <c r="Z25" s="16">
        <f t="shared" si="17"/>
        <v>18</v>
      </c>
      <c r="AA25" s="16">
        <f t="shared" si="17"/>
        <v>0</v>
      </c>
      <c r="AB25" s="16">
        <f t="shared" si="17"/>
        <v>0</v>
      </c>
      <c r="AC25" s="16">
        <f t="shared" si="17"/>
        <v>4567</v>
      </c>
      <c r="AD25" s="16">
        <f t="shared" si="17"/>
        <v>0</v>
      </c>
      <c r="AE25" s="32">
        <f t="shared" si="17"/>
        <v>1452</v>
      </c>
      <c r="AF25" s="32">
        <f t="shared" si="17"/>
        <v>6019</v>
      </c>
    </row>
    <row r="26" spans="2:32" ht="23.1" customHeight="1" x14ac:dyDescent="0.25">
      <c r="B26" s="23" t="s">
        <v>53</v>
      </c>
      <c r="C26" s="50">
        <v>33</v>
      </c>
      <c r="D26" s="50">
        <v>6</v>
      </c>
      <c r="E26" s="50">
        <v>5</v>
      </c>
      <c r="F26" s="50">
        <v>35</v>
      </c>
      <c r="G26" s="50">
        <v>1</v>
      </c>
      <c r="H26" s="50">
        <v>0</v>
      </c>
      <c r="I26" s="50">
        <v>3</v>
      </c>
      <c r="J26" s="50">
        <v>4</v>
      </c>
      <c r="K26" s="50">
        <v>0</v>
      </c>
      <c r="L26" s="50">
        <v>0</v>
      </c>
      <c r="M26" s="50">
        <v>183</v>
      </c>
      <c r="N26" s="50">
        <v>0</v>
      </c>
      <c r="O26" s="15">
        <f t="shared" si="0"/>
        <v>87</v>
      </c>
      <c r="P26" s="15">
        <f t="shared" si="1"/>
        <v>270</v>
      </c>
      <c r="R26" s="28" t="s">
        <v>86</v>
      </c>
      <c r="S26" s="16">
        <f t="shared" ref="S26:AF26" si="18">SUM(S13:S18)</f>
        <v>662</v>
      </c>
      <c r="T26" s="16">
        <f t="shared" si="18"/>
        <v>148</v>
      </c>
      <c r="U26" s="16">
        <f t="shared" si="18"/>
        <v>96</v>
      </c>
      <c r="V26" s="16">
        <f t="shared" si="18"/>
        <v>852</v>
      </c>
      <c r="W26" s="16">
        <f t="shared" si="18"/>
        <v>16</v>
      </c>
      <c r="X26" s="16">
        <f t="shared" si="18"/>
        <v>35</v>
      </c>
      <c r="Y26" s="16">
        <f t="shared" si="18"/>
        <v>66</v>
      </c>
      <c r="Z26" s="16">
        <f t="shared" si="18"/>
        <v>88</v>
      </c>
      <c r="AA26" s="16">
        <f t="shared" si="18"/>
        <v>4</v>
      </c>
      <c r="AB26" s="16">
        <f t="shared" si="18"/>
        <v>5</v>
      </c>
      <c r="AC26" s="16">
        <f t="shared" si="18"/>
        <v>4020</v>
      </c>
      <c r="AD26" s="16">
        <f t="shared" si="18"/>
        <v>0</v>
      </c>
      <c r="AE26" s="32">
        <f t="shared" si="18"/>
        <v>1972</v>
      </c>
      <c r="AF26" s="32">
        <f t="shared" si="18"/>
        <v>5992</v>
      </c>
    </row>
    <row r="27" spans="2:32" ht="23.1" customHeight="1" x14ac:dyDescent="0.25">
      <c r="B27" s="23" t="s">
        <v>54</v>
      </c>
      <c r="C27" s="50">
        <v>39</v>
      </c>
      <c r="D27" s="50">
        <v>12</v>
      </c>
      <c r="E27" s="50">
        <v>3</v>
      </c>
      <c r="F27" s="50">
        <v>47</v>
      </c>
      <c r="G27" s="50">
        <v>1</v>
      </c>
      <c r="H27" s="50">
        <v>0</v>
      </c>
      <c r="I27" s="50">
        <v>6</v>
      </c>
      <c r="J27" s="50">
        <v>5</v>
      </c>
      <c r="K27" s="50">
        <v>0</v>
      </c>
      <c r="L27" s="50">
        <v>0</v>
      </c>
      <c r="M27" s="50">
        <v>205</v>
      </c>
      <c r="N27" s="50">
        <v>0</v>
      </c>
      <c r="O27" s="15">
        <f t="shared" si="0"/>
        <v>113</v>
      </c>
      <c r="P27" s="15">
        <f t="shared" si="1"/>
        <v>318</v>
      </c>
      <c r="R27" s="29" t="s">
        <v>87</v>
      </c>
      <c r="S27" s="16">
        <f t="shared" ref="S27:AF27" si="19">SUM(S19:S21)</f>
        <v>348</v>
      </c>
      <c r="T27" s="16">
        <f t="shared" si="19"/>
        <v>105</v>
      </c>
      <c r="U27" s="16">
        <f t="shared" si="19"/>
        <v>54</v>
      </c>
      <c r="V27" s="16">
        <f t="shared" si="19"/>
        <v>430</v>
      </c>
      <c r="W27" s="16">
        <f t="shared" si="19"/>
        <v>8</v>
      </c>
      <c r="X27" s="16">
        <f t="shared" si="19"/>
        <v>21</v>
      </c>
      <c r="Y27" s="16">
        <f t="shared" si="19"/>
        <v>38</v>
      </c>
      <c r="Z27" s="16">
        <f t="shared" si="19"/>
        <v>18</v>
      </c>
      <c r="AA27" s="16">
        <f t="shared" si="19"/>
        <v>5</v>
      </c>
      <c r="AB27" s="16">
        <f t="shared" si="19"/>
        <v>0</v>
      </c>
      <c r="AC27" s="16">
        <f t="shared" si="19"/>
        <v>1606</v>
      </c>
      <c r="AD27" s="16">
        <f t="shared" si="19"/>
        <v>0</v>
      </c>
      <c r="AE27" s="32">
        <f t="shared" si="19"/>
        <v>1027</v>
      </c>
      <c r="AF27" s="32">
        <f t="shared" si="19"/>
        <v>2633</v>
      </c>
    </row>
    <row r="28" spans="2:32" ht="23.1" customHeight="1" x14ac:dyDescent="0.25">
      <c r="B28" s="23" t="s">
        <v>55</v>
      </c>
      <c r="C28" s="50">
        <v>31</v>
      </c>
      <c r="D28" s="50">
        <v>12</v>
      </c>
      <c r="E28" s="50">
        <v>2</v>
      </c>
      <c r="F28" s="50">
        <v>41</v>
      </c>
      <c r="G28" s="50">
        <v>1</v>
      </c>
      <c r="H28" s="50">
        <v>2</v>
      </c>
      <c r="I28" s="50">
        <v>2</v>
      </c>
      <c r="J28" s="50">
        <v>5</v>
      </c>
      <c r="K28" s="50">
        <v>0</v>
      </c>
      <c r="L28" s="50">
        <v>0</v>
      </c>
      <c r="M28" s="50">
        <v>175</v>
      </c>
      <c r="N28" s="50">
        <v>0</v>
      </c>
      <c r="O28" s="15">
        <f t="shared" si="0"/>
        <v>96</v>
      </c>
      <c r="P28" s="15">
        <f t="shared" si="1"/>
        <v>271</v>
      </c>
      <c r="R28" s="5" t="s">
        <v>17</v>
      </c>
      <c r="S28" s="16">
        <f t="shared" ref="S28:AF28" si="20">SUM(S10:S21)</f>
        <v>1471</v>
      </c>
      <c r="T28" s="16">
        <f t="shared" si="20"/>
        <v>369</v>
      </c>
      <c r="U28" s="16">
        <f t="shared" si="20"/>
        <v>200</v>
      </c>
      <c r="V28" s="16">
        <f t="shared" si="20"/>
        <v>2024</v>
      </c>
      <c r="W28" s="16">
        <f t="shared" si="20"/>
        <v>51</v>
      </c>
      <c r="X28" s="16">
        <f t="shared" si="20"/>
        <v>69</v>
      </c>
      <c r="Y28" s="16">
        <f t="shared" si="20"/>
        <v>129</v>
      </c>
      <c r="Z28" s="16">
        <f t="shared" si="20"/>
        <v>124</v>
      </c>
      <c r="AA28" s="16">
        <f t="shared" si="20"/>
        <v>9</v>
      </c>
      <c r="AB28" s="16">
        <f t="shared" si="20"/>
        <v>5</v>
      </c>
      <c r="AC28" s="16">
        <f t="shared" si="20"/>
        <v>10193</v>
      </c>
      <c r="AD28" s="16">
        <f t="shared" si="20"/>
        <v>0</v>
      </c>
      <c r="AE28" s="32">
        <f t="shared" si="20"/>
        <v>4451</v>
      </c>
      <c r="AF28" s="32">
        <f t="shared" si="20"/>
        <v>14644</v>
      </c>
    </row>
    <row r="29" spans="2:32" ht="23.1" customHeight="1" x14ac:dyDescent="0.25">
      <c r="B29" s="23" t="s">
        <v>56</v>
      </c>
      <c r="C29" s="50">
        <v>21</v>
      </c>
      <c r="D29" s="50">
        <v>12</v>
      </c>
      <c r="E29" s="50">
        <v>3</v>
      </c>
      <c r="F29" s="50">
        <v>31</v>
      </c>
      <c r="G29" s="50">
        <v>0</v>
      </c>
      <c r="H29" s="50">
        <v>1</v>
      </c>
      <c r="I29" s="50">
        <v>3</v>
      </c>
      <c r="J29" s="50">
        <v>2</v>
      </c>
      <c r="K29" s="50">
        <v>0</v>
      </c>
      <c r="L29" s="50">
        <v>0</v>
      </c>
      <c r="M29" s="50">
        <v>123</v>
      </c>
      <c r="N29" s="50">
        <v>0</v>
      </c>
      <c r="O29" s="15">
        <f t="shared" si="0"/>
        <v>73</v>
      </c>
      <c r="P29" s="15">
        <f t="shared" si="1"/>
        <v>196</v>
      </c>
      <c r="R29"/>
      <c r="S29" s="20"/>
      <c r="T29" s="19"/>
    </row>
    <row r="30" spans="2:32" ht="23.1" customHeight="1" x14ac:dyDescent="0.25">
      <c r="B30" s="23" t="s">
        <v>57</v>
      </c>
      <c r="C30" s="50">
        <v>29</v>
      </c>
      <c r="D30" s="50">
        <v>8</v>
      </c>
      <c r="E30" s="50">
        <v>7</v>
      </c>
      <c r="F30" s="50">
        <v>39</v>
      </c>
      <c r="G30" s="50">
        <v>1</v>
      </c>
      <c r="H30" s="50">
        <v>1</v>
      </c>
      <c r="I30" s="50">
        <v>2</v>
      </c>
      <c r="J30" s="50">
        <v>4</v>
      </c>
      <c r="K30" s="50">
        <v>0</v>
      </c>
      <c r="L30" s="50">
        <v>0</v>
      </c>
      <c r="M30" s="50">
        <v>157</v>
      </c>
      <c r="N30" s="50">
        <v>0</v>
      </c>
      <c r="O30" s="15">
        <f t="shared" si="0"/>
        <v>91</v>
      </c>
      <c r="P30" s="15">
        <f t="shared" si="1"/>
        <v>248</v>
      </c>
    </row>
    <row r="31" spans="2:32" ht="23.1" customHeight="1" x14ac:dyDescent="0.25">
      <c r="B31" s="24" t="s">
        <v>58</v>
      </c>
      <c r="C31" s="50">
        <v>32</v>
      </c>
      <c r="D31" s="50">
        <v>7</v>
      </c>
      <c r="E31" s="50">
        <v>7</v>
      </c>
      <c r="F31" s="50">
        <v>39</v>
      </c>
      <c r="G31" s="50">
        <v>1</v>
      </c>
      <c r="H31" s="50">
        <v>0</v>
      </c>
      <c r="I31" s="50">
        <v>2</v>
      </c>
      <c r="J31" s="50">
        <v>5</v>
      </c>
      <c r="K31" s="50">
        <v>0</v>
      </c>
      <c r="L31" s="50">
        <v>0</v>
      </c>
      <c r="M31" s="50">
        <v>195</v>
      </c>
      <c r="N31" s="50">
        <v>0</v>
      </c>
      <c r="O31" s="15">
        <f t="shared" si="0"/>
        <v>93</v>
      </c>
      <c r="P31" s="15">
        <f t="shared" si="1"/>
        <v>288</v>
      </c>
    </row>
    <row r="32" spans="2:32" ht="23.1" customHeight="1" x14ac:dyDescent="0.25">
      <c r="B32" s="24" t="s">
        <v>59</v>
      </c>
      <c r="C32" s="50">
        <v>25</v>
      </c>
      <c r="D32" s="50">
        <v>9</v>
      </c>
      <c r="E32" s="50">
        <v>2</v>
      </c>
      <c r="F32" s="50">
        <v>35</v>
      </c>
      <c r="G32" s="50">
        <v>0</v>
      </c>
      <c r="H32" s="50">
        <v>3</v>
      </c>
      <c r="I32" s="50">
        <v>1</v>
      </c>
      <c r="J32" s="50">
        <v>4</v>
      </c>
      <c r="K32" s="50">
        <v>0</v>
      </c>
      <c r="L32" s="50">
        <v>0</v>
      </c>
      <c r="M32" s="50">
        <v>160</v>
      </c>
      <c r="N32" s="50">
        <v>0</v>
      </c>
      <c r="O32" s="15">
        <f t="shared" si="0"/>
        <v>79</v>
      </c>
      <c r="P32" s="15">
        <f t="shared" si="1"/>
        <v>239</v>
      </c>
    </row>
    <row r="33" spans="2:20" ht="23.1" customHeight="1" x14ac:dyDescent="0.25">
      <c r="B33" s="23" t="s">
        <v>60</v>
      </c>
      <c r="C33" s="50">
        <v>29</v>
      </c>
      <c r="D33" s="50">
        <v>3</v>
      </c>
      <c r="E33" s="50">
        <v>1</v>
      </c>
      <c r="F33" s="50">
        <v>42</v>
      </c>
      <c r="G33" s="50">
        <v>0</v>
      </c>
      <c r="H33" s="50">
        <v>0</v>
      </c>
      <c r="I33" s="50">
        <v>0</v>
      </c>
      <c r="J33" s="50">
        <v>3</v>
      </c>
      <c r="K33" s="50">
        <v>0</v>
      </c>
      <c r="L33" s="50">
        <v>1</v>
      </c>
      <c r="M33" s="50">
        <v>120</v>
      </c>
      <c r="N33" s="50">
        <v>0</v>
      </c>
      <c r="O33" s="15">
        <f t="shared" si="0"/>
        <v>79</v>
      </c>
      <c r="P33" s="15">
        <f t="shared" si="1"/>
        <v>199</v>
      </c>
    </row>
    <row r="34" spans="2:20" ht="23.1" customHeight="1" x14ac:dyDescent="0.25">
      <c r="B34" s="24" t="s">
        <v>61</v>
      </c>
      <c r="C34" s="50">
        <v>24</v>
      </c>
      <c r="D34" s="50">
        <v>5</v>
      </c>
      <c r="E34" s="50">
        <v>3</v>
      </c>
      <c r="F34" s="50">
        <v>28</v>
      </c>
      <c r="G34" s="50">
        <v>0</v>
      </c>
      <c r="H34" s="50">
        <v>0</v>
      </c>
      <c r="I34" s="50">
        <v>6</v>
      </c>
      <c r="J34" s="50">
        <v>4</v>
      </c>
      <c r="K34" s="50">
        <v>0</v>
      </c>
      <c r="L34" s="50">
        <v>0</v>
      </c>
      <c r="M34" s="50">
        <v>154</v>
      </c>
      <c r="N34" s="50">
        <v>0</v>
      </c>
      <c r="O34" s="15">
        <f t="shared" si="0"/>
        <v>70</v>
      </c>
      <c r="P34" s="15">
        <f t="shared" si="1"/>
        <v>224</v>
      </c>
    </row>
    <row r="35" spans="2:20" ht="23.1" customHeight="1" x14ac:dyDescent="0.25">
      <c r="B35" s="24" t="s">
        <v>62</v>
      </c>
      <c r="C35" s="50">
        <v>25</v>
      </c>
      <c r="D35" s="50">
        <v>2</v>
      </c>
      <c r="E35" s="50">
        <v>4</v>
      </c>
      <c r="F35" s="50">
        <v>35</v>
      </c>
      <c r="G35" s="50">
        <v>0</v>
      </c>
      <c r="H35" s="50">
        <v>1</v>
      </c>
      <c r="I35" s="50">
        <v>1</v>
      </c>
      <c r="J35" s="50">
        <v>4</v>
      </c>
      <c r="K35" s="50">
        <v>0</v>
      </c>
      <c r="L35" s="50">
        <v>0</v>
      </c>
      <c r="M35" s="50">
        <v>120</v>
      </c>
      <c r="N35" s="50">
        <v>0</v>
      </c>
      <c r="O35" s="15">
        <f t="shared" si="0"/>
        <v>72</v>
      </c>
      <c r="P35" s="15">
        <f t="shared" si="1"/>
        <v>192</v>
      </c>
    </row>
    <row r="36" spans="2:20" ht="23.1" customHeight="1" x14ac:dyDescent="0.25">
      <c r="B36" s="24" t="s">
        <v>63</v>
      </c>
      <c r="C36" s="50">
        <v>26</v>
      </c>
      <c r="D36" s="50">
        <v>5</v>
      </c>
      <c r="E36" s="50">
        <v>2</v>
      </c>
      <c r="F36" s="50">
        <v>16</v>
      </c>
      <c r="G36" s="50">
        <v>0</v>
      </c>
      <c r="H36" s="50">
        <v>3</v>
      </c>
      <c r="I36" s="50">
        <v>2</v>
      </c>
      <c r="J36" s="50">
        <v>3</v>
      </c>
      <c r="K36" s="50">
        <v>0</v>
      </c>
      <c r="L36" s="50">
        <v>3</v>
      </c>
      <c r="M36" s="50">
        <v>117</v>
      </c>
      <c r="N36" s="50">
        <v>0</v>
      </c>
      <c r="O36" s="15">
        <f t="shared" si="0"/>
        <v>60</v>
      </c>
      <c r="P36" s="15">
        <f t="shared" si="1"/>
        <v>177</v>
      </c>
    </row>
    <row r="37" spans="2:20" ht="23.1" customHeight="1" x14ac:dyDescent="0.25">
      <c r="B37" s="23" t="s">
        <v>64</v>
      </c>
      <c r="C37" s="50">
        <v>25</v>
      </c>
      <c r="D37" s="50">
        <v>5</v>
      </c>
      <c r="E37" s="50">
        <v>0</v>
      </c>
      <c r="F37" s="50">
        <v>33</v>
      </c>
      <c r="G37" s="50">
        <v>0</v>
      </c>
      <c r="H37" s="50">
        <v>3</v>
      </c>
      <c r="I37" s="50">
        <v>4</v>
      </c>
      <c r="J37" s="50">
        <v>3</v>
      </c>
      <c r="K37" s="50">
        <v>1</v>
      </c>
      <c r="L37" s="50">
        <v>0</v>
      </c>
      <c r="M37" s="50">
        <v>113</v>
      </c>
      <c r="N37" s="50">
        <v>0</v>
      </c>
      <c r="O37" s="15">
        <f t="shared" si="0"/>
        <v>74</v>
      </c>
      <c r="P37" s="15">
        <f t="shared" si="1"/>
        <v>187</v>
      </c>
    </row>
    <row r="38" spans="2:20" ht="23.1" customHeight="1" x14ac:dyDescent="0.25">
      <c r="B38" s="24" t="s">
        <v>65</v>
      </c>
      <c r="C38" s="50">
        <v>29</v>
      </c>
      <c r="D38" s="50">
        <v>4</v>
      </c>
      <c r="E38" s="50">
        <v>4</v>
      </c>
      <c r="F38" s="50">
        <v>32</v>
      </c>
      <c r="G38" s="50">
        <v>0</v>
      </c>
      <c r="H38" s="50">
        <v>2</v>
      </c>
      <c r="I38" s="50">
        <v>3</v>
      </c>
      <c r="J38" s="50">
        <v>6</v>
      </c>
      <c r="K38" s="50">
        <v>1</v>
      </c>
      <c r="L38" s="50">
        <v>0</v>
      </c>
      <c r="M38" s="50">
        <v>120</v>
      </c>
      <c r="N38" s="50">
        <v>0</v>
      </c>
      <c r="O38" s="15">
        <f t="shared" si="0"/>
        <v>81</v>
      </c>
      <c r="P38" s="15">
        <f t="shared" si="1"/>
        <v>201</v>
      </c>
    </row>
    <row r="39" spans="2:20" ht="23.1" customHeight="1" x14ac:dyDescent="0.25">
      <c r="B39" s="24" t="s">
        <v>66</v>
      </c>
      <c r="C39" s="50">
        <v>29</v>
      </c>
      <c r="D39" s="50">
        <v>4</v>
      </c>
      <c r="E39" s="50">
        <v>10</v>
      </c>
      <c r="F39" s="50">
        <v>37</v>
      </c>
      <c r="G39" s="50">
        <v>1</v>
      </c>
      <c r="H39" s="50">
        <v>0</v>
      </c>
      <c r="I39" s="50">
        <v>3</v>
      </c>
      <c r="J39" s="50">
        <v>10</v>
      </c>
      <c r="K39" s="50">
        <v>0</v>
      </c>
      <c r="L39" s="50">
        <v>1</v>
      </c>
      <c r="M39" s="50">
        <v>52</v>
      </c>
      <c r="N39" s="50">
        <v>0</v>
      </c>
      <c r="O39" s="15">
        <f t="shared" si="0"/>
        <v>95</v>
      </c>
      <c r="P39" s="15">
        <f t="shared" si="1"/>
        <v>147</v>
      </c>
    </row>
    <row r="40" spans="2:20" ht="23.1" customHeight="1" x14ac:dyDescent="0.25">
      <c r="B40" s="24" t="s">
        <v>67</v>
      </c>
      <c r="C40" s="50">
        <v>29</v>
      </c>
      <c r="D40" s="50">
        <v>5</v>
      </c>
      <c r="E40" s="50">
        <v>4</v>
      </c>
      <c r="F40" s="50">
        <v>41</v>
      </c>
      <c r="G40" s="50">
        <v>0</v>
      </c>
      <c r="H40" s="50">
        <v>3</v>
      </c>
      <c r="I40" s="50">
        <v>0</v>
      </c>
      <c r="J40" s="50">
        <v>5</v>
      </c>
      <c r="K40" s="50">
        <v>0</v>
      </c>
      <c r="L40" s="50">
        <v>0</v>
      </c>
      <c r="M40" s="50">
        <v>156</v>
      </c>
      <c r="N40" s="50">
        <v>0</v>
      </c>
      <c r="O40" s="15">
        <f t="shared" si="0"/>
        <v>87</v>
      </c>
      <c r="P40" s="15">
        <f t="shared" si="1"/>
        <v>243</v>
      </c>
    </row>
    <row r="41" spans="2:20" ht="23.1" customHeight="1" x14ac:dyDescent="0.25">
      <c r="B41" s="23" t="s">
        <v>68</v>
      </c>
      <c r="C41" s="50">
        <v>24</v>
      </c>
      <c r="D41" s="50">
        <v>6</v>
      </c>
      <c r="E41" s="50">
        <v>4</v>
      </c>
      <c r="F41" s="50">
        <v>32</v>
      </c>
      <c r="G41" s="50">
        <v>3</v>
      </c>
      <c r="H41" s="50">
        <v>1</v>
      </c>
      <c r="I41" s="50">
        <v>6</v>
      </c>
      <c r="J41" s="50">
        <v>2</v>
      </c>
      <c r="K41" s="50">
        <v>1</v>
      </c>
      <c r="L41" s="50">
        <v>0</v>
      </c>
      <c r="M41" s="50">
        <v>236</v>
      </c>
      <c r="N41" s="50">
        <v>0</v>
      </c>
      <c r="O41" s="15">
        <f t="shared" si="0"/>
        <v>79</v>
      </c>
      <c r="P41" s="15">
        <f t="shared" si="1"/>
        <v>315</v>
      </c>
    </row>
    <row r="42" spans="2:20" ht="23.1" customHeight="1" x14ac:dyDescent="0.25">
      <c r="B42" s="24" t="s">
        <v>69</v>
      </c>
      <c r="C42" s="50">
        <v>15</v>
      </c>
      <c r="D42" s="50">
        <v>7</v>
      </c>
      <c r="E42" s="50">
        <v>3</v>
      </c>
      <c r="F42" s="50">
        <v>29</v>
      </c>
      <c r="G42" s="50">
        <v>2</v>
      </c>
      <c r="H42" s="50">
        <v>2</v>
      </c>
      <c r="I42" s="50">
        <v>3</v>
      </c>
      <c r="J42" s="50">
        <v>0</v>
      </c>
      <c r="K42" s="50">
        <v>0</v>
      </c>
      <c r="L42" s="50">
        <v>0</v>
      </c>
      <c r="M42" s="50">
        <v>122</v>
      </c>
      <c r="N42" s="50">
        <v>0</v>
      </c>
      <c r="O42" s="15">
        <f t="shared" si="0"/>
        <v>61</v>
      </c>
      <c r="P42" s="15">
        <f t="shared" si="1"/>
        <v>183</v>
      </c>
    </row>
    <row r="43" spans="2:20" ht="23.1" customHeight="1" x14ac:dyDescent="0.25">
      <c r="B43" s="23" t="s">
        <v>70</v>
      </c>
      <c r="C43" s="50">
        <v>20</v>
      </c>
      <c r="D43" s="50">
        <v>3</v>
      </c>
      <c r="E43" s="50">
        <v>7</v>
      </c>
      <c r="F43" s="50">
        <v>34</v>
      </c>
      <c r="G43" s="50">
        <v>2</v>
      </c>
      <c r="H43" s="50">
        <v>3</v>
      </c>
      <c r="I43" s="50">
        <v>3</v>
      </c>
      <c r="J43" s="50">
        <v>4</v>
      </c>
      <c r="K43" s="50">
        <v>0</v>
      </c>
      <c r="L43" s="50">
        <v>0</v>
      </c>
      <c r="M43" s="50">
        <v>115</v>
      </c>
      <c r="N43" s="50">
        <v>0</v>
      </c>
      <c r="O43" s="15">
        <f t="shared" si="0"/>
        <v>76</v>
      </c>
      <c r="P43" s="15">
        <f t="shared" si="1"/>
        <v>191</v>
      </c>
    </row>
    <row r="44" spans="2:20" ht="23.1" customHeight="1" x14ac:dyDescent="0.25">
      <c r="B44" s="25" t="s">
        <v>71</v>
      </c>
      <c r="C44" s="50">
        <v>22</v>
      </c>
      <c r="D44" s="50">
        <v>2</v>
      </c>
      <c r="E44" s="50">
        <v>3</v>
      </c>
      <c r="F44" s="50">
        <v>42</v>
      </c>
      <c r="G44" s="50">
        <v>1</v>
      </c>
      <c r="H44" s="50">
        <v>2</v>
      </c>
      <c r="I44" s="50">
        <v>5</v>
      </c>
      <c r="J44" s="50">
        <v>1</v>
      </c>
      <c r="K44" s="50">
        <v>0</v>
      </c>
      <c r="L44" s="50">
        <v>0</v>
      </c>
      <c r="M44" s="50">
        <v>150</v>
      </c>
      <c r="N44" s="50">
        <v>0</v>
      </c>
      <c r="O44" s="15">
        <f t="shared" si="0"/>
        <v>78</v>
      </c>
      <c r="P44" s="15">
        <f t="shared" si="1"/>
        <v>228</v>
      </c>
    </row>
    <row r="45" spans="2:20" ht="23.1" customHeight="1" x14ac:dyDescent="0.25">
      <c r="B45" s="23" t="s">
        <v>72</v>
      </c>
      <c r="C45" s="50">
        <v>18</v>
      </c>
      <c r="D45" s="50">
        <v>6</v>
      </c>
      <c r="E45" s="50">
        <v>8</v>
      </c>
      <c r="F45" s="50">
        <v>30</v>
      </c>
      <c r="G45" s="50">
        <v>0</v>
      </c>
      <c r="H45" s="50">
        <v>3</v>
      </c>
      <c r="I45" s="50">
        <v>3</v>
      </c>
      <c r="J45" s="50">
        <v>2</v>
      </c>
      <c r="K45" s="50">
        <v>0</v>
      </c>
      <c r="L45" s="50">
        <v>0</v>
      </c>
      <c r="M45" s="50">
        <v>138</v>
      </c>
      <c r="N45" s="50">
        <v>0</v>
      </c>
      <c r="O45" s="15">
        <f t="shared" si="0"/>
        <v>70</v>
      </c>
      <c r="P45" s="15">
        <f t="shared" si="1"/>
        <v>208</v>
      </c>
    </row>
    <row r="46" spans="2:20" ht="23.1" customHeight="1" x14ac:dyDescent="0.25">
      <c r="B46" s="24" t="s">
        <v>73</v>
      </c>
      <c r="C46" s="50">
        <v>25</v>
      </c>
      <c r="D46" s="50">
        <v>6</v>
      </c>
      <c r="E46" s="50">
        <v>3</v>
      </c>
      <c r="F46" s="50">
        <v>37</v>
      </c>
      <c r="G46" s="50">
        <v>2</v>
      </c>
      <c r="H46" s="50">
        <v>4</v>
      </c>
      <c r="I46" s="50">
        <v>5</v>
      </c>
      <c r="J46" s="50">
        <v>0</v>
      </c>
      <c r="K46" s="50">
        <v>1</v>
      </c>
      <c r="L46" s="50">
        <v>0</v>
      </c>
      <c r="M46" s="50">
        <v>164</v>
      </c>
      <c r="N46" s="50">
        <v>0</v>
      </c>
      <c r="O46" s="15">
        <f t="shared" si="0"/>
        <v>83</v>
      </c>
      <c r="P46" s="15">
        <f t="shared" si="1"/>
        <v>247</v>
      </c>
      <c r="R46" s="8"/>
      <c r="T46"/>
    </row>
    <row r="47" spans="2:20" ht="23.1" customHeight="1" x14ac:dyDescent="0.25">
      <c r="B47" s="24" t="s">
        <v>74</v>
      </c>
      <c r="C47" s="50">
        <v>28</v>
      </c>
      <c r="D47" s="50">
        <v>9</v>
      </c>
      <c r="E47" s="50">
        <v>1</v>
      </c>
      <c r="F47" s="50">
        <v>33</v>
      </c>
      <c r="G47" s="50">
        <v>0</v>
      </c>
      <c r="H47" s="50">
        <v>0</v>
      </c>
      <c r="I47" s="50">
        <v>4</v>
      </c>
      <c r="J47" s="50">
        <v>3</v>
      </c>
      <c r="K47" s="50">
        <v>0</v>
      </c>
      <c r="L47" s="50">
        <v>0</v>
      </c>
      <c r="M47" s="50">
        <v>160</v>
      </c>
      <c r="N47" s="50">
        <v>0</v>
      </c>
      <c r="O47" s="15">
        <f t="shared" si="0"/>
        <v>78</v>
      </c>
      <c r="P47" s="15">
        <f t="shared" si="1"/>
        <v>238</v>
      </c>
      <c r="R47" s="8"/>
      <c r="T47"/>
    </row>
    <row r="48" spans="2:20" ht="23.1" customHeight="1" x14ac:dyDescent="0.25">
      <c r="B48" s="24" t="s">
        <v>75</v>
      </c>
      <c r="C48" s="50">
        <v>23</v>
      </c>
      <c r="D48" s="50">
        <v>17</v>
      </c>
      <c r="E48" s="50">
        <v>6</v>
      </c>
      <c r="F48" s="50">
        <v>38</v>
      </c>
      <c r="G48" s="50">
        <v>0</v>
      </c>
      <c r="H48" s="50">
        <v>3</v>
      </c>
      <c r="I48" s="50">
        <v>0</v>
      </c>
      <c r="J48" s="50">
        <v>1</v>
      </c>
      <c r="K48" s="50">
        <v>0</v>
      </c>
      <c r="L48" s="50">
        <v>0</v>
      </c>
      <c r="M48" s="50">
        <v>158</v>
      </c>
      <c r="N48" s="50">
        <v>0</v>
      </c>
      <c r="O48" s="15">
        <f t="shared" si="0"/>
        <v>88</v>
      </c>
      <c r="P48" s="15">
        <f t="shared" si="1"/>
        <v>246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8</v>
      </c>
      <c r="E49" s="50">
        <v>5</v>
      </c>
      <c r="F49" s="50">
        <v>43</v>
      </c>
      <c r="G49" s="50">
        <v>1</v>
      </c>
      <c r="H49" s="50">
        <v>0</v>
      </c>
      <c r="I49" s="50">
        <v>4</v>
      </c>
      <c r="J49" s="50">
        <v>1</v>
      </c>
      <c r="K49" s="50">
        <v>0</v>
      </c>
      <c r="L49" s="50">
        <v>0</v>
      </c>
      <c r="M49" s="50">
        <v>128</v>
      </c>
      <c r="N49" s="50">
        <v>0</v>
      </c>
      <c r="O49" s="15">
        <f t="shared" si="0"/>
        <v>93</v>
      </c>
      <c r="P49" s="15">
        <f t="shared" si="1"/>
        <v>221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11</v>
      </c>
      <c r="E50" s="50">
        <v>8</v>
      </c>
      <c r="F50" s="50">
        <v>46</v>
      </c>
      <c r="G50" s="50">
        <v>1</v>
      </c>
      <c r="H50" s="50">
        <v>1</v>
      </c>
      <c r="I50" s="50">
        <v>4</v>
      </c>
      <c r="J50" s="50">
        <v>1</v>
      </c>
      <c r="K50" s="50">
        <v>1</v>
      </c>
      <c r="L50" s="50">
        <v>0</v>
      </c>
      <c r="M50" s="50">
        <v>162</v>
      </c>
      <c r="N50" s="50">
        <v>0</v>
      </c>
      <c r="O50" s="15">
        <f t="shared" si="0"/>
        <v>107</v>
      </c>
      <c r="P50" s="15">
        <f t="shared" si="1"/>
        <v>269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10</v>
      </c>
      <c r="E51" s="50">
        <v>6</v>
      </c>
      <c r="F51" s="50">
        <v>32</v>
      </c>
      <c r="G51" s="50">
        <v>2</v>
      </c>
      <c r="H51" s="50">
        <v>4</v>
      </c>
      <c r="I51" s="50">
        <v>0</v>
      </c>
      <c r="J51" s="50">
        <v>2</v>
      </c>
      <c r="K51" s="50">
        <v>0</v>
      </c>
      <c r="L51" s="50">
        <v>0</v>
      </c>
      <c r="M51" s="50">
        <v>147</v>
      </c>
      <c r="N51" s="50">
        <v>0</v>
      </c>
      <c r="O51" s="15">
        <f t="shared" si="0"/>
        <v>82</v>
      </c>
      <c r="P51" s="15">
        <f t="shared" si="1"/>
        <v>229</v>
      </c>
      <c r="R51" s="8"/>
      <c r="T51"/>
    </row>
    <row r="52" spans="2:20" ht="23.1" customHeight="1" x14ac:dyDescent="0.25">
      <c r="B52" s="24" t="s">
        <v>79</v>
      </c>
      <c r="C52" s="50">
        <v>31</v>
      </c>
      <c r="D52" s="50">
        <v>6</v>
      </c>
      <c r="E52" s="50">
        <v>3</v>
      </c>
      <c r="F52" s="50">
        <v>37</v>
      </c>
      <c r="G52" s="50">
        <v>0</v>
      </c>
      <c r="H52" s="50">
        <v>1</v>
      </c>
      <c r="I52" s="50">
        <v>0</v>
      </c>
      <c r="J52" s="50">
        <v>3</v>
      </c>
      <c r="K52" s="50">
        <v>2</v>
      </c>
      <c r="L52" s="50">
        <v>0</v>
      </c>
      <c r="M52" s="50">
        <v>128</v>
      </c>
      <c r="N52" s="50">
        <v>0</v>
      </c>
      <c r="O52" s="15">
        <f t="shared" si="0"/>
        <v>83</v>
      </c>
      <c r="P52" s="15">
        <f t="shared" si="1"/>
        <v>211</v>
      </c>
      <c r="R52" s="8"/>
      <c r="T52"/>
    </row>
    <row r="53" spans="2:20" ht="23.1" customHeight="1" x14ac:dyDescent="0.25">
      <c r="B53" s="23" t="s">
        <v>80</v>
      </c>
      <c r="C53" s="50">
        <v>31</v>
      </c>
      <c r="D53" s="50">
        <v>1</v>
      </c>
      <c r="E53" s="50">
        <v>0</v>
      </c>
      <c r="F53" s="50">
        <v>30</v>
      </c>
      <c r="G53" s="50">
        <v>2</v>
      </c>
      <c r="H53" s="50">
        <v>1</v>
      </c>
      <c r="I53" s="50">
        <v>6</v>
      </c>
      <c r="J53" s="50">
        <v>2</v>
      </c>
      <c r="K53" s="50">
        <v>0</v>
      </c>
      <c r="L53" s="50">
        <v>0</v>
      </c>
      <c r="M53" s="50">
        <v>112</v>
      </c>
      <c r="N53" s="50">
        <v>0</v>
      </c>
      <c r="O53" s="15">
        <f t="shared" si="0"/>
        <v>73</v>
      </c>
      <c r="P53" s="15">
        <f t="shared" si="1"/>
        <v>185</v>
      </c>
      <c r="R53" s="8"/>
      <c r="T53"/>
    </row>
    <row r="54" spans="2:20" ht="23.1" customHeight="1" x14ac:dyDescent="0.25">
      <c r="B54" s="23" t="s">
        <v>81</v>
      </c>
      <c r="C54" s="50">
        <v>27</v>
      </c>
      <c r="D54" s="50">
        <v>14</v>
      </c>
      <c r="E54" s="50">
        <v>6</v>
      </c>
      <c r="F54" s="50">
        <v>28</v>
      </c>
      <c r="G54" s="50">
        <v>0</v>
      </c>
      <c r="H54" s="50">
        <v>3</v>
      </c>
      <c r="I54" s="50">
        <v>3</v>
      </c>
      <c r="J54" s="50">
        <v>0</v>
      </c>
      <c r="K54" s="50">
        <v>0</v>
      </c>
      <c r="L54" s="50">
        <v>0</v>
      </c>
      <c r="M54" s="50">
        <v>143</v>
      </c>
      <c r="N54" s="50">
        <v>0</v>
      </c>
      <c r="O54" s="15">
        <f t="shared" si="0"/>
        <v>81</v>
      </c>
      <c r="P54" s="15">
        <f t="shared" si="1"/>
        <v>224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7</v>
      </c>
      <c r="E55" s="50">
        <v>6</v>
      </c>
      <c r="F55" s="50">
        <v>28</v>
      </c>
      <c r="G55" s="50">
        <v>0</v>
      </c>
      <c r="H55" s="50">
        <v>1</v>
      </c>
      <c r="I55" s="50">
        <v>1</v>
      </c>
      <c r="J55" s="50">
        <v>1</v>
      </c>
      <c r="K55" s="50">
        <v>0</v>
      </c>
      <c r="L55" s="50">
        <v>0</v>
      </c>
      <c r="M55" s="50">
        <v>107</v>
      </c>
      <c r="N55" s="50">
        <v>0</v>
      </c>
      <c r="O55" s="15">
        <f t="shared" si="0"/>
        <v>75</v>
      </c>
      <c r="P55" s="15">
        <f t="shared" si="1"/>
        <v>182</v>
      </c>
      <c r="R55" s="8"/>
      <c r="T55"/>
    </row>
    <row r="56" spans="2:20" ht="23.1" customHeight="1" x14ac:dyDescent="0.25">
      <c r="B56" s="23" t="s">
        <v>83</v>
      </c>
      <c r="C56" s="50">
        <v>37</v>
      </c>
      <c r="D56" s="50">
        <v>11</v>
      </c>
      <c r="E56" s="50">
        <v>4</v>
      </c>
      <c r="F56" s="50">
        <v>45</v>
      </c>
      <c r="G56" s="50">
        <v>0</v>
      </c>
      <c r="H56" s="50">
        <v>1</v>
      </c>
      <c r="I56" s="50">
        <v>6</v>
      </c>
      <c r="J56" s="50">
        <v>1</v>
      </c>
      <c r="K56" s="50">
        <v>0</v>
      </c>
      <c r="L56" s="50">
        <v>0</v>
      </c>
      <c r="M56" s="50">
        <v>106</v>
      </c>
      <c r="N56" s="50">
        <v>0</v>
      </c>
      <c r="O56" s="15">
        <f t="shared" si="0"/>
        <v>105</v>
      </c>
      <c r="P56" s="15">
        <f t="shared" si="1"/>
        <v>211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5</v>
      </c>
      <c r="E57" s="50">
        <v>6</v>
      </c>
      <c r="F57" s="50">
        <v>33</v>
      </c>
      <c r="G57" s="50">
        <v>0</v>
      </c>
      <c r="H57" s="50">
        <v>2</v>
      </c>
      <c r="I57" s="50">
        <v>5</v>
      </c>
      <c r="J57" s="50">
        <v>3</v>
      </c>
      <c r="K57" s="50">
        <v>1</v>
      </c>
      <c r="L57" s="50">
        <v>0</v>
      </c>
      <c r="M57" s="50">
        <v>91</v>
      </c>
      <c r="N57" s="50">
        <v>0</v>
      </c>
      <c r="O57" s="15">
        <f t="shared" si="0"/>
        <v>79</v>
      </c>
      <c r="P57" s="15">
        <f t="shared" si="1"/>
        <v>170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1471</v>
      </c>
      <c r="D58" s="16">
        <f t="shared" si="21"/>
        <v>369</v>
      </c>
      <c r="E58" s="16">
        <f t="shared" si="21"/>
        <v>200</v>
      </c>
      <c r="F58" s="16">
        <f t="shared" si="21"/>
        <v>2024</v>
      </c>
      <c r="G58" s="16">
        <f t="shared" si="21"/>
        <v>51</v>
      </c>
      <c r="H58" s="16">
        <f t="shared" si="21"/>
        <v>69</v>
      </c>
      <c r="I58" s="16">
        <f t="shared" si="21"/>
        <v>129</v>
      </c>
      <c r="J58" s="16">
        <f t="shared" si="21"/>
        <v>124</v>
      </c>
      <c r="K58" s="16">
        <f t="shared" si="21"/>
        <v>9</v>
      </c>
      <c r="L58" s="16">
        <f t="shared" si="21"/>
        <v>5</v>
      </c>
      <c r="M58" s="16">
        <f t="shared" si="21"/>
        <v>10193</v>
      </c>
      <c r="N58" s="16">
        <f t="shared" si="21"/>
        <v>0</v>
      </c>
      <c r="O58" s="16">
        <f t="shared" si="21"/>
        <v>4451</v>
      </c>
      <c r="P58" s="16">
        <f t="shared" si="21"/>
        <v>14644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0.10045069653100246</v>
      </c>
      <c r="D59" s="43">
        <f t="shared" si="22"/>
        <v>2.5198033324228354E-2</v>
      </c>
      <c r="E59" s="43">
        <f t="shared" si="22"/>
        <v>1.3657470636438131E-2</v>
      </c>
      <c r="F59" s="43">
        <f t="shared" si="22"/>
        <v>0.1382136028407539</v>
      </c>
      <c r="G59" s="43">
        <f t="shared" si="22"/>
        <v>3.4826550122917235E-3</v>
      </c>
      <c r="H59" s="43">
        <f t="shared" si="22"/>
        <v>4.7118273695711558E-3</v>
      </c>
      <c r="I59" s="43">
        <f t="shared" si="22"/>
        <v>8.8090685605025955E-3</v>
      </c>
      <c r="J59" s="43">
        <f t="shared" si="22"/>
        <v>8.4676317945916423E-3</v>
      </c>
      <c r="K59" s="43">
        <f t="shared" si="22"/>
        <v>6.1458617863971595E-4</v>
      </c>
      <c r="L59" s="43">
        <f t="shared" si="22"/>
        <v>3.4143676591095329E-4</v>
      </c>
      <c r="M59" s="43">
        <f t="shared" si="22"/>
        <v>0.69605299098606943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0.33048753089193439</v>
      </c>
      <c r="D60" s="44">
        <f t="shared" ref="D60:N60" si="23">D58/$O$58</f>
        <v>8.2902718490226915E-2</v>
      </c>
      <c r="E60" s="44">
        <f t="shared" si="23"/>
        <v>4.493372275893058E-2</v>
      </c>
      <c r="F60" s="44">
        <f t="shared" si="23"/>
        <v>0.45472927432037746</v>
      </c>
      <c r="G60" s="44">
        <f t="shared" si="23"/>
        <v>1.1458099303527296E-2</v>
      </c>
      <c r="H60" s="44">
        <f t="shared" si="23"/>
        <v>1.5502134351831049E-2</v>
      </c>
      <c r="I60" s="44">
        <f t="shared" si="23"/>
        <v>2.8982251179510223E-2</v>
      </c>
      <c r="J60" s="44">
        <f t="shared" si="23"/>
        <v>2.7858908110536956E-2</v>
      </c>
      <c r="K60" s="44">
        <f t="shared" si="23"/>
        <v>2.0220175241518761E-3</v>
      </c>
      <c r="L60" s="44">
        <f t="shared" si="23"/>
        <v>1.1233430689732643E-3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Rubaga-Natete'!C3:G3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Natete-Rubaga'!D5</f>
        <v>23.07.19</v>
      </c>
      <c r="E5" s="3"/>
      <c r="F5" s="41" t="s">
        <v>1</v>
      </c>
      <c r="G5" s="52" t="str">
        <f>'22.07 Natete-Rubaga'!G5:H5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173</v>
      </c>
      <c r="E6" s="53"/>
      <c r="F6" s="2" t="s">
        <v>2</v>
      </c>
      <c r="G6" s="52" t="s">
        <v>171</v>
      </c>
      <c r="H6" s="53"/>
      <c r="J6" s="2" t="s">
        <v>21</v>
      </c>
      <c r="K6" s="52" t="s">
        <v>170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84</v>
      </c>
      <c r="D10" s="50">
        <v>8</v>
      </c>
      <c r="E10" s="50">
        <v>6</v>
      </c>
      <c r="F10" s="50">
        <v>138</v>
      </c>
      <c r="G10" s="50">
        <v>4</v>
      </c>
      <c r="H10" s="50">
        <v>3</v>
      </c>
      <c r="I10" s="50">
        <v>6</v>
      </c>
      <c r="J10" s="50">
        <v>4</v>
      </c>
      <c r="K10" s="50">
        <v>0</v>
      </c>
      <c r="L10" s="50">
        <v>0</v>
      </c>
      <c r="M10" s="50">
        <v>362</v>
      </c>
      <c r="N10" s="50">
        <v>0</v>
      </c>
      <c r="O10" s="15">
        <f t="shared" ref="O10:O57" si="0">SUM(C10:L10,N10)</f>
        <v>253</v>
      </c>
      <c r="P10" s="15">
        <f t="shared" ref="P10:P57" si="1">SUM(C10:N10)</f>
        <v>615</v>
      </c>
      <c r="R10" s="1" t="s">
        <v>6</v>
      </c>
      <c r="S10" s="17">
        <f t="shared" ref="S10:AF10" si="2">SUM(C10:C13)</f>
        <v>287</v>
      </c>
      <c r="T10" s="17">
        <f t="shared" si="2"/>
        <v>29</v>
      </c>
      <c r="U10" s="17">
        <f t="shared" si="2"/>
        <v>19</v>
      </c>
      <c r="V10" s="17">
        <f t="shared" si="2"/>
        <v>410</v>
      </c>
      <c r="W10" s="17">
        <f t="shared" si="2"/>
        <v>14</v>
      </c>
      <c r="X10" s="17">
        <f t="shared" si="2"/>
        <v>9</v>
      </c>
      <c r="Y10" s="17">
        <f t="shared" si="2"/>
        <v>18</v>
      </c>
      <c r="Z10" s="17">
        <f t="shared" si="2"/>
        <v>10</v>
      </c>
      <c r="AA10" s="17">
        <f t="shared" si="2"/>
        <v>4</v>
      </c>
      <c r="AB10" s="17">
        <f t="shared" si="2"/>
        <v>0</v>
      </c>
      <c r="AC10" s="17">
        <f t="shared" si="2"/>
        <v>1173</v>
      </c>
      <c r="AD10" s="17">
        <f t="shared" si="2"/>
        <v>0</v>
      </c>
      <c r="AE10" s="31">
        <f t="shared" si="2"/>
        <v>800</v>
      </c>
      <c r="AF10" s="31">
        <f t="shared" si="2"/>
        <v>1973</v>
      </c>
    </row>
    <row r="11" spans="2:32" s="6" customFormat="1" ht="23.1" customHeight="1" x14ac:dyDescent="0.25">
      <c r="B11" s="23" t="s">
        <v>38</v>
      </c>
      <c r="C11" s="50">
        <v>86</v>
      </c>
      <c r="D11" s="50">
        <v>7</v>
      </c>
      <c r="E11" s="50">
        <v>5</v>
      </c>
      <c r="F11" s="50">
        <v>124</v>
      </c>
      <c r="G11" s="50">
        <v>3</v>
      </c>
      <c r="H11" s="50">
        <v>2</v>
      </c>
      <c r="I11" s="50">
        <v>7</v>
      </c>
      <c r="J11" s="50">
        <v>3</v>
      </c>
      <c r="K11" s="50">
        <v>3</v>
      </c>
      <c r="L11" s="50">
        <v>0</v>
      </c>
      <c r="M11" s="50">
        <v>228</v>
      </c>
      <c r="N11" s="50">
        <v>0</v>
      </c>
      <c r="O11" s="15">
        <f t="shared" si="0"/>
        <v>240</v>
      </c>
      <c r="P11" s="15">
        <f t="shared" si="1"/>
        <v>468</v>
      </c>
      <c r="R11" s="1" t="s">
        <v>7</v>
      </c>
      <c r="S11" s="17">
        <f t="shared" ref="S11:AF11" si="3">SUM(C14:C17)</f>
        <v>114</v>
      </c>
      <c r="T11" s="17">
        <f t="shared" si="3"/>
        <v>14</v>
      </c>
      <c r="U11" s="17">
        <f t="shared" si="3"/>
        <v>7</v>
      </c>
      <c r="V11" s="17">
        <f t="shared" si="3"/>
        <v>247</v>
      </c>
      <c r="W11" s="17">
        <f t="shared" si="3"/>
        <v>7</v>
      </c>
      <c r="X11" s="17">
        <f t="shared" si="3"/>
        <v>5</v>
      </c>
      <c r="Y11" s="17">
        <f t="shared" si="3"/>
        <v>11</v>
      </c>
      <c r="Z11" s="17">
        <f t="shared" si="3"/>
        <v>6</v>
      </c>
      <c r="AA11" s="17">
        <f t="shared" si="3"/>
        <v>0</v>
      </c>
      <c r="AB11" s="17">
        <f t="shared" si="3"/>
        <v>2</v>
      </c>
      <c r="AC11" s="17">
        <f t="shared" si="3"/>
        <v>876</v>
      </c>
      <c r="AD11" s="17">
        <f t="shared" si="3"/>
        <v>0</v>
      </c>
      <c r="AE11" s="31">
        <f t="shared" si="3"/>
        <v>413</v>
      </c>
      <c r="AF11" s="31">
        <f t="shared" si="3"/>
        <v>1289</v>
      </c>
    </row>
    <row r="12" spans="2:32" ht="23.1" customHeight="1" x14ac:dyDescent="0.25">
      <c r="B12" s="23" t="s">
        <v>39</v>
      </c>
      <c r="C12" s="50">
        <v>103</v>
      </c>
      <c r="D12" s="50">
        <v>11</v>
      </c>
      <c r="E12" s="50">
        <v>7</v>
      </c>
      <c r="F12" s="50">
        <v>119</v>
      </c>
      <c r="G12" s="50">
        <v>6</v>
      </c>
      <c r="H12" s="50">
        <v>3</v>
      </c>
      <c r="I12" s="50">
        <v>3</v>
      </c>
      <c r="J12" s="50">
        <v>2</v>
      </c>
      <c r="K12" s="50">
        <v>0</v>
      </c>
      <c r="L12" s="50">
        <v>0</v>
      </c>
      <c r="M12" s="50">
        <v>400</v>
      </c>
      <c r="N12" s="50">
        <v>0</v>
      </c>
      <c r="O12" s="15">
        <f t="shared" si="0"/>
        <v>254</v>
      </c>
      <c r="P12" s="15">
        <f t="shared" si="1"/>
        <v>654</v>
      </c>
      <c r="R12" s="1" t="s">
        <v>8</v>
      </c>
      <c r="S12" s="17">
        <f t="shared" ref="S12:AF12" si="4">SUM(C18:C21)</f>
        <v>91</v>
      </c>
      <c r="T12" s="17">
        <f t="shared" si="4"/>
        <v>17</v>
      </c>
      <c r="U12" s="17">
        <f t="shared" si="4"/>
        <v>13</v>
      </c>
      <c r="V12" s="17">
        <f t="shared" si="4"/>
        <v>211</v>
      </c>
      <c r="W12" s="17">
        <f t="shared" si="4"/>
        <v>6</v>
      </c>
      <c r="X12" s="17">
        <f t="shared" si="4"/>
        <v>8</v>
      </c>
      <c r="Y12" s="17">
        <f t="shared" si="4"/>
        <v>20</v>
      </c>
      <c r="Z12" s="17">
        <f t="shared" si="4"/>
        <v>7</v>
      </c>
      <c r="AA12" s="17">
        <f t="shared" si="4"/>
        <v>0</v>
      </c>
      <c r="AB12" s="17">
        <f t="shared" si="4"/>
        <v>0</v>
      </c>
      <c r="AC12" s="17">
        <f t="shared" si="4"/>
        <v>810</v>
      </c>
      <c r="AD12" s="17">
        <f t="shared" si="4"/>
        <v>0</v>
      </c>
      <c r="AE12" s="31">
        <f t="shared" si="4"/>
        <v>373</v>
      </c>
      <c r="AF12" s="31">
        <f t="shared" si="4"/>
        <v>1183</v>
      </c>
    </row>
    <row r="13" spans="2:32" ht="23.1" customHeight="1" x14ac:dyDescent="0.25">
      <c r="B13" s="23" t="s">
        <v>40</v>
      </c>
      <c r="C13" s="50">
        <v>14</v>
      </c>
      <c r="D13" s="50">
        <v>3</v>
      </c>
      <c r="E13" s="50">
        <v>1</v>
      </c>
      <c r="F13" s="50">
        <v>29</v>
      </c>
      <c r="G13" s="50">
        <v>1</v>
      </c>
      <c r="H13" s="50">
        <v>1</v>
      </c>
      <c r="I13" s="50">
        <v>2</v>
      </c>
      <c r="J13" s="50">
        <v>1</v>
      </c>
      <c r="K13" s="50">
        <v>1</v>
      </c>
      <c r="L13" s="50">
        <v>0</v>
      </c>
      <c r="M13" s="50">
        <v>183</v>
      </c>
      <c r="N13" s="50">
        <v>0</v>
      </c>
      <c r="O13" s="15">
        <f t="shared" si="0"/>
        <v>53</v>
      </c>
      <c r="P13" s="15">
        <f t="shared" si="1"/>
        <v>236</v>
      </c>
      <c r="R13" s="1" t="s">
        <v>9</v>
      </c>
      <c r="S13" s="17">
        <f t="shared" ref="S13:AF13" si="5">SUM(C22:C25)</f>
        <v>104</v>
      </c>
      <c r="T13" s="17">
        <f t="shared" si="5"/>
        <v>18</v>
      </c>
      <c r="U13" s="17">
        <f t="shared" si="5"/>
        <v>27</v>
      </c>
      <c r="V13" s="17">
        <f t="shared" si="5"/>
        <v>148</v>
      </c>
      <c r="W13" s="17">
        <f t="shared" si="5"/>
        <v>20</v>
      </c>
      <c r="X13" s="17">
        <f t="shared" si="5"/>
        <v>9</v>
      </c>
      <c r="Y13" s="17">
        <f t="shared" si="5"/>
        <v>13</v>
      </c>
      <c r="Z13" s="17">
        <f t="shared" si="5"/>
        <v>15</v>
      </c>
      <c r="AA13" s="17">
        <f t="shared" si="5"/>
        <v>1</v>
      </c>
      <c r="AB13" s="17">
        <f t="shared" si="5"/>
        <v>0</v>
      </c>
      <c r="AC13" s="17">
        <f t="shared" si="5"/>
        <v>960</v>
      </c>
      <c r="AD13" s="17">
        <f t="shared" si="5"/>
        <v>0</v>
      </c>
      <c r="AE13" s="31">
        <f t="shared" si="5"/>
        <v>355</v>
      </c>
      <c r="AF13" s="31">
        <f t="shared" si="5"/>
        <v>1315</v>
      </c>
    </row>
    <row r="14" spans="2:32" ht="23.1" customHeight="1" x14ac:dyDescent="0.25">
      <c r="B14" s="23" t="s">
        <v>41</v>
      </c>
      <c r="C14" s="50">
        <v>49</v>
      </c>
      <c r="D14" s="50">
        <v>6</v>
      </c>
      <c r="E14" s="50">
        <v>0</v>
      </c>
      <c r="F14" s="50">
        <v>113</v>
      </c>
      <c r="G14" s="50">
        <v>0</v>
      </c>
      <c r="H14" s="50">
        <v>1</v>
      </c>
      <c r="I14" s="50">
        <v>1</v>
      </c>
      <c r="J14" s="50">
        <v>2</v>
      </c>
      <c r="K14" s="50">
        <v>0</v>
      </c>
      <c r="L14" s="50">
        <v>1</v>
      </c>
      <c r="M14" s="50">
        <v>214</v>
      </c>
      <c r="N14" s="50">
        <v>0</v>
      </c>
      <c r="O14" s="15">
        <f t="shared" si="0"/>
        <v>173</v>
      </c>
      <c r="P14" s="15">
        <f t="shared" si="1"/>
        <v>387</v>
      </c>
      <c r="R14" s="1" t="s">
        <v>10</v>
      </c>
      <c r="S14" s="17">
        <f t="shared" ref="S14:AF14" si="6">SUM(C26:C29)</f>
        <v>115</v>
      </c>
      <c r="T14" s="17">
        <f t="shared" si="6"/>
        <v>10</v>
      </c>
      <c r="U14" s="17">
        <f t="shared" si="6"/>
        <v>24</v>
      </c>
      <c r="V14" s="17">
        <f t="shared" si="6"/>
        <v>154</v>
      </c>
      <c r="W14" s="17">
        <f t="shared" si="6"/>
        <v>3</v>
      </c>
      <c r="X14" s="17">
        <f t="shared" si="6"/>
        <v>10</v>
      </c>
      <c r="Y14" s="17">
        <f t="shared" si="6"/>
        <v>9</v>
      </c>
      <c r="Z14" s="17">
        <f t="shared" si="6"/>
        <v>14</v>
      </c>
      <c r="AA14" s="17">
        <f t="shared" si="6"/>
        <v>1</v>
      </c>
      <c r="AB14" s="17">
        <f t="shared" si="6"/>
        <v>0</v>
      </c>
      <c r="AC14" s="17">
        <f t="shared" si="6"/>
        <v>957</v>
      </c>
      <c r="AD14" s="17">
        <f t="shared" si="6"/>
        <v>0</v>
      </c>
      <c r="AE14" s="31">
        <f t="shared" si="6"/>
        <v>340</v>
      </c>
      <c r="AF14" s="31">
        <f t="shared" si="6"/>
        <v>1297</v>
      </c>
    </row>
    <row r="15" spans="2:32" ht="23.1" customHeight="1" x14ac:dyDescent="0.25">
      <c r="B15" s="23" t="s">
        <v>42</v>
      </c>
      <c r="C15" s="50">
        <v>21</v>
      </c>
      <c r="D15" s="50">
        <v>4</v>
      </c>
      <c r="E15" s="50">
        <v>1</v>
      </c>
      <c r="F15" s="50">
        <v>41</v>
      </c>
      <c r="G15" s="50">
        <v>3</v>
      </c>
      <c r="H15" s="50">
        <v>1</v>
      </c>
      <c r="I15" s="50">
        <v>2</v>
      </c>
      <c r="J15" s="50">
        <v>3</v>
      </c>
      <c r="K15" s="50">
        <v>0</v>
      </c>
      <c r="L15" s="50">
        <v>0</v>
      </c>
      <c r="M15" s="50">
        <v>204</v>
      </c>
      <c r="N15" s="50">
        <v>0</v>
      </c>
      <c r="O15" s="15">
        <f t="shared" si="0"/>
        <v>76</v>
      </c>
      <c r="P15" s="15">
        <f t="shared" si="1"/>
        <v>280</v>
      </c>
      <c r="R15" s="1" t="s">
        <v>11</v>
      </c>
      <c r="S15" s="17">
        <f t="shared" ref="S15:AF15" si="7">SUM(C30:C33)</f>
        <v>136</v>
      </c>
      <c r="T15" s="17">
        <f t="shared" si="7"/>
        <v>19</v>
      </c>
      <c r="U15" s="17">
        <f t="shared" si="7"/>
        <v>24</v>
      </c>
      <c r="V15" s="17">
        <f t="shared" si="7"/>
        <v>149</v>
      </c>
      <c r="W15" s="17">
        <f t="shared" si="7"/>
        <v>4</v>
      </c>
      <c r="X15" s="17">
        <f t="shared" si="7"/>
        <v>8</v>
      </c>
      <c r="Y15" s="17">
        <f t="shared" si="7"/>
        <v>17</v>
      </c>
      <c r="Z15" s="17">
        <f t="shared" si="7"/>
        <v>15</v>
      </c>
      <c r="AA15" s="17">
        <f t="shared" si="7"/>
        <v>1</v>
      </c>
      <c r="AB15" s="17">
        <f t="shared" si="7"/>
        <v>1</v>
      </c>
      <c r="AC15" s="17">
        <f t="shared" si="7"/>
        <v>841</v>
      </c>
      <c r="AD15" s="17">
        <f t="shared" si="7"/>
        <v>0</v>
      </c>
      <c r="AE15" s="31">
        <f t="shared" si="7"/>
        <v>374</v>
      </c>
      <c r="AF15" s="31">
        <f t="shared" si="7"/>
        <v>1215</v>
      </c>
    </row>
    <row r="16" spans="2:32" ht="23.1" customHeight="1" x14ac:dyDescent="0.25">
      <c r="B16" s="23" t="s">
        <v>43</v>
      </c>
      <c r="C16" s="50">
        <v>25</v>
      </c>
      <c r="D16" s="50">
        <v>2</v>
      </c>
      <c r="E16" s="50">
        <v>3</v>
      </c>
      <c r="F16" s="50">
        <v>49</v>
      </c>
      <c r="G16" s="50">
        <v>1</v>
      </c>
      <c r="H16" s="50">
        <v>1</v>
      </c>
      <c r="I16" s="50">
        <v>3</v>
      </c>
      <c r="J16" s="50">
        <v>0</v>
      </c>
      <c r="K16" s="50">
        <v>0</v>
      </c>
      <c r="L16" s="50">
        <v>1</v>
      </c>
      <c r="M16" s="50">
        <v>213</v>
      </c>
      <c r="N16" s="50">
        <v>0</v>
      </c>
      <c r="O16" s="15">
        <f t="shared" si="0"/>
        <v>85</v>
      </c>
      <c r="P16" s="15">
        <f t="shared" si="1"/>
        <v>298</v>
      </c>
      <c r="R16" s="1" t="s">
        <v>12</v>
      </c>
      <c r="S16" s="17">
        <f t="shared" ref="S16:AF16" si="8">SUM(C34:C37)</f>
        <v>123</v>
      </c>
      <c r="T16" s="17">
        <f t="shared" si="8"/>
        <v>19</v>
      </c>
      <c r="U16" s="17">
        <f t="shared" si="8"/>
        <v>22</v>
      </c>
      <c r="V16" s="17">
        <f t="shared" si="8"/>
        <v>165</v>
      </c>
      <c r="W16" s="17">
        <f t="shared" si="8"/>
        <v>2</v>
      </c>
      <c r="X16" s="17">
        <f t="shared" si="8"/>
        <v>5</v>
      </c>
      <c r="Y16" s="17">
        <f t="shared" si="8"/>
        <v>10</v>
      </c>
      <c r="Z16" s="17">
        <f t="shared" si="8"/>
        <v>12</v>
      </c>
      <c r="AA16" s="17">
        <f t="shared" si="8"/>
        <v>1</v>
      </c>
      <c r="AB16" s="17">
        <f t="shared" si="8"/>
        <v>2</v>
      </c>
      <c r="AC16" s="17">
        <f t="shared" si="8"/>
        <v>516</v>
      </c>
      <c r="AD16" s="17">
        <f t="shared" si="8"/>
        <v>0</v>
      </c>
      <c r="AE16" s="31">
        <f t="shared" si="8"/>
        <v>361</v>
      </c>
      <c r="AF16" s="31">
        <f t="shared" si="8"/>
        <v>877</v>
      </c>
    </row>
    <row r="17" spans="2:32" ht="23.1" customHeight="1" x14ac:dyDescent="0.25">
      <c r="B17" s="23" t="s">
        <v>44</v>
      </c>
      <c r="C17" s="50">
        <v>19</v>
      </c>
      <c r="D17" s="50">
        <v>2</v>
      </c>
      <c r="E17" s="50">
        <v>3</v>
      </c>
      <c r="F17" s="50">
        <v>44</v>
      </c>
      <c r="G17" s="50">
        <v>3</v>
      </c>
      <c r="H17" s="50">
        <v>2</v>
      </c>
      <c r="I17" s="50">
        <v>5</v>
      </c>
      <c r="J17" s="50">
        <v>1</v>
      </c>
      <c r="K17" s="50">
        <v>0</v>
      </c>
      <c r="L17" s="50">
        <v>0</v>
      </c>
      <c r="M17" s="50">
        <v>245</v>
      </c>
      <c r="N17" s="50">
        <v>0</v>
      </c>
      <c r="O17" s="15">
        <f t="shared" si="0"/>
        <v>79</v>
      </c>
      <c r="P17" s="15">
        <f t="shared" si="1"/>
        <v>324</v>
      </c>
      <c r="R17" s="1" t="s">
        <v>13</v>
      </c>
      <c r="S17" s="17">
        <f t="shared" ref="S17:AF17" si="9">SUM(C38:C41)</f>
        <v>107</v>
      </c>
      <c r="T17" s="17">
        <f t="shared" si="9"/>
        <v>14</v>
      </c>
      <c r="U17" s="17">
        <f t="shared" si="9"/>
        <v>27</v>
      </c>
      <c r="V17" s="17">
        <f t="shared" si="9"/>
        <v>165</v>
      </c>
      <c r="W17" s="17">
        <f t="shared" si="9"/>
        <v>5</v>
      </c>
      <c r="X17" s="17">
        <f t="shared" si="9"/>
        <v>9</v>
      </c>
      <c r="Y17" s="17">
        <f t="shared" si="9"/>
        <v>16</v>
      </c>
      <c r="Z17" s="17">
        <f t="shared" si="9"/>
        <v>11</v>
      </c>
      <c r="AA17" s="17">
        <f t="shared" si="9"/>
        <v>0</v>
      </c>
      <c r="AB17" s="17">
        <f t="shared" si="9"/>
        <v>1</v>
      </c>
      <c r="AC17" s="17">
        <f t="shared" si="9"/>
        <v>640</v>
      </c>
      <c r="AD17" s="17">
        <f t="shared" si="9"/>
        <v>0</v>
      </c>
      <c r="AE17" s="31">
        <f t="shared" si="9"/>
        <v>355</v>
      </c>
      <c r="AF17" s="31">
        <f t="shared" si="9"/>
        <v>995</v>
      </c>
    </row>
    <row r="18" spans="2:32" ht="23.1" customHeight="1" x14ac:dyDescent="0.25">
      <c r="B18" s="23" t="s">
        <v>45</v>
      </c>
      <c r="C18" s="50">
        <v>18</v>
      </c>
      <c r="D18" s="50">
        <v>2</v>
      </c>
      <c r="E18" s="50">
        <v>0</v>
      </c>
      <c r="F18" s="50">
        <v>56</v>
      </c>
      <c r="G18" s="50">
        <v>2</v>
      </c>
      <c r="H18" s="50">
        <v>4</v>
      </c>
      <c r="I18" s="50">
        <v>2</v>
      </c>
      <c r="J18" s="50">
        <v>2</v>
      </c>
      <c r="K18" s="50">
        <v>0</v>
      </c>
      <c r="L18" s="50">
        <v>0</v>
      </c>
      <c r="M18" s="50">
        <v>289</v>
      </c>
      <c r="N18" s="50">
        <v>0</v>
      </c>
      <c r="O18" s="15">
        <f t="shared" si="0"/>
        <v>86</v>
      </c>
      <c r="P18" s="15">
        <f t="shared" si="1"/>
        <v>375</v>
      </c>
      <c r="R18" s="1" t="s">
        <v>14</v>
      </c>
      <c r="S18" s="17">
        <f t="shared" ref="S18:AF18" si="10">SUM(C42:C45)</f>
        <v>106</v>
      </c>
      <c r="T18" s="17">
        <f t="shared" si="10"/>
        <v>23</v>
      </c>
      <c r="U18" s="17">
        <f t="shared" si="10"/>
        <v>27</v>
      </c>
      <c r="V18" s="17">
        <f t="shared" si="10"/>
        <v>124</v>
      </c>
      <c r="W18" s="17">
        <f t="shared" si="10"/>
        <v>2</v>
      </c>
      <c r="X18" s="17">
        <f t="shared" si="10"/>
        <v>3</v>
      </c>
      <c r="Y18" s="17">
        <f t="shared" si="10"/>
        <v>13</v>
      </c>
      <c r="Z18" s="17">
        <f t="shared" si="10"/>
        <v>8</v>
      </c>
      <c r="AA18" s="17">
        <f t="shared" si="10"/>
        <v>2</v>
      </c>
      <c r="AB18" s="17">
        <f t="shared" si="10"/>
        <v>1</v>
      </c>
      <c r="AC18" s="17">
        <f t="shared" si="10"/>
        <v>517</v>
      </c>
      <c r="AD18" s="17">
        <f t="shared" si="10"/>
        <v>0</v>
      </c>
      <c r="AE18" s="31">
        <f t="shared" si="10"/>
        <v>309</v>
      </c>
      <c r="AF18" s="31">
        <f t="shared" si="10"/>
        <v>826</v>
      </c>
    </row>
    <row r="19" spans="2:32" ht="23.1" customHeight="1" x14ac:dyDescent="0.25">
      <c r="B19" s="23" t="s">
        <v>46</v>
      </c>
      <c r="C19" s="50">
        <v>36</v>
      </c>
      <c r="D19" s="50">
        <v>2</v>
      </c>
      <c r="E19" s="50">
        <v>4</v>
      </c>
      <c r="F19" s="50">
        <v>65</v>
      </c>
      <c r="G19" s="50">
        <v>1</v>
      </c>
      <c r="H19" s="50">
        <v>2</v>
      </c>
      <c r="I19" s="50">
        <v>2</v>
      </c>
      <c r="J19" s="50">
        <v>1</v>
      </c>
      <c r="K19" s="50">
        <v>0</v>
      </c>
      <c r="L19" s="50">
        <v>0</v>
      </c>
      <c r="M19" s="50">
        <v>146</v>
      </c>
      <c r="N19" s="50">
        <v>0</v>
      </c>
      <c r="O19" s="15">
        <f t="shared" si="0"/>
        <v>113</v>
      </c>
      <c r="P19" s="15">
        <f t="shared" si="1"/>
        <v>259</v>
      </c>
      <c r="R19" s="1" t="s">
        <v>15</v>
      </c>
      <c r="S19" s="17">
        <f t="shared" ref="S19:AF19" si="11">SUM(C46:C49)</f>
        <v>168</v>
      </c>
      <c r="T19" s="17">
        <f t="shared" si="11"/>
        <v>22</v>
      </c>
      <c r="U19" s="17">
        <f t="shared" si="11"/>
        <v>29</v>
      </c>
      <c r="V19" s="17">
        <f t="shared" si="11"/>
        <v>134</v>
      </c>
      <c r="W19" s="17">
        <f t="shared" si="11"/>
        <v>5</v>
      </c>
      <c r="X19" s="17">
        <f t="shared" si="11"/>
        <v>7</v>
      </c>
      <c r="Y19" s="17">
        <f t="shared" si="11"/>
        <v>11</v>
      </c>
      <c r="Z19" s="17">
        <f t="shared" si="11"/>
        <v>9</v>
      </c>
      <c r="AA19" s="17">
        <f t="shared" si="11"/>
        <v>1</v>
      </c>
      <c r="AB19" s="17">
        <f t="shared" si="11"/>
        <v>2</v>
      </c>
      <c r="AC19" s="17">
        <f t="shared" si="11"/>
        <v>602</v>
      </c>
      <c r="AD19" s="17">
        <f t="shared" si="11"/>
        <v>0</v>
      </c>
      <c r="AE19" s="31">
        <f t="shared" si="11"/>
        <v>388</v>
      </c>
      <c r="AF19" s="31">
        <f t="shared" si="11"/>
        <v>990</v>
      </c>
    </row>
    <row r="20" spans="2:32" ht="23.1" customHeight="1" x14ac:dyDescent="0.25">
      <c r="B20" s="23" t="s">
        <v>47</v>
      </c>
      <c r="C20" s="50">
        <v>23</v>
      </c>
      <c r="D20" s="50">
        <v>3</v>
      </c>
      <c r="E20" s="50">
        <v>3</v>
      </c>
      <c r="F20" s="50">
        <v>43</v>
      </c>
      <c r="G20" s="50">
        <v>0</v>
      </c>
      <c r="H20" s="50">
        <v>0</v>
      </c>
      <c r="I20" s="50">
        <v>8</v>
      </c>
      <c r="J20" s="50">
        <v>3</v>
      </c>
      <c r="K20" s="50">
        <v>0</v>
      </c>
      <c r="L20" s="50">
        <v>0</v>
      </c>
      <c r="M20" s="50">
        <v>179</v>
      </c>
      <c r="N20" s="50">
        <v>0</v>
      </c>
      <c r="O20" s="15">
        <f t="shared" si="0"/>
        <v>83</v>
      </c>
      <c r="P20" s="15">
        <f t="shared" si="1"/>
        <v>262</v>
      </c>
      <c r="R20" s="1" t="s">
        <v>16</v>
      </c>
      <c r="S20" s="17">
        <f t="shared" ref="S20:AF20" si="12">SUM(C50:C53)</f>
        <v>271</v>
      </c>
      <c r="T20" s="17">
        <f t="shared" si="12"/>
        <v>16</v>
      </c>
      <c r="U20" s="17">
        <f t="shared" si="12"/>
        <v>11</v>
      </c>
      <c r="V20" s="17">
        <f t="shared" si="12"/>
        <v>360</v>
      </c>
      <c r="W20" s="17">
        <f t="shared" si="12"/>
        <v>3</v>
      </c>
      <c r="X20" s="17">
        <f t="shared" si="12"/>
        <v>5</v>
      </c>
      <c r="Y20" s="17">
        <f t="shared" si="12"/>
        <v>27</v>
      </c>
      <c r="Z20" s="17">
        <f t="shared" si="12"/>
        <v>10</v>
      </c>
      <c r="AA20" s="17">
        <f t="shared" si="12"/>
        <v>0</v>
      </c>
      <c r="AB20" s="17">
        <f t="shared" si="12"/>
        <v>0</v>
      </c>
      <c r="AC20" s="17">
        <f t="shared" si="12"/>
        <v>826</v>
      </c>
      <c r="AD20" s="17">
        <f t="shared" si="12"/>
        <v>0</v>
      </c>
      <c r="AE20" s="31">
        <f t="shared" si="12"/>
        <v>703</v>
      </c>
      <c r="AF20" s="31">
        <f t="shared" si="12"/>
        <v>1529</v>
      </c>
    </row>
    <row r="21" spans="2:32" ht="23.1" customHeight="1" x14ac:dyDescent="0.25">
      <c r="B21" s="23" t="s">
        <v>48</v>
      </c>
      <c r="C21" s="50">
        <v>14</v>
      </c>
      <c r="D21" s="50">
        <v>10</v>
      </c>
      <c r="E21" s="50">
        <v>6</v>
      </c>
      <c r="F21" s="50">
        <v>47</v>
      </c>
      <c r="G21" s="50">
        <v>3</v>
      </c>
      <c r="H21" s="50">
        <v>2</v>
      </c>
      <c r="I21" s="50">
        <v>8</v>
      </c>
      <c r="J21" s="50">
        <v>1</v>
      </c>
      <c r="K21" s="50">
        <v>0</v>
      </c>
      <c r="L21" s="50">
        <v>0</v>
      </c>
      <c r="M21" s="50">
        <v>196</v>
      </c>
      <c r="N21" s="50">
        <v>0</v>
      </c>
      <c r="O21" s="15">
        <f t="shared" si="0"/>
        <v>91</v>
      </c>
      <c r="P21" s="15">
        <f t="shared" si="1"/>
        <v>287</v>
      </c>
      <c r="R21" s="36" t="s">
        <v>20</v>
      </c>
      <c r="S21" s="34">
        <f t="shared" ref="S21:AF21" si="13">SUM(C54:C57)</f>
        <v>390</v>
      </c>
      <c r="T21" s="17">
        <f t="shared" si="13"/>
        <v>26</v>
      </c>
      <c r="U21" s="17">
        <f t="shared" si="13"/>
        <v>14</v>
      </c>
      <c r="V21" s="17">
        <f t="shared" si="13"/>
        <v>470</v>
      </c>
      <c r="W21" s="17">
        <f t="shared" si="13"/>
        <v>4</v>
      </c>
      <c r="X21" s="17">
        <f t="shared" si="13"/>
        <v>6</v>
      </c>
      <c r="Y21" s="17">
        <f t="shared" si="13"/>
        <v>12</v>
      </c>
      <c r="Z21" s="17">
        <f t="shared" si="13"/>
        <v>7</v>
      </c>
      <c r="AA21" s="17">
        <f t="shared" si="13"/>
        <v>5</v>
      </c>
      <c r="AB21" s="17">
        <f t="shared" si="13"/>
        <v>1</v>
      </c>
      <c r="AC21" s="17">
        <f t="shared" si="13"/>
        <v>894</v>
      </c>
      <c r="AD21" s="17">
        <f t="shared" si="13"/>
        <v>0</v>
      </c>
      <c r="AE21" s="31">
        <f t="shared" si="13"/>
        <v>935</v>
      </c>
      <c r="AF21" s="31">
        <f t="shared" si="13"/>
        <v>1829</v>
      </c>
    </row>
    <row r="22" spans="2:32" ht="23.1" customHeight="1" x14ac:dyDescent="0.25">
      <c r="B22" s="23" t="s">
        <v>49</v>
      </c>
      <c r="C22" s="50">
        <v>22</v>
      </c>
      <c r="D22" s="50">
        <v>5</v>
      </c>
      <c r="E22" s="50">
        <v>5</v>
      </c>
      <c r="F22" s="50">
        <v>32</v>
      </c>
      <c r="G22" s="50">
        <v>3</v>
      </c>
      <c r="H22" s="50">
        <v>2</v>
      </c>
      <c r="I22" s="50">
        <v>4</v>
      </c>
      <c r="J22" s="50">
        <v>4</v>
      </c>
      <c r="K22" s="50">
        <v>0</v>
      </c>
      <c r="L22" s="50">
        <v>0</v>
      </c>
      <c r="M22" s="50">
        <v>270</v>
      </c>
      <c r="N22" s="50">
        <v>0</v>
      </c>
      <c r="O22" s="15">
        <f t="shared" si="0"/>
        <v>77</v>
      </c>
      <c r="P22" s="15">
        <f t="shared" si="1"/>
        <v>347</v>
      </c>
      <c r="R22" s="38" t="s">
        <v>90</v>
      </c>
      <c r="S22" s="39">
        <f>MAX(S10:S12)</f>
        <v>287</v>
      </c>
      <c r="T22" s="39">
        <f t="shared" ref="T22:AF22" si="14">MAX(T10:T12)</f>
        <v>29</v>
      </c>
      <c r="U22" s="39">
        <f t="shared" si="14"/>
        <v>19</v>
      </c>
      <c r="V22" s="39">
        <f t="shared" si="14"/>
        <v>410</v>
      </c>
      <c r="W22" s="39">
        <f t="shared" si="14"/>
        <v>14</v>
      </c>
      <c r="X22" s="39">
        <f t="shared" si="14"/>
        <v>9</v>
      </c>
      <c r="Y22" s="39">
        <f t="shared" si="14"/>
        <v>20</v>
      </c>
      <c r="Z22" s="39">
        <f t="shared" si="14"/>
        <v>10</v>
      </c>
      <c r="AA22" s="39">
        <f t="shared" si="14"/>
        <v>4</v>
      </c>
      <c r="AB22" s="39">
        <f t="shared" si="14"/>
        <v>2</v>
      </c>
      <c r="AC22" s="39">
        <f t="shared" si="14"/>
        <v>1173</v>
      </c>
      <c r="AD22" s="39">
        <f t="shared" si="14"/>
        <v>0</v>
      </c>
      <c r="AE22" s="40">
        <f t="shared" si="14"/>
        <v>800</v>
      </c>
      <c r="AF22" s="40">
        <f t="shared" si="14"/>
        <v>1973</v>
      </c>
    </row>
    <row r="23" spans="2:32" ht="23.1" customHeight="1" x14ac:dyDescent="0.25">
      <c r="B23" s="23" t="s">
        <v>50</v>
      </c>
      <c r="C23" s="50">
        <v>14</v>
      </c>
      <c r="D23" s="50">
        <v>3</v>
      </c>
      <c r="E23" s="50">
        <v>6</v>
      </c>
      <c r="F23" s="50">
        <v>32</v>
      </c>
      <c r="G23" s="50">
        <v>4</v>
      </c>
      <c r="H23" s="50">
        <v>3</v>
      </c>
      <c r="I23" s="50">
        <v>2</v>
      </c>
      <c r="J23" s="50">
        <v>3</v>
      </c>
      <c r="K23" s="50">
        <v>0</v>
      </c>
      <c r="L23" s="50">
        <v>0</v>
      </c>
      <c r="M23" s="50">
        <v>217</v>
      </c>
      <c r="N23" s="50">
        <v>0</v>
      </c>
      <c r="O23" s="15">
        <f t="shared" si="0"/>
        <v>67</v>
      </c>
      <c r="P23" s="15">
        <f t="shared" si="1"/>
        <v>284</v>
      </c>
      <c r="R23" s="38" t="s">
        <v>91</v>
      </c>
      <c r="S23" s="39">
        <f>MAX(S13:S18)</f>
        <v>136</v>
      </c>
      <c r="T23" s="39">
        <f t="shared" ref="T23:AF23" si="15">MAX(T13:T18)</f>
        <v>23</v>
      </c>
      <c r="U23" s="39">
        <f t="shared" si="15"/>
        <v>27</v>
      </c>
      <c r="V23" s="39">
        <f t="shared" si="15"/>
        <v>165</v>
      </c>
      <c r="W23" s="39">
        <f t="shared" si="15"/>
        <v>20</v>
      </c>
      <c r="X23" s="39">
        <f t="shared" si="15"/>
        <v>10</v>
      </c>
      <c r="Y23" s="39">
        <f t="shared" si="15"/>
        <v>17</v>
      </c>
      <c r="Z23" s="39">
        <f t="shared" si="15"/>
        <v>15</v>
      </c>
      <c r="AA23" s="39">
        <f t="shared" si="15"/>
        <v>2</v>
      </c>
      <c r="AB23" s="39">
        <f t="shared" si="15"/>
        <v>2</v>
      </c>
      <c r="AC23" s="39">
        <f t="shared" si="15"/>
        <v>960</v>
      </c>
      <c r="AD23" s="39">
        <f t="shared" si="15"/>
        <v>0</v>
      </c>
      <c r="AE23" s="40">
        <f t="shared" si="15"/>
        <v>374</v>
      </c>
      <c r="AF23" s="40">
        <f t="shared" si="15"/>
        <v>1315</v>
      </c>
    </row>
    <row r="24" spans="2:32" ht="23.1" customHeight="1" x14ac:dyDescent="0.25">
      <c r="B24" s="23" t="s">
        <v>51</v>
      </c>
      <c r="C24" s="50">
        <v>42</v>
      </c>
      <c r="D24" s="50">
        <v>4</v>
      </c>
      <c r="E24" s="50">
        <v>7</v>
      </c>
      <c r="F24" s="50">
        <v>39</v>
      </c>
      <c r="G24" s="50">
        <v>11</v>
      </c>
      <c r="H24" s="50">
        <v>2</v>
      </c>
      <c r="I24" s="50">
        <v>4</v>
      </c>
      <c r="J24" s="50">
        <v>3</v>
      </c>
      <c r="K24" s="50">
        <v>1</v>
      </c>
      <c r="L24" s="50">
        <v>0</v>
      </c>
      <c r="M24" s="50">
        <v>248</v>
      </c>
      <c r="N24" s="50">
        <v>0</v>
      </c>
      <c r="O24" s="15">
        <f t="shared" si="0"/>
        <v>113</v>
      </c>
      <c r="P24" s="15">
        <f t="shared" si="1"/>
        <v>361</v>
      </c>
      <c r="R24" s="38" t="s">
        <v>92</v>
      </c>
      <c r="S24" s="39">
        <f>MAX(S19:S21)</f>
        <v>390</v>
      </c>
      <c r="T24" s="39">
        <f t="shared" ref="T24:AF24" si="16">MAX(T19:T21)</f>
        <v>26</v>
      </c>
      <c r="U24" s="39">
        <f t="shared" si="16"/>
        <v>29</v>
      </c>
      <c r="V24" s="39">
        <f t="shared" si="16"/>
        <v>470</v>
      </c>
      <c r="W24" s="39">
        <f t="shared" si="16"/>
        <v>5</v>
      </c>
      <c r="X24" s="39">
        <f t="shared" si="16"/>
        <v>7</v>
      </c>
      <c r="Y24" s="39">
        <f t="shared" si="16"/>
        <v>27</v>
      </c>
      <c r="Z24" s="39">
        <f t="shared" si="16"/>
        <v>10</v>
      </c>
      <c r="AA24" s="39">
        <f t="shared" si="16"/>
        <v>5</v>
      </c>
      <c r="AB24" s="39">
        <f t="shared" si="16"/>
        <v>2</v>
      </c>
      <c r="AC24" s="39">
        <f t="shared" si="16"/>
        <v>894</v>
      </c>
      <c r="AD24" s="39">
        <f t="shared" si="16"/>
        <v>0</v>
      </c>
      <c r="AE24" s="40">
        <f t="shared" si="16"/>
        <v>935</v>
      </c>
      <c r="AF24" s="40">
        <f t="shared" si="16"/>
        <v>1829</v>
      </c>
    </row>
    <row r="25" spans="2:32" ht="23.1" customHeight="1" x14ac:dyDescent="0.25">
      <c r="B25" s="23" t="s">
        <v>52</v>
      </c>
      <c r="C25" s="50">
        <v>26</v>
      </c>
      <c r="D25" s="50">
        <v>6</v>
      </c>
      <c r="E25" s="50">
        <v>9</v>
      </c>
      <c r="F25" s="50">
        <v>45</v>
      </c>
      <c r="G25" s="50">
        <v>2</v>
      </c>
      <c r="H25" s="50">
        <v>2</v>
      </c>
      <c r="I25" s="50">
        <v>3</v>
      </c>
      <c r="J25" s="50">
        <v>5</v>
      </c>
      <c r="K25" s="50">
        <v>0</v>
      </c>
      <c r="L25" s="50">
        <v>0</v>
      </c>
      <c r="M25" s="50">
        <v>225</v>
      </c>
      <c r="N25" s="50">
        <v>0</v>
      </c>
      <c r="O25" s="15">
        <f t="shared" si="0"/>
        <v>98</v>
      </c>
      <c r="P25" s="15">
        <f t="shared" si="1"/>
        <v>323</v>
      </c>
      <c r="R25" s="37" t="s">
        <v>85</v>
      </c>
      <c r="S25" s="35">
        <f t="shared" ref="S25:AF25" si="17">SUM(S10:S12)</f>
        <v>492</v>
      </c>
      <c r="T25" s="16">
        <f t="shared" si="17"/>
        <v>60</v>
      </c>
      <c r="U25" s="16">
        <f t="shared" si="17"/>
        <v>39</v>
      </c>
      <c r="V25" s="16">
        <f t="shared" si="17"/>
        <v>868</v>
      </c>
      <c r="W25" s="16">
        <f t="shared" si="17"/>
        <v>27</v>
      </c>
      <c r="X25" s="16">
        <f t="shared" si="17"/>
        <v>22</v>
      </c>
      <c r="Y25" s="16">
        <f t="shared" si="17"/>
        <v>49</v>
      </c>
      <c r="Z25" s="16">
        <f t="shared" si="17"/>
        <v>23</v>
      </c>
      <c r="AA25" s="16">
        <f t="shared" si="17"/>
        <v>4</v>
      </c>
      <c r="AB25" s="16">
        <f t="shared" si="17"/>
        <v>2</v>
      </c>
      <c r="AC25" s="16">
        <f t="shared" si="17"/>
        <v>2859</v>
      </c>
      <c r="AD25" s="16">
        <f t="shared" si="17"/>
        <v>0</v>
      </c>
      <c r="AE25" s="32">
        <f t="shared" si="17"/>
        <v>1586</v>
      </c>
      <c r="AF25" s="32">
        <f t="shared" si="17"/>
        <v>4445</v>
      </c>
    </row>
    <row r="26" spans="2:32" ht="23.1" customHeight="1" x14ac:dyDescent="0.25">
      <c r="B26" s="23" t="s">
        <v>53</v>
      </c>
      <c r="C26" s="50">
        <v>28</v>
      </c>
      <c r="D26" s="50">
        <v>2</v>
      </c>
      <c r="E26" s="50">
        <v>4</v>
      </c>
      <c r="F26" s="50">
        <v>36</v>
      </c>
      <c r="G26" s="50">
        <v>0</v>
      </c>
      <c r="H26" s="50">
        <v>3</v>
      </c>
      <c r="I26" s="50">
        <v>2</v>
      </c>
      <c r="J26" s="50">
        <v>3</v>
      </c>
      <c r="K26" s="50">
        <v>0</v>
      </c>
      <c r="L26" s="50">
        <v>0</v>
      </c>
      <c r="M26" s="50">
        <v>213</v>
      </c>
      <c r="N26" s="50">
        <v>0</v>
      </c>
      <c r="O26" s="15">
        <f t="shared" si="0"/>
        <v>78</v>
      </c>
      <c r="P26" s="15">
        <f t="shared" si="1"/>
        <v>291</v>
      </c>
      <c r="R26" s="28" t="s">
        <v>86</v>
      </c>
      <c r="S26" s="16">
        <f t="shared" ref="S26:AF26" si="18">SUM(S13:S18)</f>
        <v>691</v>
      </c>
      <c r="T26" s="16">
        <f t="shared" si="18"/>
        <v>103</v>
      </c>
      <c r="U26" s="16">
        <f t="shared" si="18"/>
        <v>151</v>
      </c>
      <c r="V26" s="16">
        <f t="shared" si="18"/>
        <v>905</v>
      </c>
      <c r="W26" s="16">
        <f t="shared" si="18"/>
        <v>36</v>
      </c>
      <c r="X26" s="16">
        <f t="shared" si="18"/>
        <v>44</v>
      </c>
      <c r="Y26" s="16">
        <f t="shared" si="18"/>
        <v>78</v>
      </c>
      <c r="Z26" s="16">
        <f t="shared" si="18"/>
        <v>75</v>
      </c>
      <c r="AA26" s="16">
        <f t="shared" si="18"/>
        <v>6</v>
      </c>
      <c r="AB26" s="16">
        <f t="shared" si="18"/>
        <v>5</v>
      </c>
      <c r="AC26" s="16">
        <f t="shared" si="18"/>
        <v>4431</v>
      </c>
      <c r="AD26" s="16">
        <f t="shared" si="18"/>
        <v>0</v>
      </c>
      <c r="AE26" s="32">
        <f t="shared" si="18"/>
        <v>2094</v>
      </c>
      <c r="AF26" s="32">
        <f t="shared" si="18"/>
        <v>6525</v>
      </c>
    </row>
    <row r="27" spans="2:32" ht="23.1" customHeight="1" x14ac:dyDescent="0.25">
      <c r="B27" s="23" t="s">
        <v>54</v>
      </c>
      <c r="C27" s="50">
        <v>31</v>
      </c>
      <c r="D27" s="50">
        <v>2</v>
      </c>
      <c r="E27" s="50">
        <v>8</v>
      </c>
      <c r="F27" s="50">
        <v>49</v>
      </c>
      <c r="G27" s="50">
        <v>2</v>
      </c>
      <c r="H27" s="50">
        <v>2</v>
      </c>
      <c r="I27" s="50">
        <v>4</v>
      </c>
      <c r="J27" s="50">
        <v>3</v>
      </c>
      <c r="K27" s="50">
        <v>1</v>
      </c>
      <c r="L27" s="50">
        <v>0</v>
      </c>
      <c r="M27" s="50">
        <v>278</v>
      </c>
      <c r="N27" s="50">
        <v>0</v>
      </c>
      <c r="O27" s="15">
        <f t="shared" si="0"/>
        <v>102</v>
      </c>
      <c r="P27" s="15">
        <f t="shared" si="1"/>
        <v>380</v>
      </c>
      <c r="R27" s="29" t="s">
        <v>87</v>
      </c>
      <c r="S27" s="16">
        <f t="shared" ref="S27:AF27" si="19">SUM(S19:S21)</f>
        <v>829</v>
      </c>
      <c r="T27" s="16">
        <f t="shared" si="19"/>
        <v>64</v>
      </c>
      <c r="U27" s="16">
        <f t="shared" si="19"/>
        <v>54</v>
      </c>
      <c r="V27" s="16">
        <f t="shared" si="19"/>
        <v>964</v>
      </c>
      <c r="W27" s="16">
        <f t="shared" si="19"/>
        <v>12</v>
      </c>
      <c r="X27" s="16">
        <f t="shared" si="19"/>
        <v>18</v>
      </c>
      <c r="Y27" s="16">
        <f t="shared" si="19"/>
        <v>50</v>
      </c>
      <c r="Z27" s="16">
        <f t="shared" si="19"/>
        <v>26</v>
      </c>
      <c r="AA27" s="16">
        <f t="shared" si="19"/>
        <v>6</v>
      </c>
      <c r="AB27" s="16">
        <f t="shared" si="19"/>
        <v>3</v>
      </c>
      <c r="AC27" s="16">
        <f t="shared" si="19"/>
        <v>2322</v>
      </c>
      <c r="AD27" s="16">
        <f t="shared" si="19"/>
        <v>0</v>
      </c>
      <c r="AE27" s="32">
        <f t="shared" si="19"/>
        <v>2026</v>
      </c>
      <c r="AF27" s="32">
        <f t="shared" si="19"/>
        <v>4348</v>
      </c>
    </row>
    <row r="28" spans="2:32" ht="23.1" customHeight="1" x14ac:dyDescent="0.25">
      <c r="B28" s="23" t="s">
        <v>55</v>
      </c>
      <c r="C28" s="50">
        <v>23</v>
      </c>
      <c r="D28" s="50">
        <v>3</v>
      </c>
      <c r="E28" s="50">
        <v>5</v>
      </c>
      <c r="F28" s="50">
        <v>25</v>
      </c>
      <c r="G28" s="50">
        <v>0</v>
      </c>
      <c r="H28" s="50">
        <v>2</v>
      </c>
      <c r="I28" s="50">
        <v>1</v>
      </c>
      <c r="J28" s="50">
        <v>2</v>
      </c>
      <c r="K28" s="50">
        <v>0</v>
      </c>
      <c r="L28" s="50">
        <v>0</v>
      </c>
      <c r="M28" s="50">
        <v>248</v>
      </c>
      <c r="N28" s="50">
        <v>0</v>
      </c>
      <c r="O28" s="15">
        <f t="shared" si="0"/>
        <v>61</v>
      </c>
      <c r="P28" s="15">
        <f t="shared" si="1"/>
        <v>309</v>
      </c>
      <c r="R28" s="5" t="s">
        <v>17</v>
      </c>
      <c r="S28" s="16">
        <f t="shared" ref="S28:AF28" si="20">SUM(S10:S21)</f>
        <v>2012</v>
      </c>
      <c r="T28" s="16">
        <f t="shared" si="20"/>
        <v>227</v>
      </c>
      <c r="U28" s="16">
        <f t="shared" si="20"/>
        <v>244</v>
      </c>
      <c r="V28" s="16">
        <f t="shared" si="20"/>
        <v>2737</v>
      </c>
      <c r="W28" s="16">
        <f t="shared" si="20"/>
        <v>75</v>
      </c>
      <c r="X28" s="16">
        <f t="shared" si="20"/>
        <v>84</v>
      </c>
      <c r="Y28" s="16">
        <f t="shared" si="20"/>
        <v>177</v>
      </c>
      <c r="Z28" s="16">
        <f t="shared" si="20"/>
        <v>124</v>
      </c>
      <c r="AA28" s="16">
        <f t="shared" si="20"/>
        <v>16</v>
      </c>
      <c r="AB28" s="16">
        <f t="shared" si="20"/>
        <v>10</v>
      </c>
      <c r="AC28" s="16">
        <f t="shared" si="20"/>
        <v>9612</v>
      </c>
      <c r="AD28" s="16">
        <f t="shared" si="20"/>
        <v>0</v>
      </c>
      <c r="AE28" s="32">
        <f t="shared" si="20"/>
        <v>5706</v>
      </c>
      <c r="AF28" s="32">
        <f t="shared" si="20"/>
        <v>15318</v>
      </c>
    </row>
    <row r="29" spans="2:32" ht="23.1" customHeight="1" x14ac:dyDescent="0.25">
      <c r="B29" s="23" t="s">
        <v>56</v>
      </c>
      <c r="C29" s="50">
        <v>33</v>
      </c>
      <c r="D29" s="50">
        <v>3</v>
      </c>
      <c r="E29" s="50">
        <v>7</v>
      </c>
      <c r="F29" s="50">
        <v>44</v>
      </c>
      <c r="G29" s="50">
        <v>1</v>
      </c>
      <c r="H29" s="50">
        <v>3</v>
      </c>
      <c r="I29" s="50">
        <v>2</v>
      </c>
      <c r="J29" s="50">
        <v>6</v>
      </c>
      <c r="K29" s="50">
        <v>0</v>
      </c>
      <c r="L29" s="50">
        <v>0</v>
      </c>
      <c r="M29" s="50">
        <v>218</v>
      </c>
      <c r="N29" s="50">
        <v>0</v>
      </c>
      <c r="O29" s="15">
        <f t="shared" si="0"/>
        <v>99</v>
      </c>
      <c r="P29" s="15">
        <f t="shared" si="1"/>
        <v>317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4</v>
      </c>
      <c r="E30" s="50">
        <v>5</v>
      </c>
      <c r="F30" s="50">
        <v>34</v>
      </c>
      <c r="G30" s="50">
        <v>1</v>
      </c>
      <c r="H30" s="50">
        <v>4</v>
      </c>
      <c r="I30" s="50">
        <v>5</v>
      </c>
      <c r="J30" s="50">
        <v>4</v>
      </c>
      <c r="K30" s="50">
        <v>0</v>
      </c>
      <c r="L30" s="50">
        <v>0</v>
      </c>
      <c r="M30" s="50">
        <v>267</v>
      </c>
      <c r="N30" s="50">
        <v>0</v>
      </c>
      <c r="O30" s="15">
        <f t="shared" si="0"/>
        <v>87</v>
      </c>
      <c r="P30" s="15">
        <f t="shared" si="1"/>
        <v>354</v>
      </c>
    </row>
    <row r="31" spans="2:32" ht="23.1" customHeight="1" x14ac:dyDescent="0.25">
      <c r="B31" s="24" t="s">
        <v>58</v>
      </c>
      <c r="C31" s="50">
        <v>36</v>
      </c>
      <c r="D31" s="50">
        <v>7</v>
      </c>
      <c r="E31" s="50">
        <v>7</v>
      </c>
      <c r="F31" s="50">
        <v>32</v>
      </c>
      <c r="G31" s="50">
        <v>0</v>
      </c>
      <c r="H31" s="50">
        <v>3</v>
      </c>
      <c r="I31" s="50">
        <v>4</v>
      </c>
      <c r="J31" s="50">
        <v>5</v>
      </c>
      <c r="K31" s="50">
        <v>1</v>
      </c>
      <c r="L31" s="50">
        <v>0</v>
      </c>
      <c r="M31" s="50">
        <v>212</v>
      </c>
      <c r="N31" s="50">
        <v>0</v>
      </c>
      <c r="O31" s="15">
        <f t="shared" si="0"/>
        <v>95</v>
      </c>
      <c r="P31" s="15">
        <f t="shared" si="1"/>
        <v>307</v>
      </c>
    </row>
    <row r="32" spans="2:32" ht="23.1" customHeight="1" x14ac:dyDescent="0.25">
      <c r="B32" s="24" t="s">
        <v>59</v>
      </c>
      <c r="C32" s="50">
        <v>34</v>
      </c>
      <c r="D32" s="50">
        <v>5</v>
      </c>
      <c r="E32" s="50">
        <v>6</v>
      </c>
      <c r="F32" s="50">
        <v>39</v>
      </c>
      <c r="G32" s="50">
        <v>2</v>
      </c>
      <c r="H32" s="50">
        <v>0</v>
      </c>
      <c r="I32" s="50">
        <v>4</v>
      </c>
      <c r="J32" s="50">
        <v>4</v>
      </c>
      <c r="K32" s="50">
        <v>0</v>
      </c>
      <c r="L32" s="50">
        <v>0</v>
      </c>
      <c r="M32" s="50">
        <v>192</v>
      </c>
      <c r="N32" s="50">
        <v>0</v>
      </c>
      <c r="O32" s="15">
        <f t="shared" si="0"/>
        <v>94</v>
      </c>
      <c r="P32" s="15">
        <f t="shared" si="1"/>
        <v>286</v>
      </c>
    </row>
    <row r="33" spans="2:20" ht="23.1" customHeight="1" x14ac:dyDescent="0.25">
      <c r="B33" s="23" t="s">
        <v>60</v>
      </c>
      <c r="C33" s="50">
        <v>36</v>
      </c>
      <c r="D33" s="50">
        <v>3</v>
      </c>
      <c r="E33" s="50">
        <v>6</v>
      </c>
      <c r="F33" s="50">
        <v>44</v>
      </c>
      <c r="G33" s="50">
        <v>1</v>
      </c>
      <c r="H33" s="50">
        <v>1</v>
      </c>
      <c r="I33" s="50">
        <v>4</v>
      </c>
      <c r="J33" s="50">
        <v>2</v>
      </c>
      <c r="K33" s="50">
        <v>0</v>
      </c>
      <c r="L33" s="50">
        <v>1</v>
      </c>
      <c r="M33" s="50">
        <v>170</v>
      </c>
      <c r="N33" s="50">
        <v>0</v>
      </c>
      <c r="O33" s="15">
        <f t="shared" si="0"/>
        <v>98</v>
      </c>
      <c r="P33" s="15">
        <f t="shared" si="1"/>
        <v>268</v>
      </c>
    </row>
    <row r="34" spans="2:20" ht="23.1" customHeight="1" x14ac:dyDescent="0.25">
      <c r="B34" s="24" t="s">
        <v>61</v>
      </c>
      <c r="C34" s="50">
        <v>46</v>
      </c>
      <c r="D34" s="50">
        <v>3</v>
      </c>
      <c r="E34" s="50">
        <v>4</v>
      </c>
      <c r="F34" s="50">
        <v>53</v>
      </c>
      <c r="G34" s="50">
        <v>1</v>
      </c>
      <c r="H34" s="50">
        <v>1</v>
      </c>
      <c r="I34" s="50">
        <v>1</v>
      </c>
      <c r="J34" s="50">
        <v>4</v>
      </c>
      <c r="K34" s="50">
        <v>0</v>
      </c>
      <c r="L34" s="50">
        <v>1</v>
      </c>
      <c r="M34" s="50">
        <v>107</v>
      </c>
      <c r="N34" s="50">
        <v>0</v>
      </c>
      <c r="O34" s="15">
        <f t="shared" si="0"/>
        <v>114</v>
      </c>
      <c r="P34" s="15">
        <f t="shared" si="1"/>
        <v>221</v>
      </c>
    </row>
    <row r="35" spans="2:20" ht="23.1" customHeight="1" x14ac:dyDescent="0.25">
      <c r="B35" s="24" t="s">
        <v>62</v>
      </c>
      <c r="C35" s="50">
        <v>29</v>
      </c>
      <c r="D35" s="50">
        <v>7</v>
      </c>
      <c r="E35" s="50">
        <v>8</v>
      </c>
      <c r="F35" s="50">
        <v>33</v>
      </c>
      <c r="G35" s="50">
        <v>0</v>
      </c>
      <c r="H35" s="50">
        <v>1</v>
      </c>
      <c r="I35" s="50">
        <v>6</v>
      </c>
      <c r="J35" s="50">
        <v>3</v>
      </c>
      <c r="K35" s="50">
        <v>1</v>
      </c>
      <c r="L35" s="50">
        <v>0</v>
      </c>
      <c r="M35" s="50">
        <v>135</v>
      </c>
      <c r="N35" s="50">
        <v>0</v>
      </c>
      <c r="O35" s="15">
        <f t="shared" si="0"/>
        <v>88</v>
      </c>
      <c r="P35" s="15">
        <f t="shared" si="1"/>
        <v>223</v>
      </c>
    </row>
    <row r="36" spans="2:20" ht="23.1" customHeight="1" x14ac:dyDescent="0.25">
      <c r="B36" s="24" t="s">
        <v>63</v>
      </c>
      <c r="C36" s="50">
        <v>20</v>
      </c>
      <c r="D36" s="50">
        <v>3</v>
      </c>
      <c r="E36" s="50">
        <v>5</v>
      </c>
      <c r="F36" s="50">
        <v>40</v>
      </c>
      <c r="G36" s="50">
        <v>1</v>
      </c>
      <c r="H36" s="50">
        <v>2</v>
      </c>
      <c r="I36" s="50">
        <v>1</v>
      </c>
      <c r="J36" s="50">
        <v>3</v>
      </c>
      <c r="K36" s="50">
        <v>0</v>
      </c>
      <c r="L36" s="50">
        <v>0</v>
      </c>
      <c r="M36" s="50">
        <v>134</v>
      </c>
      <c r="N36" s="50">
        <v>0</v>
      </c>
      <c r="O36" s="15">
        <f t="shared" si="0"/>
        <v>75</v>
      </c>
      <c r="P36" s="15">
        <f t="shared" si="1"/>
        <v>209</v>
      </c>
    </row>
    <row r="37" spans="2:20" ht="23.1" customHeight="1" x14ac:dyDescent="0.25">
      <c r="B37" s="23" t="s">
        <v>64</v>
      </c>
      <c r="C37" s="50">
        <v>28</v>
      </c>
      <c r="D37" s="50">
        <v>6</v>
      </c>
      <c r="E37" s="50">
        <v>5</v>
      </c>
      <c r="F37" s="50">
        <v>39</v>
      </c>
      <c r="G37" s="50">
        <v>0</v>
      </c>
      <c r="H37" s="50">
        <v>1</v>
      </c>
      <c r="I37" s="50">
        <v>2</v>
      </c>
      <c r="J37" s="50">
        <v>2</v>
      </c>
      <c r="K37" s="50">
        <v>0</v>
      </c>
      <c r="L37" s="50">
        <v>1</v>
      </c>
      <c r="M37" s="50">
        <v>140</v>
      </c>
      <c r="N37" s="50">
        <v>0</v>
      </c>
      <c r="O37" s="15">
        <f t="shared" si="0"/>
        <v>84</v>
      </c>
      <c r="P37" s="15">
        <f t="shared" si="1"/>
        <v>224</v>
      </c>
    </row>
    <row r="38" spans="2:20" ht="23.1" customHeight="1" x14ac:dyDescent="0.25">
      <c r="B38" s="24" t="s">
        <v>65</v>
      </c>
      <c r="C38" s="50">
        <v>21</v>
      </c>
      <c r="D38" s="50">
        <v>5</v>
      </c>
      <c r="E38" s="50">
        <v>8</v>
      </c>
      <c r="F38" s="50">
        <v>32</v>
      </c>
      <c r="G38" s="50">
        <v>2</v>
      </c>
      <c r="H38" s="50">
        <v>1</v>
      </c>
      <c r="I38" s="50">
        <v>1</v>
      </c>
      <c r="J38" s="50">
        <v>5</v>
      </c>
      <c r="K38" s="50">
        <v>0</v>
      </c>
      <c r="L38" s="50">
        <v>0</v>
      </c>
      <c r="M38" s="50">
        <v>129</v>
      </c>
      <c r="N38" s="50">
        <v>0</v>
      </c>
      <c r="O38" s="15">
        <f t="shared" si="0"/>
        <v>75</v>
      </c>
      <c r="P38" s="15">
        <f t="shared" si="1"/>
        <v>204</v>
      </c>
    </row>
    <row r="39" spans="2:20" ht="23.1" customHeight="1" x14ac:dyDescent="0.25">
      <c r="B39" s="24" t="s">
        <v>66</v>
      </c>
      <c r="C39" s="50">
        <v>24</v>
      </c>
      <c r="D39" s="50">
        <v>2</v>
      </c>
      <c r="E39" s="50">
        <v>6</v>
      </c>
      <c r="F39" s="50">
        <v>51</v>
      </c>
      <c r="G39" s="50">
        <v>1</v>
      </c>
      <c r="H39" s="50">
        <v>0</v>
      </c>
      <c r="I39" s="50">
        <v>6</v>
      </c>
      <c r="J39" s="50">
        <v>1</v>
      </c>
      <c r="K39" s="50">
        <v>0</v>
      </c>
      <c r="L39" s="50">
        <v>0</v>
      </c>
      <c r="M39" s="50">
        <v>118</v>
      </c>
      <c r="N39" s="50">
        <v>0</v>
      </c>
      <c r="O39" s="15">
        <f t="shared" si="0"/>
        <v>91</v>
      </c>
      <c r="P39" s="15">
        <f t="shared" si="1"/>
        <v>209</v>
      </c>
    </row>
    <row r="40" spans="2:20" ht="23.1" customHeight="1" x14ac:dyDescent="0.25">
      <c r="B40" s="24" t="s">
        <v>67</v>
      </c>
      <c r="C40" s="50">
        <v>26</v>
      </c>
      <c r="D40" s="50">
        <v>2</v>
      </c>
      <c r="E40" s="50">
        <v>5</v>
      </c>
      <c r="F40" s="50">
        <v>37</v>
      </c>
      <c r="G40" s="50">
        <v>1</v>
      </c>
      <c r="H40" s="50">
        <v>4</v>
      </c>
      <c r="I40" s="50">
        <v>4</v>
      </c>
      <c r="J40" s="50">
        <v>2</v>
      </c>
      <c r="K40" s="50">
        <v>0</v>
      </c>
      <c r="L40" s="50">
        <v>1</v>
      </c>
      <c r="M40" s="50">
        <v>196</v>
      </c>
      <c r="N40" s="50">
        <v>0</v>
      </c>
      <c r="O40" s="15">
        <f t="shared" si="0"/>
        <v>82</v>
      </c>
      <c r="P40" s="15">
        <f t="shared" si="1"/>
        <v>278</v>
      </c>
    </row>
    <row r="41" spans="2:20" ht="23.1" customHeight="1" x14ac:dyDescent="0.25">
      <c r="B41" s="23" t="s">
        <v>68</v>
      </c>
      <c r="C41" s="50">
        <v>36</v>
      </c>
      <c r="D41" s="50">
        <v>5</v>
      </c>
      <c r="E41" s="50">
        <v>8</v>
      </c>
      <c r="F41" s="50">
        <v>45</v>
      </c>
      <c r="G41" s="50">
        <v>1</v>
      </c>
      <c r="H41" s="50">
        <v>4</v>
      </c>
      <c r="I41" s="50">
        <v>5</v>
      </c>
      <c r="J41" s="50">
        <v>3</v>
      </c>
      <c r="K41" s="50">
        <v>0</v>
      </c>
      <c r="L41" s="50">
        <v>0</v>
      </c>
      <c r="M41" s="50">
        <v>197</v>
      </c>
      <c r="N41" s="50">
        <v>0</v>
      </c>
      <c r="O41" s="15">
        <f t="shared" si="0"/>
        <v>107</v>
      </c>
      <c r="P41" s="15">
        <f t="shared" si="1"/>
        <v>304</v>
      </c>
    </row>
    <row r="42" spans="2:20" ht="23.1" customHeight="1" x14ac:dyDescent="0.25">
      <c r="B42" s="24" t="s">
        <v>69</v>
      </c>
      <c r="C42" s="50">
        <v>24</v>
      </c>
      <c r="D42" s="50">
        <v>4</v>
      </c>
      <c r="E42" s="50">
        <v>3</v>
      </c>
      <c r="F42" s="50">
        <v>27</v>
      </c>
      <c r="G42" s="50">
        <v>0</v>
      </c>
      <c r="H42" s="50">
        <v>0</v>
      </c>
      <c r="I42" s="50">
        <v>5</v>
      </c>
      <c r="J42" s="50">
        <v>2</v>
      </c>
      <c r="K42" s="50">
        <v>1</v>
      </c>
      <c r="L42" s="50">
        <v>0</v>
      </c>
      <c r="M42" s="50">
        <v>132</v>
      </c>
      <c r="N42" s="50">
        <v>0</v>
      </c>
      <c r="O42" s="15">
        <f t="shared" si="0"/>
        <v>66</v>
      </c>
      <c r="P42" s="15">
        <f t="shared" si="1"/>
        <v>198</v>
      </c>
    </row>
    <row r="43" spans="2:20" ht="23.1" customHeight="1" x14ac:dyDescent="0.25">
      <c r="B43" s="23" t="s">
        <v>70</v>
      </c>
      <c r="C43" s="50">
        <v>40</v>
      </c>
      <c r="D43" s="50">
        <v>6</v>
      </c>
      <c r="E43" s="50">
        <v>12</v>
      </c>
      <c r="F43" s="50">
        <v>42</v>
      </c>
      <c r="G43" s="50">
        <v>1</v>
      </c>
      <c r="H43" s="50">
        <v>2</v>
      </c>
      <c r="I43" s="50">
        <v>4</v>
      </c>
      <c r="J43" s="50">
        <v>2</v>
      </c>
      <c r="K43" s="50">
        <v>0</v>
      </c>
      <c r="L43" s="50">
        <v>0</v>
      </c>
      <c r="M43" s="50">
        <v>125</v>
      </c>
      <c r="N43" s="50">
        <v>0</v>
      </c>
      <c r="O43" s="15">
        <f t="shared" si="0"/>
        <v>109</v>
      </c>
      <c r="P43" s="15">
        <f t="shared" si="1"/>
        <v>234</v>
      </c>
    </row>
    <row r="44" spans="2:20" ht="23.1" customHeight="1" x14ac:dyDescent="0.25">
      <c r="B44" s="25" t="s">
        <v>71</v>
      </c>
      <c r="C44" s="50">
        <v>25</v>
      </c>
      <c r="D44" s="50">
        <v>9</v>
      </c>
      <c r="E44" s="50">
        <v>5</v>
      </c>
      <c r="F44" s="50">
        <v>35</v>
      </c>
      <c r="G44" s="50">
        <v>0</v>
      </c>
      <c r="H44" s="50">
        <v>1</v>
      </c>
      <c r="I44" s="50">
        <v>2</v>
      </c>
      <c r="J44" s="50">
        <v>2</v>
      </c>
      <c r="K44" s="50">
        <v>0</v>
      </c>
      <c r="L44" s="50">
        <v>0</v>
      </c>
      <c r="M44" s="50">
        <v>140</v>
      </c>
      <c r="N44" s="50">
        <v>0</v>
      </c>
      <c r="O44" s="15">
        <f t="shared" si="0"/>
        <v>79</v>
      </c>
      <c r="P44" s="15">
        <f t="shared" si="1"/>
        <v>219</v>
      </c>
    </row>
    <row r="45" spans="2:20" ht="23.1" customHeight="1" x14ac:dyDescent="0.25">
      <c r="B45" s="23" t="s">
        <v>72</v>
      </c>
      <c r="C45" s="50">
        <v>17</v>
      </c>
      <c r="D45" s="50">
        <v>4</v>
      </c>
      <c r="E45" s="50">
        <v>7</v>
      </c>
      <c r="F45" s="50">
        <v>20</v>
      </c>
      <c r="G45" s="50">
        <v>1</v>
      </c>
      <c r="H45" s="50">
        <v>0</v>
      </c>
      <c r="I45" s="50">
        <v>2</v>
      </c>
      <c r="J45" s="50">
        <v>2</v>
      </c>
      <c r="K45" s="50">
        <v>1</v>
      </c>
      <c r="L45" s="50">
        <v>1</v>
      </c>
      <c r="M45" s="50">
        <v>120</v>
      </c>
      <c r="N45" s="50">
        <v>0</v>
      </c>
      <c r="O45" s="15">
        <f t="shared" si="0"/>
        <v>55</v>
      </c>
      <c r="P45" s="15">
        <f t="shared" si="1"/>
        <v>175</v>
      </c>
    </row>
    <row r="46" spans="2:20" ht="23.1" customHeight="1" x14ac:dyDescent="0.25">
      <c r="B46" s="24" t="s">
        <v>73</v>
      </c>
      <c r="C46" s="50">
        <v>35</v>
      </c>
      <c r="D46" s="50">
        <v>4</v>
      </c>
      <c r="E46" s="50">
        <v>8</v>
      </c>
      <c r="F46" s="50">
        <v>26</v>
      </c>
      <c r="G46" s="50">
        <v>1</v>
      </c>
      <c r="H46" s="50">
        <v>2</v>
      </c>
      <c r="I46" s="50">
        <v>2</v>
      </c>
      <c r="J46" s="50">
        <v>1</v>
      </c>
      <c r="K46" s="50">
        <v>0</v>
      </c>
      <c r="L46" s="50">
        <v>0</v>
      </c>
      <c r="M46" s="50">
        <v>204</v>
      </c>
      <c r="N46" s="50">
        <v>0</v>
      </c>
      <c r="O46" s="15">
        <f t="shared" si="0"/>
        <v>79</v>
      </c>
      <c r="P46" s="15">
        <f t="shared" si="1"/>
        <v>283</v>
      </c>
      <c r="R46" s="8"/>
      <c r="T46"/>
    </row>
    <row r="47" spans="2:20" ht="23.1" customHeight="1" x14ac:dyDescent="0.25">
      <c r="B47" s="24" t="s">
        <v>74</v>
      </c>
      <c r="C47" s="50">
        <v>39</v>
      </c>
      <c r="D47" s="50">
        <v>5</v>
      </c>
      <c r="E47" s="50">
        <v>3</v>
      </c>
      <c r="F47" s="50">
        <v>35</v>
      </c>
      <c r="G47" s="50">
        <v>0</v>
      </c>
      <c r="H47" s="50">
        <v>2</v>
      </c>
      <c r="I47" s="50">
        <v>5</v>
      </c>
      <c r="J47" s="50">
        <v>5</v>
      </c>
      <c r="K47" s="50">
        <v>0</v>
      </c>
      <c r="L47" s="50">
        <v>0</v>
      </c>
      <c r="M47" s="50">
        <v>143</v>
      </c>
      <c r="N47" s="50">
        <v>0</v>
      </c>
      <c r="O47" s="15">
        <f t="shared" si="0"/>
        <v>94</v>
      </c>
      <c r="P47" s="15">
        <f t="shared" si="1"/>
        <v>237</v>
      </c>
      <c r="R47" s="8"/>
      <c r="T47"/>
    </row>
    <row r="48" spans="2:20" ht="23.1" customHeight="1" x14ac:dyDescent="0.25">
      <c r="B48" s="24" t="s">
        <v>75</v>
      </c>
      <c r="C48" s="50">
        <v>47</v>
      </c>
      <c r="D48" s="50">
        <v>10</v>
      </c>
      <c r="E48" s="50">
        <v>12</v>
      </c>
      <c r="F48" s="50">
        <v>32</v>
      </c>
      <c r="G48" s="50">
        <v>1</v>
      </c>
      <c r="H48" s="50">
        <v>2</v>
      </c>
      <c r="I48" s="50">
        <v>3</v>
      </c>
      <c r="J48" s="50">
        <v>1</v>
      </c>
      <c r="K48" s="50">
        <v>1</v>
      </c>
      <c r="L48" s="50">
        <v>1</v>
      </c>
      <c r="M48" s="50">
        <v>163</v>
      </c>
      <c r="N48" s="50">
        <v>0</v>
      </c>
      <c r="O48" s="15">
        <f t="shared" si="0"/>
        <v>110</v>
      </c>
      <c r="P48" s="15">
        <f t="shared" si="1"/>
        <v>273</v>
      </c>
      <c r="R48" s="8"/>
      <c r="T48"/>
    </row>
    <row r="49" spans="2:20" ht="23.1" customHeight="1" x14ac:dyDescent="0.25">
      <c r="B49" s="23" t="s">
        <v>76</v>
      </c>
      <c r="C49" s="50">
        <v>47</v>
      </c>
      <c r="D49" s="50">
        <v>3</v>
      </c>
      <c r="E49" s="50">
        <v>6</v>
      </c>
      <c r="F49" s="50">
        <v>41</v>
      </c>
      <c r="G49" s="50">
        <v>3</v>
      </c>
      <c r="H49" s="50">
        <v>1</v>
      </c>
      <c r="I49" s="50">
        <v>1</v>
      </c>
      <c r="J49" s="50">
        <v>2</v>
      </c>
      <c r="K49" s="50">
        <v>0</v>
      </c>
      <c r="L49" s="50">
        <v>1</v>
      </c>
      <c r="M49" s="50">
        <v>92</v>
      </c>
      <c r="N49" s="50">
        <v>0</v>
      </c>
      <c r="O49" s="15">
        <f t="shared" si="0"/>
        <v>105</v>
      </c>
      <c r="P49" s="15">
        <f t="shared" si="1"/>
        <v>197</v>
      </c>
      <c r="R49" s="8"/>
      <c r="T49"/>
    </row>
    <row r="50" spans="2:20" ht="23.1" customHeight="1" x14ac:dyDescent="0.25">
      <c r="B50" s="24" t="s">
        <v>77</v>
      </c>
      <c r="C50" s="50">
        <v>56</v>
      </c>
      <c r="D50" s="50">
        <v>5</v>
      </c>
      <c r="E50" s="50">
        <v>1</v>
      </c>
      <c r="F50" s="50">
        <v>78</v>
      </c>
      <c r="G50" s="50">
        <v>0</v>
      </c>
      <c r="H50" s="50">
        <v>3</v>
      </c>
      <c r="I50" s="50">
        <v>5</v>
      </c>
      <c r="J50" s="50">
        <v>1</v>
      </c>
      <c r="K50" s="50">
        <v>0</v>
      </c>
      <c r="L50" s="50">
        <v>0</v>
      </c>
      <c r="M50" s="50">
        <v>203</v>
      </c>
      <c r="N50" s="50">
        <v>0</v>
      </c>
      <c r="O50" s="15">
        <f t="shared" si="0"/>
        <v>149</v>
      </c>
      <c r="P50" s="15">
        <f t="shared" si="1"/>
        <v>352</v>
      </c>
      <c r="R50" s="8"/>
      <c r="T50"/>
    </row>
    <row r="51" spans="2:20" ht="23.1" customHeight="1" x14ac:dyDescent="0.25">
      <c r="B51" s="24" t="s">
        <v>78</v>
      </c>
      <c r="C51" s="50">
        <v>52</v>
      </c>
      <c r="D51" s="50">
        <v>4</v>
      </c>
      <c r="E51" s="50">
        <v>2</v>
      </c>
      <c r="F51" s="50">
        <v>73</v>
      </c>
      <c r="G51" s="50">
        <v>2</v>
      </c>
      <c r="H51" s="50">
        <v>2</v>
      </c>
      <c r="I51" s="50">
        <v>1</v>
      </c>
      <c r="J51" s="50">
        <v>1</v>
      </c>
      <c r="K51" s="50">
        <v>0</v>
      </c>
      <c r="L51" s="50">
        <v>0</v>
      </c>
      <c r="M51" s="50">
        <v>186</v>
      </c>
      <c r="N51" s="50">
        <v>0</v>
      </c>
      <c r="O51" s="15">
        <f t="shared" si="0"/>
        <v>137</v>
      </c>
      <c r="P51" s="15">
        <f t="shared" si="1"/>
        <v>323</v>
      </c>
      <c r="R51" s="8"/>
      <c r="T51"/>
    </row>
    <row r="52" spans="2:20" ht="23.1" customHeight="1" x14ac:dyDescent="0.25">
      <c r="B52" s="24" t="s">
        <v>79</v>
      </c>
      <c r="C52" s="50">
        <v>58</v>
      </c>
      <c r="D52" s="50">
        <v>4</v>
      </c>
      <c r="E52" s="50">
        <v>5</v>
      </c>
      <c r="F52" s="50">
        <v>89</v>
      </c>
      <c r="G52" s="50">
        <v>0</v>
      </c>
      <c r="H52" s="50">
        <v>0</v>
      </c>
      <c r="I52" s="50">
        <v>1</v>
      </c>
      <c r="J52" s="50">
        <v>5</v>
      </c>
      <c r="K52" s="50">
        <v>0</v>
      </c>
      <c r="L52" s="50">
        <v>0</v>
      </c>
      <c r="M52" s="50">
        <v>207</v>
      </c>
      <c r="N52" s="50">
        <v>0</v>
      </c>
      <c r="O52" s="15">
        <f t="shared" si="0"/>
        <v>162</v>
      </c>
      <c r="P52" s="15">
        <f t="shared" si="1"/>
        <v>369</v>
      </c>
      <c r="R52" s="8"/>
      <c r="T52"/>
    </row>
    <row r="53" spans="2:20" ht="23.1" customHeight="1" x14ac:dyDescent="0.25">
      <c r="B53" s="23" t="s">
        <v>80</v>
      </c>
      <c r="C53" s="50">
        <v>105</v>
      </c>
      <c r="D53" s="50">
        <v>3</v>
      </c>
      <c r="E53" s="50">
        <v>3</v>
      </c>
      <c r="F53" s="50">
        <v>120</v>
      </c>
      <c r="G53" s="50">
        <v>1</v>
      </c>
      <c r="H53" s="50">
        <v>0</v>
      </c>
      <c r="I53" s="50">
        <v>20</v>
      </c>
      <c r="J53" s="50">
        <v>3</v>
      </c>
      <c r="K53" s="50">
        <v>0</v>
      </c>
      <c r="L53" s="50">
        <v>0</v>
      </c>
      <c r="M53" s="50">
        <v>230</v>
      </c>
      <c r="N53" s="50">
        <v>0</v>
      </c>
      <c r="O53" s="15">
        <f t="shared" si="0"/>
        <v>255</v>
      </c>
      <c r="P53" s="15">
        <f t="shared" si="1"/>
        <v>485</v>
      </c>
      <c r="R53" s="8"/>
      <c r="T53"/>
    </row>
    <row r="54" spans="2:20" ht="23.1" customHeight="1" x14ac:dyDescent="0.25">
      <c r="B54" s="23" t="s">
        <v>81</v>
      </c>
      <c r="C54" s="50">
        <v>125</v>
      </c>
      <c r="D54" s="50">
        <v>4</v>
      </c>
      <c r="E54" s="50">
        <v>2</v>
      </c>
      <c r="F54" s="50">
        <v>128</v>
      </c>
      <c r="G54" s="50">
        <v>1</v>
      </c>
      <c r="H54" s="50">
        <v>1</v>
      </c>
      <c r="I54" s="50">
        <v>0</v>
      </c>
      <c r="J54" s="50">
        <v>0</v>
      </c>
      <c r="K54" s="50">
        <v>1</v>
      </c>
      <c r="L54" s="50">
        <v>0</v>
      </c>
      <c r="M54" s="50">
        <v>224</v>
      </c>
      <c r="N54" s="50">
        <v>0</v>
      </c>
      <c r="O54" s="15">
        <f t="shared" si="0"/>
        <v>262</v>
      </c>
      <c r="P54" s="15">
        <f t="shared" si="1"/>
        <v>486</v>
      </c>
      <c r="R54" s="8"/>
      <c r="T54"/>
    </row>
    <row r="55" spans="2:20" ht="23.1" customHeight="1" x14ac:dyDescent="0.25">
      <c r="B55" s="23" t="s">
        <v>82</v>
      </c>
      <c r="C55" s="50">
        <v>95</v>
      </c>
      <c r="D55" s="50">
        <v>4</v>
      </c>
      <c r="E55" s="50">
        <v>1</v>
      </c>
      <c r="F55" s="50">
        <v>104</v>
      </c>
      <c r="G55" s="50">
        <v>0</v>
      </c>
      <c r="H55" s="50">
        <v>1</v>
      </c>
      <c r="I55" s="50">
        <v>4</v>
      </c>
      <c r="J55" s="50">
        <v>2</v>
      </c>
      <c r="K55" s="50">
        <v>0</v>
      </c>
      <c r="L55" s="50">
        <v>0</v>
      </c>
      <c r="M55" s="50">
        <v>205</v>
      </c>
      <c r="N55" s="50">
        <v>0</v>
      </c>
      <c r="O55" s="15">
        <f t="shared" si="0"/>
        <v>211</v>
      </c>
      <c r="P55" s="15">
        <f t="shared" si="1"/>
        <v>416</v>
      </c>
      <c r="R55" s="8"/>
      <c r="T55"/>
    </row>
    <row r="56" spans="2:20" ht="23.1" customHeight="1" x14ac:dyDescent="0.25">
      <c r="B56" s="23" t="s">
        <v>83</v>
      </c>
      <c r="C56" s="50">
        <v>90</v>
      </c>
      <c r="D56" s="50">
        <v>9</v>
      </c>
      <c r="E56" s="50">
        <v>3</v>
      </c>
      <c r="F56" s="50">
        <v>140</v>
      </c>
      <c r="G56" s="50">
        <v>2</v>
      </c>
      <c r="H56" s="50">
        <v>2</v>
      </c>
      <c r="I56" s="50">
        <v>2</v>
      </c>
      <c r="J56" s="50">
        <v>2</v>
      </c>
      <c r="K56" s="50">
        <v>0</v>
      </c>
      <c r="L56" s="50">
        <v>1</v>
      </c>
      <c r="M56" s="50">
        <v>228</v>
      </c>
      <c r="N56" s="50">
        <v>0</v>
      </c>
      <c r="O56" s="15">
        <f t="shared" si="0"/>
        <v>251</v>
      </c>
      <c r="P56" s="15">
        <f t="shared" si="1"/>
        <v>479</v>
      </c>
      <c r="R56" s="8"/>
      <c r="T56"/>
    </row>
    <row r="57" spans="2:20" ht="23.1" customHeight="1" x14ac:dyDescent="0.25">
      <c r="B57" s="23" t="s">
        <v>84</v>
      </c>
      <c r="C57" s="50">
        <v>80</v>
      </c>
      <c r="D57" s="50">
        <v>9</v>
      </c>
      <c r="E57" s="50">
        <v>8</v>
      </c>
      <c r="F57" s="50">
        <v>98</v>
      </c>
      <c r="G57" s="50">
        <v>1</v>
      </c>
      <c r="H57" s="50">
        <v>2</v>
      </c>
      <c r="I57" s="50">
        <v>6</v>
      </c>
      <c r="J57" s="50">
        <v>3</v>
      </c>
      <c r="K57" s="50">
        <v>4</v>
      </c>
      <c r="L57" s="50">
        <v>0</v>
      </c>
      <c r="M57" s="50">
        <v>237</v>
      </c>
      <c r="N57" s="50">
        <v>0</v>
      </c>
      <c r="O57" s="15">
        <f t="shared" si="0"/>
        <v>211</v>
      </c>
      <c r="P57" s="15">
        <f t="shared" si="1"/>
        <v>448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2012</v>
      </c>
      <c r="D58" s="16">
        <f t="shared" si="21"/>
        <v>227</v>
      </c>
      <c r="E58" s="16">
        <f t="shared" si="21"/>
        <v>244</v>
      </c>
      <c r="F58" s="16">
        <f t="shared" si="21"/>
        <v>2737</v>
      </c>
      <c r="G58" s="16">
        <f t="shared" si="21"/>
        <v>75</v>
      </c>
      <c r="H58" s="16">
        <f t="shared" si="21"/>
        <v>84</v>
      </c>
      <c r="I58" s="16">
        <f t="shared" si="21"/>
        <v>177</v>
      </c>
      <c r="J58" s="16">
        <f t="shared" si="21"/>
        <v>124</v>
      </c>
      <c r="K58" s="16">
        <f t="shared" si="21"/>
        <v>16</v>
      </c>
      <c r="L58" s="16">
        <f t="shared" si="21"/>
        <v>10</v>
      </c>
      <c r="M58" s="16">
        <f t="shared" si="21"/>
        <v>9612</v>
      </c>
      <c r="N58" s="16">
        <f t="shared" si="21"/>
        <v>0</v>
      </c>
      <c r="O58" s="16">
        <f t="shared" si="21"/>
        <v>5706</v>
      </c>
      <c r="P58" s="16">
        <f t="shared" si="21"/>
        <v>15318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0.13134874004439223</v>
      </c>
      <c r="D59" s="43">
        <f t="shared" si="22"/>
        <v>1.4819166993080037E-2</v>
      </c>
      <c r="E59" s="43">
        <f t="shared" si="22"/>
        <v>1.5928972450711582E-2</v>
      </c>
      <c r="F59" s="43">
        <f t="shared" si="22"/>
        <v>0.17867867867867868</v>
      </c>
      <c r="G59" s="43">
        <f t="shared" si="22"/>
        <v>4.8962005483744611E-3</v>
      </c>
      <c r="H59" s="43">
        <f t="shared" si="22"/>
        <v>5.483744614179397E-3</v>
      </c>
      <c r="I59" s="43">
        <f t="shared" si="22"/>
        <v>1.1555033294163729E-2</v>
      </c>
      <c r="J59" s="43">
        <f t="shared" si="22"/>
        <v>8.0950515733124433E-3</v>
      </c>
      <c r="K59" s="43">
        <f t="shared" si="22"/>
        <v>1.0445227836532185E-3</v>
      </c>
      <c r="L59" s="43">
        <f t="shared" si="22"/>
        <v>6.5282673978326157E-4</v>
      </c>
      <c r="M59" s="43">
        <f t="shared" si="22"/>
        <v>0.62749706227967095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0.35261128636522959</v>
      </c>
      <c r="D60" s="44">
        <f t="shared" ref="D60:N60" si="23">D58/$O$58</f>
        <v>3.9782684893094986E-2</v>
      </c>
      <c r="E60" s="44">
        <f t="shared" si="23"/>
        <v>4.276200490711532E-2</v>
      </c>
      <c r="F60" s="44">
        <f t="shared" si="23"/>
        <v>0.47967052225727302</v>
      </c>
      <c r="G60" s="44">
        <f t="shared" si="23"/>
        <v>1.3144058885383806E-2</v>
      </c>
      <c r="H60" s="44">
        <f t="shared" si="23"/>
        <v>1.4721345951629864E-2</v>
      </c>
      <c r="I60" s="44">
        <f t="shared" si="23"/>
        <v>3.1019978969505785E-2</v>
      </c>
      <c r="J60" s="44">
        <f t="shared" si="23"/>
        <v>2.1731510690501228E-2</v>
      </c>
      <c r="K60" s="44">
        <f t="shared" si="23"/>
        <v>2.8040658955485456E-3</v>
      </c>
      <c r="L60" s="44">
        <f t="shared" si="23"/>
        <v>1.7525411847178409E-3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2" t="str">
        <f>'22.07 Natete-Rubaga'!G5:H5</f>
        <v>Total Wakaliga</v>
      </c>
      <c r="H5" s="53"/>
      <c r="I5" s="14"/>
      <c r="J5" s="2" t="s">
        <v>5</v>
      </c>
      <c r="K5" s="52" t="str">
        <f>'22.07 Natete-Rubaga'!K5:L5</f>
        <v>Osigai Geoge Brian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Natete-Rubaga'!D6:E6</f>
        <v>Natete</v>
      </c>
      <c r="E6" s="53"/>
      <c r="F6" s="2" t="s">
        <v>2</v>
      </c>
      <c r="G6" s="52" t="str">
        <f>'22.07 Natete-Rubaga'!G6:H6</f>
        <v>Rubaga</v>
      </c>
      <c r="H6" s="53"/>
      <c r="J6" s="2" t="s">
        <v>21</v>
      </c>
      <c r="K6" s="52" t="str">
        <f>'22.07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38</v>
      </c>
      <c r="D10" s="50">
        <v>12</v>
      </c>
      <c r="E10" s="50">
        <v>4</v>
      </c>
      <c r="F10" s="50">
        <v>52</v>
      </c>
      <c r="G10" s="50">
        <v>2</v>
      </c>
      <c r="H10" s="50">
        <v>1</v>
      </c>
      <c r="I10" s="50">
        <v>4</v>
      </c>
      <c r="J10" s="50">
        <v>0</v>
      </c>
      <c r="K10" s="50">
        <v>0</v>
      </c>
      <c r="L10" s="50">
        <v>0</v>
      </c>
      <c r="M10" s="50">
        <v>257</v>
      </c>
      <c r="N10" s="50">
        <v>0</v>
      </c>
      <c r="O10" s="15">
        <f t="shared" ref="O10:O57" si="0">SUM(C10:L10,N10)</f>
        <v>113</v>
      </c>
      <c r="P10" s="15">
        <f t="shared" ref="P10:P57" si="1">SUM(C10:N10)</f>
        <v>370</v>
      </c>
      <c r="R10" s="1" t="s">
        <v>6</v>
      </c>
      <c r="S10" s="17">
        <f t="shared" ref="S10:AF10" si="2">SUM(C10:C13)</f>
        <v>124</v>
      </c>
      <c r="T10" s="17">
        <f t="shared" si="2"/>
        <v>32</v>
      </c>
      <c r="U10" s="17">
        <f t="shared" si="2"/>
        <v>13</v>
      </c>
      <c r="V10" s="17">
        <f t="shared" si="2"/>
        <v>179</v>
      </c>
      <c r="W10" s="17">
        <f t="shared" si="2"/>
        <v>7</v>
      </c>
      <c r="X10" s="17">
        <f t="shared" si="2"/>
        <v>2</v>
      </c>
      <c r="Y10" s="17">
        <f t="shared" si="2"/>
        <v>8</v>
      </c>
      <c r="Z10" s="17">
        <f t="shared" si="2"/>
        <v>11</v>
      </c>
      <c r="AA10" s="17">
        <f t="shared" si="2"/>
        <v>0</v>
      </c>
      <c r="AB10" s="17">
        <f t="shared" si="2"/>
        <v>0</v>
      </c>
      <c r="AC10" s="17">
        <f t="shared" si="2"/>
        <v>1326</v>
      </c>
      <c r="AD10" s="17">
        <f t="shared" si="2"/>
        <v>0</v>
      </c>
      <c r="AE10" s="31">
        <f t="shared" si="2"/>
        <v>376</v>
      </c>
      <c r="AF10" s="31">
        <f t="shared" si="2"/>
        <v>1702</v>
      </c>
    </row>
    <row r="11" spans="2:32" s="6" customFormat="1" ht="23.1" customHeight="1" x14ac:dyDescent="0.25">
      <c r="B11" s="23" t="s">
        <v>38</v>
      </c>
      <c r="C11" s="50">
        <v>20</v>
      </c>
      <c r="D11" s="50">
        <v>9</v>
      </c>
      <c r="E11" s="50">
        <v>3</v>
      </c>
      <c r="F11" s="50">
        <v>33</v>
      </c>
      <c r="G11" s="50">
        <v>0</v>
      </c>
      <c r="H11" s="50">
        <v>1</v>
      </c>
      <c r="I11" s="50">
        <v>0</v>
      </c>
      <c r="J11" s="50">
        <v>4</v>
      </c>
      <c r="K11" s="50">
        <v>0</v>
      </c>
      <c r="L11" s="50">
        <v>0</v>
      </c>
      <c r="M11" s="50">
        <v>284</v>
      </c>
      <c r="N11" s="50">
        <v>0</v>
      </c>
      <c r="O11" s="15">
        <f t="shared" si="0"/>
        <v>70</v>
      </c>
      <c r="P11" s="15">
        <f t="shared" si="1"/>
        <v>354</v>
      </c>
      <c r="R11" s="1" t="s">
        <v>7</v>
      </c>
      <c r="S11" s="17">
        <f t="shared" ref="S11:AF11" si="3">SUM(C14:C17)</f>
        <v>149</v>
      </c>
      <c r="T11" s="17">
        <f t="shared" si="3"/>
        <v>33</v>
      </c>
      <c r="U11" s="17">
        <f t="shared" si="3"/>
        <v>25</v>
      </c>
      <c r="V11" s="17">
        <f t="shared" si="3"/>
        <v>207</v>
      </c>
      <c r="W11" s="17">
        <f t="shared" si="3"/>
        <v>10</v>
      </c>
      <c r="X11" s="17">
        <f t="shared" si="3"/>
        <v>4</v>
      </c>
      <c r="Y11" s="17">
        <f t="shared" si="3"/>
        <v>11</v>
      </c>
      <c r="Z11" s="17">
        <f t="shared" si="3"/>
        <v>10</v>
      </c>
      <c r="AA11" s="17">
        <f t="shared" si="3"/>
        <v>1</v>
      </c>
      <c r="AB11" s="17">
        <f t="shared" si="3"/>
        <v>0</v>
      </c>
      <c r="AC11" s="17">
        <f t="shared" si="3"/>
        <v>1391</v>
      </c>
      <c r="AD11" s="17">
        <f t="shared" si="3"/>
        <v>0</v>
      </c>
      <c r="AE11" s="31">
        <f t="shared" si="3"/>
        <v>450</v>
      </c>
      <c r="AF11" s="31">
        <f t="shared" si="3"/>
        <v>1841</v>
      </c>
    </row>
    <row r="12" spans="2:32" ht="23.1" customHeight="1" x14ac:dyDescent="0.25">
      <c r="B12" s="23" t="s">
        <v>39</v>
      </c>
      <c r="C12" s="50">
        <v>35</v>
      </c>
      <c r="D12" s="50">
        <v>6</v>
      </c>
      <c r="E12" s="50">
        <v>4</v>
      </c>
      <c r="F12" s="50">
        <v>51</v>
      </c>
      <c r="G12" s="50">
        <v>4</v>
      </c>
      <c r="H12" s="50">
        <v>0</v>
      </c>
      <c r="I12" s="50">
        <v>2</v>
      </c>
      <c r="J12" s="50">
        <v>5</v>
      </c>
      <c r="K12" s="50">
        <v>0</v>
      </c>
      <c r="L12" s="50">
        <v>0</v>
      </c>
      <c r="M12" s="50">
        <v>340</v>
      </c>
      <c r="N12" s="50">
        <v>0</v>
      </c>
      <c r="O12" s="15">
        <f t="shared" si="0"/>
        <v>107</v>
      </c>
      <c r="P12" s="15">
        <f t="shared" si="1"/>
        <v>447</v>
      </c>
      <c r="R12" s="1" t="s">
        <v>8</v>
      </c>
      <c r="S12" s="17">
        <f t="shared" ref="S12:AF12" si="4">SUM(C18:C21)</f>
        <v>182</v>
      </c>
      <c r="T12" s="17">
        <f t="shared" si="4"/>
        <v>60</v>
      </c>
      <c r="U12" s="17">
        <f t="shared" si="4"/>
        <v>21</v>
      </c>
      <c r="V12" s="17">
        <f t="shared" si="4"/>
        <v>253</v>
      </c>
      <c r="W12" s="17">
        <f t="shared" si="4"/>
        <v>2</v>
      </c>
      <c r="X12" s="17">
        <f t="shared" si="4"/>
        <v>2</v>
      </c>
      <c r="Y12" s="17">
        <f t="shared" si="4"/>
        <v>2</v>
      </c>
      <c r="Z12" s="17">
        <f t="shared" si="4"/>
        <v>7</v>
      </c>
      <c r="AA12" s="17">
        <f t="shared" si="4"/>
        <v>2</v>
      </c>
      <c r="AB12" s="17">
        <f t="shared" si="4"/>
        <v>0</v>
      </c>
      <c r="AC12" s="17">
        <f t="shared" si="4"/>
        <v>1326</v>
      </c>
      <c r="AD12" s="17">
        <f t="shared" si="4"/>
        <v>0</v>
      </c>
      <c r="AE12" s="31">
        <f t="shared" si="4"/>
        <v>531</v>
      </c>
      <c r="AF12" s="31">
        <f t="shared" si="4"/>
        <v>1857</v>
      </c>
    </row>
    <row r="13" spans="2:32" ht="23.1" customHeight="1" x14ac:dyDescent="0.25">
      <c r="B13" s="23" t="s">
        <v>40</v>
      </c>
      <c r="C13" s="50">
        <v>31</v>
      </c>
      <c r="D13" s="50">
        <v>5</v>
      </c>
      <c r="E13" s="50">
        <v>2</v>
      </c>
      <c r="F13" s="50">
        <v>43</v>
      </c>
      <c r="G13" s="50">
        <v>1</v>
      </c>
      <c r="H13" s="50">
        <v>0</v>
      </c>
      <c r="I13" s="50">
        <v>2</v>
      </c>
      <c r="J13" s="50">
        <v>2</v>
      </c>
      <c r="K13" s="50">
        <v>0</v>
      </c>
      <c r="L13" s="50">
        <v>0</v>
      </c>
      <c r="M13" s="50">
        <v>445</v>
      </c>
      <c r="N13" s="50">
        <v>0</v>
      </c>
      <c r="O13" s="15">
        <f t="shared" si="0"/>
        <v>86</v>
      </c>
      <c r="P13" s="15">
        <f t="shared" si="1"/>
        <v>531</v>
      </c>
      <c r="R13" s="1" t="s">
        <v>9</v>
      </c>
      <c r="S13" s="17">
        <f t="shared" ref="S13:AF13" si="5">SUM(C22:C25)</f>
        <v>123</v>
      </c>
      <c r="T13" s="17">
        <f t="shared" si="5"/>
        <v>42</v>
      </c>
      <c r="U13" s="17">
        <f t="shared" si="5"/>
        <v>24</v>
      </c>
      <c r="V13" s="17">
        <f t="shared" si="5"/>
        <v>189</v>
      </c>
      <c r="W13" s="17">
        <f t="shared" si="5"/>
        <v>5</v>
      </c>
      <c r="X13" s="17">
        <f t="shared" si="5"/>
        <v>0</v>
      </c>
      <c r="Y13" s="17">
        <f t="shared" si="5"/>
        <v>4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995</v>
      </c>
      <c r="AD13" s="17">
        <f t="shared" si="5"/>
        <v>0</v>
      </c>
      <c r="AE13" s="31">
        <f t="shared" si="5"/>
        <v>390</v>
      </c>
      <c r="AF13" s="31">
        <f t="shared" si="5"/>
        <v>1385</v>
      </c>
    </row>
    <row r="14" spans="2:32" ht="23.1" customHeight="1" x14ac:dyDescent="0.25">
      <c r="B14" s="23" t="s">
        <v>41</v>
      </c>
      <c r="C14" s="50">
        <v>37</v>
      </c>
      <c r="D14" s="50">
        <v>9</v>
      </c>
      <c r="E14" s="50">
        <v>6</v>
      </c>
      <c r="F14" s="50">
        <v>43</v>
      </c>
      <c r="G14" s="50">
        <v>2</v>
      </c>
      <c r="H14" s="50">
        <v>3</v>
      </c>
      <c r="I14" s="50">
        <v>6</v>
      </c>
      <c r="J14" s="50">
        <v>0</v>
      </c>
      <c r="K14" s="50">
        <v>0</v>
      </c>
      <c r="L14" s="50">
        <v>0</v>
      </c>
      <c r="M14" s="50">
        <v>390</v>
      </c>
      <c r="N14" s="50">
        <v>0</v>
      </c>
      <c r="O14" s="15">
        <f t="shared" si="0"/>
        <v>106</v>
      </c>
      <c r="P14" s="15">
        <f t="shared" si="1"/>
        <v>496</v>
      </c>
      <c r="R14" s="1" t="s">
        <v>10</v>
      </c>
      <c r="S14" s="17">
        <f t="shared" ref="S14:AF14" si="6">SUM(C26:C29)</f>
        <v>120</v>
      </c>
      <c r="T14" s="17">
        <f t="shared" si="6"/>
        <v>34</v>
      </c>
      <c r="U14" s="17">
        <f t="shared" si="6"/>
        <v>20</v>
      </c>
      <c r="V14" s="17">
        <f t="shared" si="6"/>
        <v>143</v>
      </c>
      <c r="W14" s="17">
        <f t="shared" si="6"/>
        <v>2</v>
      </c>
      <c r="X14" s="17">
        <f t="shared" si="6"/>
        <v>2</v>
      </c>
      <c r="Y14" s="17">
        <f t="shared" si="6"/>
        <v>11</v>
      </c>
      <c r="Z14" s="17">
        <f t="shared" si="6"/>
        <v>5</v>
      </c>
      <c r="AA14" s="17">
        <f t="shared" si="6"/>
        <v>0</v>
      </c>
      <c r="AB14" s="17">
        <f t="shared" si="6"/>
        <v>1</v>
      </c>
      <c r="AC14" s="17">
        <f t="shared" si="6"/>
        <v>807</v>
      </c>
      <c r="AD14" s="17">
        <f t="shared" si="6"/>
        <v>0</v>
      </c>
      <c r="AE14" s="31">
        <f t="shared" si="6"/>
        <v>338</v>
      </c>
      <c r="AF14" s="31">
        <f t="shared" si="6"/>
        <v>1145</v>
      </c>
    </row>
    <row r="15" spans="2:32" ht="23.1" customHeight="1" x14ac:dyDescent="0.25">
      <c r="B15" s="23" t="s">
        <v>42</v>
      </c>
      <c r="C15" s="50">
        <v>33</v>
      </c>
      <c r="D15" s="50">
        <v>9</v>
      </c>
      <c r="E15" s="50">
        <v>2</v>
      </c>
      <c r="F15" s="50">
        <v>55</v>
      </c>
      <c r="G15" s="50">
        <v>3</v>
      </c>
      <c r="H15" s="50">
        <v>1</v>
      </c>
      <c r="I15" s="50">
        <v>1</v>
      </c>
      <c r="J15" s="50">
        <v>1</v>
      </c>
      <c r="K15" s="50">
        <v>0</v>
      </c>
      <c r="L15" s="50">
        <v>0</v>
      </c>
      <c r="M15" s="50">
        <v>448</v>
      </c>
      <c r="N15" s="50">
        <v>0</v>
      </c>
      <c r="O15" s="15">
        <f t="shared" si="0"/>
        <v>105</v>
      </c>
      <c r="P15" s="15">
        <f t="shared" si="1"/>
        <v>553</v>
      </c>
      <c r="R15" s="1" t="s">
        <v>11</v>
      </c>
      <c r="S15" s="17">
        <f t="shared" ref="S15:AF15" si="7">SUM(C30:C33)</f>
        <v>97</v>
      </c>
      <c r="T15" s="17">
        <f t="shared" si="7"/>
        <v>36</v>
      </c>
      <c r="U15" s="17">
        <f t="shared" si="7"/>
        <v>31</v>
      </c>
      <c r="V15" s="17">
        <f t="shared" si="7"/>
        <v>146</v>
      </c>
      <c r="W15" s="17">
        <f t="shared" si="7"/>
        <v>0</v>
      </c>
      <c r="X15" s="17">
        <f t="shared" si="7"/>
        <v>2</v>
      </c>
      <c r="Y15" s="17">
        <f t="shared" si="7"/>
        <v>8</v>
      </c>
      <c r="Z15" s="17">
        <f t="shared" si="7"/>
        <v>9</v>
      </c>
      <c r="AA15" s="17">
        <f t="shared" si="7"/>
        <v>0</v>
      </c>
      <c r="AB15" s="17">
        <f t="shared" si="7"/>
        <v>0</v>
      </c>
      <c r="AC15" s="17">
        <f t="shared" si="7"/>
        <v>593</v>
      </c>
      <c r="AD15" s="17">
        <f t="shared" si="7"/>
        <v>0</v>
      </c>
      <c r="AE15" s="31">
        <f t="shared" si="7"/>
        <v>329</v>
      </c>
      <c r="AF15" s="31">
        <f t="shared" si="7"/>
        <v>922</v>
      </c>
    </row>
    <row r="16" spans="2:32" ht="23.1" customHeight="1" x14ac:dyDescent="0.25">
      <c r="B16" s="23" t="s">
        <v>43</v>
      </c>
      <c r="C16" s="50">
        <v>27</v>
      </c>
      <c r="D16" s="50">
        <v>8</v>
      </c>
      <c r="E16" s="50">
        <v>4</v>
      </c>
      <c r="F16" s="50">
        <v>50</v>
      </c>
      <c r="G16" s="50">
        <v>4</v>
      </c>
      <c r="H16" s="50">
        <v>0</v>
      </c>
      <c r="I16" s="50">
        <v>3</v>
      </c>
      <c r="J16" s="50">
        <v>6</v>
      </c>
      <c r="K16" s="50">
        <v>0</v>
      </c>
      <c r="L16" s="50">
        <v>0</v>
      </c>
      <c r="M16" s="50">
        <v>220</v>
      </c>
      <c r="N16" s="50">
        <v>0</v>
      </c>
      <c r="O16" s="15">
        <f t="shared" si="0"/>
        <v>102</v>
      </c>
      <c r="P16" s="15">
        <f t="shared" si="1"/>
        <v>322</v>
      </c>
      <c r="R16" s="1" t="s">
        <v>12</v>
      </c>
      <c r="S16" s="17">
        <f t="shared" ref="S16:AF16" si="8">SUM(C34:C37)</f>
        <v>109</v>
      </c>
      <c r="T16" s="17">
        <f t="shared" si="8"/>
        <v>37</v>
      </c>
      <c r="U16" s="17">
        <f t="shared" si="8"/>
        <v>22</v>
      </c>
      <c r="V16" s="17">
        <f t="shared" si="8"/>
        <v>146</v>
      </c>
      <c r="W16" s="17">
        <f t="shared" si="8"/>
        <v>1</v>
      </c>
      <c r="X16" s="17">
        <f t="shared" si="8"/>
        <v>6</v>
      </c>
      <c r="Y16" s="17">
        <f t="shared" si="8"/>
        <v>15</v>
      </c>
      <c r="Z16" s="17">
        <f t="shared" si="8"/>
        <v>11</v>
      </c>
      <c r="AA16" s="17">
        <f t="shared" si="8"/>
        <v>2</v>
      </c>
      <c r="AB16" s="17">
        <f t="shared" si="8"/>
        <v>0</v>
      </c>
      <c r="AC16" s="17">
        <f t="shared" si="8"/>
        <v>575</v>
      </c>
      <c r="AD16" s="17">
        <f t="shared" si="8"/>
        <v>0</v>
      </c>
      <c r="AE16" s="31">
        <f t="shared" si="8"/>
        <v>349</v>
      </c>
      <c r="AF16" s="31">
        <f t="shared" si="8"/>
        <v>924</v>
      </c>
    </row>
    <row r="17" spans="2:32" ht="23.1" customHeight="1" x14ac:dyDescent="0.25">
      <c r="B17" s="23" t="s">
        <v>44</v>
      </c>
      <c r="C17" s="50">
        <v>52</v>
      </c>
      <c r="D17" s="50">
        <v>7</v>
      </c>
      <c r="E17" s="50">
        <v>13</v>
      </c>
      <c r="F17" s="50">
        <v>59</v>
      </c>
      <c r="G17" s="50">
        <v>1</v>
      </c>
      <c r="H17" s="50">
        <v>0</v>
      </c>
      <c r="I17" s="50">
        <v>1</v>
      </c>
      <c r="J17" s="50">
        <v>3</v>
      </c>
      <c r="K17" s="50">
        <v>1</v>
      </c>
      <c r="L17" s="50">
        <v>0</v>
      </c>
      <c r="M17" s="50">
        <v>333</v>
      </c>
      <c r="N17" s="50">
        <v>0</v>
      </c>
      <c r="O17" s="15">
        <f t="shared" si="0"/>
        <v>137</v>
      </c>
      <c r="P17" s="15">
        <f t="shared" si="1"/>
        <v>470</v>
      </c>
      <c r="R17" s="1" t="s">
        <v>13</v>
      </c>
      <c r="S17" s="17">
        <f t="shared" ref="S17:AF17" si="9">SUM(C38:C41)</f>
        <v>109</v>
      </c>
      <c r="T17" s="17">
        <f t="shared" si="9"/>
        <v>30</v>
      </c>
      <c r="U17" s="17">
        <f t="shared" si="9"/>
        <v>18</v>
      </c>
      <c r="V17" s="17">
        <f t="shared" si="9"/>
        <v>137</v>
      </c>
      <c r="W17" s="17">
        <f t="shared" si="9"/>
        <v>5</v>
      </c>
      <c r="X17" s="17">
        <f t="shared" si="9"/>
        <v>4</v>
      </c>
      <c r="Y17" s="17">
        <f t="shared" si="9"/>
        <v>1</v>
      </c>
      <c r="Z17" s="17">
        <f t="shared" si="9"/>
        <v>9</v>
      </c>
      <c r="AA17" s="17">
        <f t="shared" si="9"/>
        <v>0</v>
      </c>
      <c r="AB17" s="17">
        <f t="shared" si="9"/>
        <v>0</v>
      </c>
      <c r="AC17" s="17">
        <f t="shared" si="9"/>
        <v>591</v>
      </c>
      <c r="AD17" s="17">
        <f t="shared" si="9"/>
        <v>0</v>
      </c>
      <c r="AE17" s="31">
        <f t="shared" si="9"/>
        <v>313</v>
      </c>
      <c r="AF17" s="31">
        <f t="shared" si="9"/>
        <v>904</v>
      </c>
    </row>
    <row r="18" spans="2:32" ht="23.1" customHeight="1" x14ac:dyDescent="0.25">
      <c r="B18" s="23" t="s">
        <v>45</v>
      </c>
      <c r="C18" s="50">
        <v>58</v>
      </c>
      <c r="D18" s="50">
        <v>11</v>
      </c>
      <c r="E18" s="50">
        <v>1</v>
      </c>
      <c r="F18" s="50">
        <v>71</v>
      </c>
      <c r="G18" s="50">
        <v>1</v>
      </c>
      <c r="H18" s="50">
        <v>1</v>
      </c>
      <c r="I18" s="50">
        <v>0</v>
      </c>
      <c r="J18" s="50">
        <v>1</v>
      </c>
      <c r="K18" s="50">
        <v>1</v>
      </c>
      <c r="L18" s="50">
        <v>0</v>
      </c>
      <c r="M18" s="50">
        <v>388</v>
      </c>
      <c r="N18" s="50">
        <v>0</v>
      </c>
      <c r="O18" s="15">
        <f t="shared" si="0"/>
        <v>145</v>
      </c>
      <c r="P18" s="15">
        <f t="shared" si="1"/>
        <v>533</v>
      </c>
      <c r="R18" s="1" t="s">
        <v>14</v>
      </c>
      <c r="S18" s="17">
        <f t="shared" ref="S18:AF18" si="10">SUM(C42:C45)</f>
        <v>138</v>
      </c>
      <c r="T18" s="17">
        <f t="shared" si="10"/>
        <v>45</v>
      </c>
      <c r="U18" s="17">
        <f t="shared" si="10"/>
        <v>27</v>
      </c>
      <c r="V18" s="17">
        <f t="shared" si="10"/>
        <v>143</v>
      </c>
      <c r="W18" s="17">
        <f t="shared" si="10"/>
        <v>1</v>
      </c>
      <c r="X18" s="17">
        <f t="shared" si="10"/>
        <v>4</v>
      </c>
      <c r="Y18" s="17">
        <f t="shared" si="10"/>
        <v>9</v>
      </c>
      <c r="Z18" s="17">
        <f t="shared" si="10"/>
        <v>9</v>
      </c>
      <c r="AA18" s="17">
        <f t="shared" si="10"/>
        <v>0</v>
      </c>
      <c r="AB18" s="17">
        <f t="shared" si="10"/>
        <v>1</v>
      </c>
      <c r="AC18" s="17">
        <f t="shared" si="10"/>
        <v>605</v>
      </c>
      <c r="AD18" s="17">
        <f t="shared" si="10"/>
        <v>0</v>
      </c>
      <c r="AE18" s="31">
        <f t="shared" si="10"/>
        <v>377</v>
      </c>
      <c r="AF18" s="31">
        <f t="shared" si="10"/>
        <v>982</v>
      </c>
    </row>
    <row r="19" spans="2:32" ht="23.1" customHeight="1" x14ac:dyDescent="0.25">
      <c r="B19" s="23" t="s">
        <v>46</v>
      </c>
      <c r="C19" s="50">
        <v>57</v>
      </c>
      <c r="D19" s="50">
        <v>16</v>
      </c>
      <c r="E19" s="50">
        <v>6</v>
      </c>
      <c r="F19" s="50">
        <v>67</v>
      </c>
      <c r="G19" s="50">
        <v>1</v>
      </c>
      <c r="H19" s="50">
        <v>1</v>
      </c>
      <c r="I19" s="50">
        <v>0</v>
      </c>
      <c r="J19" s="50">
        <v>2</v>
      </c>
      <c r="K19" s="50">
        <v>0</v>
      </c>
      <c r="L19" s="50">
        <v>0</v>
      </c>
      <c r="M19" s="50">
        <v>338</v>
      </c>
      <c r="N19" s="50">
        <v>0</v>
      </c>
      <c r="O19" s="15">
        <f t="shared" si="0"/>
        <v>150</v>
      </c>
      <c r="P19" s="15">
        <f t="shared" si="1"/>
        <v>488</v>
      </c>
      <c r="R19" s="1" t="s">
        <v>15</v>
      </c>
      <c r="S19" s="17">
        <f t="shared" ref="S19:AF19" si="11">SUM(C46:C49)</f>
        <v>52</v>
      </c>
      <c r="T19" s="17">
        <f t="shared" si="11"/>
        <v>29</v>
      </c>
      <c r="U19" s="17">
        <f t="shared" si="11"/>
        <v>12</v>
      </c>
      <c r="V19" s="17">
        <f t="shared" si="11"/>
        <v>84</v>
      </c>
      <c r="W19" s="17">
        <f t="shared" si="11"/>
        <v>2</v>
      </c>
      <c r="X19" s="17">
        <f t="shared" si="11"/>
        <v>6</v>
      </c>
      <c r="Y19" s="17">
        <f t="shared" si="11"/>
        <v>23</v>
      </c>
      <c r="Z19" s="17">
        <f t="shared" si="11"/>
        <v>4</v>
      </c>
      <c r="AA19" s="17">
        <f t="shared" si="11"/>
        <v>2</v>
      </c>
      <c r="AB19" s="17">
        <f t="shared" si="11"/>
        <v>2</v>
      </c>
      <c r="AC19" s="17">
        <f t="shared" si="11"/>
        <v>408</v>
      </c>
      <c r="AD19" s="17">
        <f t="shared" si="11"/>
        <v>0</v>
      </c>
      <c r="AE19" s="31">
        <f t="shared" si="11"/>
        <v>216</v>
      </c>
      <c r="AF19" s="31">
        <f t="shared" si="11"/>
        <v>624</v>
      </c>
    </row>
    <row r="20" spans="2:32" ht="23.1" customHeight="1" x14ac:dyDescent="0.25">
      <c r="B20" s="23" t="s">
        <v>47</v>
      </c>
      <c r="C20" s="50">
        <v>42</v>
      </c>
      <c r="D20" s="50">
        <v>22</v>
      </c>
      <c r="E20" s="50">
        <v>8</v>
      </c>
      <c r="F20" s="50">
        <v>58</v>
      </c>
      <c r="G20" s="50">
        <v>0</v>
      </c>
      <c r="H20" s="50">
        <v>0</v>
      </c>
      <c r="I20" s="50">
        <v>2</v>
      </c>
      <c r="J20" s="50">
        <v>3</v>
      </c>
      <c r="K20" s="50">
        <v>0</v>
      </c>
      <c r="L20" s="50">
        <v>0</v>
      </c>
      <c r="M20" s="50">
        <v>323</v>
      </c>
      <c r="N20" s="50">
        <v>0</v>
      </c>
      <c r="O20" s="15">
        <f t="shared" si="0"/>
        <v>135</v>
      </c>
      <c r="P20" s="15">
        <f t="shared" si="1"/>
        <v>458</v>
      </c>
      <c r="R20" s="1" t="s">
        <v>16</v>
      </c>
      <c r="S20" s="17">
        <f t="shared" ref="S20:AF20" si="12">SUM(C50:C53)</f>
        <v>91</v>
      </c>
      <c r="T20" s="17">
        <f t="shared" si="12"/>
        <v>17</v>
      </c>
      <c r="U20" s="17">
        <f t="shared" si="12"/>
        <v>5</v>
      </c>
      <c r="V20" s="17">
        <f t="shared" si="12"/>
        <v>117</v>
      </c>
      <c r="W20" s="17">
        <f t="shared" si="12"/>
        <v>5</v>
      </c>
      <c r="X20" s="17">
        <f t="shared" si="12"/>
        <v>7</v>
      </c>
      <c r="Y20" s="17">
        <f t="shared" si="12"/>
        <v>23</v>
      </c>
      <c r="Z20" s="17">
        <f t="shared" si="12"/>
        <v>4</v>
      </c>
      <c r="AA20" s="17">
        <f t="shared" si="12"/>
        <v>2</v>
      </c>
      <c r="AB20" s="17">
        <f t="shared" si="12"/>
        <v>1</v>
      </c>
      <c r="AC20" s="17">
        <f t="shared" si="12"/>
        <v>264</v>
      </c>
      <c r="AD20" s="17">
        <f t="shared" si="12"/>
        <v>0</v>
      </c>
      <c r="AE20" s="31">
        <f t="shared" si="12"/>
        <v>272</v>
      </c>
      <c r="AF20" s="31">
        <f t="shared" si="12"/>
        <v>536</v>
      </c>
    </row>
    <row r="21" spans="2:32" ht="23.1" customHeight="1" x14ac:dyDescent="0.25">
      <c r="B21" s="23" t="s">
        <v>48</v>
      </c>
      <c r="C21" s="50">
        <v>25</v>
      </c>
      <c r="D21" s="50">
        <v>11</v>
      </c>
      <c r="E21" s="50">
        <v>6</v>
      </c>
      <c r="F21" s="50">
        <v>57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277</v>
      </c>
      <c r="N21" s="50">
        <v>0</v>
      </c>
      <c r="O21" s="15">
        <f t="shared" si="0"/>
        <v>101</v>
      </c>
      <c r="P21" s="15">
        <f t="shared" si="1"/>
        <v>378</v>
      </c>
      <c r="R21" s="36" t="s">
        <v>20</v>
      </c>
      <c r="S21" s="34">
        <f t="shared" ref="S21:AF21" si="13">SUM(C54:C57)</f>
        <v>63</v>
      </c>
      <c r="T21" s="17">
        <f t="shared" si="13"/>
        <v>17</v>
      </c>
      <c r="U21" s="17">
        <f t="shared" si="13"/>
        <v>12</v>
      </c>
      <c r="V21" s="17">
        <f t="shared" si="13"/>
        <v>97</v>
      </c>
      <c r="W21" s="17">
        <f t="shared" si="13"/>
        <v>0</v>
      </c>
      <c r="X21" s="17">
        <f t="shared" si="13"/>
        <v>5</v>
      </c>
      <c r="Y21" s="17">
        <f t="shared" si="13"/>
        <v>14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308</v>
      </c>
      <c r="AD21" s="17">
        <f t="shared" si="13"/>
        <v>0</v>
      </c>
      <c r="AE21" s="31">
        <f t="shared" si="13"/>
        <v>209</v>
      </c>
      <c r="AF21" s="31">
        <f t="shared" si="13"/>
        <v>517</v>
      </c>
    </row>
    <row r="22" spans="2:32" ht="23.1" customHeight="1" x14ac:dyDescent="0.25">
      <c r="B22" s="23" t="s">
        <v>49</v>
      </c>
      <c r="C22" s="50">
        <v>31</v>
      </c>
      <c r="D22" s="50">
        <v>11</v>
      </c>
      <c r="E22" s="50">
        <v>6</v>
      </c>
      <c r="F22" s="50">
        <v>58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243</v>
      </c>
      <c r="N22" s="50">
        <v>0</v>
      </c>
      <c r="O22" s="15">
        <f t="shared" si="0"/>
        <v>107</v>
      </c>
      <c r="P22" s="15">
        <f t="shared" si="1"/>
        <v>350</v>
      </c>
      <c r="R22" s="38" t="s">
        <v>90</v>
      </c>
      <c r="S22" s="39">
        <f>MAX(S10:S12)</f>
        <v>182</v>
      </c>
      <c r="T22" s="39">
        <f t="shared" ref="T22:AF22" si="14">MAX(T10:T12)</f>
        <v>60</v>
      </c>
      <c r="U22" s="39">
        <f t="shared" si="14"/>
        <v>25</v>
      </c>
      <c r="V22" s="39">
        <f t="shared" si="14"/>
        <v>253</v>
      </c>
      <c r="W22" s="39">
        <f t="shared" si="14"/>
        <v>10</v>
      </c>
      <c r="X22" s="39">
        <f t="shared" si="14"/>
        <v>4</v>
      </c>
      <c r="Y22" s="39">
        <f t="shared" si="14"/>
        <v>11</v>
      </c>
      <c r="Z22" s="39">
        <f t="shared" si="14"/>
        <v>11</v>
      </c>
      <c r="AA22" s="39">
        <f t="shared" si="14"/>
        <v>2</v>
      </c>
      <c r="AB22" s="39">
        <f t="shared" si="14"/>
        <v>0</v>
      </c>
      <c r="AC22" s="39">
        <f t="shared" si="14"/>
        <v>1391</v>
      </c>
      <c r="AD22" s="39">
        <f t="shared" si="14"/>
        <v>0</v>
      </c>
      <c r="AE22" s="40">
        <f t="shared" si="14"/>
        <v>531</v>
      </c>
      <c r="AF22" s="40">
        <f t="shared" si="14"/>
        <v>1857</v>
      </c>
    </row>
    <row r="23" spans="2:32" ht="23.1" customHeight="1" x14ac:dyDescent="0.25">
      <c r="B23" s="23" t="s">
        <v>50</v>
      </c>
      <c r="C23" s="50">
        <v>36</v>
      </c>
      <c r="D23" s="50">
        <v>12</v>
      </c>
      <c r="E23" s="50">
        <v>10</v>
      </c>
      <c r="F23" s="50">
        <v>46</v>
      </c>
      <c r="G23" s="50">
        <v>2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247</v>
      </c>
      <c r="N23" s="50">
        <v>0</v>
      </c>
      <c r="O23" s="15">
        <f t="shared" si="0"/>
        <v>110</v>
      </c>
      <c r="P23" s="15">
        <f t="shared" si="1"/>
        <v>357</v>
      </c>
      <c r="R23" s="38" t="s">
        <v>91</v>
      </c>
      <c r="S23" s="39">
        <f>MAX(S13:S18)</f>
        <v>138</v>
      </c>
      <c r="T23" s="39">
        <f t="shared" ref="T23:AF23" si="15">MAX(T13:T18)</f>
        <v>45</v>
      </c>
      <c r="U23" s="39">
        <f t="shared" si="15"/>
        <v>31</v>
      </c>
      <c r="V23" s="39">
        <f t="shared" si="15"/>
        <v>189</v>
      </c>
      <c r="W23" s="39">
        <f t="shared" si="15"/>
        <v>5</v>
      </c>
      <c r="X23" s="39">
        <f t="shared" si="15"/>
        <v>6</v>
      </c>
      <c r="Y23" s="39">
        <f t="shared" si="15"/>
        <v>15</v>
      </c>
      <c r="Z23" s="39">
        <f t="shared" si="15"/>
        <v>11</v>
      </c>
      <c r="AA23" s="39">
        <f t="shared" si="15"/>
        <v>2</v>
      </c>
      <c r="AB23" s="39">
        <f t="shared" si="15"/>
        <v>1</v>
      </c>
      <c r="AC23" s="39">
        <f t="shared" si="15"/>
        <v>995</v>
      </c>
      <c r="AD23" s="39">
        <f t="shared" si="15"/>
        <v>0</v>
      </c>
      <c r="AE23" s="40">
        <f t="shared" si="15"/>
        <v>390</v>
      </c>
      <c r="AF23" s="40">
        <f t="shared" si="15"/>
        <v>1385</v>
      </c>
    </row>
    <row r="24" spans="2:32" ht="23.1" customHeight="1" x14ac:dyDescent="0.25">
      <c r="B24" s="23" t="s">
        <v>51</v>
      </c>
      <c r="C24" s="50">
        <v>33</v>
      </c>
      <c r="D24" s="50">
        <v>9</v>
      </c>
      <c r="E24" s="50">
        <v>4</v>
      </c>
      <c r="F24" s="50">
        <v>41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222</v>
      </c>
      <c r="N24" s="50">
        <v>0</v>
      </c>
      <c r="O24" s="15">
        <f t="shared" si="0"/>
        <v>87</v>
      </c>
      <c r="P24" s="15">
        <f t="shared" si="1"/>
        <v>309</v>
      </c>
      <c r="R24" s="38" t="s">
        <v>92</v>
      </c>
      <c r="S24" s="39">
        <f>MAX(S19:S21)</f>
        <v>91</v>
      </c>
      <c r="T24" s="39">
        <f t="shared" ref="T24:AF24" si="16">MAX(T19:T21)</f>
        <v>29</v>
      </c>
      <c r="U24" s="39">
        <f t="shared" si="16"/>
        <v>12</v>
      </c>
      <c r="V24" s="39">
        <f t="shared" si="16"/>
        <v>117</v>
      </c>
      <c r="W24" s="39">
        <f t="shared" si="16"/>
        <v>5</v>
      </c>
      <c r="X24" s="39">
        <f t="shared" si="16"/>
        <v>7</v>
      </c>
      <c r="Y24" s="39">
        <f t="shared" si="16"/>
        <v>23</v>
      </c>
      <c r="Z24" s="39">
        <f t="shared" si="16"/>
        <v>4</v>
      </c>
      <c r="AA24" s="39">
        <f t="shared" si="16"/>
        <v>2</v>
      </c>
      <c r="AB24" s="39">
        <f t="shared" si="16"/>
        <v>2</v>
      </c>
      <c r="AC24" s="39">
        <f t="shared" si="16"/>
        <v>408</v>
      </c>
      <c r="AD24" s="39">
        <f t="shared" si="16"/>
        <v>0</v>
      </c>
      <c r="AE24" s="40">
        <f t="shared" si="16"/>
        <v>272</v>
      </c>
      <c r="AF24" s="40">
        <f t="shared" si="16"/>
        <v>624</v>
      </c>
    </row>
    <row r="25" spans="2:32" ht="23.1" customHeight="1" x14ac:dyDescent="0.25">
      <c r="B25" s="23" t="s">
        <v>52</v>
      </c>
      <c r="C25" s="50">
        <v>23</v>
      </c>
      <c r="D25" s="50">
        <v>10</v>
      </c>
      <c r="E25" s="50">
        <v>4</v>
      </c>
      <c r="F25" s="50">
        <v>44</v>
      </c>
      <c r="G25" s="50">
        <v>3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283</v>
      </c>
      <c r="N25" s="50">
        <v>0</v>
      </c>
      <c r="O25" s="15">
        <f t="shared" si="0"/>
        <v>86</v>
      </c>
      <c r="P25" s="15">
        <f t="shared" si="1"/>
        <v>369</v>
      </c>
      <c r="R25" s="37" t="s">
        <v>85</v>
      </c>
      <c r="S25" s="35">
        <f t="shared" ref="S25:AF25" si="17">SUM(S10:S12)</f>
        <v>455</v>
      </c>
      <c r="T25" s="16">
        <f t="shared" si="17"/>
        <v>125</v>
      </c>
      <c r="U25" s="16">
        <f t="shared" si="17"/>
        <v>59</v>
      </c>
      <c r="V25" s="16">
        <f t="shared" si="17"/>
        <v>639</v>
      </c>
      <c r="W25" s="16">
        <f t="shared" si="17"/>
        <v>19</v>
      </c>
      <c r="X25" s="16">
        <f t="shared" si="17"/>
        <v>8</v>
      </c>
      <c r="Y25" s="16">
        <f t="shared" si="17"/>
        <v>21</v>
      </c>
      <c r="Z25" s="16">
        <f t="shared" si="17"/>
        <v>28</v>
      </c>
      <c r="AA25" s="16">
        <f t="shared" si="17"/>
        <v>3</v>
      </c>
      <c r="AB25" s="16">
        <f t="shared" si="17"/>
        <v>0</v>
      </c>
      <c r="AC25" s="16">
        <f t="shared" si="17"/>
        <v>4043</v>
      </c>
      <c r="AD25" s="16">
        <f t="shared" si="17"/>
        <v>0</v>
      </c>
      <c r="AE25" s="32">
        <f t="shared" si="17"/>
        <v>1357</v>
      </c>
      <c r="AF25" s="32">
        <f t="shared" si="17"/>
        <v>5400</v>
      </c>
    </row>
    <row r="26" spans="2:32" ht="23.1" customHeight="1" x14ac:dyDescent="0.25">
      <c r="B26" s="23" t="s">
        <v>53</v>
      </c>
      <c r="C26" s="50">
        <v>22</v>
      </c>
      <c r="D26" s="50">
        <v>12</v>
      </c>
      <c r="E26" s="50">
        <v>6</v>
      </c>
      <c r="F26" s="50">
        <v>36</v>
      </c>
      <c r="G26" s="50">
        <v>0</v>
      </c>
      <c r="H26" s="50">
        <v>2</v>
      </c>
      <c r="I26" s="50">
        <v>3</v>
      </c>
      <c r="J26" s="50">
        <v>2</v>
      </c>
      <c r="K26" s="50">
        <v>0</v>
      </c>
      <c r="L26" s="50">
        <v>1</v>
      </c>
      <c r="M26" s="50">
        <v>260</v>
      </c>
      <c r="N26" s="50">
        <v>0</v>
      </c>
      <c r="O26" s="15">
        <f t="shared" si="0"/>
        <v>84</v>
      </c>
      <c r="P26" s="15">
        <f t="shared" si="1"/>
        <v>344</v>
      </c>
      <c r="R26" s="28" t="s">
        <v>86</v>
      </c>
      <c r="S26" s="16">
        <f t="shared" ref="S26:AF26" si="18">SUM(S13:S18)</f>
        <v>696</v>
      </c>
      <c r="T26" s="16">
        <f t="shared" si="18"/>
        <v>224</v>
      </c>
      <c r="U26" s="16">
        <f t="shared" si="18"/>
        <v>142</v>
      </c>
      <c r="V26" s="16">
        <f t="shared" si="18"/>
        <v>904</v>
      </c>
      <c r="W26" s="16">
        <f t="shared" si="18"/>
        <v>14</v>
      </c>
      <c r="X26" s="16">
        <f t="shared" si="18"/>
        <v>18</v>
      </c>
      <c r="Y26" s="16">
        <f t="shared" si="18"/>
        <v>48</v>
      </c>
      <c r="Z26" s="16">
        <f t="shared" si="18"/>
        <v>46</v>
      </c>
      <c r="AA26" s="16">
        <f t="shared" si="18"/>
        <v>2</v>
      </c>
      <c r="AB26" s="16">
        <f t="shared" si="18"/>
        <v>2</v>
      </c>
      <c r="AC26" s="16">
        <f t="shared" si="18"/>
        <v>4166</v>
      </c>
      <c r="AD26" s="16">
        <f t="shared" si="18"/>
        <v>0</v>
      </c>
      <c r="AE26" s="32">
        <f t="shared" si="18"/>
        <v>2096</v>
      </c>
      <c r="AF26" s="32">
        <f t="shared" si="18"/>
        <v>6262</v>
      </c>
    </row>
    <row r="27" spans="2:32" ht="23.1" customHeight="1" x14ac:dyDescent="0.25">
      <c r="B27" s="23" t="s">
        <v>54</v>
      </c>
      <c r="C27" s="50">
        <v>39</v>
      </c>
      <c r="D27" s="50">
        <v>7</v>
      </c>
      <c r="E27" s="50">
        <v>7</v>
      </c>
      <c r="F27" s="50">
        <v>43</v>
      </c>
      <c r="G27" s="50">
        <v>1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187</v>
      </c>
      <c r="N27" s="50">
        <v>0</v>
      </c>
      <c r="O27" s="15">
        <f t="shared" si="0"/>
        <v>99</v>
      </c>
      <c r="P27" s="15">
        <f t="shared" si="1"/>
        <v>286</v>
      </c>
      <c r="R27" s="29" t="s">
        <v>87</v>
      </c>
      <c r="S27" s="16">
        <f t="shared" ref="S27:AF27" si="19">SUM(S19:S21)</f>
        <v>206</v>
      </c>
      <c r="T27" s="16">
        <f t="shared" si="19"/>
        <v>63</v>
      </c>
      <c r="U27" s="16">
        <f t="shared" si="19"/>
        <v>29</v>
      </c>
      <c r="V27" s="16">
        <f t="shared" si="19"/>
        <v>298</v>
      </c>
      <c r="W27" s="16">
        <f t="shared" si="19"/>
        <v>7</v>
      </c>
      <c r="X27" s="16">
        <f t="shared" si="19"/>
        <v>18</v>
      </c>
      <c r="Y27" s="16">
        <f t="shared" si="19"/>
        <v>60</v>
      </c>
      <c r="Z27" s="16">
        <f t="shared" si="19"/>
        <v>8</v>
      </c>
      <c r="AA27" s="16">
        <f t="shared" si="19"/>
        <v>5</v>
      </c>
      <c r="AB27" s="16">
        <f t="shared" si="19"/>
        <v>3</v>
      </c>
      <c r="AC27" s="16">
        <f t="shared" si="19"/>
        <v>980</v>
      </c>
      <c r="AD27" s="16">
        <f t="shared" si="19"/>
        <v>0</v>
      </c>
      <c r="AE27" s="32">
        <f t="shared" si="19"/>
        <v>697</v>
      </c>
      <c r="AF27" s="32">
        <f t="shared" si="19"/>
        <v>1677</v>
      </c>
    </row>
    <row r="28" spans="2:32" ht="23.1" customHeight="1" x14ac:dyDescent="0.25">
      <c r="B28" s="23" t="s">
        <v>55</v>
      </c>
      <c r="C28" s="50">
        <v>28</v>
      </c>
      <c r="D28" s="50">
        <v>9</v>
      </c>
      <c r="E28" s="50">
        <v>1</v>
      </c>
      <c r="F28" s="50">
        <v>49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168</v>
      </c>
      <c r="N28" s="50">
        <v>0</v>
      </c>
      <c r="O28" s="15">
        <f t="shared" si="0"/>
        <v>87</v>
      </c>
      <c r="P28" s="15">
        <f t="shared" si="1"/>
        <v>255</v>
      </c>
      <c r="R28" s="5" t="s">
        <v>17</v>
      </c>
      <c r="S28" s="16">
        <f t="shared" ref="S28:AF28" si="20">SUM(S10:S21)</f>
        <v>1357</v>
      </c>
      <c r="T28" s="16">
        <f t="shared" si="20"/>
        <v>412</v>
      </c>
      <c r="U28" s="16">
        <f t="shared" si="20"/>
        <v>230</v>
      </c>
      <c r="V28" s="16">
        <f t="shared" si="20"/>
        <v>1841</v>
      </c>
      <c r="W28" s="16">
        <f t="shared" si="20"/>
        <v>40</v>
      </c>
      <c r="X28" s="16">
        <f t="shared" si="20"/>
        <v>44</v>
      </c>
      <c r="Y28" s="16">
        <f t="shared" si="20"/>
        <v>129</v>
      </c>
      <c r="Z28" s="16">
        <f t="shared" si="20"/>
        <v>82</v>
      </c>
      <c r="AA28" s="16">
        <f t="shared" si="20"/>
        <v>10</v>
      </c>
      <c r="AB28" s="16">
        <f t="shared" si="20"/>
        <v>5</v>
      </c>
      <c r="AC28" s="16">
        <f t="shared" si="20"/>
        <v>9189</v>
      </c>
      <c r="AD28" s="16">
        <f t="shared" si="20"/>
        <v>0</v>
      </c>
      <c r="AE28" s="32">
        <f t="shared" si="20"/>
        <v>4150</v>
      </c>
      <c r="AF28" s="32">
        <f t="shared" si="20"/>
        <v>13339</v>
      </c>
    </row>
    <row r="29" spans="2:32" ht="23.1" customHeight="1" x14ac:dyDescent="0.25">
      <c r="B29" s="23" t="s">
        <v>56</v>
      </c>
      <c r="C29" s="50">
        <v>31</v>
      </c>
      <c r="D29" s="50">
        <v>6</v>
      </c>
      <c r="E29" s="50">
        <v>6</v>
      </c>
      <c r="F29" s="50">
        <v>15</v>
      </c>
      <c r="G29" s="50">
        <v>1</v>
      </c>
      <c r="H29" s="50">
        <v>0</v>
      </c>
      <c r="I29" s="50">
        <v>7</v>
      </c>
      <c r="J29" s="50">
        <v>2</v>
      </c>
      <c r="K29" s="50">
        <v>0</v>
      </c>
      <c r="L29" s="50">
        <v>0</v>
      </c>
      <c r="M29" s="50">
        <v>192</v>
      </c>
      <c r="N29" s="50">
        <v>0</v>
      </c>
      <c r="O29" s="15">
        <f t="shared" si="0"/>
        <v>68</v>
      </c>
      <c r="P29" s="15">
        <f t="shared" si="1"/>
        <v>260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13</v>
      </c>
      <c r="E30" s="50">
        <v>8</v>
      </c>
      <c r="F30" s="50">
        <v>48</v>
      </c>
      <c r="G30" s="50">
        <v>0</v>
      </c>
      <c r="H30" s="50">
        <v>1</v>
      </c>
      <c r="I30" s="50">
        <v>0</v>
      </c>
      <c r="J30" s="50">
        <v>3</v>
      </c>
      <c r="K30" s="50">
        <v>0</v>
      </c>
      <c r="L30" s="50">
        <v>0</v>
      </c>
      <c r="M30" s="50">
        <v>153</v>
      </c>
      <c r="N30" s="50">
        <v>0</v>
      </c>
      <c r="O30" s="15">
        <f t="shared" si="0"/>
        <v>101</v>
      </c>
      <c r="P30" s="15">
        <f t="shared" si="1"/>
        <v>254</v>
      </c>
    </row>
    <row r="31" spans="2:32" ht="23.1" customHeight="1" x14ac:dyDescent="0.25">
      <c r="B31" s="24" t="s">
        <v>58</v>
      </c>
      <c r="C31" s="50">
        <v>24</v>
      </c>
      <c r="D31" s="50">
        <v>11</v>
      </c>
      <c r="E31" s="50">
        <v>4</v>
      </c>
      <c r="F31" s="50">
        <v>28</v>
      </c>
      <c r="G31" s="50">
        <v>0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88</v>
      </c>
      <c r="N31" s="50">
        <v>0</v>
      </c>
      <c r="O31" s="15">
        <f t="shared" si="0"/>
        <v>75</v>
      </c>
      <c r="P31" s="15">
        <f t="shared" si="1"/>
        <v>163</v>
      </c>
    </row>
    <row r="32" spans="2:32" ht="23.1" customHeight="1" x14ac:dyDescent="0.25">
      <c r="B32" s="24" t="s">
        <v>59</v>
      </c>
      <c r="C32" s="50">
        <v>22</v>
      </c>
      <c r="D32" s="50">
        <v>8</v>
      </c>
      <c r="E32" s="50">
        <v>8</v>
      </c>
      <c r="F32" s="50">
        <v>33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181</v>
      </c>
      <c r="N32" s="50">
        <v>0</v>
      </c>
      <c r="O32" s="15">
        <f t="shared" si="0"/>
        <v>71</v>
      </c>
      <c r="P32" s="15">
        <f t="shared" si="1"/>
        <v>252</v>
      </c>
    </row>
    <row r="33" spans="2:20" ht="23.1" customHeight="1" x14ac:dyDescent="0.25">
      <c r="B33" s="23" t="s">
        <v>60</v>
      </c>
      <c r="C33" s="50">
        <v>23</v>
      </c>
      <c r="D33" s="50">
        <v>4</v>
      </c>
      <c r="E33" s="50">
        <v>11</v>
      </c>
      <c r="F33" s="50">
        <v>37</v>
      </c>
      <c r="G33" s="50">
        <v>0</v>
      </c>
      <c r="H33" s="50">
        <v>1</v>
      </c>
      <c r="I33" s="50">
        <v>2</v>
      </c>
      <c r="J33" s="50">
        <v>4</v>
      </c>
      <c r="K33" s="50">
        <v>0</v>
      </c>
      <c r="L33" s="50">
        <v>0</v>
      </c>
      <c r="M33" s="50">
        <v>171</v>
      </c>
      <c r="N33" s="50">
        <v>0</v>
      </c>
      <c r="O33" s="15">
        <f t="shared" si="0"/>
        <v>82</v>
      </c>
      <c r="P33" s="15">
        <f t="shared" si="1"/>
        <v>253</v>
      </c>
    </row>
    <row r="34" spans="2:20" ht="23.1" customHeight="1" x14ac:dyDescent="0.25">
      <c r="B34" s="24" t="s">
        <v>61</v>
      </c>
      <c r="C34" s="50">
        <v>23</v>
      </c>
      <c r="D34" s="50">
        <v>11</v>
      </c>
      <c r="E34" s="50">
        <v>7</v>
      </c>
      <c r="F34" s="50">
        <v>23</v>
      </c>
      <c r="G34" s="50">
        <v>0</v>
      </c>
      <c r="H34" s="50">
        <v>0</v>
      </c>
      <c r="I34" s="50">
        <v>0</v>
      </c>
      <c r="J34" s="50">
        <v>2</v>
      </c>
      <c r="K34" s="50">
        <v>1</v>
      </c>
      <c r="L34" s="50">
        <v>0</v>
      </c>
      <c r="M34" s="50">
        <v>118</v>
      </c>
      <c r="N34" s="50">
        <v>0</v>
      </c>
      <c r="O34" s="15">
        <f t="shared" si="0"/>
        <v>67</v>
      </c>
      <c r="P34" s="15">
        <f t="shared" si="1"/>
        <v>185</v>
      </c>
    </row>
    <row r="35" spans="2:20" ht="23.1" customHeight="1" x14ac:dyDescent="0.25">
      <c r="B35" s="24" t="s">
        <v>62</v>
      </c>
      <c r="C35" s="50">
        <v>17</v>
      </c>
      <c r="D35" s="50">
        <v>7</v>
      </c>
      <c r="E35" s="50">
        <v>0</v>
      </c>
      <c r="F35" s="50">
        <v>34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0</v>
      </c>
      <c r="M35" s="50">
        <v>161</v>
      </c>
      <c r="N35" s="50">
        <v>0</v>
      </c>
      <c r="O35" s="15">
        <f t="shared" si="0"/>
        <v>64</v>
      </c>
      <c r="P35" s="15">
        <f t="shared" si="1"/>
        <v>225</v>
      </c>
    </row>
    <row r="36" spans="2:20" ht="23.1" customHeight="1" x14ac:dyDescent="0.25">
      <c r="B36" s="24" t="s">
        <v>63</v>
      </c>
      <c r="C36" s="50">
        <v>26</v>
      </c>
      <c r="D36" s="50">
        <v>8</v>
      </c>
      <c r="E36" s="50">
        <v>8</v>
      </c>
      <c r="F36" s="50">
        <v>43</v>
      </c>
      <c r="G36" s="50">
        <v>0</v>
      </c>
      <c r="H36" s="50">
        <v>2</v>
      </c>
      <c r="I36" s="50">
        <v>6</v>
      </c>
      <c r="J36" s="50">
        <v>4</v>
      </c>
      <c r="K36" s="50">
        <v>1</v>
      </c>
      <c r="L36" s="50">
        <v>0</v>
      </c>
      <c r="M36" s="50">
        <v>153</v>
      </c>
      <c r="N36" s="50">
        <v>0</v>
      </c>
      <c r="O36" s="15">
        <f t="shared" si="0"/>
        <v>98</v>
      </c>
      <c r="P36" s="15">
        <f t="shared" si="1"/>
        <v>251</v>
      </c>
    </row>
    <row r="37" spans="2:20" ht="23.1" customHeight="1" x14ac:dyDescent="0.25">
      <c r="B37" s="23" t="s">
        <v>64</v>
      </c>
      <c r="C37" s="50">
        <v>43</v>
      </c>
      <c r="D37" s="50">
        <v>11</v>
      </c>
      <c r="E37" s="50">
        <v>7</v>
      </c>
      <c r="F37" s="50">
        <v>46</v>
      </c>
      <c r="G37" s="50">
        <v>1</v>
      </c>
      <c r="H37" s="50">
        <v>4</v>
      </c>
      <c r="I37" s="50">
        <v>5</v>
      </c>
      <c r="J37" s="50">
        <v>3</v>
      </c>
      <c r="K37" s="50">
        <v>0</v>
      </c>
      <c r="L37" s="50">
        <v>0</v>
      </c>
      <c r="M37" s="50">
        <v>143</v>
      </c>
      <c r="N37" s="50">
        <v>0</v>
      </c>
      <c r="O37" s="15">
        <f t="shared" si="0"/>
        <v>120</v>
      </c>
      <c r="P37" s="15">
        <f t="shared" si="1"/>
        <v>263</v>
      </c>
    </row>
    <row r="38" spans="2:20" ht="23.1" customHeight="1" x14ac:dyDescent="0.25">
      <c r="B38" s="24" t="s">
        <v>65</v>
      </c>
      <c r="C38" s="50">
        <v>27</v>
      </c>
      <c r="D38" s="50">
        <v>11</v>
      </c>
      <c r="E38" s="50">
        <v>6</v>
      </c>
      <c r="F38" s="50">
        <v>46</v>
      </c>
      <c r="G38" s="50">
        <v>4</v>
      </c>
      <c r="H38" s="50">
        <v>0</v>
      </c>
      <c r="I38" s="50">
        <v>0</v>
      </c>
      <c r="J38" s="50">
        <v>3</v>
      </c>
      <c r="K38" s="50">
        <v>0</v>
      </c>
      <c r="L38" s="50">
        <v>0</v>
      </c>
      <c r="M38" s="50">
        <v>166</v>
      </c>
      <c r="N38" s="50">
        <v>0</v>
      </c>
      <c r="O38" s="15">
        <f t="shared" si="0"/>
        <v>97</v>
      </c>
      <c r="P38" s="15">
        <f t="shared" si="1"/>
        <v>263</v>
      </c>
    </row>
    <row r="39" spans="2:20" ht="23.1" customHeight="1" x14ac:dyDescent="0.25">
      <c r="B39" s="24" t="s">
        <v>66</v>
      </c>
      <c r="C39" s="50">
        <v>28</v>
      </c>
      <c r="D39" s="50">
        <v>0</v>
      </c>
      <c r="E39" s="50">
        <v>0</v>
      </c>
      <c r="F39" s="50">
        <v>33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128</v>
      </c>
      <c r="N39" s="50">
        <v>0</v>
      </c>
      <c r="O39" s="15">
        <f t="shared" si="0"/>
        <v>61</v>
      </c>
      <c r="P39" s="15">
        <f t="shared" si="1"/>
        <v>189</v>
      </c>
    </row>
    <row r="40" spans="2:20" ht="23.1" customHeight="1" x14ac:dyDescent="0.25">
      <c r="B40" s="24" t="s">
        <v>67</v>
      </c>
      <c r="C40" s="50">
        <v>21</v>
      </c>
      <c r="D40" s="50">
        <v>11</v>
      </c>
      <c r="E40" s="50">
        <v>4</v>
      </c>
      <c r="F40" s="50">
        <v>24</v>
      </c>
      <c r="G40" s="50">
        <v>0</v>
      </c>
      <c r="H40" s="50">
        <v>3</v>
      </c>
      <c r="I40" s="50">
        <v>1</v>
      </c>
      <c r="J40" s="50">
        <v>3</v>
      </c>
      <c r="K40" s="50">
        <v>0</v>
      </c>
      <c r="L40" s="50">
        <v>0</v>
      </c>
      <c r="M40" s="50">
        <v>144</v>
      </c>
      <c r="N40" s="50">
        <v>0</v>
      </c>
      <c r="O40" s="15">
        <f t="shared" si="0"/>
        <v>67</v>
      </c>
      <c r="P40" s="15">
        <f t="shared" si="1"/>
        <v>211</v>
      </c>
    </row>
    <row r="41" spans="2:20" ht="23.1" customHeight="1" x14ac:dyDescent="0.25">
      <c r="B41" s="23" t="s">
        <v>68</v>
      </c>
      <c r="C41" s="50">
        <v>33</v>
      </c>
      <c r="D41" s="50">
        <v>8</v>
      </c>
      <c r="E41" s="50">
        <v>8</v>
      </c>
      <c r="F41" s="50">
        <v>34</v>
      </c>
      <c r="G41" s="50">
        <v>1</v>
      </c>
      <c r="H41" s="50">
        <v>1</v>
      </c>
      <c r="I41" s="50">
        <v>0</v>
      </c>
      <c r="J41" s="50">
        <v>3</v>
      </c>
      <c r="K41" s="50">
        <v>0</v>
      </c>
      <c r="L41" s="50">
        <v>0</v>
      </c>
      <c r="M41" s="50">
        <v>153</v>
      </c>
      <c r="N41" s="50">
        <v>0</v>
      </c>
      <c r="O41" s="15">
        <f t="shared" si="0"/>
        <v>88</v>
      </c>
      <c r="P41" s="15">
        <f t="shared" si="1"/>
        <v>241</v>
      </c>
    </row>
    <row r="42" spans="2:20" ht="23.1" customHeight="1" x14ac:dyDescent="0.25">
      <c r="B42" s="24" t="s">
        <v>69</v>
      </c>
      <c r="C42" s="50">
        <v>28</v>
      </c>
      <c r="D42" s="50">
        <v>11</v>
      </c>
      <c r="E42" s="50">
        <v>9</v>
      </c>
      <c r="F42" s="50">
        <v>31</v>
      </c>
      <c r="G42" s="50">
        <v>0</v>
      </c>
      <c r="H42" s="50">
        <v>2</v>
      </c>
      <c r="I42" s="50">
        <v>6</v>
      </c>
      <c r="J42" s="50">
        <v>2</v>
      </c>
      <c r="K42" s="50">
        <v>0</v>
      </c>
      <c r="L42" s="50">
        <v>0</v>
      </c>
      <c r="M42" s="50">
        <v>144</v>
      </c>
      <c r="N42" s="50">
        <v>0</v>
      </c>
      <c r="O42" s="15">
        <f t="shared" si="0"/>
        <v>89</v>
      </c>
      <c r="P42" s="15">
        <f t="shared" si="1"/>
        <v>233</v>
      </c>
    </row>
    <row r="43" spans="2:20" ht="23.1" customHeight="1" x14ac:dyDescent="0.25">
      <c r="B43" s="23" t="s">
        <v>70</v>
      </c>
      <c r="C43" s="50">
        <v>33</v>
      </c>
      <c r="D43" s="50">
        <v>13</v>
      </c>
      <c r="E43" s="50">
        <v>9</v>
      </c>
      <c r="F43" s="50">
        <v>33</v>
      </c>
      <c r="G43" s="50">
        <v>1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134</v>
      </c>
      <c r="N43" s="50">
        <v>0</v>
      </c>
      <c r="O43" s="15">
        <f t="shared" si="0"/>
        <v>92</v>
      </c>
      <c r="P43" s="15">
        <f t="shared" si="1"/>
        <v>226</v>
      </c>
    </row>
    <row r="44" spans="2:20" ht="23.1" customHeight="1" x14ac:dyDescent="0.25">
      <c r="B44" s="25" t="s">
        <v>71</v>
      </c>
      <c r="C44" s="50">
        <v>38</v>
      </c>
      <c r="D44" s="50">
        <v>13</v>
      </c>
      <c r="E44" s="50">
        <v>1</v>
      </c>
      <c r="F44" s="50">
        <v>31</v>
      </c>
      <c r="G44" s="50">
        <v>0</v>
      </c>
      <c r="H44" s="50">
        <v>0</v>
      </c>
      <c r="I44" s="50">
        <v>3</v>
      </c>
      <c r="J44" s="50">
        <v>4</v>
      </c>
      <c r="K44" s="50">
        <v>0</v>
      </c>
      <c r="L44" s="50">
        <v>1</v>
      </c>
      <c r="M44" s="50">
        <v>154</v>
      </c>
      <c r="N44" s="50">
        <v>0</v>
      </c>
      <c r="O44" s="15">
        <f t="shared" si="0"/>
        <v>91</v>
      </c>
      <c r="P44" s="15">
        <f t="shared" si="1"/>
        <v>245</v>
      </c>
    </row>
    <row r="45" spans="2:20" ht="23.1" customHeight="1" x14ac:dyDescent="0.25">
      <c r="B45" s="23" t="s">
        <v>72</v>
      </c>
      <c r="C45" s="50">
        <v>39</v>
      </c>
      <c r="D45" s="50">
        <v>8</v>
      </c>
      <c r="E45" s="50">
        <v>8</v>
      </c>
      <c r="F45" s="50">
        <v>48</v>
      </c>
      <c r="G45" s="50">
        <v>0</v>
      </c>
      <c r="H45" s="50">
        <v>2</v>
      </c>
      <c r="I45" s="50">
        <v>0</v>
      </c>
      <c r="J45" s="50">
        <v>0</v>
      </c>
      <c r="K45" s="50">
        <v>0</v>
      </c>
      <c r="L45" s="50">
        <v>0</v>
      </c>
      <c r="M45" s="50">
        <v>173</v>
      </c>
      <c r="N45" s="50">
        <v>0</v>
      </c>
      <c r="O45" s="15">
        <f t="shared" si="0"/>
        <v>105</v>
      </c>
      <c r="P45" s="15">
        <f t="shared" si="1"/>
        <v>278</v>
      </c>
    </row>
    <row r="46" spans="2:20" ht="23.1" customHeight="1" x14ac:dyDescent="0.25">
      <c r="B46" s="24" t="s">
        <v>73</v>
      </c>
      <c r="C46" s="50">
        <v>11</v>
      </c>
      <c r="D46" s="50">
        <v>13</v>
      </c>
      <c r="E46" s="50">
        <v>7</v>
      </c>
      <c r="F46" s="50">
        <v>14</v>
      </c>
      <c r="G46" s="50">
        <v>0</v>
      </c>
      <c r="H46" s="50">
        <v>1</v>
      </c>
      <c r="I46" s="50">
        <v>7</v>
      </c>
      <c r="J46" s="50">
        <v>2</v>
      </c>
      <c r="K46" s="50">
        <v>0</v>
      </c>
      <c r="L46" s="50">
        <v>0</v>
      </c>
      <c r="M46" s="50">
        <v>138</v>
      </c>
      <c r="N46" s="50">
        <v>0</v>
      </c>
      <c r="O46" s="15">
        <f t="shared" si="0"/>
        <v>55</v>
      </c>
      <c r="P46" s="15">
        <f t="shared" si="1"/>
        <v>193</v>
      </c>
      <c r="R46" s="8"/>
      <c r="T46"/>
    </row>
    <row r="47" spans="2:20" ht="23.1" customHeight="1" x14ac:dyDescent="0.25">
      <c r="B47" s="24" t="s">
        <v>74</v>
      </c>
      <c r="C47" s="50">
        <v>13</v>
      </c>
      <c r="D47" s="50">
        <v>7</v>
      </c>
      <c r="E47" s="50">
        <v>2</v>
      </c>
      <c r="F47" s="50">
        <v>15</v>
      </c>
      <c r="G47" s="50">
        <v>0</v>
      </c>
      <c r="H47" s="50">
        <v>1</v>
      </c>
      <c r="I47" s="50">
        <v>6</v>
      </c>
      <c r="J47" s="50">
        <v>1</v>
      </c>
      <c r="K47" s="50">
        <v>0</v>
      </c>
      <c r="L47" s="50">
        <v>0</v>
      </c>
      <c r="M47" s="50">
        <v>112</v>
      </c>
      <c r="N47" s="50">
        <v>0</v>
      </c>
      <c r="O47" s="15">
        <f t="shared" si="0"/>
        <v>45</v>
      </c>
      <c r="P47" s="15">
        <f t="shared" si="1"/>
        <v>157</v>
      </c>
      <c r="R47" s="8"/>
      <c r="T47"/>
    </row>
    <row r="48" spans="2:20" ht="23.1" customHeight="1" x14ac:dyDescent="0.25">
      <c r="B48" s="24" t="s">
        <v>75</v>
      </c>
      <c r="C48" s="50">
        <v>18</v>
      </c>
      <c r="D48" s="50">
        <v>4</v>
      </c>
      <c r="E48" s="50">
        <v>1</v>
      </c>
      <c r="F48" s="50">
        <v>25</v>
      </c>
      <c r="G48" s="50">
        <v>2</v>
      </c>
      <c r="H48" s="50">
        <v>4</v>
      </c>
      <c r="I48" s="50">
        <v>5</v>
      </c>
      <c r="J48" s="50">
        <v>0</v>
      </c>
      <c r="K48" s="50">
        <v>1</v>
      </c>
      <c r="L48" s="50">
        <v>1</v>
      </c>
      <c r="M48" s="50">
        <v>85</v>
      </c>
      <c r="N48" s="50">
        <v>0</v>
      </c>
      <c r="O48" s="15">
        <f t="shared" si="0"/>
        <v>61</v>
      </c>
      <c r="P48" s="15">
        <f t="shared" si="1"/>
        <v>146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5</v>
      </c>
      <c r="E49" s="50">
        <v>2</v>
      </c>
      <c r="F49" s="50">
        <v>30</v>
      </c>
      <c r="G49" s="50">
        <v>0</v>
      </c>
      <c r="H49" s="50">
        <v>0</v>
      </c>
      <c r="I49" s="50">
        <v>5</v>
      </c>
      <c r="J49" s="50">
        <v>1</v>
      </c>
      <c r="K49" s="50">
        <v>1</v>
      </c>
      <c r="L49" s="50">
        <v>1</v>
      </c>
      <c r="M49" s="50">
        <v>73</v>
      </c>
      <c r="N49" s="50">
        <v>0</v>
      </c>
      <c r="O49" s="15">
        <f t="shared" si="0"/>
        <v>55</v>
      </c>
      <c r="P49" s="15">
        <f t="shared" si="1"/>
        <v>128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5</v>
      </c>
      <c r="E50" s="50">
        <v>1</v>
      </c>
      <c r="F50" s="50">
        <v>28</v>
      </c>
      <c r="G50" s="50">
        <v>4</v>
      </c>
      <c r="H50" s="50">
        <v>4</v>
      </c>
      <c r="I50" s="50">
        <v>9</v>
      </c>
      <c r="J50" s="50">
        <v>1</v>
      </c>
      <c r="K50" s="50">
        <v>1</v>
      </c>
      <c r="L50" s="50">
        <v>0</v>
      </c>
      <c r="M50" s="50">
        <v>43</v>
      </c>
      <c r="N50" s="50">
        <v>0</v>
      </c>
      <c r="O50" s="15">
        <f t="shared" si="0"/>
        <v>61</v>
      </c>
      <c r="P50" s="15">
        <f t="shared" si="1"/>
        <v>104</v>
      </c>
      <c r="R50" s="8"/>
      <c r="T50"/>
    </row>
    <row r="51" spans="2:20" ht="23.1" customHeight="1" x14ac:dyDescent="0.25">
      <c r="B51" s="24" t="s">
        <v>78</v>
      </c>
      <c r="C51" s="50">
        <v>8</v>
      </c>
      <c r="D51" s="50">
        <v>4</v>
      </c>
      <c r="E51" s="50">
        <v>1</v>
      </c>
      <c r="F51" s="50">
        <v>28</v>
      </c>
      <c r="G51" s="50">
        <v>0</v>
      </c>
      <c r="H51" s="50">
        <v>0</v>
      </c>
      <c r="I51" s="50">
        <v>9</v>
      </c>
      <c r="J51" s="50">
        <v>0</v>
      </c>
      <c r="K51" s="50">
        <v>1</v>
      </c>
      <c r="L51" s="50">
        <v>0</v>
      </c>
      <c r="M51" s="50">
        <v>56</v>
      </c>
      <c r="N51" s="50">
        <v>0</v>
      </c>
      <c r="O51" s="15">
        <f t="shared" si="0"/>
        <v>51</v>
      </c>
      <c r="P51" s="15">
        <f t="shared" si="1"/>
        <v>107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6</v>
      </c>
      <c r="E52" s="50">
        <v>1</v>
      </c>
      <c r="F52" s="50">
        <v>31</v>
      </c>
      <c r="G52" s="50">
        <v>1</v>
      </c>
      <c r="H52" s="50">
        <v>1</v>
      </c>
      <c r="I52" s="50">
        <v>2</v>
      </c>
      <c r="J52" s="50">
        <v>0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62</v>
      </c>
      <c r="P52" s="15">
        <f t="shared" si="1"/>
        <v>137</v>
      </c>
      <c r="R52" s="8"/>
      <c r="T52"/>
    </row>
    <row r="53" spans="2:20" ht="23.1" customHeight="1" x14ac:dyDescent="0.25">
      <c r="B53" s="23" t="s">
        <v>80</v>
      </c>
      <c r="C53" s="50">
        <v>55</v>
      </c>
      <c r="D53" s="50">
        <v>2</v>
      </c>
      <c r="E53" s="50">
        <v>2</v>
      </c>
      <c r="F53" s="50">
        <v>30</v>
      </c>
      <c r="G53" s="50">
        <v>0</v>
      </c>
      <c r="H53" s="50">
        <v>2</v>
      </c>
      <c r="I53" s="50">
        <v>3</v>
      </c>
      <c r="J53" s="50">
        <v>3</v>
      </c>
      <c r="K53" s="50">
        <v>0</v>
      </c>
      <c r="L53" s="50">
        <v>1</v>
      </c>
      <c r="M53" s="50">
        <v>90</v>
      </c>
      <c r="N53" s="50">
        <v>0</v>
      </c>
      <c r="O53" s="15">
        <f t="shared" si="0"/>
        <v>98</v>
      </c>
      <c r="P53" s="15">
        <f t="shared" si="1"/>
        <v>188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5</v>
      </c>
      <c r="E54" s="50">
        <v>1</v>
      </c>
      <c r="F54" s="50">
        <v>33</v>
      </c>
      <c r="G54" s="50">
        <v>0</v>
      </c>
      <c r="H54" s="50">
        <v>3</v>
      </c>
      <c r="I54" s="50">
        <v>8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59</v>
      </c>
      <c r="P54" s="15">
        <f t="shared" si="1"/>
        <v>81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4</v>
      </c>
      <c r="E55" s="50">
        <v>0</v>
      </c>
      <c r="F55" s="50">
        <v>15</v>
      </c>
      <c r="G55" s="50">
        <v>0</v>
      </c>
      <c r="H55" s="50">
        <v>2</v>
      </c>
      <c r="I55" s="50">
        <v>2</v>
      </c>
      <c r="J55" s="50">
        <v>0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26</v>
      </c>
      <c r="P55" s="15">
        <f t="shared" si="1"/>
        <v>101</v>
      </c>
      <c r="R55" s="8"/>
      <c r="T55"/>
    </row>
    <row r="56" spans="2:20" ht="23.1" customHeight="1" x14ac:dyDescent="0.25">
      <c r="B56" s="23" t="s">
        <v>83</v>
      </c>
      <c r="C56" s="50">
        <v>23</v>
      </c>
      <c r="D56" s="50">
        <v>6</v>
      </c>
      <c r="E56" s="50">
        <v>3</v>
      </c>
      <c r="F56" s="50">
        <v>31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148</v>
      </c>
      <c r="N56" s="50">
        <v>0</v>
      </c>
      <c r="O56" s="15">
        <f t="shared" si="0"/>
        <v>64</v>
      </c>
      <c r="P56" s="15">
        <f t="shared" si="1"/>
        <v>212</v>
      </c>
      <c r="R56" s="8"/>
      <c r="T56"/>
    </row>
    <row r="57" spans="2:20" ht="23.1" customHeight="1" x14ac:dyDescent="0.25">
      <c r="B57" s="23" t="s">
        <v>84</v>
      </c>
      <c r="C57" s="50">
        <v>28</v>
      </c>
      <c r="D57" s="50">
        <v>2</v>
      </c>
      <c r="E57" s="50">
        <v>8</v>
      </c>
      <c r="F57" s="50">
        <v>18</v>
      </c>
      <c r="G57" s="50">
        <v>0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63</v>
      </c>
      <c r="N57" s="50">
        <v>0</v>
      </c>
      <c r="O57" s="15">
        <f t="shared" si="0"/>
        <v>60</v>
      </c>
      <c r="P57" s="15">
        <f t="shared" si="1"/>
        <v>123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1357</v>
      </c>
      <c r="D58" s="16">
        <f t="shared" si="21"/>
        <v>412</v>
      </c>
      <c r="E58" s="16">
        <f t="shared" si="21"/>
        <v>230</v>
      </c>
      <c r="F58" s="16">
        <f t="shared" si="21"/>
        <v>1841</v>
      </c>
      <c r="G58" s="16">
        <f t="shared" si="21"/>
        <v>40</v>
      </c>
      <c r="H58" s="16">
        <f t="shared" si="21"/>
        <v>44</v>
      </c>
      <c r="I58" s="16">
        <f t="shared" si="21"/>
        <v>129</v>
      </c>
      <c r="J58" s="16">
        <f t="shared" si="21"/>
        <v>82</v>
      </c>
      <c r="K58" s="16">
        <f t="shared" si="21"/>
        <v>10</v>
      </c>
      <c r="L58" s="16">
        <f t="shared" si="21"/>
        <v>5</v>
      </c>
      <c r="M58" s="16">
        <f t="shared" si="21"/>
        <v>9189</v>
      </c>
      <c r="N58" s="16">
        <f t="shared" si="21"/>
        <v>0</v>
      </c>
      <c r="O58" s="16">
        <f t="shared" si="21"/>
        <v>4150</v>
      </c>
      <c r="P58" s="16">
        <f t="shared" si="21"/>
        <v>13339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0.10173176400029987</v>
      </c>
      <c r="D59" s="43">
        <f t="shared" si="22"/>
        <v>3.0886873078941449E-2</v>
      </c>
      <c r="E59" s="43">
        <f t="shared" si="22"/>
        <v>1.7242671864457604E-2</v>
      </c>
      <c r="F59" s="43">
        <f t="shared" si="22"/>
        <v>0.13801634305420196</v>
      </c>
      <c r="G59" s="43">
        <f t="shared" si="22"/>
        <v>2.9987255416448009E-3</v>
      </c>
      <c r="H59" s="43">
        <f t="shared" si="22"/>
        <v>3.2985980958092809E-3</v>
      </c>
      <c r="I59" s="43">
        <f t="shared" si="22"/>
        <v>9.670889871804483E-3</v>
      </c>
      <c r="J59" s="43">
        <f t="shared" si="22"/>
        <v>6.1473873603718416E-3</v>
      </c>
      <c r="K59" s="43">
        <f t="shared" si="22"/>
        <v>7.4968138541120022E-4</v>
      </c>
      <c r="L59" s="43">
        <f t="shared" si="22"/>
        <v>3.7484069270560011E-4</v>
      </c>
      <c r="M59" s="43">
        <f t="shared" si="22"/>
        <v>0.68888222505435193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0.32698795180722889</v>
      </c>
      <c r="D60" s="44">
        <f t="shared" ref="D60:N60" si="23">D58/$O$58</f>
        <v>9.927710843373494E-2</v>
      </c>
      <c r="E60" s="44">
        <f t="shared" si="23"/>
        <v>5.5421686746987948E-2</v>
      </c>
      <c r="F60" s="44">
        <f t="shared" si="23"/>
        <v>0.4436144578313253</v>
      </c>
      <c r="G60" s="44">
        <f t="shared" si="23"/>
        <v>9.6385542168674707E-3</v>
      </c>
      <c r="H60" s="44">
        <f t="shared" si="23"/>
        <v>1.0602409638554217E-2</v>
      </c>
      <c r="I60" s="44">
        <f t="shared" si="23"/>
        <v>3.1084337349397591E-2</v>
      </c>
      <c r="J60" s="44">
        <f t="shared" si="23"/>
        <v>1.9759036144578312E-2</v>
      </c>
      <c r="K60" s="44">
        <f t="shared" si="23"/>
        <v>2.4096385542168677E-3</v>
      </c>
      <c r="L60" s="44">
        <f t="shared" si="23"/>
        <v>1.2048192771084338E-3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Rubaga-Natete'!C3:G3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Natete-Rubaga'!D5</f>
        <v>24.07.19</v>
      </c>
      <c r="E5" s="3"/>
      <c r="F5" s="41" t="s">
        <v>1</v>
      </c>
      <c r="G5" s="52" t="str">
        <f>'22.07 Natete-Rubaga'!G5:H5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Rubaga-Natete'!D6:E6</f>
        <v>Rubaga</v>
      </c>
      <c r="E6" s="53"/>
      <c r="F6" s="2" t="s">
        <v>2</v>
      </c>
      <c r="G6" s="52" t="str">
        <f>'22.07 Rubaga-Natete'!G6:H6</f>
        <v>Natete</v>
      </c>
      <c r="H6" s="53"/>
      <c r="J6" s="2" t="s">
        <v>21</v>
      </c>
      <c r="K6" s="52" t="str">
        <f>'22.07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43</v>
      </c>
      <c r="D10" s="50">
        <v>2</v>
      </c>
      <c r="E10" s="50">
        <v>1</v>
      </c>
      <c r="F10" s="50">
        <v>48</v>
      </c>
      <c r="G10" s="50">
        <v>2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89</v>
      </c>
      <c r="N10" s="50">
        <v>0</v>
      </c>
      <c r="O10" s="15">
        <f t="shared" ref="O10:O57" si="0">SUM(C10:L10,N10)</f>
        <v>99</v>
      </c>
      <c r="P10" s="15">
        <f t="shared" ref="P10:P57" si="1">SUM(C10:N10)</f>
        <v>188</v>
      </c>
      <c r="R10" s="1" t="s">
        <v>6</v>
      </c>
      <c r="S10" s="17">
        <f t="shared" ref="S10:AF10" si="2">SUM(C10:C13)</f>
        <v>115</v>
      </c>
      <c r="T10" s="17">
        <f t="shared" si="2"/>
        <v>6</v>
      </c>
      <c r="U10" s="17">
        <f t="shared" si="2"/>
        <v>12</v>
      </c>
      <c r="V10" s="17">
        <f t="shared" si="2"/>
        <v>150</v>
      </c>
      <c r="W10" s="17">
        <f t="shared" si="2"/>
        <v>10</v>
      </c>
      <c r="X10" s="17">
        <f t="shared" si="2"/>
        <v>3</v>
      </c>
      <c r="Y10" s="17">
        <f t="shared" si="2"/>
        <v>8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503</v>
      </c>
      <c r="AD10" s="17">
        <f t="shared" si="2"/>
        <v>0</v>
      </c>
      <c r="AE10" s="31">
        <f t="shared" si="2"/>
        <v>308</v>
      </c>
      <c r="AF10" s="31">
        <f t="shared" si="2"/>
        <v>811</v>
      </c>
    </row>
    <row r="11" spans="2:32" s="6" customFormat="1" ht="23.1" customHeight="1" x14ac:dyDescent="0.25">
      <c r="B11" s="23" t="s">
        <v>38</v>
      </c>
      <c r="C11" s="50">
        <v>26</v>
      </c>
      <c r="D11" s="50">
        <v>0</v>
      </c>
      <c r="E11" s="50">
        <v>0</v>
      </c>
      <c r="F11" s="50">
        <v>43</v>
      </c>
      <c r="G11" s="50">
        <v>1</v>
      </c>
      <c r="H11" s="50">
        <v>1</v>
      </c>
      <c r="I11" s="50">
        <v>1</v>
      </c>
      <c r="J11" s="50">
        <v>0</v>
      </c>
      <c r="K11" s="50">
        <v>0</v>
      </c>
      <c r="L11" s="50">
        <v>0</v>
      </c>
      <c r="M11" s="50">
        <v>62</v>
      </c>
      <c r="N11" s="50">
        <v>0</v>
      </c>
      <c r="O11" s="15">
        <f t="shared" si="0"/>
        <v>72</v>
      </c>
      <c r="P11" s="15">
        <f t="shared" si="1"/>
        <v>134</v>
      </c>
      <c r="R11" s="1" t="s">
        <v>7</v>
      </c>
      <c r="S11" s="17">
        <f t="shared" ref="S11:AF11" si="3">SUM(C14:C17)</f>
        <v>86</v>
      </c>
      <c r="T11" s="17">
        <f t="shared" si="3"/>
        <v>14</v>
      </c>
      <c r="U11" s="17">
        <f t="shared" si="3"/>
        <v>12</v>
      </c>
      <c r="V11" s="17">
        <f t="shared" si="3"/>
        <v>161</v>
      </c>
      <c r="W11" s="17">
        <f t="shared" si="3"/>
        <v>5</v>
      </c>
      <c r="X11" s="17">
        <f t="shared" si="3"/>
        <v>7</v>
      </c>
      <c r="Y11" s="17">
        <f t="shared" si="3"/>
        <v>4</v>
      </c>
      <c r="Z11" s="17">
        <f t="shared" si="3"/>
        <v>7</v>
      </c>
      <c r="AA11" s="17">
        <f t="shared" si="3"/>
        <v>0</v>
      </c>
      <c r="AB11" s="17">
        <f t="shared" si="3"/>
        <v>1</v>
      </c>
      <c r="AC11" s="17">
        <f t="shared" si="3"/>
        <v>798</v>
      </c>
      <c r="AD11" s="17">
        <f t="shared" si="3"/>
        <v>0</v>
      </c>
      <c r="AE11" s="31">
        <f t="shared" si="3"/>
        <v>297</v>
      </c>
      <c r="AF11" s="31">
        <f t="shared" si="3"/>
        <v>1095</v>
      </c>
    </row>
    <row r="12" spans="2:32" ht="23.1" customHeight="1" x14ac:dyDescent="0.25">
      <c r="B12" s="23" t="s">
        <v>39</v>
      </c>
      <c r="C12" s="50">
        <v>28</v>
      </c>
      <c r="D12" s="50">
        <v>3</v>
      </c>
      <c r="E12" s="50">
        <v>6</v>
      </c>
      <c r="F12" s="50">
        <v>30</v>
      </c>
      <c r="G12" s="50">
        <v>5</v>
      </c>
      <c r="H12" s="50">
        <v>1</v>
      </c>
      <c r="I12" s="50">
        <v>2</v>
      </c>
      <c r="J12" s="50">
        <v>2</v>
      </c>
      <c r="K12" s="50">
        <v>0</v>
      </c>
      <c r="L12" s="50">
        <v>0</v>
      </c>
      <c r="M12" s="50">
        <v>177</v>
      </c>
      <c r="N12" s="50">
        <v>0</v>
      </c>
      <c r="O12" s="15">
        <f t="shared" si="0"/>
        <v>77</v>
      </c>
      <c r="P12" s="15">
        <f t="shared" si="1"/>
        <v>254</v>
      </c>
      <c r="R12" s="1" t="s">
        <v>8</v>
      </c>
      <c r="S12" s="17">
        <f t="shared" ref="S12:AF12" si="4">SUM(C18:C21)</f>
        <v>108</v>
      </c>
      <c r="T12" s="17">
        <f t="shared" si="4"/>
        <v>17</v>
      </c>
      <c r="U12" s="17">
        <f t="shared" si="4"/>
        <v>14</v>
      </c>
      <c r="V12" s="17">
        <f t="shared" si="4"/>
        <v>154</v>
      </c>
      <c r="W12" s="17">
        <f t="shared" si="4"/>
        <v>4</v>
      </c>
      <c r="X12" s="17">
        <f t="shared" si="4"/>
        <v>7</v>
      </c>
      <c r="Y12" s="17">
        <f t="shared" si="4"/>
        <v>7</v>
      </c>
      <c r="Z12" s="17">
        <f t="shared" si="4"/>
        <v>6</v>
      </c>
      <c r="AA12" s="17">
        <f t="shared" si="4"/>
        <v>2</v>
      </c>
      <c r="AB12" s="17">
        <f t="shared" si="4"/>
        <v>0</v>
      </c>
      <c r="AC12" s="17">
        <f t="shared" si="4"/>
        <v>870</v>
      </c>
      <c r="AD12" s="17">
        <f t="shared" si="4"/>
        <v>0</v>
      </c>
      <c r="AE12" s="31">
        <f t="shared" si="4"/>
        <v>319</v>
      </c>
      <c r="AF12" s="31">
        <f t="shared" si="4"/>
        <v>1189</v>
      </c>
    </row>
    <row r="13" spans="2:32" ht="23.1" customHeight="1" x14ac:dyDescent="0.25">
      <c r="B13" s="23" t="s">
        <v>40</v>
      </c>
      <c r="C13" s="50">
        <v>18</v>
      </c>
      <c r="D13" s="50">
        <v>1</v>
      </c>
      <c r="E13" s="50">
        <v>5</v>
      </c>
      <c r="F13" s="50">
        <v>29</v>
      </c>
      <c r="G13" s="50">
        <v>2</v>
      </c>
      <c r="H13" s="50">
        <v>1</v>
      </c>
      <c r="I13" s="50">
        <v>3</v>
      </c>
      <c r="J13" s="50">
        <v>1</v>
      </c>
      <c r="K13" s="50">
        <v>0</v>
      </c>
      <c r="L13" s="50">
        <v>0</v>
      </c>
      <c r="M13" s="50">
        <v>175</v>
      </c>
      <c r="N13" s="50">
        <v>0</v>
      </c>
      <c r="O13" s="15">
        <f t="shared" si="0"/>
        <v>60</v>
      </c>
      <c r="P13" s="15">
        <f t="shared" si="1"/>
        <v>235</v>
      </c>
      <c r="R13" s="1" t="s">
        <v>9</v>
      </c>
      <c r="S13" s="17">
        <f t="shared" ref="S13:AF13" si="5">SUM(C22:C25)</f>
        <v>103</v>
      </c>
      <c r="T13" s="17">
        <f t="shared" si="5"/>
        <v>8</v>
      </c>
      <c r="U13" s="17">
        <f t="shared" si="5"/>
        <v>25</v>
      </c>
      <c r="V13" s="17">
        <f t="shared" si="5"/>
        <v>157</v>
      </c>
      <c r="W13" s="17">
        <f t="shared" si="5"/>
        <v>8</v>
      </c>
      <c r="X13" s="17">
        <f t="shared" si="5"/>
        <v>7</v>
      </c>
      <c r="Y13" s="17">
        <f t="shared" si="5"/>
        <v>10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793</v>
      </c>
      <c r="AD13" s="17">
        <f t="shared" si="5"/>
        <v>0</v>
      </c>
      <c r="AE13" s="31">
        <f t="shared" si="5"/>
        <v>331</v>
      </c>
      <c r="AF13" s="31">
        <f t="shared" si="5"/>
        <v>1124</v>
      </c>
    </row>
    <row r="14" spans="2:32" ht="23.1" customHeight="1" x14ac:dyDescent="0.25">
      <c r="B14" s="23" t="s">
        <v>41</v>
      </c>
      <c r="C14" s="50">
        <v>24</v>
      </c>
      <c r="D14" s="50">
        <v>5</v>
      </c>
      <c r="E14" s="50">
        <v>3</v>
      </c>
      <c r="F14" s="50">
        <v>40</v>
      </c>
      <c r="G14" s="50">
        <v>1</v>
      </c>
      <c r="H14" s="50">
        <v>2</v>
      </c>
      <c r="I14" s="50">
        <v>1</v>
      </c>
      <c r="J14" s="50">
        <v>1</v>
      </c>
      <c r="K14" s="50">
        <v>0</v>
      </c>
      <c r="L14" s="50">
        <v>1</v>
      </c>
      <c r="M14" s="50">
        <v>177</v>
      </c>
      <c r="N14" s="50">
        <v>0</v>
      </c>
      <c r="O14" s="15">
        <f t="shared" si="0"/>
        <v>78</v>
      </c>
      <c r="P14" s="15">
        <f t="shared" si="1"/>
        <v>255</v>
      </c>
      <c r="R14" s="1" t="s">
        <v>10</v>
      </c>
      <c r="S14" s="17">
        <f t="shared" ref="S14:AF14" si="6">SUM(C26:C29)</f>
        <v>145</v>
      </c>
      <c r="T14" s="17">
        <f t="shared" si="6"/>
        <v>21</v>
      </c>
      <c r="U14" s="17">
        <f t="shared" si="6"/>
        <v>26</v>
      </c>
      <c r="V14" s="17">
        <f t="shared" si="6"/>
        <v>147</v>
      </c>
      <c r="W14" s="17">
        <f t="shared" si="6"/>
        <v>3</v>
      </c>
      <c r="X14" s="17">
        <f t="shared" si="6"/>
        <v>12</v>
      </c>
      <c r="Y14" s="17">
        <f t="shared" si="6"/>
        <v>15</v>
      </c>
      <c r="Z14" s="17">
        <f t="shared" si="6"/>
        <v>18</v>
      </c>
      <c r="AA14" s="17">
        <f t="shared" si="6"/>
        <v>0</v>
      </c>
      <c r="AB14" s="17">
        <f t="shared" si="6"/>
        <v>1</v>
      </c>
      <c r="AC14" s="17">
        <f t="shared" si="6"/>
        <v>910</v>
      </c>
      <c r="AD14" s="17">
        <f t="shared" si="6"/>
        <v>0</v>
      </c>
      <c r="AE14" s="31">
        <f t="shared" si="6"/>
        <v>388</v>
      </c>
      <c r="AF14" s="31">
        <f t="shared" si="6"/>
        <v>1298</v>
      </c>
    </row>
    <row r="15" spans="2:32" ht="23.1" customHeight="1" x14ac:dyDescent="0.25">
      <c r="B15" s="23" t="s">
        <v>42</v>
      </c>
      <c r="C15" s="50">
        <v>19</v>
      </c>
      <c r="D15" s="50">
        <v>1</v>
      </c>
      <c r="E15" s="50">
        <v>5</v>
      </c>
      <c r="F15" s="50">
        <v>38</v>
      </c>
      <c r="G15" s="50">
        <v>1</v>
      </c>
      <c r="H15" s="50">
        <v>3</v>
      </c>
      <c r="I15" s="50">
        <v>1</v>
      </c>
      <c r="J15" s="50">
        <v>2</v>
      </c>
      <c r="K15" s="50">
        <v>0</v>
      </c>
      <c r="L15" s="50">
        <v>0</v>
      </c>
      <c r="M15" s="50">
        <v>199</v>
      </c>
      <c r="N15" s="50">
        <v>0</v>
      </c>
      <c r="O15" s="15">
        <f t="shared" si="0"/>
        <v>70</v>
      </c>
      <c r="P15" s="15">
        <f t="shared" si="1"/>
        <v>269</v>
      </c>
      <c r="R15" s="1" t="s">
        <v>11</v>
      </c>
      <c r="S15" s="17">
        <f t="shared" ref="S15:AF15" si="7">SUM(C30:C33)</f>
        <v>148</v>
      </c>
      <c r="T15" s="17">
        <f t="shared" si="7"/>
        <v>24</v>
      </c>
      <c r="U15" s="17">
        <f t="shared" si="7"/>
        <v>31</v>
      </c>
      <c r="V15" s="17">
        <f t="shared" si="7"/>
        <v>175</v>
      </c>
      <c r="W15" s="17">
        <f t="shared" si="7"/>
        <v>9</v>
      </c>
      <c r="X15" s="17">
        <f t="shared" si="7"/>
        <v>5</v>
      </c>
      <c r="Y15" s="17">
        <f t="shared" si="7"/>
        <v>17</v>
      </c>
      <c r="Z15" s="17">
        <f t="shared" si="7"/>
        <v>12</v>
      </c>
      <c r="AA15" s="17">
        <f t="shared" si="7"/>
        <v>2</v>
      </c>
      <c r="AB15" s="17">
        <f t="shared" si="7"/>
        <v>1</v>
      </c>
      <c r="AC15" s="17">
        <f t="shared" si="7"/>
        <v>798</v>
      </c>
      <c r="AD15" s="17">
        <f t="shared" si="7"/>
        <v>0</v>
      </c>
      <c r="AE15" s="31">
        <f t="shared" si="7"/>
        <v>424</v>
      </c>
      <c r="AF15" s="31">
        <f t="shared" si="7"/>
        <v>1222</v>
      </c>
    </row>
    <row r="16" spans="2:32" ht="23.1" customHeight="1" x14ac:dyDescent="0.25">
      <c r="B16" s="23" t="s">
        <v>43</v>
      </c>
      <c r="C16" s="50">
        <v>33</v>
      </c>
      <c r="D16" s="50">
        <v>5</v>
      </c>
      <c r="E16" s="50">
        <v>4</v>
      </c>
      <c r="F16" s="50">
        <v>42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234</v>
      </c>
      <c r="N16" s="50">
        <v>0</v>
      </c>
      <c r="O16" s="15">
        <f t="shared" si="0"/>
        <v>87</v>
      </c>
      <c r="P16" s="15">
        <f t="shared" si="1"/>
        <v>321</v>
      </c>
      <c r="R16" s="1" t="s">
        <v>12</v>
      </c>
      <c r="S16" s="17">
        <f t="shared" ref="S16:AF16" si="8">SUM(C34:C37)</f>
        <v>123</v>
      </c>
      <c r="T16" s="17">
        <f t="shared" si="8"/>
        <v>16</v>
      </c>
      <c r="U16" s="17">
        <f t="shared" si="8"/>
        <v>20</v>
      </c>
      <c r="V16" s="17">
        <f t="shared" si="8"/>
        <v>167</v>
      </c>
      <c r="W16" s="17">
        <f t="shared" si="8"/>
        <v>12</v>
      </c>
      <c r="X16" s="17">
        <f t="shared" si="8"/>
        <v>6</v>
      </c>
      <c r="Y16" s="17">
        <f t="shared" si="8"/>
        <v>13</v>
      </c>
      <c r="Z16" s="17">
        <f t="shared" si="8"/>
        <v>12</v>
      </c>
      <c r="AA16" s="17">
        <f t="shared" si="8"/>
        <v>0</v>
      </c>
      <c r="AB16" s="17">
        <f t="shared" si="8"/>
        <v>2</v>
      </c>
      <c r="AC16" s="17">
        <f t="shared" si="8"/>
        <v>597</v>
      </c>
      <c r="AD16" s="17">
        <f t="shared" si="8"/>
        <v>0</v>
      </c>
      <c r="AE16" s="31">
        <f t="shared" si="8"/>
        <v>371</v>
      </c>
      <c r="AF16" s="31">
        <f t="shared" si="8"/>
        <v>968</v>
      </c>
    </row>
    <row r="17" spans="2:32" ht="23.1" customHeight="1" x14ac:dyDescent="0.25">
      <c r="B17" s="23" t="s">
        <v>44</v>
      </c>
      <c r="C17" s="50">
        <v>10</v>
      </c>
      <c r="D17" s="50">
        <v>3</v>
      </c>
      <c r="E17" s="50">
        <v>0</v>
      </c>
      <c r="F17" s="50">
        <v>41</v>
      </c>
      <c r="G17" s="50">
        <v>2</v>
      </c>
      <c r="H17" s="50">
        <v>2</v>
      </c>
      <c r="I17" s="50">
        <v>1</v>
      </c>
      <c r="J17" s="50">
        <v>3</v>
      </c>
      <c r="K17" s="50">
        <v>0</v>
      </c>
      <c r="L17" s="50">
        <v>0</v>
      </c>
      <c r="M17" s="50">
        <v>188</v>
      </c>
      <c r="N17" s="50">
        <v>0</v>
      </c>
      <c r="O17" s="15">
        <f t="shared" si="0"/>
        <v>62</v>
      </c>
      <c r="P17" s="15">
        <f t="shared" si="1"/>
        <v>250</v>
      </c>
      <c r="R17" s="1" t="s">
        <v>13</v>
      </c>
      <c r="S17" s="17">
        <f t="shared" ref="S17:AF17" si="9">SUM(C38:C41)</f>
        <v>133</v>
      </c>
      <c r="T17" s="17">
        <f t="shared" si="9"/>
        <v>17</v>
      </c>
      <c r="U17" s="17">
        <f t="shared" si="9"/>
        <v>16</v>
      </c>
      <c r="V17" s="17">
        <f t="shared" si="9"/>
        <v>155</v>
      </c>
      <c r="W17" s="17">
        <f t="shared" si="9"/>
        <v>3</v>
      </c>
      <c r="X17" s="17">
        <f t="shared" si="9"/>
        <v>7</v>
      </c>
      <c r="Y17" s="17">
        <f t="shared" si="9"/>
        <v>17</v>
      </c>
      <c r="Z17" s="17">
        <f t="shared" si="9"/>
        <v>12</v>
      </c>
      <c r="AA17" s="17">
        <f t="shared" si="9"/>
        <v>0</v>
      </c>
      <c r="AB17" s="17">
        <f t="shared" si="9"/>
        <v>3</v>
      </c>
      <c r="AC17" s="17">
        <f t="shared" si="9"/>
        <v>431</v>
      </c>
      <c r="AD17" s="17">
        <f t="shared" si="9"/>
        <v>0</v>
      </c>
      <c r="AE17" s="31">
        <f t="shared" si="9"/>
        <v>363</v>
      </c>
      <c r="AF17" s="31">
        <f t="shared" si="9"/>
        <v>794</v>
      </c>
    </row>
    <row r="18" spans="2:32" ht="23.1" customHeight="1" x14ac:dyDescent="0.25">
      <c r="B18" s="23" t="s">
        <v>45</v>
      </c>
      <c r="C18" s="50">
        <v>18</v>
      </c>
      <c r="D18" s="50">
        <v>4</v>
      </c>
      <c r="E18" s="50">
        <v>4</v>
      </c>
      <c r="F18" s="50">
        <v>40</v>
      </c>
      <c r="G18" s="50">
        <v>1</v>
      </c>
      <c r="H18" s="50">
        <v>2</v>
      </c>
      <c r="I18" s="50">
        <v>1</v>
      </c>
      <c r="J18" s="50">
        <v>1</v>
      </c>
      <c r="K18" s="50">
        <v>0</v>
      </c>
      <c r="L18" s="50">
        <v>0</v>
      </c>
      <c r="M18" s="50">
        <v>210</v>
      </c>
      <c r="N18" s="50">
        <v>0</v>
      </c>
      <c r="O18" s="15">
        <f t="shared" si="0"/>
        <v>71</v>
      </c>
      <c r="P18" s="15">
        <f t="shared" si="1"/>
        <v>281</v>
      </c>
      <c r="R18" s="1" t="s">
        <v>14</v>
      </c>
      <c r="S18" s="17">
        <f t="shared" ref="S18:AF18" si="10">SUM(C42:C45)</f>
        <v>137</v>
      </c>
      <c r="T18" s="17">
        <f t="shared" si="10"/>
        <v>12</v>
      </c>
      <c r="U18" s="17">
        <f t="shared" si="10"/>
        <v>22</v>
      </c>
      <c r="V18" s="17">
        <f t="shared" si="10"/>
        <v>121</v>
      </c>
      <c r="W18" s="17">
        <f t="shared" si="10"/>
        <v>4</v>
      </c>
      <c r="X18" s="17">
        <f t="shared" si="10"/>
        <v>6</v>
      </c>
      <c r="Y18" s="17">
        <f t="shared" si="10"/>
        <v>14</v>
      </c>
      <c r="Z18" s="17">
        <f t="shared" si="10"/>
        <v>7</v>
      </c>
      <c r="AA18" s="17">
        <f t="shared" si="10"/>
        <v>0</v>
      </c>
      <c r="AB18" s="17">
        <f t="shared" si="10"/>
        <v>1</v>
      </c>
      <c r="AC18" s="17">
        <f t="shared" si="10"/>
        <v>535</v>
      </c>
      <c r="AD18" s="17">
        <f t="shared" si="10"/>
        <v>0</v>
      </c>
      <c r="AE18" s="31">
        <f t="shared" si="10"/>
        <v>324</v>
      </c>
      <c r="AF18" s="31">
        <f t="shared" si="10"/>
        <v>859</v>
      </c>
    </row>
    <row r="19" spans="2:32" ht="23.1" customHeight="1" x14ac:dyDescent="0.25">
      <c r="B19" s="23" t="s">
        <v>46</v>
      </c>
      <c r="C19" s="50">
        <v>26</v>
      </c>
      <c r="D19" s="50">
        <v>4</v>
      </c>
      <c r="E19" s="50">
        <v>3</v>
      </c>
      <c r="F19" s="50">
        <v>27</v>
      </c>
      <c r="G19" s="50">
        <v>2</v>
      </c>
      <c r="H19" s="50">
        <v>3</v>
      </c>
      <c r="I19" s="50">
        <v>1</v>
      </c>
      <c r="J19" s="50">
        <v>1</v>
      </c>
      <c r="K19" s="50">
        <v>1</v>
      </c>
      <c r="L19" s="50">
        <v>0</v>
      </c>
      <c r="M19" s="50">
        <v>205</v>
      </c>
      <c r="N19" s="50">
        <v>0</v>
      </c>
      <c r="O19" s="15">
        <f t="shared" si="0"/>
        <v>68</v>
      </c>
      <c r="P19" s="15">
        <f t="shared" si="1"/>
        <v>273</v>
      </c>
      <c r="R19" s="1" t="s">
        <v>15</v>
      </c>
      <c r="S19" s="17">
        <f t="shared" ref="S19:AF19" si="11">SUM(C46:C49)</f>
        <v>222</v>
      </c>
      <c r="T19" s="17">
        <f t="shared" si="11"/>
        <v>17</v>
      </c>
      <c r="U19" s="17">
        <f t="shared" si="11"/>
        <v>16</v>
      </c>
      <c r="V19" s="17">
        <f t="shared" si="11"/>
        <v>301</v>
      </c>
      <c r="W19" s="17">
        <f t="shared" si="11"/>
        <v>7</v>
      </c>
      <c r="X19" s="17">
        <f t="shared" si="11"/>
        <v>6</v>
      </c>
      <c r="Y19" s="17">
        <f t="shared" si="11"/>
        <v>4</v>
      </c>
      <c r="Z19" s="17">
        <f t="shared" si="11"/>
        <v>6</v>
      </c>
      <c r="AA19" s="17">
        <f t="shared" si="11"/>
        <v>2</v>
      </c>
      <c r="AB19" s="17">
        <f t="shared" si="11"/>
        <v>0</v>
      </c>
      <c r="AC19" s="17">
        <f t="shared" si="11"/>
        <v>577</v>
      </c>
      <c r="AD19" s="17">
        <f t="shared" si="11"/>
        <v>0</v>
      </c>
      <c r="AE19" s="31">
        <f t="shared" si="11"/>
        <v>581</v>
      </c>
      <c r="AF19" s="31">
        <f t="shared" si="11"/>
        <v>1158</v>
      </c>
    </row>
    <row r="20" spans="2:32" ht="23.1" customHeight="1" x14ac:dyDescent="0.25">
      <c r="B20" s="23" t="s">
        <v>47</v>
      </c>
      <c r="C20" s="50">
        <v>31</v>
      </c>
      <c r="D20" s="50">
        <v>2</v>
      </c>
      <c r="E20" s="50">
        <v>4</v>
      </c>
      <c r="F20" s="50">
        <v>55</v>
      </c>
      <c r="G20" s="50">
        <v>0</v>
      </c>
      <c r="H20" s="50">
        <v>1</v>
      </c>
      <c r="I20" s="50">
        <v>3</v>
      </c>
      <c r="J20" s="50">
        <v>2</v>
      </c>
      <c r="K20" s="50">
        <v>0</v>
      </c>
      <c r="L20" s="50">
        <v>0</v>
      </c>
      <c r="M20" s="50">
        <v>235</v>
      </c>
      <c r="N20" s="50">
        <v>0</v>
      </c>
      <c r="O20" s="15">
        <f t="shared" si="0"/>
        <v>98</v>
      </c>
      <c r="P20" s="15">
        <f t="shared" si="1"/>
        <v>333</v>
      </c>
      <c r="R20" s="1" t="s">
        <v>16</v>
      </c>
      <c r="S20" s="17">
        <f t="shared" ref="S20:AF20" si="12">SUM(C50:C53)</f>
        <v>293</v>
      </c>
      <c r="T20" s="17">
        <f t="shared" si="12"/>
        <v>11</v>
      </c>
      <c r="U20" s="17">
        <f t="shared" si="12"/>
        <v>18</v>
      </c>
      <c r="V20" s="17">
        <f t="shared" si="12"/>
        <v>288</v>
      </c>
      <c r="W20" s="17">
        <f t="shared" si="12"/>
        <v>5</v>
      </c>
      <c r="X20" s="17">
        <f t="shared" si="12"/>
        <v>7</v>
      </c>
      <c r="Y20" s="17">
        <f t="shared" si="12"/>
        <v>11</v>
      </c>
      <c r="Z20" s="17">
        <f t="shared" si="12"/>
        <v>12</v>
      </c>
      <c r="AA20" s="17">
        <f t="shared" si="12"/>
        <v>3</v>
      </c>
      <c r="AB20" s="17">
        <f t="shared" si="12"/>
        <v>5</v>
      </c>
      <c r="AC20" s="17">
        <f t="shared" si="12"/>
        <v>691</v>
      </c>
      <c r="AD20" s="17">
        <f t="shared" si="12"/>
        <v>0</v>
      </c>
      <c r="AE20" s="31">
        <f t="shared" si="12"/>
        <v>653</v>
      </c>
      <c r="AF20" s="31">
        <f t="shared" si="12"/>
        <v>1344</v>
      </c>
    </row>
    <row r="21" spans="2:32" ht="23.1" customHeight="1" x14ac:dyDescent="0.25">
      <c r="B21" s="23" t="s">
        <v>48</v>
      </c>
      <c r="C21" s="50">
        <v>33</v>
      </c>
      <c r="D21" s="50">
        <v>7</v>
      </c>
      <c r="E21" s="50">
        <v>3</v>
      </c>
      <c r="F21" s="50">
        <v>32</v>
      </c>
      <c r="G21" s="50">
        <v>1</v>
      </c>
      <c r="H21" s="50">
        <v>1</v>
      </c>
      <c r="I21" s="50">
        <v>2</v>
      </c>
      <c r="J21" s="50">
        <v>2</v>
      </c>
      <c r="K21" s="50">
        <v>1</v>
      </c>
      <c r="L21" s="50">
        <v>0</v>
      </c>
      <c r="M21" s="50">
        <v>220</v>
      </c>
      <c r="N21" s="50">
        <v>0</v>
      </c>
      <c r="O21" s="15">
        <f t="shared" si="0"/>
        <v>82</v>
      </c>
      <c r="P21" s="15">
        <f t="shared" si="1"/>
        <v>302</v>
      </c>
      <c r="R21" s="36" t="s">
        <v>20</v>
      </c>
      <c r="S21" s="34">
        <f t="shared" ref="S21:AF21" si="13">SUM(C54:C57)</f>
        <v>277</v>
      </c>
      <c r="T21" s="17">
        <f t="shared" si="13"/>
        <v>18</v>
      </c>
      <c r="U21" s="17">
        <f t="shared" si="13"/>
        <v>20</v>
      </c>
      <c r="V21" s="17">
        <f t="shared" si="13"/>
        <v>330</v>
      </c>
      <c r="W21" s="17">
        <f t="shared" si="13"/>
        <v>9</v>
      </c>
      <c r="X21" s="17">
        <f t="shared" si="13"/>
        <v>2</v>
      </c>
      <c r="Y21" s="17">
        <f t="shared" si="13"/>
        <v>10</v>
      </c>
      <c r="Z21" s="17">
        <f t="shared" si="13"/>
        <v>8</v>
      </c>
      <c r="AA21" s="17">
        <f t="shared" si="13"/>
        <v>1</v>
      </c>
      <c r="AB21" s="17">
        <f t="shared" si="13"/>
        <v>3</v>
      </c>
      <c r="AC21" s="17">
        <f t="shared" si="13"/>
        <v>751</v>
      </c>
      <c r="AD21" s="17">
        <f t="shared" si="13"/>
        <v>0</v>
      </c>
      <c r="AE21" s="31">
        <f t="shared" si="13"/>
        <v>678</v>
      </c>
      <c r="AF21" s="31">
        <f t="shared" si="13"/>
        <v>1429</v>
      </c>
    </row>
    <row r="22" spans="2:32" ht="23.1" customHeight="1" x14ac:dyDescent="0.25">
      <c r="B22" s="23" t="s">
        <v>49</v>
      </c>
      <c r="C22" s="50">
        <v>22</v>
      </c>
      <c r="D22" s="50">
        <v>1</v>
      </c>
      <c r="E22" s="50">
        <v>4</v>
      </c>
      <c r="F22" s="50">
        <v>25</v>
      </c>
      <c r="G22" s="50">
        <v>3</v>
      </c>
      <c r="H22" s="50">
        <v>1</v>
      </c>
      <c r="I22" s="50">
        <v>2</v>
      </c>
      <c r="J22" s="50">
        <v>1</v>
      </c>
      <c r="K22" s="50">
        <v>0</v>
      </c>
      <c r="L22" s="50">
        <v>0</v>
      </c>
      <c r="M22" s="50">
        <v>200</v>
      </c>
      <c r="N22" s="50">
        <v>0</v>
      </c>
      <c r="O22" s="15">
        <f t="shared" si="0"/>
        <v>59</v>
      </c>
      <c r="P22" s="15">
        <f t="shared" si="1"/>
        <v>259</v>
      </c>
      <c r="R22" s="38" t="s">
        <v>90</v>
      </c>
      <c r="S22" s="39">
        <f>MAX(S10:S12)</f>
        <v>115</v>
      </c>
      <c r="T22" s="39">
        <f t="shared" ref="T22:AF22" si="14">MAX(T10:T12)</f>
        <v>17</v>
      </c>
      <c r="U22" s="39">
        <f t="shared" si="14"/>
        <v>14</v>
      </c>
      <c r="V22" s="39">
        <f t="shared" si="14"/>
        <v>161</v>
      </c>
      <c r="W22" s="39">
        <f t="shared" si="14"/>
        <v>10</v>
      </c>
      <c r="X22" s="39">
        <f t="shared" si="14"/>
        <v>7</v>
      </c>
      <c r="Y22" s="39">
        <f t="shared" si="14"/>
        <v>8</v>
      </c>
      <c r="Z22" s="39">
        <f t="shared" si="14"/>
        <v>7</v>
      </c>
      <c r="AA22" s="39">
        <f t="shared" si="14"/>
        <v>2</v>
      </c>
      <c r="AB22" s="39">
        <f t="shared" si="14"/>
        <v>1</v>
      </c>
      <c r="AC22" s="39">
        <f t="shared" si="14"/>
        <v>870</v>
      </c>
      <c r="AD22" s="39">
        <f t="shared" si="14"/>
        <v>0</v>
      </c>
      <c r="AE22" s="40">
        <f t="shared" si="14"/>
        <v>319</v>
      </c>
      <c r="AF22" s="40">
        <f t="shared" si="14"/>
        <v>1189</v>
      </c>
    </row>
    <row r="23" spans="2:32" ht="23.1" customHeight="1" x14ac:dyDescent="0.25">
      <c r="B23" s="23" t="s">
        <v>50</v>
      </c>
      <c r="C23" s="50">
        <v>23</v>
      </c>
      <c r="D23" s="50">
        <v>2</v>
      </c>
      <c r="E23" s="50">
        <v>5</v>
      </c>
      <c r="F23" s="50">
        <v>43</v>
      </c>
      <c r="G23" s="50">
        <v>1</v>
      </c>
      <c r="H23" s="50">
        <v>1</v>
      </c>
      <c r="I23" s="50">
        <v>4</v>
      </c>
      <c r="J23" s="50">
        <v>4</v>
      </c>
      <c r="K23" s="50">
        <v>1</v>
      </c>
      <c r="L23" s="50">
        <v>0</v>
      </c>
      <c r="M23" s="50">
        <v>165</v>
      </c>
      <c r="N23" s="50">
        <v>0</v>
      </c>
      <c r="O23" s="15">
        <f t="shared" si="0"/>
        <v>84</v>
      </c>
      <c r="P23" s="15">
        <f t="shared" si="1"/>
        <v>249</v>
      </c>
      <c r="R23" s="38" t="s">
        <v>91</v>
      </c>
      <c r="S23" s="39">
        <f>MAX(S13:S18)</f>
        <v>148</v>
      </c>
      <c r="T23" s="39">
        <f t="shared" ref="T23:AF23" si="15">MAX(T13:T18)</f>
        <v>24</v>
      </c>
      <c r="U23" s="39">
        <f t="shared" si="15"/>
        <v>31</v>
      </c>
      <c r="V23" s="39">
        <f t="shared" si="15"/>
        <v>175</v>
      </c>
      <c r="W23" s="39">
        <f t="shared" si="15"/>
        <v>12</v>
      </c>
      <c r="X23" s="39">
        <f t="shared" si="15"/>
        <v>12</v>
      </c>
      <c r="Y23" s="39">
        <f t="shared" si="15"/>
        <v>17</v>
      </c>
      <c r="Z23" s="39">
        <f t="shared" si="15"/>
        <v>18</v>
      </c>
      <c r="AA23" s="39">
        <f t="shared" si="15"/>
        <v>2</v>
      </c>
      <c r="AB23" s="39">
        <f t="shared" si="15"/>
        <v>3</v>
      </c>
      <c r="AC23" s="39">
        <f t="shared" si="15"/>
        <v>910</v>
      </c>
      <c r="AD23" s="39">
        <f t="shared" si="15"/>
        <v>0</v>
      </c>
      <c r="AE23" s="40">
        <f t="shared" si="15"/>
        <v>424</v>
      </c>
      <c r="AF23" s="40">
        <f t="shared" si="15"/>
        <v>1298</v>
      </c>
    </row>
    <row r="24" spans="2:32" ht="23.1" customHeight="1" x14ac:dyDescent="0.25">
      <c r="B24" s="23" t="s">
        <v>51</v>
      </c>
      <c r="C24" s="50">
        <v>30</v>
      </c>
      <c r="D24" s="50">
        <v>4</v>
      </c>
      <c r="E24" s="50">
        <v>5</v>
      </c>
      <c r="F24" s="50">
        <v>50</v>
      </c>
      <c r="G24" s="50">
        <v>3</v>
      </c>
      <c r="H24" s="50">
        <v>4</v>
      </c>
      <c r="I24" s="50">
        <v>4</v>
      </c>
      <c r="J24" s="50">
        <v>3</v>
      </c>
      <c r="K24" s="50">
        <v>0</v>
      </c>
      <c r="L24" s="50">
        <v>0</v>
      </c>
      <c r="M24" s="50">
        <v>228</v>
      </c>
      <c r="N24" s="50">
        <v>0</v>
      </c>
      <c r="O24" s="15">
        <f t="shared" si="0"/>
        <v>103</v>
      </c>
      <c r="P24" s="15">
        <f t="shared" si="1"/>
        <v>331</v>
      </c>
      <c r="R24" s="38" t="s">
        <v>92</v>
      </c>
      <c r="S24" s="39">
        <f>MAX(S19:S21)</f>
        <v>293</v>
      </c>
      <c r="T24" s="39">
        <f t="shared" ref="T24:AF24" si="16">MAX(T19:T21)</f>
        <v>18</v>
      </c>
      <c r="U24" s="39">
        <f t="shared" si="16"/>
        <v>20</v>
      </c>
      <c r="V24" s="39">
        <f t="shared" si="16"/>
        <v>330</v>
      </c>
      <c r="W24" s="39">
        <f t="shared" si="16"/>
        <v>9</v>
      </c>
      <c r="X24" s="39">
        <f t="shared" si="16"/>
        <v>7</v>
      </c>
      <c r="Y24" s="39">
        <f t="shared" si="16"/>
        <v>11</v>
      </c>
      <c r="Z24" s="39">
        <f t="shared" si="16"/>
        <v>12</v>
      </c>
      <c r="AA24" s="39">
        <f t="shared" si="16"/>
        <v>3</v>
      </c>
      <c r="AB24" s="39">
        <f t="shared" si="16"/>
        <v>5</v>
      </c>
      <c r="AC24" s="39">
        <f t="shared" si="16"/>
        <v>751</v>
      </c>
      <c r="AD24" s="39">
        <f t="shared" si="16"/>
        <v>0</v>
      </c>
      <c r="AE24" s="40">
        <f t="shared" si="16"/>
        <v>678</v>
      </c>
      <c r="AF24" s="40">
        <f t="shared" si="16"/>
        <v>1429</v>
      </c>
    </row>
    <row r="25" spans="2:32" ht="23.1" customHeight="1" x14ac:dyDescent="0.25">
      <c r="B25" s="23" t="s">
        <v>52</v>
      </c>
      <c r="C25" s="50">
        <v>28</v>
      </c>
      <c r="D25" s="50">
        <v>1</v>
      </c>
      <c r="E25" s="50">
        <v>11</v>
      </c>
      <c r="F25" s="50">
        <v>39</v>
      </c>
      <c r="G25" s="50">
        <v>1</v>
      </c>
      <c r="H25" s="50">
        <v>1</v>
      </c>
      <c r="I25" s="50">
        <v>0</v>
      </c>
      <c r="J25" s="50">
        <v>3</v>
      </c>
      <c r="K25" s="50">
        <v>0</v>
      </c>
      <c r="L25" s="50">
        <v>1</v>
      </c>
      <c r="M25" s="50">
        <v>200</v>
      </c>
      <c r="N25" s="50">
        <v>0</v>
      </c>
      <c r="O25" s="15">
        <f t="shared" si="0"/>
        <v>85</v>
      </c>
      <c r="P25" s="15">
        <f t="shared" si="1"/>
        <v>285</v>
      </c>
      <c r="R25" s="37" t="s">
        <v>85</v>
      </c>
      <c r="S25" s="35">
        <f t="shared" ref="S25:AF25" si="17">SUM(S10:S12)</f>
        <v>309</v>
      </c>
      <c r="T25" s="16">
        <f t="shared" si="17"/>
        <v>37</v>
      </c>
      <c r="U25" s="16">
        <f t="shared" si="17"/>
        <v>38</v>
      </c>
      <c r="V25" s="16">
        <f t="shared" si="17"/>
        <v>465</v>
      </c>
      <c r="W25" s="16">
        <f t="shared" si="17"/>
        <v>19</v>
      </c>
      <c r="X25" s="16">
        <f t="shared" si="17"/>
        <v>17</v>
      </c>
      <c r="Y25" s="16">
        <f t="shared" si="17"/>
        <v>19</v>
      </c>
      <c r="Z25" s="16">
        <f t="shared" si="17"/>
        <v>17</v>
      </c>
      <c r="AA25" s="16">
        <f t="shared" si="17"/>
        <v>2</v>
      </c>
      <c r="AB25" s="16">
        <f t="shared" si="17"/>
        <v>1</v>
      </c>
      <c r="AC25" s="16">
        <f t="shared" si="17"/>
        <v>2171</v>
      </c>
      <c r="AD25" s="16">
        <f t="shared" si="17"/>
        <v>0</v>
      </c>
      <c r="AE25" s="32">
        <f t="shared" si="17"/>
        <v>924</v>
      </c>
      <c r="AF25" s="32">
        <f t="shared" si="17"/>
        <v>3095</v>
      </c>
    </row>
    <row r="26" spans="2:32" ht="23.1" customHeight="1" x14ac:dyDescent="0.25">
      <c r="B26" s="23" t="s">
        <v>53</v>
      </c>
      <c r="C26" s="50">
        <v>44</v>
      </c>
      <c r="D26" s="50">
        <v>4</v>
      </c>
      <c r="E26" s="50">
        <v>6</v>
      </c>
      <c r="F26" s="50">
        <v>51</v>
      </c>
      <c r="G26" s="50">
        <v>0</v>
      </c>
      <c r="H26" s="50">
        <v>2</v>
      </c>
      <c r="I26" s="50">
        <v>3</v>
      </c>
      <c r="J26" s="50">
        <v>3</v>
      </c>
      <c r="K26" s="50">
        <v>0</v>
      </c>
      <c r="L26" s="50">
        <v>0</v>
      </c>
      <c r="M26" s="50">
        <v>220</v>
      </c>
      <c r="N26" s="50">
        <v>0</v>
      </c>
      <c r="O26" s="15">
        <f t="shared" si="0"/>
        <v>113</v>
      </c>
      <c r="P26" s="15">
        <f t="shared" si="1"/>
        <v>333</v>
      </c>
      <c r="R26" s="28" t="s">
        <v>86</v>
      </c>
      <c r="S26" s="16">
        <f t="shared" ref="S26:AF26" si="18">SUM(S13:S18)</f>
        <v>789</v>
      </c>
      <c r="T26" s="16">
        <f t="shared" si="18"/>
        <v>98</v>
      </c>
      <c r="U26" s="16">
        <f t="shared" si="18"/>
        <v>140</v>
      </c>
      <c r="V26" s="16">
        <f t="shared" si="18"/>
        <v>922</v>
      </c>
      <c r="W26" s="16">
        <f t="shared" si="18"/>
        <v>39</v>
      </c>
      <c r="X26" s="16">
        <f t="shared" si="18"/>
        <v>43</v>
      </c>
      <c r="Y26" s="16">
        <f t="shared" si="18"/>
        <v>86</v>
      </c>
      <c r="Z26" s="16">
        <f t="shared" si="18"/>
        <v>72</v>
      </c>
      <c r="AA26" s="16">
        <f t="shared" si="18"/>
        <v>3</v>
      </c>
      <c r="AB26" s="16">
        <f t="shared" si="18"/>
        <v>9</v>
      </c>
      <c r="AC26" s="16">
        <f t="shared" si="18"/>
        <v>4064</v>
      </c>
      <c r="AD26" s="16">
        <f t="shared" si="18"/>
        <v>0</v>
      </c>
      <c r="AE26" s="32">
        <f t="shared" si="18"/>
        <v>2201</v>
      </c>
      <c r="AF26" s="32">
        <f t="shared" si="18"/>
        <v>6265</v>
      </c>
    </row>
    <row r="27" spans="2:32" ht="23.1" customHeight="1" x14ac:dyDescent="0.25">
      <c r="B27" s="23" t="s">
        <v>54</v>
      </c>
      <c r="C27" s="50">
        <v>39</v>
      </c>
      <c r="D27" s="50">
        <v>4</v>
      </c>
      <c r="E27" s="50">
        <v>10</v>
      </c>
      <c r="F27" s="50">
        <v>34</v>
      </c>
      <c r="G27" s="50">
        <v>1</v>
      </c>
      <c r="H27" s="50">
        <v>3</v>
      </c>
      <c r="I27" s="50">
        <v>1</v>
      </c>
      <c r="J27" s="50">
        <v>4</v>
      </c>
      <c r="K27" s="50">
        <v>0</v>
      </c>
      <c r="L27" s="50">
        <v>0</v>
      </c>
      <c r="M27" s="50">
        <v>250</v>
      </c>
      <c r="N27" s="50">
        <v>0</v>
      </c>
      <c r="O27" s="15">
        <f t="shared" si="0"/>
        <v>96</v>
      </c>
      <c r="P27" s="15">
        <f t="shared" si="1"/>
        <v>346</v>
      </c>
      <c r="R27" s="29" t="s">
        <v>87</v>
      </c>
      <c r="S27" s="16">
        <f t="shared" ref="S27:AF27" si="19">SUM(S19:S21)</f>
        <v>792</v>
      </c>
      <c r="T27" s="16">
        <f t="shared" si="19"/>
        <v>46</v>
      </c>
      <c r="U27" s="16">
        <f t="shared" si="19"/>
        <v>54</v>
      </c>
      <c r="V27" s="16">
        <f t="shared" si="19"/>
        <v>919</v>
      </c>
      <c r="W27" s="16">
        <f t="shared" si="19"/>
        <v>21</v>
      </c>
      <c r="X27" s="16">
        <f t="shared" si="19"/>
        <v>15</v>
      </c>
      <c r="Y27" s="16">
        <f t="shared" si="19"/>
        <v>25</v>
      </c>
      <c r="Z27" s="16">
        <f t="shared" si="19"/>
        <v>26</v>
      </c>
      <c r="AA27" s="16">
        <f t="shared" si="19"/>
        <v>6</v>
      </c>
      <c r="AB27" s="16">
        <f t="shared" si="19"/>
        <v>8</v>
      </c>
      <c r="AC27" s="16">
        <f t="shared" si="19"/>
        <v>2019</v>
      </c>
      <c r="AD27" s="16">
        <f t="shared" si="19"/>
        <v>0</v>
      </c>
      <c r="AE27" s="32">
        <f t="shared" si="19"/>
        <v>1912</v>
      </c>
      <c r="AF27" s="32">
        <f t="shared" si="19"/>
        <v>3931</v>
      </c>
    </row>
    <row r="28" spans="2:32" ht="23.1" customHeight="1" x14ac:dyDescent="0.25">
      <c r="B28" s="23" t="s">
        <v>55</v>
      </c>
      <c r="C28" s="50">
        <v>32</v>
      </c>
      <c r="D28" s="50">
        <v>5</v>
      </c>
      <c r="E28" s="50">
        <v>6</v>
      </c>
      <c r="F28" s="50">
        <v>30</v>
      </c>
      <c r="G28" s="50">
        <v>1</v>
      </c>
      <c r="H28" s="50">
        <v>5</v>
      </c>
      <c r="I28" s="50">
        <v>7</v>
      </c>
      <c r="J28" s="50">
        <v>4</v>
      </c>
      <c r="K28" s="50">
        <v>0</v>
      </c>
      <c r="L28" s="50">
        <v>1</v>
      </c>
      <c r="M28" s="50">
        <v>235</v>
      </c>
      <c r="N28" s="50">
        <v>0</v>
      </c>
      <c r="O28" s="15">
        <f t="shared" si="0"/>
        <v>91</v>
      </c>
      <c r="P28" s="15">
        <f t="shared" si="1"/>
        <v>326</v>
      </c>
      <c r="R28" s="5" t="s">
        <v>17</v>
      </c>
      <c r="S28" s="16">
        <f t="shared" ref="S28:AF28" si="20">SUM(S10:S21)</f>
        <v>1890</v>
      </c>
      <c r="T28" s="16">
        <f t="shared" si="20"/>
        <v>181</v>
      </c>
      <c r="U28" s="16">
        <f t="shared" si="20"/>
        <v>232</v>
      </c>
      <c r="V28" s="16">
        <f t="shared" si="20"/>
        <v>2306</v>
      </c>
      <c r="W28" s="16">
        <f t="shared" si="20"/>
        <v>79</v>
      </c>
      <c r="X28" s="16">
        <f t="shared" si="20"/>
        <v>75</v>
      </c>
      <c r="Y28" s="16">
        <f t="shared" si="20"/>
        <v>130</v>
      </c>
      <c r="Z28" s="16">
        <f t="shared" si="20"/>
        <v>115</v>
      </c>
      <c r="AA28" s="16">
        <f t="shared" si="20"/>
        <v>11</v>
      </c>
      <c r="AB28" s="16">
        <f t="shared" si="20"/>
        <v>18</v>
      </c>
      <c r="AC28" s="16">
        <f t="shared" si="20"/>
        <v>8254</v>
      </c>
      <c r="AD28" s="16">
        <f t="shared" si="20"/>
        <v>0</v>
      </c>
      <c r="AE28" s="32">
        <f t="shared" si="20"/>
        <v>5037</v>
      </c>
      <c r="AF28" s="32">
        <f t="shared" si="20"/>
        <v>13291</v>
      </c>
    </row>
    <row r="29" spans="2:32" ht="23.1" customHeight="1" x14ac:dyDescent="0.25">
      <c r="B29" s="23" t="s">
        <v>56</v>
      </c>
      <c r="C29" s="50">
        <v>30</v>
      </c>
      <c r="D29" s="50">
        <v>8</v>
      </c>
      <c r="E29" s="50">
        <v>4</v>
      </c>
      <c r="F29" s="50">
        <v>32</v>
      </c>
      <c r="G29" s="50">
        <v>1</v>
      </c>
      <c r="H29" s="50">
        <v>2</v>
      </c>
      <c r="I29" s="50">
        <v>4</v>
      </c>
      <c r="J29" s="50">
        <v>7</v>
      </c>
      <c r="K29" s="50">
        <v>0</v>
      </c>
      <c r="L29" s="50">
        <v>0</v>
      </c>
      <c r="M29" s="50">
        <v>205</v>
      </c>
      <c r="N29" s="50">
        <v>0</v>
      </c>
      <c r="O29" s="15">
        <f t="shared" si="0"/>
        <v>88</v>
      </c>
      <c r="P29" s="15">
        <f t="shared" si="1"/>
        <v>293</v>
      </c>
      <c r="R29"/>
      <c r="S29" s="20"/>
      <c r="T29" s="19"/>
    </row>
    <row r="30" spans="2:32" ht="23.1" customHeight="1" x14ac:dyDescent="0.25">
      <c r="B30" s="23" t="s">
        <v>57</v>
      </c>
      <c r="C30" s="50">
        <v>38</v>
      </c>
      <c r="D30" s="50">
        <v>3</v>
      </c>
      <c r="E30" s="50">
        <v>5</v>
      </c>
      <c r="F30" s="50">
        <v>43</v>
      </c>
      <c r="G30" s="50">
        <v>1</v>
      </c>
      <c r="H30" s="50">
        <v>1</v>
      </c>
      <c r="I30" s="50">
        <v>2</v>
      </c>
      <c r="J30" s="50">
        <v>5</v>
      </c>
      <c r="K30" s="50">
        <v>0</v>
      </c>
      <c r="L30" s="50">
        <v>1</v>
      </c>
      <c r="M30" s="50">
        <v>178</v>
      </c>
      <c r="N30" s="50">
        <v>0</v>
      </c>
      <c r="O30" s="15">
        <f t="shared" si="0"/>
        <v>99</v>
      </c>
      <c r="P30" s="15">
        <f t="shared" si="1"/>
        <v>277</v>
      </c>
    </row>
    <row r="31" spans="2:32" ht="23.1" customHeight="1" x14ac:dyDescent="0.25">
      <c r="B31" s="24" t="s">
        <v>58</v>
      </c>
      <c r="C31" s="50">
        <v>36</v>
      </c>
      <c r="D31" s="50">
        <v>4</v>
      </c>
      <c r="E31" s="50">
        <v>9</v>
      </c>
      <c r="F31" s="50">
        <v>40</v>
      </c>
      <c r="G31" s="50">
        <v>3</v>
      </c>
      <c r="H31" s="50">
        <v>2</v>
      </c>
      <c r="I31" s="50">
        <v>7</v>
      </c>
      <c r="J31" s="50">
        <v>3</v>
      </c>
      <c r="K31" s="50">
        <v>2</v>
      </c>
      <c r="L31" s="50">
        <v>0</v>
      </c>
      <c r="M31" s="50">
        <v>220</v>
      </c>
      <c r="N31" s="50">
        <v>0</v>
      </c>
      <c r="O31" s="15">
        <f t="shared" si="0"/>
        <v>106</v>
      </c>
      <c r="P31" s="15">
        <f t="shared" si="1"/>
        <v>326</v>
      </c>
    </row>
    <row r="32" spans="2:32" ht="23.1" customHeight="1" x14ac:dyDescent="0.25">
      <c r="B32" s="24" t="s">
        <v>59</v>
      </c>
      <c r="C32" s="50">
        <v>36</v>
      </c>
      <c r="D32" s="50">
        <v>9</v>
      </c>
      <c r="E32" s="50">
        <v>11</v>
      </c>
      <c r="F32" s="50">
        <v>45</v>
      </c>
      <c r="G32" s="50">
        <v>3</v>
      </c>
      <c r="H32" s="50">
        <v>0</v>
      </c>
      <c r="I32" s="50">
        <v>4</v>
      </c>
      <c r="J32" s="50">
        <v>2</v>
      </c>
      <c r="K32" s="50">
        <v>0</v>
      </c>
      <c r="L32" s="50">
        <v>0</v>
      </c>
      <c r="M32" s="50">
        <v>224</v>
      </c>
      <c r="N32" s="50">
        <v>0</v>
      </c>
      <c r="O32" s="15">
        <f t="shared" si="0"/>
        <v>110</v>
      </c>
      <c r="P32" s="15">
        <f t="shared" si="1"/>
        <v>334</v>
      </c>
    </row>
    <row r="33" spans="2:20" ht="23.1" customHeight="1" x14ac:dyDescent="0.25">
      <c r="B33" s="23" t="s">
        <v>60</v>
      </c>
      <c r="C33" s="50">
        <v>38</v>
      </c>
      <c r="D33" s="50">
        <v>8</v>
      </c>
      <c r="E33" s="50">
        <v>6</v>
      </c>
      <c r="F33" s="50">
        <v>47</v>
      </c>
      <c r="G33" s="50">
        <v>2</v>
      </c>
      <c r="H33" s="50">
        <v>2</v>
      </c>
      <c r="I33" s="50">
        <v>4</v>
      </c>
      <c r="J33" s="50">
        <v>2</v>
      </c>
      <c r="K33" s="50">
        <v>0</v>
      </c>
      <c r="L33" s="50">
        <v>0</v>
      </c>
      <c r="M33" s="50">
        <v>176</v>
      </c>
      <c r="N33" s="50">
        <v>0</v>
      </c>
      <c r="O33" s="15">
        <f t="shared" si="0"/>
        <v>109</v>
      </c>
      <c r="P33" s="15">
        <f t="shared" si="1"/>
        <v>285</v>
      </c>
    </row>
    <row r="34" spans="2:20" ht="23.1" customHeight="1" x14ac:dyDescent="0.25">
      <c r="B34" s="24" t="s">
        <v>61</v>
      </c>
      <c r="C34" s="50">
        <v>44</v>
      </c>
      <c r="D34" s="50">
        <v>5</v>
      </c>
      <c r="E34" s="50">
        <v>7</v>
      </c>
      <c r="F34" s="50">
        <v>49</v>
      </c>
      <c r="G34" s="50">
        <v>4</v>
      </c>
      <c r="H34" s="50">
        <v>1</v>
      </c>
      <c r="I34" s="50">
        <v>3</v>
      </c>
      <c r="J34" s="50">
        <v>1</v>
      </c>
      <c r="K34" s="50">
        <v>0</v>
      </c>
      <c r="L34" s="50">
        <v>1</v>
      </c>
      <c r="M34" s="50">
        <v>191</v>
      </c>
      <c r="N34" s="50">
        <v>0</v>
      </c>
      <c r="O34" s="15">
        <f t="shared" si="0"/>
        <v>115</v>
      </c>
      <c r="P34" s="15">
        <f t="shared" si="1"/>
        <v>306</v>
      </c>
    </row>
    <row r="35" spans="2:20" ht="23.1" customHeight="1" x14ac:dyDescent="0.25">
      <c r="B35" s="24" t="s">
        <v>62</v>
      </c>
      <c r="C35" s="50">
        <v>18</v>
      </c>
      <c r="D35" s="50">
        <v>7</v>
      </c>
      <c r="E35" s="50">
        <v>6</v>
      </c>
      <c r="F35" s="50">
        <v>48</v>
      </c>
      <c r="G35" s="50">
        <v>4</v>
      </c>
      <c r="H35" s="50">
        <v>1</v>
      </c>
      <c r="I35" s="50">
        <v>1</v>
      </c>
      <c r="J35" s="50">
        <v>6</v>
      </c>
      <c r="K35" s="50">
        <v>0</v>
      </c>
      <c r="L35" s="50">
        <v>0</v>
      </c>
      <c r="M35" s="50">
        <v>160</v>
      </c>
      <c r="N35" s="50">
        <v>0</v>
      </c>
      <c r="O35" s="15">
        <f t="shared" si="0"/>
        <v>91</v>
      </c>
      <c r="P35" s="15">
        <f t="shared" si="1"/>
        <v>251</v>
      </c>
    </row>
    <row r="36" spans="2:20" ht="23.1" customHeight="1" x14ac:dyDescent="0.25">
      <c r="B36" s="24" t="s">
        <v>63</v>
      </c>
      <c r="C36" s="50">
        <v>17</v>
      </c>
      <c r="D36" s="50">
        <v>0</v>
      </c>
      <c r="E36" s="50">
        <v>1</v>
      </c>
      <c r="F36" s="50">
        <v>43</v>
      </c>
      <c r="G36" s="50">
        <v>1</v>
      </c>
      <c r="H36" s="50">
        <v>2</v>
      </c>
      <c r="I36" s="50">
        <v>6</v>
      </c>
      <c r="J36" s="50">
        <v>2</v>
      </c>
      <c r="K36" s="50">
        <v>0</v>
      </c>
      <c r="L36" s="50">
        <v>0</v>
      </c>
      <c r="M36" s="50">
        <v>109</v>
      </c>
      <c r="N36" s="50">
        <v>0</v>
      </c>
      <c r="O36" s="15">
        <f t="shared" si="0"/>
        <v>72</v>
      </c>
      <c r="P36" s="15">
        <f t="shared" si="1"/>
        <v>181</v>
      </c>
    </row>
    <row r="37" spans="2:20" ht="23.1" customHeight="1" x14ac:dyDescent="0.25">
      <c r="B37" s="23" t="s">
        <v>64</v>
      </c>
      <c r="C37" s="50">
        <v>44</v>
      </c>
      <c r="D37" s="50">
        <v>4</v>
      </c>
      <c r="E37" s="50">
        <v>6</v>
      </c>
      <c r="F37" s="50">
        <v>27</v>
      </c>
      <c r="G37" s="50">
        <v>3</v>
      </c>
      <c r="H37" s="50">
        <v>2</v>
      </c>
      <c r="I37" s="50">
        <v>3</v>
      </c>
      <c r="J37" s="50">
        <v>3</v>
      </c>
      <c r="K37" s="50">
        <v>0</v>
      </c>
      <c r="L37" s="50">
        <v>1</v>
      </c>
      <c r="M37" s="50">
        <v>137</v>
      </c>
      <c r="N37" s="50">
        <v>0</v>
      </c>
      <c r="O37" s="15">
        <f t="shared" si="0"/>
        <v>93</v>
      </c>
      <c r="P37" s="15">
        <f t="shared" si="1"/>
        <v>230</v>
      </c>
    </row>
    <row r="38" spans="2:20" ht="23.1" customHeight="1" x14ac:dyDescent="0.25">
      <c r="B38" s="24" t="s">
        <v>65</v>
      </c>
      <c r="C38" s="50">
        <v>30</v>
      </c>
      <c r="D38" s="50">
        <v>5</v>
      </c>
      <c r="E38" s="50">
        <v>3</v>
      </c>
      <c r="F38" s="50">
        <v>36</v>
      </c>
      <c r="G38" s="50">
        <v>0</v>
      </c>
      <c r="H38" s="50">
        <v>3</v>
      </c>
      <c r="I38" s="50">
        <v>2</v>
      </c>
      <c r="J38" s="50">
        <v>1</v>
      </c>
      <c r="K38" s="50">
        <v>0</v>
      </c>
      <c r="L38" s="50">
        <v>0</v>
      </c>
      <c r="M38" s="50">
        <v>117</v>
      </c>
      <c r="N38" s="50">
        <v>0</v>
      </c>
      <c r="O38" s="15">
        <f t="shared" si="0"/>
        <v>80</v>
      </c>
      <c r="P38" s="15">
        <f t="shared" si="1"/>
        <v>197</v>
      </c>
    </row>
    <row r="39" spans="2:20" ht="23.1" customHeight="1" x14ac:dyDescent="0.25">
      <c r="B39" s="24" t="s">
        <v>66</v>
      </c>
      <c r="C39" s="50">
        <v>38</v>
      </c>
      <c r="D39" s="50">
        <v>5</v>
      </c>
      <c r="E39" s="50">
        <v>4</v>
      </c>
      <c r="F39" s="50">
        <v>37</v>
      </c>
      <c r="G39" s="50">
        <v>1</v>
      </c>
      <c r="H39" s="50">
        <v>1</v>
      </c>
      <c r="I39" s="50">
        <v>2</v>
      </c>
      <c r="J39" s="50">
        <v>2</v>
      </c>
      <c r="K39" s="50">
        <v>0</v>
      </c>
      <c r="L39" s="50">
        <v>2</v>
      </c>
      <c r="M39" s="50">
        <v>123</v>
      </c>
      <c r="N39" s="50">
        <v>0</v>
      </c>
      <c r="O39" s="15">
        <f t="shared" si="0"/>
        <v>92</v>
      </c>
      <c r="P39" s="15">
        <f t="shared" si="1"/>
        <v>215</v>
      </c>
    </row>
    <row r="40" spans="2:20" ht="23.1" customHeight="1" x14ac:dyDescent="0.25">
      <c r="B40" s="24" t="s">
        <v>67</v>
      </c>
      <c r="C40" s="50">
        <v>23</v>
      </c>
      <c r="D40" s="50">
        <v>3</v>
      </c>
      <c r="E40" s="50">
        <v>2</v>
      </c>
      <c r="F40" s="50">
        <v>39</v>
      </c>
      <c r="G40" s="50">
        <v>0</v>
      </c>
      <c r="H40" s="50">
        <v>2</v>
      </c>
      <c r="I40" s="50">
        <v>7</v>
      </c>
      <c r="J40" s="50">
        <v>4</v>
      </c>
      <c r="K40" s="50">
        <v>0</v>
      </c>
      <c r="L40" s="50">
        <v>1</v>
      </c>
      <c r="M40" s="50">
        <v>108</v>
      </c>
      <c r="N40" s="50">
        <v>0</v>
      </c>
      <c r="O40" s="15">
        <f t="shared" si="0"/>
        <v>81</v>
      </c>
      <c r="P40" s="15">
        <f t="shared" si="1"/>
        <v>189</v>
      </c>
    </row>
    <row r="41" spans="2:20" ht="23.1" customHeight="1" x14ac:dyDescent="0.25">
      <c r="B41" s="23" t="s">
        <v>68</v>
      </c>
      <c r="C41" s="50">
        <v>42</v>
      </c>
      <c r="D41" s="50">
        <v>4</v>
      </c>
      <c r="E41" s="50">
        <v>7</v>
      </c>
      <c r="F41" s="50">
        <v>43</v>
      </c>
      <c r="G41" s="50">
        <v>2</v>
      </c>
      <c r="H41" s="50">
        <v>1</v>
      </c>
      <c r="I41" s="50">
        <v>6</v>
      </c>
      <c r="J41" s="50">
        <v>5</v>
      </c>
      <c r="K41" s="50">
        <v>0</v>
      </c>
      <c r="L41" s="50">
        <v>0</v>
      </c>
      <c r="M41" s="50">
        <v>83</v>
      </c>
      <c r="N41" s="50">
        <v>0</v>
      </c>
      <c r="O41" s="15">
        <f t="shared" si="0"/>
        <v>110</v>
      </c>
      <c r="P41" s="15">
        <f t="shared" si="1"/>
        <v>193</v>
      </c>
    </row>
    <row r="42" spans="2:20" ht="23.1" customHeight="1" x14ac:dyDescent="0.25">
      <c r="B42" s="24" t="s">
        <v>69</v>
      </c>
      <c r="C42" s="50">
        <v>35</v>
      </c>
      <c r="D42" s="50">
        <v>6</v>
      </c>
      <c r="E42" s="50">
        <v>14</v>
      </c>
      <c r="F42" s="50">
        <v>35</v>
      </c>
      <c r="G42" s="50">
        <v>1</v>
      </c>
      <c r="H42" s="50">
        <v>2</v>
      </c>
      <c r="I42" s="50">
        <v>2</v>
      </c>
      <c r="J42" s="50">
        <v>3</v>
      </c>
      <c r="K42" s="50">
        <v>0</v>
      </c>
      <c r="L42" s="50">
        <v>0</v>
      </c>
      <c r="M42" s="50">
        <v>180</v>
      </c>
      <c r="N42" s="50">
        <v>0</v>
      </c>
      <c r="O42" s="15">
        <f t="shared" si="0"/>
        <v>98</v>
      </c>
      <c r="P42" s="15">
        <f t="shared" si="1"/>
        <v>278</v>
      </c>
    </row>
    <row r="43" spans="2:20" ht="23.1" customHeight="1" x14ac:dyDescent="0.25">
      <c r="B43" s="23" t="s">
        <v>70</v>
      </c>
      <c r="C43" s="50">
        <v>51</v>
      </c>
      <c r="D43" s="50">
        <v>1</v>
      </c>
      <c r="E43" s="50">
        <v>1</v>
      </c>
      <c r="F43" s="50">
        <v>33</v>
      </c>
      <c r="G43" s="50">
        <v>2</v>
      </c>
      <c r="H43" s="50">
        <v>1</v>
      </c>
      <c r="I43" s="50">
        <v>5</v>
      </c>
      <c r="J43" s="50">
        <v>0</v>
      </c>
      <c r="K43" s="50">
        <v>0</v>
      </c>
      <c r="L43" s="50">
        <v>1</v>
      </c>
      <c r="M43" s="50">
        <v>140</v>
      </c>
      <c r="N43" s="50">
        <v>0</v>
      </c>
      <c r="O43" s="15">
        <f t="shared" si="0"/>
        <v>95</v>
      </c>
      <c r="P43" s="15">
        <f t="shared" si="1"/>
        <v>235</v>
      </c>
    </row>
    <row r="44" spans="2:20" ht="23.1" customHeight="1" x14ac:dyDescent="0.25">
      <c r="B44" s="25" t="s">
        <v>71</v>
      </c>
      <c r="C44" s="50">
        <v>28</v>
      </c>
      <c r="D44" s="50">
        <v>2</v>
      </c>
      <c r="E44" s="50">
        <v>4</v>
      </c>
      <c r="F44" s="50">
        <v>27</v>
      </c>
      <c r="G44" s="50">
        <v>1</v>
      </c>
      <c r="H44" s="50">
        <v>3</v>
      </c>
      <c r="I44" s="50">
        <v>4</v>
      </c>
      <c r="J44" s="50">
        <v>2</v>
      </c>
      <c r="K44" s="50">
        <v>0</v>
      </c>
      <c r="L44" s="50">
        <v>0</v>
      </c>
      <c r="M44" s="50">
        <v>113</v>
      </c>
      <c r="N44" s="50">
        <v>0</v>
      </c>
      <c r="O44" s="15">
        <f t="shared" si="0"/>
        <v>71</v>
      </c>
      <c r="P44" s="15">
        <f t="shared" si="1"/>
        <v>184</v>
      </c>
    </row>
    <row r="45" spans="2:20" ht="23.1" customHeight="1" x14ac:dyDescent="0.25">
      <c r="B45" s="23" t="s">
        <v>72</v>
      </c>
      <c r="C45" s="50">
        <v>23</v>
      </c>
      <c r="D45" s="50">
        <v>3</v>
      </c>
      <c r="E45" s="50">
        <v>3</v>
      </c>
      <c r="F45" s="50">
        <v>26</v>
      </c>
      <c r="G45" s="50">
        <v>0</v>
      </c>
      <c r="H45" s="50">
        <v>0</v>
      </c>
      <c r="I45" s="50">
        <v>3</v>
      </c>
      <c r="J45" s="50">
        <v>2</v>
      </c>
      <c r="K45" s="50">
        <v>0</v>
      </c>
      <c r="L45" s="50">
        <v>0</v>
      </c>
      <c r="M45" s="50">
        <v>102</v>
      </c>
      <c r="N45" s="50">
        <v>0</v>
      </c>
      <c r="O45" s="15">
        <f t="shared" si="0"/>
        <v>60</v>
      </c>
      <c r="P45" s="15">
        <f t="shared" si="1"/>
        <v>162</v>
      </c>
    </row>
    <row r="46" spans="2:20" ht="23.1" customHeight="1" x14ac:dyDescent="0.25">
      <c r="B46" s="24" t="s">
        <v>73</v>
      </c>
      <c r="C46" s="50">
        <v>63</v>
      </c>
      <c r="D46" s="50">
        <v>4</v>
      </c>
      <c r="E46" s="50">
        <v>6</v>
      </c>
      <c r="F46" s="50">
        <v>113</v>
      </c>
      <c r="G46" s="50">
        <v>2</v>
      </c>
      <c r="H46" s="50">
        <v>4</v>
      </c>
      <c r="I46" s="50">
        <v>2</v>
      </c>
      <c r="J46" s="50">
        <v>4</v>
      </c>
      <c r="K46" s="50">
        <v>1</v>
      </c>
      <c r="L46" s="50">
        <v>0</v>
      </c>
      <c r="M46" s="50">
        <v>142</v>
      </c>
      <c r="N46" s="50">
        <v>0</v>
      </c>
      <c r="O46" s="15">
        <f t="shared" si="0"/>
        <v>199</v>
      </c>
      <c r="P46" s="15">
        <f t="shared" si="1"/>
        <v>341</v>
      </c>
      <c r="R46" s="8"/>
      <c r="T46"/>
    </row>
    <row r="47" spans="2:20" ht="23.1" customHeight="1" x14ac:dyDescent="0.25">
      <c r="B47" s="24" t="s">
        <v>74</v>
      </c>
      <c r="C47" s="50">
        <v>68</v>
      </c>
      <c r="D47" s="50">
        <v>3</v>
      </c>
      <c r="E47" s="50">
        <v>4</v>
      </c>
      <c r="F47" s="50">
        <v>68</v>
      </c>
      <c r="G47" s="50">
        <v>2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188</v>
      </c>
      <c r="N47" s="50">
        <v>0</v>
      </c>
      <c r="O47" s="15">
        <f t="shared" si="0"/>
        <v>147</v>
      </c>
      <c r="P47" s="15">
        <f t="shared" si="1"/>
        <v>335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4</v>
      </c>
      <c r="E48" s="50">
        <v>3</v>
      </c>
      <c r="F48" s="50">
        <v>52</v>
      </c>
      <c r="G48" s="50">
        <v>1</v>
      </c>
      <c r="H48" s="50">
        <v>1</v>
      </c>
      <c r="I48" s="50">
        <v>0</v>
      </c>
      <c r="J48" s="50">
        <v>1</v>
      </c>
      <c r="K48" s="50">
        <v>0</v>
      </c>
      <c r="L48" s="50">
        <v>0</v>
      </c>
      <c r="M48" s="50">
        <v>155</v>
      </c>
      <c r="N48" s="50">
        <v>0</v>
      </c>
      <c r="O48" s="15">
        <f t="shared" si="0"/>
        <v>113</v>
      </c>
      <c r="P48" s="15">
        <f t="shared" si="1"/>
        <v>268</v>
      </c>
      <c r="R48" s="8"/>
      <c r="T48"/>
    </row>
    <row r="49" spans="2:20" ht="23.1" customHeight="1" x14ac:dyDescent="0.25">
      <c r="B49" s="23" t="s">
        <v>76</v>
      </c>
      <c r="C49" s="50">
        <v>40</v>
      </c>
      <c r="D49" s="50">
        <v>6</v>
      </c>
      <c r="E49" s="50">
        <v>3</v>
      </c>
      <c r="F49" s="50">
        <v>68</v>
      </c>
      <c r="G49" s="50">
        <v>2</v>
      </c>
      <c r="H49" s="50">
        <v>1</v>
      </c>
      <c r="I49" s="50">
        <v>1</v>
      </c>
      <c r="J49" s="50">
        <v>1</v>
      </c>
      <c r="K49" s="50">
        <v>0</v>
      </c>
      <c r="L49" s="50">
        <v>0</v>
      </c>
      <c r="M49" s="50">
        <v>92</v>
      </c>
      <c r="N49" s="50">
        <v>0</v>
      </c>
      <c r="O49" s="15">
        <f t="shared" si="0"/>
        <v>122</v>
      </c>
      <c r="P49" s="15">
        <f t="shared" si="1"/>
        <v>214</v>
      </c>
      <c r="R49" s="8"/>
      <c r="T49"/>
    </row>
    <row r="50" spans="2:20" ht="23.1" customHeight="1" x14ac:dyDescent="0.25">
      <c r="B50" s="24" t="s">
        <v>77</v>
      </c>
      <c r="C50" s="50">
        <v>29</v>
      </c>
      <c r="D50" s="50">
        <v>4</v>
      </c>
      <c r="E50" s="50">
        <v>7</v>
      </c>
      <c r="F50" s="50">
        <v>93</v>
      </c>
      <c r="G50" s="50">
        <v>2</v>
      </c>
      <c r="H50" s="50">
        <v>3</v>
      </c>
      <c r="I50" s="50">
        <v>2</v>
      </c>
      <c r="J50" s="50">
        <v>5</v>
      </c>
      <c r="K50" s="50">
        <v>1</v>
      </c>
      <c r="L50" s="50">
        <v>5</v>
      </c>
      <c r="M50" s="50">
        <v>158</v>
      </c>
      <c r="N50" s="50">
        <v>0</v>
      </c>
      <c r="O50" s="15">
        <f t="shared" si="0"/>
        <v>151</v>
      </c>
      <c r="P50" s="15">
        <f t="shared" si="1"/>
        <v>309</v>
      </c>
      <c r="R50" s="8"/>
      <c r="T50"/>
    </row>
    <row r="51" spans="2:20" ht="23.1" customHeight="1" x14ac:dyDescent="0.25">
      <c r="B51" s="24" t="s">
        <v>78</v>
      </c>
      <c r="C51" s="50">
        <v>56</v>
      </c>
      <c r="D51" s="50">
        <v>2</v>
      </c>
      <c r="E51" s="50">
        <v>5</v>
      </c>
      <c r="F51" s="50">
        <v>66</v>
      </c>
      <c r="G51" s="50">
        <v>1</v>
      </c>
      <c r="H51" s="50">
        <v>3</v>
      </c>
      <c r="I51" s="50">
        <v>0</v>
      </c>
      <c r="J51" s="50">
        <v>3</v>
      </c>
      <c r="K51" s="50">
        <v>0</v>
      </c>
      <c r="L51" s="50">
        <v>0</v>
      </c>
      <c r="M51" s="50">
        <v>153</v>
      </c>
      <c r="N51" s="50">
        <v>0</v>
      </c>
      <c r="O51" s="15">
        <f t="shared" si="0"/>
        <v>136</v>
      </c>
      <c r="P51" s="15">
        <f t="shared" si="1"/>
        <v>289</v>
      </c>
      <c r="R51" s="8"/>
      <c r="T51"/>
    </row>
    <row r="52" spans="2:20" ht="23.1" customHeight="1" x14ac:dyDescent="0.25">
      <c r="B52" s="24" t="s">
        <v>79</v>
      </c>
      <c r="C52" s="50">
        <v>123</v>
      </c>
      <c r="D52" s="50">
        <v>3</v>
      </c>
      <c r="E52" s="50">
        <v>2</v>
      </c>
      <c r="F52" s="50">
        <v>55</v>
      </c>
      <c r="G52" s="50">
        <v>2</v>
      </c>
      <c r="H52" s="50">
        <v>0</v>
      </c>
      <c r="I52" s="50">
        <v>6</v>
      </c>
      <c r="J52" s="50">
        <v>3</v>
      </c>
      <c r="K52" s="50">
        <v>2</v>
      </c>
      <c r="L52" s="50">
        <v>0</v>
      </c>
      <c r="M52" s="50">
        <v>208</v>
      </c>
      <c r="N52" s="50">
        <v>0</v>
      </c>
      <c r="O52" s="15">
        <f t="shared" si="0"/>
        <v>196</v>
      </c>
      <c r="P52" s="15">
        <f t="shared" si="1"/>
        <v>404</v>
      </c>
      <c r="R52" s="8"/>
      <c r="T52"/>
    </row>
    <row r="53" spans="2:20" ht="23.1" customHeight="1" x14ac:dyDescent="0.25">
      <c r="B53" s="23" t="s">
        <v>80</v>
      </c>
      <c r="C53" s="50">
        <v>85</v>
      </c>
      <c r="D53" s="50">
        <v>2</v>
      </c>
      <c r="E53" s="50">
        <v>4</v>
      </c>
      <c r="F53" s="50">
        <v>74</v>
      </c>
      <c r="G53" s="50">
        <v>0</v>
      </c>
      <c r="H53" s="50">
        <v>1</v>
      </c>
      <c r="I53" s="50">
        <v>3</v>
      </c>
      <c r="J53" s="50">
        <v>1</v>
      </c>
      <c r="K53" s="50">
        <v>0</v>
      </c>
      <c r="L53" s="50">
        <v>0</v>
      </c>
      <c r="M53" s="50">
        <v>172</v>
      </c>
      <c r="N53" s="50">
        <v>0</v>
      </c>
      <c r="O53" s="15">
        <f t="shared" si="0"/>
        <v>170</v>
      </c>
      <c r="P53" s="15">
        <f t="shared" si="1"/>
        <v>342</v>
      </c>
      <c r="R53" s="8"/>
      <c r="T53"/>
    </row>
    <row r="54" spans="2:20" ht="23.1" customHeight="1" x14ac:dyDescent="0.25">
      <c r="B54" s="23" t="s">
        <v>81</v>
      </c>
      <c r="C54" s="50">
        <v>73</v>
      </c>
      <c r="D54" s="50">
        <v>6</v>
      </c>
      <c r="E54" s="50">
        <v>6</v>
      </c>
      <c r="F54" s="50">
        <v>83</v>
      </c>
      <c r="G54" s="50">
        <v>3</v>
      </c>
      <c r="H54" s="50">
        <v>0</v>
      </c>
      <c r="I54" s="50">
        <v>4</v>
      </c>
      <c r="J54" s="50">
        <v>2</v>
      </c>
      <c r="K54" s="50">
        <v>0</v>
      </c>
      <c r="L54" s="50">
        <v>2</v>
      </c>
      <c r="M54" s="50">
        <v>229</v>
      </c>
      <c r="N54" s="50">
        <v>0</v>
      </c>
      <c r="O54" s="15">
        <f t="shared" si="0"/>
        <v>179</v>
      </c>
      <c r="P54" s="15">
        <f t="shared" si="1"/>
        <v>408</v>
      </c>
      <c r="R54" s="8"/>
      <c r="T54"/>
    </row>
    <row r="55" spans="2:20" ht="23.1" customHeight="1" x14ac:dyDescent="0.25">
      <c r="B55" s="23" t="s">
        <v>82</v>
      </c>
      <c r="C55" s="50">
        <v>68</v>
      </c>
      <c r="D55" s="50">
        <v>3</v>
      </c>
      <c r="E55" s="50">
        <v>4</v>
      </c>
      <c r="F55" s="50">
        <v>71</v>
      </c>
      <c r="G55" s="50">
        <v>2</v>
      </c>
      <c r="H55" s="50">
        <v>2</v>
      </c>
      <c r="I55" s="50">
        <v>1</v>
      </c>
      <c r="J55" s="50">
        <v>2</v>
      </c>
      <c r="K55" s="50">
        <v>0</v>
      </c>
      <c r="L55" s="50">
        <v>1</v>
      </c>
      <c r="M55" s="50">
        <v>208</v>
      </c>
      <c r="N55" s="50">
        <v>0</v>
      </c>
      <c r="O55" s="15">
        <f t="shared" si="0"/>
        <v>154</v>
      </c>
      <c r="P55" s="15">
        <f t="shared" si="1"/>
        <v>362</v>
      </c>
      <c r="R55" s="8"/>
      <c r="T55"/>
    </row>
    <row r="56" spans="2:20" ht="23.1" customHeight="1" x14ac:dyDescent="0.25">
      <c r="B56" s="23" t="s">
        <v>83</v>
      </c>
      <c r="C56" s="50">
        <v>84</v>
      </c>
      <c r="D56" s="50">
        <v>5</v>
      </c>
      <c r="E56" s="50">
        <v>2</v>
      </c>
      <c r="F56" s="50">
        <v>73</v>
      </c>
      <c r="G56" s="50">
        <v>1</v>
      </c>
      <c r="H56" s="50">
        <v>0</v>
      </c>
      <c r="I56" s="50">
        <v>3</v>
      </c>
      <c r="J56" s="50">
        <v>3</v>
      </c>
      <c r="K56" s="50">
        <v>1</v>
      </c>
      <c r="L56" s="50">
        <v>0</v>
      </c>
      <c r="M56" s="50">
        <v>165</v>
      </c>
      <c r="N56" s="50">
        <v>0</v>
      </c>
      <c r="O56" s="15">
        <f t="shared" si="0"/>
        <v>172</v>
      </c>
      <c r="P56" s="15">
        <f t="shared" si="1"/>
        <v>337</v>
      </c>
      <c r="R56" s="8"/>
      <c r="T56"/>
    </row>
    <row r="57" spans="2:20" ht="23.1" customHeight="1" x14ac:dyDescent="0.25">
      <c r="B57" s="23" t="s">
        <v>84</v>
      </c>
      <c r="C57" s="50">
        <v>52</v>
      </c>
      <c r="D57" s="50">
        <v>4</v>
      </c>
      <c r="E57" s="50">
        <v>8</v>
      </c>
      <c r="F57" s="50">
        <v>103</v>
      </c>
      <c r="G57" s="50">
        <v>3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149</v>
      </c>
      <c r="N57" s="50">
        <v>0</v>
      </c>
      <c r="O57" s="15">
        <f t="shared" si="0"/>
        <v>173</v>
      </c>
      <c r="P57" s="15">
        <f t="shared" si="1"/>
        <v>322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1890</v>
      </c>
      <c r="D58" s="16">
        <f t="shared" si="21"/>
        <v>181</v>
      </c>
      <c r="E58" s="16">
        <f t="shared" si="21"/>
        <v>232</v>
      </c>
      <c r="F58" s="16">
        <f t="shared" si="21"/>
        <v>2306</v>
      </c>
      <c r="G58" s="16">
        <f t="shared" si="21"/>
        <v>79</v>
      </c>
      <c r="H58" s="16">
        <f t="shared" si="21"/>
        <v>75</v>
      </c>
      <c r="I58" s="16">
        <f t="shared" si="21"/>
        <v>130</v>
      </c>
      <c r="J58" s="16">
        <f t="shared" si="21"/>
        <v>115</v>
      </c>
      <c r="K58" s="16">
        <f t="shared" si="21"/>
        <v>11</v>
      </c>
      <c r="L58" s="16">
        <f t="shared" si="21"/>
        <v>18</v>
      </c>
      <c r="M58" s="16">
        <f t="shared" si="21"/>
        <v>8254</v>
      </c>
      <c r="N58" s="16">
        <f t="shared" si="21"/>
        <v>0</v>
      </c>
      <c r="O58" s="16">
        <f t="shared" si="21"/>
        <v>5037</v>
      </c>
      <c r="P58" s="16">
        <f t="shared" si="21"/>
        <v>13291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0.14220148972989241</v>
      </c>
      <c r="D59" s="43">
        <f t="shared" si="22"/>
        <v>1.3618237905349485E-2</v>
      </c>
      <c r="E59" s="43">
        <f t="shared" si="22"/>
        <v>1.745542096155293E-2</v>
      </c>
      <c r="F59" s="43">
        <f t="shared" si="22"/>
        <v>0.17350086524715974</v>
      </c>
      <c r="G59" s="43">
        <f t="shared" si="22"/>
        <v>5.9438717929425925E-3</v>
      </c>
      <c r="H59" s="43">
        <f t="shared" si="22"/>
        <v>5.642916259122715E-3</v>
      </c>
      <c r="I59" s="43">
        <f t="shared" si="22"/>
        <v>9.781054849146039E-3</v>
      </c>
      <c r="J59" s="43">
        <f t="shared" si="22"/>
        <v>8.6524715973214962E-3</v>
      </c>
      <c r="K59" s="43">
        <f t="shared" si="22"/>
        <v>8.2762771800466478E-4</v>
      </c>
      <c r="L59" s="43">
        <f t="shared" si="22"/>
        <v>1.3542999021894516E-3</v>
      </c>
      <c r="M59" s="43">
        <f t="shared" si="22"/>
        <v>0.62102174403731847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0.37522334723049433</v>
      </c>
      <c r="D60" s="44">
        <f t="shared" ref="D60:N60" si="23">D58/$O$58</f>
        <v>3.5934087750645223E-2</v>
      </c>
      <c r="E60" s="44">
        <f t="shared" si="23"/>
        <v>4.6059162199722059E-2</v>
      </c>
      <c r="F60" s="44">
        <f t="shared" si="23"/>
        <v>0.45781218979551319</v>
      </c>
      <c r="G60" s="44">
        <f t="shared" si="23"/>
        <v>1.5683938852491561E-2</v>
      </c>
      <c r="H60" s="44">
        <f t="shared" si="23"/>
        <v>1.4889815366289458E-2</v>
      </c>
      <c r="I60" s="44">
        <f t="shared" si="23"/>
        <v>2.5809013301568394E-2</v>
      </c>
      <c r="J60" s="44">
        <f t="shared" si="23"/>
        <v>2.2831050228310501E-2</v>
      </c>
      <c r="K60" s="44">
        <f t="shared" si="23"/>
        <v>2.1838395870557871E-3</v>
      </c>
      <c r="L60" s="44">
        <f t="shared" si="23"/>
        <v>3.5735556879094698E-3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2" t="str">
        <f>'24.07 Rubaga-Natete'!G5:H5</f>
        <v>Total Wakaliga</v>
      </c>
      <c r="H5" s="53"/>
      <c r="I5" s="14"/>
      <c r="J5" s="2" t="s">
        <v>5</v>
      </c>
      <c r="K5" s="52" t="s">
        <v>174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Natete-Rubaga'!D6:E6</f>
        <v>Natete</v>
      </c>
      <c r="E6" s="53"/>
      <c r="F6" s="2" t="s">
        <v>2</v>
      </c>
      <c r="G6" s="52" t="str">
        <f>'22.07 Natete-Rubaga'!G6:H6</f>
        <v>Rubaga</v>
      </c>
      <c r="H6" s="53"/>
      <c r="J6" s="2" t="s">
        <v>21</v>
      </c>
      <c r="K6" s="52" t="str">
        <f>'24.07 Rubaga-Natete'!K6:L6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48</v>
      </c>
      <c r="D10" s="50">
        <v>7</v>
      </c>
      <c r="E10" s="50">
        <v>6</v>
      </c>
      <c r="F10" s="50">
        <v>63</v>
      </c>
      <c r="G10" s="50">
        <v>1</v>
      </c>
      <c r="H10" s="50">
        <v>1</v>
      </c>
      <c r="I10" s="50">
        <v>6</v>
      </c>
      <c r="J10" s="50">
        <v>0</v>
      </c>
      <c r="K10" s="50">
        <v>1</v>
      </c>
      <c r="L10" s="50">
        <v>0</v>
      </c>
      <c r="M10" s="50">
        <v>254</v>
      </c>
      <c r="N10" s="50">
        <v>0</v>
      </c>
      <c r="O10" s="15">
        <f t="shared" ref="O10:O57" si="0">SUM(C10:L10,N10)</f>
        <v>133</v>
      </c>
      <c r="P10" s="15">
        <f t="shared" ref="P10:P57" si="1">SUM(C10:N10)</f>
        <v>387</v>
      </c>
      <c r="R10" s="1" t="s">
        <v>6</v>
      </c>
      <c r="S10" s="17">
        <f t="shared" ref="S10:AF10" si="2">SUM(C10:C13)</f>
        <v>143</v>
      </c>
      <c r="T10" s="17">
        <f t="shared" si="2"/>
        <v>30</v>
      </c>
      <c r="U10" s="17">
        <f t="shared" si="2"/>
        <v>26</v>
      </c>
      <c r="V10" s="17">
        <f t="shared" si="2"/>
        <v>191</v>
      </c>
      <c r="W10" s="17">
        <f t="shared" si="2"/>
        <v>8</v>
      </c>
      <c r="X10" s="17">
        <f t="shared" si="2"/>
        <v>1</v>
      </c>
      <c r="Y10" s="17">
        <f t="shared" si="2"/>
        <v>12</v>
      </c>
      <c r="Z10" s="17">
        <f t="shared" si="2"/>
        <v>7</v>
      </c>
      <c r="AA10" s="17">
        <f t="shared" si="2"/>
        <v>2</v>
      </c>
      <c r="AB10" s="17">
        <f t="shared" si="2"/>
        <v>0</v>
      </c>
      <c r="AC10" s="17">
        <f t="shared" si="2"/>
        <v>1240</v>
      </c>
      <c r="AD10" s="17">
        <f t="shared" si="2"/>
        <v>0</v>
      </c>
      <c r="AE10" s="31">
        <f t="shared" si="2"/>
        <v>420</v>
      </c>
      <c r="AF10" s="31">
        <f t="shared" si="2"/>
        <v>1660</v>
      </c>
    </row>
    <row r="11" spans="2:32" s="6" customFormat="1" ht="23.1" customHeight="1" x14ac:dyDescent="0.25">
      <c r="B11" s="23" t="s">
        <v>38</v>
      </c>
      <c r="C11" s="50">
        <v>8</v>
      </c>
      <c r="D11" s="50">
        <v>2</v>
      </c>
      <c r="E11" s="50">
        <v>3</v>
      </c>
      <c r="F11" s="50">
        <v>8</v>
      </c>
      <c r="G11" s="50">
        <v>1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110</v>
      </c>
      <c r="N11" s="50">
        <v>0</v>
      </c>
      <c r="O11" s="15">
        <f t="shared" si="0"/>
        <v>25</v>
      </c>
      <c r="P11" s="15">
        <f t="shared" si="1"/>
        <v>135</v>
      </c>
      <c r="R11" s="1" t="s">
        <v>7</v>
      </c>
      <c r="S11" s="17">
        <f t="shared" ref="S11:AF11" si="3">SUM(C14:C17)</f>
        <v>151</v>
      </c>
      <c r="T11" s="17">
        <f t="shared" si="3"/>
        <v>31</v>
      </c>
      <c r="U11" s="17">
        <f t="shared" si="3"/>
        <v>18</v>
      </c>
      <c r="V11" s="17">
        <f t="shared" si="3"/>
        <v>211</v>
      </c>
      <c r="W11" s="17">
        <f t="shared" si="3"/>
        <v>9</v>
      </c>
      <c r="X11" s="17">
        <f t="shared" si="3"/>
        <v>2</v>
      </c>
      <c r="Y11" s="17">
        <f t="shared" si="3"/>
        <v>8</v>
      </c>
      <c r="Z11" s="17">
        <f t="shared" si="3"/>
        <v>4</v>
      </c>
      <c r="AA11" s="17">
        <f t="shared" si="3"/>
        <v>0</v>
      </c>
      <c r="AB11" s="17">
        <f t="shared" si="3"/>
        <v>1</v>
      </c>
      <c r="AC11" s="17">
        <f t="shared" si="3"/>
        <v>2040</v>
      </c>
      <c r="AD11" s="17">
        <f t="shared" si="3"/>
        <v>0</v>
      </c>
      <c r="AE11" s="31">
        <f t="shared" si="3"/>
        <v>435</v>
      </c>
      <c r="AF11" s="31">
        <f t="shared" si="3"/>
        <v>2475</v>
      </c>
    </row>
    <row r="12" spans="2:32" ht="23.1" customHeight="1" x14ac:dyDescent="0.25">
      <c r="B12" s="23" t="s">
        <v>39</v>
      </c>
      <c r="C12" s="50">
        <v>48</v>
      </c>
      <c r="D12" s="50">
        <v>11</v>
      </c>
      <c r="E12" s="50">
        <v>11</v>
      </c>
      <c r="F12" s="50">
        <v>71</v>
      </c>
      <c r="G12" s="50">
        <v>3</v>
      </c>
      <c r="H12" s="50">
        <v>0</v>
      </c>
      <c r="I12" s="50">
        <v>4</v>
      </c>
      <c r="J12" s="50">
        <v>3</v>
      </c>
      <c r="K12" s="50">
        <v>0</v>
      </c>
      <c r="L12" s="50">
        <v>0</v>
      </c>
      <c r="M12" s="50">
        <v>406</v>
      </c>
      <c r="N12" s="50">
        <v>0</v>
      </c>
      <c r="O12" s="15">
        <f t="shared" si="0"/>
        <v>151</v>
      </c>
      <c r="P12" s="15">
        <f t="shared" si="1"/>
        <v>557</v>
      </c>
      <c r="R12" s="1" t="s">
        <v>8</v>
      </c>
      <c r="S12" s="17">
        <f t="shared" ref="S12:AF12" si="4">SUM(C18:C21)</f>
        <v>160</v>
      </c>
      <c r="T12" s="17">
        <f t="shared" si="4"/>
        <v>22</v>
      </c>
      <c r="U12" s="17">
        <f t="shared" si="4"/>
        <v>16</v>
      </c>
      <c r="V12" s="17">
        <f t="shared" si="4"/>
        <v>203</v>
      </c>
      <c r="W12" s="17">
        <f t="shared" si="4"/>
        <v>14</v>
      </c>
      <c r="X12" s="17">
        <f t="shared" si="4"/>
        <v>2</v>
      </c>
      <c r="Y12" s="17">
        <f t="shared" si="4"/>
        <v>5</v>
      </c>
      <c r="Z12" s="17">
        <f t="shared" si="4"/>
        <v>15</v>
      </c>
      <c r="AA12" s="17">
        <f t="shared" si="4"/>
        <v>1</v>
      </c>
      <c r="AB12" s="17">
        <f t="shared" si="4"/>
        <v>0</v>
      </c>
      <c r="AC12" s="17">
        <f t="shared" si="4"/>
        <v>1502</v>
      </c>
      <c r="AD12" s="17">
        <f t="shared" si="4"/>
        <v>0</v>
      </c>
      <c r="AE12" s="31">
        <f t="shared" si="4"/>
        <v>438</v>
      </c>
      <c r="AF12" s="31">
        <f t="shared" si="4"/>
        <v>1940</v>
      </c>
    </row>
    <row r="13" spans="2:32" ht="23.1" customHeight="1" x14ac:dyDescent="0.25">
      <c r="B13" s="23" t="s">
        <v>40</v>
      </c>
      <c r="C13" s="50">
        <v>39</v>
      </c>
      <c r="D13" s="50">
        <v>10</v>
      </c>
      <c r="E13" s="50">
        <v>6</v>
      </c>
      <c r="F13" s="50">
        <v>49</v>
      </c>
      <c r="G13" s="50">
        <v>3</v>
      </c>
      <c r="H13" s="50">
        <v>0</v>
      </c>
      <c r="I13" s="50">
        <v>0</v>
      </c>
      <c r="J13" s="50">
        <v>3</v>
      </c>
      <c r="K13" s="50">
        <v>1</v>
      </c>
      <c r="L13" s="50">
        <v>0</v>
      </c>
      <c r="M13" s="50">
        <v>470</v>
      </c>
      <c r="N13" s="50">
        <v>0</v>
      </c>
      <c r="O13" s="15">
        <f t="shared" si="0"/>
        <v>111</v>
      </c>
      <c r="P13" s="15">
        <f t="shared" si="1"/>
        <v>581</v>
      </c>
      <c r="R13" s="1" t="s">
        <v>9</v>
      </c>
      <c r="S13" s="17">
        <f t="shared" ref="S13:AF13" si="5">SUM(C22:C25)</f>
        <v>182</v>
      </c>
      <c r="T13" s="17">
        <f t="shared" si="5"/>
        <v>32</v>
      </c>
      <c r="U13" s="17">
        <f t="shared" si="5"/>
        <v>12</v>
      </c>
      <c r="V13" s="17">
        <f t="shared" si="5"/>
        <v>175</v>
      </c>
      <c r="W13" s="17">
        <f t="shared" si="5"/>
        <v>9</v>
      </c>
      <c r="X13" s="17">
        <f t="shared" si="5"/>
        <v>4</v>
      </c>
      <c r="Y13" s="17">
        <f t="shared" si="5"/>
        <v>14</v>
      </c>
      <c r="Z13" s="17">
        <f t="shared" si="5"/>
        <v>11</v>
      </c>
      <c r="AA13" s="17">
        <f t="shared" si="5"/>
        <v>0</v>
      </c>
      <c r="AB13" s="17">
        <f t="shared" si="5"/>
        <v>1</v>
      </c>
      <c r="AC13" s="17">
        <f t="shared" si="5"/>
        <v>980</v>
      </c>
      <c r="AD13" s="17">
        <f t="shared" si="5"/>
        <v>0</v>
      </c>
      <c r="AE13" s="31">
        <f t="shared" si="5"/>
        <v>440</v>
      </c>
      <c r="AF13" s="31">
        <f t="shared" si="5"/>
        <v>1420</v>
      </c>
    </row>
    <row r="14" spans="2:32" ht="23.1" customHeight="1" x14ac:dyDescent="0.25">
      <c r="B14" s="23" t="s">
        <v>41</v>
      </c>
      <c r="C14" s="50">
        <v>36</v>
      </c>
      <c r="D14" s="50">
        <v>7</v>
      </c>
      <c r="E14" s="50">
        <v>4</v>
      </c>
      <c r="F14" s="50">
        <v>64</v>
      </c>
      <c r="G14" s="50">
        <v>4</v>
      </c>
      <c r="H14" s="50">
        <v>2</v>
      </c>
      <c r="I14" s="50">
        <v>1</v>
      </c>
      <c r="J14" s="50">
        <v>2</v>
      </c>
      <c r="K14" s="50">
        <v>0</v>
      </c>
      <c r="L14" s="50">
        <v>0</v>
      </c>
      <c r="M14" s="50">
        <v>558</v>
      </c>
      <c r="N14" s="50">
        <v>0</v>
      </c>
      <c r="O14" s="15">
        <f t="shared" si="0"/>
        <v>120</v>
      </c>
      <c r="P14" s="15">
        <f t="shared" si="1"/>
        <v>678</v>
      </c>
      <c r="R14" s="1" t="s">
        <v>10</v>
      </c>
      <c r="S14" s="17">
        <f t="shared" ref="S14:AF14" si="6">SUM(C26:C29)</f>
        <v>149</v>
      </c>
      <c r="T14" s="17">
        <f t="shared" si="6"/>
        <v>26</v>
      </c>
      <c r="U14" s="17">
        <f t="shared" si="6"/>
        <v>19</v>
      </c>
      <c r="V14" s="17">
        <f t="shared" si="6"/>
        <v>141</v>
      </c>
      <c r="W14" s="17">
        <f t="shared" si="6"/>
        <v>1</v>
      </c>
      <c r="X14" s="17">
        <f t="shared" si="6"/>
        <v>3</v>
      </c>
      <c r="Y14" s="17">
        <f t="shared" si="6"/>
        <v>9</v>
      </c>
      <c r="Z14" s="17">
        <f t="shared" si="6"/>
        <v>13</v>
      </c>
      <c r="AA14" s="17">
        <f t="shared" si="6"/>
        <v>0</v>
      </c>
      <c r="AB14" s="17">
        <f t="shared" si="6"/>
        <v>2</v>
      </c>
      <c r="AC14" s="17">
        <f t="shared" si="6"/>
        <v>914</v>
      </c>
      <c r="AD14" s="17">
        <f t="shared" si="6"/>
        <v>0</v>
      </c>
      <c r="AE14" s="31">
        <f t="shared" si="6"/>
        <v>363</v>
      </c>
      <c r="AF14" s="31">
        <f t="shared" si="6"/>
        <v>1277</v>
      </c>
    </row>
    <row r="15" spans="2:32" ht="23.1" customHeight="1" x14ac:dyDescent="0.25">
      <c r="B15" s="23" t="s">
        <v>42</v>
      </c>
      <c r="C15" s="50">
        <v>36</v>
      </c>
      <c r="D15" s="50">
        <v>11</v>
      </c>
      <c r="E15" s="50">
        <v>5</v>
      </c>
      <c r="F15" s="50">
        <v>51</v>
      </c>
      <c r="G15" s="50">
        <v>1</v>
      </c>
      <c r="H15" s="50">
        <v>0</v>
      </c>
      <c r="I15" s="50">
        <v>3</v>
      </c>
      <c r="J15" s="50">
        <v>1</v>
      </c>
      <c r="K15" s="50">
        <v>0</v>
      </c>
      <c r="L15" s="50">
        <v>1</v>
      </c>
      <c r="M15" s="50">
        <v>557</v>
      </c>
      <c r="N15" s="50">
        <v>0</v>
      </c>
      <c r="O15" s="15">
        <f t="shared" si="0"/>
        <v>109</v>
      </c>
      <c r="P15" s="15">
        <f t="shared" si="1"/>
        <v>666</v>
      </c>
      <c r="R15" s="1" t="s">
        <v>11</v>
      </c>
      <c r="S15" s="17">
        <f t="shared" ref="S15:AF15" si="7">SUM(C30:C33)</f>
        <v>129</v>
      </c>
      <c r="T15" s="17">
        <f t="shared" si="7"/>
        <v>24</v>
      </c>
      <c r="U15" s="17">
        <f t="shared" si="7"/>
        <v>23</v>
      </c>
      <c r="V15" s="17">
        <f t="shared" si="7"/>
        <v>151</v>
      </c>
      <c r="W15" s="17">
        <f t="shared" si="7"/>
        <v>2</v>
      </c>
      <c r="X15" s="17">
        <f t="shared" si="7"/>
        <v>2</v>
      </c>
      <c r="Y15" s="17">
        <f t="shared" si="7"/>
        <v>16</v>
      </c>
      <c r="Z15" s="17">
        <f t="shared" si="7"/>
        <v>12</v>
      </c>
      <c r="AA15" s="17">
        <f t="shared" si="7"/>
        <v>2</v>
      </c>
      <c r="AB15" s="17">
        <f t="shared" si="7"/>
        <v>0</v>
      </c>
      <c r="AC15" s="17">
        <f t="shared" si="7"/>
        <v>790</v>
      </c>
      <c r="AD15" s="17">
        <f t="shared" si="7"/>
        <v>0</v>
      </c>
      <c r="AE15" s="31">
        <f t="shared" si="7"/>
        <v>361</v>
      </c>
      <c r="AF15" s="31">
        <f t="shared" si="7"/>
        <v>1151</v>
      </c>
    </row>
    <row r="16" spans="2:32" ht="23.1" customHeight="1" x14ac:dyDescent="0.25">
      <c r="B16" s="23" t="s">
        <v>43</v>
      </c>
      <c r="C16" s="50">
        <v>38</v>
      </c>
      <c r="D16" s="50">
        <v>4</v>
      </c>
      <c r="E16" s="50">
        <v>4</v>
      </c>
      <c r="F16" s="50">
        <v>42</v>
      </c>
      <c r="G16" s="50">
        <v>3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460</v>
      </c>
      <c r="N16" s="50">
        <v>0</v>
      </c>
      <c r="O16" s="15">
        <f t="shared" si="0"/>
        <v>92</v>
      </c>
      <c r="P16" s="15">
        <f t="shared" si="1"/>
        <v>552</v>
      </c>
      <c r="R16" s="1" t="s">
        <v>12</v>
      </c>
      <c r="S16" s="17">
        <f t="shared" ref="S16:AF16" si="8">SUM(C34:C37)</f>
        <v>116</v>
      </c>
      <c r="T16" s="17">
        <f t="shared" si="8"/>
        <v>32</v>
      </c>
      <c r="U16" s="17">
        <f t="shared" si="8"/>
        <v>21</v>
      </c>
      <c r="V16" s="17">
        <f t="shared" si="8"/>
        <v>170</v>
      </c>
      <c r="W16" s="17">
        <f t="shared" si="8"/>
        <v>6</v>
      </c>
      <c r="X16" s="17">
        <f t="shared" si="8"/>
        <v>5</v>
      </c>
      <c r="Y16" s="17">
        <f t="shared" si="8"/>
        <v>7</v>
      </c>
      <c r="Z16" s="17">
        <f t="shared" si="8"/>
        <v>8</v>
      </c>
      <c r="AA16" s="17">
        <f t="shared" si="8"/>
        <v>2</v>
      </c>
      <c r="AB16" s="17">
        <f t="shared" si="8"/>
        <v>1</v>
      </c>
      <c r="AC16" s="17">
        <f t="shared" si="8"/>
        <v>625</v>
      </c>
      <c r="AD16" s="17">
        <f t="shared" si="8"/>
        <v>0</v>
      </c>
      <c r="AE16" s="31">
        <f t="shared" si="8"/>
        <v>368</v>
      </c>
      <c r="AF16" s="31">
        <f t="shared" si="8"/>
        <v>993</v>
      </c>
    </row>
    <row r="17" spans="2:32" ht="23.1" customHeight="1" x14ac:dyDescent="0.25">
      <c r="B17" s="23" t="s">
        <v>44</v>
      </c>
      <c r="C17" s="50">
        <v>41</v>
      </c>
      <c r="D17" s="50">
        <v>9</v>
      </c>
      <c r="E17" s="50">
        <v>5</v>
      </c>
      <c r="F17" s="50">
        <v>54</v>
      </c>
      <c r="G17" s="50">
        <v>1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465</v>
      </c>
      <c r="N17" s="50">
        <v>0</v>
      </c>
      <c r="O17" s="15">
        <f t="shared" si="0"/>
        <v>114</v>
      </c>
      <c r="P17" s="15">
        <f t="shared" si="1"/>
        <v>579</v>
      </c>
      <c r="R17" s="1" t="s">
        <v>13</v>
      </c>
      <c r="S17" s="17">
        <f t="shared" ref="S17:AF17" si="9">SUM(C38:C41)</f>
        <v>141</v>
      </c>
      <c r="T17" s="17">
        <f t="shared" si="9"/>
        <v>25</v>
      </c>
      <c r="U17" s="17">
        <f t="shared" si="9"/>
        <v>31</v>
      </c>
      <c r="V17" s="17">
        <f t="shared" si="9"/>
        <v>163</v>
      </c>
      <c r="W17" s="17">
        <f t="shared" si="9"/>
        <v>5</v>
      </c>
      <c r="X17" s="17">
        <f t="shared" si="9"/>
        <v>8</v>
      </c>
      <c r="Y17" s="17">
        <f t="shared" si="9"/>
        <v>19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378</v>
      </c>
      <c r="AD17" s="17">
        <f t="shared" si="9"/>
        <v>0</v>
      </c>
      <c r="AE17" s="31">
        <f t="shared" si="9"/>
        <v>399</v>
      </c>
      <c r="AF17" s="31">
        <f t="shared" si="9"/>
        <v>777</v>
      </c>
    </row>
    <row r="18" spans="2:32" ht="23.1" customHeight="1" x14ac:dyDescent="0.25">
      <c r="B18" s="23" t="s">
        <v>45</v>
      </c>
      <c r="C18" s="50">
        <v>52</v>
      </c>
      <c r="D18" s="50">
        <v>5</v>
      </c>
      <c r="E18" s="50">
        <v>7</v>
      </c>
      <c r="F18" s="50">
        <v>58</v>
      </c>
      <c r="G18" s="50">
        <v>4</v>
      </c>
      <c r="H18" s="50">
        <v>0</v>
      </c>
      <c r="I18" s="50">
        <v>0</v>
      </c>
      <c r="J18" s="50">
        <v>5</v>
      </c>
      <c r="K18" s="50">
        <v>0</v>
      </c>
      <c r="L18" s="50">
        <v>0</v>
      </c>
      <c r="M18" s="50">
        <v>435</v>
      </c>
      <c r="N18" s="50">
        <v>0</v>
      </c>
      <c r="O18" s="15">
        <f t="shared" si="0"/>
        <v>131</v>
      </c>
      <c r="P18" s="15">
        <f t="shared" si="1"/>
        <v>566</v>
      </c>
      <c r="R18" s="1" t="s">
        <v>14</v>
      </c>
      <c r="S18" s="17">
        <f t="shared" ref="S18:AF18" si="10">SUM(C42:C45)</f>
        <v>91</v>
      </c>
      <c r="T18" s="17">
        <f t="shared" si="10"/>
        <v>33</v>
      </c>
      <c r="U18" s="17">
        <f t="shared" si="10"/>
        <v>6</v>
      </c>
      <c r="V18" s="17">
        <f t="shared" si="10"/>
        <v>132</v>
      </c>
      <c r="W18" s="17">
        <f t="shared" si="10"/>
        <v>6</v>
      </c>
      <c r="X18" s="17">
        <f t="shared" si="10"/>
        <v>5</v>
      </c>
      <c r="Y18" s="17">
        <f t="shared" si="10"/>
        <v>11</v>
      </c>
      <c r="Z18" s="17">
        <f t="shared" si="10"/>
        <v>9</v>
      </c>
      <c r="AA18" s="17">
        <f t="shared" si="10"/>
        <v>2</v>
      </c>
      <c r="AB18" s="17">
        <f t="shared" si="10"/>
        <v>0</v>
      </c>
      <c r="AC18" s="17">
        <f t="shared" si="10"/>
        <v>440</v>
      </c>
      <c r="AD18" s="17">
        <f t="shared" si="10"/>
        <v>0</v>
      </c>
      <c r="AE18" s="31">
        <f t="shared" si="10"/>
        <v>295</v>
      </c>
      <c r="AF18" s="31">
        <f t="shared" si="10"/>
        <v>735</v>
      </c>
    </row>
    <row r="19" spans="2:32" ht="23.1" customHeight="1" x14ac:dyDescent="0.25">
      <c r="B19" s="23" t="s">
        <v>46</v>
      </c>
      <c r="C19" s="50">
        <v>37</v>
      </c>
      <c r="D19" s="50">
        <v>4</v>
      </c>
      <c r="E19" s="50">
        <v>1</v>
      </c>
      <c r="F19" s="50">
        <v>42</v>
      </c>
      <c r="G19" s="50">
        <v>2</v>
      </c>
      <c r="H19" s="50">
        <v>1</v>
      </c>
      <c r="I19" s="50">
        <v>0</v>
      </c>
      <c r="J19" s="50">
        <v>3</v>
      </c>
      <c r="K19" s="50">
        <v>1</v>
      </c>
      <c r="L19" s="50">
        <v>0</v>
      </c>
      <c r="M19" s="50">
        <v>380</v>
      </c>
      <c r="N19" s="50">
        <v>0</v>
      </c>
      <c r="O19" s="15">
        <f t="shared" si="0"/>
        <v>91</v>
      </c>
      <c r="P19" s="15">
        <f t="shared" si="1"/>
        <v>471</v>
      </c>
      <c r="R19" s="1" t="s">
        <v>15</v>
      </c>
      <c r="S19" s="17">
        <f t="shared" ref="S19:AF19" si="11">SUM(C46:C49)</f>
        <v>120</v>
      </c>
      <c r="T19" s="17">
        <f t="shared" si="11"/>
        <v>27</v>
      </c>
      <c r="U19" s="17">
        <f t="shared" si="11"/>
        <v>26</v>
      </c>
      <c r="V19" s="17">
        <f t="shared" si="11"/>
        <v>167</v>
      </c>
      <c r="W19" s="17">
        <f t="shared" si="11"/>
        <v>3</v>
      </c>
      <c r="X19" s="17">
        <f t="shared" si="11"/>
        <v>10</v>
      </c>
      <c r="Y19" s="17">
        <f t="shared" si="11"/>
        <v>15</v>
      </c>
      <c r="Z19" s="17">
        <f t="shared" si="11"/>
        <v>14</v>
      </c>
      <c r="AA19" s="17">
        <f t="shared" si="11"/>
        <v>1</v>
      </c>
      <c r="AB19" s="17">
        <f t="shared" si="11"/>
        <v>1</v>
      </c>
      <c r="AC19" s="17">
        <f t="shared" si="11"/>
        <v>431</v>
      </c>
      <c r="AD19" s="17">
        <f t="shared" si="11"/>
        <v>0</v>
      </c>
      <c r="AE19" s="31">
        <f t="shared" si="11"/>
        <v>384</v>
      </c>
      <c r="AF19" s="31">
        <f t="shared" si="11"/>
        <v>815</v>
      </c>
    </row>
    <row r="20" spans="2:32" ht="23.1" customHeight="1" x14ac:dyDescent="0.25">
      <c r="B20" s="23" t="s">
        <v>47</v>
      </c>
      <c r="C20" s="50">
        <v>41</v>
      </c>
      <c r="D20" s="50">
        <v>5</v>
      </c>
      <c r="E20" s="50">
        <v>3</v>
      </c>
      <c r="F20" s="50">
        <v>51</v>
      </c>
      <c r="G20" s="50">
        <v>7</v>
      </c>
      <c r="H20" s="50">
        <v>0</v>
      </c>
      <c r="I20" s="50">
        <v>4</v>
      </c>
      <c r="J20" s="50">
        <v>5</v>
      </c>
      <c r="K20" s="50">
        <v>0</v>
      </c>
      <c r="L20" s="50">
        <v>0</v>
      </c>
      <c r="M20" s="50">
        <v>350</v>
      </c>
      <c r="N20" s="50">
        <v>0</v>
      </c>
      <c r="O20" s="15">
        <f t="shared" si="0"/>
        <v>116</v>
      </c>
      <c r="P20" s="15">
        <f t="shared" si="1"/>
        <v>466</v>
      </c>
      <c r="R20" s="1" t="s">
        <v>16</v>
      </c>
      <c r="S20" s="17">
        <f t="shared" ref="S20:AF20" si="12">SUM(C50:C53)</f>
        <v>121</v>
      </c>
      <c r="T20" s="17">
        <f t="shared" si="12"/>
        <v>25</v>
      </c>
      <c r="U20" s="17">
        <f t="shared" si="12"/>
        <v>25</v>
      </c>
      <c r="V20" s="17">
        <f t="shared" si="12"/>
        <v>173</v>
      </c>
      <c r="W20" s="17">
        <f t="shared" si="12"/>
        <v>5</v>
      </c>
      <c r="X20" s="17">
        <f t="shared" si="12"/>
        <v>11</v>
      </c>
      <c r="Y20" s="17">
        <f t="shared" si="12"/>
        <v>17</v>
      </c>
      <c r="Z20" s="17">
        <f t="shared" si="12"/>
        <v>11</v>
      </c>
      <c r="AA20" s="17">
        <f t="shared" si="12"/>
        <v>2</v>
      </c>
      <c r="AB20" s="17">
        <f t="shared" si="12"/>
        <v>1</v>
      </c>
      <c r="AC20" s="17">
        <f t="shared" si="12"/>
        <v>365</v>
      </c>
      <c r="AD20" s="17">
        <f t="shared" si="12"/>
        <v>0</v>
      </c>
      <c r="AE20" s="31">
        <f t="shared" si="12"/>
        <v>391</v>
      </c>
      <c r="AF20" s="31">
        <f t="shared" si="12"/>
        <v>756</v>
      </c>
    </row>
    <row r="21" spans="2:32" ht="23.1" customHeight="1" x14ac:dyDescent="0.25">
      <c r="B21" s="23" t="s">
        <v>48</v>
      </c>
      <c r="C21" s="50">
        <v>30</v>
      </c>
      <c r="D21" s="50">
        <v>8</v>
      </c>
      <c r="E21" s="50">
        <v>5</v>
      </c>
      <c r="F21" s="50">
        <v>52</v>
      </c>
      <c r="G21" s="50">
        <v>1</v>
      </c>
      <c r="H21" s="50">
        <v>1</v>
      </c>
      <c r="I21" s="50">
        <v>1</v>
      </c>
      <c r="J21" s="50">
        <v>2</v>
      </c>
      <c r="K21" s="50">
        <v>0</v>
      </c>
      <c r="L21" s="50">
        <v>0</v>
      </c>
      <c r="M21" s="50">
        <v>337</v>
      </c>
      <c r="N21" s="50">
        <v>0</v>
      </c>
      <c r="O21" s="15">
        <f t="shared" si="0"/>
        <v>100</v>
      </c>
      <c r="P21" s="15">
        <f t="shared" si="1"/>
        <v>437</v>
      </c>
      <c r="R21" s="36" t="s">
        <v>20</v>
      </c>
      <c r="S21" s="34">
        <f t="shared" ref="S21:AF21" si="13">SUM(C54:C57)</f>
        <v>163</v>
      </c>
      <c r="T21" s="17">
        <f t="shared" si="13"/>
        <v>41</v>
      </c>
      <c r="U21" s="17">
        <f t="shared" si="13"/>
        <v>29</v>
      </c>
      <c r="V21" s="17">
        <f t="shared" si="13"/>
        <v>191</v>
      </c>
      <c r="W21" s="17">
        <f t="shared" si="13"/>
        <v>3</v>
      </c>
      <c r="X21" s="17">
        <f t="shared" si="13"/>
        <v>4</v>
      </c>
      <c r="Y21" s="17">
        <f t="shared" si="13"/>
        <v>6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424</v>
      </c>
      <c r="AD21" s="17">
        <f t="shared" si="13"/>
        <v>0</v>
      </c>
      <c r="AE21" s="31">
        <f t="shared" si="13"/>
        <v>444</v>
      </c>
      <c r="AF21" s="31">
        <f t="shared" si="13"/>
        <v>868</v>
      </c>
    </row>
    <row r="22" spans="2:32" ht="23.1" customHeight="1" x14ac:dyDescent="0.25">
      <c r="B22" s="23" t="s">
        <v>49</v>
      </c>
      <c r="C22" s="50">
        <v>61</v>
      </c>
      <c r="D22" s="50">
        <v>9</v>
      </c>
      <c r="E22" s="50">
        <v>2</v>
      </c>
      <c r="F22" s="50">
        <v>40</v>
      </c>
      <c r="G22" s="50">
        <v>2</v>
      </c>
      <c r="H22" s="50">
        <v>1</v>
      </c>
      <c r="I22" s="50">
        <v>2</v>
      </c>
      <c r="J22" s="50">
        <v>2</v>
      </c>
      <c r="K22" s="50">
        <v>0</v>
      </c>
      <c r="L22" s="50">
        <v>1</v>
      </c>
      <c r="M22" s="50">
        <v>264</v>
      </c>
      <c r="N22" s="50">
        <v>0</v>
      </c>
      <c r="O22" s="15">
        <f t="shared" si="0"/>
        <v>120</v>
      </c>
      <c r="P22" s="15">
        <f t="shared" si="1"/>
        <v>384</v>
      </c>
      <c r="R22" s="38" t="s">
        <v>90</v>
      </c>
      <c r="S22" s="39">
        <f>MAX(S10:S12)</f>
        <v>160</v>
      </c>
      <c r="T22" s="39">
        <f t="shared" ref="T22:AF22" si="14">MAX(T10:T12)</f>
        <v>31</v>
      </c>
      <c r="U22" s="39">
        <f t="shared" si="14"/>
        <v>26</v>
      </c>
      <c r="V22" s="39">
        <f t="shared" si="14"/>
        <v>211</v>
      </c>
      <c r="W22" s="39">
        <f t="shared" si="14"/>
        <v>14</v>
      </c>
      <c r="X22" s="39">
        <f t="shared" si="14"/>
        <v>2</v>
      </c>
      <c r="Y22" s="39">
        <f t="shared" si="14"/>
        <v>12</v>
      </c>
      <c r="Z22" s="39">
        <f t="shared" si="14"/>
        <v>15</v>
      </c>
      <c r="AA22" s="39">
        <f t="shared" si="14"/>
        <v>2</v>
      </c>
      <c r="AB22" s="39">
        <f t="shared" si="14"/>
        <v>1</v>
      </c>
      <c r="AC22" s="39">
        <f t="shared" si="14"/>
        <v>2040</v>
      </c>
      <c r="AD22" s="39">
        <f t="shared" si="14"/>
        <v>0</v>
      </c>
      <c r="AE22" s="40">
        <f t="shared" si="14"/>
        <v>438</v>
      </c>
      <c r="AF22" s="40">
        <f t="shared" si="14"/>
        <v>2475</v>
      </c>
    </row>
    <row r="23" spans="2:32" ht="23.1" customHeight="1" x14ac:dyDescent="0.25">
      <c r="B23" s="23" t="s">
        <v>50</v>
      </c>
      <c r="C23" s="50">
        <v>45</v>
      </c>
      <c r="D23" s="50">
        <v>9</v>
      </c>
      <c r="E23" s="50">
        <v>1</v>
      </c>
      <c r="F23" s="50">
        <v>47</v>
      </c>
      <c r="G23" s="50">
        <v>4</v>
      </c>
      <c r="H23" s="50">
        <v>1</v>
      </c>
      <c r="I23" s="50">
        <v>3</v>
      </c>
      <c r="J23" s="50">
        <v>1</v>
      </c>
      <c r="K23" s="50">
        <v>0</v>
      </c>
      <c r="L23" s="50">
        <v>0</v>
      </c>
      <c r="M23" s="50">
        <v>238</v>
      </c>
      <c r="N23" s="50">
        <v>0</v>
      </c>
      <c r="O23" s="15">
        <f t="shared" si="0"/>
        <v>111</v>
      </c>
      <c r="P23" s="15">
        <f t="shared" si="1"/>
        <v>349</v>
      </c>
      <c r="R23" s="38" t="s">
        <v>91</v>
      </c>
      <c r="S23" s="39">
        <f>MAX(S13:S18)</f>
        <v>182</v>
      </c>
      <c r="T23" s="39">
        <f t="shared" ref="T23:AF23" si="15">MAX(T13:T18)</f>
        <v>33</v>
      </c>
      <c r="U23" s="39">
        <f t="shared" si="15"/>
        <v>31</v>
      </c>
      <c r="V23" s="39">
        <f t="shared" si="15"/>
        <v>175</v>
      </c>
      <c r="W23" s="39">
        <f t="shared" si="15"/>
        <v>9</v>
      </c>
      <c r="X23" s="39">
        <f t="shared" si="15"/>
        <v>8</v>
      </c>
      <c r="Y23" s="39">
        <f t="shared" si="15"/>
        <v>19</v>
      </c>
      <c r="Z23" s="39">
        <f t="shared" si="15"/>
        <v>13</v>
      </c>
      <c r="AA23" s="39">
        <f t="shared" si="15"/>
        <v>2</v>
      </c>
      <c r="AB23" s="39">
        <f t="shared" si="15"/>
        <v>2</v>
      </c>
      <c r="AC23" s="39">
        <f t="shared" si="15"/>
        <v>980</v>
      </c>
      <c r="AD23" s="39">
        <f t="shared" si="15"/>
        <v>0</v>
      </c>
      <c r="AE23" s="40">
        <f t="shared" si="15"/>
        <v>440</v>
      </c>
      <c r="AF23" s="40">
        <f t="shared" si="15"/>
        <v>1420</v>
      </c>
    </row>
    <row r="24" spans="2:32" ht="23.1" customHeight="1" x14ac:dyDescent="0.25">
      <c r="B24" s="23" t="s">
        <v>51</v>
      </c>
      <c r="C24" s="50">
        <v>37</v>
      </c>
      <c r="D24" s="50">
        <v>8</v>
      </c>
      <c r="E24" s="50">
        <v>6</v>
      </c>
      <c r="F24" s="50">
        <v>45</v>
      </c>
      <c r="G24" s="50">
        <v>2</v>
      </c>
      <c r="H24" s="50">
        <v>1</v>
      </c>
      <c r="I24" s="50">
        <v>6</v>
      </c>
      <c r="J24" s="50">
        <v>3</v>
      </c>
      <c r="K24" s="50">
        <v>0</v>
      </c>
      <c r="L24" s="50">
        <v>0</v>
      </c>
      <c r="M24" s="50">
        <v>248</v>
      </c>
      <c r="N24" s="50">
        <v>0</v>
      </c>
      <c r="O24" s="15">
        <f t="shared" si="0"/>
        <v>108</v>
      </c>
      <c r="P24" s="15">
        <f t="shared" si="1"/>
        <v>356</v>
      </c>
      <c r="R24" s="38" t="s">
        <v>92</v>
      </c>
      <c r="S24" s="39">
        <f>MAX(S19:S21)</f>
        <v>163</v>
      </c>
      <c r="T24" s="39">
        <f t="shared" ref="T24:AF24" si="16">MAX(T19:T21)</f>
        <v>41</v>
      </c>
      <c r="U24" s="39">
        <f t="shared" si="16"/>
        <v>29</v>
      </c>
      <c r="V24" s="39">
        <f t="shared" si="16"/>
        <v>191</v>
      </c>
      <c r="W24" s="39">
        <f t="shared" si="16"/>
        <v>5</v>
      </c>
      <c r="X24" s="39">
        <f t="shared" si="16"/>
        <v>11</v>
      </c>
      <c r="Y24" s="39">
        <f t="shared" si="16"/>
        <v>17</v>
      </c>
      <c r="Z24" s="39">
        <f t="shared" si="16"/>
        <v>14</v>
      </c>
      <c r="AA24" s="39">
        <f t="shared" si="16"/>
        <v>2</v>
      </c>
      <c r="AB24" s="39">
        <f t="shared" si="16"/>
        <v>1</v>
      </c>
      <c r="AC24" s="39">
        <f t="shared" si="16"/>
        <v>431</v>
      </c>
      <c r="AD24" s="39">
        <f t="shared" si="16"/>
        <v>0</v>
      </c>
      <c r="AE24" s="40">
        <f t="shared" si="16"/>
        <v>444</v>
      </c>
      <c r="AF24" s="40">
        <f t="shared" si="16"/>
        <v>868</v>
      </c>
    </row>
    <row r="25" spans="2:32" ht="23.1" customHeight="1" x14ac:dyDescent="0.25">
      <c r="B25" s="23" t="s">
        <v>52</v>
      </c>
      <c r="C25" s="50">
        <v>39</v>
      </c>
      <c r="D25" s="50">
        <v>6</v>
      </c>
      <c r="E25" s="50">
        <v>3</v>
      </c>
      <c r="F25" s="50">
        <v>43</v>
      </c>
      <c r="G25" s="50">
        <v>1</v>
      </c>
      <c r="H25" s="50">
        <v>1</v>
      </c>
      <c r="I25" s="50">
        <v>3</v>
      </c>
      <c r="J25" s="50">
        <v>5</v>
      </c>
      <c r="K25" s="50">
        <v>0</v>
      </c>
      <c r="L25" s="50">
        <v>0</v>
      </c>
      <c r="M25" s="50">
        <v>230</v>
      </c>
      <c r="N25" s="50">
        <v>0</v>
      </c>
      <c r="O25" s="15">
        <f t="shared" si="0"/>
        <v>101</v>
      </c>
      <c r="P25" s="15">
        <f t="shared" si="1"/>
        <v>331</v>
      </c>
      <c r="R25" s="37" t="s">
        <v>85</v>
      </c>
      <c r="S25" s="35">
        <f t="shared" ref="S25:AF25" si="17">SUM(S10:S12)</f>
        <v>454</v>
      </c>
      <c r="T25" s="16">
        <f t="shared" si="17"/>
        <v>83</v>
      </c>
      <c r="U25" s="16">
        <f t="shared" si="17"/>
        <v>60</v>
      </c>
      <c r="V25" s="16">
        <f t="shared" si="17"/>
        <v>605</v>
      </c>
      <c r="W25" s="16">
        <f t="shared" si="17"/>
        <v>31</v>
      </c>
      <c r="X25" s="16">
        <f t="shared" si="17"/>
        <v>5</v>
      </c>
      <c r="Y25" s="16">
        <f t="shared" si="17"/>
        <v>25</v>
      </c>
      <c r="Z25" s="16">
        <f t="shared" si="17"/>
        <v>26</v>
      </c>
      <c r="AA25" s="16">
        <f t="shared" si="17"/>
        <v>3</v>
      </c>
      <c r="AB25" s="16">
        <f t="shared" si="17"/>
        <v>1</v>
      </c>
      <c r="AC25" s="16">
        <f t="shared" si="17"/>
        <v>4782</v>
      </c>
      <c r="AD25" s="16">
        <f t="shared" si="17"/>
        <v>0</v>
      </c>
      <c r="AE25" s="32">
        <f t="shared" si="17"/>
        <v>1293</v>
      </c>
      <c r="AF25" s="32">
        <f t="shared" si="17"/>
        <v>6075</v>
      </c>
    </row>
    <row r="26" spans="2:32" ht="23.1" customHeight="1" x14ac:dyDescent="0.25">
      <c r="B26" s="23" t="s">
        <v>53</v>
      </c>
      <c r="C26" s="50">
        <v>48</v>
      </c>
      <c r="D26" s="50">
        <v>10</v>
      </c>
      <c r="E26" s="50">
        <v>7</v>
      </c>
      <c r="F26" s="50">
        <v>42</v>
      </c>
      <c r="G26" s="50">
        <v>0</v>
      </c>
      <c r="H26" s="50">
        <v>1</v>
      </c>
      <c r="I26" s="50">
        <v>0</v>
      </c>
      <c r="J26" s="50">
        <v>2</v>
      </c>
      <c r="K26" s="50">
        <v>0</v>
      </c>
      <c r="L26" s="50">
        <v>1</v>
      </c>
      <c r="M26" s="50">
        <v>265</v>
      </c>
      <c r="N26" s="50">
        <v>0</v>
      </c>
      <c r="O26" s="15">
        <f t="shared" si="0"/>
        <v>111</v>
      </c>
      <c r="P26" s="15">
        <f t="shared" si="1"/>
        <v>376</v>
      </c>
      <c r="R26" s="28" t="s">
        <v>86</v>
      </c>
      <c r="S26" s="16">
        <f t="shared" ref="S26:AF26" si="18">SUM(S13:S18)</f>
        <v>808</v>
      </c>
      <c r="T26" s="16">
        <f t="shared" si="18"/>
        <v>172</v>
      </c>
      <c r="U26" s="16">
        <f t="shared" si="18"/>
        <v>112</v>
      </c>
      <c r="V26" s="16">
        <f t="shared" si="18"/>
        <v>932</v>
      </c>
      <c r="W26" s="16">
        <f t="shared" si="18"/>
        <v>29</v>
      </c>
      <c r="X26" s="16">
        <f t="shared" si="18"/>
        <v>27</v>
      </c>
      <c r="Y26" s="16">
        <f t="shared" si="18"/>
        <v>76</v>
      </c>
      <c r="Z26" s="16">
        <f t="shared" si="18"/>
        <v>60</v>
      </c>
      <c r="AA26" s="16">
        <f t="shared" si="18"/>
        <v>6</v>
      </c>
      <c r="AB26" s="16">
        <f t="shared" si="18"/>
        <v>4</v>
      </c>
      <c r="AC26" s="16">
        <f t="shared" si="18"/>
        <v>4127</v>
      </c>
      <c r="AD26" s="16">
        <f t="shared" si="18"/>
        <v>0</v>
      </c>
      <c r="AE26" s="32">
        <f t="shared" si="18"/>
        <v>2226</v>
      </c>
      <c r="AF26" s="32">
        <f t="shared" si="18"/>
        <v>6353</v>
      </c>
    </row>
    <row r="27" spans="2:32" ht="23.1" customHeight="1" x14ac:dyDescent="0.25">
      <c r="B27" s="23" t="s">
        <v>54</v>
      </c>
      <c r="C27" s="50">
        <v>28</v>
      </c>
      <c r="D27" s="50">
        <v>7</v>
      </c>
      <c r="E27" s="50">
        <v>3</v>
      </c>
      <c r="F27" s="50">
        <v>27</v>
      </c>
      <c r="G27" s="50">
        <v>1</v>
      </c>
      <c r="H27" s="50">
        <v>0</v>
      </c>
      <c r="I27" s="50">
        <v>0</v>
      </c>
      <c r="J27" s="50">
        <v>6</v>
      </c>
      <c r="K27" s="50">
        <v>0</v>
      </c>
      <c r="L27" s="50">
        <v>0</v>
      </c>
      <c r="M27" s="50">
        <v>243</v>
      </c>
      <c r="N27" s="50">
        <v>0</v>
      </c>
      <c r="O27" s="15">
        <f t="shared" si="0"/>
        <v>72</v>
      </c>
      <c r="P27" s="15">
        <f t="shared" si="1"/>
        <v>315</v>
      </c>
      <c r="R27" s="29" t="s">
        <v>87</v>
      </c>
      <c r="S27" s="16">
        <f t="shared" ref="S27:AF27" si="19">SUM(S19:S21)</f>
        <v>404</v>
      </c>
      <c r="T27" s="16">
        <f t="shared" si="19"/>
        <v>93</v>
      </c>
      <c r="U27" s="16">
        <f t="shared" si="19"/>
        <v>80</v>
      </c>
      <c r="V27" s="16">
        <f t="shared" si="19"/>
        <v>531</v>
      </c>
      <c r="W27" s="16">
        <f t="shared" si="19"/>
        <v>11</v>
      </c>
      <c r="X27" s="16">
        <f t="shared" si="19"/>
        <v>25</v>
      </c>
      <c r="Y27" s="16">
        <f t="shared" si="19"/>
        <v>38</v>
      </c>
      <c r="Z27" s="16">
        <f t="shared" si="19"/>
        <v>31</v>
      </c>
      <c r="AA27" s="16">
        <f t="shared" si="19"/>
        <v>4</v>
      </c>
      <c r="AB27" s="16">
        <f t="shared" si="19"/>
        <v>2</v>
      </c>
      <c r="AC27" s="16">
        <f t="shared" si="19"/>
        <v>1220</v>
      </c>
      <c r="AD27" s="16">
        <f t="shared" si="19"/>
        <v>0</v>
      </c>
      <c r="AE27" s="32">
        <f t="shared" si="19"/>
        <v>1219</v>
      </c>
      <c r="AF27" s="32">
        <f t="shared" si="19"/>
        <v>2439</v>
      </c>
    </row>
    <row r="28" spans="2:32" ht="23.1" customHeight="1" x14ac:dyDescent="0.25">
      <c r="B28" s="23" t="s">
        <v>55</v>
      </c>
      <c r="C28" s="50">
        <v>39</v>
      </c>
      <c r="D28" s="50">
        <v>6</v>
      </c>
      <c r="E28" s="50">
        <v>7</v>
      </c>
      <c r="F28" s="50">
        <v>43</v>
      </c>
      <c r="G28" s="50">
        <v>0</v>
      </c>
      <c r="H28" s="50">
        <v>1</v>
      </c>
      <c r="I28" s="50">
        <v>3</v>
      </c>
      <c r="J28" s="50">
        <v>2</v>
      </c>
      <c r="K28" s="50">
        <v>0</v>
      </c>
      <c r="L28" s="50">
        <v>0</v>
      </c>
      <c r="M28" s="50">
        <v>221</v>
      </c>
      <c r="N28" s="50">
        <v>0</v>
      </c>
      <c r="O28" s="15">
        <f t="shared" si="0"/>
        <v>101</v>
      </c>
      <c r="P28" s="15">
        <f t="shared" si="1"/>
        <v>322</v>
      </c>
      <c r="R28" s="5" t="s">
        <v>17</v>
      </c>
      <c r="S28" s="16">
        <f t="shared" ref="S28:AF28" si="20">SUM(S10:S21)</f>
        <v>1666</v>
      </c>
      <c r="T28" s="16">
        <f t="shared" si="20"/>
        <v>348</v>
      </c>
      <c r="U28" s="16">
        <f t="shared" si="20"/>
        <v>252</v>
      </c>
      <c r="V28" s="16">
        <f t="shared" si="20"/>
        <v>2068</v>
      </c>
      <c r="W28" s="16">
        <f t="shared" si="20"/>
        <v>71</v>
      </c>
      <c r="X28" s="16">
        <f t="shared" si="20"/>
        <v>57</v>
      </c>
      <c r="Y28" s="16">
        <f t="shared" si="20"/>
        <v>139</v>
      </c>
      <c r="Z28" s="16">
        <f t="shared" si="20"/>
        <v>117</v>
      </c>
      <c r="AA28" s="16">
        <f t="shared" si="20"/>
        <v>13</v>
      </c>
      <c r="AB28" s="16">
        <f t="shared" si="20"/>
        <v>7</v>
      </c>
      <c r="AC28" s="16">
        <f t="shared" si="20"/>
        <v>10129</v>
      </c>
      <c r="AD28" s="16">
        <f t="shared" si="20"/>
        <v>0</v>
      </c>
      <c r="AE28" s="32">
        <f t="shared" si="20"/>
        <v>4738</v>
      </c>
      <c r="AF28" s="32">
        <f t="shared" si="20"/>
        <v>14867</v>
      </c>
    </row>
    <row r="29" spans="2:32" ht="23.1" customHeight="1" x14ac:dyDescent="0.25">
      <c r="B29" s="23" t="s">
        <v>56</v>
      </c>
      <c r="C29" s="50">
        <v>34</v>
      </c>
      <c r="D29" s="50">
        <v>3</v>
      </c>
      <c r="E29" s="50">
        <v>2</v>
      </c>
      <c r="F29" s="50">
        <v>29</v>
      </c>
      <c r="G29" s="50">
        <v>0</v>
      </c>
      <c r="H29" s="50">
        <v>1</v>
      </c>
      <c r="I29" s="50">
        <v>6</v>
      </c>
      <c r="J29" s="50">
        <v>3</v>
      </c>
      <c r="K29" s="50">
        <v>0</v>
      </c>
      <c r="L29" s="50">
        <v>1</v>
      </c>
      <c r="M29" s="50">
        <v>185</v>
      </c>
      <c r="N29" s="50">
        <v>0</v>
      </c>
      <c r="O29" s="15">
        <f t="shared" si="0"/>
        <v>79</v>
      </c>
      <c r="P29" s="15">
        <f t="shared" si="1"/>
        <v>264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6</v>
      </c>
      <c r="E30" s="50">
        <v>10</v>
      </c>
      <c r="F30" s="50">
        <v>34</v>
      </c>
      <c r="G30" s="50">
        <v>1</v>
      </c>
      <c r="H30" s="50">
        <v>1</v>
      </c>
      <c r="I30" s="50">
        <v>2</v>
      </c>
      <c r="J30" s="50">
        <v>4</v>
      </c>
      <c r="K30" s="50">
        <v>1</v>
      </c>
      <c r="L30" s="50">
        <v>0</v>
      </c>
      <c r="M30" s="50">
        <v>208</v>
      </c>
      <c r="N30" s="50">
        <v>0</v>
      </c>
      <c r="O30" s="15">
        <f t="shared" si="0"/>
        <v>95</v>
      </c>
      <c r="P30" s="15">
        <f t="shared" si="1"/>
        <v>303</v>
      </c>
    </row>
    <row r="31" spans="2:32" ht="23.1" customHeight="1" x14ac:dyDescent="0.25">
      <c r="B31" s="24" t="s">
        <v>58</v>
      </c>
      <c r="C31" s="50">
        <v>33</v>
      </c>
      <c r="D31" s="50">
        <v>5</v>
      </c>
      <c r="E31" s="50">
        <v>3</v>
      </c>
      <c r="F31" s="50">
        <v>36</v>
      </c>
      <c r="G31" s="50">
        <v>1</v>
      </c>
      <c r="H31" s="50">
        <v>0</v>
      </c>
      <c r="I31" s="50">
        <v>6</v>
      </c>
      <c r="J31" s="50">
        <v>3</v>
      </c>
      <c r="K31" s="50">
        <v>0</v>
      </c>
      <c r="L31" s="50">
        <v>0</v>
      </c>
      <c r="M31" s="50">
        <v>222</v>
      </c>
      <c r="N31" s="50">
        <v>0</v>
      </c>
      <c r="O31" s="15">
        <f t="shared" si="0"/>
        <v>87</v>
      </c>
      <c r="P31" s="15">
        <f t="shared" si="1"/>
        <v>309</v>
      </c>
    </row>
    <row r="32" spans="2:32" ht="23.1" customHeight="1" x14ac:dyDescent="0.25">
      <c r="B32" s="24" t="s">
        <v>59</v>
      </c>
      <c r="C32" s="50">
        <v>33</v>
      </c>
      <c r="D32" s="50">
        <v>6</v>
      </c>
      <c r="E32" s="50">
        <v>6</v>
      </c>
      <c r="F32" s="50">
        <v>44</v>
      </c>
      <c r="G32" s="50">
        <v>0</v>
      </c>
      <c r="H32" s="50">
        <v>0</v>
      </c>
      <c r="I32" s="50">
        <v>7</v>
      </c>
      <c r="J32" s="50">
        <v>4</v>
      </c>
      <c r="K32" s="50">
        <v>0</v>
      </c>
      <c r="L32" s="50">
        <v>0</v>
      </c>
      <c r="M32" s="50">
        <v>167</v>
      </c>
      <c r="N32" s="50">
        <v>0</v>
      </c>
      <c r="O32" s="15">
        <f t="shared" si="0"/>
        <v>100</v>
      </c>
      <c r="P32" s="15">
        <f t="shared" si="1"/>
        <v>267</v>
      </c>
    </row>
    <row r="33" spans="2:20" ht="23.1" customHeight="1" x14ac:dyDescent="0.25">
      <c r="B33" s="23" t="s">
        <v>60</v>
      </c>
      <c r="C33" s="50">
        <v>27</v>
      </c>
      <c r="D33" s="50">
        <v>7</v>
      </c>
      <c r="E33" s="50">
        <v>4</v>
      </c>
      <c r="F33" s="50">
        <v>37</v>
      </c>
      <c r="G33" s="50">
        <v>0</v>
      </c>
      <c r="H33" s="50">
        <v>1</v>
      </c>
      <c r="I33" s="50">
        <v>1</v>
      </c>
      <c r="J33" s="50">
        <v>1</v>
      </c>
      <c r="K33" s="50">
        <v>1</v>
      </c>
      <c r="L33" s="50">
        <v>0</v>
      </c>
      <c r="M33" s="50">
        <v>193</v>
      </c>
      <c r="N33" s="50">
        <v>0</v>
      </c>
      <c r="O33" s="15">
        <f t="shared" si="0"/>
        <v>79</v>
      </c>
      <c r="P33" s="15">
        <f t="shared" si="1"/>
        <v>272</v>
      </c>
    </row>
    <row r="34" spans="2:20" ht="23.1" customHeight="1" x14ac:dyDescent="0.25">
      <c r="B34" s="24" t="s">
        <v>61</v>
      </c>
      <c r="C34" s="50">
        <v>26</v>
      </c>
      <c r="D34" s="50">
        <v>7</v>
      </c>
      <c r="E34" s="50">
        <v>3</v>
      </c>
      <c r="F34" s="50">
        <v>41</v>
      </c>
      <c r="G34" s="50">
        <v>1</v>
      </c>
      <c r="H34" s="50">
        <v>3</v>
      </c>
      <c r="I34" s="50">
        <v>1</v>
      </c>
      <c r="J34" s="50">
        <v>2</v>
      </c>
      <c r="K34" s="50">
        <v>0</v>
      </c>
      <c r="L34" s="50">
        <v>0</v>
      </c>
      <c r="M34" s="50">
        <v>165</v>
      </c>
      <c r="N34" s="50">
        <v>0</v>
      </c>
      <c r="O34" s="15">
        <f t="shared" si="0"/>
        <v>84</v>
      </c>
      <c r="P34" s="15">
        <f t="shared" si="1"/>
        <v>249</v>
      </c>
    </row>
    <row r="35" spans="2:20" ht="23.1" customHeight="1" x14ac:dyDescent="0.25">
      <c r="B35" s="24" t="s">
        <v>62</v>
      </c>
      <c r="C35" s="50">
        <v>29</v>
      </c>
      <c r="D35" s="50">
        <v>8</v>
      </c>
      <c r="E35" s="50">
        <v>8</v>
      </c>
      <c r="F35" s="50">
        <v>42</v>
      </c>
      <c r="G35" s="50">
        <v>2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153</v>
      </c>
      <c r="N35" s="50">
        <v>0</v>
      </c>
      <c r="O35" s="15">
        <f t="shared" si="0"/>
        <v>93</v>
      </c>
      <c r="P35" s="15">
        <f t="shared" si="1"/>
        <v>246</v>
      </c>
    </row>
    <row r="36" spans="2:20" ht="23.1" customHeight="1" x14ac:dyDescent="0.25">
      <c r="B36" s="24" t="s">
        <v>63</v>
      </c>
      <c r="C36" s="50">
        <v>34</v>
      </c>
      <c r="D36" s="50">
        <v>11</v>
      </c>
      <c r="E36" s="50">
        <v>3</v>
      </c>
      <c r="F36" s="50">
        <v>39</v>
      </c>
      <c r="G36" s="50">
        <v>3</v>
      </c>
      <c r="H36" s="50">
        <v>0</v>
      </c>
      <c r="I36" s="50">
        <v>2</v>
      </c>
      <c r="J36" s="50">
        <v>4</v>
      </c>
      <c r="K36" s="50">
        <v>0</v>
      </c>
      <c r="L36" s="50">
        <v>0</v>
      </c>
      <c r="M36" s="50">
        <v>159</v>
      </c>
      <c r="N36" s="50">
        <v>0</v>
      </c>
      <c r="O36" s="15">
        <f t="shared" si="0"/>
        <v>96</v>
      </c>
      <c r="P36" s="15">
        <f t="shared" si="1"/>
        <v>255</v>
      </c>
    </row>
    <row r="37" spans="2:20" ht="23.1" customHeight="1" x14ac:dyDescent="0.25">
      <c r="B37" s="23" t="s">
        <v>64</v>
      </c>
      <c r="C37" s="50">
        <v>27</v>
      </c>
      <c r="D37" s="50">
        <v>6</v>
      </c>
      <c r="E37" s="50">
        <v>7</v>
      </c>
      <c r="F37" s="50">
        <v>48</v>
      </c>
      <c r="G37" s="50">
        <v>0</v>
      </c>
      <c r="H37" s="50">
        <v>2</v>
      </c>
      <c r="I37" s="50">
        <v>1</v>
      </c>
      <c r="J37" s="50">
        <v>1</v>
      </c>
      <c r="K37" s="50">
        <v>2</v>
      </c>
      <c r="L37" s="50">
        <v>1</v>
      </c>
      <c r="M37" s="50">
        <v>148</v>
      </c>
      <c r="N37" s="50">
        <v>0</v>
      </c>
      <c r="O37" s="15">
        <f t="shared" si="0"/>
        <v>95</v>
      </c>
      <c r="P37" s="15">
        <f t="shared" si="1"/>
        <v>243</v>
      </c>
    </row>
    <row r="38" spans="2:20" ht="23.1" customHeight="1" x14ac:dyDescent="0.25">
      <c r="B38" s="24" t="s">
        <v>65</v>
      </c>
      <c r="C38" s="50">
        <v>23</v>
      </c>
      <c r="D38" s="50">
        <v>6</v>
      </c>
      <c r="E38" s="50">
        <v>7</v>
      </c>
      <c r="F38" s="50">
        <v>29</v>
      </c>
      <c r="G38" s="50">
        <v>1</v>
      </c>
      <c r="H38" s="50">
        <v>1</v>
      </c>
      <c r="I38" s="50">
        <v>3</v>
      </c>
      <c r="J38" s="50">
        <v>1</v>
      </c>
      <c r="K38" s="50">
        <v>0</v>
      </c>
      <c r="L38" s="50">
        <v>0</v>
      </c>
      <c r="M38" s="50">
        <v>143</v>
      </c>
      <c r="N38" s="50">
        <v>0</v>
      </c>
      <c r="O38" s="15">
        <f t="shared" si="0"/>
        <v>71</v>
      </c>
      <c r="P38" s="15">
        <f t="shared" si="1"/>
        <v>214</v>
      </c>
    </row>
    <row r="39" spans="2:20" ht="23.1" customHeight="1" x14ac:dyDescent="0.25">
      <c r="B39" s="24" t="s">
        <v>66</v>
      </c>
      <c r="C39" s="50">
        <v>47</v>
      </c>
      <c r="D39" s="50">
        <v>8</v>
      </c>
      <c r="E39" s="50">
        <v>12</v>
      </c>
      <c r="F39" s="50">
        <v>42</v>
      </c>
      <c r="G39" s="50">
        <v>0</v>
      </c>
      <c r="H39" s="50">
        <v>3</v>
      </c>
      <c r="I39" s="50">
        <v>7</v>
      </c>
      <c r="J39" s="50">
        <v>1</v>
      </c>
      <c r="K39" s="50">
        <v>0</v>
      </c>
      <c r="L39" s="50">
        <v>0</v>
      </c>
      <c r="M39" s="50">
        <v>50</v>
      </c>
      <c r="N39" s="50">
        <v>0</v>
      </c>
      <c r="O39" s="15">
        <f t="shared" si="0"/>
        <v>120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45</v>
      </c>
      <c r="D40" s="50">
        <v>5</v>
      </c>
      <c r="E40" s="50">
        <v>6</v>
      </c>
      <c r="F40" s="50">
        <v>52</v>
      </c>
      <c r="G40" s="50">
        <v>3</v>
      </c>
      <c r="H40" s="50">
        <v>3</v>
      </c>
      <c r="I40" s="50">
        <v>6</v>
      </c>
      <c r="J40" s="50">
        <v>1</v>
      </c>
      <c r="K40" s="50">
        <v>0</v>
      </c>
      <c r="L40" s="50">
        <v>0</v>
      </c>
      <c r="M40" s="50">
        <v>82</v>
      </c>
      <c r="N40" s="50">
        <v>0</v>
      </c>
      <c r="O40" s="15">
        <f t="shared" si="0"/>
        <v>121</v>
      </c>
      <c r="P40" s="15">
        <f t="shared" si="1"/>
        <v>203</v>
      </c>
    </row>
    <row r="41" spans="2:20" ht="23.1" customHeight="1" x14ac:dyDescent="0.25">
      <c r="B41" s="23" t="s">
        <v>68</v>
      </c>
      <c r="C41" s="50">
        <v>26</v>
      </c>
      <c r="D41" s="50">
        <v>6</v>
      </c>
      <c r="E41" s="50">
        <v>6</v>
      </c>
      <c r="F41" s="50">
        <v>40</v>
      </c>
      <c r="G41" s="50">
        <v>1</v>
      </c>
      <c r="H41" s="50">
        <v>1</v>
      </c>
      <c r="I41" s="50">
        <v>3</v>
      </c>
      <c r="J41" s="50">
        <v>4</v>
      </c>
      <c r="K41" s="50">
        <v>0</v>
      </c>
      <c r="L41" s="50">
        <v>0</v>
      </c>
      <c r="M41" s="50">
        <v>103</v>
      </c>
      <c r="N41" s="50">
        <v>0</v>
      </c>
      <c r="O41" s="15">
        <f t="shared" si="0"/>
        <v>87</v>
      </c>
      <c r="P41" s="15">
        <f t="shared" si="1"/>
        <v>190</v>
      </c>
    </row>
    <row r="42" spans="2:20" ht="23.1" customHeight="1" x14ac:dyDescent="0.25">
      <c r="B42" s="24" t="s">
        <v>69</v>
      </c>
      <c r="C42" s="50">
        <v>30</v>
      </c>
      <c r="D42" s="50">
        <v>7</v>
      </c>
      <c r="E42" s="50">
        <v>2</v>
      </c>
      <c r="F42" s="50">
        <v>28</v>
      </c>
      <c r="G42" s="50">
        <v>4</v>
      </c>
      <c r="H42" s="50">
        <v>1</v>
      </c>
      <c r="I42" s="50">
        <v>2</v>
      </c>
      <c r="J42" s="50">
        <v>2</v>
      </c>
      <c r="K42" s="50">
        <v>1</v>
      </c>
      <c r="L42" s="50">
        <v>0</v>
      </c>
      <c r="M42" s="50">
        <v>107</v>
      </c>
      <c r="N42" s="50">
        <v>0</v>
      </c>
      <c r="O42" s="15">
        <f t="shared" si="0"/>
        <v>77</v>
      </c>
      <c r="P42" s="15">
        <f t="shared" si="1"/>
        <v>184</v>
      </c>
    </row>
    <row r="43" spans="2:20" ht="23.1" customHeight="1" x14ac:dyDescent="0.25">
      <c r="B43" s="23" t="s">
        <v>70</v>
      </c>
      <c r="C43" s="50">
        <v>17</v>
      </c>
      <c r="D43" s="50">
        <v>11</v>
      </c>
      <c r="E43" s="50">
        <v>2</v>
      </c>
      <c r="F43" s="50">
        <v>36</v>
      </c>
      <c r="G43" s="50">
        <v>0</v>
      </c>
      <c r="H43" s="50">
        <v>2</v>
      </c>
      <c r="I43" s="50">
        <v>3</v>
      </c>
      <c r="J43" s="50">
        <v>1</v>
      </c>
      <c r="K43" s="50">
        <v>0</v>
      </c>
      <c r="L43" s="50">
        <v>0</v>
      </c>
      <c r="M43" s="50">
        <v>95</v>
      </c>
      <c r="N43" s="50">
        <v>0</v>
      </c>
      <c r="O43" s="15">
        <f t="shared" si="0"/>
        <v>72</v>
      </c>
      <c r="P43" s="15">
        <f t="shared" si="1"/>
        <v>167</v>
      </c>
    </row>
    <row r="44" spans="2:20" ht="23.1" customHeight="1" x14ac:dyDescent="0.25">
      <c r="B44" s="25" t="s">
        <v>71</v>
      </c>
      <c r="C44" s="50">
        <v>17</v>
      </c>
      <c r="D44" s="50">
        <v>10</v>
      </c>
      <c r="E44" s="50">
        <v>1</v>
      </c>
      <c r="F44" s="50">
        <v>28</v>
      </c>
      <c r="G44" s="50">
        <v>1</v>
      </c>
      <c r="H44" s="50">
        <v>2</v>
      </c>
      <c r="I44" s="50">
        <v>5</v>
      </c>
      <c r="J44" s="50">
        <v>1</v>
      </c>
      <c r="K44" s="50">
        <v>0</v>
      </c>
      <c r="L44" s="50">
        <v>0</v>
      </c>
      <c r="M44" s="50">
        <v>133</v>
      </c>
      <c r="N44" s="50">
        <v>0</v>
      </c>
      <c r="O44" s="15">
        <f t="shared" si="0"/>
        <v>65</v>
      </c>
      <c r="P44" s="15">
        <f t="shared" si="1"/>
        <v>198</v>
      </c>
    </row>
    <row r="45" spans="2:20" ht="23.1" customHeight="1" x14ac:dyDescent="0.25">
      <c r="B45" s="23" t="s">
        <v>72</v>
      </c>
      <c r="C45" s="50">
        <v>27</v>
      </c>
      <c r="D45" s="50">
        <v>5</v>
      </c>
      <c r="E45" s="50">
        <v>1</v>
      </c>
      <c r="F45" s="50">
        <v>40</v>
      </c>
      <c r="G45" s="50">
        <v>1</v>
      </c>
      <c r="H45" s="50">
        <v>0</v>
      </c>
      <c r="I45" s="50">
        <v>1</v>
      </c>
      <c r="J45" s="50">
        <v>5</v>
      </c>
      <c r="K45" s="50">
        <v>1</v>
      </c>
      <c r="L45" s="50">
        <v>0</v>
      </c>
      <c r="M45" s="50">
        <v>105</v>
      </c>
      <c r="N45" s="50">
        <v>0</v>
      </c>
      <c r="O45" s="15">
        <f t="shared" si="0"/>
        <v>81</v>
      </c>
      <c r="P45" s="15">
        <f t="shared" si="1"/>
        <v>186</v>
      </c>
    </row>
    <row r="46" spans="2:20" ht="23.1" customHeight="1" x14ac:dyDescent="0.25">
      <c r="B46" s="24" t="s">
        <v>73</v>
      </c>
      <c r="C46" s="50">
        <v>25</v>
      </c>
      <c r="D46" s="50">
        <v>7</v>
      </c>
      <c r="E46" s="50">
        <v>9</v>
      </c>
      <c r="F46" s="50">
        <v>43</v>
      </c>
      <c r="G46" s="50">
        <v>1</v>
      </c>
      <c r="H46" s="50">
        <v>3</v>
      </c>
      <c r="I46" s="50">
        <v>1</v>
      </c>
      <c r="J46" s="50">
        <v>3</v>
      </c>
      <c r="K46" s="50">
        <v>0</v>
      </c>
      <c r="L46" s="50">
        <v>0</v>
      </c>
      <c r="M46" s="50">
        <v>120</v>
      </c>
      <c r="N46" s="50">
        <v>0</v>
      </c>
      <c r="O46" s="15">
        <f t="shared" si="0"/>
        <v>92</v>
      </c>
      <c r="P46" s="15">
        <f t="shared" si="1"/>
        <v>212</v>
      </c>
      <c r="R46" s="8"/>
      <c r="T46"/>
    </row>
    <row r="47" spans="2:20" ht="23.1" customHeight="1" x14ac:dyDescent="0.25">
      <c r="B47" s="24" t="s">
        <v>74</v>
      </c>
      <c r="C47" s="50">
        <v>26</v>
      </c>
      <c r="D47" s="50">
        <v>7</v>
      </c>
      <c r="E47" s="50">
        <v>5</v>
      </c>
      <c r="F47" s="50">
        <v>43</v>
      </c>
      <c r="G47" s="50">
        <v>1</v>
      </c>
      <c r="H47" s="50">
        <v>1</v>
      </c>
      <c r="I47" s="50">
        <v>6</v>
      </c>
      <c r="J47" s="50">
        <v>3</v>
      </c>
      <c r="K47" s="50">
        <v>1</v>
      </c>
      <c r="L47" s="50">
        <v>0</v>
      </c>
      <c r="M47" s="50">
        <v>114</v>
      </c>
      <c r="N47" s="50">
        <v>0</v>
      </c>
      <c r="O47" s="15">
        <f t="shared" si="0"/>
        <v>93</v>
      </c>
      <c r="P47" s="15">
        <f t="shared" si="1"/>
        <v>207</v>
      </c>
      <c r="R47" s="8"/>
      <c r="T47"/>
    </row>
    <row r="48" spans="2:20" ht="23.1" customHeight="1" x14ac:dyDescent="0.25">
      <c r="B48" s="24" t="s">
        <v>75</v>
      </c>
      <c r="C48" s="50">
        <v>31</v>
      </c>
      <c r="D48" s="50">
        <v>1</v>
      </c>
      <c r="E48" s="50">
        <v>6</v>
      </c>
      <c r="F48" s="50">
        <v>37</v>
      </c>
      <c r="G48" s="50">
        <v>1</v>
      </c>
      <c r="H48" s="50">
        <v>2</v>
      </c>
      <c r="I48" s="50">
        <v>3</v>
      </c>
      <c r="J48" s="50">
        <v>6</v>
      </c>
      <c r="K48" s="50">
        <v>0</v>
      </c>
      <c r="L48" s="50">
        <v>1</v>
      </c>
      <c r="M48" s="50">
        <v>104</v>
      </c>
      <c r="N48" s="50">
        <v>0</v>
      </c>
      <c r="O48" s="15">
        <f t="shared" si="0"/>
        <v>88</v>
      </c>
      <c r="P48" s="15">
        <f t="shared" si="1"/>
        <v>192</v>
      </c>
      <c r="R48" s="8"/>
      <c r="T48"/>
    </row>
    <row r="49" spans="2:20" ht="23.1" customHeight="1" x14ac:dyDescent="0.25">
      <c r="B49" s="23" t="s">
        <v>76</v>
      </c>
      <c r="C49" s="50">
        <v>38</v>
      </c>
      <c r="D49" s="50">
        <v>12</v>
      </c>
      <c r="E49" s="50">
        <v>6</v>
      </c>
      <c r="F49" s="50">
        <v>44</v>
      </c>
      <c r="G49" s="50">
        <v>0</v>
      </c>
      <c r="H49" s="50">
        <v>4</v>
      </c>
      <c r="I49" s="50">
        <v>5</v>
      </c>
      <c r="J49" s="50">
        <v>2</v>
      </c>
      <c r="K49" s="50">
        <v>0</v>
      </c>
      <c r="L49" s="50">
        <v>0</v>
      </c>
      <c r="M49" s="50">
        <v>93</v>
      </c>
      <c r="N49" s="50">
        <v>0</v>
      </c>
      <c r="O49" s="15">
        <f t="shared" si="0"/>
        <v>111</v>
      </c>
      <c r="P49" s="15">
        <f t="shared" si="1"/>
        <v>204</v>
      </c>
      <c r="R49" s="8"/>
      <c r="T49"/>
    </row>
    <row r="50" spans="2:20" ht="23.1" customHeight="1" x14ac:dyDescent="0.25">
      <c r="B50" s="24" t="s">
        <v>77</v>
      </c>
      <c r="C50" s="50">
        <v>26</v>
      </c>
      <c r="D50" s="50">
        <v>4</v>
      </c>
      <c r="E50" s="50">
        <v>6</v>
      </c>
      <c r="F50" s="50">
        <v>42</v>
      </c>
      <c r="G50" s="50">
        <v>2</v>
      </c>
      <c r="H50" s="50">
        <v>1</v>
      </c>
      <c r="I50" s="50">
        <v>6</v>
      </c>
      <c r="J50" s="50">
        <v>3</v>
      </c>
      <c r="K50" s="50">
        <v>1</v>
      </c>
      <c r="L50" s="50">
        <v>0</v>
      </c>
      <c r="M50" s="50">
        <v>99</v>
      </c>
      <c r="N50" s="50">
        <v>0</v>
      </c>
      <c r="O50" s="15">
        <f t="shared" si="0"/>
        <v>91</v>
      </c>
      <c r="P50" s="15">
        <f t="shared" si="1"/>
        <v>190</v>
      </c>
      <c r="R50" s="8"/>
      <c r="T50"/>
    </row>
    <row r="51" spans="2:20" ht="23.1" customHeight="1" x14ac:dyDescent="0.25">
      <c r="B51" s="24" t="s">
        <v>78</v>
      </c>
      <c r="C51" s="50">
        <v>24</v>
      </c>
      <c r="D51" s="50">
        <v>11</v>
      </c>
      <c r="E51" s="50">
        <v>3</v>
      </c>
      <c r="F51" s="50">
        <v>34</v>
      </c>
      <c r="G51" s="50">
        <v>0</v>
      </c>
      <c r="H51" s="50">
        <v>2</v>
      </c>
      <c r="I51" s="50">
        <v>1</v>
      </c>
      <c r="J51" s="50">
        <v>3</v>
      </c>
      <c r="K51" s="50">
        <v>0</v>
      </c>
      <c r="L51" s="50">
        <v>0</v>
      </c>
      <c r="M51" s="50">
        <v>67</v>
      </c>
      <c r="N51" s="50">
        <v>0</v>
      </c>
      <c r="O51" s="15">
        <f t="shared" si="0"/>
        <v>78</v>
      </c>
      <c r="P51" s="15">
        <f t="shared" si="1"/>
        <v>145</v>
      </c>
      <c r="R51" s="8"/>
      <c r="T51"/>
    </row>
    <row r="52" spans="2:20" ht="23.1" customHeight="1" x14ac:dyDescent="0.25">
      <c r="B52" s="24" t="s">
        <v>79</v>
      </c>
      <c r="C52" s="50">
        <v>37</v>
      </c>
      <c r="D52" s="50">
        <v>4</v>
      </c>
      <c r="E52" s="50">
        <v>7</v>
      </c>
      <c r="F52" s="50">
        <v>59</v>
      </c>
      <c r="G52" s="50">
        <v>0</v>
      </c>
      <c r="H52" s="50">
        <v>7</v>
      </c>
      <c r="I52" s="50">
        <v>4</v>
      </c>
      <c r="J52" s="50">
        <v>3</v>
      </c>
      <c r="K52" s="50">
        <v>0</v>
      </c>
      <c r="L52" s="50">
        <v>0</v>
      </c>
      <c r="M52" s="50">
        <v>96</v>
      </c>
      <c r="N52" s="50">
        <v>0</v>
      </c>
      <c r="O52" s="15">
        <f t="shared" si="0"/>
        <v>121</v>
      </c>
      <c r="P52" s="15">
        <f t="shared" si="1"/>
        <v>217</v>
      </c>
      <c r="R52" s="8"/>
      <c r="T52"/>
    </row>
    <row r="53" spans="2:20" ht="23.1" customHeight="1" x14ac:dyDescent="0.25">
      <c r="B53" s="23" t="s">
        <v>80</v>
      </c>
      <c r="C53" s="50">
        <v>34</v>
      </c>
      <c r="D53" s="50">
        <v>6</v>
      </c>
      <c r="E53" s="50">
        <v>9</v>
      </c>
      <c r="F53" s="50">
        <v>38</v>
      </c>
      <c r="G53" s="50">
        <v>3</v>
      </c>
      <c r="H53" s="50">
        <v>1</v>
      </c>
      <c r="I53" s="50">
        <v>6</v>
      </c>
      <c r="J53" s="50">
        <v>2</v>
      </c>
      <c r="K53" s="50">
        <v>1</v>
      </c>
      <c r="L53" s="50">
        <v>1</v>
      </c>
      <c r="M53" s="50">
        <v>103</v>
      </c>
      <c r="N53" s="50">
        <v>0</v>
      </c>
      <c r="O53" s="15">
        <f t="shared" si="0"/>
        <v>101</v>
      </c>
      <c r="P53" s="15">
        <f t="shared" si="1"/>
        <v>204</v>
      </c>
      <c r="R53" s="8"/>
      <c r="T53"/>
    </row>
    <row r="54" spans="2:20" ht="23.1" customHeight="1" x14ac:dyDescent="0.25">
      <c r="B54" s="23" t="s">
        <v>81</v>
      </c>
      <c r="C54" s="50">
        <v>43</v>
      </c>
      <c r="D54" s="50">
        <v>7</v>
      </c>
      <c r="E54" s="50">
        <v>9</v>
      </c>
      <c r="F54" s="50">
        <v>48</v>
      </c>
      <c r="G54" s="50">
        <v>1</v>
      </c>
      <c r="H54" s="50">
        <v>1</v>
      </c>
      <c r="I54" s="50">
        <v>3</v>
      </c>
      <c r="J54" s="50">
        <v>4</v>
      </c>
      <c r="K54" s="50">
        <v>0</v>
      </c>
      <c r="L54" s="50">
        <v>0</v>
      </c>
      <c r="M54" s="50">
        <v>117</v>
      </c>
      <c r="N54" s="50">
        <v>0</v>
      </c>
      <c r="O54" s="15">
        <f t="shared" si="0"/>
        <v>116</v>
      </c>
      <c r="P54" s="15">
        <f t="shared" si="1"/>
        <v>233</v>
      </c>
      <c r="R54" s="8"/>
      <c r="T54"/>
    </row>
    <row r="55" spans="2:20" ht="23.1" customHeight="1" x14ac:dyDescent="0.25">
      <c r="B55" s="23" t="s">
        <v>82</v>
      </c>
      <c r="C55" s="50">
        <v>36</v>
      </c>
      <c r="D55" s="50">
        <v>6</v>
      </c>
      <c r="E55" s="50">
        <v>11</v>
      </c>
      <c r="F55" s="50">
        <v>49</v>
      </c>
      <c r="G55" s="50">
        <v>0</v>
      </c>
      <c r="H55" s="50">
        <v>1</v>
      </c>
      <c r="I55" s="50">
        <v>1</v>
      </c>
      <c r="J55" s="50">
        <v>0</v>
      </c>
      <c r="K55" s="50">
        <v>0</v>
      </c>
      <c r="L55" s="50">
        <v>0</v>
      </c>
      <c r="M55" s="50">
        <v>90</v>
      </c>
      <c r="N55" s="50">
        <v>0</v>
      </c>
      <c r="O55" s="15">
        <f t="shared" si="0"/>
        <v>104</v>
      </c>
      <c r="P55" s="15">
        <f t="shared" si="1"/>
        <v>194</v>
      </c>
      <c r="R55" s="8"/>
      <c r="T55"/>
    </row>
    <row r="56" spans="2:20" ht="23.1" customHeight="1" x14ac:dyDescent="0.25">
      <c r="B56" s="23" t="s">
        <v>83</v>
      </c>
      <c r="C56" s="50">
        <v>47</v>
      </c>
      <c r="D56" s="50">
        <v>17</v>
      </c>
      <c r="E56" s="50">
        <v>9</v>
      </c>
      <c r="F56" s="50">
        <v>51</v>
      </c>
      <c r="G56" s="50">
        <v>1</v>
      </c>
      <c r="H56" s="50">
        <v>2</v>
      </c>
      <c r="I56" s="50">
        <v>1</v>
      </c>
      <c r="J56" s="50">
        <v>2</v>
      </c>
      <c r="K56" s="50">
        <v>0</v>
      </c>
      <c r="L56" s="50">
        <v>0</v>
      </c>
      <c r="M56" s="50">
        <v>115</v>
      </c>
      <c r="N56" s="50">
        <v>0</v>
      </c>
      <c r="O56" s="15">
        <f t="shared" si="0"/>
        <v>130</v>
      </c>
      <c r="P56" s="15">
        <f t="shared" si="1"/>
        <v>245</v>
      </c>
      <c r="R56" s="8"/>
      <c r="T56"/>
    </row>
    <row r="57" spans="2:20" ht="23.1" customHeight="1" x14ac:dyDescent="0.25">
      <c r="B57" s="23" t="s">
        <v>84</v>
      </c>
      <c r="C57" s="50">
        <v>37</v>
      </c>
      <c r="D57" s="50">
        <v>11</v>
      </c>
      <c r="E57" s="50">
        <v>0</v>
      </c>
      <c r="F57" s="50">
        <v>43</v>
      </c>
      <c r="G57" s="50">
        <v>1</v>
      </c>
      <c r="H57" s="50">
        <v>0</v>
      </c>
      <c r="I57" s="50">
        <v>1</v>
      </c>
      <c r="J57" s="50">
        <v>0</v>
      </c>
      <c r="K57" s="50">
        <v>1</v>
      </c>
      <c r="L57" s="50">
        <v>0</v>
      </c>
      <c r="M57" s="50">
        <v>102</v>
      </c>
      <c r="N57" s="50">
        <v>0</v>
      </c>
      <c r="O57" s="15">
        <f t="shared" si="0"/>
        <v>94</v>
      </c>
      <c r="P57" s="15">
        <f t="shared" si="1"/>
        <v>196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1666</v>
      </c>
      <c r="D58" s="16">
        <f t="shared" si="21"/>
        <v>348</v>
      </c>
      <c r="E58" s="16">
        <f t="shared" si="21"/>
        <v>252</v>
      </c>
      <c r="F58" s="16">
        <f t="shared" si="21"/>
        <v>2068</v>
      </c>
      <c r="G58" s="16">
        <f t="shared" si="21"/>
        <v>71</v>
      </c>
      <c r="H58" s="16">
        <f t="shared" si="21"/>
        <v>57</v>
      </c>
      <c r="I58" s="16">
        <f t="shared" si="21"/>
        <v>139</v>
      </c>
      <c r="J58" s="16">
        <f t="shared" si="21"/>
        <v>117</v>
      </c>
      <c r="K58" s="16">
        <f t="shared" si="21"/>
        <v>13</v>
      </c>
      <c r="L58" s="16">
        <f t="shared" si="21"/>
        <v>7</v>
      </c>
      <c r="M58" s="16">
        <f t="shared" si="21"/>
        <v>10129</v>
      </c>
      <c r="N58" s="16">
        <f t="shared" si="21"/>
        <v>0</v>
      </c>
      <c r="O58" s="16">
        <f t="shared" si="21"/>
        <v>4738</v>
      </c>
      <c r="P58" s="16">
        <f t="shared" si="21"/>
        <v>14867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0.11206026770700209</v>
      </c>
      <c r="D59" s="43">
        <f t="shared" si="22"/>
        <v>2.3407546915988432E-2</v>
      </c>
      <c r="E59" s="43">
        <f t="shared" si="22"/>
        <v>1.695029259433645E-2</v>
      </c>
      <c r="F59" s="43">
        <f t="shared" si="22"/>
        <v>0.13910002017891976</v>
      </c>
      <c r="G59" s="43">
        <f t="shared" si="22"/>
        <v>4.7756776753884438E-3</v>
      </c>
      <c r="H59" s="43">
        <f t="shared" si="22"/>
        <v>3.8339947534808635E-3</v>
      </c>
      <c r="I59" s="43">
        <f t="shared" si="22"/>
        <v>9.3495661532252642E-3</v>
      </c>
      <c r="J59" s="43">
        <f t="shared" si="22"/>
        <v>7.8697787045133513E-3</v>
      </c>
      <c r="K59" s="43">
        <f t="shared" si="22"/>
        <v>8.7441985605703904E-4</v>
      </c>
      <c r="L59" s="43">
        <f t="shared" si="22"/>
        <v>4.7084146095379027E-4</v>
      </c>
      <c r="M59" s="43">
        <f t="shared" si="22"/>
        <v>0.68130759400013452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0.35162515829463908</v>
      </c>
      <c r="D60" s="44">
        <f t="shared" ref="D60:N60" si="23">D58/$O$58</f>
        <v>7.3448712536935412E-2</v>
      </c>
      <c r="E60" s="44">
        <f t="shared" si="23"/>
        <v>5.3186998733642889E-2</v>
      </c>
      <c r="F60" s="44">
        <f t="shared" si="23"/>
        <v>0.43647108484592656</v>
      </c>
      <c r="G60" s="44">
        <f t="shared" si="23"/>
        <v>1.49852258336851E-2</v>
      </c>
      <c r="H60" s="44">
        <f t="shared" si="23"/>
        <v>1.2030392570704939E-2</v>
      </c>
      <c r="I60" s="44">
        <f t="shared" si="23"/>
        <v>2.9337273111017307E-2</v>
      </c>
      <c r="J60" s="44">
        <f t="shared" si="23"/>
        <v>2.4693963697762771E-2</v>
      </c>
      <c r="K60" s="44">
        <f t="shared" si="23"/>
        <v>2.7437737441958631E-3</v>
      </c>
      <c r="L60" s="44">
        <f t="shared" si="23"/>
        <v>1.4774166314900801E-3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Rubaga-Natete'!C3:G3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Natete-Rubaga'!D5</f>
        <v>25.07.19</v>
      </c>
      <c r="E5" s="3"/>
      <c r="F5" s="41" t="s">
        <v>1</v>
      </c>
      <c r="G5" s="52" t="str">
        <f>'25.07 Natete-Rubaga'!G5:H5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Rubaga-Natete'!D6:E6</f>
        <v>Rubaga</v>
      </c>
      <c r="E6" s="53"/>
      <c r="F6" s="2" t="s">
        <v>2</v>
      </c>
      <c r="G6" s="52" t="str">
        <f>'22.07 Rubaga-Natete'!G6:H6</f>
        <v>Natete</v>
      </c>
      <c r="H6" s="53"/>
      <c r="J6" s="2" t="s">
        <v>21</v>
      </c>
      <c r="K6" s="52" t="str">
        <f>'25.07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51</v>
      </c>
      <c r="D10" s="50">
        <v>6</v>
      </c>
      <c r="E10" s="50">
        <v>4</v>
      </c>
      <c r="F10" s="50">
        <v>50</v>
      </c>
      <c r="G10" s="50">
        <v>0</v>
      </c>
      <c r="H10" s="50">
        <v>2</v>
      </c>
      <c r="I10" s="50">
        <v>2</v>
      </c>
      <c r="J10" s="50">
        <v>0</v>
      </c>
      <c r="K10" s="50">
        <v>1</v>
      </c>
      <c r="L10" s="50">
        <v>0</v>
      </c>
      <c r="M10" s="50">
        <v>124</v>
      </c>
      <c r="N10" s="50">
        <v>0</v>
      </c>
      <c r="O10" s="15">
        <f t="shared" ref="O10:O57" si="0">SUM(C10:L10,N10)</f>
        <v>116</v>
      </c>
      <c r="P10" s="15">
        <f t="shared" ref="P10:P57" si="1">SUM(C10:N10)</f>
        <v>240</v>
      </c>
      <c r="R10" s="1" t="s">
        <v>6</v>
      </c>
      <c r="S10" s="17">
        <f t="shared" ref="S10:AF10" si="2">SUM(C10:C13)</f>
        <v>105</v>
      </c>
      <c r="T10" s="17">
        <f t="shared" si="2"/>
        <v>14</v>
      </c>
      <c r="U10" s="17">
        <f t="shared" si="2"/>
        <v>10</v>
      </c>
      <c r="V10" s="17">
        <f t="shared" si="2"/>
        <v>134</v>
      </c>
      <c r="W10" s="17">
        <f t="shared" si="2"/>
        <v>6</v>
      </c>
      <c r="X10" s="17">
        <f t="shared" si="2"/>
        <v>5</v>
      </c>
      <c r="Y10" s="17">
        <f t="shared" si="2"/>
        <v>6</v>
      </c>
      <c r="Z10" s="17">
        <f t="shared" si="2"/>
        <v>4</v>
      </c>
      <c r="AA10" s="17">
        <f t="shared" si="2"/>
        <v>2</v>
      </c>
      <c r="AB10" s="17">
        <f t="shared" si="2"/>
        <v>0</v>
      </c>
      <c r="AC10" s="17">
        <f t="shared" si="2"/>
        <v>428</v>
      </c>
      <c r="AD10" s="17">
        <f t="shared" si="2"/>
        <v>0</v>
      </c>
      <c r="AE10" s="31">
        <f t="shared" si="2"/>
        <v>286</v>
      </c>
      <c r="AF10" s="31">
        <f t="shared" si="2"/>
        <v>714</v>
      </c>
    </row>
    <row r="11" spans="2:32" s="6" customFormat="1" ht="23.1" customHeight="1" x14ac:dyDescent="0.25">
      <c r="B11" s="23" t="s">
        <v>38</v>
      </c>
      <c r="C11" s="50">
        <v>8</v>
      </c>
      <c r="D11" s="50">
        <v>0</v>
      </c>
      <c r="E11" s="50">
        <v>1</v>
      </c>
      <c r="F11" s="50">
        <v>36</v>
      </c>
      <c r="G11" s="50">
        <v>0</v>
      </c>
      <c r="H11" s="50">
        <v>2</v>
      </c>
      <c r="I11" s="50">
        <v>0</v>
      </c>
      <c r="J11" s="50">
        <v>0</v>
      </c>
      <c r="K11" s="50">
        <v>0</v>
      </c>
      <c r="L11" s="50">
        <v>0</v>
      </c>
      <c r="M11" s="50">
        <v>62</v>
      </c>
      <c r="N11" s="50">
        <v>0</v>
      </c>
      <c r="O11" s="15">
        <f t="shared" si="0"/>
        <v>47</v>
      </c>
      <c r="P11" s="15">
        <f t="shared" si="1"/>
        <v>109</v>
      </c>
      <c r="R11" s="1" t="s">
        <v>7</v>
      </c>
      <c r="S11" s="17">
        <f t="shared" ref="S11:AF11" si="3">SUM(C14:C17)</f>
        <v>127</v>
      </c>
      <c r="T11" s="17">
        <f t="shared" si="3"/>
        <v>17</v>
      </c>
      <c r="U11" s="17">
        <f t="shared" si="3"/>
        <v>14</v>
      </c>
      <c r="V11" s="17">
        <f t="shared" si="3"/>
        <v>229</v>
      </c>
      <c r="W11" s="17">
        <f t="shared" si="3"/>
        <v>6</v>
      </c>
      <c r="X11" s="17">
        <f t="shared" si="3"/>
        <v>6</v>
      </c>
      <c r="Y11" s="17">
        <f t="shared" si="3"/>
        <v>9</v>
      </c>
      <c r="Z11" s="17">
        <f t="shared" si="3"/>
        <v>13</v>
      </c>
      <c r="AA11" s="17">
        <f t="shared" si="3"/>
        <v>2</v>
      </c>
      <c r="AB11" s="17">
        <f t="shared" si="3"/>
        <v>0</v>
      </c>
      <c r="AC11" s="17">
        <f t="shared" si="3"/>
        <v>711</v>
      </c>
      <c r="AD11" s="17">
        <f t="shared" si="3"/>
        <v>0</v>
      </c>
      <c r="AE11" s="31">
        <f t="shared" si="3"/>
        <v>423</v>
      </c>
      <c r="AF11" s="31">
        <f t="shared" si="3"/>
        <v>1134</v>
      </c>
    </row>
    <row r="12" spans="2:32" ht="23.1" customHeight="1" x14ac:dyDescent="0.25">
      <c r="B12" s="23" t="s">
        <v>39</v>
      </c>
      <c r="C12" s="50">
        <v>27</v>
      </c>
      <c r="D12" s="50">
        <v>6</v>
      </c>
      <c r="E12" s="50">
        <v>3</v>
      </c>
      <c r="F12" s="50">
        <v>23</v>
      </c>
      <c r="G12" s="50">
        <v>5</v>
      </c>
      <c r="H12" s="50">
        <v>0</v>
      </c>
      <c r="I12" s="50">
        <v>1</v>
      </c>
      <c r="J12" s="50">
        <v>3</v>
      </c>
      <c r="K12" s="50">
        <v>1</v>
      </c>
      <c r="L12" s="50">
        <v>0</v>
      </c>
      <c r="M12" s="50">
        <v>101</v>
      </c>
      <c r="N12" s="50">
        <v>0</v>
      </c>
      <c r="O12" s="15">
        <f t="shared" si="0"/>
        <v>69</v>
      </c>
      <c r="P12" s="15">
        <f t="shared" si="1"/>
        <v>170</v>
      </c>
      <c r="R12" s="1" t="s">
        <v>8</v>
      </c>
      <c r="S12" s="17">
        <f t="shared" ref="S12:AF12" si="4">SUM(C18:C21)</f>
        <v>168</v>
      </c>
      <c r="T12" s="17">
        <f t="shared" si="4"/>
        <v>5</v>
      </c>
      <c r="U12" s="17">
        <f t="shared" si="4"/>
        <v>12</v>
      </c>
      <c r="V12" s="17">
        <f t="shared" si="4"/>
        <v>184</v>
      </c>
      <c r="W12" s="17">
        <f t="shared" si="4"/>
        <v>11</v>
      </c>
      <c r="X12" s="17">
        <f t="shared" si="4"/>
        <v>6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649</v>
      </c>
      <c r="AD12" s="17">
        <f t="shared" si="4"/>
        <v>0</v>
      </c>
      <c r="AE12" s="31">
        <f t="shared" si="4"/>
        <v>394</v>
      </c>
      <c r="AF12" s="31">
        <f t="shared" si="4"/>
        <v>1043</v>
      </c>
    </row>
    <row r="13" spans="2:32" ht="23.1" customHeight="1" x14ac:dyDescent="0.25">
      <c r="B13" s="23" t="s">
        <v>40</v>
      </c>
      <c r="C13" s="50">
        <v>19</v>
      </c>
      <c r="D13" s="50">
        <v>2</v>
      </c>
      <c r="E13" s="50">
        <v>2</v>
      </c>
      <c r="F13" s="50">
        <v>25</v>
      </c>
      <c r="G13" s="50">
        <v>1</v>
      </c>
      <c r="H13" s="50">
        <v>1</v>
      </c>
      <c r="I13" s="50">
        <v>3</v>
      </c>
      <c r="J13" s="50">
        <v>1</v>
      </c>
      <c r="K13" s="50">
        <v>0</v>
      </c>
      <c r="L13" s="50">
        <v>0</v>
      </c>
      <c r="M13" s="50">
        <v>141</v>
      </c>
      <c r="N13" s="50">
        <v>0</v>
      </c>
      <c r="O13" s="15">
        <f t="shared" si="0"/>
        <v>54</v>
      </c>
      <c r="P13" s="15">
        <f t="shared" si="1"/>
        <v>195</v>
      </c>
      <c r="R13" s="1" t="s">
        <v>9</v>
      </c>
      <c r="S13" s="17">
        <f t="shared" ref="S13:AF13" si="5">SUM(C22:C25)</f>
        <v>159</v>
      </c>
      <c r="T13" s="17">
        <f t="shared" si="5"/>
        <v>18</v>
      </c>
      <c r="U13" s="17">
        <f t="shared" si="5"/>
        <v>17</v>
      </c>
      <c r="V13" s="17">
        <f t="shared" si="5"/>
        <v>209</v>
      </c>
      <c r="W13" s="17">
        <f t="shared" si="5"/>
        <v>3</v>
      </c>
      <c r="X13" s="17">
        <f t="shared" si="5"/>
        <v>5</v>
      </c>
      <c r="Y13" s="17">
        <f t="shared" si="5"/>
        <v>9</v>
      </c>
      <c r="Z13" s="17">
        <f t="shared" si="5"/>
        <v>9</v>
      </c>
      <c r="AA13" s="17">
        <f t="shared" si="5"/>
        <v>1</v>
      </c>
      <c r="AB13" s="17">
        <f t="shared" si="5"/>
        <v>1</v>
      </c>
      <c r="AC13" s="17">
        <f t="shared" si="5"/>
        <v>645</v>
      </c>
      <c r="AD13" s="17">
        <f t="shared" si="5"/>
        <v>0</v>
      </c>
      <c r="AE13" s="31">
        <f t="shared" si="5"/>
        <v>431</v>
      </c>
      <c r="AF13" s="31">
        <f t="shared" si="5"/>
        <v>1076</v>
      </c>
    </row>
    <row r="14" spans="2:32" ht="23.1" customHeight="1" x14ac:dyDescent="0.25">
      <c r="B14" s="23" t="s">
        <v>41</v>
      </c>
      <c r="C14" s="50">
        <v>26</v>
      </c>
      <c r="D14" s="50">
        <v>3</v>
      </c>
      <c r="E14" s="50">
        <v>6</v>
      </c>
      <c r="F14" s="50">
        <v>44</v>
      </c>
      <c r="G14" s="50">
        <v>2</v>
      </c>
      <c r="H14" s="50">
        <v>3</v>
      </c>
      <c r="I14" s="50">
        <v>2</v>
      </c>
      <c r="J14" s="50">
        <v>4</v>
      </c>
      <c r="K14" s="50">
        <v>0</v>
      </c>
      <c r="L14" s="50">
        <v>0</v>
      </c>
      <c r="M14" s="50">
        <v>174</v>
      </c>
      <c r="N14" s="50">
        <v>0</v>
      </c>
      <c r="O14" s="15">
        <f t="shared" si="0"/>
        <v>90</v>
      </c>
      <c r="P14" s="15">
        <f t="shared" si="1"/>
        <v>264</v>
      </c>
      <c r="R14" s="1" t="s">
        <v>10</v>
      </c>
      <c r="S14" s="17">
        <f t="shared" ref="S14:AF14" si="6">SUM(C26:C29)</f>
        <v>142</v>
      </c>
      <c r="T14" s="17">
        <f t="shared" si="6"/>
        <v>15</v>
      </c>
      <c r="U14" s="17">
        <f t="shared" si="6"/>
        <v>25</v>
      </c>
      <c r="V14" s="17">
        <f t="shared" si="6"/>
        <v>191</v>
      </c>
      <c r="W14" s="17">
        <f t="shared" si="6"/>
        <v>2</v>
      </c>
      <c r="X14" s="17">
        <f t="shared" si="6"/>
        <v>8</v>
      </c>
      <c r="Y14" s="17">
        <f t="shared" si="6"/>
        <v>6</v>
      </c>
      <c r="Z14" s="17">
        <f t="shared" si="6"/>
        <v>7</v>
      </c>
      <c r="AA14" s="17">
        <f t="shared" si="6"/>
        <v>1</v>
      </c>
      <c r="AB14" s="17">
        <f t="shared" si="6"/>
        <v>1</v>
      </c>
      <c r="AC14" s="17">
        <f t="shared" si="6"/>
        <v>505</v>
      </c>
      <c r="AD14" s="17">
        <f t="shared" si="6"/>
        <v>0</v>
      </c>
      <c r="AE14" s="31">
        <f t="shared" si="6"/>
        <v>398</v>
      </c>
      <c r="AF14" s="31">
        <f t="shared" si="6"/>
        <v>903</v>
      </c>
    </row>
    <row r="15" spans="2:32" ht="23.1" customHeight="1" x14ac:dyDescent="0.25">
      <c r="B15" s="23" t="s">
        <v>42</v>
      </c>
      <c r="C15" s="50">
        <v>15</v>
      </c>
      <c r="D15" s="50">
        <v>5</v>
      </c>
      <c r="E15" s="50">
        <v>3</v>
      </c>
      <c r="F15" s="50">
        <v>75</v>
      </c>
      <c r="G15" s="50">
        <v>1</v>
      </c>
      <c r="H15" s="50">
        <v>2</v>
      </c>
      <c r="I15" s="50">
        <v>0</v>
      </c>
      <c r="J15" s="50">
        <v>8</v>
      </c>
      <c r="K15" s="50">
        <v>2</v>
      </c>
      <c r="L15" s="50">
        <v>0</v>
      </c>
      <c r="M15" s="50">
        <v>177</v>
      </c>
      <c r="N15" s="50">
        <v>0</v>
      </c>
      <c r="O15" s="15">
        <f t="shared" si="0"/>
        <v>111</v>
      </c>
      <c r="P15" s="15">
        <f t="shared" si="1"/>
        <v>288</v>
      </c>
      <c r="R15" s="1" t="s">
        <v>11</v>
      </c>
      <c r="S15" s="17">
        <f t="shared" ref="S15:AF15" si="7">SUM(C30:C33)</f>
        <v>166</v>
      </c>
      <c r="T15" s="17">
        <f t="shared" si="7"/>
        <v>9</v>
      </c>
      <c r="U15" s="17">
        <f t="shared" si="7"/>
        <v>12</v>
      </c>
      <c r="V15" s="17">
        <f t="shared" si="7"/>
        <v>241</v>
      </c>
      <c r="W15" s="17">
        <f t="shared" si="7"/>
        <v>3</v>
      </c>
      <c r="X15" s="17">
        <f t="shared" si="7"/>
        <v>9</v>
      </c>
      <c r="Y15" s="17">
        <f t="shared" si="7"/>
        <v>10</v>
      </c>
      <c r="Z15" s="17">
        <f t="shared" si="7"/>
        <v>10</v>
      </c>
      <c r="AA15" s="17">
        <f t="shared" si="7"/>
        <v>1</v>
      </c>
      <c r="AB15" s="17">
        <f t="shared" si="7"/>
        <v>0</v>
      </c>
      <c r="AC15" s="17">
        <f t="shared" si="7"/>
        <v>468</v>
      </c>
      <c r="AD15" s="17">
        <f t="shared" si="7"/>
        <v>0</v>
      </c>
      <c r="AE15" s="31">
        <f t="shared" si="7"/>
        <v>461</v>
      </c>
      <c r="AF15" s="31">
        <f t="shared" si="7"/>
        <v>929</v>
      </c>
    </row>
    <row r="16" spans="2:32" ht="23.1" customHeight="1" x14ac:dyDescent="0.25">
      <c r="B16" s="23" t="s">
        <v>43</v>
      </c>
      <c r="C16" s="50">
        <v>29</v>
      </c>
      <c r="D16" s="50">
        <v>2</v>
      </c>
      <c r="E16" s="50">
        <v>4</v>
      </c>
      <c r="F16" s="50">
        <v>66</v>
      </c>
      <c r="G16" s="50">
        <v>1</v>
      </c>
      <c r="H16" s="50">
        <v>1</v>
      </c>
      <c r="I16" s="50">
        <v>5</v>
      </c>
      <c r="J16" s="50">
        <v>0</v>
      </c>
      <c r="K16" s="50">
        <v>0</v>
      </c>
      <c r="L16" s="50">
        <v>0</v>
      </c>
      <c r="M16" s="50">
        <v>195</v>
      </c>
      <c r="N16" s="50">
        <v>0</v>
      </c>
      <c r="O16" s="15">
        <f t="shared" si="0"/>
        <v>108</v>
      </c>
      <c r="P16" s="15">
        <f t="shared" si="1"/>
        <v>303</v>
      </c>
      <c r="R16" s="1" t="s">
        <v>12</v>
      </c>
      <c r="S16" s="17">
        <f t="shared" ref="S16:AF16" si="8">SUM(C34:C37)</f>
        <v>141</v>
      </c>
      <c r="T16" s="17">
        <f t="shared" si="8"/>
        <v>13</v>
      </c>
      <c r="U16" s="17">
        <f t="shared" si="8"/>
        <v>15</v>
      </c>
      <c r="V16" s="17">
        <f t="shared" si="8"/>
        <v>212</v>
      </c>
      <c r="W16" s="17">
        <f t="shared" si="8"/>
        <v>10</v>
      </c>
      <c r="X16" s="17">
        <f t="shared" si="8"/>
        <v>6</v>
      </c>
      <c r="Y16" s="17">
        <f t="shared" si="8"/>
        <v>12</v>
      </c>
      <c r="Z16" s="17">
        <f t="shared" si="8"/>
        <v>7</v>
      </c>
      <c r="AA16" s="17">
        <f t="shared" si="8"/>
        <v>0</v>
      </c>
      <c r="AB16" s="17">
        <f t="shared" si="8"/>
        <v>1</v>
      </c>
      <c r="AC16" s="17">
        <f t="shared" si="8"/>
        <v>401</v>
      </c>
      <c r="AD16" s="17">
        <f t="shared" si="8"/>
        <v>0</v>
      </c>
      <c r="AE16" s="31">
        <f t="shared" si="8"/>
        <v>417</v>
      </c>
      <c r="AF16" s="31">
        <f t="shared" si="8"/>
        <v>818</v>
      </c>
    </row>
    <row r="17" spans="2:32" ht="23.1" customHeight="1" x14ac:dyDescent="0.25">
      <c r="B17" s="23" t="s">
        <v>44</v>
      </c>
      <c r="C17" s="50">
        <v>57</v>
      </c>
      <c r="D17" s="50">
        <v>7</v>
      </c>
      <c r="E17" s="50">
        <v>1</v>
      </c>
      <c r="F17" s="50">
        <v>44</v>
      </c>
      <c r="G17" s="50">
        <v>2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165</v>
      </c>
      <c r="N17" s="50">
        <v>0</v>
      </c>
      <c r="O17" s="15">
        <f t="shared" si="0"/>
        <v>114</v>
      </c>
      <c r="P17" s="15">
        <f t="shared" si="1"/>
        <v>279</v>
      </c>
      <c r="R17" s="1" t="s">
        <v>13</v>
      </c>
      <c r="S17" s="17">
        <f t="shared" ref="S17:AF17" si="9">SUM(C38:C41)</f>
        <v>144</v>
      </c>
      <c r="T17" s="17">
        <f t="shared" si="9"/>
        <v>11</v>
      </c>
      <c r="U17" s="17">
        <f t="shared" si="9"/>
        <v>19</v>
      </c>
      <c r="V17" s="17">
        <f t="shared" si="9"/>
        <v>188</v>
      </c>
      <c r="W17" s="17">
        <f t="shared" si="9"/>
        <v>4</v>
      </c>
      <c r="X17" s="17">
        <f t="shared" si="9"/>
        <v>6</v>
      </c>
      <c r="Y17" s="17">
        <f t="shared" si="9"/>
        <v>6</v>
      </c>
      <c r="Z17" s="17">
        <f t="shared" si="9"/>
        <v>8</v>
      </c>
      <c r="AA17" s="17">
        <f t="shared" si="9"/>
        <v>1</v>
      </c>
      <c r="AB17" s="17">
        <f t="shared" si="9"/>
        <v>0</v>
      </c>
      <c r="AC17" s="17">
        <f t="shared" si="9"/>
        <v>318</v>
      </c>
      <c r="AD17" s="17">
        <f t="shared" si="9"/>
        <v>0</v>
      </c>
      <c r="AE17" s="31">
        <f t="shared" si="9"/>
        <v>387</v>
      </c>
      <c r="AF17" s="31">
        <f t="shared" si="9"/>
        <v>705</v>
      </c>
    </row>
    <row r="18" spans="2:32" ht="23.1" customHeight="1" x14ac:dyDescent="0.25">
      <c r="B18" s="23" t="s">
        <v>45</v>
      </c>
      <c r="C18" s="50">
        <v>43</v>
      </c>
      <c r="D18" s="50">
        <v>3</v>
      </c>
      <c r="E18" s="50">
        <v>2</v>
      </c>
      <c r="F18" s="50">
        <v>39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171</v>
      </c>
      <c r="N18" s="50">
        <v>0</v>
      </c>
      <c r="O18" s="15">
        <f t="shared" si="0"/>
        <v>89</v>
      </c>
      <c r="P18" s="15">
        <f t="shared" si="1"/>
        <v>260</v>
      </c>
      <c r="R18" s="1" t="s">
        <v>14</v>
      </c>
      <c r="S18" s="17">
        <f t="shared" ref="S18:AF18" si="10">SUM(C42:C45)</f>
        <v>179</v>
      </c>
      <c r="T18" s="17">
        <f t="shared" si="10"/>
        <v>9</v>
      </c>
      <c r="U18" s="17">
        <f t="shared" si="10"/>
        <v>12</v>
      </c>
      <c r="V18" s="17">
        <f t="shared" si="10"/>
        <v>218</v>
      </c>
      <c r="W18" s="17">
        <f t="shared" si="10"/>
        <v>5</v>
      </c>
      <c r="X18" s="17">
        <f t="shared" si="10"/>
        <v>7</v>
      </c>
      <c r="Y18" s="17">
        <f t="shared" si="10"/>
        <v>15</v>
      </c>
      <c r="Z18" s="17">
        <f t="shared" si="10"/>
        <v>7</v>
      </c>
      <c r="AA18" s="17">
        <f t="shared" si="10"/>
        <v>0</v>
      </c>
      <c r="AB18" s="17">
        <f t="shared" si="10"/>
        <v>1</v>
      </c>
      <c r="AC18" s="17">
        <f t="shared" si="10"/>
        <v>480</v>
      </c>
      <c r="AD18" s="17">
        <f t="shared" si="10"/>
        <v>0</v>
      </c>
      <c r="AE18" s="31">
        <f t="shared" si="10"/>
        <v>453</v>
      </c>
      <c r="AF18" s="31">
        <f t="shared" si="10"/>
        <v>933</v>
      </c>
    </row>
    <row r="19" spans="2:32" ht="23.1" customHeight="1" x14ac:dyDescent="0.25">
      <c r="B19" s="23" t="s">
        <v>46</v>
      </c>
      <c r="C19" s="50">
        <v>47</v>
      </c>
      <c r="D19" s="50">
        <v>0</v>
      </c>
      <c r="E19" s="50">
        <v>4</v>
      </c>
      <c r="F19" s="50">
        <v>59</v>
      </c>
      <c r="G19" s="50">
        <v>4</v>
      </c>
      <c r="H19" s="50">
        <v>2</v>
      </c>
      <c r="I19" s="50">
        <v>2</v>
      </c>
      <c r="J19" s="50">
        <v>0</v>
      </c>
      <c r="K19" s="50">
        <v>0</v>
      </c>
      <c r="L19" s="50">
        <v>1</v>
      </c>
      <c r="M19" s="50">
        <v>142</v>
      </c>
      <c r="N19" s="50">
        <v>0</v>
      </c>
      <c r="O19" s="15">
        <f t="shared" si="0"/>
        <v>119</v>
      </c>
      <c r="P19" s="15">
        <f t="shared" si="1"/>
        <v>261</v>
      </c>
      <c r="R19" s="1" t="s">
        <v>15</v>
      </c>
      <c r="S19" s="17">
        <f t="shared" ref="S19:AF19" si="11">SUM(C46:C49)</f>
        <v>218</v>
      </c>
      <c r="T19" s="17">
        <f t="shared" si="11"/>
        <v>13</v>
      </c>
      <c r="U19" s="17">
        <f t="shared" si="11"/>
        <v>14</v>
      </c>
      <c r="V19" s="17">
        <f t="shared" si="11"/>
        <v>238</v>
      </c>
      <c r="W19" s="17">
        <f t="shared" si="11"/>
        <v>7</v>
      </c>
      <c r="X19" s="17">
        <f t="shared" si="11"/>
        <v>3</v>
      </c>
      <c r="Y19" s="17">
        <f t="shared" si="11"/>
        <v>12</v>
      </c>
      <c r="Z19" s="17">
        <f t="shared" si="11"/>
        <v>6</v>
      </c>
      <c r="AA19" s="17">
        <f t="shared" si="11"/>
        <v>3</v>
      </c>
      <c r="AB19" s="17">
        <f t="shared" si="11"/>
        <v>3</v>
      </c>
      <c r="AC19" s="17">
        <f t="shared" si="11"/>
        <v>697</v>
      </c>
      <c r="AD19" s="17">
        <f t="shared" si="11"/>
        <v>0</v>
      </c>
      <c r="AE19" s="31">
        <f t="shared" si="11"/>
        <v>517</v>
      </c>
      <c r="AF19" s="31">
        <f t="shared" si="11"/>
        <v>1214</v>
      </c>
    </row>
    <row r="20" spans="2:32" ht="23.1" customHeight="1" x14ac:dyDescent="0.25">
      <c r="B20" s="23" t="s">
        <v>47</v>
      </c>
      <c r="C20" s="50">
        <v>29</v>
      </c>
      <c r="D20" s="50">
        <v>2</v>
      </c>
      <c r="E20" s="50">
        <v>2</v>
      </c>
      <c r="F20" s="50">
        <v>35</v>
      </c>
      <c r="G20" s="50">
        <v>4</v>
      </c>
      <c r="H20" s="50">
        <v>2</v>
      </c>
      <c r="I20" s="50">
        <v>0</v>
      </c>
      <c r="J20" s="50">
        <v>1</v>
      </c>
      <c r="K20" s="50">
        <v>0</v>
      </c>
      <c r="L20" s="50">
        <v>0</v>
      </c>
      <c r="M20" s="50">
        <v>148</v>
      </c>
      <c r="N20" s="50">
        <v>0</v>
      </c>
      <c r="O20" s="15">
        <f t="shared" si="0"/>
        <v>75</v>
      </c>
      <c r="P20" s="15">
        <f t="shared" si="1"/>
        <v>223</v>
      </c>
      <c r="R20" s="1" t="s">
        <v>16</v>
      </c>
      <c r="S20" s="17">
        <f t="shared" ref="S20:AF20" si="12">SUM(C50:C53)</f>
        <v>225</v>
      </c>
      <c r="T20" s="17">
        <f t="shared" si="12"/>
        <v>18</v>
      </c>
      <c r="U20" s="17">
        <f t="shared" si="12"/>
        <v>19</v>
      </c>
      <c r="V20" s="17">
        <f t="shared" si="12"/>
        <v>170</v>
      </c>
      <c r="W20" s="17">
        <f t="shared" si="12"/>
        <v>16</v>
      </c>
      <c r="X20" s="17">
        <f t="shared" si="12"/>
        <v>6</v>
      </c>
      <c r="Y20" s="17">
        <f t="shared" si="12"/>
        <v>13</v>
      </c>
      <c r="Z20" s="17">
        <f t="shared" si="12"/>
        <v>4</v>
      </c>
      <c r="AA20" s="17">
        <f t="shared" si="12"/>
        <v>2</v>
      </c>
      <c r="AB20" s="17">
        <f t="shared" si="12"/>
        <v>0</v>
      </c>
      <c r="AC20" s="17">
        <f t="shared" si="12"/>
        <v>690</v>
      </c>
      <c r="AD20" s="17">
        <f t="shared" si="12"/>
        <v>0</v>
      </c>
      <c r="AE20" s="31">
        <f t="shared" si="12"/>
        <v>473</v>
      </c>
      <c r="AF20" s="31">
        <f t="shared" si="12"/>
        <v>1163</v>
      </c>
    </row>
    <row r="21" spans="2:32" ht="23.1" customHeight="1" x14ac:dyDescent="0.25">
      <c r="B21" s="23" t="s">
        <v>48</v>
      </c>
      <c r="C21" s="50">
        <v>49</v>
      </c>
      <c r="D21" s="50">
        <v>0</v>
      </c>
      <c r="E21" s="50">
        <v>4</v>
      </c>
      <c r="F21" s="50">
        <v>51</v>
      </c>
      <c r="G21" s="50">
        <v>3</v>
      </c>
      <c r="H21" s="50">
        <v>1</v>
      </c>
      <c r="I21" s="50">
        <v>3</v>
      </c>
      <c r="J21" s="50">
        <v>0</v>
      </c>
      <c r="K21" s="50">
        <v>0</v>
      </c>
      <c r="L21" s="50">
        <v>0</v>
      </c>
      <c r="M21" s="50">
        <v>188</v>
      </c>
      <c r="N21" s="50">
        <v>0</v>
      </c>
      <c r="O21" s="15">
        <f t="shared" si="0"/>
        <v>111</v>
      </c>
      <c r="P21" s="15">
        <f t="shared" si="1"/>
        <v>299</v>
      </c>
      <c r="R21" s="36" t="s">
        <v>20</v>
      </c>
      <c r="S21" s="34">
        <f t="shared" ref="S21:AF21" si="13">SUM(C54:C57)</f>
        <v>232</v>
      </c>
      <c r="T21" s="17">
        <f t="shared" si="13"/>
        <v>28</v>
      </c>
      <c r="U21" s="17">
        <f t="shared" si="13"/>
        <v>27</v>
      </c>
      <c r="V21" s="17">
        <f t="shared" si="13"/>
        <v>182</v>
      </c>
      <c r="W21" s="17">
        <f t="shared" si="13"/>
        <v>11</v>
      </c>
      <c r="X21" s="17">
        <f t="shared" si="13"/>
        <v>2</v>
      </c>
      <c r="Y21" s="17">
        <f t="shared" si="13"/>
        <v>17</v>
      </c>
      <c r="Z21" s="17">
        <f t="shared" si="13"/>
        <v>10</v>
      </c>
      <c r="AA21" s="17">
        <f t="shared" si="13"/>
        <v>3</v>
      </c>
      <c r="AB21" s="17">
        <f t="shared" si="13"/>
        <v>2</v>
      </c>
      <c r="AC21" s="17">
        <f t="shared" si="13"/>
        <v>888</v>
      </c>
      <c r="AD21" s="17">
        <f t="shared" si="13"/>
        <v>0</v>
      </c>
      <c r="AE21" s="31">
        <f t="shared" si="13"/>
        <v>514</v>
      </c>
      <c r="AF21" s="31">
        <f t="shared" si="13"/>
        <v>1402</v>
      </c>
    </row>
    <row r="22" spans="2:32" ht="23.1" customHeight="1" x14ac:dyDescent="0.25">
      <c r="B22" s="23" t="s">
        <v>49</v>
      </c>
      <c r="C22" s="50">
        <v>74</v>
      </c>
      <c r="D22" s="50">
        <v>9</v>
      </c>
      <c r="E22" s="50">
        <v>3</v>
      </c>
      <c r="F22" s="50">
        <v>63</v>
      </c>
      <c r="G22" s="50">
        <v>1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132</v>
      </c>
      <c r="N22" s="50">
        <v>0</v>
      </c>
      <c r="O22" s="15">
        <f t="shared" si="0"/>
        <v>154</v>
      </c>
      <c r="P22" s="15">
        <f t="shared" si="1"/>
        <v>286</v>
      </c>
      <c r="R22" s="38" t="s">
        <v>90</v>
      </c>
      <c r="S22" s="39">
        <f>MAX(S10:S12)</f>
        <v>168</v>
      </c>
      <c r="T22" s="39">
        <f t="shared" ref="T22:AF22" si="14">MAX(T10:T12)</f>
        <v>17</v>
      </c>
      <c r="U22" s="39">
        <f t="shared" si="14"/>
        <v>14</v>
      </c>
      <c r="V22" s="39">
        <f t="shared" si="14"/>
        <v>229</v>
      </c>
      <c r="W22" s="39">
        <f t="shared" si="14"/>
        <v>11</v>
      </c>
      <c r="X22" s="39">
        <f t="shared" si="14"/>
        <v>6</v>
      </c>
      <c r="Y22" s="39">
        <f t="shared" si="14"/>
        <v>9</v>
      </c>
      <c r="Z22" s="39">
        <f t="shared" si="14"/>
        <v>13</v>
      </c>
      <c r="AA22" s="39">
        <f t="shared" si="14"/>
        <v>2</v>
      </c>
      <c r="AB22" s="39">
        <f t="shared" si="14"/>
        <v>1</v>
      </c>
      <c r="AC22" s="39">
        <f t="shared" si="14"/>
        <v>711</v>
      </c>
      <c r="AD22" s="39">
        <f t="shared" si="14"/>
        <v>0</v>
      </c>
      <c r="AE22" s="40">
        <f t="shared" si="14"/>
        <v>423</v>
      </c>
      <c r="AF22" s="40">
        <f t="shared" si="14"/>
        <v>1134</v>
      </c>
    </row>
    <row r="23" spans="2:32" ht="23.1" customHeight="1" x14ac:dyDescent="0.25">
      <c r="B23" s="23" t="s">
        <v>50</v>
      </c>
      <c r="C23" s="50">
        <v>31</v>
      </c>
      <c r="D23" s="50">
        <v>4</v>
      </c>
      <c r="E23" s="50">
        <v>8</v>
      </c>
      <c r="F23" s="50">
        <v>58</v>
      </c>
      <c r="G23" s="50">
        <v>2</v>
      </c>
      <c r="H23" s="50">
        <v>2</v>
      </c>
      <c r="I23" s="50">
        <v>3</v>
      </c>
      <c r="J23" s="50">
        <v>2</v>
      </c>
      <c r="K23" s="50">
        <v>1</v>
      </c>
      <c r="L23" s="50">
        <v>0</v>
      </c>
      <c r="M23" s="50">
        <v>160</v>
      </c>
      <c r="N23" s="50">
        <v>0</v>
      </c>
      <c r="O23" s="15">
        <f t="shared" si="0"/>
        <v>111</v>
      </c>
      <c r="P23" s="15">
        <f t="shared" si="1"/>
        <v>271</v>
      </c>
      <c r="R23" s="38" t="s">
        <v>91</v>
      </c>
      <c r="S23" s="39">
        <f>MAX(S13:S18)</f>
        <v>179</v>
      </c>
      <c r="T23" s="39">
        <f t="shared" ref="T23:AF23" si="15">MAX(T13:T18)</f>
        <v>18</v>
      </c>
      <c r="U23" s="39">
        <f t="shared" si="15"/>
        <v>25</v>
      </c>
      <c r="V23" s="39">
        <f t="shared" si="15"/>
        <v>241</v>
      </c>
      <c r="W23" s="39">
        <f t="shared" si="15"/>
        <v>10</v>
      </c>
      <c r="X23" s="39">
        <f t="shared" si="15"/>
        <v>9</v>
      </c>
      <c r="Y23" s="39">
        <f t="shared" si="15"/>
        <v>15</v>
      </c>
      <c r="Z23" s="39">
        <f t="shared" si="15"/>
        <v>10</v>
      </c>
      <c r="AA23" s="39">
        <f t="shared" si="15"/>
        <v>1</v>
      </c>
      <c r="AB23" s="39">
        <f t="shared" si="15"/>
        <v>1</v>
      </c>
      <c r="AC23" s="39">
        <f t="shared" si="15"/>
        <v>645</v>
      </c>
      <c r="AD23" s="39">
        <f t="shared" si="15"/>
        <v>0</v>
      </c>
      <c r="AE23" s="40">
        <f t="shared" si="15"/>
        <v>461</v>
      </c>
      <c r="AF23" s="40">
        <f t="shared" si="15"/>
        <v>1076</v>
      </c>
    </row>
    <row r="24" spans="2:32" ht="23.1" customHeight="1" x14ac:dyDescent="0.25">
      <c r="B24" s="23" t="s">
        <v>51</v>
      </c>
      <c r="C24" s="50">
        <v>31</v>
      </c>
      <c r="D24" s="50">
        <v>4</v>
      </c>
      <c r="E24" s="50">
        <v>2</v>
      </c>
      <c r="F24" s="50">
        <v>46</v>
      </c>
      <c r="G24" s="50">
        <v>0</v>
      </c>
      <c r="H24" s="50">
        <v>1</v>
      </c>
      <c r="I24" s="50">
        <v>3</v>
      </c>
      <c r="J24" s="50">
        <v>3</v>
      </c>
      <c r="K24" s="50">
        <v>0</v>
      </c>
      <c r="L24" s="50">
        <v>0</v>
      </c>
      <c r="M24" s="50">
        <v>201</v>
      </c>
      <c r="N24" s="50">
        <v>0</v>
      </c>
      <c r="O24" s="15">
        <f t="shared" si="0"/>
        <v>90</v>
      </c>
      <c r="P24" s="15">
        <f t="shared" si="1"/>
        <v>291</v>
      </c>
      <c r="R24" s="38" t="s">
        <v>92</v>
      </c>
      <c r="S24" s="39">
        <f>MAX(S19:S21)</f>
        <v>232</v>
      </c>
      <c r="T24" s="39">
        <f t="shared" ref="T24:AF24" si="16">MAX(T19:T21)</f>
        <v>28</v>
      </c>
      <c r="U24" s="39">
        <f t="shared" si="16"/>
        <v>27</v>
      </c>
      <c r="V24" s="39">
        <f t="shared" si="16"/>
        <v>238</v>
      </c>
      <c r="W24" s="39">
        <f t="shared" si="16"/>
        <v>16</v>
      </c>
      <c r="X24" s="39">
        <f t="shared" si="16"/>
        <v>6</v>
      </c>
      <c r="Y24" s="39">
        <f t="shared" si="16"/>
        <v>17</v>
      </c>
      <c r="Z24" s="39">
        <f t="shared" si="16"/>
        <v>10</v>
      </c>
      <c r="AA24" s="39">
        <f t="shared" si="16"/>
        <v>3</v>
      </c>
      <c r="AB24" s="39">
        <f t="shared" si="16"/>
        <v>3</v>
      </c>
      <c r="AC24" s="39">
        <f t="shared" si="16"/>
        <v>888</v>
      </c>
      <c r="AD24" s="39">
        <f t="shared" si="16"/>
        <v>0</v>
      </c>
      <c r="AE24" s="40">
        <f t="shared" si="16"/>
        <v>517</v>
      </c>
      <c r="AF24" s="40">
        <f t="shared" si="16"/>
        <v>1402</v>
      </c>
    </row>
    <row r="25" spans="2:32" ht="23.1" customHeight="1" x14ac:dyDescent="0.25">
      <c r="B25" s="23" t="s">
        <v>52</v>
      </c>
      <c r="C25" s="50">
        <v>23</v>
      </c>
      <c r="D25" s="50">
        <v>1</v>
      </c>
      <c r="E25" s="50">
        <v>4</v>
      </c>
      <c r="F25" s="50">
        <v>42</v>
      </c>
      <c r="G25" s="50">
        <v>0</v>
      </c>
      <c r="H25" s="50">
        <v>2</v>
      </c>
      <c r="I25" s="50">
        <v>2</v>
      </c>
      <c r="J25" s="50">
        <v>2</v>
      </c>
      <c r="K25" s="50">
        <v>0</v>
      </c>
      <c r="L25" s="50">
        <v>0</v>
      </c>
      <c r="M25" s="50">
        <v>152</v>
      </c>
      <c r="N25" s="50">
        <v>0</v>
      </c>
      <c r="O25" s="15">
        <f t="shared" si="0"/>
        <v>76</v>
      </c>
      <c r="P25" s="15">
        <f t="shared" si="1"/>
        <v>228</v>
      </c>
      <c r="R25" s="37" t="s">
        <v>85</v>
      </c>
      <c r="S25" s="35">
        <f t="shared" ref="S25:AF25" si="17">SUM(S10:S12)</f>
        <v>400</v>
      </c>
      <c r="T25" s="16">
        <f t="shared" si="17"/>
        <v>36</v>
      </c>
      <c r="U25" s="16">
        <f t="shared" si="17"/>
        <v>36</v>
      </c>
      <c r="V25" s="16">
        <f t="shared" si="17"/>
        <v>547</v>
      </c>
      <c r="W25" s="16">
        <f t="shared" si="17"/>
        <v>23</v>
      </c>
      <c r="X25" s="16">
        <f t="shared" si="17"/>
        <v>17</v>
      </c>
      <c r="Y25" s="16">
        <f t="shared" si="17"/>
        <v>21</v>
      </c>
      <c r="Z25" s="16">
        <f t="shared" si="17"/>
        <v>18</v>
      </c>
      <c r="AA25" s="16">
        <f t="shared" si="17"/>
        <v>4</v>
      </c>
      <c r="AB25" s="16">
        <f t="shared" si="17"/>
        <v>1</v>
      </c>
      <c r="AC25" s="16">
        <f t="shared" si="17"/>
        <v>1788</v>
      </c>
      <c r="AD25" s="16">
        <f t="shared" si="17"/>
        <v>0</v>
      </c>
      <c r="AE25" s="32">
        <f t="shared" si="17"/>
        <v>1103</v>
      </c>
      <c r="AF25" s="32">
        <f t="shared" si="17"/>
        <v>2891</v>
      </c>
    </row>
    <row r="26" spans="2:32" ht="23.1" customHeight="1" x14ac:dyDescent="0.25">
      <c r="B26" s="23" t="s">
        <v>53</v>
      </c>
      <c r="C26" s="50">
        <v>34</v>
      </c>
      <c r="D26" s="50">
        <v>6</v>
      </c>
      <c r="E26" s="50">
        <v>9</v>
      </c>
      <c r="F26" s="50">
        <v>35</v>
      </c>
      <c r="G26" s="50">
        <v>1</v>
      </c>
      <c r="H26" s="50">
        <v>3</v>
      </c>
      <c r="I26" s="50">
        <v>0</v>
      </c>
      <c r="J26" s="50">
        <v>1</v>
      </c>
      <c r="K26" s="50">
        <v>1</v>
      </c>
      <c r="L26" s="50">
        <v>0</v>
      </c>
      <c r="M26" s="50">
        <v>96</v>
      </c>
      <c r="N26" s="50">
        <v>0</v>
      </c>
      <c r="O26" s="15">
        <f t="shared" si="0"/>
        <v>90</v>
      </c>
      <c r="P26" s="15">
        <f t="shared" si="1"/>
        <v>186</v>
      </c>
      <c r="R26" s="28" t="s">
        <v>86</v>
      </c>
      <c r="S26" s="16">
        <f t="shared" ref="S26:AF26" si="18">SUM(S13:S18)</f>
        <v>931</v>
      </c>
      <c r="T26" s="16">
        <f t="shared" si="18"/>
        <v>75</v>
      </c>
      <c r="U26" s="16">
        <f t="shared" si="18"/>
        <v>100</v>
      </c>
      <c r="V26" s="16">
        <f t="shared" si="18"/>
        <v>1259</v>
      </c>
      <c r="W26" s="16">
        <f t="shared" si="18"/>
        <v>27</v>
      </c>
      <c r="X26" s="16">
        <f t="shared" si="18"/>
        <v>41</v>
      </c>
      <c r="Y26" s="16">
        <f t="shared" si="18"/>
        <v>58</v>
      </c>
      <c r="Z26" s="16">
        <f t="shared" si="18"/>
        <v>48</v>
      </c>
      <c r="AA26" s="16">
        <f t="shared" si="18"/>
        <v>4</v>
      </c>
      <c r="AB26" s="16">
        <f t="shared" si="18"/>
        <v>4</v>
      </c>
      <c r="AC26" s="16">
        <f t="shared" si="18"/>
        <v>2817</v>
      </c>
      <c r="AD26" s="16">
        <f t="shared" si="18"/>
        <v>0</v>
      </c>
      <c r="AE26" s="32">
        <f t="shared" si="18"/>
        <v>2547</v>
      </c>
      <c r="AF26" s="32">
        <f t="shared" si="18"/>
        <v>5364</v>
      </c>
    </row>
    <row r="27" spans="2:32" ht="23.1" customHeight="1" x14ac:dyDescent="0.25">
      <c r="B27" s="23" t="s">
        <v>54</v>
      </c>
      <c r="C27" s="50">
        <v>22</v>
      </c>
      <c r="D27" s="50">
        <v>1</v>
      </c>
      <c r="E27" s="50">
        <v>7</v>
      </c>
      <c r="F27" s="50">
        <v>41</v>
      </c>
      <c r="G27" s="50">
        <v>1</v>
      </c>
      <c r="H27" s="50">
        <v>2</v>
      </c>
      <c r="I27" s="50">
        <v>0</v>
      </c>
      <c r="J27" s="50">
        <v>2</v>
      </c>
      <c r="K27" s="50">
        <v>0</v>
      </c>
      <c r="L27" s="50">
        <v>0</v>
      </c>
      <c r="M27" s="50">
        <v>122</v>
      </c>
      <c r="N27" s="50">
        <v>0</v>
      </c>
      <c r="O27" s="15">
        <f t="shared" si="0"/>
        <v>76</v>
      </c>
      <c r="P27" s="15">
        <f t="shared" si="1"/>
        <v>198</v>
      </c>
      <c r="R27" s="29" t="s">
        <v>87</v>
      </c>
      <c r="S27" s="16">
        <f t="shared" ref="S27:AF27" si="19">SUM(S19:S21)</f>
        <v>675</v>
      </c>
      <c r="T27" s="16">
        <f t="shared" si="19"/>
        <v>59</v>
      </c>
      <c r="U27" s="16">
        <f t="shared" si="19"/>
        <v>60</v>
      </c>
      <c r="V27" s="16">
        <f t="shared" si="19"/>
        <v>590</v>
      </c>
      <c r="W27" s="16">
        <f t="shared" si="19"/>
        <v>34</v>
      </c>
      <c r="X27" s="16">
        <f t="shared" si="19"/>
        <v>11</v>
      </c>
      <c r="Y27" s="16">
        <f t="shared" si="19"/>
        <v>42</v>
      </c>
      <c r="Z27" s="16">
        <f t="shared" si="19"/>
        <v>20</v>
      </c>
      <c r="AA27" s="16">
        <f t="shared" si="19"/>
        <v>8</v>
      </c>
      <c r="AB27" s="16">
        <f t="shared" si="19"/>
        <v>5</v>
      </c>
      <c r="AC27" s="16">
        <f t="shared" si="19"/>
        <v>2275</v>
      </c>
      <c r="AD27" s="16">
        <f t="shared" si="19"/>
        <v>0</v>
      </c>
      <c r="AE27" s="32">
        <f t="shared" si="19"/>
        <v>1504</v>
      </c>
      <c r="AF27" s="32">
        <f t="shared" si="19"/>
        <v>3779</v>
      </c>
    </row>
    <row r="28" spans="2:32" ht="23.1" customHeight="1" x14ac:dyDescent="0.25">
      <c r="B28" s="23" t="s">
        <v>55</v>
      </c>
      <c r="C28" s="50">
        <v>35</v>
      </c>
      <c r="D28" s="50">
        <v>3</v>
      </c>
      <c r="E28" s="50">
        <v>7</v>
      </c>
      <c r="F28" s="50">
        <v>48</v>
      </c>
      <c r="G28" s="50">
        <v>0</v>
      </c>
      <c r="H28" s="50">
        <v>1</v>
      </c>
      <c r="I28" s="50">
        <v>0</v>
      </c>
      <c r="J28" s="50">
        <v>2</v>
      </c>
      <c r="K28" s="50">
        <v>0</v>
      </c>
      <c r="L28" s="50">
        <v>0</v>
      </c>
      <c r="M28" s="50">
        <v>159</v>
      </c>
      <c r="N28" s="50">
        <v>0</v>
      </c>
      <c r="O28" s="15">
        <f t="shared" si="0"/>
        <v>96</v>
      </c>
      <c r="P28" s="15">
        <f t="shared" si="1"/>
        <v>255</v>
      </c>
      <c r="R28" s="5" t="s">
        <v>17</v>
      </c>
      <c r="S28" s="16">
        <f t="shared" ref="S28:AF28" si="20">SUM(S10:S21)</f>
        <v>2006</v>
      </c>
      <c r="T28" s="16">
        <f t="shared" si="20"/>
        <v>170</v>
      </c>
      <c r="U28" s="16">
        <f t="shared" si="20"/>
        <v>196</v>
      </c>
      <c r="V28" s="16">
        <f t="shared" si="20"/>
        <v>2396</v>
      </c>
      <c r="W28" s="16">
        <f t="shared" si="20"/>
        <v>84</v>
      </c>
      <c r="X28" s="16">
        <f t="shared" si="20"/>
        <v>69</v>
      </c>
      <c r="Y28" s="16">
        <f t="shared" si="20"/>
        <v>121</v>
      </c>
      <c r="Z28" s="16">
        <f t="shared" si="20"/>
        <v>86</v>
      </c>
      <c r="AA28" s="16">
        <f t="shared" si="20"/>
        <v>16</v>
      </c>
      <c r="AB28" s="16">
        <f t="shared" si="20"/>
        <v>10</v>
      </c>
      <c r="AC28" s="16">
        <f t="shared" si="20"/>
        <v>6880</v>
      </c>
      <c r="AD28" s="16">
        <f t="shared" si="20"/>
        <v>0</v>
      </c>
      <c r="AE28" s="32">
        <f t="shared" si="20"/>
        <v>5154</v>
      </c>
      <c r="AF28" s="32">
        <f t="shared" si="20"/>
        <v>12034</v>
      </c>
    </row>
    <row r="29" spans="2:32" ht="23.1" customHeight="1" x14ac:dyDescent="0.25">
      <c r="B29" s="23" t="s">
        <v>56</v>
      </c>
      <c r="C29" s="50">
        <v>51</v>
      </c>
      <c r="D29" s="50">
        <v>5</v>
      </c>
      <c r="E29" s="50">
        <v>2</v>
      </c>
      <c r="F29" s="50">
        <v>67</v>
      </c>
      <c r="G29" s="50">
        <v>0</v>
      </c>
      <c r="H29" s="50">
        <v>2</v>
      </c>
      <c r="I29" s="50">
        <v>6</v>
      </c>
      <c r="J29" s="50">
        <v>2</v>
      </c>
      <c r="K29" s="50">
        <v>0</v>
      </c>
      <c r="L29" s="50">
        <v>1</v>
      </c>
      <c r="M29" s="50">
        <v>128</v>
      </c>
      <c r="N29" s="50">
        <v>0</v>
      </c>
      <c r="O29" s="15">
        <f t="shared" si="0"/>
        <v>136</v>
      </c>
      <c r="P29" s="15">
        <f t="shared" si="1"/>
        <v>264</v>
      </c>
      <c r="R29"/>
      <c r="S29" s="20"/>
      <c r="T29" s="19"/>
    </row>
    <row r="30" spans="2:32" ht="23.1" customHeight="1" x14ac:dyDescent="0.25">
      <c r="B30" s="23" t="s">
        <v>57</v>
      </c>
      <c r="C30" s="50">
        <v>46</v>
      </c>
      <c r="D30" s="50">
        <v>3</v>
      </c>
      <c r="E30" s="50">
        <v>2</v>
      </c>
      <c r="F30" s="50">
        <v>56</v>
      </c>
      <c r="G30" s="50">
        <v>0</v>
      </c>
      <c r="H30" s="50">
        <v>3</v>
      </c>
      <c r="I30" s="50">
        <v>3</v>
      </c>
      <c r="J30" s="50">
        <v>1</v>
      </c>
      <c r="K30" s="50">
        <v>0</v>
      </c>
      <c r="L30" s="50">
        <v>0</v>
      </c>
      <c r="M30" s="50">
        <v>103</v>
      </c>
      <c r="N30" s="50">
        <v>0</v>
      </c>
      <c r="O30" s="15">
        <f t="shared" si="0"/>
        <v>114</v>
      </c>
      <c r="P30" s="15">
        <f t="shared" si="1"/>
        <v>217</v>
      </c>
    </row>
    <row r="31" spans="2:32" ht="23.1" customHeight="1" x14ac:dyDescent="0.25">
      <c r="B31" s="24" t="s">
        <v>58</v>
      </c>
      <c r="C31" s="50">
        <v>58</v>
      </c>
      <c r="D31" s="50">
        <v>3</v>
      </c>
      <c r="E31" s="50">
        <v>2</v>
      </c>
      <c r="F31" s="50">
        <v>72</v>
      </c>
      <c r="G31" s="50">
        <v>2</v>
      </c>
      <c r="H31" s="50">
        <v>3</v>
      </c>
      <c r="I31" s="50">
        <v>2</v>
      </c>
      <c r="J31" s="50">
        <v>4</v>
      </c>
      <c r="K31" s="50">
        <v>1</v>
      </c>
      <c r="L31" s="50">
        <v>0</v>
      </c>
      <c r="M31" s="50">
        <v>102</v>
      </c>
      <c r="N31" s="50">
        <v>0</v>
      </c>
      <c r="O31" s="15">
        <f t="shared" si="0"/>
        <v>147</v>
      </c>
      <c r="P31" s="15">
        <f t="shared" si="1"/>
        <v>249</v>
      </c>
    </row>
    <row r="32" spans="2:32" ht="23.1" customHeight="1" x14ac:dyDescent="0.25">
      <c r="B32" s="24" t="s">
        <v>59</v>
      </c>
      <c r="C32" s="50">
        <v>34</v>
      </c>
      <c r="D32" s="50">
        <v>1</v>
      </c>
      <c r="E32" s="50">
        <v>3</v>
      </c>
      <c r="F32" s="50">
        <v>60</v>
      </c>
      <c r="G32" s="50">
        <v>0</v>
      </c>
      <c r="H32" s="50">
        <v>1</v>
      </c>
      <c r="I32" s="50">
        <v>2</v>
      </c>
      <c r="J32" s="50">
        <v>4</v>
      </c>
      <c r="K32" s="50">
        <v>0</v>
      </c>
      <c r="L32" s="50">
        <v>0</v>
      </c>
      <c r="M32" s="50">
        <v>139</v>
      </c>
      <c r="N32" s="50">
        <v>0</v>
      </c>
      <c r="O32" s="15">
        <f t="shared" si="0"/>
        <v>105</v>
      </c>
      <c r="P32" s="15">
        <f t="shared" si="1"/>
        <v>244</v>
      </c>
    </row>
    <row r="33" spans="2:20" ht="23.1" customHeight="1" x14ac:dyDescent="0.25">
      <c r="B33" s="23" t="s">
        <v>60</v>
      </c>
      <c r="C33" s="50">
        <v>28</v>
      </c>
      <c r="D33" s="50">
        <v>2</v>
      </c>
      <c r="E33" s="50">
        <v>5</v>
      </c>
      <c r="F33" s="50">
        <v>53</v>
      </c>
      <c r="G33" s="50">
        <v>1</v>
      </c>
      <c r="H33" s="50">
        <v>2</v>
      </c>
      <c r="I33" s="50">
        <v>3</v>
      </c>
      <c r="J33" s="50">
        <v>1</v>
      </c>
      <c r="K33" s="50">
        <v>0</v>
      </c>
      <c r="L33" s="50">
        <v>0</v>
      </c>
      <c r="M33" s="50">
        <v>124</v>
      </c>
      <c r="N33" s="50">
        <v>0</v>
      </c>
      <c r="O33" s="15">
        <f t="shared" si="0"/>
        <v>95</v>
      </c>
      <c r="P33" s="15">
        <f t="shared" si="1"/>
        <v>219</v>
      </c>
    </row>
    <row r="34" spans="2:20" ht="23.1" customHeight="1" x14ac:dyDescent="0.25">
      <c r="B34" s="24" t="s">
        <v>61</v>
      </c>
      <c r="C34" s="50">
        <v>62</v>
      </c>
      <c r="D34" s="50">
        <v>2</v>
      </c>
      <c r="E34" s="50">
        <v>4</v>
      </c>
      <c r="F34" s="50">
        <v>40</v>
      </c>
      <c r="G34" s="50">
        <v>3</v>
      </c>
      <c r="H34" s="50">
        <v>3</v>
      </c>
      <c r="I34" s="50">
        <v>6</v>
      </c>
      <c r="J34" s="50">
        <v>1</v>
      </c>
      <c r="K34" s="50">
        <v>0</v>
      </c>
      <c r="L34" s="50">
        <v>0</v>
      </c>
      <c r="M34" s="50">
        <v>132</v>
      </c>
      <c r="N34" s="50">
        <v>0</v>
      </c>
      <c r="O34" s="15">
        <f t="shared" si="0"/>
        <v>121</v>
      </c>
      <c r="P34" s="15">
        <f t="shared" si="1"/>
        <v>253</v>
      </c>
    </row>
    <row r="35" spans="2:20" ht="23.1" customHeight="1" x14ac:dyDescent="0.25">
      <c r="B35" s="24" t="s">
        <v>62</v>
      </c>
      <c r="C35" s="50">
        <v>21</v>
      </c>
      <c r="D35" s="50">
        <v>6</v>
      </c>
      <c r="E35" s="50">
        <v>6</v>
      </c>
      <c r="F35" s="50">
        <v>62</v>
      </c>
      <c r="G35" s="50">
        <v>4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105</v>
      </c>
      <c r="N35" s="50">
        <v>0</v>
      </c>
      <c r="O35" s="15">
        <f t="shared" si="0"/>
        <v>104</v>
      </c>
      <c r="P35" s="15">
        <f t="shared" si="1"/>
        <v>209</v>
      </c>
    </row>
    <row r="36" spans="2:20" ht="23.1" customHeight="1" x14ac:dyDescent="0.25">
      <c r="B36" s="24" t="s">
        <v>63</v>
      </c>
      <c r="C36" s="50">
        <v>32</v>
      </c>
      <c r="D36" s="50">
        <v>3</v>
      </c>
      <c r="E36" s="50">
        <v>1</v>
      </c>
      <c r="F36" s="50">
        <v>58</v>
      </c>
      <c r="G36" s="50">
        <v>2</v>
      </c>
      <c r="H36" s="50">
        <v>1</v>
      </c>
      <c r="I36" s="50">
        <v>1</v>
      </c>
      <c r="J36" s="50">
        <v>3</v>
      </c>
      <c r="K36" s="50">
        <v>0</v>
      </c>
      <c r="L36" s="50">
        <v>0</v>
      </c>
      <c r="M36" s="50">
        <v>103</v>
      </c>
      <c r="N36" s="50">
        <v>0</v>
      </c>
      <c r="O36" s="15">
        <f t="shared" si="0"/>
        <v>101</v>
      </c>
      <c r="P36" s="15">
        <f t="shared" si="1"/>
        <v>204</v>
      </c>
    </row>
    <row r="37" spans="2:20" ht="23.1" customHeight="1" x14ac:dyDescent="0.25">
      <c r="B37" s="23" t="s">
        <v>64</v>
      </c>
      <c r="C37" s="50">
        <v>26</v>
      </c>
      <c r="D37" s="50">
        <v>2</v>
      </c>
      <c r="E37" s="50">
        <v>4</v>
      </c>
      <c r="F37" s="50">
        <v>52</v>
      </c>
      <c r="G37" s="50">
        <v>1</v>
      </c>
      <c r="H37" s="50">
        <v>2</v>
      </c>
      <c r="I37" s="50">
        <v>2</v>
      </c>
      <c r="J37" s="50">
        <v>1</v>
      </c>
      <c r="K37" s="50">
        <v>0</v>
      </c>
      <c r="L37" s="50">
        <v>1</v>
      </c>
      <c r="M37" s="50">
        <v>61</v>
      </c>
      <c r="N37" s="50">
        <v>0</v>
      </c>
      <c r="O37" s="15">
        <f t="shared" si="0"/>
        <v>91</v>
      </c>
      <c r="P37" s="15">
        <f t="shared" si="1"/>
        <v>152</v>
      </c>
    </row>
    <row r="38" spans="2:20" ht="23.1" customHeight="1" x14ac:dyDescent="0.25">
      <c r="B38" s="24" t="s">
        <v>65</v>
      </c>
      <c r="C38" s="50">
        <v>32</v>
      </c>
      <c r="D38" s="50">
        <v>3</v>
      </c>
      <c r="E38" s="50">
        <v>6</v>
      </c>
      <c r="F38" s="50">
        <v>41</v>
      </c>
      <c r="G38" s="50">
        <v>2</v>
      </c>
      <c r="H38" s="50">
        <v>1</v>
      </c>
      <c r="I38" s="50">
        <v>3</v>
      </c>
      <c r="J38" s="50">
        <v>1</v>
      </c>
      <c r="K38" s="50">
        <v>0</v>
      </c>
      <c r="L38" s="50">
        <v>0</v>
      </c>
      <c r="M38" s="50">
        <v>82</v>
      </c>
      <c r="N38" s="50">
        <v>0</v>
      </c>
      <c r="O38" s="15">
        <f t="shared" si="0"/>
        <v>89</v>
      </c>
      <c r="P38" s="15">
        <f t="shared" si="1"/>
        <v>171</v>
      </c>
    </row>
    <row r="39" spans="2:20" ht="23.1" customHeight="1" x14ac:dyDescent="0.25">
      <c r="B39" s="24" t="s">
        <v>66</v>
      </c>
      <c r="C39" s="50">
        <v>23</v>
      </c>
      <c r="D39" s="50">
        <v>2</v>
      </c>
      <c r="E39" s="50">
        <v>3</v>
      </c>
      <c r="F39" s="50">
        <v>36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86</v>
      </c>
      <c r="N39" s="50">
        <v>0</v>
      </c>
      <c r="O39" s="15">
        <f t="shared" si="0"/>
        <v>65</v>
      </c>
      <c r="P39" s="15">
        <f t="shared" si="1"/>
        <v>151</v>
      </c>
    </row>
    <row r="40" spans="2:20" ht="23.1" customHeight="1" x14ac:dyDescent="0.25">
      <c r="B40" s="24" t="s">
        <v>67</v>
      </c>
      <c r="C40" s="50">
        <v>38</v>
      </c>
      <c r="D40" s="50">
        <v>4</v>
      </c>
      <c r="E40" s="50">
        <v>6</v>
      </c>
      <c r="F40" s="50">
        <v>48</v>
      </c>
      <c r="G40" s="50">
        <v>0</v>
      </c>
      <c r="H40" s="50">
        <v>3</v>
      </c>
      <c r="I40" s="50">
        <v>0</v>
      </c>
      <c r="J40" s="50">
        <v>5</v>
      </c>
      <c r="K40" s="50">
        <v>1</v>
      </c>
      <c r="L40" s="50">
        <v>0</v>
      </c>
      <c r="M40" s="50">
        <v>82</v>
      </c>
      <c r="N40" s="50">
        <v>0</v>
      </c>
      <c r="O40" s="15">
        <f t="shared" si="0"/>
        <v>105</v>
      </c>
      <c r="P40" s="15">
        <f t="shared" si="1"/>
        <v>187</v>
      </c>
    </row>
    <row r="41" spans="2:20" ht="23.1" customHeight="1" x14ac:dyDescent="0.25">
      <c r="B41" s="23" t="s">
        <v>68</v>
      </c>
      <c r="C41" s="50">
        <v>51</v>
      </c>
      <c r="D41" s="50">
        <v>2</v>
      </c>
      <c r="E41" s="50">
        <v>4</v>
      </c>
      <c r="F41" s="50">
        <v>63</v>
      </c>
      <c r="G41" s="50">
        <v>2</v>
      </c>
      <c r="H41" s="50">
        <v>1</v>
      </c>
      <c r="I41" s="50">
        <v>3</v>
      </c>
      <c r="J41" s="50">
        <v>2</v>
      </c>
      <c r="K41" s="50">
        <v>0</v>
      </c>
      <c r="L41" s="50">
        <v>0</v>
      </c>
      <c r="M41" s="50">
        <v>68</v>
      </c>
      <c r="N41" s="50">
        <v>0</v>
      </c>
      <c r="O41" s="15">
        <f t="shared" si="0"/>
        <v>128</v>
      </c>
      <c r="P41" s="15">
        <f t="shared" si="1"/>
        <v>196</v>
      </c>
    </row>
    <row r="42" spans="2:20" ht="23.1" customHeight="1" x14ac:dyDescent="0.25">
      <c r="B42" s="24" t="s">
        <v>69</v>
      </c>
      <c r="C42" s="50">
        <v>48</v>
      </c>
      <c r="D42" s="50">
        <v>2</v>
      </c>
      <c r="E42" s="50">
        <v>4</v>
      </c>
      <c r="F42" s="50">
        <v>51</v>
      </c>
      <c r="G42" s="50">
        <v>1</v>
      </c>
      <c r="H42" s="50">
        <v>3</v>
      </c>
      <c r="I42" s="50">
        <v>4</v>
      </c>
      <c r="J42" s="50">
        <v>1</v>
      </c>
      <c r="K42" s="50">
        <v>0</v>
      </c>
      <c r="L42" s="50">
        <v>0</v>
      </c>
      <c r="M42" s="50">
        <v>123</v>
      </c>
      <c r="N42" s="50">
        <v>0</v>
      </c>
      <c r="O42" s="15">
        <f t="shared" si="0"/>
        <v>114</v>
      </c>
      <c r="P42" s="15">
        <f t="shared" si="1"/>
        <v>237</v>
      </c>
    </row>
    <row r="43" spans="2:20" ht="23.1" customHeight="1" x14ac:dyDescent="0.25">
      <c r="B43" s="23" t="s">
        <v>70</v>
      </c>
      <c r="C43" s="50">
        <v>51</v>
      </c>
      <c r="D43" s="50">
        <v>4</v>
      </c>
      <c r="E43" s="50">
        <v>3</v>
      </c>
      <c r="F43" s="50">
        <v>48</v>
      </c>
      <c r="G43" s="50">
        <v>0</v>
      </c>
      <c r="H43" s="50">
        <v>2</v>
      </c>
      <c r="I43" s="50">
        <v>6</v>
      </c>
      <c r="J43" s="50">
        <v>2</v>
      </c>
      <c r="K43" s="50">
        <v>0</v>
      </c>
      <c r="L43" s="50">
        <v>0</v>
      </c>
      <c r="M43" s="50">
        <v>78</v>
      </c>
      <c r="N43" s="50">
        <v>0</v>
      </c>
      <c r="O43" s="15">
        <f t="shared" si="0"/>
        <v>116</v>
      </c>
      <c r="P43" s="15">
        <f t="shared" si="1"/>
        <v>194</v>
      </c>
    </row>
    <row r="44" spans="2:20" ht="23.1" customHeight="1" x14ac:dyDescent="0.25">
      <c r="B44" s="25" t="s">
        <v>71</v>
      </c>
      <c r="C44" s="50">
        <v>36</v>
      </c>
      <c r="D44" s="50">
        <v>2</v>
      </c>
      <c r="E44" s="50">
        <v>2</v>
      </c>
      <c r="F44" s="50">
        <v>76</v>
      </c>
      <c r="G44" s="50">
        <v>1</v>
      </c>
      <c r="H44" s="50">
        <v>0</v>
      </c>
      <c r="I44" s="50">
        <v>1</v>
      </c>
      <c r="J44" s="50">
        <v>2</v>
      </c>
      <c r="K44" s="50">
        <v>0</v>
      </c>
      <c r="L44" s="50">
        <v>1</v>
      </c>
      <c r="M44" s="50">
        <v>136</v>
      </c>
      <c r="N44" s="50">
        <v>0</v>
      </c>
      <c r="O44" s="15">
        <f t="shared" si="0"/>
        <v>121</v>
      </c>
      <c r="P44" s="15">
        <f t="shared" si="1"/>
        <v>257</v>
      </c>
    </row>
    <row r="45" spans="2:20" ht="23.1" customHeight="1" x14ac:dyDescent="0.25">
      <c r="B45" s="23" t="s">
        <v>72</v>
      </c>
      <c r="C45" s="50">
        <v>44</v>
      </c>
      <c r="D45" s="50">
        <v>1</v>
      </c>
      <c r="E45" s="50">
        <v>3</v>
      </c>
      <c r="F45" s="50">
        <v>43</v>
      </c>
      <c r="G45" s="50">
        <v>3</v>
      </c>
      <c r="H45" s="50">
        <v>2</v>
      </c>
      <c r="I45" s="50">
        <v>4</v>
      </c>
      <c r="J45" s="50">
        <v>2</v>
      </c>
      <c r="K45" s="50">
        <v>0</v>
      </c>
      <c r="L45" s="50">
        <v>0</v>
      </c>
      <c r="M45" s="50">
        <v>143</v>
      </c>
      <c r="N45" s="50">
        <v>0</v>
      </c>
      <c r="O45" s="15">
        <f t="shared" si="0"/>
        <v>102</v>
      </c>
      <c r="P45" s="15">
        <f t="shared" si="1"/>
        <v>245</v>
      </c>
    </row>
    <row r="46" spans="2:20" ht="23.1" customHeight="1" x14ac:dyDescent="0.25">
      <c r="B46" s="24" t="s">
        <v>73</v>
      </c>
      <c r="C46" s="50">
        <v>51</v>
      </c>
      <c r="D46" s="50">
        <v>2</v>
      </c>
      <c r="E46" s="50">
        <v>4</v>
      </c>
      <c r="F46" s="50">
        <v>62</v>
      </c>
      <c r="G46" s="50">
        <v>2</v>
      </c>
      <c r="H46" s="50">
        <v>0</v>
      </c>
      <c r="I46" s="50">
        <v>5</v>
      </c>
      <c r="J46" s="50">
        <v>2</v>
      </c>
      <c r="K46" s="50">
        <v>0</v>
      </c>
      <c r="L46" s="50">
        <v>2</v>
      </c>
      <c r="M46" s="50">
        <v>176</v>
      </c>
      <c r="N46" s="50">
        <v>0</v>
      </c>
      <c r="O46" s="15">
        <f t="shared" si="0"/>
        <v>130</v>
      </c>
      <c r="P46" s="15">
        <f t="shared" si="1"/>
        <v>306</v>
      </c>
      <c r="R46" s="8"/>
      <c r="T46"/>
    </row>
    <row r="47" spans="2:20" ht="23.1" customHeight="1" x14ac:dyDescent="0.25">
      <c r="B47" s="24" t="s">
        <v>74</v>
      </c>
      <c r="C47" s="50">
        <v>62</v>
      </c>
      <c r="D47" s="50">
        <v>2</v>
      </c>
      <c r="E47" s="50">
        <v>4</v>
      </c>
      <c r="F47" s="50">
        <v>69</v>
      </c>
      <c r="G47" s="50">
        <v>2</v>
      </c>
      <c r="H47" s="50">
        <v>1</v>
      </c>
      <c r="I47" s="50">
        <v>1</v>
      </c>
      <c r="J47" s="50">
        <v>3</v>
      </c>
      <c r="K47" s="50">
        <v>0</v>
      </c>
      <c r="L47" s="50">
        <v>1</v>
      </c>
      <c r="M47" s="50">
        <v>181</v>
      </c>
      <c r="N47" s="50">
        <v>0</v>
      </c>
      <c r="O47" s="15">
        <f t="shared" si="0"/>
        <v>145</v>
      </c>
      <c r="P47" s="15">
        <f t="shared" si="1"/>
        <v>326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1</v>
      </c>
      <c r="E48" s="50">
        <v>4</v>
      </c>
      <c r="F48" s="50">
        <v>61</v>
      </c>
      <c r="G48" s="50">
        <v>2</v>
      </c>
      <c r="H48" s="50">
        <v>1</v>
      </c>
      <c r="I48" s="50">
        <v>3</v>
      </c>
      <c r="J48" s="50">
        <v>1</v>
      </c>
      <c r="K48" s="50">
        <v>1</v>
      </c>
      <c r="L48" s="50">
        <v>0</v>
      </c>
      <c r="M48" s="50">
        <v>162</v>
      </c>
      <c r="N48" s="50">
        <v>0</v>
      </c>
      <c r="O48" s="15">
        <f t="shared" si="0"/>
        <v>125</v>
      </c>
      <c r="P48" s="15">
        <f t="shared" si="1"/>
        <v>287</v>
      </c>
      <c r="R48" s="8"/>
      <c r="T48"/>
    </row>
    <row r="49" spans="2:20" ht="23.1" customHeight="1" x14ac:dyDescent="0.25">
      <c r="B49" s="23" t="s">
        <v>76</v>
      </c>
      <c r="C49" s="50">
        <v>54</v>
      </c>
      <c r="D49" s="50">
        <v>8</v>
      </c>
      <c r="E49" s="50">
        <v>2</v>
      </c>
      <c r="F49" s="50">
        <v>46</v>
      </c>
      <c r="G49" s="50">
        <v>1</v>
      </c>
      <c r="H49" s="50">
        <v>1</v>
      </c>
      <c r="I49" s="50">
        <v>3</v>
      </c>
      <c r="J49" s="50">
        <v>0</v>
      </c>
      <c r="K49" s="50">
        <v>2</v>
      </c>
      <c r="L49" s="50">
        <v>0</v>
      </c>
      <c r="M49" s="50">
        <v>178</v>
      </c>
      <c r="N49" s="50">
        <v>0</v>
      </c>
      <c r="O49" s="15">
        <f t="shared" si="0"/>
        <v>117</v>
      </c>
      <c r="P49" s="15">
        <f t="shared" si="1"/>
        <v>295</v>
      </c>
      <c r="R49" s="8"/>
      <c r="T49"/>
    </row>
    <row r="50" spans="2:20" ht="23.1" customHeight="1" x14ac:dyDescent="0.25">
      <c r="B50" s="24" t="s">
        <v>77</v>
      </c>
      <c r="C50" s="50">
        <v>68</v>
      </c>
      <c r="D50" s="50">
        <v>6</v>
      </c>
      <c r="E50" s="50">
        <v>2</v>
      </c>
      <c r="F50" s="50">
        <v>43</v>
      </c>
      <c r="G50" s="50">
        <v>1</v>
      </c>
      <c r="H50" s="50">
        <v>2</v>
      </c>
      <c r="I50" s="50">
        <v>2</v>
      </c>
      <c r="J50" s="50">
        <v>0</v>
      </c>
      <c r="K50" s="50">
        <v>0</v>
      </c>
      <c r="L50" s="50">
        <v>0</v>
      </c>
      <c r="M50" s="50">
        <v>173</v>
      </c>
      <c r="N50" s="50">
        <v>0</v>
      </c>
      <c r="O50" s="15">
        <f t="shared" si="0"/>
        <v>124</v>
      </c>
      <c r="P50" s="15">
        <f t="shared" si="1"/>
        <v>297</v>
      </c>
      <c r="R50" s="8"/>
      <c r="T50"/>
    </row>
    <row r="51" spans="2:20" ht="23.1" customHeight="1" x14ac:dyDescent="0.25">
      <c r="B51" s="24" t="s">
        <v>78</v>
      </c>
      <c r="C51" s="50">
        <v>36</v>
      </c>
      <c r="D51" s="50">
        <v>4</v>
      </c>
      <c r="E51" s="50">
        <v>9</v>
      </c>
      <c r="F51" s="50">
        <v>32</v>
      </c>
      <c r="G51" s="50">
        <v>2</v>
      </c>
      <c r="H51" s="50">
        <v>0</v>
      </c>
      <c r="I51" s="50">
        <v>3</v>
      </c>
      <c r="J51" s="50">
        <v>2</v>
      </c>
      <c r="K51" s="50">
        <v>0</v>
      </c>
      <c r="L51" s="50">
        <v>0</v>
      </c>
      <c r="M51" s="50">
        <v>128</v>
      </c>
      <c r="N51" s="50">
        <v>0</v>
      </c>
      <c r="O51" s="15">
        <f t="shared" si="0"/>
        <v>88</v>
      </c>
      <c r="P51" s="15">
        <f t="shared" si="1"/>
        <v>216</v>
      </c>
      <c r="R51" s="8"/>
      <c r="T51"/>
    </row>
    <row r="52" spans="2:20" ht="23.1" customHeight="1" x14ac:dyDescent="0.25">
      <c r="B52" s="24" t="s">
        <v>79</v>
      </c>
      <c r="C52" s="50">
        <v>48</v>
      </c>
      <c r="D52" s="50">
        <v>4</v>
      </c>
      <c r="E52" s="50">
        <v>3</v>
      </c>
      <c r="F52" s="50">
        <v>43</v>
      </c>
      <c r="G52" s="50">
        <v>3</v>
      </c>
      <c r="H52" s="50">
        <v>3</v>
      </c>
      <c r="I52" s="50">
        <v>5</v>
      </c>
      <c r="J52" s="50">
        <v>1</v>
      </c>
      <c r="K52" s="50">
        <v>0</v>
      </c>
      <c r="L52" s="50">
        <v>0</v>
      </c>
      <c r="M52" s="50">
        <v>174</v>
      </c>
      <c r="N52" s="50">
        <v>0</v>
      </c>
      <c r="O52" s="15">
        <f t="shared" si="0"/>
        <v>110</v>
      </c>
      <c r="P52" s="15">
        <f t="shared" si="1"/>
        <v>284</v>
      </c>
      <c r="R52" s="8"/>
      <c r="T52"/>
    </row>
    <row r="53" spans="2:20" ht="23.1" customHeight="1" x14ac:dyDescent="0.25">
      <c r="B53" s="23" t="s">
        <v>80</v>
      </c>
      <c r="C53" s="50">
        <v>73</v>
      </c>
      <c r="D53" s="50">
        <v>4</v>
      </c>
      <c r="E53" s="50">
        <v>5</v>
      </c>
      <c r="F53" s="50">
        <v>52</v>
      </c>
      <c r="G53" s="50">
        <v>10</v>
      </c>
      <c r="H53" s="50">
        <v>1</v>
      </c>
      <c r="I53" s="50">
        <v>3</v>
      </c>
      <c r="J53" s="50">
        <v>1</v>
      </c>
      <c r="K53" s="50">
        <v>2</v>
      </c>
      <c r="L53" s="50">
        <v>0</v>
      </c>
      <c r="M53" s="50">
        <v>215</v>
      </c>
      <c r="N53" s="50">
        <v>0</v>
      </c>
      <c r="O53" s="15">
        <f t="shared" si="0"/>
        <v>151</v>
      </c>
      <c r="P53" s="15">
        <f t="shared" si="1"/>
        <v>366</v>
      </c>
      <c r="R53" s="8"/>
      <c r="T53"/>
    </row>
    <row r="54" spans="2:20" ht="23.1" customHeight="1" x14ac:dyDescent="0.25">
      <c r="B54" s="23" t="s">
        <v>81</v>
      </c>
      <c r="C54" s="50">
        <v>89</v>
      </c>
      <c r="D54" s="50">
        <v>8</v>
      </c>
      <c r="E54" s="50">
        <v>11</v>
      </c>
      <c r="F54" s="50">
        <v>61</v>
      </c>
      <c r="G54" s="50">
        <v>4</v>
      </c>
      <c r="H54" s="50">
        <v>0</v>
      </c>
      <c r="I54" s="50">
        <v>2</v>
      </c>
      <c r="J54" s="50">
        <v>3</v>
      </c>
      <c r="K54" s="50">
        <v>0</v>
      </c>
      <c r="L54" s="50">
        <v>0</v>
      </c>
      <c r="M54" s="50">
        <v>275</v>
      </c>
      <c r="N54" s="50">
        <v>0</v>
      </c>
      <c r="O54" s="15">
        <f t="shared" si="0"/>
        <v>178</v>
      </c>
      <c r="P54" s="15">
        <f t="shared" si="1"/>
        <v>453</v>
      </c>
      <c r="R54" s="8"/>
      <c r="T54"/>
    </row>
    <row r="55" spans="2:20" ht="23.1" customHeight="1" x14ac:dyDescent="0.25">
      <c r="B55" s="23" t="s">
        <v>82</v>
      </c>
      <c r="C55" s="50">
        <v>67</v>
      </c>
      <c r="D55" s="50">
        <v>9</v>
      </c>
      <c r="E55" s="50">
        <v>7</v>
      </c>
      <c r="F55" s="50">
        <v>46</v>
      </c>
      <c r="G55" s="50">
        <v>3</v>
      </c>
      <c r="H55" s="50">
        <v>1</v>
      </c>
      <c r="I55" s="50">
        <v>6</v>
      </c>
      <c r="J55" s="50">
        <v>2</v>
      </c>
      <c r="K55" s="50">
        <v>2</v>
      </c>
      <c r="L55" s="50">
        <v>0</v>
      </c>
      <c r="M55" s="50">
        <v>173</v>
      </c>
      <c r="N55" s="50">
        <v>0</v>
      </c>
      <c r="O55" s="15">
        <f t="shared" si="0"/>
        <v>143</v>
      </c>
      <c r="P55" s="15">
        <f t="shared" si="1"/>
        <v>316</v>
      </c>
      <c r="R55" s="8"/>
      <c r="T55"/>
    </row>
    <row r="56" spans="2:20" ht="23.1" customHeight="1" x14ac:dyDescent="0.25">
      <c r="B56" s="23" t="s">
        <v>83</v>
      </c>
      <c r="C56" s="50">
        <v>44</v>
      </c>
      <c r="D56" s="50">
        <v>3</v>
      </c>
      <c r="E56" s="50">
        <v>6</v>
      </c>
      <c r="F56" s="50">
        <v>42</v>
      </c>
      <c r="G56" s="50">
        <v>2</v>
      </c>
      <c r="H56" s="50">
        <v>0</v>
      </c>
      <c r="I56" s="50">
        <v>3</v>
      </c>
      <c r="J56" s="50">
        <v>2</v>
      </c>
      <c r="K56" s="50">
        <v>1</v>
      </c>
      <c r="L56" s="50">
        <v>1</v>
      </c>
      <c r="M56" s="50">
        <v>220</v>
      </c>
      <c r="N56" s="50">
        <v>0</v>
      </c>
      <c r="O56" s="15">
        <f t="shared" si="0"/>
        <v>104</v>
      </c>
      <c r="P56" s="15">
        <f t="shared" si="1"/>
        <v>324</v>
      </c>
      <c r="R56" s="8"/>
      <c r="T56"/>
    </row>
    <row r="57" spans="2:20" ht="23.1" customHeight="1" x14ac:dyDescent="0.25">
      <c r="B57" s="23" t="s">
        <v>84</v>
      </c>
      <c r="C57" s="50">
        <v>32</v>
      </c>
      <c r="D57" s="50">
        <v>8</v>
      </c>
      <c r="E57" s="50">
        <v>3</v>
      </c>
      <c r="F57" s="50">
        <v>33</v>
      </c>
      <c r="G57" s="50">
        <v>2</v>
      </c>
      <c r="H57" s="50">
        <v>1</v>
      </c>
      <c r="I57" s="50">
        <v>6</v>
      </c>
      <c r="J57" s="50">
        <v>3</v>
      </c>
      <c r="K57" s="50">
        <v>0</v>
      </c>
      <c r="L57" s="50">
        <v>1</v>
      </c>
      <c r="M57" s="50">
        <v>220</v>
      </c>
      <c r="N57" s="50">
        <v>0</v>
      </c>
      <c r="O57" s="15">
        <f t="shared" si="0"/>
        <v>89</v>
      </c>
      <c r="P57" s="15">
        <f t="shared" si="1"/>
        <v>309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2006</v>
      </c>
      <c r="D58" s="16">
        <f t="shared" si="21"/>
        <v>170</v>
      </c>
      <c r="E58" s="16">
        <f t="shared" si="21"/>
        <v>196</v>
      </c>
      <c r="F58" s="16">
        <f t="shared" si="21"/>
        <v>2396</v>
      </c>
      <c r="G58" s="16">
        <f t="shared" si="21"/>
        <v>84</v>
      </c>
      <c r="H58" s="16">
        <f t="shared" si="21"/>
        <v>69</v>
      </c>
      <c r="I58" s="16">
        <f t="shared" si="21"/>
        <v>121</v>
      </c>
      <c r="J58" s="16">
        <f t="shared" si="21"/>
        <v>86</v>
      </c>
      <c r="K58" s="16">
        <f t="shared" si="21"/>
        <v>16</v>
      </c>
      <c r="L58" s="16">
        <f t="shared" si="21"/>
        <v>10</v>
      </c>
      <c r="M58" s="16">
        <f t="shared" si="21"/>
        <v>6880</v>
      </c>
      <c r="N58" s="16">
        <f t="shared" si="21"/>
        <v>0</v>
      </c>
      <c r="O58" s="16">
        <f t="shared" si="21"/>
        <v>5154</v>
      </c>
      <c r="P58" s="16">
        <f t="shared" si="21"/>
        <v>12034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0.16669436596310452</v>
      </c>
      <c r="D59" s="43">
        <f t="shared" si="22"/>
        <v>1.4126641183313944E-2</v>
      </c>
      <c r="E59" s="43">
        <f t="shared" si="22"/>
        <v>1.6287186305467841E-2</v>
      </c>
      <c r="F59" s="43">
        <f t="shared" si="22"/>
        <v>0.19910254279541301</v>
      </c>
      <c r="G59" s="43">
        <f t="shared" si="22"/>
        <v>6.9802227023433609E-3</v>
      </c>
      <c r="H59" s="43">
        <f t="shared" si="22"/>
        <v>5.7337543626391893E-3</v>
      </c>
      <c r="I59" s="43">
        <f t="shared" si="22"/>
        <v>1.0054844606946984E-2</v>
      </c>
      <c r="J59" s="43">
        <f t="shared" si="22"/>
        <v>7.1464184809705835E-3</v>
      </c>
      <c r="K59" s="43">
        <f t="shared" si="22"/>
        <v>1.3295662290177829E-3</v>
      </c>
      <c r="L59" s="43">
        <f t="shared" si="22"/>
        <v>8.3097889313611434E-4</v>
      </c>
      <c r="M59" s="43">
        <f t="shared" si="22"/>
        <v>0.57171347847764664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0.38921226232052775</v>
      </c>
      <c r="D60" s="44">
        <f t="shared" ref="D60:N60" si="23">D58/$O$58</f>
        <v>3.2984090027163369E-2</v>
      </c>
      <c r="E60" s="44">
        <f t="shared" si="23"/>
        <v>3.802871556072953E-2</v>
      </c>
      <c r="F60" s="44">
        <f t="shared" si="23"/>
        <v>0.46488164532402015</v>
      </c>
      <c r="G60" s="44">
        <f t="shared" si="23"/>
        <v>1.6298020954598369E-2</v>
      </c>
      <c r="H60" s="44">
        <f t="shared" si="23"/>
        <v>1.3387660069848661E-2</v>
      </c>
      <c r="I60" s="44">
        <f t="shared" si="23"/>
        <v>2.3476911136980985E-2</v>
      </c>
      <c r="J60" s="44">
        <f t="shared" si="23"/>
        <v>1.6686069072564997E-2</v>
      </c>
      <c r="K60" s="44">
        <f t="shared" si="23"/>
        <v>3.1043849437330227E-3</v>
      </c>
      <c r="L60" s="44">
        <f t="shared" si="23"/>
        <v>1.9402405898331393E-3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52" t="str">
        <f>'25.07 Rubaga-natete'!G5:H5</f>
        <v>Total Wakaliga</v>
      </c>
      <c r="H5" s="53"/>
      <c r="I5" s="14"/>
      <c r="J5" s="2" t="s">
        <v>5</v>
      </c>
      <c r="K5" s="52" t="s">
        <v>174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Natete-Rubaga'!D6:E6</f>
        <v>Natete</v>
      </c>
      <c r="E6" s="53"/>
      <c r="F6" s="2" t="s">
        <v>2</v>
      </c>
      <c r="G6" s="52" t="str">
        <f>'22.07 Natete-Rubaga'!G6:H6</f>
        <v>Rubaga</v>
      </c>
      <c r="H6" s="53"/>
      <c r="J6" s="2" t="s">
        <v>21</v>
      </c>
      <c r="K6" s="52" t="str">
        <f>'25.07 Rubaga-natete'!K6:L6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73</v>
      </c>
      <c r="D10" s="50">
        <v>23</v>
      </c>
      <c r="E10" s="50">
        <v>12</v>
      </c>
      <c r="F10" s="50">
        <v>83</v>
      </c>
      <c r="G10" s="50">
        <v>1</v>
      </c>
      <c r="H10" s="50">
        <v>1</v>
      </c>
      <c r="I10" s="50">
        <v>2</v>
      </c>
      <c r="J10" s="50">
        <v>3</v>
      </c>
      <c r="K10" s="50">
        <v>0</v>
      </c>
      <c r="L10" s="50">
        <v>0</v>
      </c>
      <c r="M10" s="50">
        <v>303</v>
      </c>
      <c r="N10" s="50">
        <v>0</v>
      </c>
      <c r="O10" s="15">
        <f t="shared" ref="O10:O57" si="0">SUM(C10:L10,N10)</f>
        <v>198</v>
      </c>
      <c r="P10" s="15">
        <f t="shared" ref="P10:P57" si="1">SUM(C10:N10)</f>
        <v>501</v>
      </c>
      <c r="R10" s="1" t="s">
        <v>6</v>
      </c>
      <c r="S10" s="17">
        <f t="shared" ref="S10:AF10" si="2">SUM(C10:C13)</f>
        <v>213</v>
      </c>
      <c r="T10" s="17">
        <f t="shared" si="2"/>
        <v>77</v>
      </c>
      <c r="U10" s="17">
        <f t="shared" si="2"/>
        <v>49</v>
      </c>
      <c r="V10" s="17">
        <f t="shared" si="2"/>
        <v>303</v>
      </c>
      <c r="W10" s="17">
        <f t="shared" si="2"/>
        <v>9</v>
      </c>
      <c r="X10" s="17">
        <f t="shared" si="2"/>
        <v>2</v>
      </c>
      <c r="Y10" s="17">
        <f t="shared" si="2"/>
        <v>15</v>
      </c>
      <c r="Z10" s="17">
        <f t="shared" si="2"/>
        <v>8</v>
      </c>
      <c r="AA10" s="17">
        <f t="shared" si="2"/>
        <v>0</v>
      </c>
      <c r="AB10" s="17">
        <f t="shared" si="2"/>
        <v>0</v>
      </c>
      <c r="AC10" s="17">
        <f t="shared" si="2"/>
        <v>1682</v>
      </c>
      <c r="AD10" s="17">
        <f t="shared" si="2"/>
        <v>0</v>
      </c>
      <c r="AE10" s="31">
        <f t="shared" si="2"/>
        <v>676</v>
      </c>
      <c r="AF10" s="31">
        <f t="shared" si="2"/>
        <v>2358</v>
      </c>
    </row>
    <row r="11" spans="2:32" s="6" customFormat="1" ht="23.1" customHeight="1" x14ac:dyDescent="0.25">
      <c r="B11" s="45" t="s">
        <v>38</v>
      </c>
      <c r="C11" s="50">
        <v>68</v>
      </c>
      <c r="D11" s="50">
        <v>22</v>
      </c>
      <c r="E11" s="50">
        <v>13</v>
      </c>
      <c r="F11" s="50">
        <v>63</v>
      </c>
      <c r="G11" s="50">
        <v>2</v>
      </c>
      <c r="H11" s="50">
        <v>1</v>
      </c>
      <c r="I11" s="50">
        <v>1</v>
      </c>
      <c r="J11" s="50">
        <v>3</v>
      </c>
      <c r="K11" s="50">
        <v>0</v>
      </c>
      <c r="L11" s="50">
        <v>0</v>
      </c>
      <c r="M11" s="50">
        <v>418</v>
      </c>
      <c r="N11" s="50">
        <v>0</v>
      </c>
      <c r="O11" s="15">
        <f t="shared" si="0"/>
        <v>173</v>
      </c>
      <c r="P11" s="15">
        <f t="shared" si="1"/>
        <v>591</v>
      </c>
      <c r="R11" s="1" t="s">
        <v>7</v>
      </c>
      <c r="S11" s="17">
        <f t="shared" ref="S11:AF11" si="3">SUM(C14:C17)</f>
        <v>160</v>
      </c>
      <c r="T11" s="17">
        <f t="shared" si="3"/>
        <v>56</v>
      </c>
      <c r="U11" s="17">
        <f t="shared" si="3"/>
        <v>39</v>
      </c>
      <c r="V11" s="17">
        <f t="shared" si="3"/>
        <v>240</v>
      </c>
      <c r="W11" s="17">
        <f t="shared" si="3"/>
        <v>4</v>
      </c>
      <c r="X11" s="17">
        <f t="shared" si="3"/>
        <v>2</v>
      </c>
      <c r="Y11" s="17">
        <f t="shared" si="3"/>
        <v>6</v>
      </c>
      <c r="Z11" s="17">
        <f t="shared" si="3"/>
        <v>4</v>
      </c>
      <c r="AA11" s="17">
        <f t="shared" si="3"/>
        <v>4</v>
      </c>
      <c r="AB11" s="17">
        <f t="shared" si="3"/>
        <v>1</v>
      </c>
      <c r="AC11" s="17">
        <f t="shared" si="3"/>
        <v>1123</v>
      </c>
      <c r="AD11" s="17">
        <f t="shared" si="3"/>
        <v>0</v>
      </c>
      <c r="AE11" s="31">
        <f t="shared" si="3"/>
        <v>516</v>
      </c>
      <c r="AF11" s="31">
        <f t="shared" si="3"/>
        <v>1639</v>
      </c>
    </row>
    <row r="12" spans="2:32" ht="23.1" customHeight="1" x14ac:dyDescent="0.25">
      <c r="B12" s="45" t="s">
        <v>39</v>
      </c>
      <c r="C12" s="50">
        <v>35</v>
      </c>
      <c r="D12" s="50">
        <v>18</v>
      </c>
      <c r="E12" s="50">
        <v>18</v>
      </c>
      <c r="F12" s="50">
        <v>83</v>
      </c>
      <c r="G12" s="50">
        <v>5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479</v>
      </c>
      <c r="N12" s="50">
        <v>0</v>
      </c>
      <c r="O12" s="15">
        <f t="shared" si="0"/>
        <v>164</v>
      </c>
      <c r="P12" s="15">
        <f t="shared" si="1"/>
        <v>643</v>
      </c>
      <c r="R12" s="1" t="s">
        <v>8</v>
      </c>
      <c r="S12" s="17">
        <f t="shared" ref="S12:AF12" si="4">SUM(C18:C21)</f>
        <v>160</v>
      </c>
      <c r="T12" s="17">
        <f t="shared" si="4"/>
        <v>49</v>
      </c>
      <c r="U12" s="17">
        <f t="shared" si="4"/>
        <v>30</v>
      </c>
      <c r="V12" s="17">
        <f t="shared" si="4"/>
        <v>234</v>
      </c>
      <c r="W12" s="17">
        <f t="shared" si="4"/>
        <v>3</v>
      </c>
      <c r="X12" s="17">
        <f t="shared" si="4"/>
        <v>4</v>
      </c>
      <c r="Y12" s="17">
        <f t="shared" si="4"/>
        <v>10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1116</v>
      </c>
      <c r="AD12" s="17">
        <f t="shared" si="4"/>
        <v>0</v>
      </c>
      <c r="AE12" s="31">
        <f t="shared" si="4"/>
        <v>496</v>
      </c>
      <c r="AF12" s="31">
        <f t="shared" si="4"/>
        <v>1612</v>
      </c>
    </row>
    <row r="13" spans="2:32" ht="23.1" customHeight="1" x14ac:dyDescent="0.25">
      <c r="B13" s="45" t="s">
        <v>40</v>
      </c>
      <c r="C13" s="50">
        <v>37</v>
      </c>
      <c r="D13" s="50">
        <v>14</v>
      </c>
      <c r="E13" s="50">
        <v>6</v>
      </c>
      <c r="F13" s="50">
        <v>74</v>
      </c>
      <c r="G13" s="50">
        <v>1</v>
      </c>
      <c r="H13" s="50">
        <v>0</v>
      </c>
      <c r="I13" s="50">
        <v>8</v>
      </c>
      <c r="J13" s="50">
        <v>1</v>
      </c>
      <c r="K13" s="50">
        <v>0</v>
      </c>
      <c r="L13" s="50">
        <v>0</v>
      </c>
      <c r="M13" s="50">
        <v>482</v>
      </c>
      <c r="N13" s="50">
        <v>0</v>
      </c>
      <c r="O13" s="15">
        <f t="shared" si="0"/>
        <v>141</v>
      </c>
      <c r="P13" s="15">
        <f t="shared" si="1"/>
        <v>623</v>
      </c>
      <c r="R13" s="1" t="s">
        <v>9</v>
      </c>
      <c r="S13" s="17">
        <f t="shared" ref="S13:AF13" si="5">SUM(C22:C25)</f>
        <v>134</v>
      </c>
      <c r="T13" s="17">
        <f t="shared" si="5"/>
        <v>44</v>
      </c>
      <c r="U13" s="17">
        <f t="shared" si="5"/>
        <v>30</v>
      </c>
      <c r="V13" s="17">
        <f t="shared" si="5"/>
        <v>172</v>
      </c>
      <c r="W13" s="17">
        <f t="shared" si="5"/>
        <v>9</v>
      </c>
      <c r="X13" s="17">
        <f t="shared" si="5"/>
        <v>1</v>
      </c>
      <c r="Y13" s="17">
        <f t="shared" si="5"/>
        <v>14</v>
      </c>
      <c r="Z13" s="17">
        <f t="shared" si="5"/>
        <v>8</v>
      </c>
      <c r="AA13" s="17">
        <f t="shared" si="5"/>
        <v>4</v>
      </c>
      <c r="AB13" s="17">
        <f t="shared" si="5"/>
        <v>0</v>
      </c>
      <c r="AC13" s="17">
        <f t="shared" si="5"/>
        <v>653</v>
      </c>
      <c r="AD13" s="17">
        <f t="shared" si="5"/>
        <v>0</v>
      </c>
      <c r="AE13" s="31">
        <f t="shared" si="5"/>
        <v>416</v>
      </c>
      <c r="AF13" s="31">
        <f t="shared" si="5"/>
        <v>1069</v>
      </c>
    </row>
    <row r="14" spans="2:32" ht="23.1" customHeight="1" x14ac:dyDescent="0.25">
      <c r="B14" s="45" t="s">
        <v>41</v>
      </c>
      <c r="C14" s="50">
        <v>38</v>
      </c>
      <c r="D14" s="50">
        <v>16</v>
      </c>
      <c r="E14" s="50">
        <v>7</v>
      </c>
      <c r="F14" s="50">
        <v>27</v>
      </c>
      <c r="G14" s="50">
        <v>1</v>
      </c>
      <c r="H14" s="50">
        <v>1</v>
      </c>
      <c r="I14" s="50">
        <v>0</v>
      </c>
      <c r="J14" s="50">
        <v>2</v>
      </c>
      <c r="K14" s="50">
        <v>0</v>
      </c>
      <c r="L14" s="50">
        <v>0</v>
      </c>
      <c r="M14" s="50">
        <v>276</v>
      </c>
      <c r="N14" s="50">
        <v>0</v>
      </c>
      <c r="O14" s="15">
        <f t="shared" si="0"/>
        <v>92</v>
      </c>
      <c r="P14" s="15">
        <f t="shared" si="1"/>
        <v>368</v>
      </c>
      <c r="R14" s="1" t="s">
        <v>10</v>
      </c>
      <c r="S14" s="17">
        <f t="shared" ref="S14:AF14" si="6">SUM(C26:C29)</f>
        <v>129</v>
      </c>
      <c r="T14" s="17">
        <f t="shared" si="6"/>
        <v>36</v>
      </c>
      <c r="U14" s="17">
        <f t="shared" si="6"/>
        <v>29</v>
      </c>
      <c r="V14" s="17">
        <f t="shared" si="6"/>
        <v>146</v>
      </c>
      <c r="W14" s="17">
        <f t="shared" si="6"/>
        <v>47</v>
      </c>
      <c r="X14" s="17">
        <f t="shared" si="6"/>
        <v>0</v>
      </c>
      <c r="Y14" s="17">
        <f t="shared" si="6"/>
        <v>10</v>
      </c>
      <c r="Z14" s="17">
        <f t="shared" si="6"/>
        <v>3</v>
      </c>
      <c r="AA14" s="17">
        <f t="shared" si="6"/>
        <v>3</v>
      </c>
      <c r="AB14" s="17">
        <f t="shared" si="6"/>
        <v>2</v>
      </c>
      <c r="AC14" s="17">
        <f t="shared" si="6"/>
        <v>605</v>
      </c>
      <c r="AD14" s="17">
        <f t="shared" si="6"/>
        <v>0</v>
      </c>
      <c r="AE14" s="31">
        <f t="shared" si="6"/>
        <v>405</v>
      </c>
      <c r="AF14" s="31">
        <f t="shared" si="6"/>
        <v>1010</v>
      </c>
    </row>
    <row r="15" spans="2:32" ht="23.1" customHeight="1" x14ac:dyDescent="0.25">
      <c r="B15" s="45" t="s">
        <v>42</v>
      </c>
      <c r="C15" s="50">
        <v>38</v>
      </c>
      <c r="D15" s="50">
        <v>11</v>
      </c>
      <c r="E15" s="50">
        <v>10</v>
      </c>
      <c r="F15" s="50">
        <v>87</v>
      </c>
      <c r="G15" s="50">
        <v>1</v>
      </c>
      <c r="H15" s="50">
        <v>0</v>
      </c>
      <c r="I15" s="50">
        <v>6</v>
      </c>
      <c r="J15" s="50">
        <v>1</v>
      </c>
      <c r="K15" s="50">
        <v>3</v>
      </c>
      <c r="L15" s="50">
        <v>0</v>
      </c>
      <c r="M15" s="50">
        <v>229</v>
      </c>
      <c r="N15" s="50">
        <v>0</v>
      </c>
      <c r="O15" s="15">
        <f t="shared" si="0"/>
        <v>157</v>
      </c>
      <c r="P15" s="15">
        <f t="shared" si="1"/>
        <v>386</v>
      </c>
      <c r="R15" s="1" t="s">
        <v>11</v>
      </c>
      <c r="S15" s="17">
        <f t="shared" ref="S15:AF15" si="7">SUM(C30:C33)</f>
        <v>105</v>
      </c>
      <c r="T15" s="17">
        <f t="shared" si="7"/>
        <v>33</v>
      </c>
      <c r="U15" s="17">
        <f t="shared" si="7"/>
        <v>24</v>
      </c>
      <c r="V15" s="17">
        <f t="shared" si="7"/>
        <v>134</v>
      </c>
      <c r="W15" s="17">
        <f t="shared" si="7"/>
        <v>5</v>
      </c>
      <c r="X15" s="17">
        <f t="shared" si="7"/>
        <v>2</v>
      </c>
      <c r="Y15" s="17">
        <f t="shared" si="7"/>
        <v>4</v>
      </c>
      <c r="Z15" s="17">
        <f t="shared" si="7"/>
        <v>5</v>
      </c>
      <c r="AA15" s="17">
        <f t="shared" si="7"/>
        <v>0</v>
      </c>
      <c r="AB15" s="17">
        <f t="shared" si="7"/>
        <v>2</v>
      </c>
      <c r="AC15" s="17">
        <f t="shared" si="7"/>
        <v>479</v>
      </c>
      <c r="AD15" s="17">
        <f t="shared" si="7"/>
        <v>0</v>
      </c>
      <c r="AE15" s="31">
        <f t="shared" si="7"/>
        <v>314</v>
      </c>
      <c r="AF15" s="31">
        <f t="shared" si="7"/>
        <v>793</v>
      </c>
    </row>
    <row r="16" spans="2:32" ht="23.1" customHeight="1" x14ac:dyDescent="0.25">
      <c r="B16" s="45" t="s">
        <v>43</v>
      </c>
      <c r="C16" s="50">
        <v>63</v>
      </c>
      <c r="D16" s="50">
        <v>18</v>
      </c>
      <c r="E16" s="50">
        <v>11</v>
      </c>
      <c r="F16" s="50">
        <v>74</v>
      </c>
      <c r="G16" s="50">
        <v>2</v>
      </c>
      <c r="H16" s="50">
        <v>1</v>
      </c>
      <c r="I16" s="50">
        <v>0</v>
      </c>
      <c r="J16" s="50">
        <v>0</v>
      </c>
      <c r="K16" s="50">
        <v>1</v>
      </c>
      <c r="L16" s="50">
        <v>1</v>
      </c>
      <c r="M16" s="50">
        <v>303</v>
      </c>
      <c r="N16" s="50">
        <v>0</v>
      </c>
      <c r="O16" s="15">
        <f t="shared" si="0"/>
        <v>171</v>
      </c>
      <c r="P16" s="15">
        <f t="shared" si="1"/>
        <v>474</v>
      </c>
      <c r="R16" s="1" t="s">
        <v>12</v>
      </c>
      <c r="S16" s="17">
        <f t="shared" ref="S16:AF16" si="8">SUM(C34:C37)</f>
        <v>104</v>
      </c>
      <c r="T16" s="17">
        <f t="shared" si="8"/>
        <v>29</v>
      </c>
      <c r="U16" s="17">
        <f t="shared" si="8"/>
        <v>15</v>
      </c>
      <c r="V16" s="17">
        <f t="shared" si="8"/>
        <v>167</v>
      </c>
      <c r="W16" s="17">
        <f t="shared" si="8"/>
        <v>1</v>
      </c>
      <c r="X16" s="17">
        <f t="shared" si="8"/>
        <v>6</v>
      </c>
      <c r="Y16" s="17">
        <f t="shared" si="8"/>
        <v>7</v>
      </c>
      <c r="Z16" s="17">
        <f t="shared" si="8"/>
        <v>3</v>
      </c>
      <c r="AA16" s="17">
        <f t="shared" si="8"/>
        <v>1</v>
      </c>
      <c r="AB16" s="17">
        <f t="shared" si="8"/>
        <v>3</v>
      </c>
      <c r="AC16" s="17">
        <f t="shared" si="8"/>
        <v>465</v>
      </c>
      <c r="AD16" s="17">
        <f t="shared" si="8"/>
        <v>0</v>
      </c>
      <c r="AE16" s="31">
        <f t="shared" si="8"/>
        <v>336</v>
      </c>
      <c r="AF16" s="31">
        <f t="shared" si="8"/>
        <v>801</v>
      </c>
    </row>
    <row r="17" spans="2:32" ht="23.1" customHeight="1" x14ac:dyDescent="0.25">
      <c r="B17" s="45" t="s">
        <v>44</v>
      </c>
      <c r="C17" s="50">
        <v>21</v>
      </c>
      <c r="D17" s="50">
        <v>11</v>
      </c>
      <c r="E17" s="50">
        <v>11</v>
      </c>
      <c r="F17" s="50">
        <v>52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315</v>
      </c>
      <c r="N17" s="50">
        <v>0</v>
      </c>
      <c r="O17" s="15">
        <f t="shared" si="0"/>
        <v>96</v>
      </c>
      <c r="P17" s="15">
        <f t="shared" si="1"/>
        <v>411</v>
      </c>
      <c r="R17" s="1" t="s">
        <v>13</v>
      </c>
      <c r="S17" s="17">
        <f t="shared" ref="S17:AF17" si="9">SUM(C38:C41)</f>
        <v>103</v>
      </c>
      <c r="T17" s="17">
        <f t="shared" si="9"/>
        <v>38</v>
      </c>
      <c r="U17" s="17">
        <f t="shared" si="9"/>
        <v>28</v>
      </c>
      <c r="V17" s="17">
        <f t="shared" si="9"/>
        <v>169</v>
      </c>
      <c r="W17" s="17">
        <f t="shared" si="9"/>
        <v>5</v>
      </c>
      <c r="X17" s="17">
        <f t="shared" si="9"/>
        <v>2</v>
      </c>
      <c r="Y17" s="17">
        <f t="shared" si="9"/>
        <v>17</v>
      </c>
      <c r="Z17" s="17">
        <f t="shared" si="9"/>
        <v>10</v>
      </c>
      <c r="AA17" s="17">
        <f t="shared" si="9"/>
        <v>0</v>
      </c>
      <c r="AB17" s="17">
        <f t="shared" si="9"/>
        <v>0</v>
      </c>
      <c r="AC17" s="17">
        <f t="shared" si="9"/>
        <v>448</v>
      </c>
      <c r="AD17" s="17">
        <f t="shared" si="9"/>
        <v>0</v>
      </c>
      <c r="AE17" s="31">
        <f t="shared" si="9"/>
        <v>372</v>
      </c>
      <c r="AF17" s="31">
        <f t="shared" si="9"/>
        <v>820</v>
      </c>
    </row>
    <row r="18" spans="2:32" ht="23.1" customHeight="1" x14ac:dyDescent="0.25">
      <c r="B18" s="45" t="s">
        <v>45</v>
      </c>
      <c r="C18" s="50">
        <v>41</v>
      </c>
      <c r="D18" s="50">
        <v>13</v>
      </c>
      <c r="E18" s="50">
        <v>13</v>
      </c>
      <c r="F18" s="50">
        <v>63</v>
      </c>
      <c r="G18" s="50">
        <v>1</v>
      </c>
      <c r="H18" s="50">
        <v>0</v>
      </c>
      <c r="I18" s="50">
        <v>7</v>
      </c>
      <c r="J18" s="50">
        <v>0</v>
      </c>
      <c r="K18" s="50">
        <v>0</v>
      </c>
      <c r="L18" s="50">
        <v>0</v>
      </c>
      <c r="M18" s="50">
        <v>281</v>
      </c>
      <c r="N18" s="50">
        <v>0</v>
      </c>
      <c r="O18" s="15">
        <f t="shared" si="0"/>
        <v>138</v>
      </c>
      <c r="P18" s="15">
        <f t="shared" si="1"/>
        <v>419</v>
      </c>
      <c r="R18" s="1" t="s">
        <v>14</v>
      </c>
      <c r="S18" s="17">
        <f t="shared" ref="S18:AF18" si="10">SUM(C42:C45)</f>
        <v>79</v>
      </c>
      <c r="T18" s="17">
        <f t="shared" si="10"/>
        <v>18</v>
      </c>
      <c r="U18" s="17">
        <f t="shared" si="10"/>
        <v>8</v>
      </c>
      <c r="V18" s="17">
        <f t="shared" si="10"/>
        <v>78</v>
      </c>
      <c r="W18" s="17">
        <f t="shared" si="10"/>
        <v>1</v>
      </c>
      <c r="X18" s="17">
        <f t="shared" si="10"/>
        <v>2</v>
      </c>
      <c r="Y18" s="17">
        <f t="shared" si="10"/>
        <v>4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400</v>
      </c>
      <c r="AD18" s="17">
        <f t="shared" si="10"/>
        <v>0</v>
      </c>
      <c r="AE18" s="31">
        <f t="shared" si="10"/>
        <v>194</v>
      </c>
      <c r="AF18" s="31">
        <f t="shared" si="10"/>
        <v>594</v>
      </c>
    </row>
    <row r="19" spans="2:32" ht="23.1" customHeight="1" x14ac:dyDescent="0.25">
      <c r="B19" s="45" t="s">
        <v>46</v>
      </c>
      <c r="C19" s="50">
        <v>32</v>
      </c>
      <c r="D19" s="50">
        <v>13</v>
      </c>
      <c r="E19" s="50">
        <v>9</v>
      </c>
      <c r="F19" s="50">
        <v>58</v>
      </c>
      <c r="G19" s="50">
        <v>2</v>
      </c>
      <c r="H19" s="50">
        <v>3</v>
      </c>
      <c r="I19" s="50">
        <v>0</v>
      </c>
      <c r="J19" s="50">
        <v>2</v>
      </c>
      <c r="K19" s="50">
        <v>0</v>
      </c>
      <c r="L19" s="50">
        <v>0</v>
      </c>
      <c r="M19" s="50">
        <v>352</v>
      </c>
      <c r="N19" s="50">
        <v>0</v>
      </c>
      <c r="O19" s="15">
        <f t="shared" si="0"/>
        <v>119</v>
      </c>
      <c r="P19" s="15">
        <f t="shared" si="1"/>
        <v>471</v>
      </c>
      <c r="R19" s="1" t="s">
        <v>15</v>
      </c>
      <c r="S19" s="17">
        <f t="shared" ref="S19:AF19" si="11">SUM(C46:C49)</f>
        <v>86</v>
      </c>
      <c r="T19" s="17">
        <f t="shared" si="11"/>
        <v>24</v>
      </c>
      <c r="U19" s="17">
        <f t="shared" si="11"/>
        <v>19</v>
      </c>
      <c r="V19" s="17">
        <f t="shared" si="11"/>
        <v>105</v>
      </c>
      <c r="W19" s="17">
        <f t="shared" si="11"/>
        <v>2</v>
      </c>
      <c r="X19" s="17">
        <f t="shared" si="11"/>
        <v>4</v>
      </c>
      <c r="Y19" s="17">
        <f t="shared" si="11"/>
        <v>8</v>
      </c>
      <c r="Z19" s="17">
        <f t="shared" si="11"/>
        <v>7</v>
      </c>
      <c r="AA19" s="17">
        <f t="shared" si="11"/>
        <v>1</v>
      </c>
      <c r="AB19" s="17">
        <f t="shared" si="11"/>
        <v>1</v>
      </c>
      <c r="AC19" s="17">
        <f t="shared" si="11"/>
        <v>312</v>
      </c>
      <c r="AD19" s="17">
        <f t="shared" si="11"/>
        <v>0</v>
      </c>
      <c r="AE19" s="31">
        <f t="shared" si="11"/>
        <v>257</v>
      </c>
      <c r="AF19" s="31">
        <f t="shared" si="11"/>
        <v>569</v>
      </c>
    </row>
    <row r="20" spans="2:32" ht="23.1" customHeight="1" x14ac:dyDescent="0.25">
      <c r="B20" s="45" t="s">
        <v>47</v>
      </c>
      <c r="C20" s="50">
        <v>51</v>
      </c>
      <c r="D20" s="50">
        <v>16</v>
      </c>
      <c r="E20" s="50">
        <v>3</v>
      </c>
      <c r="F20" s="50">
        <v>64</v>
      </c>
      <c r="G20" s="50">
        <v>0</v>
      </c>
      <c r="H20" s="50">
        <v>1</v>
      </c>
      <c r="I20" s="50">
        <v>2</v>
      </c>
      <c r="J20" s="50">
        <v>4</v>
      </c>
      <c r="K20" s="50">
        <v>0</v>
      </c>
      <c r="L20" s="50">
        <v>0</v>
      </c>
      <c r="M20" s="50">
        <v>254</v>
      </c>
      <c r="N20" s="50">
        <v>0</v>
      </c>
      <c r="O20" s="15">
        <f t="shared" si="0"/>
        <v>141</v>
      </c>
      <c r="P20" s="15">
        <f t="shared" si="1"/>
        <v>395</v>
      </c>
      <c r="R20" s="1" t="s">
        <v>16</v>
      </c>
      <c r="S20" s="17">
        <f t="shared" ref="S20:AF20" si="12">SUM(C50:C53)</f>
        <v>108</v>
      </c>
      <c r="T20" s="17">
        <f t="shared" si="12"/>
        <v>39</v>
      </c>
      <c r="U20" s="17">
        <f t="shared" si="12"/>
        <v>30</v>
      </c>
      <c r="V20" s="17">
        <f t="shared" si="12"/>
        <v>139</v>
      </c>
      <c r="W20" s="17">
        <f t="shared" si="12"/>
        <v>1</v>
      </c>
      <c r="X20" s="17">
        <f t="shared" si="12"/>
        <v>6</v>
      </c>
      <c r="Y20" s="17">
        <f t="shared" si="12"/>
        <v>10</v>
      </c>
      <c r="Z20" s="17">
        <f t="shared" si="12"/>
        <v>7</v>
      </c>
      <c r="AA20" s="17">
        <f t="shared" si="12"/>
        <v>1</v>
      </c>
      <c r="AB20" s="17">
        <f t="shared" si="12"/>
        <v>0</v>
      </c>
      <c r="AC20" s="17">
        <f t="shared" si="12"/>
        <v>544</v>
      </c>
      <c r="AD20" s="17">
        <f t="shared" si="12"/>
        <v>0</v>
      </c>
      <c r="AE20" s="31">
        <f t="shared" si="12"/>
        <v>341</v>
      </c>
      <c r="AF20" s="31">
        <f t="shared" si="12"/>
        <v>885</v>
      </c>
    </row>
    <row r="21" spans="2:32" ht="23.1" customHeight="1" x14ac:dyDescent="0.25">
      <c r="B21" s="45" t="s">
        <v>48</v>
      </c>
      <c r="C21" s="50">
        <v>36</v>
      </c>
      <c r="D21" s="50">
        <v>7</v>
      </c>
      <c r="E21" s="50">
        <v>5</v>
      </c>
      <c r="F21" s="50">
        <v>49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229</v>
      </c>
      <c r="N21" s="50">
        <v>0</v>
      </c>
      <c r="O21" s="15">
        <f t="shared" si="0"/>
        <v>98</v>
      </c>
      <c r="P21" s="15">
        <f t="shared" si="1"/>
        <v>327</v>
      </c>
      <c r="R21" s="36" t="s">
        <v>20</v>
      </c>
      <c r="S21" s="34">
        <f t="shared" ref="S21:AF21" si="13">SUM(C54:C57)</f>
        <v>83</v>
      </c>
      <c r="T21" s="17">
        <f t="shared" si="13"/>
        <v>39</v>
      </c>
      <c r="U21" s="17">
        <f t="shared" si="13"/>
        <v>10</v>
      </c>
      <c r="V21" s="17">
        <f t="shared" si="13"/>
        <v>110</v>
      </c>
      <c r="W21" s="17">
        <f t="shared" si="13"/>
        <v>1</v>
      </c>
      <c r="X21" s="17">
        <f t="shared" si="13"/>
        <v>5</v>
      </c>
      <c r="Y21" s="17">
        <f t="shared" si="13"/>
        <v>11</v>
      </c>
      <c r="Z21" s="17">
        <f t="shared" si="13"/>
        <v>7</v>
      </c>
      <c r="AA21" s="17">
        <f t="shared" si="13"/>
        <v>1</v>
      </c>
      <c r="AB21" s="17">
        <f t="shared" si="13"/>
        <v>0</v>
      </c>
      <c r="AC21" s="17">
        <f t="shared" si="13"/>
        <v>348</v>
      </c>
      <c r="AD21" s="17">
        <f t="shared" si="13"/>
        <v>0</v>
      </c>
      <c r="AE21" s="31">
        <f t="shared" si="13"/>
        <v>267</v>
      </c>
      <c r="AF21" s="31">
        <f t="shared" si="13"/>
        <v>615</v>
      </c>
    </row>
    <row r="22" spans="2:32" ht="23.1" customHeight="1" x14ac:dyDescent="0.25">
      <c r="B22" s="45" t="s">
        <v>49</v>
      </c>
      <c r="C22" s="50">
        <v>33</v>
      </c>
      <c r="D22" s="50">
        <v>12</v>
      </c>
      <c r="E22" s="50">
        <v>8</v>
      </c>
      <c r="F22" s="50">
        <v>44</v>
      </c>
      <c r="G22" s="50">
        <v>2</v>
      </c>
      <c r="H22" s="50">
        <v>0</v>
      </c>
      <c r="I22" s="50">
        <v>1</v>
      </c>
      <c r="J22" s="50">
        <v>2</v>
      </c>
      <c r="K22" s="50">
        <v>0</v>
      </c>
      <c r="L22" s="50">
        <v>0</v>
      </c>
      <c r="M22" s="50">
        <v>178</v>
      </c>
      <c r="N22" s="50">
        <v>0</v>
      </c>
      <c r="O22" s="15">
        <f t="shared" si="0"/>
        <v>102</v>
      </c>
      <c r="P22" s="15">
        <f t="shared" si="1"/>
        <v>280</v>
      </c>
      <c r="R22" s="36" t="s">
        <v>146</v>
      </c>
      <c r="S22" s="34">
        <f>SUM(C58:C61)</f>
        <v>440</v>
      </c>
      <c r="T22" s="34">
        <f t="shared" ref="T22:AF22" si="14">SUM(D58:D61)</f>
        <v>255</v>
      </c>
      <c r="U22" s="34">
        <f t="shared" si="14"/>
        <v>180</v>
      </c>
      <c r="V22" s="34">
        <f t="shared" si="14"/>
        <v>356</v>
      </c>
      <c r="W22" s="34">
        <f t="shared" si="14"/>
        <v>55</v>
      </c>
      <c r="X22" s="34">
        <f t="shared" si="14"/>
        <v>80</v>
      </c>
      <c r="Y22" s="34">
        <f t="shared" si="14"/>
        <v>55</v>
      </c>
      <c r="Z22" s="34">
        <f t="shared" si="14"/>
        <v>90</v>
      </c>
      <c r="AA22" s="34">
        <f t="shared" si="14"/>
        <v>65</v>
      </c>
      <c r="AB22" s="34">
        <f t="shared" si="14"/>
        <v>85</v>
      </c>
      <c r="AC22" s="34">
        <f t="shared" si="14"/>
        <v>960</v>
      </c>
      <c r="AD22" s="34">
        <f t="shared" si="14"/>
        <v>0</v>
      </c>
      <c r="AE22" s="31">
        <f t="shared" si="14"/>
        <v>1661</v>
      </c>
      <c r="AF22" s="31">
        <f t="shared" si="14"/>
        <v>2621</v>
      </c>
    </row>
    <row r="23" spans="2:32" ht="23.1" customHeight="1" x14ac:dyDescent="0.25">
      <c r="B23" s="45" t="s">
        <v>50</v>
      </c>
      <c r="C23" s="50">
        <v>28</v>
      </c>
      <c r="D23" s="50">
        <v>8</v>
      </c>
      <c r="E23" s="50">
        <v>2</v>
      </c>
      <c r="F23" s="50">
        <v>47</v>
      </c>
      <c r="G23" s="50">
        <v>2</v>
      </c>
      <c r="H23" s="50">
        <v>0</v>
      </c>
      <c r="I23" s="50">
        <v>7</v>
      </c>
      <c r="J23" s="50">
        <v>2</v>
      </c>
      <c r="K23" s="50">
        <v>0</v>
      </c>
      <c r="L23" s="50">
        <v>0</v>
      </c>
      <c r="M23" s="50">
        <v>153</v>
      </c>
      <c r="N23" s="50">
        <v>0</v>
      </c>
      <c r="O23" s="15">
        <f t="shared" si="0"/>
        <v>96</v>
      </c>
      <c r="P23" s="15">
        <f t="shared" si="1"/>
        <v>249</v>
      </c>
      <c r="R23" s="36" t="s">
        <v>147</v>
      </c>
      <c r="S23" s="34">
        <f>SUM(C62:C65)</f>
        <v>222</v>
      </c>
      <c r="T23" s="34">
        <f t="shared" ref="T23:AF23" si="15">SUM(D62:D65)</f>
        <v>58</v>
      </c>
      <c r="U23" s="34">
        <f t="shared" si="15"/>
        <v>46</v>
      </c>
      <c r="V23" s="34">
        <f t="shared" si="15"/>
        <v>155</v>
      </c>
      <c r="W23" s="34">
        <f t="shared" si="15"/>
        <v>29</v>
      </c>
      <c r="X23" s="34">
        <f t="shared" si="15"/>
        <v>11</v>
      </c>
      <c r="Y23" s="34">
        <f t="shared" si="15"/>
        <v>18</v>
      </c>
      <c r="Z23" s="34">
        <f t="shared" si="15"/>
        <v>15</v>
      </c>
      <c r="AA23" s="34">
        <f t="shared" si="15"/>
        <v>13</v>
      </c>
      <c r="AB23" s="34">
        <f t="shared" si="15"/>
        <v>15</v>
      </c>
      <c r="AC23" s="34">
        <f t="shared" si="15"/>
        <v>1030</v>
      </c>
      <c r="AD23" s="34">
        <f t="shared" si="15"/>
        <v>0</v>
      </c>
      <c r="AE23" s="31">
        <f t="shared" si="15"/>
        <v>582</v>
      </c>
      <c r="AF23" s="31">
        <f t="shared" si="15"/>
        <v>1612</v>
      </c>
    </row>
    <row r="24" spans="2:32" ht="23.1" customHeight="1" x14ac:dyDescent="0.25">
      <c r="B24" s="45" t="s">
        <v>51</v>
      </c>
      <c r="C24" s="50">
        <v>34</v>
      </c>
      <c r="D24" s="50">
        <v>11</v>
      </c>
      <c r="E24" s="50">
        <v>9</v>
      </c>
      <c r="F24" s="50">
        <v>33</v>
      </c>
      <c r="G24" s="50">
        <v>5</v>
      </c>
      <c r="H24" s="50">
        <v>1</v>
      </c>
      <c r="I24" s="50">
        <v>4</v>
      </c>
      <c r="J24" s="50">
        <v>4</v>
      </c>
      <c r="K24" s="50">
        <v>4</v>
      </c>
      <c r="L24" s="50">
        <v>0</v>
      </c>
      <c r="M24" s="50">
        <v>143</v>
      </c>
      <c r="N24" s="50">
        <v>0</v>
      </c>
      <c r="O24" s="15">
        <f t="shared" si="0"/>
        <v>105</v>
      </c>
      <c r="P24" s="15">
        <f t="shared" si="1"/>
        <v>248</v>
      </c>
      <c r="R24" s="36" t="s">
        <v>148</v>
      </c>
      <c r="S24" s="34">
        <f>SUM(C66:C69)</f>
        <v>280</v>
      </c>
      <c r="T24" s="34">
        <f t="shared" ref="T24:AF24" si="16">SUM(D66:D69)</f>
        <v>33</v>
      </c>
      <c r="U24" s="34">
        <f t="shared" si="16"/>
        <v>20</v>
      </c>
      <c r="V24" s="34">
        <f t="shared" si="16"/>
        <v>111</v>
      </c>
      <c r="W24" s="34">
        <f t="shared" si="16"/>
        <v>15</v>
      </c>
      <c r="X24" s="34">
        <f t="shared" si="16"/>
        <v>23</v>
      </c>
      <c r="Y24" s="34">
        <f t="shared" si="16"/>
        <v>27</v>
      </c>
      <c r="Z24" s="34">
        <f t="shared" si="16"/>
        <v>16</v>
      </c>
      <c r="AA24" s="34">
        <f t="shared" si="16"/>
        <v>7</v>
      </c>
      <c r="AB24" s="34">
        <f t="shared" si="16"/>
        <v>24</v>
      </c>
      <c r="AC24" s="34">
        <f t="shared" si="16"/>
        <v>680</v>
      </c>
      <c r="AD24" s="34">
        <f t="shared" si="16"/>
        <v>0</v>
      </c>
      <c r="AE24" s="31">
        <f t="shared" si="16"/>
        <v>556</v>
      </c>
      <c r="AF24" s="31">
        <f t="shared" si="16"/>
        <v>1236</v>
      </c>
    </row>
    <row r="25" spans="2:32" ht="23.1" customHeight="1" x14ac:dyDescent="0.25">
      <c r="B25" s="45" t="s">
        <v>52</v>
      </c>
      <c r="C25" s="50">
        <v>39</v>
      </c>
      <c r="D25" s="50">
        <v>13</v>
      </c>
      <c r="E25" s="50">
        <v>11</v>
      </c>
      <c r="F25" s="50">
        <v>48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179</v>
      </c>
      <c r="N25" s="50">
        <v>0</v>
      </c>
      <c r="O25" s="15">
        <f t="shared" si="0"/>
        <v>113</v>
      </c>
      <c r="P25" s="15">
        <f t="shared" si="1"/>
        <v>292</v>
      </c>
      <c r="R25" s="36" t="s">
        <v>149</v>
      </c>
      <c r="S25" s="34">
        <f>SUM(C70:C73)</f>
        <v>147</v>
      </c>
      <c r="T25" s="34">
        <f t="shared" ref="T25:AF25" si="17">SUM(D70:D73)</f>
        <v>46</v>
      </c>
      <c r="U25" s="34">
        <f t="shared" si="17"/>
        <v>50</v>
      </c>
      <c r="V25" s="34">
        <f t="shared" si="17"/>
        <v>137</v>
      </c>
      <c r="W25" s="34">
        <f t="shared" si="17"/>
        <v>12</v>
      </c>
      <c r="X25" s="34">
        <f t="shared" si="17"/>
        <v>14</v>
      </c>
      <c r="Y25" s="34">
        <f t="shared" si="17"/>
        <v>25</v>
      </c>
      <c r="Z25" s="34">
        <f t="shared" si="17"/>
        <v>26</v>
      </c>
      <c r="AA25" s="34">
        <f t="shared" si="17"/>
        <v>39</v>
      </c>
      <c r="AB25" s="34">
        <f t="shared" si="17"/>
        <v>38</v>
      </c>
      <c r="AC25" s="34">
        <f t="shared" si="17"/>
        <v>355</v>
      </c>
      <c r="AD25" s="34">
        <f t="shared" si="17"/>
        <v>0</v>
      </c>
      <c r="AE25" s="31">
        <f t="shared" si="17"/>
        <v>534</v>
      </c>
      <c r="AF25" s="31">
        <f t="shared" si="17"/>
        <v>889</v>
      </c>
    </row>
    <row r="26" spans="2:32" ht="23.1" customHeight="1" x14ac:dyDescent="0.25">
      <c r="B26" s="45" t="s">
        <v>53</v>
      </c>
      <c r="C26" s="50">
        <v>29</v>
      </c>
      <c r="D26" s="50">
        <v>8</v>
      </c>
      <c r="E26" s="50">
        <v>5</v>
      </c>
      <c r="F26" s="50">
        <v>43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169</v>
      </c>
      <c r="N26" s="50">
        <v>0</v>
      </c>
      <c r="O26" s="15">
        <f t="shared" si="0"/>
        <v>89</v>
      </c>
      <c r="P26" s="15">
        <f t="shared" si="1"/>
        <v>258</v>
      </c>
      <c r="R26" s="36" t="s">
        <v>150</v>
      </c>
      <c r="S26" s="34">
        <f>SUM(C74:C77)</f>
        <v>73</v>
      </c>
      <c r="T26" s="34">
        <f t="shared" ref="T26:AF26" si="18">SUM(D74:D77)</f>
        <v>37</v>
      </c>
      <c r="U26" s="34">
        <f t="shared" si="18"/>
        <v>23</v>
      </c>
      <c r="V26" s="34">
        <f t="shared" si="18"/>
        <v>29</v>
      </c>
      <c r="W26" s="34">
        <f t="shared" si="18"/>
        <v>0</v>
      </c>
      <c r="X26" s="34">
        <f t="shared" si="18"/>
        <v>5</v>
      </c>
      <c r="Y26" s="34">
        <f t="shared" si="18"/>
        <v>5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250</v>
      </c>
      <c r="AD26" s="34">
        <f t="shared" si="18"/>
        <v>0</v>
      </c>
      <c r="AE26" s="31">
        <f t="shared" si="18"/>
        <v>174</v>
      </c>
      <c r="AF26" s="31">
        <f t="shared" si="18"/>
        <v>424</v>
      </c>
    </row>
    <row r="27" spans="2:32" ht="23.1" customHeight="1" x14ac:dyDescent="0.25">
      <c r="B27" s="45" t="s">
        <v>54</v>
      </c>
      <c r="C27" s="50">
        <v>39</v>
      </c>
      <c r="D27" s="50">
        <v>12</v>
      </c>
      <c r="E27" s="50">
        <v>11</v>
      </c>
      <c r="F27" s="50">
        <v>53</v>
      </c>
      <c r="G27" s="50">
        <v>0</v>
      </c>
      <c r="H27" s="50">
        <v>0</v>
      </c>
      <c r="I27" s="50">
        <v>4</v>
      </c>
      <c r="J27" s="50">
        <v>0</v>
      </c>
      <c r="K27" s="50">
        <v>3</v>
      </c>
      <c r="L27" s="50">
        <v>0</v>
      </c>
      <c r="M27" s="50">
        <v>159</v>
      </c>
      <c r="N27" s="50">
        <v>0</v>
      </c>
      <c r="O27" s="15">
        <f t="shared" si="0"/>
        <v>122</v>
      </c>
      <c r="P27" s="15">
        <f t="shared" si="1"/>
        <v>281</v>
      </c>
      <c r="R27" s="36" t="s">
        <v>151</v>
      </c>
      <c r="S27" s="34">
        <f>SUM(C78:C81)</f>
        <v>28</v>
      </c>
      <c r="T27" s="34">
        <f t="shared" ref="T27:AF27" si="19">SUM(D78:D81)</f>
        <v>20</v>
      </c>
      <c r="U27" s="34">
        <f t="shared" si="19"/>
        <v>6</v>
      </c>
      <c r="V27" s="34">
        <f t="shared" si="19"/>
        <v>9</v>
      </c>
      <c r="W27" s="34">
        <f t="shared" si="19"/>
        <v>0</v>
      </c>
      <c r="X27" s="34">
        <f t="shared" si="19"/>
        <v>5</v>
      </c>
      <c r="Y27" s="34">
        <f t="shared" si="19"/>
        <v>3</v>
      </c>
      <c r="Z27" s="34">
        <f t="shared" si="19"/>
        <v>0</v>
      </c>
      <c r="AA27" s="34">
        <f t="shared" si="19"/>
        <v>2</v>
      </c>
      <c r="AB27" s="34">
        <f t="shared" si="19"/>
        <v>0</v>
      </c>
      <c r="AC27" s="34">
        <f t="shared" si="19"/>
        <v>234</v>
      </c>
      <c r="AD27" s="34">
        <f t="shared" si="19"/>
        <v>0</v>
      </c>
      <c r="AE27" s="31">
        <f t="shared" si="19"/>
        <v>73</v>
      </c>
      <c r="AF27" s="31">
        <f t="shared" si="19"/>
        <v>307</v>
      </c>
    </row>
    <row r="28" spans="2:32" ht="23.1" customHeight="1" x14ac:dyDescent="0.25">
      <c r="B28" s="45" t="s">
        <v>55</v>
      </c>
      <c r="C28" s="50">
        <v>31</v>
      </c>
      <c r="D28" s="50">
        <v>6</v>
      </c>
      <c r="E28" s="50">
        <v>9</v>
      </c>
      <c r="F28" s="50">
        <v>0</v>
      </c>
      <c r="G28" s="50">
        <v>47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133</v>
      </c>
      <c r="N28" s="50">
        <v>0</v>
      </c>
      <c r="O28" s="15">
        <f t="shared" si="0"/>
        <v>95</v>
      </c>
      <c r="P28" s="15">
        <f t="shared" si="1"/>
        <v>228</v>
      </c>
      <c r="R28" s="36" t="s">
        <v>152</v>
      </c>
      <c r="S28" s="34">
        <f>SUM(C82:C85)</f>
        <v>48</v>
      </c>
      <c r="T28" s="34">
        <f t="shared" ref="T28:AF28" si="20">SUM(D82:D85)</f>
        <v>16</v>
      </c>
      <c r="U28" s="34">
        <f t="shared" si="20"/>
        <v>5</v>
      </c>
      <c r="V28" s="34">
        <f t="shared" si="20"/>
        <v>0</v>
      </c>
      <c r="W28" s="34">
        <f t="shared" si="20"/>
        <v>1</v>
      </c>
      <c r="X28" s="34">
        <f t="shared" si="20"/>
        <v>2</v>
      </c>
      <c r="Y28" s="34">
        <f t="shared" si="20"/>
        <v>2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140</v>
      </c>
      <c r="AD28" s="34">
        <f t="shared" si="20"/>
        <v>0</v>
      </c>
      <c r="AE28" s="31">
        <f t="shared" si="20"/>
        <v>75</v>
      </c>
      <c r="AF28" s="31">
        <f t="shared" si="20"/>
        <v>215</v>
      </c>
    </row>
    <row r="29" spans="2:32" ht="23.1" customHeight="1" x14ac:dyDescent="0.25">
      <c r="B29" s="45" t="s">
        <v>56</v>
      </c>
      <c r="C29" s="50">
        <v>30</v>
      </c>
      <c r="D29" s="50">
        <v>10</v>
      </c>
      <c r="E29" s="50">
        <v>4</v>
      </c>
      <c r="F29" s="50">
        <v>50</v>
      </c>
      <c r="G29" s="50">
        <v>0</v>
      </c>
      <c r="H29" s="50">
        <v>0</v>
      </c>
      <c r="I29" s="50">
        <v>2</v>
      </c>
      <c r="J29" s="50">
        <v>3</v>
      </c>
      <c r="K29" s="50">
        <v>0</v>
      </c>
      <c r="L29" s="50">
        <v>0</v>
      </c>
      <c r="M29" s="50">
        <v>144</v>
      </c>
      <c r="N29" s="50">
        <v>0</v>
      </c>
      <c r="O29" s="15">
        <f t="shared" si="0"/>
        <v>99</v>
      </c>
      <c r="P29" s="15">
        <f t="shared" si="1"/>
        <v>243</v>
      </c>
      <c r="R29" s="36" t="s">
        <v>153</v>
      </c>
      <c r="S29" s="34">
        <f>SUM(C86:C89)</f>
        <v>19</v>
      </c>
      <c r="T29" s="34">
        <f t="shared" ref="T29:AF29" si="21">SUM(D86:D89)</f>
        <v>7</v>
      </c>
      <c r="U29" s="34">
        <f t="shared" si="21"/>
        <v>3</v>
      </c>
      <c r="V29" s="34">
        <f t="shared" si="21"/>
        <v>4</v>
      </c>
      <c r="W29" s="34">
        <f t="shared" si="21"/>
        <v>1</v>
      </c>
      <c r="X29" s="34">
        <f t="shared" si="21"/>
        <v>3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86</v>
      </c>
      <c r="AD29" s="34">
        <f t="shared" si="21"/>
        <v>0</v>
      </c>
      <c r="AE29" s="31">
        <f t="shared" si="21"/>
        <v>39</v>
      </c>
      <c r="AF29" s="31">
        <f t="shared" si="21"/>
        <v>125</v>
      </c>
    </row>
    <row r="30" spans="2:32" ht="23.1" customHeight="1" x14ac:dyDescent="0.25">
      <c r="B30" s="45" t="s">
        <v>57</v>
      </c>
      <c r="C30" s="50">
        <v>24</v>
      </c>
      <c r="D30" s="50">
        <v>16</v>
      </c>
      <c r="E30" s="50">
        <v>4</v>
      </c>
      <c r="F30" s="50">
        <v>33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2</v>
      </c>
      <c r="M30" s="50">
        <v>121</v>
      </c>
      <c r="N30" s="50">
        <v>0</v>
      </c>
      <c r="O30" s="15">
        <f t="shared" si="0"/>
        <v>80</v>
      </c>
      <c r="P30" s="15">
        <f t="shared" si="1"/>
        <v>201</v>
      </c>
      <c r="R30" s="36" t="s">
        <v>154</v>
      </c>
      <c r="S30" s="34">
        <f>SUM(C90:C93)</f>
        <v>15</v>
      </c>
      <c r="T30" s="34">
        <f t="shared" ref="T30:AF30" si="22">SUM(D90:D93)</f>
        <v>1</v>
      </c>
      <c r="U30" s="34">
        <f t="shared" si="22"/>
        <v>3</v>
      </c>
      <c r="V30" s="34">
        <f t="shared" si="22"/>
        <v>6</v>
      </c>
      <c r="W30" s="34">
        <f t="shared" si="22"/>
        <v>2</v>
      </c>
      <c r="X30" s="34">
        <f t="shared" si="22"/>
        <v>4</v>
      </c>
      <c r="Y30" s="34">
        <f t="shared" si="22"/>
        <v>6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69</v>
      </c>
      <c r="AD30" s="34">
        <f t="shared" si="22"/>
        <v>0</v>
      </c>
      <c r="AE30" s="31">
        <f t="shared" si="22"/>
        <v>39</v>
      </c>
      <c r="AF30" s="31">
        <f t="shared" si="22"/>
        <v>108</v>
      </c>
    </row>
    <row r="31" spans="2:32" ht="23.1" customHeight="1" x14ac:dyDescent="0.25">
      <c r="B31" s="46" t="s">
        <v>58</v>
      </c>
      <c r="C31" s="50">
        <v>19</v>
      </c>
      <c r="D31" s="50">
        <v>6</v>
      </c>
      <c r="E31" s="50">
        <v>1</v>
      </c>
      <c r="F31" s="50">
        <v>30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117</v>
      </c>
      <c r="N31" s="50">
        <v>0</v>
      </c>
      <c r="O31" s="15">
        <f t="shared" si="0"/>
        <v>59</v>
      </c>
      <c r="P31" s="15">
        <f t="shared" si="1"/>
        <v>176</v>
      </c>
      <c r="R31" s="36" t="s">
        <v>155</v>
      </c>
      <c r="S31" s="34">
        <f>SUM(C94:C97)</f>
        <v>31</v>
      </c>
      <c r="T31" s="34">
        <f t="shared" ref="T31:AF31" si="23">SUM(D94:D97)</f>
        <v>16</v>
      </c>
      <c r="U31" s="34">
        <f t="shared" si="23"/>
        <v>5</v>
      </c>
      <c r="V31" s="34">
        <f t="shared" si="23"/>
        <v>27</v>
      </c>
      <c r="W31" s="34">
        <f t="shared" si="23"/>
        <v>2</v>
      </c>
      <c r="X31" s="34">
        <f t="shared" si="23"/>
        <v>12</v>
      </c>
      <c r="Y31" s="34">
        <f t="shared" si="23"/>
        <v>7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92</v>
      </c>
      <c r="AD31" s="34">
        <f t="shared" si="23"/>
        <v>0</v>
      </c>
      <c r="AE31" s="31">
        <f t="shared" si="23"/>
        <v>67</v>
      </c>
      <c r="AF31" s="31">
        <f t="shared" si="23"/>
        <v>149</v>
      </c>
    </row>
    <row r="32" spans="2:32" ht="23.1" customHeight="1" x14ac:dyDescent="0.25">
      <c r="B32" s="46" t="s">
        <v>59</v>
      </c>
      <c r="C32" s="50">
        <v>26</v>
      </c>
      <c r="D32" s="50">
        <v>7</v>
      </c>
      <c r="E32" s="50">
        <v>7</v>
      </c>
      <c r="F32" s="50">
        <v>28</v>
      </c>
      <c r="G32" s="50">
        <v>3</v>
      </c>
      <c r="H32" s="50">
        <v>2</v>
      </c>
      <c r="I32" s="50">
        <v>2</v>
      </c>
      <c r="J32" s="50">
        <v>1</v>
      </c>
      <c r="K32" s="50">
        <v>0</v>
      </c>
      <c r="L32" s="50">
        <v>0</v>
      </c>
      <c r="M32" s="50">
        <v>108</v>
      </c>
      <c r="N32" s="50">
        <v>0</v>
      </c>
      <c r="O32" s="15">
        <f t="shared" si="0"/>
        <v>76</v>
      </c>
      <c r="P32" s="15">
        <f t="shared" si="1"/>
        <v>184</v>
      </c>
      <c r="R32" s="33" t="s">
        <v>156</v>
      </c>
      <c r="S32" s="34">
        <f>SUM(C98:C101)</f>
        <v>26</v>
      </c>
      <c r="T32" s="34">
        <f t="shared" ref="T32:AF32" si="24">SUM(D98:D101)</f>
        <v>27</v>
      </c>
      <c r="U32" s="34">
        <f t="shared" si="24"/>
        <v>8</v>
      </c>
      <c r="V32" s="34">
        <f t="shared" si="24"/>
        <v>186</v>
      </c>
      <c r="W32" s="34">
        <f t="shared" si="24"/>
        <v>3</v>
      </c>
      <c r="X32" s="34">
        <f t="shared" si="24"/>
        <v>7</v>
      </c>
      <c r="Y32" s="34">
        <f t="shared" si="24"/>
        <v>1</v>
      </c>
      <c r="Z32" s="34">
        <f t="shared" si="24"/>
        <v>5</v>
      </c>
      <c r="AA32" s="34">
        <f t="shared" si="24"/>
        <v>0</v>
      </c>
      <c r="AB32" s="34">
        <f t="shared" si="24"/>
        <v>0</v>
      </c>
      <c r="AC32" s="34">
        <f t="shared" si="24"/>
        <v>320</v>
      </c>
      <c r="AD32" s="34">
        <f t="shared" si="24"/>
        <v>0</v>
      </c>
      <c r="AE32" s="31">
        <f t="shared" si="24"/>
        <v>263</v>
      </c>
      <c r="AF32" s="31">
        <f t="shared" si="24"/>
        <v>583</v>
      </c>
    </row>
    <row r="33" spans="2:32" ht="23.1" customHeight="1" x14ac:dyDescent="0.25">
      <c r="B33" s="45" t="s">
        <v>60</v>
      </c>
      <c r="C33" s="50">
        <v>36</v>
      </c>
      <c r="D33" s="50">
        <v>4</v>
      </c>
      <c r="E33" s="50">
        <v>12</v>
      </c>
      <c r="F33" s="50">
        <v>43</v>
      </c>
      <c r="G33" s="50">
        <v>1</v>
      </c>
      <c r="H33" s="50">
        <v>0</v>
      </c>
      <c r="I33" s="50">
        <v>0</v>
      </c>
      <c r="J33" s="50">
        <v>3</v>
      </c>
      <c r="K33" s="50">
        <v>0</v>
      </c>
      <c r="L33" s="50">
        <v>0</v>
      </c>
      <c r="M33" s="50">
        <v>133</v>
      </c>
      <c r="N33" s="50">
        <v>0</v>
      </c>
      <c r="O33" s="15">
        <f t="shared" si="0"/>
        <v>99</v>
      </c>
      <c r="P33" s="15">
        <f t="shared" si="1"/>
        <v>232</v>
      </c>
      <c r="R33" s="33" t="s">
        <v>157</v>
      </c>
      <c r="S33" s="34">
        <f>SUM(C102:C105)</f>
        <v>35</v>
      </c>
      <c r="T33" s="34">
        <f t="shared" ref="T33:AF33" si="25">SUM(D102:D105)</f>
        <v>78</v>
      </c>
      <c r="U33" s="34">
        <f t="shared" si="25"/>
        <v>11</v>
      </c>
      <c r="V33" s="34">
        <f t="shared" si="25"/>
        <v>176</v>
      </c>
      <c r="W33" s="34">
        <f t="shared" si="25"/>
        <v>2</v>
      </c>
      <c r="X33" s="34">
        <f t="shared" si="25"/>
        <v>4</v>
      </c>
      <c r="Y33" s="34">
        <f t="shared" si="25"/>
        <v>19</v>
      </c>
      <c r="Z33" s="34">
        <f t="shared" si="25"/>
        <v>4</v>
      </c>
      <c r="AA33" s="34">
        <f t="shared" si="25"/>
        <v>0</v>
      </c>
      <c r="AB33" s="34">
        <f t="shared" si="25"/>
        <v>0</v>
      </c>
      <c r="AC33" s="34">
        <f t="shared" si="25"/>
        <v>342</v>
      </c>
      <c r="AD33" s="34">
        <f t="shared" si="25"/>
        <v>0</v>
      </c>
      <c r="AE33" s="31">
        <f t="shared" si="25"/>
        <v>329</v>
      </c>
      <c r="AF33" s="31">
        <f t="shared" si="25"/>
        <v>671</v>
      </c>
    </row>
    <row r="34" spans="2:32" ht="23.1" customHeight="1" x14ac:dyDescent="0.25">
      <c r="B34" s="46" t="s">
        <v>61</v>
      </c>
      <c r="C34" s="50">
        <v>23</v>
      </c>
      <c r="D34" s="50">
        <v>1</v>
      </c>
      <c r="E34" s="50">
        <v>0</v>
      </c>
      <c r="F34" s="50">
        <v>36</v>
      </c>
      <c r="G34" s="50">
        <v>0</v>
      </c>
      <c r="H34" s="50">
        <v>3</v>
      </c>
      <c r="I34" s="50">
        <v>0</v>
      </c>
      <c r="J34" s="50">
        <v>0</v>
      </c>
      <c r="K34" s="50">
        <v>0</v>
      </c>
      <c r="L34" s="50">
        <v>0</v>
      </c>
      <c r="M34" s="50">
        <v>110</v>
      </c>
      <c r="N34" s="50">
        <v>0</v>
      </c>
      <c r="O34" s="15">
        <f t="shared" si="0"/>
        <v>63</v>
      </c>
      <c r="P34" s="15">
        <f t="shared" si="1"/>
        <v>173</v>
      </c>
      <c r="R34" s="38" t="s">
        <v>90</v>
      </c>
      <c r="S34" s="39">
        <f t="shared" ref="S34:AF34" si="26">MAX(S10:S12)</f>
        <v>213</v>
      </c>
      <c r="T34" s="39">
        <f t="shared" si="26"/>
        <v>77</v>
      </c>
      <c r="U34" s="39">
        <f t="shared" si="26"/>
        <v>49</v>
      </c>
      <c r="V34" s="39">
        <f t="shared" si="26"/>
        <v>303</v>
      </c>
      <c r="W34" s="39">
        <f t="shared" si="26"/>
        <v>9</v>
      </c>
      <c r="X34" s="39">
        <f t="shared" si="26"/>
        <v>4</v>
      </c>
      <c r="Y34" s="39">
        <f t="shared" si="26"/>
        <v>15</v>
      </c>
      <c r="Z34" s="39">
        <f t="shared" si="26"/>
        <v>8</v>
      </c>
      <c r="AA34" s="39">
        <f t="shared" si="26"/>
        <v>4</v>
      </c>
      <c r="AB34" s="39">
        <f t="shared" si="26"/>
        <v>1</v>
      </c>
      <c r="AC34" s="39">
        <f t="shared" si="26"/>
        <v>1682</v>
      </c>
      <c r="AD34" s="39">
        <f t="shared" si="26"/>
        <v>0</v>
      </c>
      <c r="AE34" s="40">
        <f t="shared" si="26"/>
        <v>676</v>
      </c>
      <c r="AF34" s="40">
        <f t="shared" si="26"/>
        <v>2358</v>
      </c>
    </row>
    <row r="35" spans="2:32" ht="23.1" customHeight="1" x14ac:dyDescent="0.25">
      <c r="B35" s="46" t="s">
        <v>62</v>
      </c>
      <c r="C35" s="50">
        <v>27</v>
      </c>
      <c r="D35" s="50">
        <v>7</v>
      </c>
      <c r="E35" s="50">
        <v>1</v>
      </c>
      <c r="F35" s="50">
        <v>41</v>
      </c>
      <c r="G35" s="50">
        <v>1</v>
      </c>
      <c r="H35" s="50">
        <v>1</v>
      </c>
      <c r="I35" s="50">
        <v>0</v>
      </c>
      <c r="J35" s="50">
        <v>1</v>
      </c>
      <c r="K35" s="50">
        <v>0</v>
      </c>
      <c r="L35" s="50">
        <v>2</v>
      </c>
      <c r="M35" s="50">
        <v>108</v>
      </c>
      <c r="N35" s="50">
        <v>0</v>
      </c>
      <c r="O35" s="15">
        <f t="shared" si="0"/>
        <v>81</v>
      </c>
      <c r="P35" s="15">
        <f t="shared" si="1"/>
        <v>189</v>
      </c>
      <c r="R35" s="38" t="s">
        <v>91</v>
      </c>
      <c r="S35" s="39">
        <f t="shared" ref="S35:AF35" si="27">MAX(S13:S18)</f>
        <v>134</v>
      </c>
      <c r="T35" s="39">
        <f t="shared" si="27"/>
        <v>44</v>
      </c>
      <c r="U35" s="39">
        <f t="shared" si="27"/>
        <v>30</v>
      </c>
      <c r="V35" s="39">
        <f t="shared" si="27"/>
        <v>172</v>
      </c>
      <c r="W35" s="39">
        <f t="shared" si="27"/>
        <v>47</v>
      </c>
      <c r="X35" s="39">
        <f t="shared" si="27"/>
        <v>6</v>
      </c>
      <c r="Y35" s="39">
        <f t="shared" si="27"/>
        <v>17</v>
      </c>
      <c r="Z35" s="39">
        <f t="shared" si="27"/>
        <v>10</v>
      </c>
      <c r="AA35" s="39">
        <f t="shared" si="27"/>
        <v>4</v>
      </c>
      <c r="AB35" s="39">
        <f t="shared" si="27"/>
        <v>3</v>
      </c>
      <c r="AC35" s="39">
        <f t="shared" si="27"/>
        <v>653</v>
      </c>
      <c r="AD35" s="39">
        <f t="shared" si="27"/>
        <v>0</v>
      </c>
      <c r="AE35" s="40">
        <f t="shared" si="27"/>
        <v>416</v>
      </c>
      <c r="AF35" s="40">
        <f t="shared" si="27"/>
        <v>1069</v>
      </c>
    </row>
    <row r="36" spans="2:32" ht="23.1" customHeight="1" x14ac:dyDescent="0.25">
      <c r="B36" s="46" t="s">
        <v>63</v>
      </c>
      <c r="C36" s="50">
        <v>28</v>
      </c>
      <c r="D36" s="50">
        <v>13</v>
      </c>
      <c r="E36" s="50">
        <v>6</v>
      </c>
      <c r="F36" s="50">
        <v>42</v>
      </c>
      <c r="G36" s="50">
        <v>0</v>
      </c>
      <c r="H36" s="50">
        <v>0</v>
      </c>
      <c r="I36" s="50">
        <v>3</v>
      </c>
      <c r="J36" s="50">
        <v>1</v>
      </c>
      <c r="K36" s="50">
        <v>1</v>
      </c>
      <c r="L36" s="50">
        <v>1</v>
      </c>
      <c r="M36" s="50">
        <v>113</v>
      </c>
      <c r="N36" s="50">
        <v>0</v>
      </c>
      <c r="O36" s="15">
        <f t="shared" si="0"/>
        <v>95</v>
      </c>
      <c r="P36" s="15">
        <f t="shared" si="1"/>
        <v>208</v>
      </c>
      <c r="R36" s="38" t="s">
        <v>92</v>
      </c>
      <c r="S36" s="39">
        <f t="shared" ref="S36:AF36" si="28">MAX(S19:S21)</f>
        <v>108</v>
      </c>
      <c r="T36" s="39">
        <f t="shared" si="28"/>
        <v>39</v>
      </c>
      <c r="U36" s="39">
        <f t="shared" si="28"/>
        <v>30</v>
      </c>
      <c r="V36" s="39">
        <f t="shared" si="28"/>
        <v>139</v>
      </c>
      <c r="W36" s="39">
        <f t="shared" si="28"/>
        <v>2</v>
      </c>
      <c r="X36" s="39">
        <f t="shared" si="28"/>
        <v>6</v>
      </c>
      <c r="Y36" s="39">
        <f t="shared" si="28"/>
        <v>11</v>
      </c>
      <c r="Z36" s="39">
        <f t="shared" si="28"/>
        <v>7</v>
      </c>
      <c r="AA36" s="39">
        <f t="shared" si="28"/>
        <v>1</v>
      </c>
      <c r="AB36" s="39">
        <f t="shared" si="28"/>
        <v>1</v>
      </c>
      <c r="AC36" s="39">
        <f t="shared" si="28"/>
        <v>544</v>
      </c>
      <c r="AD36" s="39">
        <f t="shared" si="28"/>
        <v>0</v>
      </c>
      <c r="AE36" s="40">
        <f t="shared" si="28"/>
        <v>341</v>
      </c>
      <c r="AF36" s="40">
        <f t="shared" si="28"/>
        <v>885</v>
      </c>
    </row>
    <row r="37" spans="2:32" ht="23.1" customHeight="1" x14ac:dyDescent="0.25">
      <c r="B37" s="45" t="s">
        <v>64</v>
      </c>
      <c r="C37" s="50">
        <v>26</v>
      </c>
      <c r="D37" s="50">
        <v>8</v>
      </c>
      <c r="E37" s="50">
        <v>8</v>
      </c>
      <c r="F37" s="50">
        <v>48</v>
      </c>
      <c r="G37" s="50">
        <v>0</v>
      </c>
      <c r="H37" s="50">
        <v>2</v>
      </c>
      <c r="I37" s="50">
        <v>4</v>
      </c>
      <c r="J37" s="50">
        <v>1</v>
      </c>
      <c r="K37" s="50">
        <v>0</v>
      </c>
      <c r="L37" s="50">
        <v>0</v>
      </c>
      <c r="M37" s="50">
        <v>134</v>
      </c>
      <c r="N37" s="50">
        <v>0</v>
      </c>
      <c r="O37" s="15">
        <f t="shared" si="0"/>
        <v>97</v>
      </c>
      <c r="P37" s="15">
        <f t="shared" si="1"/>
        <v>231</v>
      </c>
      <c r="R37" s="37" t="s">
        <v>85</v>
      </c>
      <c r="S37" s="35">
        <f t="shared" ref="S37:AF37" si="29">SUM(S10:S12)</f>
        <v>533</v>
      </c>
      <c r="T37" s="16">
        <f t="shared" si="29"/>
        <v>182</v>
      </c>
      <c r="U37" s="16">
        <f t="shared" si="29"/>
        <v>118</v>
      </c>
      <c r="V37" s="16">
        <f t="shared" si="29"/>
        <v>777</v>
      </c>
      <c r="W37" s="16">
        <f t="shared" si="29"/>
        <v>16</v>
      </c>
      <c r="X37" s="16">
        <f t="shared" si="29"/>
        <v>8</v>
      </c>
      <c r="Y37" s="16">
        <f t="shared" si="29"/>
        <v>31</v>
      </c>
      <c r="Z37" s="16">
        <f t="shared" si="29"/>
        <v>18</v>
      </c>
      <c r="AA37" s="16">
        <f t="shared" si="29"/>
        <v>4</v>
      </c>
      <c r="AB37" s="16">
        <f t="shared" si="29"/>
        <v>1</v>
      </c>
      <c r="AC37" s="16">
        <f t="shared" si="29"/>
        <v>3921</v>
      </c>
      <c r="AD37" s="16">
        <f t="shared" si="29"/>
        <v>0</v>
      </c>
      <c r="AE37" s="32">
        <f t="shared" si="29"/>
        <v>1688</v>
      </c>
      <c r="AF37" s="32">
        <f t="shared" si="29"/>
        <v>5609</v>
      </c>
    </row>
    <row r="38" spans="2:32" ht="23.1" customHeight="1" x14ac:dyDescent="0.25">
      <c r="B38" s="46" t="s">
        <v>65</v>
      </c>
      <c r="C38" s="50">
        <v>26</v>
      </c>
      <c r="D38" s="50">
        <v>8</v>
      </c>
      <c r="E38" s="50">
        <v>11</v>
      </c>
      <c r="F38" s="50">
        <v>31</v>
      </c>
      <c r="G38" s="50">
        <v>1</v>
      </c>
      <c r="H38" s="50">
        <v>0</v>
      </c>
      <c r="I38" s="50">
        <v>6</v>
      </c>
      <c r="J38" s="50">
        <v>3</v>
      </c>
      <c r="K38" s="50">
        <v>0</v>
      </c>
      <c r="L38" s="50">
        <v>0</v>
      </c>
      <c r="M38" s="50">
        <v>93</v>
      </c>
      <c r="N38" s="50">
        <v>0</v>
      </c>
      <c r="O38" s="15">
        <f t="shared" si="0"/>
        <v>86</v>
      </c>
      <c r="P38" s="15">
        <f t="shared" si="1"/>
        <v>179</v>
      </c>
      <c r="R38" s="28" t="s">
        <v>86</v>
      </c>
      <c r="S38" s="16">
        <f t="shared" ref="S38:AF38" si="30">SUM(S13:S18)</f>
        <v>654</v>
      </c>
      <c r="T38" s="16">
        <f t="shared" si="30"/>
        <v>198</v>
      </c>
      <c r="U38" s="16">
        <f t="shared" si="30"/>
        <v>134</v>
      </c>
      <c r="V38" s="16">
        <f t="shared" si="30"/>
        <v>866</v>
      </c>
      <c r="W38" s="16">
        <f t="shared" si="30"/>
        <v>68</v>
      </c>
      <c r="X38" s="16">
        <f t="shared" si="30"/>
        <v>13</v>
      </c>
      <c r="Y38" s="16">
        <f t="shared" si="30"/>
        <v>56</v>
      </c>
      <c r="Z38" s="16">
        <f t="shared" si="30"/>
        <v>33</v>
      </c>
      <c r="AA38" s="16">
        <f t="shared" si="30"/>
        <v>8</v>
      </c>
      <c r="AB38" s="16">
        <f t="shared" si="30"/>
        <v>7</v>
      </c>
      <c r="AC38" s="16">
        <f t="shared" si="30"/>
        <v>3050</v>
      </c>
      <c r="AD38" s="16">
        <f t="shared" si="30"/>
        <v>0</v>
      </c>
      <c r="AE38" s="32">
        <f t="shared" si="30"/>
        <v>2037</v>
      </c>
      <c r="AF38" s="32">
        <f t="shared" si="30"/>
        <v>5087</v>
      </c>
    </row>
    <row r="39" spans="2:32" ht="23.1" customHeight="1" x14ac:dyDescent="0.25">
      <c r="B39" s="46" t="s">
        <v>66</v>
      </c>
      <c r="C39" s="50">
        <v>31</v>
      </c>
      <c r="D39" s="50">
        <v>11</v>
      </c>
      <c r="E39" s="50">
        <v>6</v>
      </c>
      <c r="F39" s="50">
        <v>48</v>
      </c>
      <c r="G39" s="50">
        <v>0</v>
      </c>
      <c r="H39" s="50">
        <v>1</v>
      </c>
      <c r="I39" s="50">
        <v>10</v>
      </c>
      <c r="J39" s="50">
        <v>4</v>
      </c>
      <c r="K39" s="50">
        <v>0</v>
      </c>
      <c r="L39" s="50">
        <v>0</v>
      </c>
      <c r="M39" s="50">
        <v>103</v>
      </c>
      <c r="N39" s="50">
        <v>0</v>
      </c>
      <c r="O39" s="15">
        <f t="shared" si="0"/>
        <v>111</v>
      </c>
      <c r="P39" s="15">
        <f t="shared" si="1"/>
        <v>214</v>
      </c>
      <c r="R39" s="29" t="s">
        <v>87</v>
      </c>
      <c r="S39" s="16">
        <f t="shared" ref="S39:AF39" si="31">SUM(S19:S21)</f>
        <v>277</v>
      </c>
      <c r="T39" s="16">
        <f t="shared" si="31"/>
        <v>102</v>
      </c>
      <c r="U39" s="16">
        <f t="shared" si="31"/>
        <v>59</v>
      </c>
      <c r="V39" s="16">
        <f t="shared" si="31"/>
        <v>354</v>
      </c>
      <c r="W39" s="16">
        <f t="shared" si="31"/>
        <v>4</v>
      </c>
      <c r="X39" s="16">
        <f t="shared" si="31"/>
        <v>15</v>
      </c>
      <c r="Y39" s="16">
        <f t="shared" si="31"/>
        <v>29</v>
      </c>
      <c r="Z39" s="16">
        <f t="shared" si="31"/>
        <v>21</v>
      </c>
      <c r="AA39" s="16">
        <f t="shared" si="31"/>
        <v>3</v>
      </c>
      <c r="AB39" s="16">
        <f t="shared" si="31"/>
        <v>1</v>
      </c>
      <c r="AC39" s="16">
        <f t="shared" si="31"/>
        <v>1204</v>
      </c>
      <c r="AD39" s="16">
        <f t="shared" si="31"/>
        <v>0</v>
      </c>
      <c r="AE39" s="32">
        <f t="shared" si="31"/>
        <v>865</v>
      </c>
      <c r="AF39" s="32">
        <f t="shared" si="31"/>
        <v>2069</v>
      </c>
    </row>
    <row r="40" spans="2:32" ht="23.1" customHeight="1" x14ac:dyDescent="0.25">
      <c r="B40" s="46" t="s">
        <v>67</v>
      </c>
      <c r="C40" s="50">
        <v>28</v>
      </c>
      <c r="D40" s="50">
        <v>7</v>
      </c>
      <c r="E40" s="50">
        <v>3</v>
      </c>
      <c r="F40" s="50">
        <v>49</v>
      </c>
      <c r="G40" s="50">
        <v>3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108</v>
      </c>
      <c r="N40" s="50">
        <v>0</v>
      </c>
      <c r="O40" s="15">
        <f t="shared" si="0"/>
        <v>92</v>
      </c>
      <c r="P40" s="15">
        <f t="shared" si="1"/>
        <v>200</v>
      </c>
      <c r="R40" s="5" t="s">
        <v>17</v>
      </c>
      <c r="S40" s="16">
        <f t="shared" ref="S40:AF40" si="32">SUM(S10:S21)</f>
        <v>1464</v>
      </c>
      <c r="T40" s="16">
        <f t="shared" si="32"/>
        <v>482</v>
      </c>
      <c r="U40" s="16">
        <f t="shared" si="32"/>
        <v>311</v>
      </c>
      <c r="V40" s="16">
        <f t="shared" si="32"/>
        <v>1997</v>
      </c>
      <c r="W40" s="16">
        <f t="shared" si="32"/>
        <v>88</v>
      </c>
      <c r="X40" s="16">
        <f t="shared" si="32"/>
        <v>36</v>
      </c>
      <c r="Y40" s="16">
        <f t="shared" si="32"/>
        <v>116</v>
      </c>
      <c r="Z40" s="16">
        <f t="shared" si="32"/>
        <v>72</v>
      </c>
      <c r="AA40" s="16">
        <f t="shared" si="32"/>
        <v>15</v>
      </c>
      <c r="AB40" s="16">
        <f t="shared" si="32"/>
        <v>9</v>
      </c>
      <c r="AC40" s="16">
        <f t="shared" si="32"/>
        <v>8175</v>
      </c>
      <c r="AD40" s="16">
        <f t="shared" si="32"/>
        <v>0</v>
      </c>
      <c r="AE40" s="32">
        <f t="shared" si="32"/>
        <v>4590</v>
      </c>
      <c r="AF40" s="32">
        <f t="shared" si="32"/>
        <v>12765</v>
      </c>
    </row>
    <row r="41" spans="2:32" ht="23.1" customHeight="1" x14ac:dyDescent="0.25">
      <c r="B41" s="45" t="s">
        <v>68</v>
      </c>
      <c r="C41" s="50">
        <v>18</v>
      </c>
      <c r="D41" s="50">
        <v>12</v>
      </c>
      <c r="E41" s="50">
        <v>8</v>
      </c>
      <c r="F41" s="50">
        <v>41</v>
      </c>
      <c r="G41" s="50">
        <v>1</v>
      </c>
      <c r="H41" s="50">
        <v>1</v>
      </c>
      <c r="I41" s="50">
        <v>0</v>
      </c>
      <c r="J41" s="50">
        <v>2</v>
      </c>
      <c r="K41" s="50">
        <v>0</v>
      </c>
      <c r="L41" s="50">
        <v>0</v>
      </c>
      <c r="M41" s="50">
        <v>144</v>
      </c>
      <c r="N41" s="50">
        <v>0</v>
      </c>
      <c r="O41" s="15">
        <f t="shared" si="0"/>
        <v>83</v>
      </c>
      <c r="P41" s="15">
        <f t="shared" si="1"/>
        <v>227</v>
      </c>
      <c r="R41" s="5" t="s">
        <v>159</v>
      </c>
      <c r="S41" s="16">
        <f>SUM(S10:S33)</f>
        <v>2828</v>
      </c>
      <c r="T41" s="16">
        <f t="shared" ref="T41:AF41" si="33">SUM(T10:T33)</f>
        <v>1076</v>
      </c>
      <c r="U41" s="16">
        <f t="shared" si="33"/>
        <v>671</v>
      </c>
      <c r="V41" s="16">
        <f t="shared" si="33"/>
        <v>3193</v>
      </c>
      <c r="W41" s="16">
        <f t="shared" si="33"/>
        <v>210</v>
      </c>
      <c r="X41" s="16">
        <f t="shared" si="33"/>
        <v>206</v>
      </c>
      <c r="Y41" s="16">
        <f t="shared" si="33"/>
        <v>286</v>
      </c>
      <c r="Z41" s="16">
        <f t="shared" si="33"/>
        <v>236</v>
      </c>
      <c r="AA41" s="16">
        <f t="shared" si="33"/>
        <v>141</v>
      </c>
      <c r="AB41" s="16">
        <f t="shared" si="33"/>
        <v>171</v>
      </c>
      <c r="AC41" s="16">
        <f t="shared" si="33"/>
        <v>12733</v>
      </c>
      <c r="AD41" s="16">
        <f t="shared" si="33"/>
        <v>0</v>
      </c>
      <c r="AE41" s="32">
        <f t="shared" si="33"/>
        <v>8982</v>
      </c>
      <c r="AF41" s="32">
        <f t="shared" si="33"/>
        <v>21705</v>
      </c>
    </row>
    <row r="42" spans="2:32" ht="23.1" customHeight="1" x14ac:dyDescent="0.25">
      <c r="B42" s="46" t="s">
        <v>69</v>
      </c>
      <c r="C42" s="50">
        <v>21</v>
      </c>
      <c r="D42" s="50">
        <v>3</v>
      </c>
      <c r="E42" s="50">
        <v>2</v>
      </c>
      <c r="F42" s="50">
        <v>31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124</v>
      </c>
      <c r="N42" s="50">
        <v>0</v>
      </c>
      <c r="O42" s="15">
        <f t="shared" si="0"/>
        <v>61</v>
      </c>
      <c r="P42" s="15">
        <f t="shared" si="1"/>
        <v>185</v>
      </c>
      <c r="R42" s="5" t="s">
        <v>160</v>
      </c>
      <c r="S42" s="48">
        <f>S41/S40</f>
        <v>1.9316939890710383</v>
      </c>
      <c r="T42" s="48">
        <f t="shared" ref="T42:AF42" si="34">T41/T40</f>
        <v>2.2323651452282158</v>
      </c>
      <c r="U42" s="48">
        <f t="shared" si="34"/>
        <v>2.157556270096463</v>
      </c>
      <c r="V42" s="48">
        <f t="shared" si="34"/>
        <v>1.5988983475212819</v>
      </c>
      <c r="W42" s="48">
        <f t="shared" si="34"/>
        <v>2.3863636363636362</v>
      </c>
      <c r="X42" s="48">
        <f t="shared" si="34"/>
        <v>5.7222222222222223</v>
      </c>
      <c r="Y42" s="48">
        <f t="shared" si="34"/>
        <v>2.4655172413793105</v>
      </c>
      <c r="Z42" s="48">
        <f t="shared" si="34"/>
        <v>3.2777777777777777</v>
      </c>
      <c r="AA42" s="48">
        <f t="shared" si="34"/>
        <v>9.4</v>
      </c>
      <c r="AB42" s="48">
        <f t="shared" si="34"/>
        <v>19</v>
      </c>
      <c r="AC42" s="48">
        <f t="shared" si="34"/>
        <v>1.5575535168195718</v>
      </c>
      <c r="AD42" s="48" t="e">
        <f t="shared" si="34"/>
        <v>#DIV/0!</v>
      </c>
      <c r="AE42" s="48">
        <f t="shared" si="34"/>
        <v>1.9568627450980391</v>
      </c>
      <c r="AF42" s="48">
        <f t="shared" si="34"/>
        <v>1.700352526439483</v>
      </c>
    </row>
    <row r="43" spans="2:32" ht="23.1" customHeight="1" x14ac:dyDescent="0.25">
      <c r="B43" s="45" t="s">
        <v>70</v>
      </c>
      <c r="C43" s="50">
        <v>19</v>
      </c>
      <c r="D43" s="50">
        <v>9</v>
      </c>
      <c r="E43" s="50">
        <v>3</v>
      </c>
      <c r="F43" s="50">
        <v>24</v>
      </c>
      <c r="G43" s="50">
        <v>1</v>
      </c>
      <c r="H43" s="50">
        <v>0</v>
      </c>
      <c r="I43" s="50">
        <v>1</v>
      </c>
      <c r="J43" s="50">
        <v>3</v>
      </c>
      <c r="K43" s="50">
        <v>0</v>
      </c>
      <c r="L43" s="50">
        <v>0</v>
      </c>
      <c r="M43" s="50">
        <v>109</v>
      </c>
      <c r="N43" s="50">
        <v>0</v>
      </c>
      <c r="O43" s="15">
        <f t="shared" si="0"/>
        <v>60</v>
      </c>
      <c r="P43" s="15">
        <f t="shared" si="1"/>
        <v>169</v>
      </c>
    </row>
    <row r="44" spans="2:32" ht="23.1" customHeight="1" x14ac:dyDescent="0.25">
      <c r="B44" s="47" t="s">
        <v>71</v>
      </c>
      <c r="C44" s="50">
        <v>22</v>
      </c>
      <c r="D44" s="50">
        <v>0</v>
      </c>
      <c r="E44" s="50">
        <v>0</v>
      </c>
      <c r="F44" s="50">
        <v>23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0</v>
      </c>
      <c r="M44" s="50">
        <v>99</v>
      </c>
      <c r="N44" s="50">
        <v>0</v>
      </c>
      <c r="O44" s="15">
        <f t="shared" si="0"/>
        <v>46</v>
      </c>
      <c r="P44" s="15">
        <f t="shared" si="1"/>
        <v>145</v>
      </c>
    </row>
    <row r="45" spans="2:32" ht="23.1" customHeight="1" x14ac:dyDescent="0.25">
      <c r="B45" s="45" t="s">
        <v>72</v>
      </c>
      <c r="C45" s="50">
        <v>17</v>
      </c>
      <c r="D45" s="50">
        <v>6</v>
      </c>
      <c r="E45" s="50">
        <v>3</v>
      </c>
      <c r="F45" s="50">
        <v>0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68</v>
      </c>
      <c r="N45" s="50">
        <v>0</v>
      </c>
      <c r="O45" s="15">
        <f t="shared" si="0"/>
        <v>27</v>
      </c>
      <c r="P45" s="15">
        <f t="shared" si="1"/>
        <v>95</v>
      </c>
    </row>
    <row r="46" spans="2:32" ht="23.1" customHeight="1" x14ac:dyDescent="0.25">
      <c r="B46" s="46" t="s">
        <v>73</v>
      </c>
      <c r="C46" s="50">
        <v>6</v>
      </c>
      <c r="D46" s="50">
        <v>4</v>
      </c>
      <c r="E46" s="50">
        <v>5</v>
      </c>
      <c r="F46" s="50">
        <v>29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1</v>
      </c>
      <c r="M46" s="50">
        <v>31</v>
      </c>
      <c r="N46" s="50">
        <v>0</v>
      </c>
      <c r="O46" s="15">
        <f t="shared" si="0"/>
        <v>46</v>
      </c>
      <c r="P46" s="15">
        <f t="shared" si="1"/>
        <v>77</v>
      </c>
      <c r="R46" s="8"/>
      <c r="T46"/>
    </row>
    <row r="47" spans="2:32" ht="23.1" customHeight="1" x14ac:dyDescent="0.25">
      <c r="B47" s="46" t="s">
        <v>74</v>
      </c>
      <c r="C47" s="50">
        <v>18</v>
      </c>
      <c r="D47" s="50">
        <v>6</v>
      </c>
      <c r="E47" s="50">
        <v>1</v>
      </c>
      <c r="F47" s="50">
        <v>16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22</v>
      </c>
      <c r="N47" s="50">
        <v>0</v>
      </c>
      <c r="O47" s="15">
        <f t="shared" si="0"/>
        <v>43</v>
      </c>
      <c r="P47" s="15">
        <f t="shared" si="1"/>
        <v>65</v>
      </c>
      <c r="R47" s="8"/>
      <c r="T47"/>
    </row>
    <row r="48" spans="2:32" ht="23.1" customHeight="1" x14ac:dyDescent="0.25">
      <c r="B48" s="46" t="s">
        <v>75</v>
      </c>
      <c r="C48" s="50">
        <v>28</v>
      </c>
      <c r="D48" s="50">
        <v>8</v>
      </c>
      <c r="E48" s="50">
        <v>6</v>
      </c>
      <c r="F48" s="50">
        <v>39</v>
      </c>
      <c r="G48" s="50">
        <v>1</v>
      </c>
      <c r="H48" s="50">
        <v>1</v>
      </c>
      <c r="I48" s="50">
        <v>5</v>
      </c>
      <c r="J48" s="50">
        <v>6</v>
      </c>
      <c r="K48" s="50">
        <v>1</v>
      </c>
      <c r="L48" s="50">
        <v>0</v>
      </c>
      <c r="M48" s="50">
        <v>114</v>
      </c>
      <c r="N48" s="50">
        <v>0</v>
      </c>
      <c r="O48" s="15">
        <f t="shared" si="0"/>
        <v>95</v>
      </c>
      <c r="P48" s="15">
        <f t="shared" si="1"/>
        <v>209</v>
      </c>
      <c r="R48" s="8"/>
      <c r="T48"/>
    </row>
    <row r="49" spans="2:20" ht="23.1" customHeight="1" x14ac:dyDescent="0.25">
      <c r="B49" s="45" t="s">
        <v>76</v>
      </c>
      <c r="C49" s="50">
        <v>34</v>
      </c>
      <c r="D49" s="50">
        <v>6</v>
      </c>
      <c r="E49" s="50">
        <v>7</v>
      </c>
      <c r="F49" s="50">
        <v>21</v>
      </c>
      <c r="G49" s="50">
        <v>1</v>
      </c>
      <c r="H49" s="50">
        <v>2</v>
      </c>
      <c r="I49" s="50">
        <v>1</v>
      </c>
      <c r="J49" s="50">
        <v>1</v>
      </c>
      <c r="K49" s="50">
        <v>0</v>
      </c>
      <c r="L49" s="50">
        <v>0</v>
      </c>
      <c r="M49" s="50">
        <v>145</v>
      </c>
      <c r="N49" s="50">
        <v>0</v>
      </c>
      <c r="O49" s="15">
        <f t="shared" si="0"/>
        <v>73</v>
      </c>
      <c r="P49" s="15">
        <f t="shared" si="1"/>
        <v>218</v>
      </c>
      <c r="R49" s="8"/>
      <c r="T49"/>
    </row>
    <row r="50" spans="2:20" ht="23.1" customHeight="1" x14ac:dyDescent="0.25">
      <c r="B50" s="46" t="s">
        <v>77</v>
      </c>
      <c r="C50" s="50">
        <v>28</v>
      </c>
      <c r="D50" s="50">
        <v>8</v>
      </c>
      <c r="E50" s="50">
        <v>7</v>
      </c>
      <c r="F50" s="50">
        <v>44</v>
      </c>
      <c r="G50" s="50">
        <v>0</v>
      </c>
      <c r="H50" s="50">
        <v>0</v>
      </c>
      <c r="I50" s="50">
        <v>7</v>
      </c>
      <c r="J50" s="50">
        <v>0</v>
      </c>
      <c r="K50" s="50">
        <v>0</v>
      </c>
      <c r="L50" s="50">
        <v>0</v>
      </c>
      <c r="M50" s="50">
        <v>154</v>
      </c>
      <c r="N50" s="50">
        <v>0</v>
      </c>
      <c r="O50" s="15">
        <f t="shared" si="0"/>
        <v>94</v>
      </c>
      <c r="P50" s="15">
        <f t="shared" si="1"/>
        <v>248</v>
      </c>
      <c r="R50" s="8"/>
      <c r="T50"/>
    </row>
    <row r="51" spans="2:20" ht="23.1" customHeight="1" x14ac:dyDescent="0.25">
      <c r="B51" s="46" t="s">
        <v>78</v>
      </c>
      <c r="C51" s="50">
        <v>29</v>
      </c>
      <c r="D51" s="50">
        <v>13</v>
      </c>
      <c r="E51" s="50">
        <v>11</v>
      </c>
      <c r="F51" s="50">
        <v>41</v>
      </c>
      <c r="G51" s="50">
        <v>1</v>
      </c>
      <c r="H51" s="50">
        <v>1</v>
      </c>
      <c r="I51" s="50">
        <v>2</v>
      </c>
      <c r="J51" s="50">
        <v>3</v>
      </c>
      <c r="K51" s="50">
        <v>0</v>
      </c>
      <c r="L51" s="50">
        <v>0</v>
      </c>
      <c r="M51" s="50">
        <v>149</v>
      </c>
      <c r="N51" s="50">
        <v>0</v>
      </c>
      <c r="O51" s="15">
        <f t="shared" si="0"/>
        <v>101</v>
      </c>
      <c r="P51" s="15">
        <f t="shared" si="1"/>
        <v>250</v>
      </c>
      <c r="R51" s="8"/>
      <c r="T51"/>
    </row>
    <row r="52" spans="2:20" ht="23.1" customHeight="1" x14ac:dyDescent="0.25">
      <c r="B52" s="46" t="s">
        <v>79</v>
      </c>
      <c r="C52" s="50">
        <v>23</v>
      </c>
      <c r="D52" s="50">
        <v>8</v>
      </c>
      <c r="E52" s="50">
        <v>8</v>
      </c>
      <c r="F52" s="50">
        <v>28</v>
      </c>
      <c r="G52" s="50">
        <v>0</v>
      </c>
      <c r="H52" s="50">
        <v>2</v>
      </c>
      <c r="I52" s="50">
        <v>0</v>
      </c>
      <c r="J52" s="50">
        <v>2</v>
      </c>
      <c r="K52" s="50">
        <v>1</v>
      </c>
      <c r="L52" s="50">
        <v>0</v>
      </c>
      <c r="M52" s="50">
        <v>124</v>
      </c>
      <c r="N52" s="50">
        <v>0</v>
      </c>
      <c r="O52" s="15">
        <f t="shared" si="0"/>
        <v>72</v>
      </c>
      <c r="P52" s="15">
        <f t="shared" si="1"/>
        <v>196</v>
      </c>
      <c r="R52" s="8"/>
      <c r="T52"/>
    </row>
    <row r="53" spans="2:20" ht="23.1" customHeight="1" x14ac:dyDescent="0.25">
      <c r="B53" s="45" t="s">
        <v>80</v>
      </c>
      <c r="C53" s="50">
        <v>28</v>
      </c>
      <c r="D53" s="50">
        <v>10</v>
      </c>
      <c r="E53" s="50">
        <v>4</v>
      </c>
      <c r="F53" s="50">
        <v>26</v>
      </c>
      <c r="G53" s="50">
        <v>0</v>
      </c>
      <c r="H53" s="50">
        <v>3</v>
      </c>
      <c r="I53" s="50">
        <v>1</v>
      </c>
      <c r="J53" s="50">
        <v>2</v>
      </c>
      <c r="K53" s="50">
        <v>0</v>
      </c>
      <c r="L53" s="50">
        <v>0</v>
      </c>
      <c r="M53" s="50">
        <v>117</v>
      </c>
      <c r="N53" s="50">
        <v>0</v>
      </c>
      <c r="O53" s="15">
        <f t="shared" si="0"/>
        <v>74</v>
      </c>
      <c r="P53" s="15">
        <f t="shared" si="1"/>
        <v>191</v>
      </c>
      <c r="R53" s="8"/>
      <c r="T53"/>
    </row>
    <row r="54" spans="2:20" ht="23.1" customHeight="1" x14ac:dyDescent="0.25">
      <c r="B54" s="45" t="s">
        <v>81</v>
      </c>
      <c r="C54" s="50">
        <v>28</v>
      </c>
      <c r="D54" s="50">
        <v>11</v>
      </c>
      <c r="E54" s="50">
        <v>3</v>
      </c>
      <c r="F54" s="50">
        <v>32</v>
      </c>
      <c r="G54" s="50">
        <v>1</v>
      </c>
      <c r="H54" s="50">
        <v>2</v>
      </c>
      <c r="I54" s="50">
        <v>2</v>
      </c>
      <c r="J54" s="50">
        <v>3</v>
      </c>
      <c r="K54" s="50">
        <v>1</v>
      </c>
      <c r="L54" s="50">
        <v>0</v>
      </c>
      <c r="M54" s="50">
        <v>103</v>
      </c>
      <c r="N54" s="50">
        <v>0</v>
      </c>
      <c r="O54" s="15">
        <f t="shared" si="0"/>
        <v>83</v>
      </c>
      <c r="P54" s="15">
        <f t="shared" si="1"/>
        <v>186</v>
      </c>
      <c r="R54" s="8"/>
      <c r="T54"/>
    </row>
    <row r="55" spans="2:20" ht="23.1" customHeight="1" x14ac:dyDescent="0.25">
      <c r="B55" s="45" t="s">
        <v>82</v>
      </c>
      <c r="C55" s="50">
        <v>18</v>
      </c>
      <c r="D55" s="50">
        <v>18</v>
      </c>
      <c r="E55" s="50">
        <v>6</v>
      </c>
      <c r="F55" s="50">
        <v>27</v>
      </c>
      <c r="G55" s="50">
        <v>0</v>
      </c>
      <c r="H55" s="50">
        <v>1</v>
      </c>
      <c r="I55" s="50">
        <v>1</v>
      </c>
      <c r="J55" s="50">
        <v>2</v>
      </c>
      <c r="K55" s="50">
        <v>0</v>
      </c>
      <c r="L55" s="50">
        <v>0</v>
      </c>
      <c r="M55" s="50">
        <v>89</v>
      </c>
      <c r="N55" s="50">
        <v>0</v>
      </c>
      <c r="O55" s="15">
        <f t="shared" si="0"/>
        <v>73</v>
      </c>
      <c r="P55" s="15">
        <f t="shared" si="1"/>
        <v>162</v>
      </c>
      <c r="R55" s="8"/>
      <c r="T55"/>
    </row>
    <row r="56" spans="2:20" ht="23.1" customHeight="1" x14ac:dyDescent="0.25">
      <c r="B56" s="45" t="s">
        <v>83</v>
      </c>
      <c r="C56" s="50">
        <v>16</v>
      </c>
      <c r="D56" s="50">
        <v>4</v>
      </c>
      <c r="E56" s="50">
        <v>0</v>
      </c>
      <c r="F56" s="50">
        <v>31</v>
      </c>
      <c r="G56" s="50">
        <v>0</v>
      </c>
      <c r="H56" s="50">
        <v>0</v>
      </c>
      <c r="I56" s="50">
        <v>6</v>
      </c>
      <c r="J56" s="50">
        <v>1</v>
      </c>
      <c r="K56" s="50">
        <v>0</v>
      </c>
      <c r="L56" s="50">
        <v>0</v>
      </c>
      <c r="M56" s="50">
        <v>73</v>
      </c>
      <c r="N56" s="50">
        <v>0</v>
      </c>
      <c r="O56" s="15">
        <f t="shared" si="0"/>
        <v>58</v>
      </c>
      <c r="P56" s="15">
        <f t="shared" si="1"/>
        <v>131</v>
      </c>
      <c r="R56" s="8"/>
      <c r="T56"/>
    </row>
    <row r="57" spans="2:20" ht="23.1" customHeight="1" x14ac:dyDescent="0.25">
      <c r="B57" s="45" t="s">
        <v>84</v>
      </c>
      <c r="C57" s="50">
        <v>21</v>
      </c>
      <c r="D57" s="50">
        <v>6</v>
      </c>
      <c r="E57" s="50">
        <v>1</v>
      </c>
      <c r="F57" s="50">
        <v>20</v>
      </c>
      <c r="G57" s="50">
        <v>0</v>
      </c>
      <c r="H57" s="50">
        <v>2</v>
      </c>
      <c r="I57" s="50">
        <v>2</v>
      </c>
      <c r="J57" s="50">
        <v>1</v>
      </c>
      <c r="K57" s="50">
        <v>0</v>
      </c>
      <c r="L57" s="50">
        <v>0</v>
      </c>
      <c r="M57" s="50">
        <v>83</v>
      </c>
      <c r="N57" s="50">
        <v>0</v>
      </c>
      <c r="O57" s="15">
        <f t="shared" si="0"/>
        <v>53</v>
      </c>
      <c r="P57" s="15">
        <f t="shared" si="1"/>
        <v>136</v>
      </c>
      <c r="R57" s="8"/>
      <c r="T57"/>
    </row>
    <row r="58" spans="2:20" ht="23.1" customHeight="1" x14ac:dyDescent="0.25">
      <c r="B58" s="45" t="s">
        <v>99</v>
      </c>
      <c r="C58" s="50">
        <v>120</v>
      </c>
      <c r="D58" s="50">
        <v>65</v>
      </c>
      <c r="E58" s="50">
        <v>20</v>
      </c>
      <c r="F58" s="50">
        <v>5</v>
      </c>
      <c r="G58" s="50">
        <v>10</v>
      </c>
      <c r="H58" s="50">
        <v>30</v>
      </c>
      <c r="I58" s="50">
        <v>15</v>
      </c>
      <c r="J58" s="50">
        <v>15</v>
      </c>
      <c r="K58" s="50">
        <v>10</v>
      </c>
      <c r="L58" s="50">
        <v>10</v>
      </c>
      <c r="M58" s="50">
        <v>170</v>
      </c>
      <c r="N58" s="50">
        <v>0</v>
      </c>
      <c r="O58" s="15">
        <f t="shared" ref="O58:O105" si="35">SUM(C58:L58,N58)</f>
        <v>300</v>
      </c>
      <c r="P58" s="15">
        <f t="shared" ref="P58:P105" si="36">SUM(C58:N58)</f>
        <v>470</v>
      </c>
      <c r="R58" s="8"/>
      <c r="T58"/>
    </row>
    <row r="59" spans="2:20" ht="23.1" customHeight="1" x14ac:dyDescent="0.25">
      <c r="B59" s="45" t="s">
        <v>100</v>
      </c>
      <c r="C59" s="50">
        <v>110</v>
      </c>
      <c r="D59" s="50">
        <v>10</v>
      </c>
      <c r="E59" s="50">
        <v>15</v>
      </c>
      <c r="F59" s="50">
        <v>95</v>
      </c>
      <c r="G59" s="50">
        <v>5</v>
      </c>
      <c r="H59" s="50">
        <v>25</v>
      </c>
      <c r="I59" s="50">
        <v>10</v>
      </c>
      <c r="J59" s="50">
        <v>5</v>
      </c>
      <c r="K59" s="50">
        <v>5</v>
      </c>
      <c r="L59" s="50">
        <v>20</v>
      </c>
      <c r="M59" s="50">
        <v>240</v>
      </c>
      <c r="N59" s="50">
        <v>0</v>
      </c>
      <c r="O59" s="15">
        <f t="shared" si="35"/>
        <v>300</v>
      </c>
      <c r="P59" s="15">
        <f t="shared" si="36"/>
        <v>540</v>
      </c>
      <c r="R59" s="8"/>
      <c r="T59"/>
    </row>
    <row r="60" spans="2:20" ht="23.1" customHeight="1" x14ac:dyDescent="0.25">
      <c r="B60" s="45" t="s">
        <v>101</v>
      </c>
      <c r="C60" s="50">
        <v>110</v>
      </c>
      <c r="D60" s="50">
        <v>90</v>
      </c>
      <c r="E60" s="50">
        <v>85</v>
      </c>
      <c r="F60" s="50">
        <v>121</v>
      </c>
      <c r="G60" s="50">
        <v>15</v>
      </c>
      <c r="H60" s="50">
        <v>10</v>
      </c>
      <c r="I60" s="50">
        <v>25</v>
      </c>
      <c r="J60" s="50">
        <v>35</v>
      </c>
      <c r="K60" s="50">
        <v>20</v>
      </c>
      <c r="L60" s="50">
        <v>40</v>
      </c>
      <c r="M60" s="50">
        <v>265</v>
      </c>
      <c r="N60" s="50">
        <v>0</v>
      </c>
      <c r="O60" s="15">
        <f t="shared" si="35"/>
        <v>551</v>
      </c>
      <c r="P60" s="15">
        <f t="shared" si="36"/>
        <v>816</v>
      </c>
      <c r="R60" s="8"/>
      <c r="T60"/>
    </row>
    <row r="61" spans="2:20" ht="23.1" customHeight="1" x14ac:dyDescent="0.25">
      <c r="B61" s="45" t="s">
        <v>102</v>
      </c>
      <c r="C61" s="50">
        <v>100</v>
      </c>
      <c r="D61" s="50">
        <v>90</v>
      </c>
      <c r="E61" s="50">
        <v>60</v>
      </c>
      <c r="F61" s="50">
        <v>135</v>
      </c>
      <c r="G61" s="50">
        <v>25</v>
      </c>
      <c r="H61" s="50">
        <v>15</v>
      </c>
      <c r="I61" s="50">
        <v>5</v>
      </c>
      <c r="J61" s="50">
        <v>35</v>
      </c>
      <c r="K61" s="50">
        <v>30</v>
      </c>
      <c r="L61" s="50">
        <v>15</v>
      </c>
      <c r="M61" s="50">
        <v>285</v>
      </c>
      <c r="N61" s="50">
        <v>0</v>
      </c>
      <c r="O61" s="15">
        <f t="shared" si="35"/>
        <v>510</v>
      </c>
      <c r="P61" s="15">
        <f t="shared" si="36"/>
        <v>795</v>
      </c>
      <c r="R61" s="8"/>
      <c r="T61"/>
    </row>
    <row r="62" spans="2:20" ht="23.1" customHeight="1" x14ac:dyDescent="0.25">
      <c r="B62" s="45" t="s">
        <v>107</v>
      </c>
      <c r="C62" s="50">
        <v>30</v>
      </c>
      <c r="D62" s="50">
        <v>13</v>
      </c>
      <c r="E62" s="50">
        <v>15</v>
      </c>
      <c r="F62" s="50">
        <v>75</v>
      </c>
      <c r="G62" s="50">
        <v>4</v>
      </c>
      <c r="H62" s="50">
        <v>2</v>
      </c>
      <c r="I62" s="50">
        <v>5</v>
      </c>
      <c r="J62" s="50">
        <v>3</v>
      </c>
      <c r="K62" s="50">
        <v>7</v>
      </c>
      <c r="L62" s="50">
        <v>8</v>
      </c>
      <c r="M62" s="50">
        <v>260</v>
      </c>
      <c r="N62" s="50">
        <v>0</v>
      </c>
      <c r="O62" s="15">
        <f t="shared" si="35"/>
        <v>162</v>
      </c>
      <c r="P62" s="15">
        <f t="shared" si="36"/>
        <v>422</v>
      </c>
      <c r="R62" s="8"/>
      <c r="T62"/>
    </row>
    <row r="63" spans="2:20" ht="23.1" customHeight="1" x14ac:dyDescent="0.25">
      <c r="B63" s="45" t="s">
        <v>108</v>
      </c>
      <c r="C63" s="50">
        <v>40</v>
      </c>
      <c r="D63" s="50">
        <v>6</v>
      </c>
      <c r="E63" s="50">
        <v>5</v>
      </c>
      <c r="F63" s="50">
        <v>45</v>
      </c>
      <c r="G63" s="50">
        <v>0</v>
      </c>
      <c r="H63" s="50">
        <v>2</v>
      </c>
      <c r="I63" s="50">
        <v>2</v>
      </c>
      <c r="J63" s="50">
        <v>4</v>
      </c>
      <c r="K63" s="50">
        <v>2</v>
      </c>
      <c r="L63" s="50">
        <v>1</v>
      </c>
      <c r="M63" s="50">
        <v>280</v>
      </c>
      <c r="N63" s="50">
        <v>0</v>
      </c>
      <c r="O63" s="15">
        <f t="shared" si="35"/>
        <v>107</v>
      </c>
      <c r="P63" s="15">
        <f t="shared" si="36"/>
        <v>387</v>
      </c>
      <c r="R63" s="8"/>
      <c r="T63"/>
    </row>
    <row r="64" spans="2:20" ht="23.1" customHeight="1" x14ac:dyDescent="0.25">
      <c r="B64" s="45" t="s">
        <v>109</v>
      </c>
      <c r="C64" s="50">
        <v>90</v>
      </c>
      <c r="D64" s="50">
        <v>25</v>
      </c>
      <c r="E64" s="50">
        <v>20</v>
      </c>
      <c r="F64" s="50">
        <v>25</v>
      </c>
      <c r="G64" s="50">
        <v>18</v>
      </c>
      <c r="H64" s="50">
        <v>4</v>
      </c>
      <c r="I64" s="50">
        <v>7</v>
      </c>
      <c r="J64" s="50">
        <v>8</v>
      </c>
      <c r="K64" s="50">
        <v>1</v>
      </c>
      <c r="L64" s="50">
        <v>5</v>
      </c>
      <c r="M64" s="50">
        <v>200</v>
      </c>
      <c r="N64" s="50">
        <v>0</v>
      </c>
      <c r="O64" s="15">
        <f t="shared" si="35"/>
        <v>203</v>
      </c>
      <c r="P64" s="15">
        <f t="shared" si="36"/>
        <v>403</v>
      </c>
      <c r="R64" s="8"/>
      <c r="T64"/>
    </row>
    <row r="65" spans="2:20" ht="23.1" customHeight="1" x14ac:dyDescent="0.25">
      <c r="B65" s="45" t="s">
        <v>158</v>
      </c>
      <c r="C65" s="50">
        <v>62</v>
      </c>
      <c r="D65" s="50">
        <v>14</v>
      </c>
      <c r="E65" s="50">
        <v>6</v>
      </c>
      <c r="F65" s="50">
        <v>10</v>
      </c>
      <c r="G65" s="50">
        <v>7</v>
      </c>
      <c r="H65" s="50">
        <v>3</v>
      </c>
      <c r="I65" s="50">
        <v>4</v>
      </c>
      <c r="J65" s="50">
        <v>0</v>
      </c>
      <c r="K65" s="50">
        <v>3</v>
      </c>
      <c r="L65" s="50">
        <v>1</v>
      </c>
      <c r="M65" s="50">
        <v>290</v>
      </c>
      <c r="N65" s="50">
        <v>0</v>
      </c>
      <c r="O65" s="15">
        <f t="shared" si="35"/>
        <v>110</v>
      </c>
      <c r="P65" s="15">
        <f t="shared" si="36"/>
        <v>400</v>
      </c>
      <c r="R65" s="8"/>
      <c r="T65"/>
    </row>
    <row r="66" spans="2:20" ht="23.1" customHeight="1" x14ac:dyDescent="0.25">
      <c r="B66" s="45" t="s">
        <v>103</v>
      </c>
      <c r="C66" s="50">
        <v>70</v>
      </c>
      <c r="D66" s="50">
        <v>6</v>
      </c>
      <c r="E66" s="50">
        <v>2</v>
      </c>
      <c r="F66" s="50">
        <v>70</v>
      </c>
      <c r="G66" s="50">
        <v>5</v>
      </c>
      <c r="H66" s="50">
        <v>5</v>
      </c>
      <c r="I66" s="50">
        <v>4</v>
      </c>
      <c r="J66" s="50">
        <v>2</v>
      </c>
      <c r="K66" s="50">
        <v>1</v>
      </c>
      <c r="L66" s="50">
        <v>4</v>
      </c>
      <c r="M66" s="50">
        <v>170</v>
      </c>
      <c r="N66" s="50">
        <v>0</v>
      </c>
      <c r="O66" s="15">
        <f t="shared" si="35"/>
        <v>169</v>
      </c>
      <c r="P66" s="15">
        <f t="shared" si="36"/>
        <v>339</v>
      </c>
      <c r="R66" s="8"/>
      <c r="T66"/>
    </row>
    <row r="67" spans="2:20" ht="23.1" customHeight="1" x14ac:dyDescent="0.25">
      <c r="B67" s="45" t="s">
        <v>104</v>
      </c>
      <c r="C67" s="50">
        <v>50</v>
      </c>
      <c r="D67" s="50">
        <v>2</v>
      </c>
      <c r="E67" s="50">
        <v>4</v>
      </c>
      <c r="F67" s="50">
        <v>3</v>
      </c>
      <c r="G67" s="50">
        <v>3</v>
      </c>
      <c r="H67" s="50">
        <v>10</v>
      </c>
      <c r="I67" s="50">
        <v>12</v>
      </c>
      <c r="J67" s="50">
        <v>2</v>
      </c>
      <c r="K67" s="50">
        <v>3</v>
      </c>
      <c r="L67" s="50">
        <v>5</v>
      </c>
      <c r="M67" s="50">
        <v>200</v>
      </c>
      <c r="N67" s="50">
        <v>0</v>
      </c>
      <c r="O67" s="15">
        <f t="shared" si="35"/>
        <v>94</v>
      </c>
      <c r="P67" s="15">
        <f t="shared" si="36"/>
        <v>294</v>
      </c>
      <c r="R67" s="8"/>
      <c r="T67"/>
    </row>
    <row r="68" spans="2:20" ht="23.1" customHeight="1" x14ac:dyDescent="0.25">
      <c r="B68" s="45" t="s">
        <v>105</v>
      </c>
      <c r="C68" s="50">
        <v>100</v>
      </c>
      <c r="D68" s="50">
        <v>5</v>
      </c>
      <c r="E68" s="50">
        <v>2</v>
      </c>
      <c r="F68" s="50">
        <v>3</v>
      </c>
      <c r="G68" s="50">
        <v>1</v>
      </c>
      <c r="H68" s="50">
        <v>4</v>
      </c>
      <c r="I68" s="50">
        <v>3</v>
      </c>
      <c r="J68" s="50">
        <v>6</v>
      </c>
      <c r="K68" s="50">
        <v>2</v>
      </c>
      <c r="L68" s="50">
        <v>7</v>
      </c>
      <c r="M68" s="50">
        <v>160</v>
      </c>
      <c r="N68" s="50">
        <v>0</v>
      </c>
      <c r="O68" s="15">
        <f t="shared" si="35"/>
        <v>133</v>
      </c>
      <c r="P68" s="15">
        <f t="shared" si="36"/>
        <v>293</v>
      </c>
      <c r="R68" s="8"/>
      <c r="T68"/>
    </row>
    <row r="69" spans="2:20" ht="23.1" customHeight="1" x14ac:dyDescent="0.25">
      <c r="B69" s="45" t="s">
        <v>106</v>
      </c>
      <c r="C69" s="50">
        <v>60</v>
      </c>
      <c r="D69" s="50">
        <v>20</v>
      </c>
      <c r="E69" s="50">
        <v>12</v>
      </c>
      <c r="F69" s="50">
        <v>35</v>
      </c>
      <c r="G69" s="50">
        <v>6</v>
      </c>
      <c r="H69" s="50">
        <v>4</v>
      </c>
      <c r="I69" s="50">
        <v>8</v>
      </c>
      <c r="J69" s="50">
        <v>6</v>
      </c>
      <c r="K69" s="50">
        <v>1</v>
      </c>
      <c r="L69" s="50">
        <v>8</v>
      </c>
      <c r="M69" s="50">
        <v>150</v>
      </c>
      <c r="N69" s="50">
        <v>0</v>
      </c>
      <c r="O69" s="15">
        <f t="shared" si="35"/>
        <v>160</v>
      </c>
      <c r="P69" s="15">
        <f t="shared" si="36"/>
        <v>310</v>
      </c>
      <c r="R69" s="8"/>
      <c r="T69"/>
    </row>
    <row r="70" spans="2:20" ht="23.1" customHeight="1" x14ac:dyDescent="0.25">
      <c r="B70" s="45" t="s">
        <v>110</v>
      </c>
      <c r="C70" s="50">
        <v>42</v>
      </c>
      <c r="D70" s="50">
        <v>13</v>
      </c>
      <c r="E70" s="50">
        <v>4</v>
      </c>
      <c r="F70" s="50">
        <v>44</v>
      </c>
      <c r="G70" s="50">
        <v>3</v>
      </c>
      <c r="H70" s="50">
        <v>5</v>
      </c>
      <c r="I70" s="50">
        <v>2</v>
      </c>
      <c r="J70" s="50">
        <v>4</v>
      </c>
      <c r="K70" s="50">
        <v>7</v>
      </c>
      <c r="L70" s="50">
        <v>6</v>
      </c>
      <c r="M70" s="50">
        <v>95</v>
      </c>
      <c r="N70" s="50">
        <v>0</v>
      </c>
      <c r="O70" s="15">
        <f t="shared" si="35"/>
        <v>130</v>
      </c>
      <c r="P70" s="15">
        <f t="shared" si="36"/>
        <v>225</v>
      </c>
      <c r="R70" s="8"/>
      <c r="T70"/>
    </row>
    <row r="71" spans="2:20" ht="23.1" customHeight="1" x14ac:dyDescent="0.25">
      <c r="B71" s="45" t="s">
        <v>111</v>
      </c>
      <c r="C71" s="50">
        <v>60</v>
      </c>
      <c r="D71" s="50">
        <v>18</v>
      </c>
      <c r="E71" s="50">
        <v>26</v>
      </c>
      <c r="F71" s="50">
        <v>30</v>
      </c>
      <c r="G71" s="50">
        <v>4</v>
      </c>
      <c r="H71" s="50">
        <v>3</v>
      </c>
      <c r="I71" s="50">
        <v>5</v>
      </c>
      <c r="J71" s="50">
        <v>4</v>
      </c>
      <c r="K71" s="50">
        <v>8</v>
      </c>
      <c r="L71" s="50">
        <v>11</v>
      </c>
      <c r="M71" s="50">
        <v>70</v>
      </c>
      <c r="N71" s="50">
        <v>0</v>
      </c>
      <c r="O71" s="15">
        <f t="shared" si="35"/>
        <v>169</v>
      </c>
      <c r="P71" s="15">
        <f t="shared" si="36"/>
        <v>239</v>
      </c>
      <c r="R71" s="8"/>
      <c r="T71"/>
    </row>
    <row r="72" spans="2:20" ht="23.1" customHeight="1" x14ac:dyDescent="0.25">
      <c r="B72" s="45" t="s">
        <v>112</v>
      </c>
      <c r="C72" s="50">
        <v>20</v>
      </c>
      <c r="D72" s="50">
        <v>6</v>
      </c>
      <c r="E72" s="50">
        <v>10</v>
      </c>
      <c r="F72" s="50">
        <v>13</v>
      </c>
      <c r="G72" s="50">
        <v>2</v>
      </c>
      <c r="H72" s="50">
        <v>1</v>
      </c>
      <c r="I72" s="50">
        <v>3</v>
      </c>
      <c r="J72" s="50">
        <v>8</v>
      </c>
      <c r="K72" s="50">
        <v>17</v>
      </c>
      <c r="L72" s="50">
        <v>17</v>
      </c>
      <c r="M72" s="50">
        <v>90</v>
      </c>
      <c r="N72" s="50">
        <v>0</v>
      </c>
      <c r="O72" s="15">
        <f t="shared" si="35"/>
        <v>97</v>
      </c>
      <c r="P72" s="15">
        <f t="shared" si="36"/>
        <v>187</v>
      </c>
      <c r="R72" s="8"/>
      <c r="T72"/>
    </row>
    <row r="73" spans="2:20" ht="23.1" customHeight="1" x14ac:dyDescent="0.25">
      <c r="B73" s="45" t="s">
        <v>113</v>
      </c>
      <c r="C73" s="50">
        <v>25</v>
      </c>
      <c r="D73" s="50">
        <v>9</v>
      </c>
      <c r="E73" s="50">
        <v>10</v>
      </c>
      <c r="F73" s="50">
        <v>50</v>
      </c>
      <c r="G73" s="50">
        <v>3</v>
      </c>
      <c r="H73" s="50">
        <v>5</v>
      </c>
      <c r="I73" s="50">
        <v>15</v>
      </c>
      <c r="J73" s="50">
        <v>10</v>
      </c>
      <c r="K73" s="50">
        <v>7</v>
      </c>
      <c r="L73" s="50">
        <v>4</v>
      </c>
      <c r="M73" s="50">
        <v>100</v>
      </c>
      <c r="N73" s="50">
        <v>0</v>
      </c>
      <c r="O73" s="15">
        <f t="shared" si="35"/>
        <v>138</v>
      </c>
      <c r="P73" s="15">
        <f t="shared" si="36"/>
        <v>238</v>
      </c>
      <c r="R73" s="8"/>
      <c r="T73"/>
    </row>
    <row r="74" spans="2:20" ht="23.1" customHeight="1" x14ac:dyDescent="0.25">
      <c r="B74" s="45" t="s">
        <v>114</v>
      </c>
      <c r="C74" s="50">
        <v>10</v>
      </c>
      <c r="D74" s="50">
        <v>15</v>
      </c>
      <c r="E74" s="50">
        <v>2</v>
      </c>
      <c r="F74" s="50">
        <v>6</v>
      </c>
      <c r="G74" s="50">
        <v>0</v>
      </c>
      <c r="H74" s="50">
        <v>4</v>
      </c>
      <c r="I74" s="50">
        <v>5</v>
      </c>
      <c r="J74" s="50">
        <v>2</v>
      </c>
      <c r="K74" s="50">
        <v>0</v>
      </c>
      <c r="L74" s="50">
        <v>0</v>
      </c>
      <c r="M74" s="50">
        <v>70</v>
      </c>
      <c r="N74" s="50">
        <v>0</v>
      </c>
      <c r="O74" s="15">
        <f t="shared" si="35"/>
        <v>44</v>
      </c>
      <c r="P74" s="15">
        <f t="shared" si="36"/>
        <v>114</v>
      </c>
      <c r="R74" s="8"/>
      <c r="T74"/>
    </row>
    <row r="75" spans="2:20" ht="23.1" customHeight="1" x14ac:dyDescent="0.25">
      <c r="B75" s="45" t="s">
        <v>115</v>
      </c>
      <c r="C75" s="50">
        <v>13</v>
      </c>
      <c r="D75" s="50">
        <v>13</v>
      </c>
      <c r="E75" s="50">
        <v>3</v>
      </c>
      <c r="F75" s="50">
        <v>12</v>
      </c>
      <c r="G75" s="50">
        <v>0</v>
      </c>
      <c r="H75" s="50">
        <v>1</v>
      </c>
      <c r="I75" s="50">
        <v>0</v>
      </c>
      <c r="J75" s="50">
        <v>0</v>
      </c>
      <c r="K75" s="50">
        <v>0</v>
      </c>
      <c r="L75" s="50">
        <v>0</v>
      </c>
      <c r="M75" s="50">
        <v>60</v>
      </c>
      <c r="N75" s="50">
        <v>0</v>
      </c>
      <c r="O75" s="15">
        <f t="shared" si="35"/>
        <v>42</v>
      </c>
      <c r="P75" s="15">
        <f t="shared" si="36"/>
        <v>102</v>
      </c>
      <c r="R75" s="8"/>
      <c r="T75"/>
    </row>
    <row r="76" spans="2:20" ht="23.1" customHeight="1" x14ac:dyDescent="0.25">
      <c r="B76" s="45" t="s">
        <v>116</v>
      </c>
      <c r="C76" s="50">
        <v>20</v>
      </c>
      <c r="D76" s="50">
        <v>5</v>
      </c>
      <c r="E76" s="50">
        <v>3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60</v>
      </c>
      <c r="N76" s="50">
        <v>0</v>
      </c>
      <c r="O76" s="15">
        <f t="shared" si="35"/>
        <v>29</v>
      </c>
      <c r="P76" s="15">
        <f t="shared" si="36"/>
        <v>89</v>
      </c>
      <c r="R76" s="8"/>
      <c r="T76"/>
    </row>
    <row r="77" spans="2:20" ht="23.1" customHeight="1" x14ac:dyDescent="0.25">
      <c r="B77" s="45" t="s">
        <v>117</v>
      </c>
      <c r="C77" s="50">
        <v>30</v>
      </c>
      <c r="D77" s="50">
        <v>4</v>
      </c>
      <c r="E77" s="50">
        <v>15</v>
      </c>
      <c r="F77" s="50">
        <v>10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60</v>
      </c>
      <c r="N77" s="50">
        <v>0</v>
      </c>
      <c r="O77" s="15">
        <f t="shared" si="35"/>
        <v>59</v>
      </c>
      <c r="P77" s="15">
        <f t="shared" si="36"/>
        <v>119</v>
      </c>
      <c r="R77" s="8"/>
      <c r="T77"/>
    </row>
    <row r="78" spans="2:20" ht="23.1" customHeight="1" x14ac:dyDescent="0.25">
      <c r="B78" s="46" t="s">
        <v>118</v>
      </c>
      <c r="C78" s="50">
        <v>6</v>
      </c>
      <c r="D78" s="50">
        <v>5</v>
      </c>
      <c r="E78" s="50">
        <v>2</v>
      </c>
      <c r="F78" s="50">
        <v>5</v>
      </c>
      <c r="G78" s="50">
        <v>0</v>
      </c>
      <c r="H78" s="50">
        <v>1</v>
      </c>
      <c r="I78" s="50">
        <v>3</v>
      </c>
      <c r="J78" s="50">
        <v>0</v>
      </c>
      <c r="K78" s="50">
        <v>1</v>
      </c>
      <c r="L78" s="50">
        <v>0</v>
      </c>
      <c r="M78" s="50">
        <v>54</v>
      </c>
      <c r="N78" s="50">
        <v>0</v>
      </c>
      <c r="O78" s="15">
        <f t="shared" si="35"/>
        <v>23</v>
      </c>
      <c r="P78" s="15">
        <f t="shared" si="36"/>
        <v>77</v>
      </c>
      <c r="R78" s="8"/>
      <c r="T78"/>
    </row>
    <row r="79" spans="2:20" ht="23.1" customHeight="1" x14ac:dyDescent="0.25">
      <c r="B79" s="45" t="s">
        <v>119</v>
      </c>
      <c r="C79" s="50">
        <v>10</v>
      </c>
      <c r="D79" s="50">
        <v>5</v>
      </c>
      <c r="E79" s="50">
        <v>1</v>
      </c>
      <c r="F79" s="50">
        <v>0</v>
      </c>
      <c r="G79" s="50">
        <v>0</v>
      </c>
      <c r="H79" s="50">
        <v>1</v>
      </c>
      <c r="I79" s="50">
        <v>0</v>
      </c>
      <c r="J79" s="50">
        <v>0</v>
      </c>
      <c r="K79" s="50">
        <v>0</v>
      </c>
      <c r="L79" s="50">
        <v>0</v>
      </c>
      <c r="M79" s="50">
        <v>85</v>
      </c>
      <c r="N79" s="50">
        <v>0</v>
      </c>
      <c r="O79" s="15">
        <f t="shared" si="35"/>
        <v>17</v>
      </c>
      <c r="P79" s="15">
        <f t="shared" si="36"/>
        <v>102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2</v>
      </c>
      <c r="E80" s="50">
        <v>1</v>
      </c>
      <c r="F80" s="50">
        <v>2</v>
      </c>
      <c r="G80" s="50">
        <v>0</v>
      </c>
      <c r="H80" s="50">
        <v>1</v>
      </c>
      <c r="I80" s="50">
        <v>0</v>
      </c>
      <c r="J80" s="50">
        <v>0</v>
      </c>
      <c r="K80" s="50">
        <v>1</v>
      </c>
      <c r="L80" s="50">
        <v>0</v>
      </c>
      <c r="M80" s="50">
        <v>55</v>
      </c>
      <c r="N80" s="50">
        <v>0</v>
      </c>
      <c r="O80" s="15">
        <f t="shared" si="35"/>
        <v>9</v>
      </c>
      <c r="P80" s="15">
        <f t="shared" si="36"/>
        <v>64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8</v>
      </c>
      <c r="E81" s="50">
        <v>2</v>
      </c>
      <c r="F81" s="50">
        <v>2</v>
      </c>
      <c r="G81" s="50">
        <v>0</v>
      </c>
      <c r="H81" s="50">
        <v>2</v>
      </c>
      <c r="I81" s="50">
        <v>0</v>
      </c>
      <c r="J81" s="50">
        <v>0</v>
      </c>
      <c r="K81" s="50">
        <v>0</v>
      </c>
      <c r="L81" s="50">
        <v>0</v>
      </c>
      <c r="M81" s="50">
        <v>40</v>
      </c>
      <c r="N81" s="50">
        <v>0</v>
      </c>
      <c r="O81" s="15">
        <f t="shared" si="35"/>
        <v>24</v>
      </c>
      <c r="P81" s="15">
        <f t="shared" si="36"/>
        <v>64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10</v>
      </c>
      <c r="E82" s="50">
        <v>1</v>
      </c>
      <c r="F82" s="50">
        <v>0</v>
      </c>
      <c r="G82" s="50">
        <v>0</v>
      </c>
      <c r="H82" s="50">
        <v>1</v>
      </c>
      <c r="I82" s="50">
        <v>2</v>
      </c>
      <c r="J82" s="50">
        <v>1</v>
      </c>
      <c r="K82" s="50">
        <v>0</v>
      </c>
      <c r="L82" s="50">
        <v>0</v>
      </c>
      <c r="M82" s="50">
        <v>45</v>
      </c>
      <c r="N82" s="50">
        <v>0</v>
      </c>
      <c r="O82" s="15">
        <f t="shared" si="35"/>
        <v>18</v>
      </c>
      <c r="P82" s="15">
        <f t="shared" si="36"/>
        <v>63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1</v>
      </c>
      <c r="E83" s="50">
        <v>1</v>
      </c>
      <c r="F83" s="50">
        <v>0</v>
      </c>
      <c r="G83" s="50">
        <v>1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45</v>
      </c>
      <c r="N83" s="50">
        <v>0</v>
      </c>
      <c r="O83" s="15">
        <f t="shared" si="35"/>
        <v>8</v>
      </c>
      <c r="P83" s="15">
        <f t="shared" si="36"/>
        <v>53</v>
      </c>
      <c r="R83" s="8"/>
      <c r="T83"/>
    </row>
    <row r="84" spans="2:20" ht="23.1" customHeight="1" x14ac:dyDescent="0.25">
      <c r="B84" s="47" t="s">
        <v>124</v>
      </c>
      <c r="C84" s="50">
        <v>15</v>
      </c>
      <c r="D84" s="50">
        <v>3</v>
      </c>
      <c r="E84" s="50">
        <v>2</v>
      </c>
      <c r="F84" s="50">
        <v>0</v>
      </c>
      <c r="G84" s="50">
        <v>0</v>
      </c>
      <c r="H84" s="50">
        <v>1</v>
      </c>
      <c r="I84" s="50">
        <v>0</v>
      </c>
      <c r="J84" s="50">
        <v>0</v>
      </c>
      <c r="K84" s="50">
        <v>0</v>
      </c>
      <c r="L84" s="50">
        <v>0</v>
      </c>
      <c r="M84" s="50">
        <v>20</v>
      </c>
      <c r="N84" s="50">
        <v>0</v>
      </c>
      <c r="O84" s="15">
        <f t="shared" si="35"/>
        <v>21</v>
      </c>
      <c r="P84" s="15">
        <f t="shared" si="36"/>
        <v>41</v>
      </c>
      <c r="R84" s="8"/>
      <c r="T84"/>
    </row>
    <row r="85" spans="2:20" ht="23.1" customHeight="1" x14ac:dyDescent="0.25">
      <c r="B85" s="45" t="s">
        <v>125</v>
      </c>
      <c r="C85" s="50">
        <v>25</v>
      </c>
      <c r="D85" s="50">
        <v>2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30</v>
      </c>
      <c r="N85" s="50">
        <v>0</v>
      </c>
      <c r="O85" s="15">
        <f t="shared" si="35"/>
        <v>28</v>
      </c>
      <c r="P85" s="15">
        <f t="shared" si="36"/>
        <v>58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3</v>
      </c>
      <c r="E86" s="50">
        <v>0</v>
      </c>
      <c r="F86" s="50">
        <v>0</v>
      </c>
      <c r="G86" s="50">
        <v>1</v>
      </c>
      <c r="H86" s="50">
        <v>2</v>
      </c>
      <c r="I86" s="50">
        <v>1</v>
      </c>
      <c r="J86" s="50">
        <v>0</v>
      </c>
      <c r="K86" s="50">
        <v>0</v>
      </c>
      <c r="L86" s="50">
        <v>0</v>
      </c>
      <c r="M86" s="50">
        <v>20</v>
      </c>
      <c r="N86" s="50">
        <v>0</v>
      </c>
      <c r="O86" s="15">
        <f t="shared" si="35"/>
        <v>11</v>
      </c>
      <c r="P86" s="15">
        <f t="shared" si="36"/>
        <v>31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3</v>
      </c>
      <c r="E87" s="50">
        <v>0</v>
      </c>
      <c r="F87" s="50">
        <v>0</v>
      </c>
      <c r="G87" s="50">
        <v>0</v>
      </c>
      <c r="H87" s="50">
        <v>1</v>
      </c>
      <c r="I87" s="50">
        <v>1</v>
      </c>
      <c r="J87" s="50">
        <v>0</v>
      </c>
      <c r="K87" s="50">
        <v>0</v>
      </c>
      <c r="L87" s="50">
        <v>0</v>
      </c>
      <c r="M87" s="50">
        <v>27</v>
      </c>
      <c r="N87" s="50">
        <v>0</v>
      </c>
      <c r="O87" s="15">
        <f t="shared" si="35"/>
        <v>8</v>
      </c>
      <c r="P87" s="15">
        <f t="shared" si="36"/>
        <v>35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1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13</v>
      </c>
      <c r="N88" s="50">
        <v>0</v>
      </c>
      <c r="O88" s="15">
        <f t="shared" si="35"/>
        <v>6</v>
      </c>
      <c r="P88" s="15">
        <f t="shared" si="36"/>
        <v>19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0</v>
      </c>
      <c r="E89" s="50">
        <v>2</v>
      </c>
      <c r="F89" s="50">
        <v>3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26</v>
      </c>
      <c r="N89" s="50">
        <v>0</v>
      </c>
      <c r="O89" s="15">
        <f t="shared" si="35"/>
        <v>14</v>
      </c>
      <c r="P89" s="15">
        <f t="shared" si="36"/>
        <v>40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2</v>
      </c>
      <c r="F90" s="50">
        <v>3</v>
      </c>
      <c r="G90" s="50">
        <v>0</v>
      </c>
      <c r="H90" s="50">
        <v>2</v>
      </c>
      <c r="I90" s="50">
        <v>0</v>
      </c>
      <c r="J90" s="50">
        <v>0</v>
      </c>
      <c r="K90" s="50">
        <v>0</v>
      </c>
      <c r="L90" s="50">
        <v>0</v>
      </c>
      <c r="M90" s="50">
        <v>21</v>
      </c>
      <c r="N90" s="50">
        <v>0</v>
      </c>
      <c r="O90" s="15">
        <f t="shared" si="35"/>
        <v>9</v>
      </c>
      <c r="P90" s="15">
        <f t="shared" si="36"/>
        <v>30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18</v>
      </c>
      <c r="N91" s="50">
        <v>0</v>
      </c>
      <c r="O91" s="15">
        <f t="shared" si="35"/>
        <v>8</v>
      </c>
      <c r="P91" s="15">
        <f t="shared" si="36"/>
        <v>26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1</v>
      </c>
      <c r="E92" s="50">
        <v>0</v>
      </c>
      <c r="F92" s="50">
        <v>0</v>
      </c>
      <c r="G92" s="50">
        <v>2</v>
      </c>
      <c r="H92" s="50">
        <v>1</v>
      </c>
      <c r="I92" s="50">
        <v>5</v>
      </c>
      <c r="J92" s="50">
        <v>0</v>
      </c>
      <c r="K92" s="50">
        <v>0</v>
      </c>
      <c r="L92" s="50">
        <v>0</v>
      </c>
      <c r="M92" s="50">
        <v>13</v>
      </c>
      <c r="N92" s="50">
        <v>0</v>
      </c>
      <c r="O92" s="15">
        <f t="shared" si="35"/>
        <v>13</v>
      </c>
      <c r="P92" s="15">
        <f t="shared" si="36"/>
        <v>26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0</v>
      </c>
      <c r="E93" s="50">
        <v>1</v>
      </c>
      <c r="F93" s="50">
        <v>2</v>
      </c>
      <c r="G93" s="50">
        <v>0</v>
      </c>
      <c r="H93" s="50">
        <v>1</v>
      </c>
      <c r="I93" s="50">
        <v>1</v>
      </c>
      <c r="J93" s="50">
        <v>1</v>
      </c>
      <c r="K93" s="50">
        <v>0</v>
      </c>
      <c r="L93" s="50">
        <v>0</v>
      </c>
      <c r="M93" s="50">
        <v>17</v>
      </c>
      <c r="N93" s="50">
        <v>0</v>
      </c>
      <c r="O93" s="15">
        <f t="shared" si="35"/>
        <v>9</v>
      </c>
      <c r="P93" s="15">
        <f t="shared" si="36"/>
        <v>26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0</v>
      </c>
      <c r="E94" s="50">
        <v>2</v>
      </c>
      <c r="F94" s="50">
        <v>2</v>
      </c>
      <c r="G94" s="50">
        <v>0</v>
      </c>
      <c r="H94" s="50">
        <v>3</v>
      </c>
      <c r="I94" s="50">
        <v>1</v>
      </c>
      <c r="J94" s="50">
        <v>0</v>
      </c>
      <c r="K94" s="50">
        <v>0</v>
      </c>
      <c r="L94" s="50">
        <v>0</v>
      </c>
      <c r="M94" s="50">
        <v>12</v>
      </c>
      <c r="N94" s="50">
        <v>0</v>
      </c>
      <c r="O94" s="15">
        <f t="shared" si="35"/>
        <v>15</v>
      </c>
      <c r="P94" s="15">
        <f t="shared" si="36"/>
        <v>27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1</v>
      </c>
      <c r="E95" s="50">
        <v>0</v>
      </c>
      <c r="F95" s="50">
        <v>5</v>
      </c>
      <c r="G95" s="50">
        <v>0</v>
      </c>
      <c r="H95" s="50">
        <v>1</v>
      </c>
      <c r="I95" s="50">
        <v>0</v>
      </c>
      <c r="J95" s="50">
        <v>1</v>
      </c>
      <c r="K95" s="50">
        <v>0</v>
      </c>
      <c r="L95" s="50">
        <v>0</v>
      </c>
      <c r="M95" s="50">
        <v>17</v>
      </c>
      <c r="N95" s="50">
        <v>0</v>
      </c>
      <c r="O95" s="15">
        <f t="shared" si="35"/>
        <v>12</v>
      </c>
      <c r="P95" s="15">
        <f t="shared" si="36"/>
        <v>29</v>
      </c>
      <c r="R95" s="8"/>
      <c r="T95"/>
    </row>
    <row r="96" spans="2:20" ht="23.1" customHeight="1" x14ac:dyDescent="0.25">
      <c r="B96" s="47" t="s">
        <v>136</v>
      </c>
      <c r="C96" s="50">
        <v>11</v>
      </c>
      <c r="D96" s="50">
        <v>9</v>
      </c>
      <c r="E96" s="50">
        <v>1</v>
      </c>
      <c r="F96" s="50">
        <v>7</v>
      </c>
      <c r="G96" s="50">
        <v>2</v>
      </c>
      <c r="H96" s="50">
        <v>5</v>
      </c>
      <c r="I96" s="50">
        <v>2</v>
      </c>
      <c r="J96" s="50">
        <v>2</v>
      </c>
      <c r="K96" s="50">
        <v>0</v>
      </c>
      <c r="L96" s="50">
        <v>0</v>
      </c>
      <c r="M96" s="50">
        <v>37</v>
      </c>
      <c r="N96" s="50">
        <v>0</v>
      </c>
      <c r="O96" s="15">
        <f t="shared" si="35"/>
        <v>39</v>
      </c>
      <c r="P96" s="15">
        <f t="shared" si="36"/>
        <v>76</v>
      </c>
      <c r="R96" s="8"/>
      <c r="T96"/>
    </row>
    <row r="97" spans="2:20" ht="23.1" customHeight="1" x14ac:dyDescent="0.25">
      <c r="B97" s="45" t="s">
        <v>137</v>
      </c>
      <c r="C97" s="50">
        <v>9</v>
      </c>
      <c r="D97" s="50">
        <v>6</v>
      </c>
      <c r="E97" s="50">
        <v>2</v>
      </c>
      <c r="F97" s="50">
        <v>13</v>
      </c>
      <c r="G97" s="50">
        <v>0</v>
      </c>
      <c r="H97" s="50">
        <v>3</v>
      </c>
      <c r="I97" s="50">
        <v>4</v>
      </c>
      <c r="J97" s="50">
        <v>0</v>
      </c>
      <c r="K97" s="50">
        <v>0</v>
      </c>
      <c r="L97" s="50">
        <v>0</v>
      </c>
      <c r="M97" s="50">
        <v>26</v>
      </c>
      <c r="N97" s="50">
        <v>0</v>
      </c>
      <c r="O97" s="15">
        <v>1</v>
      </c>
      <c r="P97" s="15">
        <v>17</v>
      </c>
      <c r="R97" s="8">
        <v>1</v>
      </c>
      <c r="S97" s="8">
        <v>1</v>
      </c>
      <c r="T97">
        <v>1</v>
      </c>
    </row>
    <row r="98" spans="2:20" ht="23.1" customHeight="1" x14ac:dyDescent="0.25">
      <c r="B98" s="46" t="s">
        <v>138</v>
      </c>
      <c r="C98" s="50">
        <v>5</v>
      </c>
      <c r="D98" s="50">
        <v>3</v>
      </c>
      <c r="E98" s="50">
        <v>1</v>
      </c>
      <c r="F98" s="50">
        <v>17</v>
      </c>
      <c r="G98" s="50">
        <v>0</v>
      </c>
      <c r="H98" s="50">
        <v>1</v>
      </c>
      <c r="I98" s="50">
        <v>1</v>
      </c>
      <c r="J98" s="50">
        <v>1</v>
      </c>
      <c r="K98" s="50">
        <v>0</v>
      </c>
      <c r="L98" s="50">
        <v>0</v>
      </c>
      <c r="M98" s="50">
        <v>80</v>
      </c>
      <c r="N98" s="50">
        <v>0</v>
      </c>
      <c r="O98" s="15">
        <f t="shared" si="35"/>
        <v>29</v>
      </c>
      <c r="P98" s="15">
        <f t="shared" si="36"/>
        <v>109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12</v>
      </c>
      <c r="E99" s="50">
        <v>0</v>
      </c>
      <c r="F99" s="50">
        <v>70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0</v>
      </c>
      <c r="M99" s="50">
        <v>85</v>
      </c>
      <c r="N99" s="50">
        <v>0</v>
      </c>
      <c r="O99" s="15">
        <f t="shared" si="35"/>
        <v>88</v>
      </c>
      <c r="P99" s="15">
        <f t="shared" si="36"/>
        <v>173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4</v>
      </c>
      <c r="E100" s="50">
        <v>1</v>
      </c>
      <c r="F100" s="50">
        <v>50</v>
      </c>
      <c r="G100" s="50">
        <v>0</v>
      </c>
      <c r="H100" s="50">
        <v>2</v>
      </c>
      <c r="I100" s="50">
        <v>0</v>
      </c>
      <c r="J100" s="50">
        <v>0</v>
      </c>
      <c r="K100" s="50">
        <v>0</v>
      </c>
      <c r="L100" s="50">
        <v>0</v>
      </c>
      <c r="M100" s="50">
        <v>65</v>
      </c>
      <c r="N100" s="50">
        <v>0</v>
      </c>
      <c r="O100" s="15">
        <f t="shared" si="35"/>
        <v>64</v>
      </c>
      <c r="P100" s="15">
        <f t="shared" si="36"/>
        <v>129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8</v>
      </c>
      <c r="E101" s="50">
        <v>6</v>
      </c>
      <c r="F101" s="50">
        <v>49</v>
      </c>
      <c r="G101" s="50">
        <v>3</v>
      </c>
      <c r="H101" s="50">
        <v>4</v>
      </c>
      <c r="I101" s="50">
        <v>0</v>
      </c>
      <c r="J101" s="50">
        <v>2</v>
      </c>
      <c r="K101" s="50">
        <v>0</v>
      </c>
      <c r="L101" s="50">
        <v>0</v>
      </c>
      <c r="M101" s="50">
        <v>90</v>
      </c>
      <c r="N101" s="50">
        <v>0</v>
      </c>
      <c r="O101" s="15">
        <f t="shared" si="35"/>
        <v>82</v>
      </c>
      <c r="P101" s="15">
        <f t="shared" si="36"/>
        <v>172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2</v>
      </c>
      <c r="E102" s="50">
        <v>0</v>
      </c>
      <c r="F102" s="50">
        <v>21</v>
      </c>
      <c r="G102" s="50">
        <v>0</v>
      </c>
      <c r="H102" s="50">
        <v>0</v>
      </c>
      <c r="I102" s="50">
        <v>5</v>
      </c>
      <c r="J102" s="50">
        <v>0</v>
      </c>
      <c r="K102" s="50">
        <v>0</v>
      </c>
      <c r="L102" s="50">
        <v>0</v>
      </c>
      <c r="M102" s="50">
        <v>52</v>
      </c>
      <c r="N102" s="50">
        <v>0</v>
      </c>
      <c r="O102" s="15">
        <f t="shared" si="35"/>
        <v>29</v>
      </c>
      <c r="P102" s="15">
        <f t="shared" si="36"/>
        <v>81</v>
      </c>
      <c r="R102" s="8"/>
      <c r="T102"/>
    </row>
    <row r="103" spans="2:20" ht="23.1" customHeight="1" x14ac:dyDescent="0.25">
      <c r="B103" s="45" t="s">
        <v>143</v>
      </c>
      <c r="C103" s="50">
        <v>7</v>
      </c>
      <c r="D103" s="50">
        <v>15</v>
      </c>
      <c r="E103" s="50">
        <v>1</v>
      </c>
      <c r="F103" s="50">
        <v>45</v>
      </c>
      <c r="G103" s="50">
        <v>0</v>
      </c>
      <c r="H103" s="50">
        <v>2</v>
      </c>
      <c r="I103" s="50">
        <v>2</v>
      </c>
      <c r="J103" s="50">
        <v>1</v>
      </c>
      <c r="K103" s="50">
        <v>0</v>
      </c>
      <c r="L103" s="50">
        <v>0</v>
      </c>
      <c r="M103" s="50">
        <v>105</v>
      </c>
      <c r="N103" s="50">
        <v>0</v>
      </c>
      <c r="O103" s="15">
        <f t="shared" si="35"/>
        <v>73</v>
      </c>
      <c r="P103" s="15">
        <f t="shared" si="36"/>
        <v>178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45</v>
      </c>
      <c r="E104" s="50">
        <v>4</v>
      </c>
      <c r="F104" s="50">
        <v>70</v>
      </c>
      <c r="G104" s="50">
        <v>2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140</v>
      </c>
      <c r="N104" s="50">
        <v>0</v>
      </c>
      <c r="O104" s="15">
        <f t="shared" si="35"/>
        <v>134</v>
      </c>
      <c r="P104" s="15">
        <f t="shared" si="36"/>
        <v>274</v>
      </c>
      <c r="R104" s="8"/>
      <c r="T104"/>
    </row>
    <row r="105" spans="2:20" ht="23.1" customHeight="1" x14ac:dyDescent="0.25">
      <c r="B105" s="45" t="s">
        <v>145</v>
      </c>
      <c r="C105" s="50">
        <v>17</v>
      </c>
      <c r="D105" s="50">
        <v>16</v>
      </c>
      <c r="E105" s="50">
        <v>6</v>
      </c>
      <c r="F105" s="50">
        <v>40</v>
      </c>
      <c r="G105" s="50">
        <v>0</v>
      </c>
      <c r="H105" s="50">
        <v>1</v>
      </c>
      <c r="I105" s="50">
        <v>10</v>
      </c>
      <c r="J105" s="50">
        <v>3</v>
      </c>
      <c r="K105" s="50">
        <v>0</v>
      </c>
      <c r="L105" s="50">
        <v>0</v>
      </c>
      <c r="M105" s="50">
        <v>45</v>
      </c>
      <c r="N105" s="50">
        <v>0</v>
      </c>
      <c r="O105" s="15">
        <f t="shared" si="35"/>
        <v>93</v>
      </c>
      <c r="P105" s="15">
        <f t="shared" si="36"/>
        <v>138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2828</v>
      </c>
      <c r="D106" s="16">
        <f t="shared" ref="D106:P106" si="37">SUM(D10:D105)</f>
        <v>1076</v>
      </c>
      <c r="E106" s="16">
        <f t="shared" si="37"/>
        <v>671</v>
      </c>
      <c r="F106" s="16">
        <f t="shared" si="37"/>
        <v>3193</v>
      </c>
      <c r="G106" s="16">
        <f t="shared" si="37"/>
        <v>210</v>
      </c>
      <c r="H106" s="16">
        <f t="shared" si="37"/>
        <v>206</v>
      </c>
      <c r="I106" s="16">
        <f t="shared" si="37"/>
        <v>286</v>
      </c>
      <c r="J106" s="16">
        <f t="shared" si="37"/>
        <v>236</v>
      </c>
      <c r="K106" s="16">
        <f t="shared" si="37"/>
        <v>141</v>
      </c>
      <c r="L106" s="16">
        <f t="shared" si="37"/>
        <v>171</v>
      </c>
      <c r="M106" s="16">
        <f t="shared" si="37"/>
        <v>12733</v>
      </c>
      <c r="N106" s="16">
        <f t="shared" si="37"/>
        <v>0</v>
      </c>
      <c r="O106" s="16">
        <f t="shared" si="37"/>
        <v>8982</v>
      </c>
      <c r="P106" s="16">
        <f t="shared" si="37"/>
        <v>21705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0.13029255931812947</v>
      </c>
      <c r="D107" s="43">
        <f t="shared" si="38"/>
        <v>4.9573830914535821E-2</v>
      </c>
      <c r="E107" s="43">
        <f t="shared" si="38"/>
        <v>3.0914535821239347E-2</v>
      </c>
      <c r="F107" s="43">
        <f t="shared" si="38"/>
        <v>0.14710896106887814</v>
      </c>
      <c r="G107" s="43">
        <f t="shared" si="38"/>
        <v>9.675190048375951E-3</v>
      </c>
      <c r="H107" s="43">
        <f t="shared" si="38"/>
        <v>9.4909007141211702E-3</v>
      </c>
      <c r="I107" s="43">
        <f t="shared" si="38"/>
        <v>1.317668739921677E-2</v>
      </c>
      <c r="J107" s="43">
        <f t="shared" si="38"/>
        <v>1.0873070721032021E-2</v>
      </c>
      <c r="K107" s="43">
        <f t="shared" si="38"/>
        <v>6.4961990324809956E-3</v>
      </c>
      <c r="L107" s="43">
        <f t="shared" si="38"/>
        <v>7.8783690393918453E-3</v>
      </c>
      <c r="M107" s="43">
        <f t="shared" si="38"/>
        <v>0.5866390232665285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0.31485192607437096</v>
      </c>
      <c r="D108" s="44">
        <f t="shared" ref="D108:N108" si="39">D106/$O$106</f>
        <v>0.11979514584725005</v>
      </c>
      <c r="E108" s="44">
        <f t="shared" si="39"/>
        <v>7.4704965486528607E-2</v>
      </c>
      <c r="F108" s="44">
        <f t="shared" si="39"/>
        <v>0.3554887552883545</v>
      </c>
      <c r="G108" s="44">
        <f t="shared" si="39"/>
        <v>2.3380093520374082E-2</v>
      </c>
      <c r="H108" s="44">
        <f t="shared" si="39"/>
        <v>2.2934758405700289E-2</v>
      </c>
      <c r="I108" s="44">
        <f t="shared" si="39"/>
        <v>3.1841460699176129E-2</v>
      </c>
      <c r="J108" s="44">
        <f t="shared" si="39"/>
        <v>2.627477176575373E-2</v>
      </c>
      <c r="K108" s="44">
        <f t="shared" si="39"/>
        <v>1.569806279225117E-2</v>
      </c>
      <c r="L108" s="44">
        <f t="shared" si="39"/>
        <v>1.9038076152304611E-2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Natete-Rubaga-24h'!D5</f>
        <v>26.07.19</v>
      </c>
      <c r="E5" s="3"/>
      <c r="F5" s="41" t="s">
        <v>1</v>
      </c>
      <c r="G5" s="52" t="str">
        <f>'26.07 Natete-Rubaga-24h'!G5:H5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Rubaga-Natete'!D6:E6</f>
        <v>Rubaga</v>
      </c>
      <c r="E6" s="53"/>
      <c r="F6" s="2" t="s">
        <v>2</v>
      </c>
      <c r="G6" s="52" t="str">
        <f>'23.07 Rubaga-Natete'!G6:H6</f>
        <v>Natete</v>
      </c>
      <c r="H6" s="53"/>
      <c r="J6" s="2" t="s">
        <v>21</v>
      </c>
      <c r="K6" s="52" t="str">
        <f>'26.07 Natete-Rubaga-24h'!K6:L6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29</v>
      </c>
      <c r="D10" s="50">
        <v>3</v>
      </c>
      <c r="E10" s="50">
        <v>6</v>
      </c>
      <c r="F10" s="50">
        <v>33</v>
      </c>
      <c r="G10" s="50">
        <v>3</v>
      </c>
      <c r="H10" s="50">
        <v>1</v>
      </c>
      <c r="I10" s="50">
        <v>3</v>
      </c>
      <c r="J10" s="50">
        <v>1</v>
      </c>
      <c r="K10" s="50">
        <v>0</v>
      </c>
      <c r="L10" s="50">
        <v>0</v>
      </c>
      <c r="M10" s="50">
        <v>127</v>
      </c>
      <c r="N10" s="50">
        <v>0</v>
      </c>
      <c r="O10" s="15">
        <f t="shared" ref="O10:O73" si="0">SUM(C10:L10,N10)</f>
        <v>79</v>
      </c>
      <c r="P10" s="15">
        <f t="shared" ref="P10:P73" si="1">SUM(C10:N10)</f>
        <v>206</v>
      </c>
      <c r="R10" s="1" t="s">
        <v>6</v>
      </c>
      <c r="S10" s="17">
        <f t="shared" ref="S10:AF10" si="2">SUM(C10:C13)</f>
        <v>155</v>
      </c>
      <c r="T10" s="17">
        <f t="shared" si="2"/>
        <v>15</v>
      </c>
      <c r="U10" s="17">
        <f t="shared" si="2"/>
        <v>12</v>
      </c>
      <c r="V10" s="17">
        <f t="shared" si="2"/>
        <v>165</v>
      </c>
      <c r="W10" s="17">
        <f t="shared" si="2"/>
        <v>8</v>
      </c>
      <c r="X10" s="17">
        <f t="shared" si="2"/>
        <v>2</v>
      </c>
      <c r="Y10" s="17">
        <f t="shared" si="2"/>
        <v>10</v>
      </c>
      <c r="Z10" s="17">
        <f t="shared" si="2"/>
        <v>4</v>
      </c>
      <c r="AA10" s="17">
        <f t="shared" si="2"/>
        <v>1</v>
      </c>
      <c r="AB10" s="17">
        <f t="shared" si="2"/>
        <v>0</v>
      </c>
      <c r="AC10" s="17">
        <f t="shared" si="2"/>
        <v>448</v>
      </c>
      <c r="AD10" s="17">
        <f t="shared" si="2"/>
        <v>0</v>
      </c>
      <c r="AE10" s="31">
        <f t="shared" si="2"/>
        <v>372</v>
      </c>
      <c r="AF10" s="31">
        <f t="shared" si="2"/>
        <v>820</v>
      </c>
    </row>
    <row r="11" spans="2:32" s="6" customFormat="1" ht="23.1" customHeight="1" x14ac:dyDescent="0.25">
      <c r="B11" s="45" t="s">
        <v>38</v>
      </c>
      <c r="C11" s="50">
        <v>38</v>
      </c>
      <c r="D11" s="50">
        <v>2</v>
      </c>
      <c r="E11" s="50">
        <v>3</v>
      </c>
      <c r="F11" s="50">
        <v>31</v>
      </c>
      <c r="G11" s="50">
        <v>3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94</v>
      </c>
      <c r="N11" s="50">
        <v>0</v>
      </c>
      <c r="O11" s="15">
        <f t="shared" si="0"/>
        <v>77</v>
      </c>
      <c r="P11" s="15">
        <f t="shared" si="1"/>
        <v>171</v>
      </c>
      <c r="R11" s="1" t="s">
        <v>7</v>
      </c>
      <c r="S11" s="17">
        <f t="shared" ref="S11:AF11" si="3">SUM(C14:C17)</f>
        <v>198</v>
      </c>
      <c r="T11" s="17">
        <f t="shared" si="3"/>
        <v>13</v>
      </c>
      <c r="U11" s="17">
        <f t="shared" si="3"/>
        <v>16</v>
      </c>
      <c r="V11" s="17">
        <f t="shared" si="3"/>
        <v>194</v>
      </c>
      <c r="W11" s="17">
        <f t="shared" si="3"/>
        <v>3</v>
      </c>
      <c r="X11" s="17">
        <f t="shared" si="3"/>
        <v>4</v>
      </c>
      <c r="Y11" s="17">
        <f t="shared" si="3"/>
        <v>13</v>
      </c>
      <c r="Z11" s="17">
        <f t="shared" si="3"/>
        <v>4</v>
      </c>
      <c r="AA11" s="17">
        <f t="shared" si="3"/>
        <v>1</v>
      </c>
      <c r="AB11" s="17">
        <f t="shared" si="3"/>
        <v>0</v>
      </c>
      <c r="AC11" s="17">
        <f t="shared" si="3"/>
        <v>663</v>
      </c>
      <c r="AD11" s="17">
        <f t="shared" si="3"/>
        <v>0</v>
      </c>
      <c r="AE11" s="31">
        <f t="shared" si="3"/>
        <v>446</v>
      </c>
      <c r="AF11" s="31">
        <f t="shared" si="3"/>
        <v>1109</v>
      </c>
    </row>
    <row r="12" spans="2:32" ht="23.1" customHeight="1" x14ac:dyDescent="0.25">
      <c r="B12" s="45" t="s">
        <v>39</v>
      </c>
      <c r="C12" s="50">
        <v>27</v>
      </c>
      <c r="D12" s="50">
        <v>6</v>
      </c>
      <c r="E12" s="50">
        <v>2</v>
      </c>
      <c r="F12" s="50">
        <v>45</v>
      </c>
      <c r="G12" s="50">
        <v>0</v>
      </c>
      <c r="H12" s="50">
        <v>1</v>
      </c>
      <c r="I12" s="50">
        <v>1</v>
      </c>
      <c r="J12" s="50">
        <v>1</v>
      </c>
      <c r="K12" s="50">
        <v>1</v>
      </c>
      <c r="L12" s="50">
        <v>0</v>
      </c>
      <c r="M12" s="50">
        <v>123</v>
      </c>
      <c r="N12" s="50">
        <v>0</v>
      </c>
      <c r="O12" s="15">
        <f t="shared" si="0"/>
        <v>84</v>
      </c>
      <c r="P12" s="15">
        <f t="shared" si="1"/>
        <v>207</v>
      </c>
      <c r="R12" s="1" t="s">
        <v>8</v>
      </c>
      <c r="S12" s="17">
        <f t="shared" ref="S12:AF12" si="4">SUM(C18:C21)</f>
        <v>197</v>
      </c>
      <c r="T12" s="17">
        <f t="shared" si="4"/>
        <v>11</v>
      </c>
      <c r="U12" s="17">
        <f t="shared" si="4"/>
        <v>8</v>
      </c>
      <c r="V12" s="17">
        <f t="shared" si="4"/>
        <v>181</v>
      </c>
      <c r="W12" s="17">
        <f t="shared" si="4"/>
        <v>3</v>
      </c>
      <c r="X12" s="17">
        <f t="shared" si="4"/>
        <v>6</v>
      </c>
      <c r="Y12" s="17">
        <f t="shared" si="4"/>
        <v>11</v>
      </c>
      <c r="Z12" s="17">
        <f t="shared" si="4"/>
        <v>5</v>
      </c>
      <c r="AA12" s="17">
        <f t="shared" si="4"/>
        <v>1</v>
      </c>
      <c r="AB12" s="17">
        <f t="shared" si="4"/>
        <v>0</v>
      </c>
      <c r="AC12" s="17">
        <f t="shared" si="4"/>
        <v>742</v>
      </c>
      <c r="AD12" s="17">
        <f t="shared" si="4"/>
        <v>0</v>
      </c>
      <c r="AE12" s="31">
        <f t="shared" si="4"/>
        <v>423</v>
      </c>
      <c r="AF12" s="31">
        <f t="shared" si="4"/>
        <v>1165</v>
      </c>
    </row>
    <row r="13" spans="2:32" ht="23.1" customHeight="1" x14ac:dyDescent="0.25">
      <c r="B13" s="45" t="s">
        <v>40</v>
      </c>
      <c r="C13" s="50">
        <v>61</v>
      </c>
      <c r="D13" s="50">
        <v>4</v>
      </c>
      <c r="E13" s="50">
        <v>1</v>
      </c>
      <c r="F13" s="50">
        <v>56</v>
      </c>
      <c r="G13" s="50">
        <v>2</v>
      </c>
      <c r="H13" s="50">
        <v>0</v>
      </c>
      <c r="I13" s="50">
        <v>6</v>
      </c>
      <c r="J13" s="50">
        <v>2</v>
      </c>
      <c r="K13" s="50">
        <v>0</v>
      </c>
      <c r="L13" s="50">
        <v>0</v>
      </c>
      <c r="M13" s="50">
        <v>104</v>
      </c>
      <c r="N13" s="50">
        <v>0</v>
      </c>
      <c r="O13" s="15">
        <f t="shared" si="0"/>
        <v>132</v>
      </c>
      <c r="P13" s="15">
        <f t="shared" si="1"/>
        <v>236</v>
      </c>
      <c r="R13" s="1" t="s">
        <v>9</v>
      </c>
      <c r="S13" s="17">
        <f t="shared" ref="S13:AF13" si="5">SUM(C22:C25)</f>
        <v>188</v>
      </c>
      <c r="T13" s="17">
        <f t="shared" si="5"/>
        <v>10</v>
      </c>
      <c r="U13" s="17">
        <f t="shared" si="5"/>
        <v>17</v>
      </c>
      <c r="V13" s="17">
        <f t="shared" si="5"/>
        <v>175</v>
      </c>
      <c r="W13" s="17">
        <f t="shared" si="5"/>
        <v>8</v>
      </c>
      <c r="X13" s="17">
        <f t="shared" si="5"/>
        <v>7</v>
      </c>
      <c r="Y13" s="17">
        <f t="shared" si="5"/>
        <v>12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696</v>
      </c>
      <c r="AD13" s="17">
        <f t="shared" si="5"/>
        <v>0</v>
      </c>
      <c r="AE13" s="31">
        <f t="shared" si="5"/>
        <v>423</v>
      </c>
      <c r="AF13" s="31">
        <f t="shared" si="5"/>
        <v>1119</v>
      </c>
    </row>
    <row r="14" spans="2:32" ht="23.1" customHeight="1" x14ac:dyDescent="0.25">
      <c r="B14" s="45" t="s">
        <v>41</v>
      </c>
      <c r="C14" s="50">
        <v>52</v>
      </c>
      <c r="D14" s="50">
        <v>4</v>
      </c>
      <c r="E14" s="50">
        <v>2</v>
      </c>
      <c r="F14" s="50">
        <v>42</v>
      </c>
      <c r="G14" s="50">
        <v>2</v>
      </c>
      <c r="H14" s="50">
        <v>1</v>
      </c>
      <c r="I14" s="50">
        <v>6</v>
      </c>
      <c r="J14" s="50">
        <v>3</v>
      </c>
      <c r="K14" s="50">
        <v>1</v>
      </c>
      <c r="L14" s="50">
        <v>0</v>
      </c>
      <c r="M14" s="50">
        <v>183</v>
      </c>
      <c r="N14" s="50">
        <v>0</v>
      </c>
      <c r="O14" s="15">
        <f t="shared" si="0"/>
        <v>113</v>
      </c>
      <c r="P14" s="15">
        <f t="shared" si="1"/>
        <v>296</v>
      </c>
      <c r="R14" s="1" t="s">
        <v>10</v>
      </c>
      <c r="S14" s="17">
        <f t="shared" ref="S14:AF14" si="6">SUM(C26:C29)</f>
        <v>156</v>
      </c>
      <c r="T14" s="17">
        <f t="shared" si="6"/>
        <v>13</v>
      </c>
      <c r="U14" s="17">
        <f t="shared" si="6"/>
        <v>23</v>
      </c>
      <c r="V14" s="17">
        <f t="shared" si="6"/>
        <v>187</v>
      </c>
      <c r="W14" s="17">
        <f t="shared" si="6"/>
        <v>10</v>
      </c>
      <c r="X14" s="17">
        <f t="shared" si="6"/>
        <v>14</v>
      </c>
      <c r="Y14" s="17">
        <f t="shared" si="6"/>
        <v>12</v>
      </c>
      <c r="Z14" s="17">
        <f t="shared" si="6"/>
        <v>14</v>
      </c>
      <c r="AA14" s="17">
        <f t="shared" si="6"/>
        <v>1</v>
      </c>
      <c r="AB14" s="17">
        <f t="shared" si="6"/>
        <v>3</v>
      </c>
      <c r="AC14" s="17">
        <f t="shared" si="6"/>
        <v>650</v>
      </c>
      <c r="AD14" s="17">
        <f t="shared" si="6"/>
        <v>0</v>
      </c>
      <c r="AE14" s="31">
        <f t="shared" si="6"/>
        <v>433</v>
      </c>
      <c r="AF14" s="31">
        <f t="shared" si="6"/>
        <v>1083</v>
      </c>
    </row>
    <row r="15" spans="2:32" ht="23.1" customHeight="1" x14ac:dyDescent="0.25">
      <c r="B15" s="45" t="s">
        <v>42</v>
      </c>
      <c r="C15" s="50">
        <v>57</v>
      </c>
      <c r="D15" s="50">
        <v>4</v>
      </c>
      <c r="E15" s="50">
        <v>4</v>
      </c>
      <c r="F15" s="50">
        <v>48</v>
      </c>
      <c r="G15" s="50">
        <v>0</v>
      </c>
      <c r="H15" s="50">
        <v>1</v>
      </c>
      <c r="I15" s="50">
        <v>3</v>
      </c>
      <c r="J15" s="50">
        <v>0</v>
      </c>
      <c r="K15" s="50">
        <v>0</v>
      </c>
      <c r="L15" s="50">
        <v>0</v>
      </c>
      <c r="M15" s="50">
        <v>162</v>
      </c>
      <c r="N15" s="50">
        <v>0</v>
      </c>
      <c r="O15" s="15">
        <f t="shared" si="0"/>
        <v>117</v>
      </c>
      <c r="P15" s="15">
        <f t="shared" si="1"/>
        <v>279</v>
      </c>
      <c r="R15" s="1" t="s">
        <v>11</v>
      </c>
      <c r="S15" s="17">
        <f t="shared" ref="S15:AF15" si="7">SUM(C30:C33)</f>
        <v>217</v>
      </c>
      <c r="T15" s="17">
        <f t="shared" si="7"/>
        <v>8</v>
      </c>
      <c r="U15" s="17">
        <f t="shared" si="7"/>
        <v>19</v>
      </c>
      <c r="V15" s="17">
        <f t="shared" si="7"/>
        <v>168</v>
      </c>
      <c r="W15" s="17">
        <f t="shared" si="7"/>
        <v>4</v>
      </c>
      <c r="X15" s="17">
        <f t="shared" si="7"/>
        <v>9</v>
      </c>
      <c r="Y15" s="17">
        <f t="shared" si="7"/>
        <v>13</v>
      </c>
      <c r="Z15" s="17">
        <f t="shared" si="7"/>
        <v>8</v>
      </c>
      <c r="AA15" s="17">
        <f t="shared" si="7"/>
        <v>1</v>
      </c>
      <c r="AB15" s="17">
        <f t="shared" si="7"/>
        <v>2</v>
      </c>
      <c r="AC15" s="17">
        <f t="shared" si="7"/>
        <v>575</v>
      </c>
      <c r="AD15" s="17">
        <f t="shared" si="7"/>
        <v>0</v>
      </c>
      <c r="AE15" s="31">
        <f t="shared" si="7"/>
        <v>449</v>
      </c>
      <c r="AF15" s="31">
        <f t="shared" si="7"/>
        <v>1024</v>
      </c>
    </row>
    <row r="16" spans="2:32" ht="23.1" customHeight="1" x14ac:dyDescent="0.25">
      <c r="B16" s="45" t="s">
        <v>43</v>
      </c>
      <c r="C16" s="50">
        <v>51</v>
      </c>
      <c r="D16" s="50">
        <v>3</v>
      </c>
      <c r="E16" s="50">
        <v>6</v>
      </c>
      <c r="F16" s="50">
        <v>62</v>
      </c>
      <c r="G16" s="50">
        <v>1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164</v>
      </c>
      <c r="N16" s="50">
        <v>0</v>
      </c>
      <c r="O16" s="15">
        <f t="shared" si="0"/>
        <v>125</v>
      </c>
      <c r="P16" s="15">
        <f t="shared" si="1"/>
        <v>289</v>
      </c>
      <c r="R16" s="1" t="s">
        <v>12</v>
      </c>
      <c r="S16" s="17">
        <f t="shared" ref="S16:AF16" si="8">SUM(C34:C37)</f>
        <v>259</v>
      </c>
      <c r="T16" s="17">
        <f t="shared" si="8"/>
        <v>13</v>
      </c>
      <c r="U16" s="17">
        <f t="shared" si="8"/>
        <v>21</v>
      </c>
      <c r="V16" s="17">
        <f t="shared" si="8"/>
        <v>157</v>
      </c>
      <c r="W16" s="17">
        <f t="shared" si="8"/>
        <v>6</v>
      </c>
      <c r="X16" s="17">
        <f t="shared" si="8"/>
        <v>8</v>
      </c>
      <c r="Y16" s="17">
        <f t="shared" si="8"/>
        <v>8</v>
      </c>
      <c r="Z16" s="17">
        <f t="shared" si="8"/>
        <v>8</v>
      </c>
      <c r="AA16" s="17">
        <f t="shared" si="8"/>
        <v>0</v>
      </c>
      <c r="AB16" s="17">
        <f t="shared" si="8"/>
        <v>1</v>
      </c>
      <c r="AC16" s="17">
        <f t="shared" si="8"/>
        <v>609</v>
      </c>
      <c r="AD16" s="17">
        <f t="shared" si="8"/>
        <v>0</v>
      </c>
      <c r="AE16" s="31">
        <f t="shared" si="8"/>
        <v>481</v>
      </c>
      <c r="AF16" s="31">
        <f t="shared" si="8"/>
        <v>1090</v>
      </c>
    </row>
    <row r="17" spans="2:32" ht="23.1" customHeight="1" x14ac:dyDescent="0.25">
      <c r="B17" s="45" t="s">
        <v>44</v>
      </c>
      <c r="C17" s="50">
        <v>38</v>
      </c>
      <c r="D17" s="50">
        <v>2</v>
      </c>
      <c r="E17" s="50">
        <v>4</v>
      </c>
      <c r="F17" s="50">
        <v>42</v>
      </c>
      <c r="G17" s="50">
        <v>0</v>
      </c>
      <c r="H17" s="50">
        <v>2</v>
      </c>
      <c r="I17" s="50">
        <v>2</v>
      </c>
      <c r="J17" s="50">
        <v>1</v>
      </c>
      <c r="K17" s="50">
        <v>0</v>
      </c>
      <c r="L17" s="50">
        <v>0</v>
      </c>
      <c r="M17" s="50">
        <v>154</v>
      </c>
      <c r="N17" s="50">
        <v>0</v>
      </c>
      <c r="O17" s="15">
        <f t="shared" si="0"/>
        <v>91</v>
      </c>
      <c r="P17" s="15">
        <f t="shared" si="1"/>
        <v>245</v>
      </c>
      <c r="R17" s="1" t="s">
        <v>13</v>
      </c>
      <c r="S17" s="17">
        <f t="shared" ref="S17:AF17" si="9">SUM(C38:C41)</f>
        <v>175</v>
      </c>
      <c r="T17" s="17">
        <f t="shared" si="9"/>
        <v>21</v>
      </c>
      <c r="U17" s="17">
        <f t="shared" si="9"/>
        <v>74</v>
      </c>
      <c r="V17" s="17">
        <f t="shared" si="9"/>
        <v>140</v>
      </c>
      <c r="W17" s="17">
        <f t="shared" si="9"/>
        <v>9</v>
      </c>
      <c r="X17" s="17">
        <f t="shared" si="9"/>
        <v>3</v>
      </c>
      <c r="Y17" s="17">
        <f t="shared" si="9"/>
        <v>8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399</v>
      </c>
      <c r="AD17" s="17">
        <f t="shared" si="9"/>
        <v>0</v>
      </c>
      <c r="AE17" s="31">
        <f t="shared" si="9"/>
        <v>433</v>
      </c>
      <c r="AF17" s="31">
        <f t="shared" si="9"/>
        <v>832</v>
      </c>
    </row>
    <row r="18" spans="2:32" ht="23.1" customHeight="1" x14ac:dyDescent="0.25">
      <c r="B18" s="45" t="s">
        <v>45</v>
      </c>
      <c r="C18" s="50">
        <v>58</v>
      </c>
      <c r="D18" s="50">
        <v>3</v>
      </c>
      <c r="E18" s="50">
        <v>2</v>
      </c>
      <c r="F18" s="50">
        <v>64</v>
      </c>
      <c r="G18" s="50">
        <v>0</v>
      </c>
      <c r="H18" s="50">
        <v>1</v>
      </c>
      <c r="I18" s="50">
        <v>3</v>
      </c>
      <c r="J18" s="50">
        <v>0</v>
      </c>
      <c r="K18" s="50">
        <v>1</v>
      </c>
      <c r="L18" s="50">
        <v>0</v>
      </c>
      <c r="M18" s="50">
        <v>183</v>
      </c>
      <c r="N18" s="50">
        <v>0</v>
      </c>
      <c r="O18" s="15">
        <f t="shared" si="0"/>
        <v>132</v>
      </c>
      <c r="P18" s="15">
        <f t="shared" si="1"/>
        <v>315</v>
      </c>
      <c r="R18" s="1" t="s">
        <v>14</v>
      </c>
      <c r="S18" s="17">
        <f t="shared" ref="S18:AF18" si="10">SUM(C42:C45)</f>
        <v>178</v>
      </c>
      <c r="T18" s="17">
        <f t="shared" si="10"/>
        <v>16</v>
      </c>
      <c r="U18" s="17">
        <f t="shared" si="10"/>
        <v>20</v>
      </c>
      <c r="V18" s="17">
        <f t="shared" si="10"/>
        <v>146</v>
      </c>
      <c r="W18" s="17">
        <f t="shared" si="10"/>
        <v>5</v>
      </c>
      <c r="X18" s="17">
        <f t="shared" si="10"/>
        <v>3</v>
      </c>
      <c r="Y18" s="17">
        <f t="shared" si="10"/>
        <v>11</v>
      </c>
      <c r="Z18" s="17">
        <f t="shared" si="10"/>
        <v>6</v>
      </c>
      <c r="AA18" s="17">
        <f t="shared" si="10"/>
        <v>1</v>
      </c>
      <c r="AB18" s="17">
        <f t="shared" si="10"/>
        <v>0</v>
      </c>
      <c r="AC18" s="17">
        <f t="shared" si="10"/>
        <v>371</v>
      </c>
      <c r="AD18" s="17">
        <f t="shared" si="10"/>
        <v>0</v>
      </c>
      <c r="AE18" s="31">
        <f t="shared" si="10"/>
        <v>386</v>
      </c>
      <c r="AF18" s="31">
        <f t="shared" si="10"/>
        <v>757</v>
      </c>
    </row>
    <row r="19" spans="2:32" ht="23.1" customHeight="1" x14ac:dyDescent="0.25">
      <c r="B19" s="45" t="s">
        <v>46</v>
      </c>
      <c r="C19" s="50">
        <v>51</v>
      </c>
      <c r="D19" s="50">
        <v>1</v>
      </c>
      <c r="E19" s="50">
        <v>3</v>
      </c>
      <c r="F19" s="50">
        <v>41</v>
      </c>
      <c r="G19" s="50">
        <v>0</v>
      </c>
      <c r="H19" s="50">
        <v>4</v>
      </c>
      <c r="I19" s="50">
        <v>1</v>
      </c>
      <c r="J19" s="50">
        <v>3</v>
      </c>
      <c r="K19" s="50">
        <v>0</v>
      </c>
      <c r="L19" s="50">
        <v>0</v>
      </c>
      <c r="M19" s="50">
        <v>251</v>
      </c>
      <c r="N19" s="50">
        <v>0</v>
      </c>
      <c r="O19" s="15">
        <f t="shared" si="0"/>
        <v>104</v>
      </c>
      <c r="P19" s="15">
        <f t="shared" si="1"/>
        <v>355</v>
      </c>
      <c r="R19" s="1" t="s">
        <v>15</v>
      </c>
      <c r="S19" s="17">
        <f t="shared" ref="S19:AF19" si="11">SUM(C46:C49)</f>
        <v>127</v>
      </c>
      <c r="T19" s="17">
        <f t="shared" si="11"/>
        <v>17</v>
      </c>
      <c r="U19" s="17">
        <f t="shared" si="11"/>
        <v>13</v>
      </c>
      <c r="V19" s="17">
        <f t="shared" si="11"/>
        <v>146</v>
      </c>
      <c r="W19" s="17">
        <f t="shared" si="11"/>
        <v>3</v>
      </c>
      <c r="X19" s="17">
        <f t="shared" si="11"/>
        <v>7</v>
      </c>
      <c r="Y19" s="17">
        <f t="shared" si="11"/>
        <v>13</v>
      </c>
      <c r="Z19" s="17">
        <f t="shared" si="11"/>
        <v>8</v>
      </c>
      <c r="AA19" s="17">
        <f t="shared" si="11"/>
        <v>1</v>
      </c>
      <c r="AB19" s="17">
        <f t="shared" si="11"/>
        <v>0</v>
      </c>
      <c r="AC19" s="17">
        <f t="shared" si="11"/>
        <v>522</v>
      </c>
      <c r="AD19" s="17">
        <f t="shared" si="11"/>
        <v>0</v>
      </c>
      <c r="AE19" s="31">
        <f t="shared" si="11"/>
        <v>335</v>
      </c>
      <c r="AF19" s="31">
        <f t="shared" si="11"/>
        <v>857</v>
      </c>
    </row>
    <row r="20" spans="2:32" ht="23.1" customHeight="1" x14ac:dyDescent="0.25">
      <c r="B20" s="45" t="s">
        <v>47</v>
      </c>
      <c r="C20" s="50">
        <v>43</v>
      </c>
      <c r="D20" s="50">
        <v>2</v>
      </c>
      <c r="E20" s="50">
        <v>1</v>
      </c>
      <c r="F20" s="50">
        <v>33</v>
      </c>
      <c r="G20" s="50">
        <v>2</v>
      </c>
      <c r="H20" s="50">
        <v>1</v>
      </c>
      <c r="I20" s="50">
        <v>6</v>
      </c>
      <c r="J20" s="50">
        <v>1</v>
      </c>
      <c r="K20" s="50">
        <v>0</v>
      </c>
      <c r="L20" s="50">
        <v>0</v>
      </c>
      <c r="M20" s="50">
        <v>140</v>
      </c>
      <c r="N20" s="50">
        <v>0</v>
      </c>
      <c r="O20" s="15">
        <f t="shared" si="0"/>
        <v>89</v>
      </c>
      <c r="P20" s="15">
        <f t="shared" si="1"/>
        <v>229</v>
      </c>
      <c r="R20" s="1" t="s">
        <v>16</v>
      </c>
      <c r="S20" s="17">
        <f t="shared" ref="S20:AF20" si="12">SUM(C50:C53)</f>
        <v>260</v>
      </c>
      <c r="T20" s="17">
        <f t="shared" si="12"/>
        <v>15</v>
      </c>
      <c r="U20" s="17">
        <f t="shared" si="12"/>
        <v>18</v>
      </c>
      <c r="V20" s="17">
        <f t="shared" si="12"/>
        <v>225</v>
      </c>
      <c r="W20" s="17">
        <f t="shared" si="12"/>
        <v>4</v>
      </c>
      <c r="X20" s="17">
        <f t="shared" si="12"/>
        <v>2</v>
      </c>
      <c r="Y20" s="17">
        <f t="shared" si="12"/>
        <v>13</v>
      </c>
      <c r="Z20" s="17">
        <f t="shared" si="12"/>
        <v>6</v>
      </c>
      <c r="AA20" s="17">
        <f t="shared" si="12"/>
        <v>2</v>
      </c>
      <c r="AB20" s="17">
        <f t="shared" si="12"/>
        <v>2</v>
      </c>
      <c r="AC20" s="17">
        <f t="shared" si="12"/>
        <v>504</v>
      </c>
      <c r="AD20" s="17">
        <f t="shared" si="12"/>
        <v>0</v>
      </c>
      <c r="AE20" s="31">
        <f t="shared" si="12"/>
        <v>547</v>
      </c>
      <c r="AF20" s="31">
        <f t="shared" si="12"/>
        <v>1051</v>
      </c>
    </row>
    <row r="21" spans="2:32" ht="23.1" customHeight="1" x14ac:dyDescent="0.25">
      <c r="B21" s="45" t="s">
        <v>48</v>
      </c>
      <c r="C21" s="50">
        <v>45</v>
      </c>
      <c r="D21" s="50">
        <v>5</v>
      </c>
      <c r="E21" s="50">
        <v>2</v>
      </c>
      <c r="F21" s="50">
        <v>43</v>
      </c>
      <c r="G21" s="50">
        <v>1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168</v>
      </c>
      <c r="N21" s="50">
        <v>0</v>
      </c>
      <c r="O21" s="15">
        <f t="shared" si="0"/>
        <v>98</v>
      </c>
      <c r="P21" s="15">
        <f t="shared" si="1"/>
        <v>266</v>
      </c>
      <c r="R21" s="36" t="s">
        <v>20</v>
      </c>
      <c r="S21" s="34">
        <f t="shared" ref="S21:AF21" si="13">SUM(C54:C57)</f>
        <v>363</v>
      </c>
      <c r="T21" s="17">
        <f t="shared" si="13"/>
        <v>24</v>
      </c>
      <c r="U21" s="17">
        <f t="shared" si="13"/>
        <v>15</v>
      </c>
      <c r="V21" s="17">
        <f t="shared" si="13"/>
        <v>200</v>
      </c>
      <c r="W21" s="17">
        <f t="shared" si="13"/>
        <v>2</v>
      </c>
      <c r="X21" s="17">
        <f t="shared" si="13"/>
        <v>6</v>
      </c>
      <c r="Y21" s="17">
        <f t="shared" si="13"/>
        <v>13</v>
      </c>
      <c r="Z21" s="17">
        <f t="shared" si="13"/>
        <v>10</v>
      </c>
      <c r="AA21" s="17">
        <f t="shared" si="13"/>
        <v>0</v>
      </c>
      <c r="AB21" s="17">
        <f t="shared" si="13"/>
        <v>1</v>
      </c>
      <c r="AC21" s="17">
        <f t="shared" si="13"/>
        <v>760</v>
      </c>
      <c r="AD21" s="17">
        <f t="shared" si="13"/>
        <v>0</v>
      </c>
      <c r="AE21" s="31">
        <f t="shared" si="13"/>
        <v>634</v>
      </c>
      <c r="AF21" s="31">
        <f t="shared" si="13"/>
        <v>1394</v>
      </c>
    </row>
    <row r="22" spans="2:32" ht="23.1" customHeight="1" x14ac:dyDescent="0.25">
      <c r="B22" s="45" t="s">
        <v>49</v>
      </c>
      <c r="C22" s="50">
        <v>43</v>
      </c>
      <c r="D22" s="50">
        <v>3</v>
      </c>
      <c r="E22" s="50">
        <v>3</v>
      </c>
      <c r="F22" s="50">
        <v>45</v>
      </c>
      <c r="G22" s="50">
        <v>2</v>
      </c>
      <c r="H22" s="50">
        <v>1</v>
      </c>
      <c r="I22" s="50">
        <v>4</v>
      </c>
      <c r="J22" s="50">
        <v>1</v>
      </c>
      <c r="K22" s="50">
        <v>0</v>
      </c>
      <c r="L22" s="50">
        <v>0</v>
      </c>
      <c r="M22" s="50">
        <v>163</v>
      </c>
      <c r="N22" s="50">
        <v>0</v>
      </c>
      <c r="O22" s="15">
        <f t="shared" si="0"/>
        <v>102</v>
      </c>
      <c r="P22" s="15">
        <f t="shared" si="1"/>
        <v>265</v>
      </c>
      <c r="R22" s="36" t="s">
        <v>146</v>
      </c>
      <c r="S22" s="34">
        <f>SUM(C58:C61)</f>
        <v>354</v>
      </c>
      <c r="T22" s="34">
        <f t="shared" ref="T22:AF22" si="14">SUM(D58:D61)</f>
        <v>27</v>
      </c>
      <c r="U22" s="34">
        <f t="shared" si="14"/>
        <v>26</v>
      </c>
      <c r="V22" s="34">
        <f t="shared" si="14"/>
        <v>195</v>
      </c>
      <c r="W22" s="34">
        <f t="shared" si="14"/>
        <v>5</v>
      </c>
      <c r="X22" s="34">
        <f t="shared" si="14"/>
        <v>6</v>
      </c>
      <c r="Y22" s="34">
        <f t="shared" si="14"/>
        <v>14</v>
      </c>
      <c r="Z22" s="34">
        <f t="shared" si="14"/>
        <v>9</v>
      </c>
      <c r="AA22" s="34">
        <f t="shared" si="14"/>
        <v>3</v>
      </c>
      <c r="AB22" s="34">
        <f t="shared" si="14"/>
        <v>5</v>
      </c>
      <c r="AC22" s="34">
        <f t="shared" si="14"/>
        <v>773</v>
      </c>
      <c r="AD22" s="34">
        <f t="shared" si="14"/>
        <v>0</v>
      </c>
      <c r="AE22" s="31">
        <f t="shared" si="14"/>
        <v>644</v>
      </c>
      <c r="AF22" s="31">
        <f t="shared" si="14"/>
        <v>1417</v>
      </c>
    </row>
    <row r="23" spans="2:32" ht="23.1" customHeight="1" x14ac:dyDescent="0.25">
      <c r="B23" s="45" t="s">
        <v>50</v>
      </c>
      <c r="C23" s="50">
        <v>57</v>
      </c>
      <c r="D23" s="50">
        <v>2</v>
      </c>
      <c r="E23" s="50">
        <v>8</v>
      </c>
      <c r="F23" s="50">
        <v>46</v>
      </c>
      <c r="G23" s="50">
        <v>1</v>
      </c>
      <c r="H23" s="50">
        <v>2</v>
      </c>
      <c r="I23" s="50">
        <v>2</v>
      </c>
      <c r="J23" s="50">
        <v>3</v>
      </c>
      <c r="K23" s="50">
        <v>0</v>
      </c>
      <c r="L23" s="50">
        <v>0</v>
      </c>
      <c r="M23" s="50">
        <v>178</v>
      </c>
      <c r="N23" s="50">
        <v>0</v>
      </c>
      <c r="O23" s="15">
        <f t="shared" si="0"/>
        <v>121</v>
      </c>
      <c r="P23" s="15">
        <f t="shared" si="1"/>
        <v>299</v>
      </c>
      <c r="R23" s="36" t="s">
        <v>147</v>
      </c>
      <c r="S23" s="34">
        <f>SUM(C62:C65)</f>
        <v>227</v>
      </c>
      <c r="T23" s="34">
        <f t="shared" ref="T23:AF23" si="15">SUM(D62:D65)</f>
        <v>19</v>
      </c>
      <c r="U23" s="34">
        <f t="shared" si="15"/>
        <v>21</v>
      </c>
      <c r="V23" s="34">
        <f t="shared" si="15"/>
        <v>110</v>
      </c>
      <c r="W23" s="34">
        <f t="shared" si="15"/>
        <v>1</v>
      </c>
      <c r="X23" s="34">
        <f t="shared" si="15"/>
        <v>1</v>
      </c>
      <c r="Y23" s="34">
        <f t="shared" si="15"/>
        <v>11</v>
      </c>
      <c r="Z23" s="34">
        <f t="shared" si="15"/>
        <v>7</v>
      </c>
      <c r="AA23" s="34">
        <f t="shared" si="15"/>
        <v>1</v>
      </c>
      <c r="AB23" s="34">
        <f t="shared" si="15"/>
        <v>1</v>
      </c>
      <c r="AC23" s="34">
        <f t="shared" si="15"/>
        <v>793</v>
      </c>
      <c r="AD23" s="34">
        <f t="shared" si="15"/>
        <v>0</v>
      </c>
      <c r="AE23" s="31">
        <f t="shared" si="15"/>
        <v>399</v>
      </c>
      <c r="AF23" s="31">
        <f t="shared" si="15"/>
        <v>1192</v>
      </c>
    </row>
    <row r="24" spans="2:32" ht="23.1" customHeight="1" x14ac:dyDescent="0.25">
      <c r="B24" s="45" t="s">
        <v>51</v>
      </c>
      <c r="C24" s="50">
        <v>41</v>
      </c>
      <c r="D24" s="50">
        <v>2</v>
      </c>
      <c r="E24" s="50">
        <v>3</v>
      </c>
      <c r="F24" s="50">
        <v>46</v>
      </c>
      <c r="G24" s="50">
        <v>3</v>
      </c>
      <c r="H24" s="50">
        <v>0</v>
      </c>
      <c r="I24" s="50">
        <v>2</v>
      </c>
      <c r="J24" s="50">
        <v>1</v>
      </c>
      <c r="K24" s="50">
        <v>1</v>
      </c>
      <c r="L24" s="50">
        <v>0</v>
      </c>
      <c r="M24" s="50">
        <v>183</v>
      </c>
      <c r="N24" s="50">
        <v>0</v>
      </c>
      <c r="O24" s="15">
        <f t="shared" si="0"/>
        <v>99</v>
      </c>
      <c r="P24" s="15">
        <f t="shared" si="1"/>
        <v>282</v>
      </c>
      <c r="R24" s="36" t="s">
        <v>148</v>
      </c>
      <c r="S24" s="34">
        <f>SUM(C66:C69)</f>
        <v>201</v>
      </c>
      <c r="T24" s="34">
        <f t="shared" ref="T24:AF24" si="16">SUM(D66:D69)</f>
        <v>23</v>
      </c>
      <c r="U24" s="34">
        <f t="shared" si="16"/>
        <v>25</v>
      </c>
      <c r="V24" s="34">
        <f t="shared" si="16"/>
        <v>129</v>
      </c>
      <c r="W24" s="34">
        <f t="shared" si="16"/>
        <v>6</v>
      </c>
      <c r="X24" s="34">
        <f t="shared" si="16"/>
        <v>11</v>
      </c>
      <c r="Y24" s="34">
        <f t="shared" si="16"/>
        <v>7</v>
      </c>
      <c r="Z24" s="34">
        <f t="shared" si="16"/>
        <v>5</v>
      </c>
      <c r="AA24" s="34">
        <f t="shared" si="16"/>
        <v>0</v>
      </c>
      <c r="AB24" s="34">
        <f t="shared" si="16"/>
        <v>2</v>
      </c>
      <c r="AC24" s="34">
        <f t="shared" si="16"/>
        <v>920</v>
      </c>
      <c r="AD24" s="34">
        <f t="shared" si="16"/>
        <v>0</v>
      </c>
      <c r="AE24" s="31">
        <f t="shared" si="16"/>
        <v>409</v>
      </c>
      <c r="AF24" s="31">
        <f t="shared" si="16"/>
        <v>1329</v>
      </c>
    </row>
    <row r="25" spans="2:32" ht="23.1" customHeight="1" x14ac:dyDescent="0.25">
      <c r="B25" s="45" t="s">
        <v>52</v>
      </c>
      <c r="C25" s="50">
        <v>47</v>
      </c>
      <c r="D25" s="50">
        <v>3</v>
      </c>
      <c r="E25" s="50">
        <v>3</v>
      </c>
      <c r="F25" s="50">
        <v>38</v>
      </c>
      <c r="G25" s="50">
        <v>2</v>
      </c>
      <c r="H25" s="50">
        <v>4</v>
      </c>
      <c r="I25" s="50">
        <v>4</v>
      </c>
      <c r="J25" s="50">
        <v>0</v>
      </c>
      <c r="K25" s="50">
        <v>0</v>
      </c>
      <c r="L25" s="50">
        <v>0</v>
      </c>
      <c r="M25" s="50">
        <v>172</v>
      </c>
      <c r="N25" s="50">
        <v>0</v>
      </c>
      <c r="O25" s="15">
        <f t="shared" si="0"/>
        <v>101</v>
      </c>
      <c r="P25" s="15">
        <f t="shared" si="1"/>
        <v>273</v>
      </c>
      <c r="R25" s="36" t="s">
        <v>149</v>
      </c>
      <c r="S25" s="34">
        <f>SUM(C70:C73)</f>
        <v>158</v>
      </c>
      <c r="T25" s="34">
        <f t="shared" ref="T25:AF25" si="17">SUM(D70:D73)</f>
        <v>13</v>
      </c>
      <c r="U25" s="34">
        <f t="shared" si="17"/>
        <v>10</v>
      </c>
      <c r="V25" s="34">
        <f t="shared" si="17"/>
        <v>93</v>
      </c>
      <c r="W25" s="34">
        <f t="shared" si="17"/>
        <v>2</v>
      </c>
      <c r="X25" s="34">
        <f t="shared" si="17"/>
        <v>7</v>
      </c>
      <c r="Y25" s="34">
        <f t="shared" si="17"/>
        <v>8</v>
      </c>
      <c r="Z25" s="34">
        <f t="shared" si="17"/>
        <v>7</v>
      </c>
      <c r="AA25" s="34">
        <f t="shared" si="17"/>
        <v>2</v>
      </c>
      <c r="AB25" s="34">
        <f t="shared" si="17"/>
        <v>1</v>
      </c>
      <c r="AC25" s="34">
        <f t="shared" si="17"/>
        <v>357</v>
      </c>
      <c r="AD25" s="34">
        <f t="shared" si="17"/>
        <v>0</v>
      </c>
      <c r="AE25" s="31">
        <f t="shared" si="17"/>
        <v>301</v>
      </c>
      <c r="AF25" s="31">
        <f t="shared" si="17"/>
        <v>658</v>
      </c>
    </row>
    <row r="26" spans="2:32" ht="23.1" customHeight="1" x14ac:dyDescent="0.25">
      <c r="B26" s="45" t="s">
        <v>53</v>
      </c>
      <c r="C26" s="50">
        <v>11</v>
      </c>
      <c r="D26" s="50">
        <v>4</v>
      </c>
      <c r="E26" s="50">
        <v>10</v>
      </c>
      <c r="F26" s="50">
        <v>56</v>
      </c>
      <c r="G26" s="50">
        <v>3</v>
      </c>
      <c r="H26" s="50">
        <v>5</v>
      </c>
      <c r="I26" s="50">
        <v>5</v>
      </c>
      <c r="J26" s="50">
        <v>1</v>
      </c>
      <c r="K26" s="50">
        <v>1</v>
      </c>
      <c r="L26" s="50">
        <v>1</v>
      </c>
      <c r="M26" s="50">
        <v>165</v>
      </c>
      <c r="N26" s="50">
        <v>0</v>
      </c>
      <c r="O26" s="15">
        <f t="shared" si="0"/>
        <v>97</v>
      </c>
      <c r="P26" s="15">
        <f t="shared" si="1"/>
        <v>262</v>
      </c>
      <c r="R26" s="36" t="s">
        <v>150</v>
      </c>
      <c r="S26" s="34">
        <f>SUM(C74:C77)</f>
        <v>121</v>
      </c>
      <c r="T26" s="34">
        <f t="shared" ref="T26:AF26" si="18">SUM(D74:D77)</f>
        <v>15</v>
      </c>
      <c r="U26" s="34">
        <f t="shared" si="18"/>
        <v>14</v>
      </c>
      <c r="V26" s="34">
        <f t="shared" si="18"/>
        <v>56</v>
      </c>
      <c r="W26" s="34">
        <f t="shared" si="18"/>
        <v>3</v>
      </c>
      <c r="X26" s="34">
        <f t="shared" si="18"/>
        <v>5</v>
      </c>
      <c r="Y26" s="34">
        <f t="shared" si="18"/>
        <v>0</v>
      </c>
      <c r="Z26" s="34">
        <f t="shared" si="18"/>
        <v>6</v>
      </c>
      <c r="AA26" s="34">
        <f t="shared" si="18"/>
        <v>0</v>
      </c>
      <c r="AB26" s="34">
        <f t="shared" si="18"/>
        <v>0</v>
      </c>
      <c r="AC26" s="34">
        <f t="shared" si="18"/>
        <v>208</v>
      </c>
      <c r="AD26" s="34">
        <f t="shared" si="18"/>
        <v>0</v>
      </c>
      <c r="AE26" s="31">
        <f t="shared" si="18"/>
        <v>220</v>
      </c>
      <c r="AF26" s="31">
        <f t="shared" si="18"/>
        <v>428</v>
      </c>
    </row>
    <row r="27" spans="2:32" ht="23.1" customHeight="1" x14ac:dyDescent="0.25">
      <c r="B27" s="45" t="s">
        <v>54</v>
      </c>
      <c r="C27" s="50">
        <v>53</v>
      </c>
      <c r="D27" s="50">
        <v>1</v>
      </c>
      <c r="E27" s="50">
        <v>4</v>
      </c>
      <c r="F27" s="50">
        <v>46</v>
      </c>
      <c r="G27" s="50">
        <v>1</v>
      </c>
      <c r="H27" s="50">
        <v>3</v>
      </c>
      <c r="I27" s="50">
        <v>3</v>
      </c>
      <c r="J27" s="50">
        <v>5</v>
      </c>
      <c r="K27" s="50">
        <v>0</v>
      </c>
      <c r="L27" s="50">
        <v>1</v>
      </c>
      <c r="M27" s="50">
        <v>153</v>
      </c>
      <c r="N27" s="50">
        <v>0</v>
      </c>
      <c r="O27" s="15">
        <f t="shared" si="0"/>
        <v>117</v>
      </c>
      <c r="P27" s="15">
        <f t="shared" si="1"/>
        <v>270</v>
      </c>
      <c r="R27" s="36" t="s">
        <v>151</v>
      </c>
      <c r="S27" s="34">
        <f>SUM(C78:C81)</f>
        <v>86</v>
      </c>
      <c r="T27" s="34">
        <f t="shared" ref="T27:AF27" si="19">SUM(D78:D81)</f>
        <v>10</v>
      </c>
      <c r="U27" s="34">
        <f t="shared" si="19"/>
        <v>5</v>
      </c>
      <c r="V27" s="34">
        <f t="shared" si="19"/>
        <v>25</v>
      </c>
      <c r="W27" s="34">
        <f t="shared" si="19"/>
        <v>0</v>
      </c>
      <c r="X27" s="34">
        <f t="shared" si="19"/>
        <v>3</v>
      </c>
      <c r="Y27" s="34">
        <f t="shared" si="19"/>
        <v>3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232</v>
      </c>
      <c r="AD27" s="34">
        <f t="shared" si="19"/>
        <v>0</v>
      </c>
      <c r="AE27" s="31">
        <f t="shared" si="19"/>
        <v>133</v>
      </c>
      <c r="AF27" s="31">
        <f t="shared" si="19"/>
        <v>365</v>
      </c>
    </row>
    <row r="28" spans="2:32" ht="23.1" customHeight="1" x14ac:dyDescent="0.25">
      <c r="B28" s="45" t="s">
        <v>55</v>
      </c>
      <c r="C28" s="50">
        <v>44</v>
      </c>
      <c r="D28" s="50">
        <v>6</v>
      </c>
      <c r="E28" s="50">
        <v>4</v>
      </c>
      <c r="F28" s="50">
        <v>43</v>
      </c>
      <c r="G28" s="50">
        <v>3</v>
      </c>
      <c r="H28" s="50">
        <v>4</v>
      </c>
      <c r="I28" s="50">
        <v>2</v>
      </c>
      <c r="J28" s="50">
        <v>4</v>
      </c>
      <c r="K28" s="50">
        <v>0</v>
      </c>
      <c r="L28" s="50">
        <v>1</v>
      </c>
      <c r="M28" s="50">
        <v>175</v>
      </c>
      <c r="N28" s="50">
        <v>0</v>
      </c>
      <c r="O28" s="15">
        <f t="shared" si="0"/>
        <v>111</v>
      </c>
      <c r="P28" s="15">
        <f t="shared" si="1"/>
        <v>286</v>
      </c>
      <c r="R28" s="36" t="s">
        <v>152</v>
      </c>
      <c r="S28" s="34">
        <f>SUM(C82:C85)</f>
        <v>67</v>
      </c>
      <c r="T28" s="34">
        <f t="shared" ref="T28:AF28" si="20">SUM(D82:D85)</f>
        <v>6</v>
      </c>
      <c r="U28" s="34">
        <f t="shared" si="20"/>
        <v>3</v>
      </c>
      <c r="V28" s="34">
        <f t="shared" si="20"/>
        <v>7</v>
      </c>
      <c r="W28" s="34">
        <f t="shared" si="20"/>
        <v>0</v>
      </c>
      <c r="X28" s="34">
        <f t="shared" si="20"/>
        <v>3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101</v>
      </c>
      <c r="AD28" s="34">
        <f t="shared" si="20"/>
        <v>0</v>
      </c>
      <c r="AE28" s="31">
        <f t="shared" si="20"/>
        <v>88</v>
      </c>
      <c r="AF28" s="31">
        <f t="shared" si="20"/>
        <v>189</v>
      </c>
    </row>
    <row r="29" spans="2:32" ht="23.1" customHeight="1" x14ac:dyDescent="0.25">
      <c r="B29" s="45" t="s">
        <v>56</v>
      </c>
      <c r="C29" s="50">
        <v>48</v>
      </c>
      <c r="D29" s="50">
        <v>2</v>
      </c>
      <c r="E29" s="50">
        <v>5</v>
      </c>
      <c r="F29" s="50">
        <v>42</v>
      </c>
      <c r="G29" s="50">
        <v>3</v>
      </c>
      <c r="H29" s="50">
        <v>2</v>
      </c>
      <c r="I29" s="50">
        <v>2</v>
      </c>
      <c r="J29" s="50">
        <v>4</v>
      </c>
      <c r="K29" s="50">
        <v>0</v>
      </c>
      <c r="L29" s="50">
        <v>0</v>
      </c>
      <c r="M29" s="50">
        <v>157</v>
      </c>
      <c r="N29" s="50">
        <v>0</v>
      </c>
      <c r="O29" s="15">
        <f t="shared" si="0"/>
        <v>108</v>
      </c>
      <c r="P29" s="15">
        <f t="shared" si="1"/>
        <v>265</v>
      </c>
      <c r="R29" s="36" t="s">
        <v>153</v>
      </c>
      <c r="S29" s="34">
        <f>SUM(C86:C89)</f>
        <v>40</v>
      </c>
      <c r="T29" s="34">
        <f t="shared" ref="T29:AF29" si="21">SUM(D86:D89)</f>
        <v>2</v>
      </c>
      <c r="U29" s="34">
        <f t="shared" si="21"/>
        <v>6</v>
      </c>
      <c r="V29" s="34">
        <f t="shared" si="21"/>
        <v>1</v>
      </c>
      <c r="W29" s="34">
        <f t="shared" si="21"/>
        <v>1</v>
      </c>
      <c r="X29" s="34">
        <f t="shared" si="21"/>
        <v>1</v>
      </c>
      <c r="Y29" s="34">
        <f t="shared" si="21"/>
        <v>2</v>
      </c>
      <c r="Z29" s="34">
        <f t="shared" si="21"/>
        <v>4</v>
      </c>
      <c r="AA29" s="34">
        <f t="shared" si="21"/>
        <v>0</v>
      </c>
      <c r="AB29" s="34">
        <f t="shared" si="21"/>
        <v>0</v>
      </c>
      <c r="AC29" s="34">
        <f t="shared" si="21"/>
        <v>106</v>
      </c>
      <c r="AD29" s="34">
        <f t="shared" si="21"/>
        <v>0</v>
      </c>
      <c r="AE29" s="31">
        <f t="shared" si="21"/>
        <v>57</v>
      </c>
      <c r="AF29" s="31">
        <f t="shared" si="21"/>
        <v>163</v>
      </c>
    </row>
    <row r="30" spans="2:32" ht="23.1" customHeight="1" x14ac:dyDescent="0.25">
      <c r="B30" s="45" t="s">
        <v>57</v>
      </c>
      <c r="C30" s="50">
        <v>63</v>
      </c>
      <c r="D30" s="50">
        <v>2</v>
      </c>
      <c r="E30" s="50">
        <v>9</v>
      </c>
      <c r="F30" s="50">
        <v>51</v>
      </c>
      <c r="G30" s="50">
        <v>0</v>
      </c>
      <c r="H30" s="50">
        <v>2</v>
      </c>
      <c r="I30" s="50">
        <v>6</v>
      </c>
      <c r="J30" s="50">
        <v>3</v>
      </c>
      <c r="K30" s="50">
        <v>0</v>
      </c>
      <c r="L30" s="50">
        <v>0</v>
      </c>
      <c r="M30" s="50">
        <v>167</v>
      </c>
      <c r="N30" s="50">
        <v>0</v>
      </c>
      <c r="O30" s="15">
        <f t="shared" si="0"/>
        <v>136</v>
      </c>
      <c r="P30" s="15">
        <f t="shared" si="1"/>
        <v>303</v>
      </c>
      <c r="R30" s="36" t="s">
        <v>154</v>
      </c>
      <c r="S30" s="34">
        <f>SUM(C90:C93)</f>
        <v>17</v>
      </c>
      <c r="T30" s="34">
        <f t="shared" ref="T30:AF30" si="22">SUM(D90:D93)</f>
        <v>5</v>
      </c>
      <c r="U30" s="34">
        <f t="shared" si="22"/>
        <v>4</v>
      </c>
      <c r="V30" s="34">
        <f t="shared" si="22"/>
        <v>1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60</v>
      </c>
      <c r="AD30" s="34">
        <f t="shared" si="22"/>
        <v>0</v>
      </c>
      <c r="AE30" s="31">
        <f t="shared" si="22"/>
        <v>28</v>
      </c>
      <c r="AF30" s="31">
        <f t="shared" si="22"/>
        <v>88</v>
      </c>
    </row>
    <row r="31" spans="2:32" ht="23.1" customHeight="1" x14ac:dyDescent="0.25">
      <c r="B31" s="46" t="s">
        <v>58</v>
      </c>
      <c r="C31" s="50">
        <v>69</v>
      </c>
      <c r="D31" s="50">
        <v>1</v>
      </c>
      <c r="E31" s="50">
        <v>3</v>
      </c>
      <c r="F31" s="50">
        <v>43</v>
      </c>
      <c r="G31" s="50">
        <v>1</v>
      </c>
      <c r="H31" s="50">
        <v>3</v>
      </c>
      <c r="I31" s="50">
        <v>2</v>
      </c>
      <c r="J31" s="50">
        <v>2</v>
      </c>
      <c r="K31" s="50">
        <v>1</v>
      </c>
      <c r="L31" s="50">
        <v>0</v>
      </c>
      <c r="M31" s="50">
        <v>144</v>
      </c>
      <c r="N31" s="50">
        <v>0</v>
      </c>
      <c r="O31" s="15">
        <f t="shared" si="0"/>
        <v>125</v>
      </c>
      <c r="P31" s="15">
        <f t="shared" si="1"/>
        <v>269</v>
      </c>
      <c r="R31" s="36" t="s">
        <v>155</v>
      </c>
      <c r="S31" s="34">
        <f>SUM(C94:C97)</f>
        <v>48</v>
      </c>
      <c r="T31" s="34">
        <f t="shared" ref="T31:AF31" si="23">SUM(D94:D97)</f>
        <v>12</v>
      </c>
      <c r="U31" s="34">
        <f t="shared" si="23"/>
        <v>3</v>
      </c>
      <c r="V31" s="34">
        <f t="shared" si="23"/>
        <v>4</v>
      </c>
      <c r="W31" s="34">
        <f t="shared" si="23"/>
        <v>0</v>
      </c>
      <c r="X31" s="34">
        <f t="shared" si="23"/>
        <v>2</v>
      </c>
      <c r="Y31" s="34">
        <f t="shared" si="23"/>
        <v>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71</v>
      </c>
      <c r="AD31" s="34">
        <f t="shared" si="23"/>
        <v>0</v>
      </c>
      <c r="AE31" s="31">
        <f t="shared" si="23"/>
        <v>74</v>
      </c>
      <c r="AF31" s="31">
        <f t="shared" si="23"/>
        <v>145</v>
      </c>
    </row>
    <row r="32" spans="2:32" ht="23.1" customHeight="1" x14ac:dyDescent="0.25">
      <c r="B32" s="46" t="s">
        <v>59</v>
      </c>
      <c r="C32" s="50">
        <v>41</v>
      </c>
      <c r="D32" s="50">
        <v>2</v>
      </c>
      <c r="E32" s="50">
        <v>4</v>
      </c>
      <c r="F32" s="50">
        <v>38</v>
      </c>
      <c r="G32" s="50">
        <v>3</v>
      </c>
      <c r="H32" s="50">
        <v>3</v>
      </c>
      <c r="I32" s="50">
        <v>2</v>
      </c>
      <c r="J32" s="50">
        <v>0</v>
      </c>
      <c r="K32" s="50">
        <v>0</v>
      </c>
      <c r="L32" s="50">
        <v>1</v>
      </c>
      <c r="M32" s="50">
        <v>138</v>
      </c>
      <c r="N32" s="50">
        <v>0</v>
      </c>
      <c r="O32" s="15">
        <f t="shared" si="0"/>
        <v>94</v>
      </c>
      <c r="P32" s="15">
        <f t="shared" si="1"/>
        <v>232</v>
      </c>
      <c r="R32" s="33" t="s">
        <v>156</v>
      </c>
      <c r="S32" s="34">
        <f>SUM(C98:C101)</f>
        <v>27</v>
      </c>
      <c r="T32" s="34">
        <f t="shared" ref="T32:AF32" si="24">SUM(D98:D101)</f>
        <v>8</v>
      </c>
      <c r="U32" s="34">
        <f t="shared" si="24"/>
        <v>4</v>
      </c>
      <c r="V32" s="34">
        <f t="shared" si="24"/>
        <v>166</v>
      </c>
      <c r="W32" s="34">
        <f t="shared" si="24"/>
        <v>3</v>
      </c>
      <c r="X32" s="34">
        <f t="shared" si="24"/>
        <v>5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285</v>
      </c>
      <c r="AD32" s="34">
        <f t="shared" si="24"/>
        <v>0</v>
      </c>
      <c r="AE32" s="31">
        <f t="shared" si="24"/>
        <v>217</v>
      </c>
      <c r="AF32" s="31">
        <f t="shared" si="24"/>
        <v>502</v>
      </c>
    </row>
    <row r="33" spans="2:32" ht="23.1" customHeight="1" x14ac:dyDescent="0.25">
      <c r="B33" s="45" t="s">
        <v>60</v>
      </c>
      <c r="C33" s="50">
        <v>44</v>
      </c>
      <c r="D33" s="50">
        <v>3</v>
      </c>
      <c r="E33" s="50">
        <v>3</v>
      </c>
      <c r="F33" s="50">
        <v>36</v>
      </c>
      <c r="G33" s="50">
        <v>0</v>
      </c>
      <c r="H33" s="50">
        <v>1</v>
      </c>
      <c r="I33" s="50">
        <v>3</v>
      </c>
      <c r="J33" s="50">
        <v>3</v>
      </c>
      <c r="K33" s="50">
        <v>0</v>
      </c>
      <c r="L33" s="50">
        <v>1</v>
      </c>
      <c r="M33" s="50">
        <v>126</v>
      </c>
      <c r="N33" s="50">
        <v>0</v>
      </c>
      <c r="O33" s="15">
        <f t="shared" si="0"/>
        <v>94</v>
      </c>
      <c r="P33" s="15">
        <f t="shared" si="1"/>
        <v>220</v>
      </c>
      <c r="R33" s="33" t="s">
        <v>157</v>
      </c>
      <c r="S33" s="34">
        <f>SUM(C102:C105)</f>
        <v>155</v>
      </c>
      <c r="T33" s="34">
        <f t="shared" ref="T33:AF33" si="25">SUM(D102:D105)</f>
        <v>15</v>
      </c>
      <c r="U33" s="34">
        <f t="shared" si="25"/>
        <v>12</v>
      </c>
      <c r="V33" s="34">
        <f t="shared" si="25"/>
        <v>165</v>
      </c>
      <c r="W33" s="34">
        <f t="shared" si="25"/>
        <v>8</v>
      </c>
      <c r="X33" s="34">
        <f t="shared" si="25"/>
        <v>2</v>
      </c>
      <c r="Y33" s="34">
        <f t="shared" si="25"/>
        <v>10</v>
      </c>
      <c r="Z33" s="34">
        <f t="shared" si="25"/>
        <v>4</v>
      </c>
      <c r="AA33" s="34">
        <f t="shared" si="25"/>
        <v>1</v>
      </c>
      <c r="AB33" s="34">
        <f t="shared" si="25"/>
        <v>0</v>
      </c>
      <c r="AC33" s="34">
        <f t="shared" si="25"/>
        <v>448</v>
      </c>
      <c r="AD33" s="34">
        <f t="shared" si="25"/>
        <v>0</v>
      </c>
      <c r="AE33" s="31">
        <f t="shared" si="25"/>
        <v>372</v>
      </c>
      <c r="AF33" s="31">
        <f t="shared" si="25"/>
        <v>820</v>
      </c>
    </row>
    <row r="34" spans="2:32" ht="23.1" customHeight="1" x14ac:dyDescent="0.25">
      <c r="B34" s="46" t="s">
        <v>61</v>
      </c>
      <c r="C34" s="50">
        <v>43</v>
      </c>
      <c r="D34" s="50">
        <v>2</v>
      </c>
      <c r="E34" s="50">
        <v>2</v>
      </c>
      <c r="F34" s="50">
        <v>34</v>
      </c>
      <c r="G34" s="50">
        <v>4</v>
      </c>
      <c r="H34" s="50">
        <v>2</v>
      </c>
      <c r="I34" s="50">
        <v>2</v>
      </c>
      <c r="J34" s="50">
        <v>3</v>
      </c>
      <c r="K34" s="50">
        <v>0</v>
      </c>
      <c r="L34" s="50">
        <v>0</v>
      </c>
      <c r="M34" s="50">
        <v>152</v>
      </c>
      <c r="N34" s="50">
        <v>0</v>
      </c>
      <c r="O34" s="15">
        <f t="shared" si="0"/>
        <v>92</v>
      </c>
      <c r="P34" s="15">
        <f t="shared" si="1"/>
        <v>244</v>
      </c>
      <c r="R34" s="38" t="s">
        <v>90</v>
      </c>
      <c r="S34" s="39">
        <f t="shared" ref="S34:AF34" si="26">MAX(S10:S12)</f>
        <v>198</v>
      </c>
      <c r="T34" s="39">
        <f t="shared" si="26"/>
        <v>15</v>
      </c>
      <c r="U34" s="39">
        <f t="shared" si="26"/>
        <v>16</v>
      </c>
      <c r="V34" s="39">
        <f t="shared" si="26"/>
        <v>194</v>
      </c>
      <c r="W34" s="39">
        <f t="shared" si="26"/>
        <v>8</v>
      </c>
      <c r="X34" s="39">
        <f t="shared" si="26"/>
        <v>6</v>
      </c>
      <c r="Y34" s="39">
        <f t="shared" si="26"/>
        <v>13</v>
      </c>
      <c r="Z34" s="39">
        <f t="shared" si="26"/>
        <v>5</v>
      </c>
      <c r="AA34" s="39">
        <f t="shared" si="26"/>
        <v>1</v>
      </c>
      <c r="AB34" s="39">
        <f t="shared" si="26"/>
        <v>0</v>
      </c>
      <c r="AC34" s="39">
        <f t="shared" si="26"/>
        <v>742</v>
      </c>
      <c r="AD34" s="39">
        <f t="shared" si="26"/>
        <v>0</v>
      </c>
      <c r="AE34" s="40">
        <f t="shared" si="26"/>
        <v>446</v>
      </c>
      <c r="AF34" s="40">
        <f t="shared" si="26"/>
        <v>1165</v>
      </c>
    </row>
    <row r="35" spans="2:32" ht="23.1" customHeight="1" x14ac:dyDescent="0.25">
      <c r="B35" s="46" t="s">
        <v>62</v>
      </c>
      <c r="C35" s="50">
        <v>41</v>
      </c>
      <c r="D35" s="50">
        <v>6</v>
      </c>
      <c r="E35" s="50">
        <v>3</v>
      </c>
      <c r="F35" s="50">
        <v>32</v>
      </c>
      <c r="G35" s="50">
        <v>1</v>
      </c>
      <c r="H35" s="50">
        <v>2</v>
      </c>
      <c r="I35" s="50">
        <v>2</v>
      </c>
      <c r="J35" s="50">
        <v>2</v>
      </c>
      <c r="K35" s="50">
        <v>0</v>
      </c>
      <c r="L35" s="50">
        <v>0</v>
      </c>
      <c r="M35" s="50">
        <v>149</v>
      </c>
      <c r="N35" s="50">
        <v>0</v>
      </c>
      <c r="O35" s="15">
        <f t="shared" si="0"/>
        <v>89</v>
      </c>
      <c r="P35" s="15">
        <f t="shared" si="1"/>
        <v>238</v>
      </c>
      <c r="R35" s="38" t="s">
        <v>91</v>
      </c>
      <c r="S35" s="39">
        <f t="shared" ref="S35:AF35" si="27">MAX(S13:S18)</f>
        <v>259</v>
      </c>
      <c r="T35" s="39">
        <f t="shared" si="27"/>
        <v>21</v>
      </c>
      <c r="U35" s="39">
        <f t="shared" si="27"/>
        <v>74</v>
      </c>
      <c r="V35" s="39">
        <f t="shared" si="27"/>
        <v>187</v>
      </c>
      <c r="W35" s="39">
        <f t="shared" si="27"/>
        <v>10</v>
      </c>
      <c r="X35" s="39">
        <f t="shared" si="27"/>
        <v>14</v>
      </c>
      <c r="Y35" s="39">
        <f t="shared" si="27"/>
        <v>13</v>
      </c>
      <c r="Z35" s="39">
        <f t="shared" si="27"/>
        <v>14</v>
      </c>
      <c r="AA35" s="39">
        <f t="shared" si="27"/>
        <v>1</v>
      </c>
      <c r="AB35" s="39">
        <f t="shared" si="27"/>
        <v>3</v>
      </c>
      <c r="AC35" s="39">
        <f t="shared" si="27"/>
        <v>696</v>
      </c>
      <c r="AD35" s="39">
        <f t="shared" si="27"/>
        <v>0</v>
      </c>
      <c r="AE35" s="40">
        <f t="shared" si="27"/>
        <v>481</v>
      </c>
      <c r="AF35" s="40">
        <f t="shared" si="27"/>
        <v>1119</v>
      </c>
    </row>
    <row r="36" spans="2:32" ht="23.1" customHeight="1" x14ac:dyDescent="0.25">
      <c r="B36" s="46" t="s">
        <v>63</v>
      </c>
      <c r="C36" s="50">
        <v>120</v>
      </c>
      <c r="D36" s="50">
        <v>2</v>
      </c>
      <c r="E36" s="50">
        <v>10</v>
      </c>
      <c r="F36" s="50">
        <v>43</v>
      </c>
      <c r="G36" s="50">
        <v>0</v>
      </c>
      <c r="H36" s="50">
        <v>2</v>
      </c>
      <c r="I36" s="50">
        <v>1</v>
      </c>
      <c r="J36" s="50">
        <v>2</v>
      </c>
      <c r="K36" s="50">
        <v>0</v>
      </c>
      <c r="L36" s="50">
        <v>1</v>
      </c>
      <c r="M36" s="50">
        <v>158</v>
      </c>
      <c r="N36" s="50">
        <v>0</v>
      </c>
      <c r="O36" s="15">
        <f t="shared" si="0"/>
        <v>181</v>
      </c>
      <c r="P36" s="15">
        <f t="shared" si="1"/>
        <v>339</v>
      </c>
      <c r="R36" s="38" t="s">
        <v>92</v>
      </c>
      <c r="S36" s="39">
        <f t="shared" ref="S36:AF36" si="28">MAX(S19:S21)</f>
        <v>363</v>
      </c>
      <c r="T36" s="39">
        <f t="shared" si="28"/>
        <v>24</v>
      </c>
      <c r="U36" s="39">
        <f t="shared" si="28"/>
        <v>18</v>
      </c>
      <c r="V36" s="39">
        <f t="shared" si="28"/>
        <v>225</v>
      </c>
      <c r="W36" s="39">
        <f t="shared" si="28"/>
        <v>4</v>
      </c>
      <c r="X36" s="39">
        <f t="shared" si="28"/>
        <v>7</v>
      </c>
      <c r="Y36" s="39">
        <f t="shared" si="28"/>
        <v>13</v>
      </c>
      <c r="Z36" s="39">
        <f t="shared" si="28"/>
        <v>10</v>
      </c>
      <c r="AA36" s="39">
        <f t="shared" si="28"/>
        <v>2</v>
      </c>
      <c r="AB36" s="39">
        <f t="shared" si="28"/>
        <v>2</v>
      </c>
      <c r="AC36" s="39">
        <f t="shared" si="28"/>
        <v>760</v>
      </c>
      <c r="AD36" s="39">
        <f t="shared" si="28"/>
        <v>0</v>
      </c>
      <c r="AE36" s="40">
        <f t="shared" si="28"/>
        <v>634</v>
      </c>
      <c r="AF36" s="40">
        <f t="shared" si="28"/>
        <v>1394</v>
      </c>
    </row>
    <row r="37" spans="2:32" ht="23.1" customHeight="1" x14ac:dyDescent="0.25">
      <c r="B37" s="45" t="s">
        <v>64</v>
      </c>
      <c r="C37" s="50">
        <v>55</v>
      </c>
      <c r="D37" s="50">
        <v>3</v>
      </c>
      <c r="E37" s="50">
        <v>6</v>
      </c>
      <c r="F37" s="50">
        <v>48</v>
      </c>
      <c r="G37" s="50">
        <v>1</v>
      </c>
      <c r="H37" s="50">
        <v>2</v>
      </c>
      <c r="I37" s="50">
        <v>3</v>
      </c>
      <c r="J37" s="50">
        <v>1</v>
      </c>
      <c r="K37" s="50">
        <v>0</v>
      </c>
      <c r="L37" s="50">
        <v>0</v>
      </c>
      <c r="M37" s="50">
        <v>150</v>
      </c>
      <c r="N37" s="50">
        <v>0</v>
      </c>
      <c r="O37" s="15">
        <f t="shared" si="0"/>
        <v>119</v>
      </c>
      <c r="P37" s="15">
        <f t="shared" si="1"/>
        <v>269</v>
      </c>
      <c r="R37" s="37" t="s">
        <v>85</v>
      </c>
      <c r="S37" s="35">
        <f t="shared" ref="S37:AF37" si="29">SUM(S10:S12)</f>
        <v>550</v>
      </c>
      <c r="T37" s="16">
        <f t="shared" si="29"/>
        <v>39</v>
      </c>
      <c r="U37" s="16">
        <f t="shared" si="29"/>
        <v>36</v>
      </c>
      <c r="V37" s="16">
        <f t="shared" si="29"/>
        <v>540</v>
      </c>
      <c r="W37" s="16">
        <f t="shared" si="29"/>
        <v>14</v>
      </c>
      <c r="X37" s="16">
        <f t="shared" si="29"/>
        <v>12</v>
      </c>
      <c r="Y37" s="16">
        <f t="shared" si="29"/>
        <v>34</v>
      </c>
      <c r="Z37" s="16">
        <f t="shared" si="29"/>
        <v>13</v>
      </c>
      <c r="AA37" s="16">
        <f t="shared" si="29"/>
        <v>3</v>
      </c>
      <c r="AB37" s="16">
        <f t="shared" si="29"/>
        <v>0</v>
      </c>
      <c r="AC37" s="16">
        <f t="shared" si="29"/>
        <v>1853</v>
      </c>
      <c r="AD37" s="16">
        <f t="shared" si="29"/>
        <v>0</v>
      </c>
      <c r="AE37" s="32">
        <f t="shared" si="29"/>
        <v>1241</v>
      </c>
      <c r="AF37" s="32">
        <f t="shared" si="29"/>
        <v>3094</v>
      </c>
    </row>
    <row r="38" spans="2:32" ht="23.1" customHeight="1" x14ac:dyDescent="0.25">
      <c r="B38" s="46" t="s">
        <v>65</v>
      </c>
      <c r="C38" s="50">
        <v>42</v>
      </c>
      <c r="D38" s="50">
        <v>4</v>
      </c>
      <c r="E38" s="50">
        <v>6</v>
      </c>
      <c r="F38" s="50">
        <v>36</v>
      </c>
      <c r="G38" s="50">
        <v>4</v>
      </c>
      <c r="H38" s="50">
        <v>1</v>
      </c>
      <c r="I38" s="50">
        <v>1</v>
      </c>
      <c r="J38" s="50">
        <v>1</v>
      </c>
      <c r="K38" s="50">
        <v>0</v>
      </c>
      <c r="L38" s="50">
        <v>0</v>
      </c>
      <c r="M38" s="50">
        <v>83</v>
      </c>
      <c r="N38" s="50">
        <v>0</v>
      </c>
      <c r="O38" s="15">
        <f t="shared" si="0"/>
        <v>95</v>
      </c>
      <c r="P38" s="15">
        <f t="shared" si="1"/>
        <v>178</v>
      </c>
      <c r="R38" s="28" t="s">
        <v>86</v>
      </c>
      <c r="S38" s="16">
        <f t="shared" ref="S38:AF38" si="30">SUM(S13:S18)</f>
        <v>1173</v>
      </c>
      <c r="T38" s="16">
        <f t="shared" si="30"/>
        <v>81</v>
      </c>
      <c r="U38" s="16">
        <f t="shared" si="30"/>
        <v>174</v>
      </c>
      <c r="V38" s="16">
        <f t="shared" si="30"/>
        <v>973</v>
      </c>
      <c r="W38" s="16">
        <f t="shared" si="30"/>
        <v>42</v>
      </c>
      <c r="X38" s="16">
        <f t="shared" si="30"/>
        <v>44</v>
      </c>
      <c r="Y38" s="16">
        <f t="shared" si="30"/>
        <v>64</v>
      </c>
      <c r="Z38" s="16">
        <f t="shared" si="30"/>
        <v>44</v>
      </c>
      <c r="AA38" s="16">
        <f t="shared" si="30"/>
        <v>4</v>
      </c>
      <c r="AB38" s="16">
        <f t="shared" si="30"/>
        <v>6</v>
      </c>
      <c r="AC38" s="16">
        <f t="shared" si="30"/>
        <v>3300</v>
      </c>
      <c r="AD38" s="16">
        <f t="shared" si="30"/>
        <v>0</v>
      </c>
      <c r="AE38" s="32">
        <f t="shared" si="30"/>
        <v>2605</v>
      </c>
      <c r="AF38" s="32">
        <f t="shared" si="30"/>
        <v>5905</v>
      </c>
    </row>
    <row r="39" spans="2:32" ht="23.1" customHeight="1" x14ac:dyDescent="0.25">
      <c r="B39" s="46" t="s">
        <v>66</v>
      </c>
      <c r="C39" s="50">
        <v>46</v>
      </c>
      <c r="D39" s="50">
        <v>7</v>
      </c>
      <c r="E39" s="50">
        <v>59</v>
      </c>
      <c r="F39" s="50">
        <v>39</v>
      </c>
      <c r="G39" s="50">
        <v>2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83</v>
      </c>
      <c r="N39" s="50">
        <v>0</v>
      </c>
      <c r="O39" s="15">
        <f t="shared" si="0"/>
        <v>156</v>
      </c>
      <c r="P39" s="15">
        <f t="shared" si="1"/>
        <v>239</v>
      </c>
      <c r="R39" s="29" t="s">
        <v>87</v>
      </c>
      <c r="S39" s="16">
        <f t="shared" ref="S39:AF39" si="31">SUM(S19:S21)</f>
        <v>750</v>
      </c>
      <c r="T39" s="16">
        <f t="shared" si="31"/>
        <v>56</v>
      </c>
      <c r="U39" s="16">
        <f t="shared" si="31"/>
        <v>46</v>
      </c>
      <c r="V39" s="16">
        <f t="shared" si="31"/>
        <v>571</v>
      </c>
      <c r="W39" s="16">
        <f t="shared" si="31"/>
        <v>9</v>
      </c>
      <c r="X39" s="16">
        <f t="shared" si="31"/>
        <v>15</v>
      </c>
      <c r="Y39" s="16">
        <f t="shared" si="31"/>
        <v>39</v>
      </c>
      <c r="Z39" s="16">
        <f t="shared" si="31"/>
        <v>24</v>
      </c>
      <c r="AA39" s="16">
        <f t="shared" si="31"/>
        <v>3</v>
      </c>
      <c r="AB39" s="16">
        <f t="shared" si="31"/>
        <v>3</v>
      </c>
      <c r="AC39" s="16">
        <f t="shared" si="31"/>
        <v>1786</v>
      </c>
      <c r="AD39" s="16">
        <f t="shared" si="31"/>
        <v>0</v>
      </c>
      <c r="AE39" s="32">
        <f t="shared" si="31"/>
        <v>1516</v>
      </c>
      <c r="AF39" s="32">
        <f t="shared" si="31"/>
        <v>3302</v>
      </c>
    </row>
    <row r="40" spans="2:32" ht="23.1" customHeight="1" x14ac:dyDescent="0.25">
      <c r="B40" s="46" t="s">
        <v>67</v>
      </c>
      <c r="C40" s="50">
        <v>46</v>
      </c>
      <c r="D40" s="50">
        <v>7</v>
      </c>
      <c r="E40" s="50">
        <v>7</v>
      </c>
      <c r="F40" s="50">
        <v>39</v>
      </c>
      <c r="G40" s="50">
        <v>2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127</v>
      </c>
      <c r="N40" s="50">
        <v>0</v>
      </c>
      <c r="O40" s="15">
        <f t="shared" si="0"/>
        <v>104</v>
      </c>
      <c r="P40" s="15">
        <f t="shared" si="1"/>
        <v>231</v>
      </c>
      <c r="R40" s="5" t="s">
        <v>17</v>
      </c>
      <c r="S40" s="16">
        <f t="shared" ref="S40:AF40" si="32">SUM(S10:S21)</f>
        <v>2473</v>
      </c>
      <c r="T40" s="16">
        <f t="shared" si="32"/>
        <v>176</v>
      </c>
      <c r="U40" s="16">
        <f t="shared" si="32"/>
        <v>256</v>
      </c>
      <c r="V40" s="16">
        <f t="shared" si="32"/>
        <v>2084</v>
      </c>
      <c r="W40" s="16">
        <f t="shared" si="32"/>
        <v>65</v>
      </c>
      <c r="X40" s="16">
        <f t="shared" si="32"/>
        <v>71</v>
      </c>
      <c r="Y40" s="16">
        <f t="shared" si="32"/>
        <v>137</v>
      </c>
      <c r="Z40" s="16">
        <f t="shared" si="32"/>
        <v>81</v>
      </c>
      <c r="AA40" s="16">
        <f t="shared" si="32"/>
        <v>10</v>
      </c>
      <c r="AB40" s="16">
        <f t="shared" si="32"/>
        <v>9</v>
      </c>
      <c r="AC40" s="16">
        <f t="shared" si="32"/>
        <v>6939</v>
      </c>
      <c r="AD40" s="16">
        <f t="shared" si="32"/>
        <v>0</v>
      </c>
      <c r="AE40" s="32">
        <f t="shared" si="32"/>
        <v>5362</v>
      </c>
      <c r="AF40" s="32">
        <f t="shared" si="32"/>
        <v>12301</v>
      </c>
    </row>
    <row r="41" spans="2:32" ht="23.1" customHeight="1" x14ac:dyDescent="0.25">
      <c r="B41" s="45" t="s">
        <v>68</v>
      </c>
      <c r="C41" s="50">
        <v>41</v>
      </c>
      <c r="D41" s="50">
        <v>3</v>
      </c>
      <c r="E41" s="50">
        <v>2</v>
      </c>
      <c r="F41" s="50">
        <v>26</v>
      </c>
      <c r="G41" s="50">
        <v>1</v>
      </c>
      <c r="H41" s="50">
        <v>2</v>
      </c>
      <c r="I41" s="50">
        <v>1</v>
      </c>
      <c r="J41" s="50">
        <v>2</v>
      </c>
      <c r="K41" s="50">
        <v>0</v>
      </c>
      <c r="L41" s="50">
        <v>0</v>
      </c>
      <c r="M41" s="50">
        <v>106</v>
      </c>
      <c r="N41" s="50">
        <v>0</v>
      </c>
      <c r="O41" s="15">
        <f t="shared" si="0"/>
        <v>78</v>
      </c>
      <c r="P41" s="15">
        <f t="shared" si="1"/>
        <v>184</v>
      </c>
      <c r="R41" s="5" t="s">
        <v>159</v>
      </c>
      <c r="S41" s="16">
        <f>SUM(S10:S33)</f>
        <v>3974</v>
      </c>
      <c r="T41" s="16">
        <f t="shared" ref="T41:AF41" si="33">SUM(T10:T33)</f>
        <v>331</v>
      </c>
      <c r="U41" s="16">
        <f t="shared" si="33"/>
        <v>389</v>
      </c>
      <c r="V41" s="16">
        <f t="shared" si="33"/>
        <v>3036</v>
      </c>
      <c r="W41" s="16">
        <f t="shared" si="33"/>
        <v>94</v>
      </c>
      <c r="X41" s="16">
        <f t="shared" si="33"/>
        <v>118</v>
      </c>
      <c r="Y41" s="16">
        <f t="shared" si="33"/>
        <v>201</v>
      </c>
      <c r="Z41" s="16">
        <f t="shared" si="33"/>
        <v>125</v>
      </c>
      <c r="AA41" s="16">
        <f t="shared" si="33"/>
        <v>18</v>
      </c>
      <c r="AB41" s="16">
        <f t="shared" si="33"/>
        <v>18</v>
      </c>
      <c r="AC41" s="16">
        <f t="shared" si="33"/>
        <v>11293</v>
      </c>
      <c r="AD41" s="16">
        <f t="shared" si="33"/>
        <v>0</v>
      </c>
      <c r="AE41" s="32">
        <f t="shared" si="33"/>
        <v>8304</v>
      </c>
      <c r="AF41" s="32">
        <f t="shared" si="33"/>
        <v>19597</v>
      </c>
    </row>
    <row r="42" spans="2:32" ht="23.1" customHeight="1" x14ac:dyDescent="0.25">
      <c r="B42" s="46" t="s">
        <v>69</v>
      </c>
      <c r="C42" s="50">
        <v>42</v>
      </c>
      <c r="D42" s="50">
        <v>6</v>
      </c>
      <c r="E42" s="50">
        <v>2</v>
      </c>
      <c r="F42" s="50">
        <v>31</v>
      </c>
      <c r="G42" s="50">
        <v>1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101</v>
      </c>
      <c r="N42" s="50">
        <v>0</v>
      </c>
      <c r="O42" s="15">
        <f t="shared" si="0"/>
        <v>86</v>
      </c>
      <c r="P42" s="15">
        <f t="shared" si="1"/>
        <v>187</v>
      </c>
      <c r="R42" s="5" t="s">
        <v>160</v>
      </c>
      <c r="S42" s="48">
        <f>S41/S40</f>
        <v>1.6069551152446422</v>
      </c>
      <c r="T42" s="48">
        <f t="shared" ref="T42:AF42" si="34">T41/T40</f>
        <v>1.8806818181818181</v>
      </c>
      <c r="U42" s="48">
        <f t="shared" si="34"/>
        <v>1.51953125</v>
      </c>
      <c r="V42" s="48">
        <f t="shared" si="34"/>
        <v>1.4568138195777351</v>
      </c>
      <c r="W42" s="48">
        <f t="shared" si="34"/>
        <v>1.4461538461538461</v>
      </c>
      <c r="X42" s="48">
        <f t="shared" si="34"/>
        <v>1.6619718309859155</v>
      </c>
      <c r="Y42" s="48">
        <f t="shared" si="34"/>
        <v>1.4671532846715329</v>
      </c>
      <c r="Z42" s="48">
        <f t="shared" si="34"/>
        <v>1.5432098765432098</v>
      </c>
      <c r="AA42" s="48">
        <f t="shared" si="34"/>
        <v>1.8</v>
      </c>
      <c r="AB42" s="48">
        <f t="shared" si="34"/>
        <v>2</v>
      </c>
      <c r="AC42" s="48">
        <f t="shared" si="34"/>
        <v>1.6274679348609309</v>
      </c>
      <c r="AD42" s="48" t="e">
        <f t="shared" si="34"/>
        <v>#DIV/0!</v>
      </c>
      <c r="AE42" s="48">
        <f t="shared" si="34"/>
        <v>1.5486758672137262</v>
      </c>
      <c r="AF42" s="48">
        <f t="shared" si="34"/>
        <v>1.5931225103650111</v>
      </c>
    </row>
    <row r="43" spans="2:32" ht="23.1" customHeight="1" x14ac:dyDescent="0.25">
      <c r="B43" s="45" t="s">
        <v>70</v>
      </c>
      <c r="C43" s="50">
        <v>48</v>
      </c>
      <c r="D43" s="50">
        <v>3</v>
      </c>
      <c r="E43" s="50">
        <v>8</v>
      </c>
      <c r="F43" s="50">
        <v>29</v>
      </c>
      <c r="G43" s="50">
        <v>2</v>
      </c>
      <c r="H43" s="50">
        <v>1</v>
      </c>
      <c r="I43" s="50">
        <v>1</v>
      </c>
      <c r="J43" s="50">
        <v>0</v>
      </c>
      <c r="K43" s="50">
        <v>0</v>
      </c>
      <c r="L43" s="50">
        <v>0</v>
      </c>
      <c r="M43" s="50">
        <v>91</v>
      </c>
      <c r="N43" s="50">
        <v>0</v>
      </c>
      <c r="O43" s="15">
        <f t="shared" si="0"/>
        <v>92</v>
      </c>
      <c r="P43" s="15">
        <f t="shared" si="1"/>
        <v>183</v>
      </c>
    </row>
    <row r="44" spans="2:32" ht="23.1" customHeight="1" x14ac:dyDescent="0.25">
      <c r="B44" s="47" t="s">
        <v>71</v>
      </c>
      <c r="C44" s="50">
        <v>46</v>
      </c>
      <c r="D44" s="50">
        <v>2</v>
      </c>
      <c r="E44" s="50">
        <v>6</v>
      </c>
      <c r="F44" s="50">
        <v>51</v>
      </c>
      <c r="G44" s="50">
        <v>1</v>
      </c>
      <c r="H44" s="50">
        <v>1</v>
      </c>
      <c r="I44" s="50">
        <v>2</v>
      </c>
      <c r="J44" s="50">
        <v>3</v>
      </c>
      <c r="K44" s="50">
        <v>0</v>
      </c>
      <c r="L44" s="50">
        <v>0</v>
      </c>
      <c r="M44" s="50">
        <v>89</v>
      </c>
      <c r="N44" s="50">
        <v>0</v>
      </c>
      <c r="O44" s="15">
        <f t="shared" si="0"/>
        <v>112</v>
      </c>
      <c r="P44" s="15">
        <f t="shared" si="1"/>
        <v>201</v>
      </c>
    </row>
    <row r="45" spans="2:32" ht="23.1" customHeight="1" x14ac:dyDescent="0.25">
      <c r="B45" s="45" t="s">
        <v>72</v>
      </c>
      <c r="C45" s="50">
        <v>42</v>
      </c>
      <c r="D45" s="50">
        <v>5</v>
      </c>
      <c r="E45" s="50">
        <v>4</v>
      </c>
      <c r="F45" s="50">
        <v>35</v>
      </c>
      <c r="G45" s="50">
        <v>1</v>
      </c>
      <c r="H45" s="50">
        <v>1</v>
      </c>
      <c r="I45" s="50">
        <v>5</v>
      </c>
      <c r="J45" s="50">
        <v>2</v>
      </c>
      <c r="K45" s="50">
        <v>1</v>
      </c>
      <c r="L45" s="50">
        <v>0</v>
      </c>
      <c r="M45" s="50">
        <v>90</v>
      </c>
      <c r="N45" s="50">
        <v>0</v>
      </c>
      <c r="O45" s="15">
        <f t="shared" si="0"/>
        <v>96</v>
      </c>
      <c r="P45" s="15">
        <f t="shared" si="1"/>
        <v>186</v>
      </c>
    </row>
    <row r="46" spans="2:32" ht="23.1" customHeight="1" x14ac:dyDescent="0.25">
      <c r="B46" s="46" t="s">
        <v>73</v>
      </c>
      <c r="C46" s="50">
        <v>63</v>
      </c>
      <c r="D46" s="50">
        <v>3</v>
      </c>
      <c r="E46" s="50">
        <v>4</v>
      </c>
      <c r="F46" s="50">
        <v>44</v>
      </c>
      <c r="G46" s="50">
        <v>1</v>
      </c>
      <c r="H46" s="50">
        <v>3</v>
      </c>
      <c r="I46" s="50">
        <v>2</v>
      </c>
      <c r="J46" s="50">
        <v>1</v>
      </c>
      <c r="K46" s="50">
        <v>1</v>
      </c>
      <c r="L46" s="50">
        <v>0</v>
      </c>
      <c r="M46" s="50">
        <v>156</v>
      </c>
      <c r="N46" s="50">
        <v>0</v>
      </c>
      <c r="O46" s="15">
        <f t="shared" si="0"/>
        <v>122</v>
      </c>
      <c r="P46" s="15">
        <f t="shared" si="1"/>
        <v>278</v>
      </c>
      <c r="R46" s="8"/>
      <c r="T46"/>
    </row>
    <row r="47" spans="2:32" ht="23.1" customHeight="1" x14ac:dyDescent="0.25">
      <c r="B47" s="46" t="s">
        <v>74</v>
      </c>
      <c r="C47" s="50">
        <v>11</v>
      </c>
      <c r="D47" s="50">
        <v>4</v>
      </c>
      <c r="E47" s="50">
        <v>4</v>
      </c>
      <c r="F47" s="50">
        <v>48</v>
      </c>
      <c r="G47" s="50">
        <v>1</v>
      </c>
      <c r="H47" s="50">
        <v>1</v>
      </c>
      <c r="I47" s="50">
        <v>6</v>
      </c>
      <c r="J47" s="50">
        <v>4</v>
      </c>
      <c r="K47" s="50">
        <v>0</v>
      </c>
      <c r="L47" s="50">
        <v>0</v>
      </c>
      <c r="M47" s="50">
        <v>145</v>
      </c>
      <c r="N47" s="50">
        <v>0</v>
      </c>
      <c r="O47" s="15">
        <f t="shared" si="0"/>
        <v>79</v>
      </c>
      <c r="P47" s="15">
        <f t="shared" si="1"/>
        <v>224</v>
      </c>
      <c r="R47" s="8"/>
      <c r="T47"/>
    </row>
    <row r="48" spans="2:32" ht="23.1" customHeight="1" x14ac:dyDescent="0.25">
      <c r="B48" s="46" t="s">
        <v>75</v>
      </c>
      <c r="C48" s="50">
        <v>32</v>
      </c>
      <c r="D48" s="50">
        <v>8</v>
      </c>
      <c r="E48" s="50">
        <v>4</v>
      </c>
      <c r="F48" s="50">
        <v>36</v>
      </c>
      <c r="G48" s="50">
        <v>0</v>
      </c>
      <c r="H48" s="50">
        <v>2</v>
      </c>
      <c r="I48" s="50">
        <v>3</v>
      </c>
      <c r="J48" s="50">
        <v>2</v>
      </c>
      <c r="K48" s="50">
        <v>0</v>
      </c>
      <c r="L48" s="50">
        <v>0</v>
      </c>
      <c r="M48" s="50">
        <v>153</v>
      </c>
      <c r="N48" s="50">
        <v>0</v>
      </c>
      <c r="O48" s="15">
        <f t="shared" si="0"/>
        <v>87</v>
      </c>
      <c r="P48" s="15">
        <f t="shared" si="1"/>
        <v>240</v>
      </c>
      <c r="R48" s="8"/>
      <c r="T48"/>
    </row>
    <row r="49" spans="2:20" ht="23.1" customHeight="1" x14ac:dyDescent="0.25">
      <c r="B49" s="45" t="s">
        <v>76</v>
      </c>
      <c r="C49" s="50">
        <v>21</v>
      </c>
      <c r="D49" s="50">
        <v>2</v>
      </c>
      <c r="E49" s="50">
        <v>1</v>
      </c>
      <c r="F49" s="50">
        <v>18</v>
      </c>
      <c r="G49" s="50">
        <v>1</v>
      </c>
      <c r="H49" s="50">
        <v>1</v>
      </c>
      <c r="I49" s="50">
        <v>2</v>
      </c>
      <c r="J49" s="50">
        <v>1</v>
      </c>
      <c r="K49" s="50">
        <v>0</v>
      </c>
      <c r="L49" s="50">
        <v>0</v>
      </c>
      <c r="M49" s="50">
        <v>68</v>
      </c>
      <c r="N49" s="50">
        <v>0</v>
      </c>
      <c r="O49" s="15">
        <f t="shared" si="0"/>
        <v>47</v>
      </c>
      <c r="P49" s="15">
        <f t="shared" si="1"/>
        <v>115</v>
      </c>
      <c r="R49" s="8"/>
      <c r="T49"/>
    </row>
    <row r="50" spans="2:20" ht="23.1" customHeight="1" x14ac:dyDescent="0.25">
      <c r="B50" s="46" t="s">
        <v>77</v>
      </c>
      <c r="C50" s="50">
        <v>22</v>
      </c>
      <c r="D50" s="50">
        <v>3</v>
      </c>
      <c r="E50" s="50">
        <v>2</v>
      </c>
      <c r="F50" s="50">
        <v>13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42</v>
      </c>
      <c r="P50" s="15">
        <f t="shared" si="1"/>
        <v>77</v>
      </c>
      <c r="R50" s="8"/>
      <c r="T50"/>
    </row>
    <row r="51" spans="2:20" ht="23.1" customHeight="1" x14ac:dyDescent="0.25">
      <c r="B51" s="46" t="s">
        <v>78</v>
      </c>
      <c r="C51" s="50">
        <v>67</v>
      </c>
      <c r="D51" s="50">
        <v>6</v>
      </c>
      <c r="E51" s="50">
        <v>6</v>
      </c>
      <c r="F51" s="50">
        <v>52</v>
      </c>
      <c r="G51" s="50">
        <v>3</v>
      </c>
      <c r="H51" s="50">
        <v>1</v>
      </c>
      <c r="I51" s="50">
        <v>3</v>
      </c>
      <c r="J51" s="50">
        <v>1</v>
      </c>
      <c r="K51" s="50">
        <v>0</v>
      </c>
      <c r="L51" s="50">
        <v>0</v>
      </c>
      <c r="M51" s="50">
        <v>150</v>
      </c>
      <c r="N51" s="50">
        <v>0</v>
      </c>
      <c r="O51" s="15">
        <f t="shared" si="0"/>
        <v>139</v>
      </c>
      <c r="P51" s="15">
        <f t="shared" si="1"/>
        <v>289</v>
      </c>
      <c r="R51" s="8"/>
      <c r="T51"/>
    </row>
    <row r="52" spans="2:20" ht="23.1" customHeight="1" x14ac:dyDescent="0.25">
      <c r="B52" s="46" t="s">
        <v>79</v>
      </c>
      <c r="C52" s="50">
        <v>80</v>
      </c>
      <c r="D52" s="50">
        <v>4</v>
      </c>
      <c r="E52" s="50">
        <v>3</v>
      </c>
      <c r="F52" s="50">
        <v>67</v>
      </c>
      <c r="G52" s="50">
        <v>0</v>
      </c>
      <c r="H52" s="50">
        <v>0</v>
      </c>
      <c r="I52" s="50">
        <v>3</v>
      </c>
      <c r="J52" s="50">
        <v>3</v>
      </c>
      <c r="K52" s="50">
        <v>0</v>
      </c>
      <c r="L52" s="50">
        <v>1</v>
      </c>
      <c r="M52" s="50">
        <v>161</v>
      </c>
      <c r="N52" s="50">
        <v>0</v>
      </c>
      <c r="O52" s="15">
        <f t="shared" si="0"/>
        <v>161</v>
      </c>
      <c r="P52" s="15">
        <f t="shared" si="1"/>
        <v>322</v>
      </c>
      <c r="R52" s="8"/>
      <c r="T52"/>
    </row>
    <row r="53" spans="2:20" ht="23.1" customHeight="1" x14ac:dyDescent="0.25">
      <c r="B53" s="45" t="s">
        <v>80</v>
      </c>
      <c r="C53" s="50">
        <v>91</v>
      </c>
      <c r="D53" s="50">
        <v>2</v>
      </c>
      <c r="E53" s="50">
        <v>7</v>
      </c>
      <c r="F53" s="50">
        <v>93</v>
      </c>
      <c r="G53" s="50">
        <v>0</v>
      </c>
      <c r="H53" s="50">
        <v>1</v>
      </c>
      <c r="I53" s="50">
        <v>6</v>
      </c>
      <c r="J53" s="50">
        <v>2</v>
      </c>
      <c r="K53" s="50">
        <v>2</v>
      </c>
      <c r="L53" s="50">
        <v>1</v>
      </c>
      <c r="M53" s="50">
        <v>158</v>
      </c>
      <c r="N53" s="50">
        <v>0</v>
      </c>
      <c r="O53" s="15">
        <f t="shared" si="0"/>
        <v>205</v>
      </c>
      <c r="P53" s="15">
        <f t="shared" si="1"/>
        <v>363</v>
      </c>
      <c r="R53" s="8"/>
      <c r="T53"/>
    </row>
    <row r="54" spans="2:20" ht="23.1" customHeight="1" x14ac:dyDescent="0.25">
      <c r="B54" s="45" t="s">
        <v>81</v>
      </c>
      <c r="C54" s="50">
        <v>75</v>
      </c>
      <c r="D54" s="50">
        <v>7</v>
      </c>
      <c r="E54" s="50">
        <v>3</v>
      </c>
      <c r="F54" s="50">
        <v>57</v>
      </c>
      <c r="G54" s="50">
        <v>1</v>
      </c>
      <c r="H54" s="50">
        <v>0</v>
      </c>
      <c r="I54" s="50">
        <v>8</v>
      </c>
      <c r="J54" s="50">
        <v>2</v>
      </c>
      <c r="K54" s="50">
        <v>0</v>
      </c>
      <c r="L54" s="50">
        <v>1</v>
      </c>
      <c r="M54" s="50">
        <v>200</v>
      </c>
      <c r="N54" s="50">
        <v>0</v>
      </c>
      <c r="O54" s="15">
        <f t="shared" si="0"/>
        <v>154</v>
      </c>
      <c r="P54" s="15">
        <f t="shared" si="1"/>
        <v>354</v>
      </c>
      <c r="R54" s="8"/>
      <c r="T54"/>
    </row>
    <row r="55" spans="2:20" ht="23.1" customHeight="1" x14ac:dyDescent="0.25">
      <c r="B55" s="45" t="s">
        <v>82</v>
      </c>
      <c r="C55" s="50">
        <v>85</v>
      </c>
      <c r="D55" s="50">
        <v>2</v>
      </c>
      <c r="E55" s="50">
        <v>6</v>
      </c>
      <c r="F55" s="50">
        <v>36</v>
      </c>
      <c r="G55" s="50">
        <v>0</v>
      </c>
      <c r="H55" s="50">
        <v>4</v>
      </c>
      <c r="I55" s="50">
        <v>2</v>
      </c>
      <c r="J55" s="50">
        <v>4</v>
      </c>
      <c r="K55" s="50">
        <v>0</v>
      </c>
      <c r="L55" s="50">
        <v>0</v>
      </c>
      <c r="M55" s="50">
        <v>190</v>
      </c>
      <c r="N55" s="50">
        <v>0</v>
      </c>
      <c r="O55" s="15">
        <f t="shared" si="0"/>
        <v>139</v>
      </c>
      <c r="P55" s="15">
        <f t="shared" si="1"/>
        <v>329</v>
      </c>
      <c r="R55" s="8"/>
      <c r="T55"/>
    </row>
    <row r="56" spans="2:20" ht="23.1" customHeight="1" x14ac:dyDescent="0.25">
      <c r="B56" s="45" t="s">
        <v>83</v>
      </c>
      <c r="C56" s="50">
        <v>103</v>
      </c>
      <c r="D56" s="50">
        <v>7</v>
      </c>
      <c r="E56" s="50">
        <v>4</v>
      </c>
      <c r="F56" s="50">
        <v>46</v>
      </c>
      <c r="G56" s="50">
        <v>0</v>
      </c>
      <c r="H56" s="50">
        <v>1</v>
      </c>
      <c r="I56" s="50">
        <v>1</v>
      </c>
      <c r="J56" s="50">
        <v>1</v>
      </c>
      <c r="K56" s="50">
        <v>0</v>
      </c>
      <c r="L56" s="50">
        <v>0</v>
      </c>
      <c r="M56" s="50">
        <v>180</v>
      </c>
      <c r="N56" s="50">
        <v>0</v>
      </c>
      <c r="O56" s="15">
        <f t="shared" si="0"/>
        <v>163</v>
      </c>
      <c r="P56" s="15">
        <f t="shared" si="1"/>
        <v>343</v>
      </c>
      <c r="R56" s="8"/>
      <c r="T56"/>
    </row>
    <row r="57" spans="2:20" ht="23.1" customHeight="1" x14ac:dyDescent="0.25">
      <c r="B57" s="45" t="s">
        <v>84</v>
      </c>
      <c r="C57" s="50">
        <v>100</v>
      </c>
      <c r="D57" s="50">
        <v>8</v>
      </c>
      <c r="E57" s="50">
        <v>2</v>
      </c>
      <c r="F57" s="50">
        <v>61</v>
      </c>
      <c r="G57" s="50">
        <v>1</v>
      </c>
      <c r="H57" s="50">
        <v>1</v>
      </c>
      <c r="I57" s="50">
        <v>2</v>
      </c>
      <c r="J57" s="50">
        <v>3</v>
      </c>
      <c r="K57" s="50">
        <v>0</v>
      </c>
      <c r="L57" s="50">
        <v>0</v>
      </c>
      <c r="M57" s="50">
        <v>190</v>
      </c>
      <c r="N57" s="50">
        <v>0</v>
      </c>
      <c r="O57" s="15">
        <f t="shared" si="0"/>
        <v>178</v>
      </c>
      <c r="P57" s="15">
        <f t="shared" si="1"/>
        <v>368</v>
      </c>
      <c r="R57" s="8"/>
      <c r="T57"/>
    </row>
    <row r="58" spans="2:20" ht="23.1" customHeight="1" x14ac:dyDescent="0.25">
      <c r="B58" s="45" t="s">
        <v>99</v>
      </c>
      <c r="C58" s="50">
        <v>147</v>
      </c>
      <c r="D58" s="50">
        <v>11</v>
      </c>
      <c r="E58" s="50">
        <v>7</v>
      </c>
      <c r="F58" s="50">
        <v>65</v>
      </c>
      <c r="G58" s="50">
        <v>3</v>
      </c>
      <c r="H58" s="50">
        <v>1</v>
      </c>
      <c r="I58" s="50">
        <v>3</v>
      </c>
      <c r="J58" s="50">
        <v>1</v>
      </c>
      <c r="K58" s="50">
        <v>3</v>
      </c>
      <c r="L58" s="50">
        <v>4</v>
      </c>
      <c r="M58" s="50">
        <v>205</v>
      </c>
      <c r="N58" s="50">
        <v>0</v>
      </c>
      <c r="O58" s="15">
        <f t="shared" si="0"/>
        <v>245</v>
      </c>
      <c r="P58" s="15">
        <f t="shared" si="1"/>
        <v>450</v>
      </c>
      <c r="R58" s="8"/>
      <c r="T58"/>
    </row>
    <row r="59" spans="2:20" ht="23.1" customHeight="1" x14ac:dyDescent="0.25">
      <c r="B59" s="45" t="s">
        <v>100</v>
      </c>
      <c r="C59" s="50">
        <v>104</v>
      </c>
      <c r="D59" s="50">
        <v>6</v>
      </c>
      <c r="E59" s="50">
        <v>4</v>
      </c>
      <c r="F59" s="50">
        <v>65</v>
      </c>
      <c r="G59" s="50">
        <v>0</v>
      </c>
      <c r="H59" s="50">
        <v>2</v>
      </c>
      <c r="I59" s="50">
        <v>2</v>
      </c>
      <c r="J59" s="50">
        <v>1</v>
      </c>
      <c r="K59" s="50">
        <v>0</v>
      </c>
      <c r="L59" s="50">
        <v>1</v>
      </c>
      <c r="M59" s="50">
        <v>160</v>
      </c>
      <c r="N59" s="50">
        <v>0</v>
      </c>
      <c r="O59" s="15">
        <f t="shared" si="0"/>
        <v>185</v>
      </c>
      <c r="P59" s="15">
        <f t="shared" si="1"/>
        <v>345</v>
      </c>
      <c r="R59" s="8"/>
      <c r="T59"/>
    </row>
    <row r="60" spans="2:20" ht="23.1" customHeight="1" x14ac:dyDescent="0.25">
      <c r="B60" s="45" t="s">
        <v>101</v>
      </c>
      <c r="C60" s="50">
        <v>54</v>
      </c>
      <c r="D60" s="50">
        <v>3</v>
      </c>
      <c r="E60" s="50">
        <v>5</v>
      </c>
      <c r="F60" s="50">
        <v>41</v>
      </c>
      <c r="G60" s="50">
        <v>2</v>
      </c>
      <c r="H60" s="50">
        <v>2</v>
      </c>
      <c r="I60" s="50">
        <v>5</v>
      </c>
      <c r="J60" s="50">
        <v>5</v>
      </c>
      <c r="K60" s="50">
        <v>0</v>
      </c>
      <c r="L60" s="50">
        <v>0</v>
      </c>
      <c r="M60" s="50">
        <v>193</v>
      </c>
      <c r="N60" s="50">
        <v>0</v>
      </c>
      <c r="O60" s="15">
        <f t="shared" si="0"/>
        <v>117</v>
      </c>
      <c r="P60" s="15">
        <f t="shared" si="1"/>
        <v>310</v>
      </c>
      <c r="R60" s="8"/>
      <c r="T60"/>
    </row>
    <row r="61" spans="2:20" ht="23.1" customHeight="1" x14ac:dyDescent="0.25">
      <c r="B61" s="45" t="s">
        <v>102</v>
      </c>
      <c r="C61" s="50">
        <v>49</v>
      </c>
      <c r="D61" s="50">
        <v>7</v>
      </c>
      <c r="E61" s="50">
        <v>10</v>
      </c>
      <c r="F61" s="50">
        <v>24</v>
      </c>
      <c r="G61" s="50">
        <v>0</v>
      </c>
      <c r="H61" s="50">
        <v>1</v>
      </c>
      <c r="I61" s="50">
        <v>4</v>
      </c>
      <c r="J61" s="50">
        <v>2</v>
      </c>
      <c r="K61" s="50">
        <v>0</v>
      </c>
      <c r="L61" s="50">
        <v>0</v>
      </c>
      <c r="M61" s="50">
        <v>215</v>
      </c>
      <c r="N61" s="50">
        <v>0</v>
      </c>
      <c r="O61" s="15">
        <f t="shared" si="0"/>
        <v>97</v>
      </c>
      <c r="P61" s="15">
        <f t="shared" si="1"/>
        <v>312</v>
      </c>
      <c r="R61" s="8"/>
      <c r="T61"/>
    </row>
    <row r="62" spans="2:20" ht="23.1" customHeight="1" x14ac:dyDescent="0.25">
      <c r="B62" s="45" t="s">
        <v>107</v>
      </c>
      <c r="C62" s="50">
        <v>51</v>
      </c>
      <c r="D62" s="50">
        <v>3</v>
      </c>
      <c r="E62" s="50">
        <v>5</v>
      </c>
      <c r="F62" s="50">
        <v>31</v>
      </c>
      <c r="G62" s="50">
        <v>0</v>
      </c>
      <c r="H62" s="50">
        <v>0</v>
      </c>
      <c r="I62" s="50">
        <v>3</v>
      </c>
      <c r="J62" s="50">
        <v>3</v>
      </c>
      <c r="K62" s="50">
        <v>0</v>
      </c>
      <c r="L62" s="50">
        <v>0</v>
      </c>
      <c r="M62" s="50">
        <v>200</v>
      </c>
      <c r="N62" s="50">
        <v>0</v>
      </c>
      <c r="O62" s="15">
        <f t="shared" si="0"/>
        <v>96</v>
      </c>
      <c r="P62" s="15">
        <f t="shared" si="1"/>
        <v>296</v>
      </c>
      <c r="R62" s="8"/>
      <c r="T62"/>
    </row>
    <row r="63" spans="2:20" ht="23.1" customHeight="1" x14ac:dyDescent="0.25">
      <c r="B63" s="45" t="s">
        <v>108</v>
      </c>
      <c r="C63" s="50">
        <v>64</v>
      </c>
      <c r="D63" s="50">
        <v>1</v>
      </c>
      <c r="E63" s="50">
        <v>5</v>
      </c>
      <c r="F63" s="50">
        <v>19</v>
      </c>
      <c r="G63" s="50">
        <v>1</v>
      </c>
      <c r="H63" s="50">
        <v>0</v>
      </c>
      <c r="I63" s="50">
        <v>2</v>
      </c>
      <c r="J63" s="50">
        <v>1</v>
      </c>
      <c r="K63" s="50">
        <v>1</v>
      </c>
      <c r="L63" s="50">
        <v>0</v>
      </c>
      <c r="M63" s="50">
        <v>220</v>
      </c>
      <c r="N63" s="50">
        <v>0</v>
      </c>
      <c r="O63" s="15">
        <f t="shared" si="0"/>
        <v>94</v>
      </c>
      <c r="P63" s="15">
        <f t="shared" si="1"/>
        <v>314</v>
      </c>
      <c r="R63" s="8"/>
      <c r="T63"/>
    </row>
    <row r="64" spans="2:20" ht="23.1" customHeight="1" x14ac:dyDescent="0.25">
      <c r="B64" s="45" t="s">
        <v>109</v>
      </c>
      <c r="C64" s="50">
        <v>63</v>
      </c>
      <c r="D64" s="50">
        <v>11</v>
      </c>
      <c r="E64" s="50">
        <v>7</v>
      </c>
      <c r="F64" s="50">
        <v>31</v>
      </c>
      <c r="G64" s="50">
        <v>0</v>
      </c>
      <c r="H64" s="50">
        <v>1</v>
      </c>
      <c r="I64" s="50">
        <v>4</v>
      </c>
      <c r="J64" s="50">
        <v>3</v>
      </c>
      <c r="K64" s="50">
        <v>0</v>
      </c>
      <c r="L64" s="50">
        <v>0</v>
      </c>
      <c r="M64" s="50">
        <v>200</v>
      </c>
      <c r="N64" s="50">
        <v>0</v>
      </c>
      <c r="O64" s="15">
        <f t="shared" si="0"/>
        <v>120</v>
      </c>
      <c r="P64" s="15">
        <f t="shared" si="1"/>
        <v>320</v>
      </c>
      <c r="R64" s="8"/>
      <c r="T64"/>
    </row>
    <row r="65" spans="2:20" ht="23.1" customHeight="1" x14ac:dyDescent="0.25">
      <c r="B65" s="45" t="s">
        <v>158</v>
      </c>
      <c r="C65" s="50">
        <v>49</v>
      </c>
      <c r="D65" s="50">
        <v>4</v>
      </c>
      <c r="E65" s="50">
        <v>4</v>
      </c>
      <c r="F65" s="50">
        <v>29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1</v>
      </c>
      <c r="M65" s="50">
        <v>173</v>
      </c>
      <c r="N65" s="50">
        <v>0</v>
      </c>
      <c r="O65" s="15">
        <f t="shared" si="0"/>
        <v>89</v>
      </c>
      <c r="P65" s="15">
        <f t="shared" si="1"/>
        <v>262</v>
      </c>
      <c r="R65" s="8"/>
      <c r="T65"/>
    </row>
    <row r="66" spans="2:20" ht="23.1" customHeight="1" x14ac:dyDescent="0.25">
      <c r="B66" s="45" t="s">
        <v>103</v>
      </c>
      <c r="C66" s="50">
        <v>58</v>
      </c>
      <c r="D66" s="50">
        <v>6</v>
      </c>
      <c r="E66" s="50">
        <v>9</v>
      </c>
      <c r="F66" s="50">
        <v>27</v>
      </c>
      <c r="G66" s="50">
        <v>1</v>
      </c>
      <c r="H66" s="50">
        <v>5</v>
      </c>
      <c r="I66" s="50">
        <v>2</v>
      </c>
      <c r="J66" s="50">
        <v>3</v>
      </c>
      <c r="K66" s="50">
        <v>0</v>
      </c>
      <c r="L66" s="50">
        <v>1</v>
      </c>
      <c r="M66" s="50">
        <v>235</v>
      </c>
      <c r="N66" s="50">
        <v>0</v>
      </c>
      <c r="O66" s="15">
        <f t="shared" si="0"/>
        <v>112</v>
      </c>
      <c r="P66" s="15">
        <f t="shared" si="1"/>
        <v>347</v>
      </c>
      <c r="R66" s="8"/>
      <c r="T66"/>
    </row>
    <row r="67" spans="2:20" ht="23.1" customHeight="1" x14ac:dyDescent="0.25">
      <c r="B67" s="45" t="s">
        <v>104</v>
      </c>
      <c r="C67" s="50">
        <v>56</v>
      </c>
      <c r="D67" s="50">
        <v>4</v>
      </c>
      <c r="E67" s="50">
        <v>6</v>
      </c>
      <c r="F67" s="50">
        <v>39</v>
      </c>
      <c r="G67" s="50">
        <v>2</v>
      </c>
      <c r="H67" s="50">
        <v>4</v>
      </c>
      <c r="I67" s="50">
        <v>2</v>
      </c>
      <c r="J67" s="50">
        <v>1</v>
      </c>
      <c r="K67" s="50">
        <v>0</v>
      </c>
      <c r="L67" s="50">
        <v>0</v>
      </c>
      <c r="M67" s="50">
        <v>240</v>
      </c>
      <c r="N67" s="50">
        <v>0</v>
      </c>
      <c r="O67" s="15">
        <f t="shared" si="0"/>
        <v>114</v>
      </c>
      <c r="P67" s="15">
        <f t="shared" si="1"/>
        <v>354</v>
      </c>
      <c r="R67" s="8"/>
      <c r="T67"/>
    </row>
    <row r="68" spans="2:20" ht="23.1" customHeight="1" x14ac:dyDescent="0.25">
      <c r="B68" s="45" t="s">
        <v>105</v>
      </c>
      <c r="C68" s="50">
        <v>39</v>
      </c>
      <c r="D68" s="50">
        <v>9</v>
      </c>
      <c r="E68" s="50">
        <v>2</v>
      </c>
      <c r="F68" s="50">
        <v>29</v>
      </c>
      <c r="G68" s="50">
        <v>2</v>
      </c>
      <c r="H68" s="50">
        <v>1</v>
      </c>
      <c r="I68" s="50">
        <v>3</v>
      </c>
      <c r="J68" s="50">
        <v>0</v>
      </c>
      <c r="K68" s="50">
        <v>0</v>
      </c>
      <c r="L68" s="50">
        <v>0</v>
      </c>
      <c r="M68" s="50">
        <v>215</v>
      </c>
      <c r="N68" s="50">
        <v>0</v>
      </c>
      <c r="O68" s="15">
        <f t="shared" si="0"/>
        <v>85</v>
      </c>
      <c r="P68" s="15">
        <f t="shared" si="1"/>
        <v>300</v>
      </c>
      <c r="R68" s="8"/>
      <c r="T68"/>
    </row>
    <row r="69" spans="2:20" ht="23.1" customHeight="1" x14ac:dyDescent="0.25">
      <c r="B69" s="45" t="s">
        <v>106</v>
      </c>
      <c r="C69" s="50">
        <v>48</v>
      </c>
      <c r="D69" s="50">
        <v>4</v>
      </c>
      <c r="E69" s="50">
        <v>8</v>
      </c>
      <c r="F69" s="50">
        <v>34</v>
      </c>
      <c r="G69" s="50">
        <v>1</v>
      </c>
      <c r="H69" s="50">
        <v>1</v>
      </c>
      <c r="I69" s="50">
        <v>0</v>
      </c>
      <c r="J69" s="50">
        <v>1</v>
      </c>
      <c r="K69" s="50">
        <v>0</v>
      </c>
      <c r="L69" s="50">
        <v>1</v>
      </c>
      <c r="M69" s="50">
        <v>230</v>
      </c>
      <c r="N69" s="50">
        <v>0</v>
      </c>
      <c r="O69" s="15">
        <f t="shared" si="0"/>
        <v>98</v>
      </c>
      <c r="P69" s="15">
        <f t="shared" si="1"/>
        <v>328</v>
      </c>
      <c r="R69" s="8"/>
      <c r="T69"/>
    </row>
    <row r="70" spans="2:20" ht="23.1" customHeight="1" x14ac:dyDescent="0.25">
      <c r="B70" s="45" t="s">
        <v>110</v>
      </c>
      <c r="C70" s="50">
        <v>48</v>
      </c>
      <c r="D70" s="50">
        <v>3</v>
      </c>
      <c r="E70" s="50">
        <v>2</v>
      </c>
      <c r="F70" s="50">
        <v>37</v>
      </c>
      <c r="G70" s="50">
        <v>1</v>
      </c>
      <c r="H70" s="50">
        <v>2</v>
      </c>
      <c r="I70" s="50">
        <v>3</v>
      </c>
      <c r="J70" s="50">
        <v>2</v>
      </c>
      <c r="K70" s="50">
        <v>0</v>
      </c>
      <c r="L70" s="50">
        <v>0</v>
      </c>
      <c r="M70" s="50">
        <v>148</v>
      </c>
      <c r="N70" s="50">
        <v>0</v>
      </c>
      <c r="O70" s="15">
        <f t="shared" si="0"/>
        <v>98</v>
      </c>
      <c r="P70" s="15">
        <f t="shared" si="1"/>
        <v>246</v>
      </c>
      <c r="R70" s="8"/>
      <c r="T70"/>
    </row>
    <row r="71" spans="2:20" ht="23.1" customHeight="1" x14ac:dyDescent="0.25">
      <c r="B71" s="45" t="s">
        <v>111</v>
      </c>
      <c r="C71" s="50">
        <v>45</v>
      </c>
      <c r="D71" s="50">
        <v>3</v>
      </c>
      <c r="E71" s="50">
        <v>1</v>
      </c>
      <c r="F71" s="50">
        <v>22</v>
      </c>
      <c r="G71" s="50">
        <v>0</v>
      </c>
      <c r="H71" s="50">
        <v>1</v>
      </c>
      <c r="I71" s="50">
        <v>2</v>
      </c>
      <c r="J71" s="50">
        <v>3</v>
      </c>
      <c r="K71" s="50">
        <v>0</v>
      </c>
      <c r="L71" s="50">
        <v>1</v>
      </c>
      <c r="M71" s="50">
        <v>61</v>
      </c>
      <c r="N71" s="50">
        <v>0</v>
      </c>
      <c r="O71" s="15">
        <f t="shared" si="0"/>
        <v>78</v>
      </c>
      <c r="P71" s="15">
        <f t="shared" si="1"/>
        <v>139</v>
      </c>
      <c r="R71" s="8"/>
      <c r="T71"/>
    </row>
    <row r="72" spans="2:20" ht="23.1" customHeight="1" x14ac:dyDescent="0.25">
      <c r="B72" s="45" t="s">
        <v>112</v>
      </c>
      <c r="C72" s="50">
        <v>27</v>
      </c>
      <c r="D72" s="50">
        <v>2</v>
      </c>
      <c r="E72" s="50">
        <v>4</v>
      </c>
      <c r="F72" s="50">
        <v>17</v>
      </c>
      <c r="G72" s="50">
        <v>1</v>
      </c>
      <c r="H72" s="50">
        <v>4</v>
      </c>
      <c r="I72" s="50">
        <v>2</v>
      </c>
      <c r="J72" s="50">
        <v>1</v>
      </c>
      <c r="K72" s="50">
        <v>2</v>
      </c>
      <c r="L72" s="50">
        <v>0</v>
      </c>
      <c r="M72" s="50">
        <v>73</v>
      </c>
      <c r="N72" s="50">
        <v>0</v>
      </c>
      <c r="O72" s="15">
        <f t="shared" si="0"/>
        <v>60</v>
      </c>
      <c r="P72" s="15">
        <f t="shared" si="1"/>
        <v>133</v>
      </c>
      <c r="R72" s="8"/>
      <c r="T72"/>
    </row>
    <row r="73" spans="2:20" ht="23.1" customHeight="1" x14ac:dyDescent="0.25">
      <c r="B73" s="45" t="s">
        <v>113</v>
      </c>
      <c r="C73" s="50">
        <v>38</v>
      </c>
      <c r="D73" s="50">
        <v>5</v>
      </c>
      <c r="E73" s="50">
        <v>3</v>
      </c>
      <c r="F73" s="50">
        <v>17</v>
      </c>
      <c r="G73" s="50">
        <v>0</v>
      </c>
      <c r="H73" s="50">
        <v>0</v>
      </c>
      <c r="I73" s="50">
        <v>1</v>
      </c>
      <c r="J73" s="50">
        <v>1</v>
      </c>
      <c r="K73" s="50">
        <v>0</v>
      </c>
      <c r="L73" s="50">
        <v>0</v>
      </c>
      <c r="M73" s="50">
        <v>75</v>
      </c>
      <c r="N73" s="50">
        <v>0</v>
      </c>
      <c r="O73" s="15">
        <f t="shared" si="0"/>
        <v>65</v>
      </c>
      <c r="P73" s="15">
        <f t="shared" si="1"/>
        <v>140</v>
      </c>
      <c r="R73" s="8"/>
      <c r="T73"/>
    </row>
    <row r="74" spans="2:20" ht="23.1" customHeight="1" x14ac:dyDescent="0.25">
      <c r="B74" s="45" t="s">
        <v>114</v>
      </c>
      <c r="C74" s="50">
        <v>33</v>
      </c>
      <c r="D74" s="50">
        <v>5</v>
      </c>
      <c r="E74" s="50">
        <v>6</v>
      </c>
      <c r="F74" s="50">
        <v>19</v>
      </c>
      <c r="G74" s="50">
        <v>0</v>
      </c>
      <c r="H74" s="50">
        <v>1</v>
      </c>
      <c r="I74" s="50">
        <v>0</v>
      </c>
      <c r="J74" s="50">
        <v>3</v>
      </c>
      <c r="K74" s="50">
        <v>0</v>
      </c>
      <c r="L74" s="50">
        <v>0</v>
      </c>
      <c r="M74" s="50">
        <v>89</v>
      </c>
      <c r="N74" s="50">
        <v>0</v>
      </c>
      <c r="O74" s="15">
        <f t="shared" ref="O74:O105" si="35">SUM(C74:L74,N74)</f>
        <v>67</v>
      </c>
      <c r="P74" s="15">
        <f t="shared" ref="P74:P105" si="36">SUM(C74:N74)</f>
        <v>156</v>
      </c>
      <c r="R74" s="8"/>
      <c r="T74"/>
    </row>
    <row r="75" spans="2:20" ht="23.1" customHeight="1" x14ac:dyDescent="0.25">
      <c r="B75" s="45" t="s">
        <v>115</v>
      </c>
      <c r="C75" s="50">
        <v>26</v>
      </c>
      <c r="D75" s="50">
        <v>6</v>
      </c>
      <c r="E75" s="50">
        <v>2</v>
      </c>
      <c r="F75" s="50">
        <v>18</v>
      </c>
      <c r="G75" s="50">
        <v>1</v>
      </c>
      <c r="H75" s="50">
        <v>1</v>
      </c>
      <c r="I75" s="50">
        <v>0</v>
      </c>
      <c r="J75" s="50">
        <v>3</v>
      </c>
      <c r="K75" s="50">
        <v>0</v>
      </c>
      <c r="L75" s="50">
        <v>0</v>
      </c>
      <c r="M75" s="50">
        <v>55</v>
      </c>
      <c r="N75" s="50">
        <v>0</v>
      </c>
      <c r="O75" s="15">
        <f t="shared" si="35"/>
        <v>57</v>
      </c>
      <c r="P75" s="15">
        <f t="shared" si="36"/>
        <v>112</v>
      </c>
      <c r="R75" s="8"/>
      <c r="T75"/>
    </row>
    <row r="76" spans="2:20" ht="23.1" customHeight="1" x14ac:dyDescent="0.25">
      <c r="B76" s="45" t="s">
        <v>116</v>
      </c>
      <c r="C76" s="50">
        <v>37</v>
      </c>
      <c r="D76" s="50">
        <v>2</v>
      </c>
      <c r="E76" s="50">
        <v>4</v>
      </c>
      <c r="F76" s="50">
        <v>10</v>
      </c>
      <c r="G76" s="50">
        <v>1</v>
      </c>
      <c r="H76" s="50">
        <v>2</v>
      </c>
      <c r="I76" s="50">
        <v>0</v>
      </c>
      <c r="J76" s="50">
        <v>0</v>
      </c>
      <c r="K76" s="50">
        <v>0</v>
      </c>
      <c r="L76" s="50">
        <v>0</v>
      </c>
      <c r="M76" s="50">
        <v>36</v>
      </c>
      <c r="N76" s="50">
        <v>0</v>
      </c>
      <c r="O76" s="15">
        <f t="shared" si="35"/>
        <v>56</v>
      </c>
      <c r="P76" s="15">
        <f t="shared" si="36"/>
        <v>92</v>
      </c>
      <c r="R76" s="8"/>
      <c r="T76"/>
    </row>
    <row r="77" spans="2:20" ht="23.1" customHeight="1" x14ac:dyDescent="0.25">
      <c r="B77" s="45" t="s">
        <v>117</v>
      </c>
      <c r="C77" s="50">
        <v>25</v>
      </c>
      <c r="D77" s="50">
        <v>2</v>
      </c>
      <c r="E77" s="50">
        <v>2</v>
      </c>
      <c r="F77" s="50">
        <v>9</v>
      </c>
      <c r="G77" s="50">
        <v>1</v>
      </c>
      <c r="H77" s="50">
        <v>1</v>
      </c>
      <c r="I77" s="50">
        <v>0</v>
      </c>
      <c r="J77" s="50">
        <v>0</v>
      </c>
      <c r="K77" s="50">
        <v>0</v>
      </c>
      <c r="L77" s="50">
        <v>0</v>
      </c>
      <c r="M77" s="50">
        <v>28</v>
      </c>
      <c r="N77" s="50">
        <v>0</v>
      </c>
      <c r="O77" s="15">
        <f t="shared" si="35"/>
        <v>40</v>
      </c>
      <c r="P77" s="15">
        <f t="shared" si="36"/>
        <v>68</v>
      </c>
      <c r="R77" s="8"/>
      <c r="T77"/>
    </row>
    <row r="78" spans="2:20" ht="23.1" customHeight="1" x14ac:dyDescent="0.25">
      <c r="B78" s="46" t="s">
        <v>118</v>
      </c>
      <c r="C78" s="50">
        <v>31</v>
      </c>
      <c r="D78" s="50">
        <v>3</v>
      </c>
      <c r="E78" s="50">
        <v>2</v>
      </c>
      <c r="F78" s="50">
        <v>9</v>
      </c>
      <c r="G78" s="50">
        <v>0</v>
      </c>
      <c r="H78" s="50">
        <v>2</v>
      </c>
      <c r="I78" s="50">
        <v>1</v>
      </c>
      <c r="J78" s="50">
        <v>0</v>
      </c>
      <c r="K78" s="50">
        <v>1</v>
      </c>
      <c r="L78" s="50">
        <v>0</v>
      </c>
      <c r="M78" s="50">
        <v>68</v>
      </c>
      <c r="N78" s="50">
        <v>0</v>
      </c>
      <c r="O78" s="15">
        <f t="shared" si="35"/>
        <v>49</v>
      </c>
      <c r="P78" s="15">
        <f t="shared" si="36"/>
        <v>117</v>
      </c>
      <c r="R78" s="8"/>
      <c r="T78"/>
    </row>
    <row r="79" spans="2:20" ht="23.1" customHeight="1" x14ac:dyDescent="0.25">
      <c r="B79" s="45" t="s">
        <v>119</v>
      </c>
      <c r="C79" s="50">
        <v>16</v>
      </c>
      <c r="D79" s="50">
        <v>3</v>
      </c>
      <c r="E79" s="50">
        <v>2</v>
      </c>
      <c r="F79" s="50">
        <v>5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71</v>
      </c>
      <c r="N79" s="50">
        <v>0</v>
      </c>
      <c r="O79" s="15">
        <f t="shared" si="35"/>
        <v>28</v>
      </c>
      <c r="P79" s="15">
        <f t="shared" si="36"/>
        <v>99</v>
      </c>
      <c r="R79" s="8"/>
      <c r="T79"/>
    </row>
    <row r="80" spans="2:20" ht="23.1" customHeight="1" x14ac:dyDescent="0.25">
      <c r="B80" s="47" t="s">
        <v>120</v>
      </c>
      <c r="C80" s="50">
        <v>24</v>
      </c>
      <c r="D80" s="50">
        <v>2</v>
      </c>
      <c r="E80" s="50">
        <v>1</v>
      </c>
      <c r="F80" s="50">
        <v>8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48</v>
      </c>
      <c r="N80" s="50">
        <v>0</v>
      </c>
      <c r="O80" s="15">
        <f t="shared" si="35"/>
        <v>35</v>
      </c>
      <c r="P80" s="15">
        <f t="shared" si="36"/>
        <v>83</v>
      </c>
      <c r="R80" s="8"/>
      <c r="T80"/>
    </row>
    <row r="81" spans="2:20" ht="23.1" customHeight="1" x14ac:dyDescent="0.25">
      <c r="B81" s="45" t="s">
        <v>121</v>
      </c>
      <c r="C81" s="50">
        <v>15</v>
      </c>
      <c r="D81" s="50">
        <v>2</v>
      </c>
      <c r="E81" s="50">
        <v>0</v>
      </c>
      <c r="F81" s="50">
        <v>3</v>
      </c>
      <c r="G81" s="50">
        <v>0</v>
      </c>
      <c r="H81" s="50">
        <v>1</v>
      </c>
      <c r="I81" s="50">
        <v>0</v>
      </c>
      <c r="J81" s="50">
        <v>0</v>
      </c>
      <c r="K81" s="50">
        <v>0</v>
      </c>
      <c r="L81" s="50">
        <v>0</v>
      </c>
      <c r="M81" s="50">
        <v>45</v>
      </c>
      <c r="N81" s="50">
        <v>0</v>
      </c>
      <c r="O81" s="15">
        <f t="shared" si="35"/>
        <v>21</v>
      </c>
      <c r="P81" s="15">
        <f t="shared" si="36"/>
        <v>66</v>
      </c>
      <c r="R81" s="8"/>
      <c r="T81"/>
    </row>
    <row r="82" spans="2:20" ht="23.1" customHeight="1" x14ac:dyDescent="0.25">
      <c r="B82" s="46" t="s">
        <v>122</v>
      </c>
      <c r="C82" s="50">
        <v>14</v>
      </c>
      <c r="D82" s="50">
        <v>0</v>
      </c>
      <c r="E82" s="50">
        <v>0</v>
      </c>
      <c r="F82" s="50">
        <v>3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39</v>
      </c>
      <c r="N82" s="50">
        <v>0</v>
      </c>
      <c r="O82" s="15">
        <f t="shared" si="35"/>
        <v>18</v>
      </c>
      <c r="P82" s="15">
        <f t="shared" si="36"/>
        <v>57</v>
      </c>
      <c r="R82" s="8"/>
      <c r="T82"/>
    </row>
    <row r="83" spans="2:20" ht="23.1" customHeight="1" x14ac:dyDescent="0.25">
      <c r="B83" s="45" t="s">
        <v>123</v>
      </c>
      <c r="C83" s="50">
        <v>18</v>
      </c>
      <c r="D83" s="50">
        <v>2</v>
      </c>
      <c r="E83" s="50">
        <v>0</v>
      </c>
      <c r="F83" s="50">
        <v>3</v>
      </c>
      <c r="G83" s="50">
        <v>0</v>
      </c>
      <c r="H83" s="50">
        <v>3</v>
      </c>
      <c r="I83" s="50">
        <v>1</v>
      </c>
      <c r="J83" s="50">
        <v>0</v>
      </c>
      <c r="K83" s="50">
        <v>0</v>
      </c>
      <c r="L83" s="50">
        <v>0</v>
      </c>
      <c r="M83" s="50">
        <v>23</v>
      </c>
      <c r="N83" s="50">
        <v>0</v>
      </c>
      <c r="O83" s="15">
        <f t="shared" si="35"/>
        <v>27</v>
      </c>
      <c r="P83" s="15">
        <f t="shared" si="36"/>
        <v>50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3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16</v>
      </c>
      <c r="N84" s="50">
        <v>0</v>
      </c>
      <c r="O84" s="15">
        <f t="shared" si="35"/>
        <v>13</v>
      </c>
      <c r="P84" s="15">
        <f t="shared" si="36"/>
        <v>29</v>
      </c>
      <c r="R84" s="8"/>
      <c r="T84"/>
    </row>
    <row r="85" spans="2:20" ht="23.1" customHeight="1" x14ac:dyDescent="0.25">
      <c r="B85" s="45" t="s">
        <v>125</v>
      </c>
      <c r="C85" s="50">
        <v>26</v>
      </c>
      <c r="D85" s="50">
        <v>1</v>
      </c>
      <c r="E85" s="50">
        <v>2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23</v>
      </c>
      <c r="N85" s="50">
        <v>0</v>
      </c>
      <c r="O85" s="15">
        <f t="shared" si="35"/>
        <v>30</v>
      </c>
      <c r="P85" s="15">
        <f t="shared" si="36"/>
        <v>53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2</v>
      </c>
      <c r="F86" s="50">
        <v>0</v>
      </c>
      <c r="G86" s="50">
        <v>1</v>
      </c>
      <c r="H86" s="50">
        <v>0</v>
      </c>
      <c r="I86" s="50">
        <v>1</v>
      </c>
      <c r="J86" s="50">
        <v>1</v>
      </c>
      <c r="K86" s="50">
        <v>0</v>
      </c>
      <c r="L86" s="50">
        <v>0</v>
      </c>
      <c r="M86" s="50">
        <v>25</v>
      </c>
      <c r="N86" s="50">
        <v>0</v>
      </c>
      <c r="O86" s="15">
        <f t="shared" si="35"/>
        <v>11</v>
      </c>
      <c r="P86" s="15">
        <f t="shared" si="36"/>
        <v>36</v>
      </c>
      <c r="R86" s="8"/>
      <c r="T86"/>
    </row>
    <row r="87" spans="2:20" ht="23.1" customHeight="1" x14ac:dyDescent="0.25">
      <c r="B87" s="45" t="s">
        <v>127</v>
      </c>
      <c r="C87" s="50">
        <v>10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0</v>
      </c>
      <c r="J87" s="50">
        <v>2</v>
      </c>
      <c r="K87" s="50">
        <v>0</v>
      </c>
      <c r="L87" s="50">
        <v>0</v>
      </c>
      <c r="M87" s="50">
        <v>20</v>
      </c>
      <c r="N87" s="50">
        <v>0</v>
      </c>
      <c r="O87" s="15">
        <f t="shared" si="35"/>
        <v>13</v>
      </c>
      <c r="P87" s="15">
        <f t="shared" si="36"/>
        <v>33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1</v>
      </c>
      <c r="E88" s="50">
        <v>2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27</v>
      </c>
      <c r="N88" s="50">
        <v>0</v>
      </c>
      <c r="O88" s="15">
        <f t="shared" si="35"/>
        <v>12</v>
      </c>
      <c r="P88" s="15">
        <f t="shared" si="36"/>
        <v>39</v>
      </c>
      <c r="R88" s="8"/>
      <c r="T88"/>
    </row>
    <row r="89" spans="2:20" ht="23.1" customHeight="1" x14ac:dyDescent="0.25">
      <c r="B89" s="45" t="s">
        <v>129</v>
      </c>
      <c r="C89" s="50">
        <v>16</v>
      </c>
      <c r="D89" s="50">
        <v>1</v>
      </c>
      <c r="E89" s="50">
        <v>2</v>
      </c>
      <c r="F89" s="50">
        <v>1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34</v>
      </c>
      <c r="N89" s="50">
        <v>0</v>
      </c>
      <c r="O89" s="15">
        <f t="shared" si="35"/>
        <v>21</v>
      </c>
      <c r="P89" s="15">
        <f t="shared" si="36"/>
        <v>55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1</v>
      </c>
      <c r="E90" s="50">
        <v>1</v>
      </c>
      <c r="F90" s="50">
        <v>0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16</v>
      </c>
      <c r="N90" s="50">
        <v>0</v>
      </c>
      <c r="O90" s="15">
        <f t="shared" si="35"/>
        <v>10</v>
      </c>
      <c r="P90" s="15">
        <f t="shared" si="36"/>
        <v>26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1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15</v>
      </c>
      <c r="N91" s="50">
        <v>0</v>
      </c>
      <c r="O91" s="15">
        <f t="shared" si="35"/>
        <v>5</v>
      </c>
      <c r="P91" s="15">
        <f t="shared" si="36"/>
        <v>20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2</v>
      </c>
      <c r="E92" s="50">
        <v>1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16</v>
      </c>
      <c r="N92" s="50">
        <v>0</v>
      </c>
      <c r="O92" s="15">
        <f t="shared" si="35"/>
        <v>8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1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13</v>
      </c>
      <c r="N93" s="50">
        <v>0</v>
      </c>
      <c r="O93" s="15">
        <f t="shared" si="35"/>
        <v>5</v>
      </c>
      <c r="P93" s="15">
        <f t="shared" si="36"/>
        <v>18</v>
      </c>
      <c r="R93" s="8"/>
      <c r="T93"/>
    </row>
    <row r="94" spans="2:20" ht="23.1" customHeight="1" x14ac:dyDescent="0.25">
      <c r="B94" s="46" t="s">
        <v>134</v>
      </c>
      <c r="C94" s="50">
        <v>11</v>
      </c>
      <c r="D94" s="50">
        <v>2</v>
      </c>
      <c r="E94" s="50">
        <v>1</v>
      </c>
      <c r="F94" s="50">
        <v>1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16</v>
      </c>
      <c r="P94" s="15">
        <f t="shared" si="36"/>
        <v>31</v>
      </c>
      <c r="R94" s="8"/>
      <c r="T94"/>
    </row>
    <row r="95" spans="2:20" ht="23.1" customHeight="1" x14ac:dyDescent="0.25">
      <c r="B95" s="45" t="s">
        <v>135</v>
      </c>
      <c r="C95" s="50">
        <v>8</v>
      </c>
      <c r="D95" s="50">
        <v>2</v>
      </c>
      <c r="E95" s="50">
        <v>1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15</v>
      </c>
      <c r="N95" s="50">
        <v>0</v>
      </c>
      <c r="O95" s="15">
        <f t="shared" si="35"/>
        <v>12</v>
      </c>
      <c r="P95" s="15">
        <f t="shared" si="36"/>
        <v>27</v>
      </c>
      <c r="R95" s="8"/>
      <c r="T95"/>
    </row>
    <row r="96" spans="2:20" ht="23.1" customHeight="1" x14ac:dyDescent="0.25">
      <c r="B96" s="47" t="s">
        <v>136</v>
      </c>
      <c r="C96" s="50">
        <v>6</v>
      </c>
      <c r="D96" s="50">
        <v>5</v>
      </c>
      <c r="E96" s="50">
        <v>1</v>
      </c>
      <c r="F96" s="50">
        <v>1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20</v>
      </c>
      <c r="N96" s="50">
        <v>0</v>
      </c>
      <c r="O96" s="15">
        <f t="shared" si="35"/>
        <v>14</v>
      </c>
      <c r="P96" s="15">
        <f t="shared" si="36"/>
        <v>34</v>
      </c>
      <c r="R96" s="8"/>
      <c r="T96"/>
    </row>
    <row r="97" spans="2:20" ht="23.1" customHeight="1" x14ac:dyDescent="0.25">
      <c r="B97" s="45" t="s">
        <v>137</v>
      </c>
      <c r="C97" s="50">
        <v>23</v>
      </c>
      <c r="D97" s="50">
        <v>3</v>
      </c>
      <c r="E97" s="50">
        <v>0</v>
      </c>
      <c r="F97" s="50">
        <v>2</v>
      </c>
      <c r="G97" s="50">
        <v>0</v>
      </c>
      <c r="H97" s="50">
        <v>1</v>
      </c>
      <c r="I97" s="50">
        <v>3</v>
      </c>
      <c r="J97" s="50">
        <v>0</v>
      </c>
      <c r="K97" s="50">
        <v>0</v>
      </c>
      <c r="L97" s="50">
        <v>0</v>
      </c>
      <c r="M97" s="50">
        <v>21</v>
      </c>
      <c r="N97" s="50">
        <v>0</v>
      </c>
      <c r="O97" s="15">
        <f t="shared" si="35"/>
        <v>32</v>
      </c>
      <c r="P97" s="15">
        <f t="shared" si="36"/>
        <v>53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2</v>
      </c>
      <c r="E98" s="50">
        <v>2</v>
      </c>
      <c r="F98" s="50">
        <v>1</v>
      </c>
      <c r="G98" s="50">
        <v>1</v>
      </c>
      <c r="H98" s="50">
        <v>1</v>
      </c>
      <c r="I98" s="50">
        <v>0</v>
      </c>
      <c r="J98" s="50">
        <v>0</v>
      </c>
      <c r="K98" s="50">
        <v>0</v>
      </c>
      <c r="L98" s="50">
        <v>0</v>
      </c>
      <c r="M98" s="50">
        <v>75</v>
      </c>
      <c r="N98" s="50">
        <v>0</v>
      </c>
      <c r="O98" s="15">
        <f t="shared" si="35"/>
        <v>9</v>
      </c>
      <c r="P98" s="15">
        <f t="shared" si="36"/>
        <v>84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4</v>
      </c>
      <c r="E99" s="50">
        <v>0</v>
      </c>
      <c r="F99" s="50">
        <v>60</v>
      </c>
      <c r="G99" s="50">
        <v>0</v>
      </c>
      <c r="H99" s="50">
        <v>2</v>
      </c>
      <c r="I99" s="50">
        <v>1</v>
      </c>
      <c r="J99" s="50">
        <v>0</v>
      </c>
      <c r="K99" s="50">
        <v>0</v>
      </c>
      <c r="L99" s="50">
        <v>0</v>
      </c>
      <c r="M99" s="50">
        <v>65</v>
      </c>
      <c r="N99" s="50">
        <v>0</v>
      </c>
      <c r="O99" s="15">
        <f t="shared" si="35"/>
        <v>72</v>
      </c>
      <c r="P99" s="15">
        <f t="shared" si="36"/>
        <v>137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2</v>
      </c>
      <c r="F100" s="50">
        <v>50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75</v>
      </c>
      <c r="N100" s="50">
        <v>0</v>
      </c>
      <c r="O100" s="15">
        <f t="shared" si="35"/>
        <v>55</v>
      </c>
      <c r="P100" s="15">
        <f t="shared" si="36"/>
        <v>130</v>
      </c>
      <c r="R100" s="8"/>
      <c r="T100"/>
    </row>
    <row r="101" spans="2:20" ht="23.1" customHeight="1" x14ac:dyDescent="0.25">
      <c r="B101" s="45" t="s">
        <v>141</v>
      </c>
      <c r="C101" s="50">
        <v>18</v>
      </c>
      <c r="D101" s="50">
        <v>1</v>
      </c>
      <c r="E101" s="50">
        <v>0</v>
      </c>
      <c r="F101" s="50">
        <v>55</v>
      </c>
      <c r="G101" s="50">
        <v>2</v>
      </c>
      <c r="H101" s="50">
        <v>2</v>
      </c>
      <c r="I101" s="50">
        <v>1</v>
      </c>
      <c r="J101" s="50">
        <v>2</v>
      </c>
      <c r="K101" s="50">
        <v>0</v>
      </c>
      <c r="L101" s="50">
        <v>0</v>
      </c>
      <c r="M101" s="50">
        <v>70</v>
      </c>
      <c r="N101" s="50">
        <v>0</v>
      </c>
      <c r="O101" s="15">
        <f t="shared" si="35"/>
        <v>81</v>
      </c>
      <c r="P101" s="15">
        <f t="shared" si="36"/>
        <v>151</v>
      </c>
      <c r="R101" s="8"/>
      <c r="T101"/>
    </row>
    <row r="102" spans="2:20" ht="23.1" customHeight="1" x14ac:dyDescent="0.25">
      <c r="B102" s="46" t="s">
        <v>142</v>
      </c>
      <c r="C102" s="50">
        <v>29</v>
      </c>
      <c r="D102" s="50">
        <v>3</v>
      </c>
      <c r="E102" s="50">
        <v>6</v>
      </c>
      <c r="F102" s="50">
        <v>33</v>
      </c>
      <c r="G102" s="50">
        <v>3</v>
      </c>
      <c r="H102" s="50">
        <v>1</v>
      </c>
      <c r="I102" s="50">
        <v>3</v>
      </c>
      <c r="J102" s="50">
        <v>1</v>
      </c>
      <c r="K102" s="50">
        <v>0</v>
      </c>
      <c r="L102" s="50">
        <v>0</v>
      </c>
      <c r="M102" s="50">
        <v>127</v>
      </c>
      <c r="N102" s="50">
        <v>0</v>
      </c>
      <c r="O102" s="15">
        <f t="shared" si="35"/>
        <v>79</v>
      </c>
      <c r="P102" s="15">
        <f t="shared" si="36"/>
        <v>206</v>
      </c>
      <c r="R102" s="8"/>
      <c r="T102"/>
    </row>
    <row r="103" spans="2:20" ht="23.1" customHeight="1" x14ac:dyDescent="0.25">
      <c r="B103" s="45" t="s">
        <v>143</v>
      </c>
      <c r="C103" s="50">
        <v>38</v>
      </c>
      <c r="D103" s="50">
        <v>2</v>
      </c>
      <c r="E103" s="50">
        <v>3</v>
      </c>
      <c r="F103" s="50">
        <v>31</v>
      </c>
      <c r="G103" s="50">
        <v>3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94</v>
      </c>
      <c r="N103" s="50">
        <v>0</v>
      </c>
      <c r="O103" s="15">
        <f t="shared" si="35"/>
        <v>77</v>
      </c>
      <c r="P103" s="15">
        <f t="shared" si="36"/>
        <v>171</v>
      </c>
      <c r="R103" s="8"/>
      <c r="T103"/>
    </row>
    <row r="104" spans="2:20" ht="23.1" customHeight="1" x14ac:dyDescent="0.25">
      <c r="B104" s="47" t="s">
        <v>144</v>
      </c>
      <c r="C104" s="50">
        <v>27</v>
      </c>
      <c r="D104" s="50">
        <v>6</v>
      </c>
      <c r="E104" s="50">
        <v>2</v>
      </c>
      <c r="F104" s="50">
        <v>45</v>
      </c>
      <c r="G104" s="50">
        <v>0</v>
      </c>
      <c r="H104" s="50">
        <v>1</v>
      </c>
      <c r="I104" s="50">
        <v>1</v>
      </c>
      <c r="J104" s="50">
        <v>1</v>
      </c>
      <c r="K104" s="50">
        <v>1</v>
      </c>
      <c r="L104" s="50">
        <v>0</v>
      </c>
      <c r="M104" s="50">
        <v>123</v>
      </c>
      <c r="N104" s="50">
        <v>0</v>
      </c>
      <c r="O104" s="15">
        <f t="shared" si="35"/>
        <v>84</v>
      </c>
      <c r="P104" s="15">
        <f t="shared" si="36"/>
        <v>207</v>
      </c>
      <c r="R104" s="8"/>
      <c r="T104"/>
    </row>
    <row r="105" spans="2:20" ht="23.1" customHeight="1" x14ac:dyDescent="0.25">
      <c r="B105" s="45" t="s">
        <v>145</v>
      </c>
      <c r="C105" s="50">
        <v>61</v>
      </c>
      <c r="D105" s="50">
        <v>4</v>
      </c>
      <c r="E105" s="50">
        <v>1</v>
      </c>
      <c r="F105" s="50">
        <v>56</v>
      </c>
      <c r="G105" s="50">
        <v>2</v>
      </c>
      <c r="H105" s="50">
        <v>0</v>
      </c>
      <c r="I105" s="50">
        <v>6</v>
      </c>
      <c r="J105" s="50">
        <v>2</v>
      </c>
      <c r="K105" s="50">
        <v>0</v>
      </c>
      <c r="L105" s="50">
        <v>0</v>
      </c>
      <c r="M105" s="50">
        <v>104</v>
      </c>
      <c r="N105" s="50">
        <v>0</v>
      </c>
      <c r="O105" s="15">
        <f t="shared" si="35"/>
        <v>132</v>
      </c>
      <c r="P105" s="15">
        <f t="shared" si="36"/>
        <v>236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3974</v>
      </c>
      <c r="D106" s="16">
        <f t="shared" ref="D106:P106" si="37">SUM(D10:D105)</f>
        <v>331</v>
      </c>
      <c r="E106" s="16">
        <f t="shared" si="37"/>
        <v>389</v>
      </c>
      <c r="F106" s="16">
        <f t="shared" si="37"/>
        <v>3036</v>
      </c>
      <c r="G106" s="16">
        <f t="shared" si="37"/>
        <v>94</v>
      </c>
      <c r="H106" s="16">
        <f t="shared" si="37"/>
        <v>118</v>
      </c>
      <c r="I106" s="16">
        <f t="shared" si="37"/>
        <v>201</v>
      </c>
      <c r="J106" s="16">
        <f t="shared" si="37"/>
        <v>125</v>
      </c>
      <c r="K106" s="16">
        <f t="shared" si="37"/>
        <v>18</v>
      </c>
      <c r="L106" s="16">
        <f t="shared" si="37"/>
        <v>18</v>
      </c>
      <c r="M106" s="16">
        <f t="shared" si="37"/>
        <v>11293</v>
      </c>
      <c r="N106" s="16">
        <f t="shared" si="37"/>
        <v>0</v>
      </c>
      <c r="O106" s="16">
        <f t="shared" si="37"/>
        <v>8304</v>
      </c>
      <c r="P106" s="16">
        <f t="shared" si="37"/>
        <v>19597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0.2027861407358269</v>
      </c>
      <c r="D107" s="43">
        <f t="shared" si="38"/>
        <v>1.6890340358218094E-2</v>
      </c>
      <c r="E107" s="43">
        <f t="shared" si="38"/>
        <v>1.9849977037301628E-2</v>
      </c>
      <c r="F107" s="43">
        <f t="shared" si="38"/>
        <v>0.15492167168444149</v>
      </c>
      <c r="G107" s="43">
        <f t="shared" si="38"/>
        <v>4.7966525488595197E-3</v>
      </c>
      <c r="H107" s="43">
        <f t="shared" si="38"/>
        <v>6.0213297953768431E-3</v>
      </c>
      <c r="I107" s="43">
        <f t="shared" si="38"/>
        <v>1.0256671939582589E-2</v>
      </c>
      <c r="J107" s="43">
        <f t="shared" si="38"/>
        <v>6.3785273256110626E-3</v>
      </c>
      <c r="K107" s="43">
        <f t="shared" si="38"/>
        <v>9.1850793488799302E-4</v>
      </c>
      <c r="L107" s="43">
        <f t="shared" si="38"/>
        <v>9.1850793488799302E-4</v>
      </c>
      <c r="M107" s="43">
        <f t="shared" si="38"/>
        <v>0.57626167270500583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0.4785645472061657</v>
      </c>
      <c r="D108" s="44">
        <f t="shared" ref="D108:N108" si="39">D106/$O$106</f>
        <v>3.9860308285163779E-2</v>
      </c>
      <c r="E108" s="44">
        <f t="shared" si="39"/>
        <v>4.6844894026974955E-2</v>
      </c>
      <c r="F108" s="44">
        <f t="shared" si="39"/>
        <v>0.36560693641618497</v>
      </c>
      <c r="G108" s="44">
        <f t="shared" si="39"/>
        <v>1.1319845857418112E-2</v>
      </c>
      <c r="H108" s="44">
        <f t="shared" si="39"/>
        <v>1.4210019267822735E-2</v>
      </c>
      <c r="I108" s="44">
        <f t="shared" si="39"/>
        <v>2.4205202312138727E-2</v>
      </c>
      <c r="J108" s="44">
        <f t="shared" si="39"/>
        <v>1.5052986512524085E-2</v>
      </c>
      <c r="K108" s="44">
        <f t="shared" si="39"/>
        <v>2.167630057803468E-3</v>
      </c>
      <c r="L108" s="44">
        <f t="shared" si="39"/>
        <v>2.167630057803468E-3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" zoomScale="60" workbookViewId="0">
      <selection activeCell="G105" sqref="G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2" t="str">
        <f>'26.07 Rubaga-Natete-24h'!G5:H5</f>
        <v>Total Wakaliga</v>
      </c>
      <c r="H5" s="53"/>
      <c r="I5" s="14"/>
      <c r="J5" s="2" t="s">
        <v>5</v>
      </c>
      <c r="K5" s="52" t="s">
        <v>174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Natete-Rubaga'!D6:E6</f>
        <v>Natete</v>
      </c>
      <c r="E6" s="53"/>
      <c r="F6" s="2" t="s">
        <v>2</v>
      </c>
      <c r="G6" s="52" t="str">
        <f>'22.07 Natete-Rubaga'!G6:H6</f>
        <v>Rubaga</v>
      </c>
      <c r="H6" s="53"/>
      <c r="J6" s="2" t="s">
        <v>21</v>
      </c>
      <c r="K6" s="52" t="str">
        <f>'26.07 Rubaga-Natete-24h'!K6:L6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27</v>
      </c>
      <c r="D10" s="50">
        <v>16</v>
      </c>
      <c r="E10" s="50">
        <v>13</v>
      </c>
      <c r="F10" s="50">
        <v>23</v>
      </c>
      <c r="G10" s="50">
        <v>3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188</v>
      </c>
      <c r="N10" s="50">
        <v>0</v>
      </c>
      <c r="O10" s="15">
        <f t="shared" ref="O10:O73" si="0">SUM(C10:L10,N10)</f>
        <v>85</v>
      </c>
      <c r="P10" s="15">
        <f t="shared" ref="P10:P73" si="1">SUM(C10:N10)</f>
        <v>273</v>
      </c>
      <c r="R10" s="1" t="s">
        <v>6</v>
      </c>
      <c r="S10" s="17">
        <f t="shared" ref="S10:AF10" si="2">SUM(C10:C13)</f>
        <v>92</v>
      </c>
      <c r="T10" s="17">
        <f t="shared" si="2"/>
        <v>39</v>
      </c>
      <c r="U10" s="17">
        <f t="shared" si="2"/>
        <v>36</v>
      </c>
      <c r="V10" s="17">
        <f t="shared" si="2"/>
        <v>127</v>
      </c>
      <c r="W10" s="17">
        <f t="shared" si="2"/>
        <v>11</v>
      </c>
      <c r="X10" s="17">
        <f t="shared" si="2"/>
        <v>4</v>
      </c>
      <c r="Y10" s="17">
        <f t="shared" si="2"/>
        <v>18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733</v>
      </c>
      <c r="AD10" s="17">
        <f t="shared" si="2"/>
        <v>0</v>
      </c>
      <c r="AE10" s="31">
        <f t="shared" si="2"/>
        <v>332</v>
      </c>
      <c r="AF10" s="31">
        <f t="shared" si="2"/>
        <v>1065</v>
      </c>
    </row>
    <row r="11" spans="2:32" s="6" customFormat="1" ht="23.1" customHeight="1" x14ac:dyDescent="0.25">
      <c r="B11" s="45" t="s">
        <v>38</v>
      </c>
      <c r="C11" s="50">
        <v>21</v>
      </c>
      <c r="D11" s="50">
        <v>7</v>
      </c>
      <c r="E11" s="50">
        <v>8</v>
      </c>
      <c r="F11" s="50">
        <v>17</v>
      </c>
      <c r="G11" s="50">
        <v>0</v>
      </c>
      <c r="H11" s="50">
        <v>3</v>
      </c>
      <c r="I11" s="50">
        <v>9</v>
      </c>
      <c r="J11" s="50">
        <v>1</v>
      </c>
      <c r="K11" s="50">
        <v>0</v>
      </c>
      <c r="L11" s="50">
        <v>0</v>
      </c>
      <c r="M11" s="50">
        <v>134</v>
      </c>
      <c r="N11" s="50">
        <v>0</v>
      </c>
      <c r="O11" s="15">
        <f t="shared" si="0"/>
        <v>66</v>
      </c>
      <c r="P11" s="15">
        <f t="shared" si="1"/>
        <v>200</v>
      </c>
      <c r="R11" s="1" t="s">
        <v>7</v>
      </c>
      <c r="S11" s="17">
        <f t="shared" ref="S11:AF11" si="3">SUM(C14:C17)</f>
        <v>134</v>
      </c>
      <c r="T11" s="17">
        <f t="shared" si="3"/>
        <v>39</v>
      </c>
      <c r="U11" s="17">
        <f t="shared" si="3"/>
        <v>34</v>
      </c>
      <c r="V11" s="17">
        <f t="shared" si="3"/>
        <v>193</v>
      </c>
      <c r="W11" s="17">
        <f t="shared" si="3"/>
        <v>4</v>
      </c>
      <c r="X11" s="17">
        <f t="shared" si="3"/>
        <v>3</v>
      </c>
      <c r="Y11" s="17">
        <f t="shared" si="3"/>
        <v>14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1225</v>
      </c>
      <c r="AD11" s="17">
        <f t="shared" si="3"/>
        <v>0</v>
      </c>
      <c r="AE11" s="31">
        <f t="shared" si="3"/>
        <v>425</v>
      </c>
      <c r="AF11" s="31">
        <f t="shared" si="3"/>
        <v>1650</v>
      </c>
    </row>
    <row r="12" spans="2:32" ht="23.1" customHeight="1" x14ac:dyDescent="0.25">
      <c r="B12" s="45" t="s">
        <v>39</v>
      </c>
      <c r="C12" s="50">
        <v>16</v>
      </c>
      <c r="D12" s="50">
        <v>3</v>
      </c>
      <c r="E12" s="50">
        <v>11</v>
      </c>
      <c r="F12" s="50">
        <v>33</v>
      </c>
      <c r="G12" s="50">
        <v>6</v>
      </c>
      <c r="H12" s="50">
        <v>0</v>
      </c>
      <c r="I12" s="50">
        <v>3</v>
      </c>
      <c r="J12" s="50">
        <v>3</v>
      </c>
      <c r="K12" s="50">
        <v>0</v>
      </c>
      <c r="L12" s="50">
        <v>0</v>
      </c>
      <c r="M12" s="50">
        <v>173</v>
      </c>
      <c r="N12" s="50">
        <v>0</v>
      </c>
      <c r="O12" s="15">
        <f t="shared" si="0"/>
        <v>75</v>
      </c>
      <c r="P12" s="15">
        <f t="shared" si="1"/>
        <v>248</v>
      </c>
      <c r="R12" s="1" t="s">
        <v>8</v>
      </c>
      <c r="S12" s="17">
        <f t="shared" ref="S12:AF12" si="4">SUM(C18:C21)</f>
        <v>130</v>
      </c>
      <c r="T12" s="17">
        <f t="shared" si="4"/>
        <v>53</v>
      </c>
      <c r="U12" s="17">
        <f t="shared" si="4"/>
        <v>40</v>
      </c>
      <c r="V12" s="17">
        <f t="shared" si="4"/>
        <v>251</v>
      </c>
      <c r="W12" s="17">
        <f t="shared" si="4"/>
        <v>3</v>
      </c>
      <c r="X12" s="17">
        <f t="shared" si="4"/>
        <v>3</v>
      </c>
      <c r="Y12" s="17">
        <f t="shared" si="4"/>
        <v>9</v>
      </c>
      <c r="Z12" s="17">
        <f t="shared" si="4"/>
        <v>6</v>
      </c>
      <c r="AA12" s="17">
        <f t="shared" si="4"/>
        <v>0</v>
      </c>
      <c r="AB12" s="17">
        <f t="shared" si="4"/>
        <v>1</v>
      </c>
      <c r="AC12" s="17">
        <f t="shared" si="4"/>
        <v>1458</v>
      </c>
      <c r="AD12" s="17">
        <f t="shared" si="4"/>
        <v>0</v>
      </c>
      <c r="AE12" s="31">
        <f t="shared" si="4"/>
        <v>496</v>
      </c>
      <c r="AF12" s="31">
        <f t="shared" si="4"/>
        <v>1954</v>
      </c>
    </row>
    <row r="13" spans="2:32" ht="23.1" customHeight="1" x14ac:dyDescent="0.25">
      <c r="B13" s="45" t="s">
        <v>40</v>
      </c>
      <c r="C13" s="50">
        <v>28</v>
      </c>
      <c r="D13" s="50">
        <v>13</v>
      </c>
      <c r="E13" s="50">
        <v>4</v>
      </c>
      <c r="F13" s="50">
        <v>54</v>
      </c>
      <c r="G13" s="50">
        <v>2</v>
      </c>
      <c r="H13" s="50">
        <v>1</v>
      </c>
      <c r="I13" s="50">
        <v>3</v>
      </c>
      <c r="J13" s="50">
        <v>1</v>
      </c>
      <c r="K13" s="50">
        <v>0</v>
      </c>
      <c r="L13" s="50">
        <v>0</v>
      </c>
      <c r="M13" s="50">
        <v>238</v>
      </c>
      <c r="N13" s="50">
        <v>0</v>
      </c>
      <c r="O13" s="15">
        <f t="shared" si="0"/>
        <v>106</v>
      </c>
      <c r="P13" s="15">
        <f t="shared" si="1"/>
        <v>344</v>
      </c>
      <c r="R13" s="1" t="s">
        <v>9</v>
      </c>
      <c r="S13" s="17">
        <f t="shared" ref="S13:AF13" si="5">SUM(C22:C25)</f>
        <v>135</v>
      </c>
      <c r="T13" s="17">
        <f t="shared" si="5"/>
        <v>43</v>
      </c>
      <c r="U13" s="17">
        <f t="shared" si="5"/>
        <v>39</v>
      </c>
      <c r="V13" s="17">
        <f t="shared" si="5"/>
        <v>222</v>
      </c>
      <c r="W13" s="17">
        <f t="shared" si="5"/>
        <v>7</v>
      </c>
      <c r="X13" s="17">
        <f t="shared" si="5"/>
        <v>2</v>
      </c>
      <c r="Y13" s="17">
        <f t="shared" si="5"/>
        <v>14</v>
      </c>
      <c r="Z13" s="17">
        <f t="shared" si="5"/>
        <v>3</v>
      </c>
      <c r="AA13" s="17">
        <f t="shared" si="5"/>
        <v>0</v>
      </c>
      <c r="AB13" s="17">
        <f t="shared" si="5"/>
        <v>2</v>
      </c>
      <c r="AC13" s="17">
        <f t="shared" si="5"/>
        <v>685</v>
      </c>
      <c r="AD13" s="17">
        <f t="shared" si="5"/>
        <v>0</v>
      </c>
      <c r="AE13" s="31">
        <f t="shared" si="5"/>
        <v>467</v>
      </c>
      <c r="AF13" s="31">
        <f t="shared" si="5"/>
        <v>1152</v>
      </c>
    </row>
    <row r="14" spans="2:32" ht="23.1" customHeight="1" x14ac:dyDescent="0.25">
      <c r="B14" s="45" t="s">
        <v>41</v>
      </c>
      <c r="C14" s="50">
        <v>37</v>
      </c>
      <c r="D14" s="50">
        <v>9</v>
      </c>
      <c r="E14" s="50">
        <v>9</v>
      </c>
      <c r="F14" s="50">
        <v>51</v>
      </c>
      <c r="G14" s="50">
        <v>0</v>
      </c>
      <c r="H14" s="50">
        <v>0</v>
      </c>
      <c r="I14" s="50">
        <v>6</v>
      </c>
      <c r="J14" s="50">
        <v>0</v>
      </c>
      <c r="K14" s="50">
        <v>0</v>
      </c>
      <c r="L14" s="50">
        <v>0</v>
      </c>
      <c r="M14" s="50">
        <v>259</v>
      </c>
      <c r="N14" s="50">
        <v>0</v>
      </c>
      <c r="O14" s="15">
        <f t="shared" si="0"/>
        <v>112</v>
      </c>
      <c r="P14" s="15">
        <f t="shared" si="1"/>
        <v>371</v>
      </c>
      <c r="R14" s="1" t="s">
        <v>10</v>
      </c>
      <c r="S14" s="17">
        <f t="shared" ref="S14:AF14" si="6">SUM(C26:C29)</f>
        <v>124</v>
      </c>
      <c r="T14" s="17">
        <f t="shared" si="6"/>
        <v>45</v>
      </c>
      <c r="U14" s="17">
        <f t="shared" si="6"/>
        <v>22</v>
      </c>
      <c r="V14" s="17">
        <f t="shared" si="6"/>
        <v>160</v>
      </c>
      <c r="W14" s="17">
        <f t="shared" si="6"/>
        <v>1</v>
      </c>
      <c r="X14" s="17">
        <f t="shared" si="6"/>
        <v>3</v>
      </c>
      <c r="Y14" s="17">
        <f t="shared" si="6"/>
        <v>16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624</v>
      </c>
      <c r="AD14" s="17">
        <f t="shared" si="6"/>
        <v>10</v>
      </c>
      <c r="AE14" s="31">
        <f t="shared" si="6"/>
        <v>388</v>
      </c>
      <c r="AF14" s="31">
        <f t="shared" si="6"/>
        <v>1012</v>
      </c>
    </row>
    <row r="15" spans="2:32" ht="23.1" customHeight="1" x14ac:dyDescent="0.25">
      <c r="B15" s="45" t="s">
        <v>42</v>
      </c>
      <c r="C15" s="50">
        <v>33</v>
      </c>
      <c r="D15" s="50">
        <v>12</v>
      </c>
      <c r="E15" s="50">
        <v>10</v>
      </c>
      <c r="F15" s="50">
        <v>47</v>
      </c>
      <c r="G15" s="50">
        <v>1</v>
      </c>
      <c r="H15" s="50">
        <v>1</v>
      </c>
      <c r="I15" s="50">
        <v>1</v>
      </c>
      <c r="J15" s="50">
        <v>3</v>
      </c>
      <c r="K15" s="50">
        <v>0</v>
      </c>
      <c r="L15" s="50">
        <v>0</v>
      </c>
      <c r="M15" s="50">
        <v>293</v>
      </c>
      <c r="N15" s="50">
        <v>0</v>
      </c>
      <c r="O15" s="15">
        <f t="shared" si="0"/>
        <v>108</v>
      </c>
      <c r="P15" s="15">
        <f t="shared" si="1"/>
        <v>401</v>
      </c>
      <c r="R15" s="1" t="s">
        <v>11</v>
      </c>
      <c r="S15" s="17">
        <f t="shared" ref="S15:AF15" si="7">SUM(C30:C33)</f>
        <v>130</v>
      </c>
      <c r="T15" s="17">
        <f t="shared" si="7"/>
        <v>39</v>
      </c>
      <c r="U15" s="17">
        <f t="shared" si="7"/>
        <v>30</v>
      </c>
      <c r="V15" s="17">
        <f t="shared" si="7"/>
        <v>161</v>
      </c>
      <c r="W15" s="17">
        <f t="shared" si="7"/>
        <v>4</v>
      </c>
      <c r="X15" s="17">
        <f t="shared" si="7"/>
        <v>2</v>
      </c>
      <c r="Y15" s="17">
        <f t="shared" si="7"/>
        <v>15</v>
      </c>
      <c r="Z15" s="17">
        <f t="shared" si="7"/>
        <v>7</v>
      </c>
      <c r="AA15" s="17">
        <f t="shared" si="7"/>
        <v>0</v>
      </c>
      <c r="AB15" s="17">
        <f t="shared" si="7"/>
        <v>3</v>
      </c>
      <c r="AC15" s="17">
        <f t="shared" si="7"/>
        <v>749</v>
      </c>
      <c r="AD15" s="17">
        <f t="shared" si="7"/>
        <v>0</v>
      </c>
      <c r="AE15" s="31">
        <f t="shared" si="7"/>
        <v>391</v>
      </c>
      <c r="AF15" s="31">
        <f t="shared" si="7"/>
        <v>1140</v>
      </c>
    </row>
    <row r="16" spans="2:32" ht="23.1" customHeight="1" x14ac:dyDescent="0.25">
      <c r="B16" s="45" t="s">
        <v>43</v>
      </c>
      <c r="C16" s="50">
        <v>31</v>
      </c>
      <c r="D16" s="50">
        <v>7</v>
      </c>
      <c r="E16" s="50">
        <v>12</v>
      </c>
      <c r="F16" s="50">
        <v>42</v>
      </c>
      <c r="G16" s="50">
        <v>2</v>
      </c>
      <c r="H16" s="50">
        <v>2</v>
      </c>
      <c r="I16" s="50">
        <v>3</v>
      </c>
      <c r="J16" s="50">
        <v>1</v>
      </c>
      <c r="K16" s="50">
        <v>0</v>
      </c>
      <c r="L16" s="50">
        <v>0</v>
      </c>
      <c r="M16" s="50">
        <v>335</v>
      </c>
      <c r="N16" s="50">
        <v>0</v>
      </c>
      <c r="O16" s="15">
        <f t="shared" si="0"/>
        <v>100</v>
      </c>
      <c r="P16" s="15">
        <f t="shared" si="1"/>
        <v>435</v>
      </c>
      <c r="R16" s="1" t="s">
        <v>12</v>
      </c>
      <c r="S16" s="17">
        <f t="shared" ref="S16:AF16" si="8">SUM(C34:C37)</f>
        <v>131</v>
      </c>
      <c r="T16" s="17">
        <f t="shared" si="8"/>
        <v>34</v>
      </c>
      <c r="U16" s="17">
        <f t="shared" si="8"/>
        <v>34</v>
      </c>
      <c r="V16" s="17">
        <f t="shared" si="8"/>
        <v>160</v>
      </c>
      <c r="W16" s="17">
        <f t="shared" si="8"/>
        <v>2</v>
      </c>
      <c r="X16" s="17">
        <f t="shared" si="8"/>
        <v>3</v>
      </c>
      <c r="Y16" s="17">
        <f t="shared" si="8"/>
        <v>18</v>
      </c>
      <c r="Z16" s="17">
        <f t="shared" si="8"/>
        <v>3</v>
      </c>
      <c r="AA16" s="17">
        <f t="shared" si="8"/>
        <v>3</v>
      </c>
      <c r="AB16" s="17">
        <f t="shared" si="8"/>
        <v>1</v>
      </c>
      <c r="AC16" s="17">
        <f t="shared" si="8"/>
        <v>547</v>
      </c>
      <c r="AD16" s="17">
        <f t="shared" si="8"/>
        <v>0</v>
      </c>
      <c r="AE16" s="31">
        <f t="shared" si="8"/>
        <v>389</v>
      </c>
      <c r="AF16" s="31">
        <f t="shared" si="8"/>
        <v>936</v>
      </c>
    </row>
    <row r="17" spans="2:32" ht="23.1" customHeight="1" x14ac:dyDescent="0.25">
      <c r="B17" s="45" t="s">
        <v>44</v>
      </c>
      <c r="C17" s="50">
        <v>33</v>
      </c>
      <c r="D17" s="50">
        <v>11</v>
      </c>
      <c r="E17" s="50">
        <v>3</v>
      </c>
      <c r="F17" s="50">
        <v>53</v>
      </c>
      <c r="G17" s="50">
        <v>1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338</v>
      </c>
      <c r="N17" s="50">
        <v>0</v>
      </c>
      <c r="O17" s="15">
        <f t="shared" si="0"/>
        <v>105</v>
      </c>
      <c r="P17" s="15">
        <f t="shared" si="1"/>
        <v>443</v>
      </c>
      <c r="R17" s="1" t="s">
        <v>13</v>
      </c>
      <c r="S17" s="17">
        <f t="shared" ref="S17:AF17" si="9">SUM(C38:C41)</f>
        <v>105</v>
      </c>
      <c r="T17" s="17">
        <f t="shared" si="9"/>
        <v>27</v>
      </c>
      <c r="U17" s="17">
        <f t="shared" si="9"/>
        <v>20</v>
      </c>
      <c r="V17" s="17">
        <f t="shared" si="9"/>
        <v>150</v>
      </c>
      <c r="W17" s="17">
        <f t="shared" si="9"/>
        <v>3</v>
      </c>
      <c r="X17" s="17">
        <f t="shared" si="9"/>
        <v>2</v>
      </c>
      <c r="Y17" s="17">
        <f t="shared" si="9"/>
        <v>12</v>
      </c>
      <c r="Z17" s="17">
        <f t="shared" si="9"/>
        <v>6</v>
      </c>
      <c r="AA17" s="17">
        <f t="shared" si="9"/>
        <v>1</v>
      </c>
      <c r="AB17" s="17">
        <f t="shared" si="9"/>
        <v>0</v>
      </c>
      <c r="AC17" s="17">
        <f t="shared" si="9"/>
        <v>479</v>
      </c>
      <c r="AD17" s="17">
        <f t="shared" si="9"/>
        <v>0</v>
      </c>
      <c r="AE17" s="31">
        <f t="shared" si="9"/>
        <v>326</v>
      </c>
      <c r="AF17" s="31">
        <f t="shared" si="9"/>
        <v>805</v>
      </c>
    </row>
    <row r="18" spans="2:32" ht="23.1" customHeight="1" x14ac:dyDescent="0.25">
      <c r="B18" s="45" t="s">
        <v>45</v>
      </c>
      <c r="C18" s="50">
        <v>31</v>
      </c>
      <c r="D18" s="50">
        <v>13</v>
      </c>
      <c r="E18" s="50">
        <v>4</v>
      </c>
      <c r="F18" s="50">
        <v>57</v>
      </c>
      <c r="G18" s="50">
        <v>1</v>
      </c>
      <c r="H18" s="50">
        <v>0</v>
      </c>
      <c r="I18" s="50">
        <v>5</v>
      </c>
      <c r="J18" s="50">
        <v>0</v>
      </c>
      <c r="K18" s="50">
        <v>0</v>
      </c>
      <c r="L18" s="50">
        <v>0</v>
      </c>
      <c r="M18" s="50">
        <v>402</v>
      </c>
      <c r="N18" s="50">
        <v>0</v>
      </c>
      <c r="O18" s="15">
        <f t="shared" si="0"/>
        <v>111</v>
      </c>
      <c r="P18" s="15">
        <f t="shared" si="1"/>
        <v>513</v>
      </c>
      <c r="R18" s="1" t="s">
        <v>14</v>
      </c>
      <c r="S18" s="17">
        <f t="shared" ref="S18:AF18" si="10">SUM(C42:C45)</f>
        <v>79</v>
      </c>
      <c r="T18" s="17">
        <f t="shared" si="10"/>
        <v>33</v>
      </c>
      <c r="U18" s="17">
        <f t="shared" si="10"/>
        <v>38</v>
      </c>
      <c r="V18" s="17">
        <f t="shared" si="10"/>
        <v>101</v>
      </c>
      <c r="W18" s="17">
        <f t="shared" si="10"/>
        <v>2</v>
      </c>
      <c r="X18" s="17">
        <f t="shared" si="10"/>
        <v>3</v>
      </c>
      <c r="Y18" s="17">
        <f t="shared" si="10"/>
        <v>13</v>
      </c>
      <c r="Z18" s="17">
        <f t="shared" si="10"/>
        <v>9</v>
      </c>
      <c r="AA18" s="17">
        <f t="shared" si="10"/>
        <v>0</v>
      </c>
      <c r="AB18" s="17">
        <f t="shared" si="10"/>
        <v>0</v>
      </c>
      <c r="AC18" s="17">
        <f t="shared" si="10"/>
        <v>387</v>
      </c>
      <c r="AD18" s="17">
        <f t="shared" si="10"/>
        <v>0</v>
      </c>
      <c r="AE18" s="31">
        <f t="shared" si="10"/>
        <v>278</v>
      </c>
      <c r="AF18" s="31">
        <f t="shared" si="10"/>
        <v>665</v>
      </c>
    </row>
    <row r="19" spans="2:32" ht="23.1" customHeight="1" x14ac:dyDescent="0.25">
      <c r="B19" s="45" t="s">
        <v>46</v>
      </c>
      <c r="C19" s="50">
        <v>34</v>
      </c>
      <c r="D19" s="50">
        <v>15</v>
      </c>
      <c r="E19" s="50">
        <v>13</v>
      </c>
      <c r="F19" s="50">
        <v>73</v>
      </c>
      <c r="G19" s="50">
        <v>1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405</v>
      </c>
      <c r="N19" s="50">
        <v>0</v>
      </c>
      <c r="O19" s="15">
        <f t="shared" si="0"/>
        <v>142</v>
      </c>
      <c r="P19" s="15">
        <f t="shared" si="1"/>
        <v>547</v>
      </c>
      <c r="R19" s="1" t="s">
        <v>15</v>
      </c>
      <c r="S19" s="17">
        <f t="shared" ref="S19:AF19" si="11">SUM(C46:C49)</f>
        <v>120</v>
      </c>
      <c r="T19" s="17">
        <f t="shared" si="11"/>
        <v>38</v>
      </c>
      <c r="U19" s="17">
        <f t="shared" si="11"/>
        <v>25</v>
      </c>
      <c r="V19" s="17">
        <f t="shared" si="11"/>
        <v>126</v>
      </c>
      <c r="W19" s="17">
        <f t="shared" si="11"/>
        <v>1</v>
      </c>
      <c r="X19" s="17">
        <f t="shared" si="11"/>
        <v>9</v>
      </c>
      <c r="Y19" s="17">
        <f t="shared" si="11"/>
        <v>14</v>
      </c>
      <c r="Z19" s="17">
        <f t="shared" si="11"/>
        <v>7</v>
      </c>
      <c r="AA19" s="17">
        <f t="shared" si="11"/>
        <v>1</v>
      </c>
      <c r="AB19" s="17">
        <f t="shared" si="11"/>
        <v>0</v>
      </c>
      <c r="AC19" s="17">
        <f t="shared" si="11"/>
        <v>366</v>
      </c>
      <c r="AD19" s="17">
        <f t="shared" si="11"/>
        <v>0</v>
      </c>
      <c r="AE19" s="31">
        <f t="shared" si="11"/>
        <v>341</v>
      </c>
      <c r="AF19" s="31">
        <f t="shared" si="11"/>
        <v>707</v>
      </c>
    </row>
    <row r="20" spans="2:32" ht="23.1" customHeight="1" x14ac:dyDescent="0.25">
      <c r="B20" s="45" t="s">
        <v>47</v>
      </c>
      <c r="C20" s="50">
        <v>36</v>
      </c>
      <c r="D20" s="50">
        <v>13</v>
      </c>
      <c r="E20" s="50">
        <v>11</v>
      </c>
      <c r="F20" s="50">
        <v>63</v>
      </c>
      <c r="G20" s="50">
        <v>1</v>
      </c>
      <c r="H20" s="50">
        <v>2</v>
      </c>
      <c r="I20" s="50">
        <v>1</v>
      </c>
      <c r="J20" s="50">
        <v>1</v>
      </c>
      <c r="K20" s="50">
        <v>0</v>
      </c>
      <c r="L20" s="50">
        <v>1</v>
      </c>
      <c r="M20" s="50">
        <v>328</v>
      </c>
      <c r="N20" s="50">
        <v>0</v>
      </c>
      <c r="O20" s="15">
        <f t="shared" si="0"/>
        <v>129</v>
      </c>
      <c r="P20" s="15">
        <f t="shared" si="1"/>
        <v>457</v>
      </c>
      <c r="R20" s="1" t="s">
        <v>16</v>
      </c>
      <c r="S20" s="17">
        <f t="shared" ref="S20:AF20" si="12">SUM(C50:C53)</f>
        <v>99</v>
      </c>
      <c r="T20" s="17">
        <f t="shared" si="12"/>
        <v>31</v>
      </c>
      <c r="U20" s="17">
        <f t="shared" si="12"/>
        <v>21</v>
      </c>
      <c r="V20" s="17">
        <f t="shared" si="12"/>
        <v>146</v>
      </c>
      <c r="W20" s="17">
        <f t="shared" si="12"/>
        <v>3</v>
      </c>
      <c r="X20" s="17">
        <f t="shared" si="12"/>
        <v>9</v>
      </c>
      <c r="Y20" s="17">
        <f t="shared" si="12"/>
        <v>15</v>
      </c>
      <c r="Z20" s="17">
        <f t="shared" si="12"/>
        <v>13</v>
      </c>
      <c r="AA20" s="17">
        <f t="shared" si="12"/>
        <v>0</v>
      </c>
      <c r="AB20" s="17">
        <f t="shared" si="12"/>
        <v>0</v>
      </c>
      <c r="AC20" s="17">
        <f t="shared" si="12"/>
        <v>417</v>
      </c>
      <c r="AD20" s="17">
        <f t="shared" si="12"/>
        <v>0</v>
      </c>
      <c r="AE20" s="31">
        <f t="shared" si="12"/>
        <v>337</v>
      </c>
      <c r="AF20" s="31">
        <f t="shared" si="12"/>
        <v>754</v>
      </c>
    </row>
    <row r="21" spans="2:32" ht="23.1" customHeight="1" x14ac:dyDescent="0.25">
      <c r="B21" s="45" t="s">
        <v>48</v>
      </c>
      <c r="C21" s="50">
        <v>29</v>
      </c>
      <c r="D21" s="50">
        <v>12</v>
      </c>
      <c r="E21" s="50">
        <v>12</v>
      </c>
      <c r="F21" s="50">
        <v>58</v>
      </c>
      <c r="G21" s="50">
        <v>0</v>
      </c>
      <c r="H21" s="50">
        <v>1</v>
      </c>
      <c r="I21" s="50">
        <v>0</v>
      </c>
      <c r="J21" s="50">
        <v>2</v>
      </c>
      <c r="K21" s="50">
        <v>0</v>
      </c>
      <c r="L21" s="50">
        <v>0</v>
      </c>
      <c r="M21" s="50">
        <v>323</v>
      </c>
      <c r="N21" s="50">
        <v>0</v>
      </c>
      <c r="O21" s="15">
        <f t="shared" si="0"/>
        <v>114</v>
      </c>
      <c r="P21" s="15">
        <f t="shared" si="1"/>
        <v>437</v>
      </c>
      <c r="R21" s="36" t="s">
        <v>20</v>
      </c>
      <c r="S21" s="34">
        <f t="shared" ref="S21:AF21" si="13">SUM(C54:C57)</f>
        <v>110</v>
      </c>
      <c r="T21" s="17">
        <f t="shared" si="13"/>
        <v>45</v>
      </c>
      <c r="U21" s="17">
        <f t="shared" si="13"/>
        <v>21</v>
      </c>
      <c r="V21" s="17">
        <f t="shared" si="13"/>
        <v>151</v>
      </c>
      <c r="W21" s="17">
        <f t="shared" si="13"/>
        <v>3</v>
      </c>
      <c r="X21" s="17">
        <f t="shared" si="13"/>
        <v>6</v>
      </c>
      <c r="Y21" s="17">
        <f t="shared" si="13"/>
        <v>8</v>
      </c>
      <c r="Z21" s="17">
        <f t="shared" si="13"/>
        <v>9</v>
      </c>
      <c r="AA21" s="17">
        <f t="shared" si="13"/>
        <v>0</v>
      </c>
      <c r="AB21" s="17">
        <f t="shared" si="13"/>
        <v>1</v>
      </c>
      <c r="AC21" s="17">
        <f t="shared" si="13"/>
        <v>514</v>
      </c>
      <c r="AD21" s="17">
        <f t="shared" si="13"/>
        <v>0</v>
      </c>
      <c r="AE21" s="31">
        <f t="shared" si="13"/>
        <v>354</v>
      </c>
      <c r="AF21" s="31">
        <f t="shared" si="13"/>
        <v>868</v>
      </c>
    </row>
    <row r="22" spans="2:32" ht="23.1" customHeight="1" x14ac:dyDescent="0.25">
      <c r="B22" s="45" t="s">
        <v>49</v>
      </c>
      <c r="C22" s="50">
        <v>39</v>
      </c>
      <c r="D22" s="50">
        <v>16</v>
      </c>
      <c r="E22" s="50">
        <v>12</v>
      </c>
      <c r="F22" s="50">
        <v>72</v>
      </c>
      <c r="G22" s="50">
        <v>1</v>
      </c>
      <c r="H22" s="50">
        <v>1</v>
      </c>
      <c r="I22" s="50">
        <v>2</v>
      </c>
      <c r="J22" s="50">
        <v>1</v>
      </c>
      <c r="K22" s="50">
        <v>0</v>
      </c>
      <c r="L22" s="50">
        <v>0</v>
      </c>
      <c r="M22" s="50">
        <v>212</v>
      </c>
      <c r="N22" s="50">
        <v>0</v>
      </c>
      <c r="O22" s="15">
        <f t="shared" si="0"/>
        <v>144</v>
      </c>
      <c r="P22" s="15">
        <f t="shared" si="1"/>
        <v>356</v>
      </c>
      <c r="R22" s="36" t="s">
        <v>146</v>
      </c>
      <c r="S22" s="34">
        <f>SUM(C58:C61)</f>
        <v>275</v>
      </c>
      <c r="T22" s="34">
        <f t="shared" ref="T22:AF22" si="14">SUM(D58:D61)</f>
        <v>28</v>
      </c>
      <c r="U22" s="34">
        <f t="shared" si="14"/>
        <v>49</v>
      </c>
      <c r="V22" s="34">
        <f t="shared" si="14"/>
        <v>267</v>
      </c>
      <c r="W22" s="34">
        <f t="shared" si="14"/>
        <v>6</v>
      </c>
      <c r="X22" s="34">
        <f t="shared" si="14"/>
        <v>6</v>
      </c>
      <c r="Y22" s="34">
        <f t="shared" si="14"/>
        <v>12</v>
      </c>
      <c r="Z22" s="34">
        <f t="shared" si="14"/>
        <v>7</v>
      </c>
      <c r="AA22" s="34">
        <f t="shared" si="14"/>
        <v>0</v>
      </c>
      <c r="AB22" s="34">
        <f t="shared" si="14"/>
        <v>0</v>
      </c>
      <c r="AC22" s="34">
        <f t="shared" si="14"/>
        <v>615</v>
      </c>
      <c r="AD22" s="34">
        <f t="shared" si="14"/>
        <v>0</v>
      </c>
      <c r="AE22" s="31">
        <f t="shared" si="14"/>
        <v>650</v>
      </c>
      <c r="AF22" s="31">
        <f t="shared" si="14"/>
        <v>1265</v>
      </c>
    </row>
    <row r="23" spans="2:32" ht="23.1" customHeight="1" x14ac:dyDescent="0.25">
      <c r="B23" s="45" t="s">
        <v>50</v>
      </c>
      <c r="C23" s="50">
        <v>28</v>
      </c>
      <c r="D23" s="50">
        <v>11</v>
      </c>
      <c r="E23" s="50">
        <v>5</v>
      </c>
      <c r="F23" s="50">
        <v>49</v>
      </c>
      <c r="G23" s="50">
        <v>2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142</v>
      </c>
      <c r="N23" s="50">
        <v>0</v>
      </c>
      <c r="O23" s="15">
        <f t="shared" si="0"/>
        <v>102</v>
      </c>
      <c r="P23" s="15">
        <f t="shared" si="1"/>
        <v>244</v>
      </c>
      <c r="R23" s="36" t="s">
        <v>147</v>
      </c>
      <c r="S23" s="34">
        <f>SUM(C62:C65)</f>
        <v>380</v>
      </c>
      <c r="T23" s="34">
        <f t="shared" ref="T23:AF23" si="15">SUM(D62:D65)</f>
        <v>21</v>
      </c>
      <c r="U23" s="34">
        <f t="shared" si="15"/>
        <v>21</v>
      </c>
      <c r="V23" s="34">
        <f t="shared" si="15"/>
        <v>310</v>
      </c>
      <c r="W23" s="34">
        <f t="shared" si="15"/>
        <v>8</v>
      </c>
      <c r="X23" s="34">
        <f t="shared" si="15"/>
        <v>7</v>
      </c>
      <c r="Y23" s="34">
        <f t="shared" si="15"/>
        <v>10</v>
      </c>
      <c r="Z23" s="34">
        <f t="shared" si="15"/>
        <v>7</v>
      </c>
      <c r="AA23" s="34">
        <f t="shared" si="15"/>
        <v>0</v>
      </c>
      <c r="AB23" s="34">
        <f t="shared" si="15"/>
        <v>0</v>
      </c>
      <c r="AC23" s="34">
        <f t="shared" si="15"/>
        <v>770</v>
      </c>
      <c r="AD23" s="34">
        <f t="shared" si="15"/>
        <v>0</v>
      </c>
      <c r="AE23" s="31">
        <f t="shared" si="15"/>
        <v>764</v>
      </c>
      <c r="AF23" s="31">
        <f t="shared" si="15"/>
        <v>1534</v>
      </c>
    </row>
    <row r="24" spans="2:32" ht="23.1" customHeight="1" x14ac:dyDescent="0.25">
      <c r="B24" s="45" t="s">
        <v>51</v>
      </c>
      <c r="C24" s="50">
        <v>36</v>
      </c>
      <c r="D24" s="50">
        <v>9</v>
      </c>
      <c r="E24" s="50">
        <v>10</v>
      </c>
      <c r="F24" s="50">
        <v>51</v>
      </c>
      <c r="G24" s="50">
        <v>2</v>
      </c>
      <c r="H24" s="50">
        <v>1</v>
      </c>
      <c r="I24" s="50">
        <v>2</v>
      </c>
      <c r="J24" s="50">
        <v>0</v>
      </c>
      <c r="K24" s="50">
        <v>0</v>
      </c>
      <c r="L24" s="50">
        <v>0</v>
      </c>
      <c r="M24" s="50">
        <v>178</v>
      </c>
      <c r="N24" s="50">
        <v>0</v>
      </c>
      <c r="O24" s="15">
        <f t="shared" si="0"/>
        <v>111</v>
      </c>
      <c r="P24" s="15">
        <f t="shared" si="1"/>
        <v>289</v>
      </c>
      <c r="R24" s="36" t="s">
        <v>148</v>
      </c>
      <c r="S24" s="34">
        <f>SUM(C66:C69)</f>
        <v>218</v>
      </c>
      <c r="T24" s="34">
        <f t="shared" ref="T24:AF24" si="16">SUM(D66:D69)</f>
        <v>14</v>
      </c>
      <c r="U24" s="34">
        <f t="shared" si="16"/>
        <v>9</v>
      </c>
      <c r="V24" s="34">
        <f t="shared" si="16"/>
        <v>132</v>
      </c>
      <c r="W24" s="34">
        <f t="shared" si="16"/>
        <v>3</v>
      </c>
      <c r="X24" s="34">
        <f t="shared" si="16"/>
        <v>5</v>
      </c>
      <c r="Y24" s="34">
        <f t="shared" si="16"/>
        <v>15</v>
      </c>
      <c r="Z24" s="34">
        <f t="shared" si="16"/>
        <v>16</v>
      </c>
      <c r="AA24" s="34">
        <f t="shared" si="16"/>
        <v>0</v>
      </c>
      <c r="AB24" s="34">
        <f t="shared" si="16"/>
        <v>6</v>
      </c>
      <c r="AC24" s="34">
        <f t="shared" si="16"/>
        <v>615</v>
      </c>
      <c r="AD24" s="34">
        <f t="shared" si="16"/>
        <v>0</v>
      </c>
      <c r="AE24" s="31">
        <f t="shared" si="16"/>
        <v>418</v>
      </c>
      <c r="AF24" s="31">
        <f t="shared" si="16"/>
        <v>1033</v>
      </c>
    </row>
    <row r="25" spans="2:32" ht="23.1" customHeight="1" x14ac:dyDescent="0.25">
      <c r="B25" s="45" t="s">
        <v>52</v>
      </c>
      <c r="C25" s="50">
        <v>32</v>
      </c>
      <c r="D25" s="50">
        <v>7</v>
      </c>
      <c r="E25" s="50">
        <v>12</v>
      </c>
      <c r="F25" s="50">
        <v>50</v>
      </c>
      <c r="G25" s="50">
        <v>2</v>
      </c>
      <c r="H25" s="50">
        <v>0</v>
      </c>
      <c r="I25" s="50">
        <v>4</v>
      </c>
      <c r="J25" s="50">
        <v>1</v>
      </c>
      <c r="K25" s="50">
        <v>0</v>
      </c>
      <c r="L25" s="50">
        <v>2</v>
      </c>
      <c r="M25" s="50">
        <v>153</v>
      </c>
      <c r="N25" s="50">
        <v>0</v>
      </c>
      <c r="O25" s="15">
        <f t="shared" si="0"/>
        <v>110</v>
      </c>
      <c r="P25" s="15">
        <f t="shared" si="1"/>
        <v>263</v>
      </c>
      <c r="R25" s="36" t="s">
        <v>149</v>
      </c>
      <c r="S25" s="34">
        <f>SUM(C70:C73)</f>
        <v>175</v>
      </c>
      <c r="T25" s="34">
        <f t="shared" ref="T25:AF25" si="17">SUM(D70:D73)</f>
        <v>53</v>
      </c>
      <c r="U25" s="34">
        <f t="shared" si="17"/>
        <v>53</v>
      </c>
      <c r="V25" s="34">
        <f t="shared" si="17"/>
        <v>152</v>
      </c>
      <c r="W25" s="34">
        <f t="shared" si="17"/>
        <v>5</v>
      </c>
      <c r="X25" s="34">
        <f t="shared" si="17"/>
        <v>10</v>
      </c>
      <c r="Y25" s="34">
        <f t="shared" si="17"/>
        <v>6</v>
      </c>
      <c r="Z25" s="34">
        <f t="shared" si="17"/>
        <v>1</v>
      </c>
      <c r="AA25" s="34">
        <f t="shared" si="17"/>
        <v>0</v>
      </c>
      <c r="AB25" s="34">
        <f t="shared" si="17"/>
        <v>2</v>
      </c>
      <c r="AC25" s="34">
        <f t="shared" si="17"/>
        <v>465</v>
      </c>
      <c r="AD25" s="34">
        <f t="shared" si="17"/>
        <v>0</v>
      </c>
      <c r="AE25" s="31">
        <f t="shared" si="17"/>
        <v>457</v>
      </c>
      <c r="AF25" s="31">
        <f t="shared" si="17"/>
        <v>922</v>
      </c>
    </row>
    <row r="26" spans="2:32" ht="23.1" customHeight="1" x14ac:dyDescent="0.25">
      <c r="B26" s="45" t="s">
        <v>53</v>
      </c>
      <c r="C26" s="50">
        <v>27</v>
      </c>
      <c r="D26" s="50">
        <v>11</v>
      </c>
      <c r="E26" s="50">
        <v>6</v>
      </c>
      <c r="F26" s="50">
        <v>36</v>
      </c>
      <c r="G26" s="50">
        <v>1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153</v>
      </c>
      <c r="N26" s="50">
        <v>10</v>
      </c>
      <c r="O26" s="15">
        <f t="shared" si="0"/>
        <v>95</v>
      </c>
      <c r="P26" s="15">
        <f t="shared" si="1"/>
        <v>248</v>
      </c>
      <c r="R26" s="36" t="s">
        <v>150</v>
      </c>
      <c r="S26" s="34">
        <f>SUM(C74:C77)</f>
        <v>175</v>
      </c>
      <c r="T26" s="34">
        <f t="shared" ref="T26:AF26" si="18">SUM(D74:D77)</f>
        <v>105</v>
      </c>
      <c r="U26" s="34">
        <f t="shared" si="18"/>
        <v>3</v>
      </c>
      <c r="V26" s="34">
        <f t="shared" si="18"/>
        <v>80</v>
      </c>
      <c r="W26" s="34">
        <f t="shared" si="18"/>
        <v>0</v>
      </c>
      <c r="X26" s="34">
        <f t="shared" si="18"/>
        <v>2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345</v>
      </c>
      <c r="AD26" s="34">
        <f t="shared" si="18"/>
        <v>0</v>
      </c>
      <c r="AE26" s="31">
        <f t="shared" si="18"/>
        <v>368</v>
      </c>
      <c r="AF26" s="31">
        <f t="shared" si="18"/>
        <v>713</v>
      </c>
    </row>
    <row r="27" spans="2:32" ht="23.1" customHeight="1" x14ac:dyDescent="0.25">
      <c r="B27" s="45" t="s">
        <v>54</v>
      </c>
      <c r="C27" s="50">
        <v>34</v>
      </c>
      <c r="D27" s="50">
        <v>8</v>
      </c>
      <c r="E27" s="50">
        <v>3</v>
      </c>
      <c r="F27" s="50">
        <v>41</v>
      </c>
      <c r="G27" s="50">
        <v>0</v>
      </c>
      <c r="H27" s="50">
        <v>1</v>
      </c>
      <c r="I27" s="50">
        <v>2</v>
      </c>
      <c r="J27" s="50">
        <v>4</v>
      </c>
      <c r="K27" s="50">
        <v>0</v>
      </c>
      <c r="L27" s="50">
        <v>0</v>
      </c>
      <c r="M27" s="50">
        <v>136</v>
      </c>
      <c r="N27" s="50">
        <v>0</v>
      </c>
      <c r="O27" s="15">
        <f t="shared" si="0"/>
        <v>93</v>
      </c>
      <c r="P27" s="15">
        <f t="shared" si="1"/>
        <v>229</v>
      </c>
      <c r="R27" s="36" t="s">
        <v>151</v>
      </c>
      <c r="S27" s="34">
        <f>SUM(C78:C81)</f>
        <v>94</v>
      </c>
      <c r="T27" s="34">
        <f t="shared" ref="T27:AF27" si="19">SUM(D78:D81)</f>
        <v>9</v>
      </c>
      <c r="U27" s="34">
        <f t="shared" si="19"/>
        <v>12</v>
      </c>
      <c r="V27" s="34">
        <f t="shared" si="19"/>
        <v>33</v>
      </c>
      <c r="W27" s="34">
        <f t="shared" si="19"/>
        <v>1</v>
      </c>
      <c r="X27" s="34">
        <f t="shared" si="19"/>
        <v>5</v>
      </c>
      <c r="Y27" s="34">
        <f t="shared" si="19"/>
        <v>2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180</v>
      </c>
      <c r="AD27" s="34">
        <f t="shared" si="19"/>
        <v>0</v>
      </c>
      <c r="AE27" s="31">
        <f t="shared" si="19"/>
        <v>159</v>
      </c>
      <c r="AF27" s="31">
        <f t="shared" si="19"/>
        <v>339</v>
      </c>
    </row>
    <row r="28" spans="2:32" ht="23.1" customHeight="1" x14ac:dyDescent="0.25">
      <c r="B28" s="45" t="s">
        <v>55</v>
      </c>
      <c r="C28" s="50">
        <v>27</v>
      </c>
      <c r="D28" s="50">
        <v>10</v>
      </c>
      <c r="E28" s="50">
        <v>9</v>
      </c>
      <c r="F28" s="50">
        <v>39</v>
      </c>
      <c r="G28" s="50">
        <v>0</v>
      </c>
      <c r="H28" s="50">
        <v>1</v>
      </c>
      <c r="I28" s="50">
        <v>6</v>
      </c>
      <c r="J28" s="50">
        <v>1</v>
      </c>
      <c r="K28" s="50">
        <v>0</v>
      </c>
      <c r="L28" s="50">
        <v>0</v>
      </c>
      <c r="M28" s="50">
        <v>182</v>
      </c>
      <c r="N28" s="50">
        <v>0</v>
      </c>
      <c r="O28" s="15">
        <f t="shared" si="0"/>
        <v>93</v>
      </c>
      <c r="P28" s="15">
        <f t="shared" si="1"/>
        <v>275</v>
      </c>
      <c r="R28" s="36" t="s">
        <v>152</v>
      </c>
      <c r="S28" s="34">
        <f>SUM(C82:C85)</f>
        <v>35</v>
      </c>
      <c r="T28" s="34">
        <f t="shared" ref="T28:AF28" si="20">SUM(D82:D85)</f>
        <v>3</v>
      </c>
      <c r="U28" s="34">
        <f t="shared" si="20"/>
        <v>4</v>
      </c>
      <c r="V28" s="34">
        <f t="shared" si="20"/>
        <v>11</v>
      </c>
      <c r="W28" s="34">
        <f t="shared" si="20"/>
        <v>1</v>
      </c>
      <c r="X28" s="34">
        <f t="shared" si="20"/>
        <v>3</v>
      </c>
      <c r="Y28" s="34">
        <f t="shared" si="20"/>
        <v>0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82</v>
      </c>
      <c r="AD28" s="34">
        <f t="shared" si="20"/>
        <v>0</v>
      </c>
      <c r="AE28" s="31">
        <f t="shared" si="20"/>
        <v>60</v>
      </c>
      <c r="AF28" s="31">
        <f t="shared" si="20"/>
        <v>142</v>
      </c>
    </row>
    <row r="29" spans="2:32" ht="23.1" customHeight="1" x14ac:dyDescent="0.25">
      <c r="B29" s="45" t="s">
        <v>56</v>
      </c>
      <c r="C29" s="50">
        <v>36</v>
      </c>
      <c r="D29" s="50">
        <v>16</v>
      </c>
      <c r="E29" s="50">
        <v>4</v>
      </c>
      <c r="F29" s="50">
        <v>44</v>
      </c>
      <c r="G29" s="50">
        <v>0</v>
      </c>
      <c r="H29" s="50">
        <v>1</v>
      </c>
      <c r="I29" s="50">
        <v>4</v>
      </c>
      <c r="J29" s="50">
        <v>2</v>
      </c>
      <c r="K29" s="50">
        <v>0</v>
      </c>
      <c r="L29" s="50">
        <v>0</v>
      </c>
      <c r="M29" s="50">
        <v>153</v>
      </c>
      <c r="N29" s="50">
        <v>0</v>
      </c>
      <c r="O29" s="15">
        <f t="shared" si="0"/>
        <v>107</v>
      </c>
      <c r="P29" s="15">
        <f t="shared" si="1"/>
        <v>260</v>
      </c>
      <c r="R29" s="36" t="s">
        <v>153</v>
      </c>
      <c r="S29" s="34">
        <f>SUM(C86:C89)</f>
        <v>31</v>
      </c>
      <c r="T29" s="34">
        <f t="shared" ref="T29:AF29" si="21">SUM(D86:D89)</f>
        <v>4</v>
      </c>
      <c r="U29" s="34">
        <f t="shared" si="21"/>
        <v>2</v>
      </c>
      <c r="V29" s="34">
        <f t="shared" si="21"/>
        <v>3</v>
      </c>
      <c r="W29" s="34">
        <f t="shared" si="21"/>
        <v>0</v>
      </c>
      <c r="X29" s="34">
        <f t="shared" si="21"/>
        <v>4</v>
      </c>
      <c r="Y29" s="34">
        <f t="shared" si="21"/>
        <v>2</v>
      </c>
      <c r="Z29" s="34">
        <f t="shared" si="21"/>
        <v>2</v>
      </c>
      <c r="AA29" s="34">
        <f t="shared" si="21"/>
        <v>1</v>
      </c>
      <c r="AB29" s="34">
        <f t="shared" si="21"/>
        <v>0</v>
      </c>
      <c r="AC29" s="34">
        <f t="shared" si="21"/>
        <v>37</v>
      </c>
      <c r="AD29" s="34">
        <f t="shared" si="21"/>
        <v>0</v>
      </c>
      <c r="AE29" s="31">
        <f t="shared" si="21"/>
        <v>49</v>
      </c>
      <c r="AF29" s="31">
        <f t="shared" si="21"/>
        <v>86</v>
      </c>
    </row>
    <row r="30" spans="2:32" ht="23.1" customHeight="1" x14ac:dyDescent="0.25">
      <c r="B30" s="45" t="s">
        <v>57</v>
      </c>
      <c r="C30" s="50">
        <v>35</v>
      </c>
      <c r="D30" s="50">
        <v>14</v>
      </c>
      <c r="E30" s="50">
        <v>11</v>
      </c>
      <c r="F30" s="50">
        <v>41</v>
      </c>
      <c r="G30" s="50">
        <v>2</v>
      </c>
      <c r="H30" s="50">
        <v>0</v>
      </c>
      <c r="I30" s="50">
        <v>7</v>
      </c>
      <c r="J30" s="50">
        <v>4</v>
      </c>
      <c r="K30" s="50">
        <v>0</v>
      </c>
      <c r="L30" s="50">
        <v>1</v>
      </c>
      <c r="M30" s="50">
        <v>159</v>
      </c>
      <c r="N30" s="50">
        <v>0</v>
      </c>
      <c r="O30" s="15">
        <f t="shared" si="0"/>
        <v>115</v>
      </c>
      <c r="P30" s="15">
        <f t="shared" si="1"/>
        <v>274</v>
      </c>
      <c r="R30" s="36" t="s">
        <v>154</v>
      </c>
      <c r="S30" s="34">
        <f>SUM(C90:C93)</f>
        <v>19</v>
      </c>
      <c r="T30" s="34">
        <f t="shared" ref="T30:AF30" si="22">SUM(D90:D93)</f>
        <v>5</v>
      </c>
      <c r="U30" s="34">
        <f t="shared" si="22"/>
        <v>1</v>
      </c>
      <c r="V30" s="34">
        <f t="shared" si="22"/>
        <v>5</v>
      </c>
      <c r="W30" s="34">
        <f t="shared" si="22"/>
        <v>0</v>
      </c>
      <c r="X30" s="34">
        <f t="shared" si="22"/>
        <v>4</v>
      </c>
      <c r="Y30" s="34">
        <f t="shared" si="22"/>
        <v>2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47</v>
      </c>
      <c r="AD30" s="34">
        <f t="shared" si="22"/>
        <v>0</v>
      </c>
      <c r="AE30" s="31">
        <f t="shared" si="22"/>
        <v>37</v>
      </c>
      <c r="AF30" s="31">
        <f t="shared" si="22"/>
        <v>84</v>
      </c>
    </row>
    <row r="31" spans="2:32" ht="23.1" customHeight="1" x14ac:dyDescent="0.25">
      <c r="B31" s="46" t="s">
        <v>58</v>
      </c>
      <c r="C31" s="50">
        <v>31</v>
      </c>
      <c r="D31" s="50">
        <v>6</v>
      </c>
      <c r="E31" s="50">
        <v>8</v>
      </c>
      <c r="F31" s="50">
        <v>34</v>
      </c>
      <c r="G31" s="50">
        <v>1</v>
      </c>
      <c r="H31" s="50">
        <v>2</v>
      </c>
      <c r="I31" s="50">
        <v>3</v>
      </c>
      <c r="J31" s="50">
        <v>1</v>
      </c>
      <c r="K31" s="50">
        <v>0</v>
      </c>
      <c r="L31" s="50">
        <v>2</v>
      </c>
      <c r="M31" s="50">
        <v>164</v>
      </c>
      <c r="N31" s="50">
        <v>0</v>
      </c>
      <c r="O31" s="15">
        <f t="shared" si="0"/>
        <v>88</v>
      </c>
      <c r="P31" s="15">
        <f t="shared" si="1"/>
        <v>252</v>
      </c>
      <c r="R31" s="36" t="s">
        <v>155</v>
      </c>
      <c r="S31" s="34">
        <f>SUM(C94:C97)</f>
        <v>13</v>
      </c>
      <c r="T31" s="34">
        <f t="shared" ref="T31:AF31" si="23">SUM(D94:D97)</f>
        <v>4</v>
      </c>
      <c r="U31" s="34">
        <f t="shared" si="23"/>
        <v>0</v>
      </c>
      <c r="V31" s="34">
        <f t="shared" si="23"/>
        <v>20</v>
      </c>
      <c r="W31" s="34">
        <f t="shared" si="23"/>
        <v>0</v>
      </c>
      <c r="X31" s="34">
        <f t="shared" si="23"/>
        <v>9</v>
      </c>
      <c r="Y31" s="34">
        <f t="shared" si="23"/>
        <v>2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74</v>
      </c>
      <c r="AD31" s="34">
        <f t="shared" si="23"/>
        <v>0</v>
      </c>
      <c r="AE31" s="31">
        <f t="shared" si="23"/>
        <v>50</v>
      </c>
      <c r="AF31" s="31">
        <f t="shared" si="23"/>
        <v>124</v>
      </c>
    </row>
    <row r="32" spans="2:32" ht="23.1" customHeight="1" x14ac:dyDescent="0.25">
      <c r="B32" s="46" t="s">
        <v>59</v>
      </c>
      <c r="C32" s="50">
        <v>30</v>
      </c>
      <c r="D32" s="50">
        <v>11</v>
      </c>
      <c r="E32" s="50">
        <v>8</v>
      </c>
      <c r="F32" s="50">
        <v>43</v>
      </c>
      <c r="G32" s="50">
        <v>1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239</v>
      </c>
      <c r="N32" s="50">
        <v>0</v>
      </c>
      <c r="O32" s="15">
        <f t="shared" si="0"/>
        <v>97</v>
      </c>
      <c r="P32" s="15">
        <f t="shared" si="1"/>
        <v>336</v>
      </c>
      <c r="R32" s="33" t="s">
        <v>156</v>
      </c>
      <c r="S32" s="34">
        <f>SUM(C98:C101)</f>
        <v>11</v>
      </c>
      <c r="T32" s="34">
        <f t="shared" ref="T32:AF32" si="24">SUM(D98:D101)</f>
        <v>18</v>
      </c>
      <c r="U32" s="34">
        <f t="shared" si="24"/>
        <v>3</v>
      </c>
      <c r="V32" s="34">
        <f t="shared" si="24"/>
        <v>87</v>
      </c>
      <c r="W32" s="34">
        <f t="shared" si="24"/>
        <v>1</v>
      </c>
      <c r="X32" s="34">
        <f t="shared" si="24"/>
        <v>8</v>
      </c>
      <c r="Y32" s="34">
        <f t="shared" si="24"/>
        <v>4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121</v>
      </c>
      <c r="AD32" s="34">
        <f t="shared" si="24"/>
        <v>0</v>
      </c>
      <c r="AE32" s="31">
        <f t="shared" si="24"/>
        <v>132</v>
      </c>
      <c r="AF32" s="31">
        <f t="shared" si="24"/>
        <v>253</v>
      </c>
    </row>
    <row r="33" spans="2:32" ht="23.1" customHeight="1" x14ac:dyDescent="0.25">
      <c r="B33" s="45" t="s">
        <v>60</v>
      </c>
      <c r="C33" s="50">
        <v>34</v>
      </c>
      <c r="D33" s="50">
        <v>8</v>
      </c>
      <c r="E33" s="50">
        <v>3</v>
      </c>
      <c r="F33" s="50">
        <v>43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187</v>
      </c>
      <c r="N33" s="50">
        <v>0</v>
      </c>
      <c r="O33" s="15">
        <f t="shared" si="0"/>
        <v>91</v>
      </c>
      <c r="P33" s="15">
        <f t="shared" si="1"/>
        <v>278</v>
      </c>
      <c r="R33" s="33" t="s">
        <v>157</v>
      </c>
      <c r="S33" s="34">
        <f>SUM(C102:C105)</f>
        <v>19</v>
      </c>
      <c r="T33" s="34">
        <f t="shared" ref="T33:AF33" si="25">SUM(D102:D105)</f>
        <v>21</v>
      </c>
      <c r="U33" s="34">
        <f t="shared" si="25"/>
        <v>6</v>
      </c>
      <c r="V33" s="34">
        <f t="shared" si="25"/>
        <v>142</v>
      </c>
      <c r="W33" s="34">
        <f t="shared" si="25"/>
        <v>5</v>
      </c>
      <c r="X33" s="34">
        <f t="shared" si="25"/>
        <v>6</v>
      </c>
      <c r="Y33" s="34">
        <f t="shared" si="25"/>
        <v>14</v>
      </c>
      <c r="Z33" s="34">
        <f t="shared" si="25"/>
        <v>4</v>
      </c>
      <c r="AA33" s="34">
        <f t="shared" si="25"/>
        <v>0</v>
      </c>
      <c r="AB33" s="34">
        <f t="shared" si="25"/>
        <v>1</v>
      </c>
      <c r="AC33" s="34">
        <f t="shared" si="25"/>
        <v>234</v>
      </c>
      <c r="AD33" s="34">
        <f t="shared" si="25"/>
        <v>0</v>
      </c>
      <c r="AE33" s="31">
        <f t="shared" si="25"/>
        <v>218</v>
      </c>
      <c r="AF33" s="31">
        <f t="shared" si="25"/>
        <v>452</v>
      </c>
    </row>
    <row r="34" spans="2:32" ht="23.1" customHeight="1" x14ac:dyDescent="0.25">
      <c r="B34" s="46" t="s">
        <v>61</v>
      </c>
      <c r="C34" s="50">
        <v>31</v>
      </c>
      <c r="D34" s="50">
        <v>8</v>
      </c>
      <c r="E34" s="50">
        <v>11</v>
      </c>
      <c r="F34" s="50">
        <v>43</v>
      </c>
      <c r="G34" s="50">
        <v>1</v>
      </c>
      <c r="H34" s="50">
        <v>0</v>
      </c>
      <c r="I34" s="50">
        <v>4</v>
      </c>
      <c r="J34" s="50">
        <v>0</v>
      </c>
      <c r="K34" s="50">
        <v>2</v>
      </c>
      <c r="L34" s="50">
        <v>0</v>
      </c>
      <c r="M34" s="50">
        <v>144</v>
      </c>
      <c r="N34" s="50">
        <v>0</v>
      </c>
      <c r="O34" s="15">
        <f t="shared" si="0"/>
        <v>100</v>
      </c>
      <c r="P34" s="15">
        <f t="shared" si="1"/>
        <v>244</v>
      </c>
      <c r="R34" s="38" t="s">
        <v>90</v>
      </c>
      <c r="S34" s="39">
        <f t="shared" ref="S34:AF34" si="26">MAX(S10:S12)</f>
        <v>134</v>
      </c>
      <c r="T34" s="39">
        <f t="shared" si="26"/>
        <v>53</v>
      </c>
      <c r="U34" s="39">
        <f t="shared" si="26"/>
        <v>40</v>
      </c>
      <c r="V34" s="39">
        <f t="shared" si="26"/>
        <v>251</v>
      </c>
      <c r="W34" s="39">
        <f t="shared" si="26"/>
        <v>11</v>
      </c>
      <c r="X34" s="39">
        <f t="shared" si="26"/>
        <v>4</v>
      </c>
      <c r="Y34" s="39">
        <f t="shared" si="26"/>
        <v>18</v>
      </c>
      <c r="Z34" s="39">
        <f t="shared" si="26"/>
        <v>6</v>
      </c>
      <c r="AA34" s="39">
        <f t="shared" si="26"/>
        <v>0</v>
      </c>
      <c r="AB34" s="39">
        <f t="shared" si="26"/>
        <v>1</v>
      </c>
      <c r="AC34" s="39">
        <f t="shared" si="26"/>
        <v>1458</v>
      </c>
      <c r="AD34" s="39">
        <f t="shared" si="26"/>
        <v>0</v>
      </c>
      <c r="AE34" s="40">
        <f t="shared" si="26"/>
        <v>496</v>
      </c>
      <c r="AF34" s="40">
        <f t="shared" si="26"/>
        <v>1954</v>
      </c>
    </row>
    <row r="35" spans="2:32" ht="23.1" customHeight="1" x14ac:dyDescent="0.25">
      <c r="B35" s="46" t="s">
        <v>62</v>
      </c>
      <c r="C35" s="50">
        <v>36</v>
      </c>
      <c r="D35" s="50">
        <v>13</v>
      </c>
      <c r="E35" s="50">
        <v>5</v>
      </c>
      <c r="F35" s="50">
        <v>41</v>
      </c>
      <c r="G35" s="50">
        <v>0</v>
      </c>
      <c r="H35" s="50">
        <v>1</v>
      </c>
      <c r="I35" s="50">
        <v>3</v>
      </c>
      <c r="J35" s="50">
        <v>1</v>
      </c>
      <c r="K35" s="50">
        <v>1</v>
      </c>
      <c r="L35" s="50">
        <v>0</v>
      </c>
      <c r="M35" s="50">
        <v>138</v>
      </c>
      <c r="N35" s="50">
        <v>0</v>
      </c>
      <c r="O35" s="15">
        <f t="shared" si="0"/>
        <v>101</v>
      </c>
      <c r="P35" s="15">
        <f t="shared" si="1"/>
        <v>239</v>
      </c>
      <c r="R35" s="38" t="s">
        <v>91</v>
      </c>
      <c r="S35" s="39">
        <f t="shared" ref="S35:AF35" si="27">MAX(S13:S18)</f>
        <v>135</v>
      </c>
      <c r="T35" s="39">
        <f t="shared" si="27"/>
        <v>45</v>
      </c>
      <c r="U35" s="39">
        <f t="shared" si="27"/>
        <v>39</v>
      </c>
      <c r="V35" s="39">
        <f t="shared" si="27"/>
        <v>222</v>
      </c>
      <c r="W35" s="39">
        <f t="shared" si="27"/>
        <v>7</v>
      </c>
      <c r="X35" s="39">
        <f t="shared" si="27"/>
        <v>3</v>
      </c>
      <c r="Y35" s="39">
        <f t="shared" si="27"/>
        <v>18</v>
      </c>
      <c r="Z35" s="39">
        <f t="shared" si="27"/>
        <v>9</v>
      </c>
      <c r="AA35" s="39">
        <f t="shared" si="27"/>
        <v>3</v>
      </c>
      <c r="AB35" s="39">
        <f t="shared" si="27"/>
        <v>3</v>
      </c>
      <c r="AC35" s="39">
        <f t="shared" si="27"/>
        <v>749</v>
      </c>
      <c r="AD35" s="39">
        <f t="shared" si="27"/>
        <v>10</v>
      </c>
      <c r="AE35" s="40">
        <f t="shared" si="27"/>
        <v>467</v>
      </c>
      <c r="AF35" s="40">
        <f t="shared" si="27"/>
        <v>1152</v>
      </c>
    </row>
    <row r="36" spans="2:32" ht="23.1" customHeight="1" x14ac:dyDescent="0.25">
      <c r="B36" s="46" t="s">
        <v>63</v>
      </c>
      <c r="C36" s="50">
        <v>30</v>
      </c>
      <c r="D36" s="50">
        <v>9</v>
      </c>
      <c r="E36" s="50">
        <v>9</v>
      </c>
      <c r="F36" s="50">
        <v>43</v>
      </c>
      <c r="G36" s="50">
        <v>1</v>
      </c>
      <c r="H36" s="50">
        <v>1</v>
      </c>
      <c r="I36" s="50">
        <v>2</v>
      </c>
      <c r="J36" s="50">
        <v>1</v>
      </c>
      <c r="K36" s="50">
        <v>0</v>
      </c>
      <c r="L36" s="50">
        <v>1</v>
      </c>
      <c r="M36" s="50">
        <v>128</v>
      </c>
      <c r="N36" s="50">
        <v>0</v>
      </c>
      <c r="O36" s="15">
        <f t="shared" si="0"/>
        <v>97</v>
      </c>
      <c r="P36" s="15">
        <f t="shared" si="1"/>
        <v>225</v>
      </c>
      <c r="R36" s="38" t="s">
        <v>92</v>
      </c>
      <c r="S36" s="39">
        <f t="shared" ref="S36:AF36" si="28">MAX(S19:S21)</f>
        <v>120</v>
      </c>
      <c r="T36" s="39">
        <f t="shared" si="28"/>
        <v>45</v>
      </c>
      <c r="U36" s="39">
        <f t="shared" si="28"/>
        <v>25</v>
      </c>
      <c r="V36" s="39">
        <f t="shared" si="28"/>
        <v>151</v>
      </c>
      <c r="W36" s="39">
        <f t="shared" si="28"/>
        <v>3</v>
      </c>
      <c r="X36" s="39">
        <f t="shared" si="28"/>
        <v>9</v>
      </c>
      <c r="Y36" s="39">
        <f t="shared" si="28"/>
        <v>15</v>
      </c>
      <c r="Z36" s="39">
        <f t="shared" si="28"/>
        <v>13</v>
      </c>
      <c r="AA36" s="39">
        <f t="shared" si="28"/>
        <v>1</v>
      </c>
      <c r="AB36" s="39">
        <f t="shared" si="28"/>
        <v>1</v>
      </c>
      <c r="AC36" s="39">
        <f t="shared" si="28"/>
        <v>514</v>
      </c>
      <c r="AD36" s="39">
        <f t="shared" si="28"/>
        <v>0</v>
      </c>
      <c r="AE36" s="40">
        <f t="shared" si="28"/>
        <v>354</v>
      </c>
      <c r="AF36" s="40">
        <f t="shared" si="28"/>
        <v>868</v>
      </c>
    </row>
    <row r="37" spans="2:32" ht="23.1" customHeight="1" x14ac:dyDescent="0.25">
      <c r="B37" s="45" t="s">
        <v>64</v>
      </c>
      <c r="C37" s="50">
        <v>34</v>
      </c>
      <c r="D37" s="50">
        <v>4</v>
      </c>
      <c r="E37" s="50">
        <v>9</v>
      </c>
      <c r="F37" s="50">
        <v>33</v>
      </c>
      <c r="G37" s="50">
        <v>0</v>
      </c>
      <c r="H37" s="50">
        <v>1</v>
      </c>
      <c r="I37" s="50">
        <v>9</v>
      </c>
      <c r="J37" s="50">
        <v>1</v>
      </c>
      <c r="K37" s="50">
        <v>0</v>
      </c>
      <c r="L37" s="50">
        <v>0</v>
      </c>
      <c r="M37" s="50">
        <v>137</v>
      </c>
      <c r="N37" s="50">
        <v>0</v>
      </c>
      <c r="O37" s="15">
        <f t="shared" si="0"/>
        <v>91</v>
      </c>
      <c r="P37" s="15">
        <f t="shared" si="1"/>
        <v>228</v>
      </c>
      <c r="R37" s="37" t="s">
        <v>85</v>
      </c>
      <c r="S37" s="35">
        <f t="shared" ref="S37:AF37" si="29">SUM(S10:S12)</f>
        <v>356</v>
      </c>
      <c r="T37" s="16">
        <f t="shared" si="29"/>
        <v>131</v>
      </c>
      <c r="U37" s="16">
        <f t="shared" si="29"/>
        <v>110</v>
      </c>
      <c r="V37" s="16">
        <f t="shared" si="29"/>
        <v>571</v>
      </c>
      <c r="W37" s="16">
        <f t="shared" si="29"/>
        <v>18</v>
      </c>
      <c r="X37" s="16">
        <f t="shared" si="29"/>
        <v>10</v>
      </c>
      <c r="Y37" s="16">
        <f t="shared" si="29"/>
        <v>41</v>
      </c>
      <c r="Z37" s="16">
        <f t="shared" si="29"/>
        <v>15</v>
      </c>
      <c r="AA37" s="16">
        <f t="shared" si="29"/>
        <v>0</v>
      </c>
      <c r="AB37" s="16">
        <f t="shared" si="29"/>
        <v>1</v>
      </c>
      <c r="AC37" s="16">
        <f t="shared" si="29"/>
        <v>3416</v>
      </c>
      <c r="AD37" s="16">
        <f t="shared" si="29"/>
        <v>0</v>
      </c>
      <c r="AE37" s="32">
        <f t="shared" si="29"/>
        <v>1253</v>
      </c>
      <c r="AF37" s="32">
        <f t="shared" si="29"/>
        <v>4669</v>
      </c>
    </row>
    <row r="38" spans="2:32" ht="23.1" customHeight="1" x14ac:dyDescent="0.25">
      <c r="B38" s="46" t="s">
        <v>65</v>
      </c>
      <c r="C38" s="50">
        <v>27</v>
      </c>
      <c r="D38" s="50">
        <v>4</v>
      </c>
      <c r="E38" s="50">
        <v>9</v>
      </c>
      <c r="F38" s="50">
        <v>35</v>
      </c>
      <c r="G38" s="50">
        <v>0</v>
      </c>
      <c r="H38" s="50">
        <v>1</v>
      </c>
      <c r="I38" s="50">
        <v>3</v>
      </c>
      <c r="J38" s="50">
        <v>0</v>
      </c>
      <c r="K38" s="50">
        <v>0</v>
      </c>
      <c r="L38" s="50">
        <v>0</v>
      </c>
      <c r="M38" s="50">
        <v>132</v>
      </c>
      <c r="N38" s="50">
        <v>0</v>
      </c>
      <c r="O38" s="15">
        <f t="shared" si="0"/>
        <v>79</v>
      </c>
      <c r="P38" s="15">
        <f t="shared" si="1"/>
        <v>211</v>
      </c>
      <c r="R38" s="28" t="s">
        <v>86</v>
      </c>
      <c r="S38" s="16">
        <f t="shared" ref="S38:AF38" si="30">SUM(S13:S18)</f>
        <v>704</v>
      </c>
      <c r="T38" s="16">
        <f t="shared" si="30"/>
        <v>221</v>
      </c>
      <c r="U38" s="16">
        <f t="shared" si="30"/>
        <v>183</v>
      </c>
      <c r="V38" s="16">
        <f t="shared" si="30"/>
        <v>954</v>
      </c>
      <c r="W38" s="16">
        <f t="shared" si="30"/>
        <v>19</v>
      </c>
      <c r="X38" s="16">
        <f t="shared" si="30"/>
        <v>15</v>
      </c>
      <c r="Y38" s="16">
        <f t="shared" si="30"/>
        <v>88</v>
      </c>
      <c r="Z38" s="16">
        <f t="shared" si="30"/>
        <v>35</v>
      </c>
      <c r="AA38" s="16">
        <f t="shared" si="30"/>
        <v>4</v>
      </c>
      <c r="AB38" s="16">
        <f t="shared" si="30"/>
        <v>6</v>
      </c>
      <c r="AC38" s="16">
        <f t="shared" si="30"/>
        <v>3471</v>
      </c>
      <c r="AD38" s="16">
        <f t="shared" si="30"/>
        <v>10</v>
      </c>
      <c r="AE38" s="32">
        <f t="shared" si="30"/>
        <v>2239</v>
      </c>
      <c r="AF38" s="32">
        <f t="shared" si="30"/>
        <v>5710</v>
      </c>
    </row>
    <row r="39" spans="2:32" ht="23.1" customHeight="1" x14ac:dyDescent="0.25">
      <c r="B39" s="46" t="s">
        <v>66</v>
      </c>
      <c r="C39" s="50">
        <v>26</v>
      </c>
      <c r="D39" s="50">
        <v>9</v>
      </c>
      <c r="E39" s="50">
        <v>4</v>
      </c>
      <c r="F39" s="50">
        <v>33</v>
      </c>
      <c r="G39" s="50">
        <v>2</v>
      </c>
      <c r="H39" s="50">
        <v>0</v>
      </c>
      <c r="I39" s="50">
        <v>5</v>
      </c>
      <c r="J39" s="50">
        <v>2</v>
      </c>
      <c r="K39" s="50">
        <v>0</v>
      </c>
      <c r="L39" s="50">
        <v>0</v>
      </c>
      <c r="M39" s="50">
        <v>123</v>
      </c>
      <c r="N39" s="50">
        <v>0</v>
      </c>
      <c r="O39" s="15">
        <f t="shared" si="0"/>
        <v>81</v>
      </c>
      <c r="P39" s="15">
        <f t="shared" si="1"/>
        <v>204</v>
      </c>
      <c r="R39" s="29" t="s">
        <v>87</v>
      </c>
      <c r="S39" s="16">
        <f t="shared" ref="S39:AF39" si="31">SUM(S19:S21)</f>
        <v>329</v>
      </c>
      <c r="T39" s="16">
        <f t="shared" si="31"/>
        <v>114</v>
      </c>
      <c r="U39" s="16">
        <f t="shared" si="31"/>
        <v>67</v>
      </c>
      <c r="V39" s="16">
        <f t="shared" si="31"/>
        <v>423</v>
      </c>
      <c r="W39" s="16">
        <f t="shared" si="31"/>
        <v>7</v>
      </c>
      <c r="X39" s="16">
        <f t="shared" si="31"/>
        <v>24</v>
      </c>
      <c r="Y39" s="16">
        <f t="shared" si="31"/>
        <v>37</v>
      </c>
      <c r="Z39" s="16">
        <f t="shared" si="31"/>
        <v>29</v>
      </c>
      <c r="AA39" s="16">
        <f t="shared" si="31"/>
        <v>1</v>
      </c>
      <c r="AB39" s="16">
        <f t="shared" si="31"/>
        <v>1</v>
      </c>
      <c r="AC39" s="16">
        <f t="shared" si="31"/>
        <v>1297</v>
      </c>
      <c r="AD39" s="16">
        <f t="shared" si="31"/>
        <v>0</v>
      </c>
      <c r="AE39" s="32">
        <f t="shared" si="31"/>
        <v>1032</v>
      </c>
      <c r="AF39" s="32">
        <f t="shared" si="31"/>
        <v>2329</v>
      </c>
    </row>
    <row r="40" spans="2:32" ht="23.1" customHeight="1" x14ac:dyDescent="0.25">
      <c r="B40" s="46" t="s">
        <v>67</v>
      </c>
      <c r="C40" s="50">
        <v>28</v>
      </c>
      <c r="D40" s="50">
        <v>6</v>
      </c>
      <c r="E40" s="50">
        <v>4</v>
      </c>
      <c r="F40" s="50">
        <v>39</v>
      </c>
      <c r="G40" s="50">
        <v>0</v>
      </c>
      <c r="H40" s="50">
        <v>1</v>
      </c>
      <c r="I40" s="50">
        <v>1</v>
      </c>
      <c r="J40" s="50">
        <v>3</v>
      </c>
      <c r="K40" s="50">
        <v>1</v>
      </c>
      <c r="L40" s="50">
        <v>0</v>
      </c>
      <c r="M40" s="50">
        <v>119</v>
      </c>
      <c r="N40" s="50">
        <v>0</v>
      </c>
      <c r="O40" s="15">
        <f t="shared" si="0"/>
        <v>83</v>
      </c>
      <c r="P40" s="15">
        <f t="shared" si="1"/>
        <v>202</v>
      </c>
      <c r="R40" s="5" t="s">
        <v>17</v>
      </c>
      <c r="S40" s="16">
        <f t="shared" ref="S40:AF40" si="32">SUM(S10:S21)</f>
        <v>1389</v>
      </c>
      <c r="T40" s="16">
        <f t="shared" si="32"/>
        <v>466</v>
      </c>
      <c r="U40" s="16">
        <f t="shared" si="32"/>
        <v>360</v>
      </c>
      <c r="V40" s="16">
        <f t="shared" si="32"/>
        <v>1948</v>
      </c>
      <c r="W40" s="16">
        <f t="shared" si="32"/>
        <v>44</v>
      </c>
      <c r="X40" s="16">
        <f t="shared" si="32"/>
        <v>49</v>
      </c>
      <c r="Y40" s="16">
        <f t="shared" si="32"/>
        <v>166</v>
      </c>
      <c r="Z40" s="16">
        <f t="shared" si="32"/>
        <v>79</v>
      </c>
      <c r="AA40" s="16">
        <f t="shared" si="32"/>
        <v>5</v>
      </c>
      <c r="AB40" s="16">
        <f t="shared" si="32"/>
        <v>8</v>
      </c>
      <c r="AC40" s="16">
        <f t="shared" si="32"/>
        <v>8184</v>
      </c>
      <c r="AD40" s="16">
        <f t="shared" si="32"/>
        <v>10</v>
      </c>
      <c r="AE40" s="32">
        <f t="shared" si="32"/>
        <v>4524</v>
      </c>
      <c r="AF40" s="32">
        <f t="shared" si="32"/>
        <v>12708</v>
      </c>
    </row>
    <row r="41" spans="2:32" ht="23.1" customHeight="1" x14ac:dyDescent="0.25">
      <c r="B41" s="45" t="s">
        <v>68</v>
      </c>
      <c r="C41" s="50">
        <v>24</v>
      </c>
      <c r="D41" s="50">
        <v>8</v>
      </c>
      <c r="E41" s="50">
        <v>3</v>
      </c>
      <c r="F41" s="50">
        <v>43</v>
      </c>
      <c r="G41" s="50">
        <v>1</v>
      </c>
      <c r="H41" s="50">
        <v>0</v>
      </c>
      <c r="I41" s="50">
        <v>3</v>
      </c>
      <c r="J41" s="50">
        <v>1</v>
      </c>
      <c r="K41" s="50">
        <v>0</v>
      </c>
      <c r="L41" s="50">
        <v>0</v>
      </c>
      <c r="M41" s="50">
        <v>105</v>
      </c>
      <c r="N41" s="50">
        <v>0</v>
      </c>
      <c r="O41" s="15">
        <f t="shared" si="0"/>
        <v>83</v>
      </c>
      <c r="P41" s="15">
        <f t="shared" si="1"/>
        <v>188</v>
      </c>
      <c r="R41" s="5" t="s">
        <v>159</v>
      </c>
      <c r="S41" s="16">
        <f>SUM(S10:S33)</f>
        <v>2834</v>
      </c>
      <c r="T41" s="16">
        <f t="shared" ref="T41:AF41" si="33">SUM(T10:T33)</f>
        <v>751</v>
      </c>
      <c r="U41" s="16">
        <f t="shared" si="33"/>
        <v>523</v>
      </c>
      <c r="V41" s="16">
        <f t="shared" si="33"/>
        <v>3190</v>
      </c>
      <c r="W41" s="16">
        <f t="shared" si="33"/>
        <v>74</v>
      </c>
      <c r="X41" s="16">
        <f t="shared" si="33"/>
        <v>118</v>
      </c>
      <c r="Y41" s="16">
        <f t="shared" si="33"/>
        <v>237</v>
      </c>
      <c r="Z41" s="16">
        <f t="shared" si="33"/>
        <v>126</v>
      </c>
      <c r="AA41" s="16">
        <f t="shared" si="33"/>
        <v>6</v>
      </c>
      <c r="AB41" s="16">
        <f t="shared" si="33"/>
        <v>17</v>
      </c>
      <c r="AC41" s="16">
        <f t="shared" si="33"/>
        <v>11769</v>
      </c>
      <c r="AD41" s="16">
        <f t="shared" si="33"/>
        <v>10</v>
      </c>
      <c r="AE41" s="32">
        <f t="shared" si="33"/>
        <v>7886</v>
      </c>
      <c r="AF41" s="32">
        <f t="shared" si="33"/>
        <v>19655</v>
      </c>
    </row>
    <row r="42" spans="2:32" ht="23.1" customHeight="1" x14ac:dyDescent="0.25">
      <c r="B42" s="46" t="s">
        <v>69</v>
      </c>
      <c r="C42" s="50">
        <v>21</v>
      </c>
      <c r="D42" s="50">
        <v>9</v>
      </c>
      <c r="E42" s="50">
        <v>11</v>
      </c>
      <c r="F42" s="50">
        <v>29</v>
      </c>
      <c r="G42" s="50">
        <v>0</v>
      </c>
      <c r="H42" s="50">
        <v>1</v>
      </c>
      <c r="I42" s="50">
        <v>6</v>
      </c>
      <c r="J42" s="50">
        <v>1</v>
      </c>
      <c r="K42" s="50">
        <v>0</v>
      </c>
      <c r="L42" s="50">
        <v>0</v>
      </c>
      <c r="M42" s="50">
        <v>92</v>
      </c>
      <c r="N42" s="50">
        <v>0</v>
      </c>
      <c r="O42" s="15">
        <f t="shared" si="0"/>
        <v>78</v>
      </c>
      <c r="P42" s="15">
        <f t="shared" si="1"/>
        <v>170</v>
      </c>
      <c r="R42" s="5" t="s">
        <v>160</v>
      </c>
      <c r="S42" s="48">
        <f>S41/S40</f>
        <v>2.0403167746580273</v>
      </c>
      <c r="T42" s="48">
        <f t="shared" ref="T42:AF42" si="34">T41/T40</f>
        <v>1.6115879828326181</v>
      </c>
      <c r="U42" s="48">
        <f t="shared" si="34"/>
        <v>1.4527777777777777</v>
      </c>
      <c r="V42" s="48">
        <f t="shared" si="34"/>
        <v>1.6375770020533882</v>
      </c>
      <c r="W42" s="48">
        <f t="shared" si="34"/>
        <v>1.6818181818181819</v>
      </c>
      <c r="X42" s="48">
        <f t="shared" si="34"/>
        <v>2.4081632653061225</v>
      </c>
      <c r="Y42" s="48">
        <f t="shared" si="34"/>
        <v>1.427710843373494</v>
      </c>
      <c r="Z42" s="48">
        <f t="shared" si="34"/>
        <v>1.5949367088607596</v>
      </c>
      <c r="AA42" s="48">
        <f t="shared" si="34"/>
        <v>1.2</v>
      </c>
      <c r="AB42" s="48">
        <f t="shared" si="34"/>
        <v>2.125</v>
      </c>
      <c r="AC42" s="48">
        <f t="shared" si="34"/>
        <v>1.438049853372434</v>
      </c>
      <c r="AD42" s="48">
        <f t="shared" si="34"/>
        <v>1</v>
      </c>
      <c r="AE42" s="48">
        <f t="shared" si="34"/>
        <v>1.7431476569407605</v>
      </c>
      <c r="AF42" s="48">
        <f t="shared" si="34"/>
        <v>1.5466635190431224</v>
      </c>
    </row>
    <row r="43" spans="2:32" ht="23.1" customHeight="1" x14ac:dyDescent="0.25">
      <c r="B43" s="45" t="s">
        <v>70</v>
      </c>
      <c r="C43" s="50">
        <v>24</v>
      </c>
      <c r="D43" s="50">
        <v>4</v>
      </c>
      <c r="E43" s="50">
        <v>7</v>
      </c>
      <c r="F43" s="50">
        <v>26</v>
      </c>
      <c r="G43" s="50">
        <v>0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102</v>
      </c>
      <c r="N43" s="50">
        <v>0</v>
      </c>
      <c r="O43" s="15">
        <f t="shared" si="0"/>
        <v>64</v>
      </c>
      <c r="P43" s="15">
        <f t="shared" si="1"/>
        <v>166</v>
      </c>
    </row>
    <row r="44" spans="2:32" ht="23.1" customHeight="1" x14ac:dyDescent="0.25">
      <c r="B44" s="47" t="s">
        <v>71</v>
      </c>
      <c r="C44" s="50">
        <v>19</v>
      </c>
      <c r="D44" s="50">
        <v>12</v>
      </c>
      <c r="E44" s="50">
        <v>9</v>
      </c>
      <c r="F44" s="50">
        <v>19</v>
      </c>
      <c r="G44" s="50">
        <v>2</v>
      </c>
      <c r="H44" s="50">
        <v>1</v>
      </c>
      <c r="I44" s="50">
        <v>3</v>
      </c>
      <c r="J44" s="50">
        <v>1</v>
      </c>
      <c r="K44" s="50">
        <v>0</v>
      </c>
      <c r="L44" s="50">
        <v>0</v>
      </c>
      <c r="M44" s="50">
        <v>100</v>
      </c>
      <c r="N44" s="50">
        <v>0</v>
      </c>
      <c r="O44" s="15">
        <f t="shared" si="0"/>
        <v>66</v>
      </c>
      <c r="P44" s="15">
        <f t="shared" si="1"/>
        <v>166</v>
      </c>
    </row>
    <row r="45" spans="2:32" ht="23.1" customHeight="1" x14ac:dyDescent="0.25">
      <c r="B45" s="45" t="s">
        <v>72</v>
      </c>
      <c r="C45" s="50">
        <v>15</v>
      </c>
      <c r="D45" s="50">
        <v>8</v>
      </c>
      <c r="E45" s="50">
        <v>11</v>
      </c>
      <c r="F45" s="50">
        <v>27</v>
      </c>
      <c r="G45" s="50">
        <v>0</v>
      </c>
      <c r="H45" s="50">
        <v>1</v>
      </c>
      <c r="I45" s="50">
        <v>4</v>
      </c>
      <c r="J45" s="50">
        <v>4</v>
      </c>
      <c r="K45" s="50">
        <v>0</v>
      </c>
      <c r="L45" s="50">
        <v>0</v>
      </c>
      <c r="M45" s="50">
        <v>93</v>
      </c>
      <c r="N45" s="50">
        <v>0</v>
      </c>
      <c r="O45" s="15">
        <f t="shared" si="0"/>
        <v>70</v>
      </c>
      <c r="P45" s="15">
        <f t="shared" si="1"/>
        <v>163</v>
      </c>
    </row>
    <row r="46" spans="2:32" ht="23.1" customHeight="1" x14ac:dyDescent="0.25">
      <c r="B46" s="46" t="s">
        <v>73</v>
      </c>
      <c r="C46" s="50">
        <v>30</v>
      </c>
      <c r="D46" s="50">
        <v>8</v>
      </c>
      <c r="E46" s="50">
        <v>4</v>
      </c>
      <c r="F46" s="50">
        <v>36</v>
      </c>
      <c r="G46" s="50">
        <v>0</v>
      </c>
      <c r="H46" s="50">
        <v>2</v>
      </c>
      <c r="I46" s="50">
        <v>6</v>
      </c>
      <c r="J46" s="50">
        <v>2</v>
      </c>
      <c r="K46" s="50">
        <v>1</v>
      </c>
      <c r="L46" s="50">
        <v>0</v>
      </c>
      <c r="M46" s="50">
        <v>92</v>
      </c>
      <c r="N46" s="50">
        <v>0</v>
      </c>
      <c r="O46" s="15">
        <f t="shared" si="0"/>
        <v>89</v>
      </c>
      <c r="P46" s="15">
        <f t="shared" si="1"/>
        <v>181</v>
      </c>
      <c r="R46" s="8"/>
      <c r="T46"/>
    </row>
    <row r="47" spans="2:32" ht="23.1" customHeight="1" x14ac:dyDescent="0.25">
      <c r="B47" s="46" t="s">
        <v>74</v>
      </c>
      <c r="C47" s="50">
        <v>21</v>
      </c>
      <c r="D47" s="50">
        <v>9</v>
      </c>
      <c r="E47" s="50">
        <v>3</v>
      </c>
      <c r="F47" s="50">
        <v>28</v>
      </c>
      <c r="G47" s="50">
        <v>0</v>
      </c>
      <c r="H47" s="50">
        <v>2</v>
      </c>
      <c r="I47" s="50">
        <v>3</v>
      </c>
      <c r="J47" s="50">
        <v>3</v>
      </c>
      <c r="K47" s="50">
        <v>0</v>
      </c>
      <c r="L47" s="50">
        <v>0</v>
      </c>
      <c r="M47" s="50">
        <v>88</v>
      </c>
      <c r="N47" s="50">
        <v>0</v>
      </c>
      <c r="O47" s="15">
        <f t="shared" si="0"/>
        <v>69</v>
      </c>
      <c r="P47" s="15">
        <f t="shared" si="1"/>
        <v>157</v>
      </c>
      <c r="R47" s="8"/>
      <c r="T47"/>
    </row>
    <row r="48" spans="2:32" ht="23.1" customHeight="1" x14ac:dyDescent="0.25">
      <c r="B48" s="46" t="s">
        <v>75</v>
      </c>
      <c r="C48" s="50">
        <v>38</v>
      </c>
      <c r="D48" s="50">
        <v>12</v>
      </c>
      <c r="E48" s="50">
        <v>8</v>
      </c>
      <c r="F48" s="50">
        <v>21</v>
      </c>
      <c r="G48" s="50">
        <v>0</v>
      </c>
      <c r="H48" s="50">
        <v>2</v>
      </c>
      <c r="I48" s="50">
        <v>5</v>
      </c>
      <c r="J48" s="50">
        <v>1</v>
      </c>
      <c r="K48" s="50">
        <v>0</v>
      </c>
      <c r="L48" s="50">
        <v>0</v>
      </c>
      <c r="M48" s="50">
        <v>82</v>
      </c>
      <c r="N48" s="50">
        <v>0</v>
      </c>
      <c r="O48" s="15">
        <f t="shared" si="0"/>
        <v>87</v>
      </c>
      <c r="P48" s="15">
        <f t="shared" si="1"/>
        <v>169</v>
      </c>
      <c r="R48" s="8"/>
      <c r="T48"/>
    </row>
    <row r="49" spans="2:20" ht="23.1" customHeight="1" x14ac:dyDescent="0.25">
      <c r="B49" s="45" t="s">
        <v>76</v>
      </c>
      <c r="C49" s="50">
        <v>31</v>
      </c>
      <c r="D49" s="50">
        <v>9</v>
      </c>
      <c r="E49" s="50">
        <v>10</v>
      </c>
      <c r="F49" s="50">
        <v>41</v>
      </c>
      <c r="G49" s="50">
        <v>1</v>
      </c>
      <c r="H49" s="50">
        <v>3</v>
      </c>
      <c r="I49" s="50">
        <v>0</v>
      </c>
      <c r="J49" s="50">
        <v>1</v>
      </c>
      <c r="K49" s="50">
        <v>0</v>
      </c>
      <c r="L49" s="50">
        <v>0</v>
      </c>
      <c r="M49" s="50">
        <v>104</v>
      </c>
      <c r="N49" s="50">
        <v>0</v>
      </c>
      <c r="O49" s="15">
        <f t="shared" si="0"/>
        <v>96</v>
      </c>
      <c r="P49" s="15">
        <f t="shared" si="1"/>
        <v>200</v>
      </c>
      <c r="R49" s="8"/>
      <c r="T49"/>
    </row>
    <row r="50" spans="2:20" ht="23.1" customHeight="1" x14ac:dyDescent="0.25">
      <c r="B50" s="46" t="s">
        <v>77</v>
      </c>
      <c r="C50" s="50">
        <v>32</v>
      </c>
      <c r="D50" s="50">
        <v>8</v>
      </c>
      <c r="E50" s="50">
        <v>6</v>
      </c>
      <c r="F50" s="50">
        <v>33</v>
      </c>
      <c r="G50" s="50">
        <v>3</v>
      </c>
      <c r="H50" s="50">
        <v>1</v>
      </c>
      <c r="I50" s="50">
        <v>3</v>
      </c>
      <c r="J50" s="50">
        <v>1</v>
      </c>
      <c r="K50" s="50">
        <v>0</v>
      </c>
      <c r="L50" s="50">
        <v>0</v>
      </c>
      <c r="M50" s="50">
        <v>102</v>
      </c>
      <c r="N50" s="50">
        <v>0</v>
      </c>
      <c r="O50" s="15">
        <f t="shared" si="0"/>
        <v>87</v>
      </c>
      <c r="P50" s="15">
        <f t="shared" si="1"/>
        <v>189</v>
      </c>
      <c r="R50" s="8"/>
      <c r="T50"/>
    </row>
    <row r="51" spans="2:20" ht="23.1" customHeight="1" x14ac:dyDescent="0.25">
      <c r="B51" s="46" t="s">
        <v>78</v>
      </c>
      <c r="C51" s="50">
        <v>29</v>
      </c>
      <c r="D51" s="50">
        <v>4</v>
      </c>
      <c r="E51" s="50">
        <v>8</v>
      </c>
      <c r="F51" s="50">
        <v>38</v>
      </c>
      <c r="G51" s="50">
        <v>0</v>
      </c>
      <c r="H51" s="50">
        <v>3</v>
      </c>
      <c r="I51" s="50">
        <v>3</v>
      </c>
      <c r="J51" s="50">
        <v>2</v>
      </c>
      <c r="K51" s="50">
        <v>0</v>
      </c>
      <c r="L51" s="50">
        <v>0</v>
      </c>
      <c r="M51" s="50">
        <v>104</v>
      </c>
      <c r="N51" s="50">
        <v>0</v>
      </c>
      <c r="O51" s="15">
        <f t="shared" si="0"/>
        <v>87</v>
      </c>
      <c r="P51" s="15">
        <f t="shared" si="1"/>
        <v>191</v>
      </c>
      <c r="R51" s="8"/>
      <c r="T51"/>
    </row>
    <row r="52" spans="2:20" ht="23.1" customHeight="1" x14ac:dyDescent="0.25">
      <c r="B52" s="46" t="s">
        <v>79</v>
      </c>
      <c r="C52" s="50">
        <v>17</v>
      </c>
      <c r="D52" s="50">
        <v>16</v>
      </c>
      <c r="E52" s="50">
        <v>6</v>
      </c>
      <c r="F52" s="50">
        <v>39</v>
      </c>
      <c r="G52" s="50">
        <v>0</v>
      </c>
      <c r="H52" s="50">
        <v>2</v>
      </c>
      <c r="I52" s="50">
        <v>2</v>
      </c>
      <c r="J52" s="50">
        <v>6</v>
      </c>
      <c r="K52" s="50">
        <v>0</v>
      </c>
      <c r="L52" s="50">
        <v>0</v>
      </c>
      <c r="M52" s="50">
        <v>106</v>
      </c>
      <c r="N52" s="50">
        <v>0</v>
      </c>
      <c r="O52" s="15">
        <f t="shared" si="0"/>
        <v>88</v>
      </c>
      <c r="P52" s="15">
        <f t="shared" si="1"/>
        <v>194</v>
      </c>
      <c r="R52" s="8"/>
      <c r="T52"/>
    </row>
    <row r="53" spans="2:20" ht="23.1" customHeight="1" x14ac:dyDescent="0.25">
      <c r="B53" s="45" t="s">
        <v>80</v>
      </c>
      <c r="C53" s="50">
        <v>21</v>
      </c>
      <c r="D53" s="50">
        <v>3</v>
      </c>
      <c r="E53" s="50">
        <v>1</v>
      </c>
      <c r="F53" s="50">
        <v>36</v>
      </c>
      <c r="G53" s="50">
        <v>0</v>
      </c>
      <c r="H53" s="50">
        <v>3</v>
      </c>
      <c r="I53" s="50">
        <v>7</v>
      </c>
      <c r="J53" s="50">
        <v>4</v>
      </c>
      <c r="K53" s="50">
        <v>0</v>
      </c>
      <c r="L53" s="50">
        <v>0</v>
      </c>
      <c r="M53" s="50">
        <v>105</v>
      </c>
      <c r="N53" s="50">
        <v>0</v>
      </c>
      <c r="O53" s="15">
        <f t="shared" si="0"/>
        <v>75</v>
      </c>
      <c r="P53" s="15">
        <f t="shared" si="1"/>
        <v>180</v>
      </c>
      <c r="R53" s="8"/>
      <c r="T53"/>
    </row>
    <row r="54" spans="2:20" ht="23.1" customHeight="1" x14ac:dyDescent="0.25">
      <c r="B54" s="45" t="s">
        <v>81</v>
      </c>
      <c r="C54" s="50">
        <v>26</v>
      </c>
      <c r="D54" s="50">
        <v>7</v>
      </c>
      <c r="E54" s="50">
        <v>3</v>
      </c>
      <c r="F54" s="50">
        <v>36</v>
      </c>
      <c r="G54" s="50">
        <v>2</v>
      </c>
      <c r="H54" s="50">
        <v>2</v>
      </c>
      <c r="I54" s="50">
        <v>2</v>
      </c>
      <c r="J54" s="50">
        <v>1</v>
      </c>
      <c r="K54" s="50">
        <v>0</v>
      </c>
      <c r="L54" s="50">
        <v>0</v>
      </c>
      <c r="M54" s="50">
        <v>122</v>
      </c>
      <c r="N54" s="50">
        <v>0</v>
      </c>
      <c r="O54" s="15">
        <f t="shared" si="0"/>
        <v>79</v>
      </c>
      <c r="P54" s="15">
        <f t="shared" si="1"/>
        <v>201</v>
      </c>
      <c r="R54" s="8"/>
      <c r="T54"/>
    </row>
    <row r="55" spans="2:20" ht="23.1" customHeight="1" x14ac:dyDescent="0.25">
      <c r="B55" s="45" t="s">
        <v>82</v>
      </c>
      <c r="C55" s="50">
        <v>31</v>
      </c>
      <c r="D55" s="50">
        <v>10</v>
      </c>
      <c r="E55" s="50">
        <v>4</v>
      </c>
      <c r="F55" s="50">
        <v>33</v>
      </c>
      <c r="G55" s="50">
        <v>1</v>
      </c>
      <c r="H55" s="50">
        <v>1</v>
      </c>
      <c r="I55" s="50">
        <v>3</v>
      </c>
      <c r="J55" s="50">
        <v>3</v>
      </c>
      <c r="K55" s="50">
        <v>0</v>
      </c>
      <c r="L55" s="50">
        <v>0</v>
      </c>
      <c r="M55" s="50">
        <v>143</v>
      </c>
      <c r="N55" s="50">
        <v>0</v>
      </c>
      <c r="O55" s="15">
        <f t="shared" si="0"/>
        <v>86</v>
      </c>
      <c r="P55" s="15">
        <f t="shared" si="1"/>
        <v>229</v>
      </c>
      <c r="R55" s="8"/>
      <c r="T55"/>
    </row>
    <row r="56" spans="2:20" ht="23.1" customHeight="1" x14ac:dyDescent="0.25">
      <c r="B56" s="45" t="s">
        <v>83</v>
      </c>
      <c r="C56" s="50">
        <v>23</v>
      </c>
      <c r="D56" s="50">
        <v>13</v>
      </c>
      <c r="E56" s="50">
        <v>6</v>
      </c>
      <c r="F56" s="50">
        <v>42</v>
      </c>
      <c r="G56" s="50">
        <v>0</v>
      </c>
      <c r="H56" s="50">
        <v>2</v>
      </c>
      <c r="I56" s="50">
        <v>3</v>
      </c>
      <c r="J56" s="50">
        <v>1</v>
      </c>
      <c r="K56" s="50">
        <v>0</v>
      </c>
      <c r="L56" s="50">
        <v>1</v>
      </c>
      <c r="M56" s="50">
        <v>118</v>
      </c>
      <c r="N56" s="50">
        <v>0</v>
      </c>
      <c r="O56" s="15">
        <f t="shared" si="0"/>
        <v>91</v>
      </c>
      <c r="P56" s="15">
        <f t="shared" si="1"/>
        <v>209</v>
      </c>
      <c r="R56" s="8"/>
      <c r="T56"/>
    </row>
    <row r="57" spans="2:20" ht="23.1" customHeight="1" x14ac:dyDescent="0.25">
      <c r="B57" s="45" t="s">
        <v>84</v>
      </c>
      <c r="C57" s="50">
        <v>30</v>
      </c>
      <c r="D57" s="50">
        <v>15</v>
      </c>
      <c r="E57" s="50">
        <v>8</v>
      </c>
      <c r="F57" s="50">
        <v>40</v>
      </c>
      <c r="G57" s="50">
        <v>0</v>
      </c>
      <c r="H57" s="50">
        <v>1</v>
      </c>
      <c r="I57" s="50">
        <v>0</v>
      </c>
      <c r="J57" s="50">
        <v>4</v>
      </c>
      <c r="K57" s="50">
        <v>0</v>
      </c>
      <c r="L57" s="50">
        <v>0</v>
      </c>
      <c r="M57" s="50">
        <v>131</v>
      </c>
      <c r="N57" s="50">
        <v>0</v>
      </c>
      <c r="O57" s="15">
        <f t="shared" si="0"/>
        <v>98</v>
      </c>
      <c r="P57" s="15">
        <f t="shared" si="1"/>
        <v>229</v>
      </c>
      <c r="R57" s="8"/>
      <c r="T57"/>
    </row>
    <row r="58" spans="2:20" ht="23.1" customHeight="1" x14ac:dyDescent="0.25">
      <c r="B58" s="45" t="s">
        <v>99</v>
      </c>
      <c r="C58" s="50">
        <v>80</v>
      </c>
      <c r="D58" s="50">
        <v>14</v>
      </c>
      <c r="E58" s="50">
        <v>28</v>
      </c>
      <c r="F58" s="50">
        <v>75</v>
      </c>
      <c r="G58" s="50">
        <v>4</v>
      </c>
      <c r="H58" s="50">
        <v>3</v>
      </c>
      <c r="I58" s="50">
        <v>8</v>
      </c>
      <c r="J58" s="50">
        <v>2</v>
      </c>
      <c r="K58" s="50">
        <v>0</v>
      </c>
      <c r="L58" s="50">
        <v>0</v>
      </c>
      <c r="M58" s="50">
        <v>195</v>
      </c>
      <c r="N58" s="50">
        <v>0</v>
      </c>
      <c r="O58" s="15">
        <f t="shared" si="0"/>
        <v>214</v>
      </c>
      <c r="P58" s="15">
        <f t="shared" si="1"/>
        <v>409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6</v>
      </c>
      <c r="E59" s="50">
        <v>8</v>
      </c>
      <c r="F59" s="50">
        <v>78</v>
      </c>
      <c r="G59" s="50">
        <v>0</v>
      </c>
      <c r="H59" s="50">
        <v>1</v>
      </c>
      <c r="I59" s="50">
        <v>2</v>
      </c>
      <c r="J59" s="50">
        <v>1</v>
      </c>
      <c r="K59" s="50">
        <v>0</v>
      </c>
      <c r="L59" s="50">
        <v>0</v>
      </c>
      <c r="M59" s="50">
        <v>150</v>
      </c>
      <c r="N59" s="50">
        <v>0</v>
      </c>
      <c r="O59" s="15">
        <f t="shared" si="0"/>
        <v>116</v>
      </c>
      <c r="P59" s="15">
        <f t="shared" si="1"/>
        <v>266</v>
      </c>
      <c r="R59" s="8"/>
      <c r="T59"/>
    </row>
    <row r="60" spans="2:20" ht="23.1" customHeight="1" x14ac:dyDescent="0.25">
      <c r="B60" s="45" t="s">
        <v>101</v>
      </c>
      <c r="C60" s="50">
        <v>85</v>
      </c>
      <c r="D60" s="50">
        <v>5</v>
      </c>
      <c r="E60" s="50">
        <v>6</v>
      </c>
      <c r="F60" s="50">
        <v>64</v>
      </c>
      <c r="G60" s="50">
        <v>1</v>
      </c>
      <c r="H60" s="50">
        <v>2</v>
      </c>
      <c r="I60" s="50">
        <v>1</v>
      </c>
      <c r="J60" s="50">
        <v>2</v>
      </c>
      <c r="K60" s="50">
        <v>0</v>
      </c>
      <c r="L60" s="50">
        <v>0</v>
      </c>
      <c r="M60" s="50">
        <v>110</v>
      </c>
      <c r="N60" s="50">
        <v>0</v>
      </c>
      <c r="O60" s="15">
        <f t="shared" si="0"/>
        <v>166</v>
      </c>
      <c r="P60" s="15">
        <f t="shared" si="1"/>
        <v>276</v>
      </c>
      <c r="R60" s="8"/>
      <c r="T60"/>
    </row>
    <row r="61" spans="2:20" ht="23.1" customHeight="1" x14ac:dyDescent="0.25">
      <c r="B61" s="45" t="s">
        <v>102</v>
      </c>
      <c r="C61" s="50">
        <v>90</v>
      </c>
      <c r="D61" s="50">
        <v>3</v>
      </c>
      <c r="E61" s="50">
        <v>7</v>
      </c>
      <c r="F61" s="50">
        <v>50</v>
      </c>
      <c r="G61" s="50">
        <v>1</v>
      </c>
      <c r="H61" s="50">
        <v>0</v>
      </c>
      <c r="I61" s="50">
        <v>1</v>
      </c>
      <c r="J61" s="50">
        <v>2</v>
      </c>
      <c r="K61" s="50">
        <v>0</v>
      </c>
      <c r="L61" s="50">
        <v>0</v>
      </c>
      <c r="M61" s="50">
        <v>160</v>
      </c>
      <c r="N61" s="50">
        <v>0</v>
      </c>
      <c r="O61" s="15">
        <f t="shared" si="0"/>
        <v>154</v>
      </c>
      <c r="P61" s="15">
        <f t="shared" si="1"/>
        <v>314</v>
      </c>
      <c r="R61" s="8"/>
      <c r="T61"/>
    </row>
    <row r="62" spans="2:20" ht="23.1" customHeight="1" x14ac:dyDescent="0.25">
      <c r="B62" s="45" t="s">
        <v>107</v>
      </c>
      <c r="C62" s="50">
        <v>95</v>
      </c>
      <c r="D62" s="50">
        <v>8</v>
      </c>
      <c r="E62" s="50">
        <v>6</v>
      </c>
      <c r="F62" s="50">
        <v>70</v>
      </c>
      <c r="G62" s="50">
        <v>2</v>
      </c>
      <c r="H62" s="50">
        <v>2</v>
      </c>
      <c r="I62" s="50">
        <v>3</v>
      </c>
      <c r="J62" s="50">
        <v>1</v>
      </c>
      <c r="K62" s="50">
        <v>0</v>
      </c>
      <c r="L62" s="50">
        <v>0</v>
      </c>
      <c r="M62" s="50">
        <v>190</v>
      </c>
      <c r="N62" s="50">
        <v>0</v>
      </c>
      <c r="O62" s="15">
        <f t="shared" si="0"/>
        <v>187</v>
      </c>
      <c r="P62" s="15">
        <f t="shared" si="1"/>
        <v>377</v>
      </c>
      <c r="R62" s="8"/>
      <c r="T62"/>
    </row>
    <row r="63" spans="2:20" ht="23.1" customHeight="1" x14ac:dyDescent="0.25">
      <c r="B63" s="45" t="s">
        <v>108</v>
      </c>
      <c r="C63" s="50">
        <v>105</v>
      </c>
      <c r="D63" s="50">
        <v>3</v>
      </c>
      <c r="E63" s="50">
        <v>5</v>
      </c>
      <c r="F63" s="50">
        <v>90</v>
      </c>
      <c r="G63" s="50">
        <v>1</v>
      </c>
      <c r="H63" s="50">
        <v>3</v>
      </c>
      <c r="I63" s="50">
        <v>1</v>
      </c>
      <c r="J63" s="50">
        <v>2</v>
      </c>
      <c r="K63" s="50">
        <v>0</v>
      </c>
      <c r="L63" s="50">
        <v>0</v>
      </c>
      <c r="M63" s="50">
        <v>210</v>
      </c>
      <c r="N63" s="50">
        <v>0</v>
      </c>
      <c r="O63" s="15">
        <f t="shared" si="0"/>
        <v>210</v>
      </c>
      <c r="P63" s="15">
        <f t="shared" si="1"/>
        <v>420</v>
      </c>
      <c r="R63" s="8"/>
      <c r="T63"/>
    </row>
    <row r="64" spans="2:20" ht="23.1" customHeight="1" x14ac:dyDescent="0.25">
      <c r="B64" s="45" t="s">
        <v>109</v>
      </c>
      <c r="C64" s="50">
        <v>90</v>
      </c>
      <c r="D64" s="50">
        <v>4</v>
      </c>
      <c r="E64" s="50">
        <v>3</v>
      </c>
      <c r="F64" s="50">
        <v>60</v>
      </c>
      <c r="G64" s="50">
        <v>3</v>
      </c>
      <c r="H64" s="50">
        <v>1</v>
      </c>
      <c r="I64" s="50">
        <v>2</v>
      </c>
      <c r="J64" s="50">
        <v>3</v>
      </c>
      <c r="K64" s="50">
        <v>0</v>
      </c>
      <c r="L64" s="50">
        <v>0</v>
      </c>
      <c r="M64" s="50">
        <v>170</v>
      </c>
      <c r="N64" s="50">
        <v>0</v>
      </c>
      <c r="O64" s="15">
        <f t="shared" si="0"/>
        <v>166</v>
      </c>
      <c r="P64" s="15">
        <f t="shared" si="1"/>
        <v>336</v>
      </c>
      <c r="R64" s="8"/>
      <c r="T64"/>
    </row>
    <row r="65" spans="2:20" ht="23.1" customHeight="1" x14ac:dyDescent="0.25">
      <c r="B65" s="45" t="s">
        <v>158</v>
      </c>
      <c r="C65" s="50">
        <v>90</v>
      </c>
      <c r="D65" s="50">
        <v>6</v>
      </c>
      <c r="E65" s="50">
        <v>7</v>
      </c>
      <c r="F65" s="50">
        <v>90</v>
      </c>
      <c r="G65" s="50">
        <v>2</v>
      </c>
      <c r="H65" s="50">
        <v>1</v>
      </c>
      <c r="I65" s="50">
        <v>4</v>
      </c>
      <c r="J65" s="50">
        <v>1</v>
      </c>
      <c r="K65" s="50">
        <v>0</v>
      </c>
      <c r="L65" s="50">
        <v>0</v>
      </c>
      <c r="M65" s="50">
        <v>200</v>
      </c>
      <c r="N65" s="50">
        <v>0</v>
      </c>
      <c r="O65" s="15">
        <f t="shared" si="0"/>
        <v>201</v>
      </c>
      <c r="P65" s="15">
        <f t="shared" si="1"/>
        <v>401</v>
      </c>
      <c r="R65" s="8"/>
      <c r="T65"/>
    </row>
    <row r="66" spans="2:20" ht="23.1" customHeight="1" x14ac:dyDescent="0.25">
      <c r="B66" s="45" t="s">
        <v>103</v>
      </c>
      <c r="C66" s="50">
        <v>105</v>
      </c>
      <c r="D66" s="50">
        <v>3</v>
      </c>
      <c r="E66" s="50">
        <v>4</v>
      </c>
      <c r="F66" s="50">
        <v>60</v>
      </c>
      <c r="G66" s="50">
        <v>0</v>
      </c>
      <c r="H66" s="50">
        <v>1</v>
      </c>
      <c r="I66" s="50">
        <v>3</v>
      </c>
      <c r="J66" s="50">
        <v>4</v>
      </c>
      <c r="K66" s="50">
        <v>0</v>
      </c>
      <c r="L66" s="50">
        <v>1</v>
      </c>
      <c r="M66" s="50">
        <v>230</v>
      </c>
      <c r="N66" s="50">
        <v>0</v>
      </c>
      <c r="O66" s="15">
        <f t="shared" si="0"/>
        <v>181</v>
      </c>
      <c r="P66" s="15">
        <f t="shared" si="1"/>
        <v>411</v>
      </c>
      <c r="R66" s="8"/>
      <c r="T66"/>
    </row>
    <row r="67" spans="2:20" ht="23.1" customHeight="1" x14ac:dyDescent="0.25">
      <c r="B67" s="45" t="s">
        <v>104</v>
      </c>
      <c r="C67" s="50">
        <v>24</v>
      </c>
      <c r="D67" s="50">
        <v>4</v>
      </c>
      <c r="E67" s="50">
        <v>2</v>
      </c>
      <c r="F67" s="50">
        <v>38</v>
      </c>
      <c r="G67" s="50">
        <v>2</v>
      </c>
      <c r="H67" s="50">
        <v>2</v>
      </c>
      <c r="I67" s="50">
        <v>4</v>
      </c>
      <c r="J67" s="50">
        <v>5</v>
      </c>
      <c r="K67" s="50">
        <v>0</v>
      </c>
      <c r="L67" s="50">
        <v>2</v>
      </c>
      <c r="M67" s="50">
        <v>160</v>
      </c>
      <c r="N67" s="50">
        <v>0</v>
      </c>
      <c r="O67" s="15">
        <f t="shared" si="0"/>
        <v>83</v>
      </c>
      <c r="P67" s="15">
        <f t="shared" si="1"/>
        <v>243</v>
      </c>
      <c r="R67" s="8"/>
      <c r="T67"/>
    </row>
    <row r="68" spans="2:20" ht="23.1" customHeight="1" x14ac:dyDescent="0.25">
      <c r="B68" s="45" t="s">
        <v>105</v>
      </c>
      <c r="C68" s="50">
        <v>40</v>
      </c>
      <c r="D68" s="50">
        <v>3</v>
      </c>
      <c r="E68" s="50">
        <v>2</v>
      </c>
      <c r="F68" s="50">
        <v>4</v>
      </c>
      <c r="G68" s="50">
        <v>0</v>
      </c>
      <c r="H68" s="50">
        <v>1</v>
      </c>
      <c r="I68" s="50">
        <v>2</v>
      </c>
      <c r="J68" s="50">
        <v>2</v>
      </c>
      <c r="K68" s="50">
        <v>0</v>
      </c>
      <c r="L68" s="50">
        <v>0</v>
      </c>
      <c r="M68" s="50">
        <v>130</v>
      </c>
      <c r="N68" s="50">
        <v>0</v>
      </c>
      <c r="O68" s="15">
        <f t="shared" si="0"/>
        <v>54</v>
      </c>
      <c r="P68" s="15">
        <f t="shared" si="1"/>
        <v>184</v>
      </c>
      <c r="R68" s="8"/>
      <c r="T68"/>
    </row>
    <row r="69" spans="2:20" ht="23.1" customHeight="1" x14ac:dyDescent="0.25">
      <c r="B69" s="45" t="s">
        <v>106</v>
      </c>
      <c r="C69" s="50">
        <v>49</v>
      </c>
      <c r="D69" s="50">
        <v>4</v>
      </c>
      <c r="E69" s="50">
        <v>1</v>
      </c>
      <c r="F69" s="50">
        <v>30</v>
      </c>
      <c r="G69" s="50">
        <v>1</v>
      </c>
      <c r="H69" s="50">
        <v>1</v>
      </c>
      <c r="I69" s="50">
        <v>6</v>
      </c>
      <c r="J69" s="50">
        <v>5</v>
      </c>
      <c r="K69" s="50">
        <v>0</v>
      </c>
      <c r="L69" s="50">
        <v>3</v>
      </c>
      <c r="M69" s="50">
        <v>95</v>
      </c>
      <c r="N69" s="50">
        <v>0</v>
      </c>
      <c r="O69" s="15">
        <f t="shared" si="0"/>
        <v>100</v>
      </c>
      <c r="P69" s="15">
        <f t="shared" si="1"/>
        <v>195</v>
      </c>
      <c r="R69" s="8"/>
      <c r="T69"/>
    </row>
    <row r="70" spans="2:20" ht="23.1" customHeight="1" x14ac:dyDescent="0.25">
      <c r="B70" s="45" t="s">
        <v>110</v>
      </c>
      <c r="C70" s="50">
        <v>40</v>
      </c>
      <c r="D70" s="50">
        <v>8</v>
      </c>
      <c r="E70" s="50">
        <v>8</v>
      </c>
      <c r="F70" s="50">
        <v>40</v>
      </c>
      <c r="G70" s="50">
        <v>1</v>
      </c>
      <c r="H70" s="50">
        <v>2</v>
      </c>
      <c r="I70" s="50">
        <v>3</v>
      </c>
      <c r="J70" s="50">
        <v>0</v>
      </c>
      <c r="K70" s="50">
        <v>0</v>
      </c>
      <c r="L70" s="50">
        <v>2</v>
      </c>
      <c r="M70" s="50">
        <v>130</v>
      </c>
      <c r="N70" s="50">
        <v>0</v>
      </c>
      <c r="O70" s="15">
        <f t="shared" si="0"/>
        <v>104</v>
      </c>
      <c r="P70" s="15">
        <f t="shared" si="1"/>
        <v>234</v>
      </c>
      <c r="R70" s="8"/>
      <c r="T70"/>
    </row>
    <row r="71" spans="2:20" ht="23.1" customHeight="1" x14ac:dyDescent="0.25">
      <c r="B71" s="45" t="s">
        <v>111</v>
      </c>
      <c r="C71" s="50">
        <v>50</v>
      </c>
      <c r="D71" s="50">
        <v>16</v>
      </c>
      <c r="E71" s="50">
        <v>7</v>
      </c>
      <c r="F71" s="50">
        <v>61</v>
      </c>
      <c r="G71" s="50">
        <v>3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100</v>
      </c>
      <c r="N71" s="50">
        <v>0</v>
      </c>
      <c r="O71" s="15">
        <f t="shared" si="0"/>
        <v>139</v>
      </c>
      <c r="P71" s="15">
        <f t="shared" si="1"/>
        <v>239</v>
      </c>
      <c r="R71" s="8"/>
      <c r="T71"/>
    </row>
    <row r="72" spans="2:20" ht="23.1" customHeight="1" x14ac:dyDescent="0.25">
      <c r="B72" s="45" t="s">
        <v>112</v>
      </c>
      <c r="C72" s="50">
        <v>45</v>
      </c>
      <c r="D72" s="50">
        <v>9</v>
      </c>
      <c r="E72" s="50">
        <v>8</v>
      </c>
      <c r="F72" s="50">
        <v>50</v>
      </c>
      <c r="G72" s="50">
        <v>1</v>
      </c>
      <c r="H72" s="50">
        <v>6</v>
      </c>
      <c r="I72" s="50">
        <v>0</v>
      </c>
      <c r="J72" s="50">
        <v>1</v>
      </c>
      <c r="K72" s="50">
        <v>0</v>
      </c>
      <c r="L72" s="50">
        <v>0</v>
      </c>
      <c r="M72" s="50">
        <v>115</v>
      </c>
      <c r="N72" s="50">
        <v>0</v>
      </c>
      <c r="O72" s="15">
        <f t="shared" si="0"/>
        <v>120</v>
      </c>
      <c r="P72" s="15">
        <f t="shared" si="1"/>
        <v>235</v>
      </c>
      <c r="R72" s="8"/>
      <c r="T72"/>
    </row>
    <row r="73" spans="2:20" ht="23.1" customHeight="1" x14ac:dyDescent="0.25">
      <c r="B73" s="45" t="s">
        <v>113</v>
      </c>
      <c r="C73" s="50">
        <v>40</v>
      </c>
      <c r="D73" s="50">
        <v>20</v>
      </c>
      <c r="E73" s="50">
        <v>30</v>
      </c>
      <c r="F73" s="50">
        <v>1</v>
      </c>
      <c r="G73" s="50">
        <v>0</v>
      </c>
      <c r="H73" s="50">
        <v>2</v>
      </c>
      <c r="I73" s="50">
        <v>1</v>
      </c>
      <c r="J73" s="50">
        <v>0</v>
      </c>
      <c r="K73" s="50">
        <v>0</v>
      </c>
      <c r="L73" s="50">
        <v>0</v>
      </c>
      <c r="M73" s="50">
        <v>120</v>
      </c>
      <c r="N73" s="50">
        <v>0</v>
      </c>
      <c r="O73" s="15">
        <f t="shared" si="0"/>
        <v>94</v>
      </c>
      <c r="P73" s="15">
        <f t="shared" si="1"/>
        <v>214</v>
      </c>
      <c r="R73" s="8"/>
      <c r="T73"/>
    </row>
    <row r="74" spans="2:20" ht="23.1" customHeight="1" x14ac:dyDescent="0.25">
      <c r="B74" s="45" t="s">
        <v>114</v>
      </c>
      <c r="C74" s="50">
        <v>35</v>
      </c>
      <c r="D74" s="50">
        <v>20</v>
      </c>
      <c r="E74" s="50">
        <v>0</v>
      </c>
      <c r="F74" s="50">
        <v>30</v>
      </c>
      <c r="G74" s="50">
        <v>0</v>
      </c>
      <c r="H74" s="50">
        <v>1</v>
      </c>
      <c r="I74" s="50">
        <v>1</v>
      </c>
      <c r="J74" s="50">
        <v>0</v>
      </c>
      <c r="K74" s="50">
        <v>0</v>
      </c>
      <c r="L74" s="50">
        <v>0</v>
      </c>
      <c r="M74" s="50">
        <v>95</v>
      </c>
      <c r="N74" s="50">
        <v>0</v>
      </c>
      <c r="O74" s="15">
        <f t="shared" ref="O74:O105" si="35">SUM(C74:L74,N74)</f>
        <v>87</v>
      </c>
      <c r="P74" s="15">
        <f t="shared" ref="P74:P105" si="36">SUM(C74:N74)</f>
        <v>182</v>
      </c>
      <c r="R74" s="8"/>
      <c r="T74"/>
    </row>
    <row r="75" spans="2:20" ht="23.1" customHeight="1" x14ac:dyDescent="0.25">
      <c r="B75" s="45" t="s">
        <v>115</v>
      </c>
      <c r="C75" s="50">
        <v>55</v>
      </c>
      <c r="D75" s="50">
        <v>55</v>
      </c>
      <c r="E75" s="50">
        <v>0</v>
      </c>
      <c r="F75" s="50">
        <v>45</v>
      </c>
      <c r="G75" s="50">
        <v>0</v>
      </c>
      <c r="H75" s="50">
        <v>1</v>
      </c>
      <c r="I75" s="50">
        <v>0</v>
      </c>
      <c r="J75" s="50">
        <v>0</v>
      </c>
      <c r="K75" s="50">
        <v>0</v>
      </c>
      <c r="L75" s="50">
        <v>0</v>
      </c>
      <c r="M75" s="50">
        <v>125</v>
      </c>
      <c r="N75" s="50">
        <v>0</v>
      </c>
      <c r="O75" s="15">
        <f t="shared" si="35"/>
        <v>156</v>
      </c>
      <c r="P75" s="15">
        <f t="shared" si="36"/>
        <v>281</v>
      </c>
      <c r="R75" s="8"/>
      <c r="T75"/>
    </row>
    <row r="76" spans="2:20" ht="23.1" customHeight="1" x14ac:dyDescent="0.25">
      <c r="B76" s="45" t="s">
        <v>116</v>
      </c>
      <c r="C76" s="50">
        <v>45</v>
      </c>
      <c r="D76" s="50">
        <v>10</v>
      </c>
      <c r="E76" s="50">
        <v>1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65</v>
      </c>
      <c r="N76" s="50">
        <v>0</v>
      </c>
      <c r="O76" s="15">
        <f t="shared" si="35"/>
        <v>57</v>
      </c>
      <c r="P76" s="15">
        <f t="shared" si="36"/>
        <v>122</v>
      </c>
      <c r="R76" s="8"/>
      <c r="T76"/>
    </row>
    <row r="77" spans="2:20" ht="23.1" customHeight="1" x14ac:dyDescent="0.25">
      <c r="B77" s="45" t="s">
        <v>117</v>
      </c>
      <c r="C77" s="50">
        <v>40</v>
      </c>
      <c r="D77" s="50">
        <v>20</v>
      </c>
      <c r="E77" s="50">
        <v>2</v>
      </c>
      <c r="F77" s="50">
        <v>4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60</v>
      </c>
      <c r="N77" s="50">
        <v>0</v>
      </c>
      <c r="O77" s="15">
        <f t="shared" si="35"/>
        <v>68</v>
      </c>
      <c r="P77" s="15">
        <f t="shared" si="36"/>
        <v>128</v>
      </c>
      <c r="R77" s="8"/>
      <c r="T77"/>
    </row>
    <row r="78" spans="2:20" ht="23.1" customHeight="1" x14ac:dyDescent="0.25">
      <c r="B78" s="46" t="s">
        <v>118</v>
      </c>
      <c r="C78" s="50">
        <v>25</v>
      </c>
      <c r="D78" s="50">
        <v>5</v>
      </c>
      <c r="E78" s="50">
        <v>2</v>
      </c>
      <c r="F78" s="50">
        <v>9</v>
      </c>
      <c r="G78" s="50">
        <v>0</v>
      </c>
      <c r="H78" s="50">
        <v>0</v>
      </c>
      <c r="I78" s="50">
        <v>0</v>
      </c>
      <c r="J78" s="50">
        <v>2</v>
      </c>
      <c r="K78" s="50">
        <v>0</v>
      </c>
      <c r="L78" s="50">
        <v>0</v>
      </c>
      <c r="M78" s="50">
        <v>45</v>
      </c>
      <c r="N78" s="50">
        <v>0</v>
      </c>
      <c r="O78" s="15">
        <f t="shared" si="35"/>
        <v>43</v>
      </c>
      <c r="P78" s="15">
        <f t="shared" si="36"/>
        <v>88</v>
      </c>
      <c r="R78" s="8"/>
      <c r="T78"/>
    </row>
    <row r="79" spans="2:20" ht="23.1" customHeight="1" x14ac:dyDescent="0.25">
      <c r="B79" s="45" t="s">
        <v>119</v>
      </c>
      <c r="C79" s="50">
        <v>29</v>
      </c>
      <c r="D79" s="50">
        <v>3</v>
      </c>
      <c r="E79" s="50">
        <v>0</v>
      </c>
      <c r="F79" s="50">
        <v>6</v>
      </c>
      <c r="G79" s="50">
        <v>1</v>
      </c>
      <c r="H79" s="50">
        <v>1</v>
      </c>
      <c r="I79" s="50">
        <v>0</v>
      </c>
      <c r="J79" s="50">
        <v>0</v>
      </c>
      <c r="K79" s="50">
        <v>0</v>
      </c>
      <c r="L79" s="50">
        <v>0</v>
      </c>
      <c r="M79" s="50">
        <v>31</v>
      </c>
      <c r="N79" s="50">
        <v>0</v>
      </c>
      <c r="O79" s="15">
        <f t="shared" si="35"/>
        <v>40</v>
      </c>
      <c r="P79" s="15">
        <f t="shared" si="36"/>
        <v>71</v>
      </c>
      <c r="R79" s="8"/>
      <c r="T79"/>
    </row>
    <row r="80" spans="2:20" ht="23.1" customHeight="1" x14ac:dyDescent="0.25">
      <c r="B80" s="47" t="s">
        <v>120</v>
      </c>
      <c r="C80" s="50">
        <v>13</v>
      </c>
      <c r="D80" s="50">
        <v>1</v>
      </c>
      <c r="E80" s="50">
        <v>3</v>
      </c>
      <c r="F80" s="50">
        <v>0</v>
      </c>
      <c r="G80" s="50">
        <v>0</v>
      </c>
      <c r="H80" s="50">
        <v>1</v>
      </c>
      <c r="I80" s="50">
        <v>2</v>
      </c>
      <c r="J80" s="50">
        <v>0</v>
      </c>
      <c r="K80" s="50">
        <v>0</v>
      </c>
      <c r="L80" s="50">
        <v>0</v>
      </c>
      <c r="M80" s="50">
        <v>49</v>
      </c>
      <c r="N80" s="50">
        <v>0</v>
      </c>
      <c r="O80" s="15">
        <f t="shared" si="35"/>
        <v>20</v>
      </c>
      <c r="P80" s="15">
        <f t="shared" si="36"/>
        <v>69</v>
      </c>
      <c r="R80" s="8"/>
      <c r="T80"/>
    </row>
    <row r="81" spans="2:20" ht="23.1" customHeight="1" x14ac:dyDescent="0.25">
      <c r="B81" s="45" t="s">
        <v>121</v>
      </c>
      <c r="C81" s="50">
        <v>27</v>
      </c>
      <c r="D81" s="50">
        <v>0</v>
      </c>
      <c r="E81" s="50">
        <v>7</v>
      </c>
      <c r="F81" s="50">
        <v>18</v>
      </c>
      <c r="G81" s="50">
        <v>0</v>
      </c>
      <c r="H81" s="50">
        <v>3</v>
      </c>
      <c r="I81" s="50">
        <v>0</v>
      </c>
      <c r="J81" s="50">
        <v>1</v>
      </c>
      <c r="K81" s="50">
        <v>0</v>
      </c>
      <c r="L81" s="50">
        <v>0</v>
      </c>
      <c r="M81" s="50">
        <v>55</v>
      </c>
      <c r="N81" s="50">
        <v>0</v>
      </c>
      <c r="O81" s="15">
        <f t="shared" si="35"/>
        <v>56</v>
      </c>
      <c r="P81" s="15">
        <f t="shared" si="36"/>
        <v>111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0</v>
      </c>
      <c r="E82" s="50">
        <v>2</v>
      </c>
      <c r="F82" s="50">
        <v>1</v>
      </c>
      <c r="G82" s="50">
        <v>0</v>
      </c>
      <c r="H82" s="50">
        <v>2</v>
      </c>
      <c r="I82" s="50">
        <v>0</v>
      </c>
      <c r="J82" s="50">
        <v>1</v>
      </c>
      <c r="K82" s="50">
        <v>0</v>
      </c>
      <c r="L82" s="50">
        <v>0</v>
      </c>
      <c r="M82" s="50">
        <v>16</v>
      </c>
      <c r="N82" s="50">
        <v>0</v>
      </c>
      <c r="O82" s="15">
        <f t="shared" si="35"/>
        <v>13</v>
      </c>
      <c r="P82" s="15">
        <f t="shared" si="36"/>
        <v>29</v>
      </c>
      <c r="R82" s="8"/>
      <c r="T82"/>
    </row>
    <row r="83" spans="2:20" ht="23.1" customHeight="1" x14ac:dyDescent="0.25">
      <c r="B83" s="45" t="s">
        <v>123</v>
      </c>
      <c r="C83" s="50">
        <v>7</v>
      </c>
      <c r="D83" s="50">
        <v>0</v>
      </c>
      <c r="E83" s="50">
        <v>1</v>
      </c>
      <c r="F83" s="50">
        <v>3</v>
      </c>
      <c r="G83" s="50">
        <v>1</v>
      </c>
      <c r="H83" s="50">
        <v>1</v>
      </c>
      <c r="I83" s="50">
        <v>0</v>
      </c>
      <c r="J83" s="50">
        <v>0</v>
      </c>
      <c r="K83" s="50">
        <v>0</v>
      </c>
      <c r="L83" s="50">
        <v>0</v>
      </c>
      <c r="M83" s="50">
        <v>19</v>
      </c>
      <c r="N83" s="50">
        <v>0</v>
      </c>
      <c r="O83" s="15">
        <f t="shared" si="35"/>
        <v>13</v>
      </c>
      <c r="P83" s="15">
        <f t="shared" si="36"/>
        <v>32</v>
      </c>
      <c r="R83" s="8"/>
      <c r="T83"/>
    </row>
    <row r="84" spans="2:20" ht="23.1" customHeight="1" x14ac:dyDescent="0.25">
      <c r="B84" s="47" t="s">
        <v>124</v>
      </c>
      <c r="C84" s="50">
        <v>8</v>
      </c>
      <c r="D84" s="50">
        <v>1</v>
      </c>
      <c r="E84" s="50">
        <v>0</v>
      </c>
      <c r="F84" s="50">
        <v>4</v>
      </c>
      <c r="G84" s="50">
        <v>0</v>
      </c>
      <c r="H84" s="50">
        <v>0</v>
      </c>
      <c r="I84" s="50">
        <v>0</v>
      </c>
      <c r="J84" s="50">
        <v>2</v>
      </c>
      <c r="K84" s="50">
        <v>0</v>
      </c>
      <c r="L84" s="50">
        <v>0</v>
      </c>
      <c r="M84" s="50">
        <v>21</v>
      </c>
      <c r="N84" s="50">
        <v>0</v>
      </c>
      <c r="O84" s="15">
        <f t="shared" si="35"/>
        <v>15</v>
      </c>
      <c r="P84" s="15">
        <f t="shared" si="36"/>
        <v>36</v>
      </c>
      <c r="R84" s="8"/>
      <c r="T84"/>
    </row>
    <row r="85" spans="2:20" ht="23.1" customHeight="1" x14ac:dyDescent="0.25">
      <c r="B85" s="45" t="s">
        <v>125</v>
      </c>
      <c r="C85" s="50">
        <v>13</v>
      </c>
      <c r="D85" s="50">
        <v>2</v>
      </c>
      <c r="E85" s="50">
        <v>1</v>
      </c>
      <c r="F85" s="50">
        <v>3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26</v>
      </c>
      <c r="N85" s="50">
        <v>0</v>
      </c>
      <c r="O85" s="15">
        <f t="shared" si="35"/>
        <v>19</v>
      </c>
      <c r="P85" s="15">
        <f t="shared" si="36"/>
        <v>45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2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5">
        <f t="shared" si="35"/>
        <v>12</v>
      </c>
      <c r="P86" s="15">
        <f t="shared" si="36"/>
        <v>24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1</v>
      </c>
      <c r="E87" s="50">
        <v>0</v>
      </c>
      <c r="F87" s="50">
        <v>1</v>
      </c>
      <c r="G87" s="50">
        <v>0</v>
      </c>
      <c r="H87" s="50">
        <v>2</v>
      </c>
      <c r="I87" s="50">
        <v>1</v>
      </c>
      <c r="J87" s="50">
        <v>2</v>
      </c>
      <c r="K87" s="50">
        <v>0</v>
      </c>
      <c r="L87" s="50">
        <v>0</v>
      </c>
      <c r="M87" s="50">
        <v>12</v>
      </c>
      <c r="N87" s="50">
        <v>0</v>
      </c>
      <c r="O87" s="15">
        <f t="shared" si="35"/>
        <v>11</v>
      </c>
      <c r="P87" s="15">
        <f t="shared" si="36"/>
        <v>23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0</v>
      </c>
      <c r="E88" s="50">
        <v>0</v>
      </c>
      <c r="F88" s="50">
        <v>2</v>
      </c>
      <c r="G88" s="50">
        <v>0</v>
      </c>
      <c r="H88" s="50">
        <v>1</v>
      </c>
      <c r="I88" s="50">
        <v>0</v>
      </c>
      <c r="J88" s="50">
        <v>0</v>
      </c>
      <c r="K88" s="50">
        <v>0</v>
      </c>
      <c r="L88" s="50">
        <v>0</v>
      </c>
      <c r="M88" s="50">
        <v>2</v>
      </c>
      <c r="N88" s="50">
        <v>0</v>
      </c>
      <c r="O88" s="15">
        <f t="shared" si="35"/>
        <v>12</v>
      </c>
      <c r="P88" s="15">
        <f t="shared" si="36"/>
        <v>14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1</v>
      </c>
      <c r="E89" s="50">
        <v>1</v>
      </c>
      <c r="F89" s="50">
        <v>0</v>
      </c>
      <c r="G89" s="50">
        <v>0</v>
      </c>
      <c r="H89" s="50">
        <v>1</v>
      </c>
      <c r="I89" s="50">
        <v>1</v>
      </c>
      <c r="J89" s="50">
        <v>0</v>
      </c>
      <c r="K89" s="50">
        <v>1</v>
      </c>
      <c r="L89" s="50">
        <v>0</v>
      </c>
      <c r="M89" s="50">
        <v>11</v>
      </c>
      <c r="N89" s="50">
        <v>0</v>
      </c>
      <c r="O89" s="15">
        <f t="shared" si="35"/>
        <v>14</v>
      </c>
      <c r="P89" s="15">
        <f t="shared" si="36"/>
        <v>25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1</v>
      </c>
      <c r="F90" s="50">
        <v>2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7</v>
      </c>
      <c r="N90" s="50">
        <v>0</v>
      </c>
      <c r="O90" s="15">
        <f t="shared" si="35"/>
        <v>6</v>
      </c>
      <c r="P90" s="15">
        <f t="shared" si="36"/>
        <v>13</v>
      </c>
      <c r="R90" s="8"/>
      <c r="T90"/>
    </row>
    <row r="91" spans="2:20" ht="23.1" customHeight="1" x14ac:dyDescent="0.25">
      <c r="B91" s="45" t="s">
        <v>131</v>
      </c>
      <c r="C91" s="50">
        <v>9</v>
      </c>
      <c r="D91" s="50">
        <v>1</v>
      </c>
      <c r="E91" s="50">
        <v>0</v>
      </c>
      <c r="F91" s="50">
        <v>0</v>
      </c>
      <c r="G91" s="50">
        <v>0</v>
      </c>
      <c r="H91" s="50">
        <v>4</v>
      </c>
      <c r="I91" s="50">
        <v>0</v>
      </c>
      <c r="J91" s="50">
        <v>0</v>
      </c>
      <c r="K91" s="50">
        <v>0</v>
      </c>
      <c r="L91" s="50">
        <v>0</v>
      </c>
      <c r="M91" s="50">
        <v>10</v>
      </c>
      <c r="N91" s="50">
        <v>0</v>
      </c>
      <c r="O91" s="15">
        <f t="shared" si="35"/>
        <v>14</v>
      </c>
      <c r="P91" s="15">
        <f t="shared" si="36"/>
        <v>24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11</v>
      </c>
      <c r="N92" s="50">
        <v>0</v>
      </c>
      <c r="O92" s="15">
        <f t="shared" si="35"/>
        <v>3</v>
      </c>
      <c r="P92" s="15">
        <f t="shared" si="36"/>
        <v>14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4</v>
      </c>
      <c r="E93" s="50">
        <v>0</v>
      </c>
      <c r="F93" s="50">
        <v>2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19</v>
      </c>
      <c r="N93" s="50">
        <v>0</v>
      </c>
      <c r="O93" s="15">
        <f t="shared" si="35"/>
        <v>14</v>
      </c>
      <c r="P93" s="15">
        <f t="shared" si="36"/>
        <v>33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0</v>
      </c>
      <c r="E94" s="50">
        <v>0</v>
      </c>
      <c r="F94" s="50">
        <v>1</v>
      </c>
      <c r="G94" s="50">
        <v>0</v>
      </c>
      <c r="H94" s="50">
        <v>1</v>
      </c>
      <c r="I94" s="50">
        <v>1</v>
      </c>
      <c r="J94" s="50">
        <v>0</v>
      </c>
      <c r="K94" s="50">
        <v>0</v>
      </c>
      <c r="L94" s="50">
        <v>0</v>
      </c>
      <c r="M94" s="50">
        <v>17</v>
      </c>
      <c r="N94" s="50">
        <v>0</v>
      </c>
      <c r="O94" s="15">
        <f t="shared" si="35"/>
        <v>8</v>
      </c>
      <c r="P94" s="15">
        <f t="shared" si="36"/>
        <v>25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1</v>
      </c>
      <c r="E95" s="50">
        <v>0</v>
      </c>
      <c r="F95" s="50">
        <v>5</v>
      </c>
      <c r="G95" s="50">
        <v>0</v>
      </c>
      <c r="H95" s="50">
        <v>2</v>
      </c>
      <c r="I95" s="50">
        <v>0</v>
      </c>
      <c r="J95" s="50">
        <v>2</v>
      </c>
      <c r="K95" s="50">
        <v>0</v>
      </c>
      <c r="L95" s="50">
        <v>0</v>
      </c>
      <c r="M95" s="50">
        <v>11</v>
      </c>
      <c r="N95" s="50">
        <v>0</v>
      </c>
      <c r="O95" s="15">
        <f t="shared" si="35"/>
        <v>13</v>
      </c>
      <c r="P95" s="15">
        <f t="shared" si="36"/>
        <v>24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0</v>
      </c>
      <c r="F96" s="50">
        <v>9</v>
      </c>
      <c r="G96" s="50">
        <v>0</v>
      </c>
      <c r="H96" s="50">
        <v>3</v>
      </c>
      <c r="I96" s="50">
        <v>1</v>
      </c>
      <c r="J96" s="50">
        <v>0</v>
      </c>
      <c r="K96" s="50">
        <v>0</v>
      </c>
      <c r="L96" s="50">
        <v>0</v>
      </c>
      <c r="M96" s="50">
        <v>36</v>
      </c>
      <c r="N96" s="50">
        <v>0</v>
      </c>
      <c r="O96" s="15">
        <f t="shared" si="35"/>
        <v>17</v>
      </c>
      <c r="P96" s="15">
        <f t="shared" si="36"/>
        <v>53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2</v>
      </c>
      <c r="E97" s="50">
        <v>0</v>
      </c>
      <c r="F97" s="50">
        <v>5</v>
      </c>
      <c r="G97" s="50">
        <v>0</v>
      </c>
      <c r="H97" s="50">
        <v>3</v>
      </c>
      <c r="I97" s="50">
        <v>0</v>
      </c>
      <c r="J97" s="50">
        <v>0</v>
      </c>
      <c r="K97" s="50">
        <v>0</v>
      </c>
      <c r="L97" s="50">
        <v>0</v>
      </c>
      <c r="M97" s="50">
        <v>10</v>
      </c>
      <c r="N97" s="50">
        <v>0</v>
      </c>
      <c r="O97" s="15">
        <f t="shared" si="35"/>
        <v>12</v>
      </c>
      <c r="P97" s="15">
        <f t="shared" si="36"/>
        <v>22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2</v>
      </c>
      <c r="E98" s="50">
        <v>1</v>
      </c>
      <c r="F98" s="50">
        <v>5</v>
      </c>
      <c r="G98" s="50">
        <v>0</v>
      </c>
      <c r="H98" s="50">
        <v>2</v>
      </c>
      <c r="I98" s="50">
        <v>1</v>
      </c>
      <c r="J98" s="50">
        <v>0</v>
      </c>
      <c r="K98" s="50">
        <v>0</v>
      </c>
      <c r="L98" s="50">
        <v>0</v>
      </c>
      <c r="M98" s="50">
        <v>18</v>
      </c>
      <c r="N98" s="50">
        <v>0</v>
      </c>
      <c r="O98" s="15">
        <f t="shared" si="35"/>
        <v>12</v>
      </c>
      <c r="P98" s="15">
        <f t="shared" si="36"/>
        <v>30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4</v>
      </c>
      <c r="E99" s="50">
        <v>0</v>
      </c>
      <c r="F99" s="50">
        <v>14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24</v>
      </c>
      <c r="N99" s="50">
        <v>0</v>
      </c>
      <c r="O99" s="15">
        <f t="shared" si="35"/>
        <v>23</v>
      </c>
      <c r="P99" s="15">
        <f t="shared" si="36"/>
        <v>47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6</v>
      </c>
      <c r="E100" s="50">
        <v>0</v>
      </c>
      <c r="F100" s="50">
        <v>27</v>
      </c>
      <c r="G100" s="50">
        <v>0</v>
      </c>
      <c r="H100" s="50">
        <v>5</v>
      </c>
      <c r="I100" s="50">
        <v>2</v>
      </c>
      <c r="J100" s="50">
        <v>0</v>
      </c>
      <c r="K100" s="50">
        <v>0</v>
      </c>
      <c r="L100" s="50">
        <v>0</v>
      </c>
      <c r="M100" s="50">
        <v>41</v>
      </c>
      <c r="N100" s="50">
        <v>0</v>
      </c>
      <c r="O100" s="15">
        <f t="shared" si="35"/>
        <v>43</v>
      </c>
      <c r="P100" s="15">
        <f t="shared" si="36"/>
        <v>84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6</v>
      </c>
      <c r="E101" s="50">
        <v>2</v>
      </c>
      <c r="F101" s="50">
        <v>41</v>
      </c>
      <c r="G101" s="50">
        <v>1</v>
      </c>
      <c r="H101" s="50">
        <v>1</v>
      </c>
      <c r="I101" s="50">
        <v>1</v>
      </c>
      <c r="J101" s="50">
        <v>0</v>
      </c>
      <c r="K101" s="50">
        <v>0</v>
      </c>
      <c r="L101" s="50">
        <v>0</v>
      </c>
      <c r="M101" s="50">
        <v>38</v>
      </c>
      <c r="N101" s="50">
        <v>0</v>
      </c>
      <c r="O101" s="15">
        <f t="shared" si="35"/>
        <v>54</v>
      </c>
      <c r="P101" s="15">
        <f t="shared" si="36"/>
        <v>92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8</v>
      </c>
      <c r="E102" s="50">
        <v>0</v>
      </c>
      <c r="F102" s="50">
        <v>17</v>
      </c>
      <c r="G102" s="50">
        <v>1</v>
      </c>
      <c r="H102" s="50">
        <v>4</v>
      </c>
      <c r="I102" s="50">
        <v>1</v>
      </c>
      <c r="J102" s="50">
        <v>0</v>
      </c>
      <c r="K102" s="50">
        <v>0</v>
      </c>
      <c r="L102" s="50">
        <v>1</v>
      </c>
      <c r="M102" s="50">
        <v>34</v>
      </c>
      <c r="N102" s="50">
        <v>0</v>
      </c>
      <c r="O102" s="15">
        <f t="shared" si="35"/>
        <v>37</v>
      </c>
      <c r="P102" s="15">
        <f t="shared" si="36"/>
        <v>71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3</v>
      </c>
      <c r="E103" s="50">
        <v>2</v>
      </c>
      <c r="F103" s="50">
        <v>35</v>
      </c>
      <c r="G103" s="50">
        <v>2</v>
      </c>
      <c r="H103" s="50">
        <v>1</v>
      </c>
      <c r="I103" s="50">
        <v>4</v>
      </c>
      <c r="J103" s="50">
        <v>0</v>
      </c>
      <c r="K103" s="50">
        <v>0</v>
      </c>
      <c r="L103" s="50">
        <v>0</v>
      </c>
      <c r="M103" s="50">
        <v>65</v>
      </c>
      <c r="N103" s="50">
        <v>0</v>
      </c>
      <c r="O103" s="15">
        <f t="shared" si="35"/>
        <v>51</v>
      </c>
      <c r="P103" s="15">
        <f t="shared" si="36"/>
        <v>116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4</v>
      </c>
      <c r="E104" s="50">
        <v>2</v>
      </c>
      <c r="F104" s="50">
        <v>35</v>
      </c>
      <c r="G104" s="50">
        <v>2</v>
      </c>
      <c r="H104" s="50">
        <v>1</v>
      </c>
      <c r="I104" s="50">
        <v>4</v>
      </c>
      <c r="J104" s="50">
        <v>2</v>
      </c>
      <c r="K104" s="50">
        <v>0</v>
      </c>
      <c r="L104" s="50">
        <v>0</v>
      </c>
      <c r="M104" s="50">
        <v>65</v>
      </c>
      <c r="N104" s="50">
        <v>0</v>
      </c>
      <c r="O104" s="15">
        <f t="shared" si="35"/>
        <v>53</v>
      </c>
      <c r="P104" s="15">
        <f t="shared" si="36"/>
        <v>118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6</v>
      </c>
      <c r="E105" s="50">
        <v>2</v>
      </c>
      <c r="F105" s="50">
        <v>55</v>
      </c>
      <c r="G105" s="50">
        <v>0</v>
      </c>
      <c r="H105" s="50">
        <v>0</v>
      </c>
      <c r="I105" s="50">
        <v>5</v>
      </c>
      <c r="J105" s="50">
        <v>2</v>
      </c>
      <c r="K105" s="50">
        <v>0</v>
      </c>
      <c r="L105" s="50">
        <v>0</v>
      </c>
      <c r="M105" s="50">
        <v>70</v>
      </c>
      <c r="N105" s="50">
        <v>0</v>
      </c>
      <c r="O105" s="15">
        <f t="shared" si="35"/>
        <v>77</v>
      </c>
      <c r="P105" s="15">
        <f t="shared" si="36"/>
        <v>147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2834</v>
      </c>
      <c r="D106" s="16">
        <f t="shared" ref="D106:P106" si="37">SUM(D10:D105)</f>
        <v>751</v>
      </c>
      <c r="E106" s="16">
        <f t="shared" si="37"/>
        <v>523</v>
      </c>
      <c r="F106" s="16">
        <f t="shared" si="37"/>
        <v>3190</v>
      </c>
      <c r="G106" s="16">
        <f t="shared" si="37"/>
        <v>74</v>
      </c>
      <c r="H106" s="16">
        <f t="shared" si="37"/>
        <v>118</v>
      </c>
      <c r="I106" s="16">
        <f t="shared" si="37"/>
        <v>237</v>
      </c>
      <c r="J106" s="16">
        <f t="shared" si="37"/>
        <v>126</v>
      </c>
      <c r="K106" s="16">
        <f t="shared" si="37"/>
        <v>6</v>
      </c>
      <c r="L106" s="16">
        <f t="shared" si="37"/>
        <v>17</v>
      </c>
      <c r="M106" s="16">
        <f t="shared" si="37"/>
        <v>11769</v>
      </c>
      <c r="N106" s="16">
        <f t="shared" si="37"/>
        <v>10</v>
      </c>
      <c r="O106" s="16">
        <f t="shared" si="37"/>
        <v>7886</v>
      </c>
      <c r="P106" s="16">
        <f t="shared" si="37"/>
        <v>19655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0.14418722971254133</v>
      </c>
      <c r="D107" s="43">
        <f t="shared" si="38"/>
        <v>3.8209107097430681E-2</v>
      </c>
      <c r="E107" s="43">
        <f t="shared" si="38"/>
        <v>2.6609005342152124E-2</v>
      </c>
      <c r="F107" s="43">
        <f t="shared" si="38"/>
        <v>0.1622996692953447</v>
      </c>
      <c r="G107" s="43">
        <f t="shared" si="38"/>
        <v>3.7649453065377765E-3</v>
      </c>
      <c r="H107" s="43">
        <f t="shared" si="38"/>
        <v>6.0035614347494276E-3</v>
      </c>
      <c r="I107" s="43">
        <f t="shared" si="38"/>
        <v>1.2058000508776394E-2</v>
      </c>
      <c r="J107" s="43">
        <f t="shared" si="38"/>
        <v>6.4105825489697279E-3</v>
      </c>
      <c r="K107" s="43">
        <f t="shared" si="38"/>
        <v>3.0526583566522515E-4</v>
      </c>
      <c r="L107" s="43">
        <f t="shared" si="38"/>
        <v>8.6491986771813792E-4</v>
      </c>
      <c r="M107" s="43">
        <f t="shared" si="38"/>
        <v>0.59877893665733906</v>
      </c>
      <c r="N107" s="43">
        <f t="shared" si="38"/>
        <v>5.0877639277537522E-4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0.35937103728125791</v>
      </c>
      <c r="D108" s="44">
        <f t="shared" ref="D108:N108" si="39">D106/$O$106</f>
        <v>9.5232056809535892E-2</v>
      </c>
      <c r="E108" s="44">
        <f t="shared" si="39"/>
        <v>6.6320060867359878E-2</v>
      </c>
      <c r="F108" s="44">
        <f t="shared" si="39"/>
        <v>0.40451432919097136</v>
      </c>
      <c r="G108" s="44">
        <f t="shared" si="39"/>
        <v>9.3837179812325637E-3</v>
      </c>
      <c r="H108" s="44">
        <f t="shared" si="39"/>
        <v>1.4963225970073548E-2</v>
      </c>
      <c r="I108" s="44">
        <f t="shared" si="39"/>
        <v>3.0053258939893482E-2</v>
      </c>
      <c r="J108" s="44">
        <f t="shared" si="39"/>
        <v>1.5977681968044635E-2</v>
      </c>
      <c r="K108" s="44">
        <f t="shared" si="39"/>
        <v>7.6084199847831603E-4</v>
      </c>
      <c r="L108" s="44">
        <f t="shared" si="39"/>
        <v>2.155718995688562E-3</v>
      </c>
      <c r="M108" s="44"/>
      <c r="N108" s="44">
        <f t="shared" si="39"/>
        <v>1.2680699974638599E-3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Natete-Rubaga-24h'!D5</f>
        <v>27.07.19</v>
      </c>
      <c r="E5" s="3"/>
      <c r="F5" s="41" t="s">
        <v>1</v>
      </c>
      <c r="G5" s="52" t="str">
        <f>'27.07 Natete-Rubaga-24h'!G5:H5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Rubaga-Natete'!D6:E6</f>
        <v>Rubaga</v>
      </c>
      <c r="E6" s="53"/>
      <c r="F6" s="2" t="s">
        <v>2</v>
      </c>
      <c r="G6" s="52" t="str">
        <f>'22.07 Rubaga-Natete'!G6:H6</f>
        <v>Natete</v>
      </c>
      <c r="H6" s="53"/>
      <c r="J6" s="2" t="s">
        <v>21</v>
      </c>
      <c r="K6" s="52" t="str">
        <f>'27.07 Natete-Rubaga-24h'!K6:L6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31</v>
      </c>
      <c r="D10" s="50">
        <v>20</v>
      </c>
      <c r="E10" s="50">
        <v>15</v>
      </c>
      <c r="F10" s="50">
        <v>45</v>
      </c>
      <c r="G10" s="50">
        <v>15</v>
      </c>
      <c r="H10" s="50">
        <v>0</v>
      </c>
      <c r="I10" s="50">
        <v>30</v>
      </c>
      <c r="J10" s="50">
        <v>4</v>
      </c>
      <c r="K10" s="50">
        <v>0</v>
      </c>
      <c r="L10" s="50">
        <v>0</v>
      </c>
      <c r="M10" s="50">
        <v>130</v>
      </c>
      <c r="N10" s="50">
        <v>0</v>
      </c>
      <c r="O10" s="15">
        <f t="shared" ref="O10:O73" si="0">SUM(C10:L10,N10)</f>
        <v>160</v>
      </c>
      <c r="P10" s="15">
        <f t="shared" ref="P10:P73" si="1">SUM(C10:N10)</f>
        <v>290</v>
      </c>
      <c r="R10" s="1" t="s">
        <v>6</v>
      </c>
      <c r="S10" s="17">
        <f t="shared" ref="S10:AF10" si="2">SUM(C10:C13)</f>
        <v>190</v>
      </c>
      <c r="T10" s="17">
        <f t="shared" si="2"/>
        <v>47</v>
      </c>
      <c r="U10" s="17">
        <f t="shared" si="2"/>
        <v>34</v>
      </c>
      <c r="V10" s="17">
        <f t="shared" si="2"/>
        <v>180</v>
      </c>
      <c r="W10" s="17">
        <f t="shared" si="2"/>
        <v>27</v>
      </c>
      <c r="X10" s="17">
        <f t="shared" si="2"/>
        <v>3</v>
      </c>
      <c r="Y10" s="17">
        <f t="shared" si="2"/>
        <v>44</v>
      </c>
      <c r="Z10" s="17">
        <f t="shared" si="2"/>
        <v>5</v>
      </c>
      <c r="AA10" s="17">
        <f t="shared" si="2"/>
        <v>1</v>
      </c>
      <c r="AB10" s="17">
        <f t="shared" si="2"/>
        <v>1</v>
      </c>
      <c r="AC10" s="17">
        <f t="shared" si="2"/>
        <v>680</v>
      </c>
      <c r="AD10" s="17">
        <f t="shared" si="2"/>
        <v>0</v>
      </c>
      <c r="AE10" s="31">
        <f t="shared" si="2"/>
        <v>532</v>
      </c>
      <c r="AF10" s="31">
        <f t="shared" si="2"/>
        <v>1212</v>
      </c>
    </row>
    <row r="11" spans="2:32" s="6" customFormat="1" ht="23.1" customHeight="1" x14ac:dyDescent="0.25">
      <c r="B11" s="45" t="s">
        <v>38</v>
      </c>
      <c r="C11" s="50">
        <v>60</v>
      </c>
      <c r="D11" s="50">
        <v>13</v>
      </c>
      <c r="E11" s="50">
        <v>7</v>
      </c>
      <c r="F11" s="50">
        <v>41</v>
      </c>
      <c r="G11" s="50">
        <v>10</v>
      </c>
      <c r="H11" s="50">
        <v>2</v>
      </c>
      <c r="I11" s="50">
        <v>6</v>
      </c>
      <c r="J11" s="50">
        <v>1</v>
      </c>
      <c r="K11" s="50">
        <v>0</v>
      </c>
      <c r="L11" s="50">
        <v>0</v>
      </c>
      <c r="M11" s="50">
        <v>147</v>
      </c>
      <c r="N11" s="50">
        <v>0</v>
      </c>
      <c r="O11" s="15">
        <f t="shared" si="0"/>
        <v>140</v>
      </c>
      <c r="P11" s="15">
        <f t="shared" si="1"/>
        <v>287</v>
      </c>
      <c r="R11" s="1" t="s">
        <v>7</v>
      </c>
      <c r="S11" s="17">
        <f t="shared" ref="S11:AF11" si="3">SUM(C14:C17)</f>
        <v>95</v>
      </c>
      <c r="T11" s="17">
        <f t="shared" si="3"/>
        <v>10</v>
      </c>
      <c r="U11" s="17">
        <f t="shared" si="3"/>
        <v>6</v>
      </c>
      <c r="V11" s="17">
        <f t="shared" si="3"/>
        <v>89</v>
      </c>
      <c r="W11" s="17">
        <f t="shared" si="3"/>
        <v>3</v>
      </c>
      <c r="X11" s="17">
        <f t="shared" si="3"/>
        <v>5</v>
      </c>
      <c r="Y11" s="17">
        <f t="shared" si="3"/>
        <v>6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395</v>
      </c>
      <c r="AD11" s="17">
        <f t="shared" si="3"/>
        <v>0</v>
      </c>
      <c r="AE11" s="31">
        <f t="shared" si="3"/>
        <v>217</v>
      </c>
      <c r="AF11" s="31">
        <f t="shared" si="3"/>
        <v>612</v>
      </c>
    </row>
    <row r="12" spans="2:32" ht="23.1" customHeight="1" x14ac:dyDescent="0.25">
      <c r="B12" s="45" t="s">
        <v>39</v>
      </c>
      <c r="C12" s="50">
        <v>43</v>
      </c>
      <c r="D12" s="50">
        <v>8</v>
      </c>
      <c r="E12" s="50">
        <v>4</v>
      </c>
      <c r="F12" s="50">
        <v>42</v>
      </c>
      <c r="G12" s="50">
        <v>0</v>
      </c>
      <c r="H12" s="50">
        <v>1</v>
      </c>
      <c r="I12" s="50">
        <v>2</v>
      </c>
      <c r="J12" s="50">
        <v>0</v>
      </c>
      <c r="K12" s="50">
        <v>0</v>
      </c>
      <c r="L12" s="50">
        <v>1</v>
      </c>
      <c r="M12" s="50">
        <v>208</v>
      </c>
      <c r="N12" s="50">
        <v>0</v>
      </c>
      <c r="O12" s="15">
        <f t="shared" si="0"/>
        <v>101</v>
      </c>
      <c r="P12" s="15">
        <f t="shared" si="1"/>
        <v>309</v>
      </c>
      <c r="R12" s="1" t="s">
        <v>8</v>
      </c>
      <c r="S12" s="17">
        <f t="shared" ref="S12:AF12" si="4">SUM(C18:C21)</f>
        <v>98</v>
      </c>
      <c r="T12" s="17">
        <f t="shared" si="4"/>
        <v>18</v>
      </c>
      <c r="U12" s="17">
        <f t="shared" si="4"/>
        <v>10</v>
      </c>
      <c r="V12" s="17">
        <f t="shared" si="4"/>
        <v>112</v>
      </c>
      <c r="W12" s="17">
        <f t="shared" si="4"/>
        <v>2</v>
      </c>
      <c r="X12" s="17">
        <f t="shared" si="4"/>
        <v>6</v>
      </c>
      <c r="Y12" s="17">
        <f t="shared" si="4"/>
        <v>12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584</v>
      </c>
      <c r="AD12" s="17">
        <f t="shared" si="4"/>
        <v>0</v>
      </c>
      <c r="AE12" s="31">
        <f t="shared" si="4"/>
        <v>259</v>
      </c>
      <c r="AF12" s="31">
        <f t="shared" si="4"/>
        <v>843</v>
      </c>
    </row>
    <row r="13" spans="2:32" ht="23.1" customHeight="1" x14ac:dyDescent="0.25">
      <c r="B13" s="45" t="s">
        <v>40</v>
      </c>
      <c r="C13" s="50">
        <v>56</v>
      </c>
      <c r="D13" s="50">
        <v>6</v>
      </c>
      <c r="E13" s="50">
        <v>8</v>
      </c>
      <c r="F13" s="50">
        <v>52</v>
      </c>
      <c r="G13" s="50">
        <v>2</v>
      </c>
      <c r="H13" s="50">
        <v>0</v>
      </c>
      <c r="I13" s="50">
        <v>6</v>
      </c>
      <c r="J13" s="50">
        <v>0</v>
      </c>
      <c r="K13" s="50">
        <v>1</v>
      </c>
      <c r="L13" s="50">
        <v>0</v>
      </c>
      <c r="M13" s="50">
        <v>195</v>
      </c>
      <c r="N13" s="50">
        <v>0</v>
      </c>
      <c r="O13" s="15">
        <f t="shared" si="0"/>
        <v>131</v>
      </c>
      <c r="P13" s="15">
        <f t="shared" si="1"/>
        <v>326</v>
      </c>
      <c r="R13" s="1" t="s">
        <v>9</v>
      </c>
      <c r="S13" s="17">
        <f t="shared" ref="S13:AF13" si="5">SUM(C22:C25)</f>
        <v>130</v>
      </c>
      <c r="T13" s="17">
        <f t="shared" si="5"/>
        <v>23</v>
      </c>
      <c r="U13" s="17">
        <f t="shared" si="5"/>
        <v>13</v>
      </c>
      <c r="V13" s="17">
        <f t="shared" si="5"/>
        <v>136</v>
      </c>
      <c r="W13" s="17">
        <f t="shared" si="5"/>
        <v>1</v>
      </c>
      <c r="X13" s="17">
        <f t="shared" si="5"/>
        <v>2</v>
      </c>
      <c r="Y13" s="17">
        <f t="shared" si="5"/>
        <v>11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559</v>
      </c>
      <c r="AD13" s="17">
        <f t="shared" si="5"/>
        <v>0</v>
      </c>
      <c r="AE13" s="31">
        <f t="shared" si="5"/>
        <v>319</v>
      </c>
      <c r="AF13" s="31">
        <f t="shared" si="5"/>
        <v>878</v>
      </c>
    </row>
    <row r="14" spans="2:32" ht="23.1" customHeight="1" x14ac:dyDescent="0.25">
      <c r="B14" s="45" t="s">
        <v>41</v>
      </c>
      <c r="C14" s="50">
        <v>26</v>
      </c>
      <c r="D14" s="50">
        <v>0</v>
      </c>
      <c r="E14" s="50">
        <v>2</v>
      </c>
      <c r="F14" s="50">
        <v>23</v>
      </c>
      <c r="G14" s="50">
        <v>0</v>
      </c>
      <c r="H14" s="50">
        <v>1</v>
      </c>
      <c r="I14" s="50">
        <v>0</v>
      </c>
      <c r="J14" s="50">
        <v>2</v>
      </c>
      <c r="K14" s="50">
        <v>0</v>
      </c>
      <c r="L14" s="50">
        <v>0</v>
      </c>
      <c r="M14" s="50">
        <v>55</v>
      </c>
      <c r="N14" s="50">
        <v>0</v>
      </c>
      <c r="O14" s="15">
        <f t="shared" si="0"/>
        <v>54</v>
      </c>
      <c r="P14" s="15">
        <f t="shared" si="1"/>
        <v>109</v>
      </c>
      <c r="R14" s="1" t="s">
        <v>10</v>
      </c>
      <c r="S14" s="17">
        <f t="shared" ref="S14:AF14" si="6">SUM(C26:C29)</f>
        <v>126</v>
      </c>
      <c r="T14" s="17">
        <f t="shared" si="6"/>
        <v>24</v>
      </c>
      <c r="U14" s="17">
        <f t="shared" si="6"/>
        <v>20</v>
      </c>
      <c r="V14" s="17">
        <f t="shared" si="6"/>
        <v>126</v>
      </c>
      <c r="W14" s="17">
        <f t="shared" si="6"/>
        <v>4</v>
      </c>
      <c r="X14" s="17">
        <f t="shared" si="6"/>
        <v>5</v>
      </c>
      <c r="Y14" s="17">
        <f t="shared" si="6"/>
        <v>8</v>
      </c>
      <c r="Z14" s="17">
        <f t="shared" si="6"/>
        <v>18</v>
      </c>
      <c r="AA14" s="17">
        <f t="shared" si="6"/>
        <v>0</v>
      </c>
      <c r="AB14" s="17">
        <f t="shared" si="6"/>
        <v>0</v>
      </c>
      <c r="AC14" s="17">
        <f t="shared" si="6"/>
        <v>584</v>
      </c>
      <c r="AD14" s="17">
        <f t="shared" si="6"/>
        <v>0</v>
      </c>
      <c r="AE14" s="31">
        <f t="shared" si="6"/>
        <v>331</v>
      </c>
      <c r="AF14" s="31">
        <f t="shared" si="6"/>
        <v>915</v>
      </c>
    </row>
    <row r="15" spans="2:32" ht="23.1" customHeight="1" x14ac:dyDescent="0.25">
      <c r="B15" s="45" t="s">
        <v>42</v>
      </c>
      <c r="C15" s="50">
        <v>11</v>
      </c>
      <c r="D15" s="50">
        <v>1</v>
      </c>
      <c r="E15" s="50">
        <v>0</v>
      </c>
      <c r="F15" s="50">
        <v>7</v>
      </c>
      <c r="G15" s="50">
        <v>1</v>
      </c>
      <c r="H15" s="50">
        <v>2</v>
      </c>
      <c r="I15" s="50">
        <v>0</v>
      </c>
      <c r="J15" s="50">
        <v>0</v>
      </c>
      <c r="K15" s="50">
        <v>0</v>
      </c>
      <c r="L15" s="50">
        <v>0</v>
      </c>
      <c r="M15" s="50">
        <v>85</v>
      </c>
      <c r="N15" s="50">
        <v>0</v>
      </c>
      <c r="O15" s="15">
        <f t="shared" si="0"/>
        <v>22</v>
      </c>
      <c r="P15" s="15">
        <f t="shared" si="1"/>
        <v>107</v>
      </c>
      <c r="R15" s="1" t="s">
        <v>11</v>
      </c>
      <c r="S15" s="17">
        <f t="shared" ref="S15:AF15" si="7">SUM(C30:C33)</f>
        <v>148</v>
      </c>
      <c r="T15" s="17">
        <f t="shared" si="7"/>
        <v>26</v>
      </c>
      <c r="U15" s="17">
        <f t="shared" si="7"/>
        <v>29</v>
      </c>
      <c r="V15" s="17">
        <f t="shared" si="7"/>
        <v>140</v>
      </c>
      <c r="W15" s="17">
        <f t="shared" si="7"/>
        <v>3</v>
      </c>
      <c r="X15" s="17">
        <f t="shared" si="7"/>
        <v>5</v>
      </c>
      <c r="Y15" s="17">
        <f t="shared" si="7"/>
        <v>8</v>
      </c>
      <c r="Z15" s="17">
        <f t="shared" si="7"/>
        <v>10</v>
      </c>
      <c r="AA15" s="17">
        <f t="shared" si="7"/>
        <v>2</v>
      </c>
      <c r="AB15" s="17">
        <f t="shared" si="7"/>
        <v>1</v>
      </c>
      <c r="AC15" s="17">
        <f t="shared" si="7"/>
        <v>472</v>
      </c>
      <c r="AD15" s="17">
        <f t="shared" si="7"/>
        <v>0</v>
      </c>
      <c r="AE15" s="31">
        <f t="shared" si="7"/>
        <v>372</v>
      </c>
      <c r="AF15" s="31">
        <f t="shared" si="7"/>
        <v>844</v>
      </c>
    </row>
    <row r="16" spans="2:32" ht="23.1" customHeight="1" x14ac:dyDescent="0.25">
      <c r="B16" s="45" t="s">
        <v>43</v>
      </c>
      <c r="C16" s="50">
        <v>27</v>
      </c>
      <c r="D16" s="50">
        <v>6</v>
      </c>
      <c r="E16" s="50">
        <v>3</v>
      </c>
      <c r="F16" s="50">
        <v>33</v>
      </c>
      <c r="G16" s="50">
        <v>1</v>
      </c>
      <c r="H16" s="50">
        <v>1</v>
      </c>
      <c r="I16" s="50">
        <v>3</v>
      </c>
      <c r="J16" s="50">
        <v>0</v>
      </c>
      <c r="K16" s="50">
        <v>0</v>
      </c>
      <c r="L16" s="50">
        <v>0</v>
      </c>
      <c r="M16" s="50">
        <v>160</v>
      </c>
      <c r="N16" s="50">
        <v>0</v>
      </c>
      <c r="O16" s="15">
        <f t="shared" si="0"/>
        <v>74</v>
      </c>
      <c r="P16" s="15">
        <f t="shared" si="1"/>
        <v>234</v>
      </c>
      <c r="R16" s="1" t="s">
        <v>12</v>
      </c>
      <c r="S16" s="17">
        <f t="shared" ref="S16:AF16" si="8">SUM(C34:C37)</f>
        <v>141</v>
      </c>
      <c r="T16" s="17">
        <f t="shared" si="8"/>
        <v>25</v>
      </c>
      <c r="U16" s="17">
        <f t="shared" si="8"/>
        <v>21</v>
      </c>
      <c r="V16" s="17">
        <f t="shared" si="8"/>
        <v>133</v>
      </c>
      <c r="W16" s="17">
        <f t="shared" si="8"/>
        <v>6</v>
      </c>
      <c r="X16" s="17">
        <f t="shared" si="8"/>
        <v>7</v>
      </c>
      <c r="Y16" s="17">
        <f t="shared" si="8"/>
        <v>17</v>
      </c>
      <c r="Z16" s="17">
        <f t="shared" si="8"/>
        <v>10</v>
      </c>
      <c r="AA16" s="17">
        <f t="shared" si="8"/>
        <v>2</v>
      </c>
      <c r="AB16" s="17">
        <f t="shared" si="8"/>
        <v>1</v>
      </c>
      <c r="AC16" s="17">
        <f t="shared" si="8"/>
        <v>401</v>
      </c>
      <c r="AD16" s="17">
        <f t="shared" si="8"/>
        <v>0</v>
      </c>
      <c r="AE16" s="31">
        <f t="shared" si="8"/>
        <v>363</v>
      </c>
      <c r="AF16" s="31">
        <f t="shared" si="8"/>
        <v>764</v>
      </c>
    </row>
    <row r="17" spans="2:32" ht="23.1" customHeight="1" x14ac:dyDescent="0.25">
      <c r="B17" s="45" t="s">
        <v>44</v>
      </c>
      <c r="C17" s="50">
        <v>31</v>
      </c>
      <c r="D17" s="50">
        <v>3</v>
      </c>
      <c r="E17" s="50">
        <v>1</v>
      </c>
      <c r="F17" s="50">
        <v>26</v>
      </c>
      <c r="G17" s="50">
        <v>1</v>
      </c>
      <c r="H17" s="50">
        <v>1</v>
      </c>
      <c r="I17" s="50">
        <v>3</v>
      </c>
      <c r="J17" s="50">
        <v>1</v>
      </c>
      <c r="K17" s="50">
        <v>0</v>
      </c>
      <c r="L17" s="50">
        <v>0</v>
      </c>
      <c r="M17" s="50">
        <v>95</v>
      </c>
      <c r="N17" s="50">
        <v>0</v>
      </c>
      <c r="O17" s="15">
        <f t="shared" si="0"/>
        <v>67</v>
      </c>
      <c r="P17" s="15">
        <f t="shared" si="1"/>
        <v>162</v>
      </c>
      <c r="R17" s="1" t="s">
        <v>13</v>
      </c>
      <c r="S17" s="17">
        <f t="shared" ref="S17:AF17" si="9">SUM(C38:C41)</f>
        <v>159</v>
      </c>
      <c r="T17" s="17">
        <f t="shared" si="9"/>
        <v>18</v>
      </c>
      <c r="U17" s="17">
        <f t="shared" si="9"/>
        <v>18</v>
      </c>
      <c r="V17" s="17">
        <f t="shared" si="9"/>
        <v>123</v>
      </c>
      <c r="W17" s="17">
        <f t="shared" si="9"/>
        <v>2</v>
      </c>
      <c r="X17" s="17">
        <f t="shared" si="9"/>
        <v>4</v>
      </c>
      <c r="Y17" s="17">
        <f t="shared" si="9"/>
        <v>21</v>
      </c>
      <c r="Z17" s="17">
        <f t="shared" si="9"/>
        <v>4</v>
      </c>
      <c r="AA17" s="17">
        <f t="shared" si="9"/>
        <v>0</v>
      </c>
      <c r="AB17" s="17">
        <f t="shared" si="9"/>
        <v>1</v>
      </c>
      <c r="AC17" s="17">
        <f t="shared" si="9"/>
        <v>307</v>
      </c>
      <c r="AD17" s="17">
        <f t="shared" si="9"/>
        <v>0</v>
      </c>
      <c r="AE17" s="31">
        <f t="shared" si="9"/>
        <v>350</v>
      </c>
      <c r="AF17" s="31">
        <f t="shared" si="9"/>
        <v>657</v>
      </c>
    </row>
    <row r="18" spans="2:32" ht="23.1" customHeight="1" x14ac:dyDescent="0.25">
      <c r="B18" s="45" t="s">
        <v>45</v>
      </c>
      <c r="C18" s="50">
        <v>24</v>
      </c>
      <c r="D18" s="50">
        <v>8</v>
      </c>
      <c r="E18" s="50">
        <v>2</v>
      </c>
      <c r="F18" s="50">
        <v>30</v>
      </c>
      <c r="G18" s="50">
        <v>1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124</v>
      </c>
      <c r="N18" s="50">
        <v>0</v>
      </c>
      <c r="O18" s="15">
        <f t="shared" si="0"/>
        <v>66</v>
      </c>
      <c r="P18" s="15">
        <f t="shared" si="1"/>
        <v>190</v>
      </c>
      <c r="R18" s="1" t="s">
        <v>14</v>
      </c>
      <c r="S18" s="17">
        <f t="shared" ref="S18:AF18" si="10">SUM(C42:C45)</f>
        <v>158</v>
      </c>
      <c r="T18" s="17">
        <f t="shared" si="10"/>
        <v>16</v>
      </c>
      <c r="U18" s="17">
        <f t="shared" si="10"/>
        <v>22</v>
      </c>
      <c r="V18" s="17">
        <f t="shared" si="10"/>
        <v>132</v>
      </c>
      <c r="W18" s="17">
        <f t="shared" si="10"/>
        <v>4</v>
      </c>
      <c r="X18" s="17">
        <f t="shared" si="10"/>
        <v>6</v>
      </c>
      <c r="Y18" s="17">
        <f t="shared" si="10"/>
        <v>13</v>
      </c>
      <c r="Z18" s="17">
        <f t="shared" si="10"/>
        <v>7</v>
      </c>
      <c r="AA18" s="17">
        <f t="shared" si="10"/>
        <v>1</v>
      </c>
      <c r="AB18" s="17">
        <f t="shared" si="10"/>
        <v>1</v>
      </c>
      <c r="AC18" s="17">
        <f t="shared" si="10"/>
        <v>364</v>
      </c>
      <c r="AD18" s="17">
        <f t="shared" si="10"/>
        <v>0</v>
      </c>
      <c r="AE18" s="31">
        <f t="shared" si="10"/>
        <v>360</v>
      </c>
      <c r="AF18" s="31">
        <f t="shared" si="10"/>
        <v>724</v>
      </c>
    </row>
    <row r="19" spans="2:32" ht="23.1" customHeight="1" x14ac:dyDescent="0.25">
      <c r="B19" s="45" t="s">
        <v>46</v>
      </c>
      <c r="C19" s="50">
        <v>27</v>
      </c>
      <c r="D19" s="50">
        <v>2</v>
      </c>
      <c r="E19" s="50">
        <v>0</v>
      </c>
      <c r="F19" s="50">
        <v>35</v>
      </c>
      <c r="G19" s="50">
        <v>0</v>
      </c>
      <c r="H19" s="50">
        <v>2</v>
      </c>
      <c r="I19" s="50">
        <v>1</v>
      </c>
      <c r="J19" s="50">
        <v>0</v>
      </c>
      <c r="K19" s="50">
        <v>0</v>
      </c>
      <c r="L19" s="50">
        <v>0</v>
      </c>
      <c r="M19" s="50">
        <v>165</v>
      </c>
      <c r="N19" s="50">
        <v>0</v>
      </c>
      <c r="O19" s="15">
        <f t="shared" si="0"/>
        <v>67</v>
      </c>
      <c r="P19" s="15">
        <f t="shared" si="1"/>
        <v>232</v>
      </c>
      <c r="R19" s="1" t="s">
        <v>15</v>
      </c>
      <c r="S19" s="17">
        <f t="shared" ref="S19:AF19" si="11">SUM(C46:C49)</f>
        <v>299</v>
      </c>
      <c r="T19" s="17">
        <f t="shared" si="11"/>
        <v>10</v>
      </c>
      <c r="U19" s="17">
        <f t="shared" si="11"/>
        <v>16</v>
      </c>
      <c r="V19" s="17">
        <f t="shared" si="11"/>
        <v>183</v>
      </c>
      <c r="W19" s="17">
        <f t="shared" si="11"/>
        <v>4</v>
      </c>
      <c r="X19" s="17">
        <f t="shared" si="11"/>
        <v>1</v>
      </c>
      <c r="Y19" s="17">
        <f t="shared" si="11"/>
        <v>10</v>
      </c>
      <c r="Z19" s="17">
        <f t="shared" si="11"/>
        <v>9</v>
      </c>
      <c r="AA19" s="17">
        <f t="shared" si="11"/>
        <v>0</v>
      </c>
      <c r="AB19" s="17">
        <f t="shared" si="11"/>
        <v>1</v>
      </c>
      <c r="AC19" s="17">
        <f t="shared" si="11"/>
        <v>517</v>
      </c>
      <c r="AD19" s="17">
        <f t="shared" si="11"/>
        <v>0</v>
      </c>
      <c r="AE19" s="31">
        <f t="shared" si="11"/>
        <v>533</v>
      </c>
      <c r="AF19" s="31">
        <f t="shared" si="11"/>
        <v>1050</v>
      </c>
    </row>
    <row r="20" spans="2:32" ht="23.1" customHeight="1" x14ac:dyDescent="0.25">
      <c r="B20" s="45" t="s">
        <v>47</v>
      </c>
      <c r="C20" s="50">
        <v>11</v>
      </c>
      <c r="D20" s="50">
        <v>4</v>
      </c>
      <c r="E20" s="50">
        <v>3</v>
      </c>
      <c r="F20" s="50">
        <v>14</v>
      </c>
      <c r="G20" s="50">
        <v>0</v>
      </c>
      <c r="H20" s="50">
        <v>2</v>
      </c>
      <c r="I20" s="50">
        <v>2</v>
      </c>
      <c r="J20" s="50">
        <v>0</v>
      </c>
      <c r="K20" s="50">
        <v>0</v>
      </c>
      <c r="L20" s="50">
        <v>0</v>
      </c>
      <c r="M20" s="50">
        <v>110</v>
      </c>
      <c r="N20" s="50">
        <v>0</v>
      </c>
      <c r="O20" s="15">
        <f t="shared" si="0"/>
        <v>36</v>
      </c>
      <c r="P20" s="15">
        <f t="shared" si="1"/>
        <v>146</v>
      </c>
      <c r="R20" s="1" t="s">
        <v>16</v>
      </c>
      <c r="S20" s="17">
        <f t="shared" ref="S20:AF20" si="12">SUM(C50:C53)</f>
        <v>298</v>
      </c>
      <c r="T20" s="17">
        <f t="shared" si="12"/>
        <v>15</v>
      </c>
      <c r="U20" s="17">
        <f t="shared" si="12"/>
        <v>15</v>
      </c>
      <c r="V20" s="17">
        <f t="shared" si="12"/>
        <v>129</v>
      </c>
      <c r="W20" s="17">
        <f t="shared" si="12"/>
        <v>3</v>
      </c>
      <c r="X20" s="17">
        <f t="shared" si="12"/>
        <v>4</v>
      </c>
      <c r="Y20" s="17">
        <f t="shared" si="12"/>
        <v>17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576</v>
      </c>
      <c r="AD20" s="17">
        <f t="shared" si="12"/>
        <v>0</v>
      </c>
      <c r="AE20" s="31">
        <f t="shared" si="12"/>
        <v>486</v>
      </c>
      <c r="AF20" s="31">
        <f t="shared" si="12"/>
        <v>1062</v>
      </c>
    </row>
    <row r="21" spans="2:32" ht="23.1" customHeight="1" x14ac:dyDescent="0.25">
      <c r="B21" s="45" t="s">
        <v>48</v>
      </c>
      <c r="C21" s="50">
        <v>36</v>
      </c>
      <c r="D21" s="50">
        <v>4</v>
      </c>
      <c r="E21" s="50">
        <v>5</v>
      </c>
      <c r="F21" s="50">
        <v>33</v>
      </c>
      <c r="G21" s="50">
        <v>1</v>
      </c>
      <c r="H21" s="50">
        <v>1</v>
      </c>
      <c r="I21" s="50">
        <v>9</v>
      </c>
      <c r="J21" s="50">
        <v>1</v>
      </c>
      <c r="K21" s="50">
        <v>0</v>
      </c>
      <c r="L21" s="50">
        <v>0</v>
      </c>
      <c r="M21" s="50">
        <v>185</v>
      </c>
      <c r="N21" s="50">
        <v>0</v>
      </c>
      <c r="O21" s="15">
        <f t="shared" si="0"/>
        <v>90</v>
      </c>
      <c r="P21" s="15">
        <f t="shared" si="1"/>
        <v>275</v>
      </c>
      <c r="R21" s="36" t="s">
        <v>20</v>
      </c>
      <c r="S21" s="34">
        <f t="shared" ref="S21:AF21" si="13">SUM(C54:C57)</f>
        <v>238</v>
      </c>
      <c r="T21" s="17">
        <f t="shared" si="13"/>
        <v>24</v>
      </c>
      <c r="U21" s="17">
        <f t="shared" si="13"/>
        <v>18</v>
      </c>
      <c r="V21" s="17">
        <f t="shared" si="13"/>
        <v>178</v>
      </c>
      <c r="W21" s="17">
        <f t="shared" si="13"/>
        <v>5</v>
      </c>
      <c r="X21" s="17">
        <f t="shared" si="13"/>
        <v>5</v>
      </c>
      <c r="Y21" s="17">
        <f t="shared" si="13"/>
        <v>13</v>
      </c>
      <c r="Z21" s="17">
        <f t="shared" si="13"/>
        <v>8</v>
      </c>
      <c r="AA21" s="17">
        <f t="shared" si="13"/>
        <v>3</v>
      </c>
      <c r="AB21" s="17">
        <f t="shared" si="13"/>
        <v>2</v>
      </c>
      <c r="AC21" s="17">
        <f t="shared" si="13"/>
        <v>593</v>
      </c>
      <c r="AD21" s="17">
        <f t="shared" si="13"/>
        <v>0</v>
      </c>
      <c r="AE21" s="31">
        <f t="shared" si="13"/>
        <v>494</v>
      </c>
      <c r="AF21" s="31">
        <f t="shared" si="13"/>
        <v>1087</v>
      </c>
    </row>
    <row r="22" spans="2:32" ht="23.1" customHeight="1" x14ac:dyDescent="0.25">
      <c r="B22" s="45" t="s">
        <v>49</v>
      </c>
      <c r="C22" s="50">
        <v>42</v>
      </c>
      <c r="D22" s="50">
        <v>6</v>
      </c>
      <c r="E22" s="50">
        <v>3</v>
      </c>
      <c r="F22" s="50">
        <v>36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144</v>
      </c>
      <c r="N22" s="50">
        <v>0</v>
      </c>
      <c r="O22" s="15">
        <f t="shared" si="0"/>
        <v>89</v>
      </c>
      <c r="P22" s="15">
        <f t="shared" si="1"/>
        <v>233</v>
      </c>
      <c r="R22" s="36" t="s">
        <v>146</v>
      </c>
      <c r="S22" s="34">
        <f>SUM(C58:C61)</f>
        <v>260</v>
      </c>
      <c r="T22" s="34">
        <f t="shared" ref="T22:AF22" si="14">SUM(D58:D61)</f>
        <v>13</v>
      </c>
      <c r="U22" s="34">
        <f t="shared" si="14"/>
        <v>22</v>
      </c>
      <c r="V22" s="34">
        <f t="shared" si="14"/>
        <v>146</v>
      </c>
      <c r="W22" s="34">
        <f t="shared" si="14"/>
        <v>3</v>
      </c>
      <c r="X22" s="34">
        <f t="shared" si="14"/>
        <v>3</v>
      </c>
      <c r="Y22" s="34">
        <f t="shared" si="14"/>
        <v>15</v>
      </c>
      <c r="Z22" s="34">
        <f t="shared" si="14"/>
        <v>8</v>
      </c>
      <c r="AA22" s="34">
        <f t="shared" si="14"/>
        <v>0</v>
      </c>
      <c r="AB22" s="34">
        <f t="shared" si="14"/>
        <v>0</v>
      </c>
      <c r="AC22" s="34">
        <f t="shared" si="14"/>
        <v>759</v>
      </c>
      <c r="AD22" s="34">
        <f t="shared" si="14"/>
        <v>0</v>
      </c>
      <c r="AE22" s="31">
        <f t="shared" si="14"/>
        <v>470</v>
      </c>
      <c r="AF22" s="31">
        <f t="shared" si="14"/>
        <v>1229</v>
      </c>
    </row>
    <row r="23" spans="2:32" ht="23.1" customHeight="1" x14ac:dyDescent="0.25">
      <c r="B23" s="45" t="s">
        <v>50</v>
      </c>
      <c r="C23" s="50">
        <v>31</v>
      </c>
      <c r="D23" s="50">
        <v>2</v>
      </c>
      <c r="E23" s="50">
        <v>5</v>
      </c>
      <c r="F23" s="50">
        <v>26</v>
      </c>
      <c r="G23" s="50">
        <v>0</v>
      </c>
      <c r="H23" s="50">
        <v>1</v>
      </c>
      <c r="I23" s="50">
        <v>3</v>
      </c>
      <c r="J23" s="50">
        <v>1</v>
      </c>
      <c r="K23" s="50">
        <v>0</v>
      </c>
      <c r="L23" s="50">
        <v>0</v>
      </c>
      <c r="M23" s="50">
        <v>120</v>
      </c>
      <c r="N23" s="50">
        <v>0</v>
      </c>
      <c r="O23" s="15">
        <f t="shared" si="0"/>
        <v>69</v>
      </c>
      <c r="P23" s="15">
        <f t="shared" si="1"/>
        <v>189</v>
      </c>
      <c r="R23" s="36" t="s">
        <v>147</v>
      </c>
      <c r="S23" s="34">
        <f>SUM(C62:C65)</f>
        <v>194</v>
      </c>
      <c r="T23" s="34">
        <f t="shared" ref="T23:AF23" si="15">SUM(D62:D65)</f>
        <v>19</v>
      </c>
      <c r="U23" s="34">
        <f t="shared" si="15"/>
        <v>27</v>
      </c>
      <c r="V23" s="34">
        <f t="shared" si="15"/>
        <v>121</v>
      </c>
      <c r="W23" s="34">
        <f t="shared" si="15"/>
        <v>4</v>
      </c>
      <c r="X23" s="34">
        <f t="shared" si="15"/>
        <v>4</v>
      </c>
      <c r="Y23" s="34">
        <f t="shared" si="15"/>
        <v>10</v>
      </c>
      <c r="Z23" s="34">
        <f t="shared" si="15"/>
        <v>9</v>
      </c>
      <c r="AA23" s="34">
        <f t="shared" si="15"/>
        <v>0</v>
      </c>
      <c r="AB23" s="34">
        <f t="shared" si="15"/>
        <v>0</v>
      </c>
      <c r="AC23" s="34">
        <f t="shared" si="15"/>
        <v>746</v>
      </c>
      <c r="AD23" s="34">
        <f t="shared" si="15"/>
        <v>0</v>
      </c>
      <c r="AE23" s="31">
        <f t="shared" si="15"/>
        <v>388</v>
      </c>
      <c r="AF23" s="31">
        <f t="shared" si="15"/>
        <v>1134</v>
      </c>
    </row>
    <row r="24" spans="2:32" ht="23.1" customHeight="1" x14ac:dyDescent="0.25">
      <c r="B24" s="45" t="s">
        <v>51</v>
      </c>
      <c r="C24" s="50">
        <v>33</v>
      </c>
      <c r="D24" s="50">
        <v>9</v>
      </c>
      <c r="E24" s="50">
        <v>4</v>
      </c>
      <c r="F24" s="50">
        <v>48</v>
      </c>
      <c r="G24" s="50">
        <v>0</v>
      </c>
      <c r="H24" s="50">
        <v>0</v>
      </c>
      <c r="I24" s="50">
        <v>5</v>
      </c>
      <c r="J24" s="50">
        <v>0</v>
      </c>
      <c r="K24" s="50">
        <v>0</v>
      </c>
      <c r="L24" s="50">
        <v>1</v>
      </c>
      <c r="M24" s="50">
        <v>155</v>
      </c>
      <c r="N24" s="50">
        <v>0</v>
      </c>
      <c r="O24" s="15">
        <f t="shared" si="0"/>
        <v>100</v>
      </c>
      <c r="P24" s="15">
        <f t="shared" si="1"/>
        <v>255</v>
      </c>
      <c r="R24" s="36" t="s">
        <v>148</v>
      </c>
      <c r="S24" s="34">
        <f>SUM(C66:C69)</f>
        <v>252</v>
      </c>
      <c r="T24" s="34">
        <f t="shared" ref="T24:AF24" si="16">SUM(D66:D69)</f>
        <v>20</v>
      </c>
      <c r="U24" s="34">
        <f t="shared" si="16"/>
        <v>22</v>
      </c>
      <c r="V24" s="34">
        <f t="shared" si="16"/>
        <v>158</v>
      </c>
      <c r="W24" s="34">
        <f t="shared" si="16"/>
        <v>3</v>
      </c>
      <c r="X24" s="34">
        <f t="shared" si="16"/>
        <v>5</v>
      </c>
      <c r="Y24" s="34">
        <f t="shared" si="16"/>
        <v>14</v>
      </c>
      <c r="Z24" s="34">
        <f t="shared" si="16"/>
        <v>4</v>
      </c>
      <c r="AA24" s="34">
        <f t="shared" si="16"/>
        <v>3</v>
      </c>
      <c r="AB24" s="34">
        <f t="shared" si="16"/>
        <v>1</v>
      </c>
      <c r="AC24" s="34">
        <f t="shared" si="16"/>
        <v>478</v>
      </c>
      <c r="AD24" s="34">
        <f t="shared" si="16"/>
        <v>0</v>
      </c>
      <c r="AE24" s="31">
        <f t="shared" si="16"/>
        <v>482</v>
      </c>
      <c r="AF24" s="31">
        <f t="shared" si="16"/>
        <v>960</v>
      </c>
    </row>
    <row r="25" spans="2:32" ht="23.1" customHeight="1" x14ac:dyDescent="0.25">
      <c r="B25" s="45" t="s">
        <v>52</v>
      </c>
      <c r="C25" s="50">
        <v>24</v>
      </c>
      <c r="D25" s="50">
        <v>6</v>
      </c>
      <c r="E25" s="50">
        <v>1</v>
      </c>
      <c r="F25" s="50">
        <v>26</v>
      </c>
      <c r="G25" s="50">
        <v>0</v>
      </c>
      <c r="H25" s="50">
        <v>1</v>
      </c>
      <c r="I25" s="50">
        <v>2</v>
      </c>
      <c r="J25" s="50">
        <v>1</v>
      </c>
      <c r="K25" s="50">
        <v>0</v>
      </c>
      <c r="L25" s="50">
        <v>0</v>
      </c>
      <c r="M25" s="50">
        <v>140</v>
      </c>
      <c r="N25" s="50">
        <v>0</v>
      </c>
      <c r="O25" s="15">
        <f t="shared" si="0"/>
        <v>61</v>
      </c>
      <c r="P25" s="15">
        <f t="shared" si="1"/>
        <v>201</v>
      </c>
      <c r="R25" s="36" t="s">
        <v>149</v>
      </c>
      <c r="S25" s="34">
        <f>SUM(C70:C73)</f>
        <v>160</v>
      </c>
      <c r="T25" s="34">
        <f t="shared" ref="T25:AF25" si="17">SUM(D70:D73)</f>
        <v>17</v>
      </c>
      <c r="U25" s="34">
        <f t="shared" si="17"/>
        <v>11</v>
      </c>
      <c r="V25" s="34">
        <f t="shared" si="17"/>
        <v>347</v>
      </c>
      <c r="W25" s="34">
        <f t="shared" si="17"/>
        <v>2</v>
      </c>
      <c r="X25" s="34">
        <f t="shared" si="17"/>
        <v>4</v>
      </c>
      <c r="Y25" s="34">
        <f t="shared" si="17"/>
        <v>6</v>
      </c>
      <c r="Z25" s="34">
        <f t="shared" si="17"/>
        <v>4</v>
      </c>
      <c r="AA25" s="34">
        <f t="shared" si="17"/>
        <v>2</v>
      </c>
      <c r="AB25" s="34">
        <f t="shared" si="17"/>
        <v>0</v>
      </c>
      <c r="AC25" s="34">
        <f t="shared" si="17"/>
        <v>445</v>
      </c>
      <c r="AD25" s="34">
        <f t="shared" si="17"/>
        <v>0</v>
      </c>
      <c r="AE25" s="31">
        <f t="shared" si="17"/>
        <v>553</v>
      </c>
      <c r="AF25" s="31">
        <f t="shared" si="17"/>
        <v>998</v>
      </c>
    </row>
    <row r="26" spans="2:32" ht="23.1" customHeight="1" x14ac:dyDescent="0.25">
      <c r="B26" s="45" t="s">
        <v>53</v>
      </c>
      <c r="C26" s="50">
        <v>28</v>
      </c>
      <c r="D26" s="50">
        <v>6</v>
      </c>
      <c r="E26" s="50">
        <v>5</v>
      </c>
      <c r="F26" s="50">
        <v>26</v>
      </c>
      <c r="G26" s="50">
        <v>3</v>
      </c>
      <c r="H26" s="50">
        <v>1</v>
      </c>
      <c r="I26" s="50">
        <v>1</v>
      </c>
      <c r="J26" s="50">
        <v>4</v>
      </c>
      <c r="K26" s="50">
        <v>0</v>
      </c>
      <c r="L26" s="50">
        <v>0</v>
      </c>
      <c r="M26" s="50">
        <v>140</v>
      </c>
      <c r="N26" s="50">
        <v>0</v>
      </c>
      <c r="O26" s="15">
        <f t="shared" si="0"/>
        <v>74</v>
      </c>
      <c r="P26" s="15">
        <f t="shared" si="1"/>
        <v>214</v>
      </c>
      <c r="R26" s="36" t="s">
        <v>150</v>
      </c>
      <c r="S26" s="34">
        <f>SUM(C74:C77)</f>
        <v>173</v>
      </c>
      <c r="T26" s="34">
        <f t="shared" ref="T26:AF26" si="18">SUM(D74:D77)</f>
        <v>13</v>
      </c>
      <c r="U26" s="34">
        <f t="shared" si="18"/>
        <v>12</v>
      </c>
      <c r="V26" s="34">
        <f t="shared" si="18"/>
        <v>53</v>
      </c>
      <c r="W26" s="34">
        <f t="shared" si="18"/>
        <v>4</v>
      </c>
      <c r="X26" s="34">
        <f t="shared" si="18"/>
        <v>7</v>
      </c>
      <c r="Y26" s="34">
        <f t="shared" si="18"/>
        <v>2</v>
      </c>
      <c r="Z26" s="34">
        <f t="shared" si="18"/>
        <v>3</v>
      </c>
      <c r="AA26" s="34">
        <f t="shared" si="18"/>
        <v>1</v>
      </c>
      <c r="AB26" s="34">
        <f t="shared" si="18"/>
        <v>0</v>
      </c>
      <c r="AC26" s="34">
        <f t="shared" si="18"/>
        <v>268</v>
      </c>
      <c r="AD26" s="34">
        <f t="shared" si="18"/>
        <v>0</v>
      </c>
      <c r="AE26" s="31">
        <f t="shared" si="18"/>
        <v>268</v>
      </c>
      <c r="AF26" s="31">
        <f t="shared" si="18"/>
        <v>536</v>
      </c>
    </row>
    <row r="27" spans="2:32" ht="23.1" customHeight="1" x14ac:dyDescent="0.25">
      <c r="B27" s="45" t="s">
        <v>54</v>
      </c>
      <c r="C27" s="50">
        <v>47</v>
      </c>
      <c r="D27" s="50">
        <v>6</v>
      </c>
      <c r="E27" s="50">
        <v>4</v>
      </c>
      <c r="F27" s="50">
        <v>43</v>
      </c>
      <c r="G27" s="50">
        <v>0</v>
      </c>
      <c r="H27" s="50">
        <v>1</v>
      </c>
      <c r="I27" s="50">
        <v>2</v>
      </c>
      <c r="J27" s="50">
        <v>2</v>
      </c>
      <c r="K27" s="50">
        <v>0</v>
      </c>
      <c r="L27" s="50">
        <v>0</v>
      </c>
      <c r="M27" s="50">
        <v>124</v>
      </c>
      <c r="N27" s="50">
        <v>0</v>
      </c>
      <c r="O27" s="15">
        <f t="shared" si="0"/>
        <v>105</v>
      </c>
      <c r="P27" s="15">
        <f t="shared" si="1"/>
        <v>229</v>
      </c>
      <c r="R27" s="36" t="s">
        <v>151</v>
      </c>
      <c r="S27" s="34">
        <f>SUM(C78:C81)</f>
        <v>116</v>
      </c>
      <c r="T27" s="34">
        <f t="shared" ref="T27:AF27" si="19">SUM(D78:D81)</f>
        <v>7</v>
      </c>
      <c r="U27" s="34">
        <f t="shared" si="19"/>
        <v>4</v>
      </c>
      <c r="V27" s="34">
        <f t="shared" si="19"/>
        <v>44</v>
      </c>
      <c r="W27" s="34">
        <f t="shared" si="19"/>
        <v>2</v>
      </c>
      <c r="X27" s="34">
        <f t="shared" si="19"/>
        <v>1</v>
      </c>
      <c r="Y27" s="34">
        <f t="shared" si="19"/>
        <v>2</v>
      </c>
      <c r="Z27" s="34">
        <f t="shared" si="19"/>
        <v>4</v>
      </c>
      <c r="AA27" s="34">
        <f t="shared" si="19"/>
        <v>1</v>
      </c>
      <c r="AB27" s="34">
        <f t="shared" si="19"/>
        <v>0</v>
      </c>
      <c r="AC27" s="34">
        <f t="shared" si="19"/>
        <v>252</v>
      </c>
      <c r="AD27" s="34">
        <f t="shared" si="19"/>
        <v>0</v>
      </c>
      <c r="AE27" s="31">
        <f t="shared" si="19"/>
        <v>181</v>
      </c>
      <c r="AF27" s="31">
        <f t="shared" si="19"/>
        <v>433</v>
      </c>
    </row>
    <row r="28" spans="2:32" ht="23.1" customHeight="1" x14ac:dyDescent="0.25">
      <c r="B28" s="45" t="s">
        <v>55</v>
      </c>
      <c r="C28" s="50">
        <v>27</v>
      </c>
      <c r="D28" s="50">
        <v>7</v>
      </c>
      <c r="E28" s="50">
        <v>5</v>
      </c>
      <c r="F28" s="50">
        <v>29</v>
      </c>
      <c r="G28" s="50">
        <v>1</v>
      </c>
      <c r="H28" s="50">
        <v>0</v>
      </c>
      <c r="I28" s="50">
        <v>2</v>
      </c>
      <c r="J28" s="50">
        <v>7</v>
      </c>
      <c r="K28" s="50">
        <v>0</v>
      </c>
      <c r="L28" s="50">
        <v>0</v>
      </c>
      <c r="M28" s="50">
        <v>156</v>
      </c>
      <c r="N28" s="50">
        <v>0</v>
      </c>
      <c r="O28" s="15">
        <f t="shared" si="0"/>
        <v>78</v>
      </c>
      <c r="P28" s="15">
        <f t="shared" si="1"/>
        <v>234</v>
      </c>
      <c r="R28" s="36" t="s">
        <v>152</v>
      </c>
      <c r="S28" s="34">
        <f>SUM(C82:C85)</f>
        <v>42</v>
      </c>
      <c r="T28" s="34">
        <f t="shared" ref="T28:AF28" si="20">SUM(D82:D85)</f>
        <v>1</v>
      </c>
      <c r="U28" s="34">
        <f t="shared" si="20"/>
        <v>4</v>
      </c>
      <c r="V28" s="34">
        <f t="shared" si="20"/>
        <v>17</v>
      </c>
      <c r="W28" s="34">
        <f t="shared" si="20"/>
        <v>3</v>
      </c>
      <c r="X28" s="34">
        <f t="shared" si="20"/>
        <v>3</v>
      </c>
      <c r="Y28" s="34">
        <f t="shared" si="20"/>
        <v>1</v>
      </c>
      <c r="Z28" s="34">
        <f t="shared" si="20"/>
        <v>3</v>
      </c>
      <c r="AA28" s="34">
        <f t="shared" si="20"/>
        <v>12</v>
      </c>
      <c r="AB28" s="34">
        <f t="shared" si="20"/>
        <v>0</v>
      </c>
      <c r="AC28" s="34">
        <f t="shared" si="20"/>
        <v>108</v>
      </c>
      <c r="AD28" s="34">
        <f t="shared" si="20"/>
        <v>0</v>
      </c>
      <c r="AE28" s="31">
        <f t="shared" si="20"/>
        <v>86</v>
      </c>
      <c r="AF28" s="31">
        <f t="shared" si="20"/>
        <v>194</v>
      </c>
    </row>
    <row r="29" spans="2:32" ht="23.1" customHeight="1" x14ac:dyDescent="0.25">
      <c r="B29" s="45" t="s">
        <v>56</v>
      </c>
      <c r="C29" s="50">
        <v>24</v>
      </c>
      <c r="D29" s="50">
        <v>5</v>
      </c>
      <c r="E29" s="50">
        <v>6</v>
      </c>
      <c r="F29" s="50">
        <v>28</v>
      </c>
      <c r="G29" s="50">
        <v>0</v>
      </c>
      <c r="H29" s="50">
        <v>3</v>
      </c>
      <c r="I29" s="50">
        <v>3</v>
      </c>
      <c r="J29" s="50">
        <v>5</v>
      </c>
      <c r="K29" s="50">
        <v>0</v>
      </c>
      <c r="L29" s="50">
        <v>0</v>
      </c>
      <c r="M29" s="50">
        <v>164</v>
      </c>
      <c r="N29" s="50">
        <v>0</v>
      </c>
      <c r="O29" s="15">
        <f t="shared" si="0"/>
        <v>74</v>
      </c>
      <c r="P29" s="15">
        <f t="shared" si="1"/>
        <v>238</v>
      </c>
      <c r="R29" s="36" t="s">
        <v>153</v>
      </c>
      <c r="S29" s="34">
        <f>SUM(C86:C89)</f>
        <v>37</v>
      </c>
      <c r="T29" s="34">
        <f t="shared" ref="T29:AF29" si="21">SUM(D86:D89)</f>
        <v>2</v>
      </c>
      <c r="U29" s="34">
        <f t="shared" si="21"/>
        <v>5</v>
      </c>
      <c r="V29" s="34">
        <f t="shared" si="21"/>
        <v>2</v>
      </c>
      <c r="W29" s="34">
        <f t="shared" si="21"/>
        <v>1</v>
      </c>
      <c r="X29" s="34">
        <f t="shared" si="21"/>
        <v>0</v>
      </c>
      <c r="Y29" s="34">
        <f t="shared" si="21"/>
        <v>1</v>
      </c>
      <c r="Z29" s="34">
        <f t="shared" si="21"/>
        <v>4</v>
      </c>
      <c r="AA29" s="34">
        <f t="shared" si="21"/>
        <v>0</v>
      </c>
      <c r="AB29" s="34">
        <f t="shared" si="21"/>
        <v>1</v>
      </c>
      <c r="AC29" s="34">
        <f t="shared" si="21"/>
        <v>54</v>
      </c>
      <c r="AD29" s="34">
        <f t="shared" si="21"/>
        <v>0</v>
      </c>
      <c r="AE29" s="31">
        <f t="shared" si="21"/>
        <v>53</v>
      </c>
      <c r="AF29" s="31">
        <f t="shared" si="21"/>
        <v>107</v>
      </c>
    </row>
    <row r="30" spans="2:32" ht="23.1" customHeight="1" x14ac:dyDescent="0.25">
      <c r="B30" s="45" t="s">
        <v>57</v>
      </c>
      <c r="C30" s="50">
        <v>46</v>
      </c>
      <c r="D30" s="50">
        <v>7</v>
      </c>
      <c r="E30" s="50">
        <v>9</v>
      </c>
      <c r="F30" s="50">
        <v>43</v>
      </c>
      <c r="G30" s="50">
        <v>0</v>
      </c>
      <c r="H30" s="50">
        <v>0</v>
      </c>
      <c r="I30" s="50">
        <v>2</v>
      </c>
      <c r="J30" s="50">
        <v>6</v>
      </c>
      <c r="K30" s="50">
        <v>1</v>
      </c>
      <c r="L30" s="50">
        <v>0</v>
      </c>
      <c r="M30" s="50">
        <v>130</v>
      </c>
      <c r="N30" s="50">
        <v>0</v>
      </c>
      <c r="O30" s="15">
        <f t="shared" si="0"/>
        <v>114</v>
      </c>
      <c r="P30" s="15">
        <f t="shared" si="1"/>
        <v>244</v>
      </c>
      <c r="R30" s="36" t="s">
        <v>154</v>
      </c>
      <c r="S30" s="34">
        <f>SUM(C90:C93)</f>
        <v>41</v>
      </c>
      <c r="T30" s="34">
        <f t="shared" ref="T30:AF30" si="22">SUM(D90:D93)</f>
        <v>5</v>
      </c>
      <c r="U30" s="34">
        <f t="shared" si="22"/>
        <v>4</v>
      </c>
      <c r="V30" s="34">
        <f t="shared" si="22"/>
        <v>2</v>
      </c>
      <c r="W30" s="34">
        <f t="shared" si="22"/>
        <v>1</v>
      </c>
      <c r="X30" s="34">
        <f t="shared" si="22"/>
        <v>1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21</v>
      </c>
      <c r="AD30" s="34">
        <f t="shared" si="22"/>
        <v>0</v>
      </c>
      <c r="AE30" s="31">
        <f t="shared" si="22"/>
        <v>57</v>
      </c>
      <c r="AF30" s="31">
        <f t="shared" si="22"/>
        <v>78</v>
      </c>
    </row>
    <row r="31" spans="2:32" ht="23.1" customHeight="1" x14ac:dyDescent="0.25">
      <c r="B31" s="46" t="s">
        <v>58</v>
      </c>
      <c r="C31" s="50">
        <v>34</v>
      </c>
      <c r="D31" s="50">
        <v>8</v>
      </c>
      <c r="E31" s="50">
        <v>5</v>
      </c>
      <c r="F31" s="50">
        <v>33</v>
      </c>
      <c r="G31" s="50">
        <v>2</v>
      </c>
      <c r="H31" s="50">
        <v>3</v>
      </c>
      <c r="I31" s="50">
        <v>3</v>
      </c>
      <c r="J31" s="50">
        <v>2</v>
      </c>
      <c r="K31" s="50">
        <v>0</v>
      </c>
      <c r="L31" s="50">
        <v>0</v>
      </c>
      <c r="M31" s="50">
        <v>120</v>
      </c>
      <c r="N31" s="50">
        <v>0</v>
      </c>
      <c r="O31" s="15">
        <f t="shared" si="0"/>
        <v>90</v>
      </c>
      <c r="P31" s="15">
        <f t="shared" si="1"/>
        <v>210</v>
      </c>
      <c r="R31" s="36" t="s">
        <v>155</v>
      </c>
      <c r="S31" s="34">
        <f>SUM(C94:C97)</f>
        <v>16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15</v>
      </c>
      <c r="W31" s="34">
        <f t="shared" si="23"/>
        <v>0</v>
      </c>
      <c r="X31" s="34">
        <f t="shared" si="23"/>
        <v>4</v>
      </c>
      <c r="Y31" s="34">
        <f t="shared" si="23"/>
        <v>1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69</v>
      </c>
      <c r="AD31" s="34">
        <f t="shared" si="23"/>
        <v>0</v>
      </c>
      <c r="AE31" s="31">
        <f t="shared" si="23"/>
        <v>41</v>
      </c>
      <c r="AF31" s="31">
        <f t="shared" si="23"/>
        <v>110</v>
      </c>
    </row>
    <row r="32" spans="2:32" ht="23.1" customHeight="1" x14ac:dyDescent="0.25">
      <c r="B32" s="46" t="s">
        <v>59</v>
      </c>
      <c r="C32" s="50">
        <v>33</v>
      </c>
      <c r="D32" s="50">
        <v>6</v>
      </c>
      <c r="E32" s="50">
        <v>9</v>
      </c>
      <c r="F32" s="50">
        <v>24</v>
      </c>
      <c r="G32" s="50">
        <v>1</v>
      </c>
      <c r="H32" s="50">
        <v>1</v>
      </c>
      <c r="I32" s="50">
        <v>0</v>
      </c>
      <c r="J32" s="50">
        <v>1</v>
      </c>
      <c r="K32" s="50">
        <v>1</v>
      </c>
      <c r="L32" s="50">
        <v>1</v>
      </c>
      <c r="M32" s="50">
        <v>129</v>
      </c>
      <c r="N32" s="50">
        <v>0</v>
      </c>
      <c r="O32" s="15">
        <f t="shared" si="0"/>
        <v>77</v>
      </c>
      <c r="P32" s="15">
        <f t="shared" si="1"/>
        <v>206</v>
      </c>
      <c r="R32" s="33" t="s">
        <v>156</v>
      </c>
      <c r="S32" s="34">
        <f>SUM(C98:C101)</f>
        <v>20</v>
      </c>
      <c r="T32" s="34">
        <f t="shared" ref="T32:AF32" si="24">SUM(D98:D101)</f>
        <v>3</v>
      </c>
      <c r="U32" s="34">
        <f t="shared" si="24"/>
        <v>3</v>
      </c>
      <c r="V32" s="34">
        <f t="shared" si="24"/>
        <v>5</v>
      </c>
      <c r="W32" s="34">
        <f t="shared" si="24"/>
        <v>1</v>
      </c>
      <c r="X32" s="34">
        <f t="shared" si="24"/>
        <v>4</v>
      </c>
      <c r="Y32" s="34">
        <f t="shared" si="24"/>
        <v>3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118</v>
      </c>
      <c r="AD32" s="34">
        <f t="shared" si="24"/>
        <v>0</v>
      </c>
      <c r="AE32" s="31">
        <f t="shared" si="24"/>
        <v>39</v>
      </c>
      <c r="AF32" s="31">
        <f t="shared" si="24"/>
        <v>157</v>
      </c>
    </row>
    <row r="33" spans="2:32" ht="23.1" customHeight="1" x14ac:dyDescent="0.25">
      <c r="B33" s="45" t="s">
        <v>60</v>
      </c>
      <c r="C33" s="50">
        <v>35</v>
      </c>
      <c r="D33" s="50">
        <v>5</v>
      </c>
      <c r="E33" s="50">
        <v>6</v>
      </c>
      <c r="F33" s="50">
        <v>40</v>
      </c>
      <c r="G33" s="50">
        <v>0</v>
      </c>
      <c r="H33" s="50">
        <v>1</v>
      </c>
      <c r="I33" s="50">
        <v>3</v>
      </c>
      <c r="J33" s="50">
        <v>1</v>
      </c>
      <c r="K33" s="50">
        <v>0</v>
      </c>
      <c r="L33" s="50">
        <v>0</v>
      </c>
      <c r="M33" s="50">
        <v>93</v>
      </c>
      <c r="N33" s="50">
        <v>0</v>
      </c>
      <c r="O33" s="15">
        <f t="shared" si="0"/>
        <v>91</v>
      </c>
      <c r="P33" s="15">
        <f t="shared" si="1"/>
        <v>184</v>
      </c>
      <c r="R33" s="33" t="s">
        <v>157</v>
      </c>
      <c r="S33" s="34">
        <f>SUM(C102:C105)</f>
        <v>46</v>
      </c>
      <c r="T33" s="34">
        <f t="shared" ref="T33:AF33" si="25">SUM(D102:D105)</f>
        <v>6</v>
      </c>
      <c r="U33" s="34">
        <f t="shared" si="25"/>
        <v>5</v>
      </c>
      <c r="V33" s="34">
        <f t="shared" si="25"/>
        <v>47</v>
      </c>
      <c r="W33" s="34">
        <f t="shared" si="25"/>
        <v>2</v>
      </c>
      <c r="X33" s="34">
        <f t="shared" si="25"/>
        <v>2</v>
      </c>
      <c r="Y33" s="34">
        <f t="shared" si="25"/>
        <v>6</v>
      </c>
      <c r="Z33" s="34">
        <f t="shared" si="25"/>
        <v>1</v>
      </c>
      <c r="AA33" s="34">
        <f t="shared" si="25"/>
        <v>1</v>
      </c>
      <c r="AB33" s="34">
        <f t="shared" si="25"/>
        <v>1</v>
      </c>
      <c r="AC33" s="34">
        <f t="shared" si="25"/>
        <v>158</v>
      </c>
      <c r="AD33" s="34">
        <f t="shared" si="25"/>
        <v>0</v>
      </c>
      <c r="AE33" s="31">
        <f t="shared" si="25"/>
        <v>117</v>
      </c>
      <c r="AF33" s="31">
        <f t="shared" si="25"/>
        <v>275</v>
      </c>
    </row>
    <row r="34" spans="2:32" ht="23.1" customHeight="1" x14ac:dyDescent="0.25">
      <c r="B34" s="46" t="s">
        <v>61</v>
      </c>
      <c r="C34" s="50">
        <v>39</v>
      </c>
      <c r="D34" s="50">
        <v>7</v>
      </c>
      <c r="E34" s="50">
        <v>7</v>
      </c>
      <c r="F34" s="50">
        <v>48</v>
      </c>
      <c r="G34" s="50">
        <v>1</v>
      </c>
      <c r="H34" s="50">
        <v>3</v>
      </c>
      <c r="I34" s="50">
        <v>2</v>
      </c>
      <c r="J34" s="50">
        <v>3</v>
      </c>
      <c r="K34" s="50">
        <v>0</v>
      </c>
      <c r="L34" s="50">
        <v>0</v>
      </c>
      <c r="M34" s="50">
        <v>110</v>
      </c>
      <c r="N34" s="50">
        <v>0</v>
      </c>
      <c r="O34" s="15">
        <f t="shared" si="0"/>
        <v>110</v>
      </c>
      <c r="P34" s="15">
        <f t="shared" si="1"/>
        <v>220</v>
      </c>
      <c r="R34" s="38" t="s">
        <v>90</v>
      </c>
      <c r="S34" s="39">
        <f t="shared" ref="S34:AF34" si="26">MAX(S10:S12)</f>
        <v>190</v>
      </c>
      <c r="T34" s="39">
        <f t="shared" si="26"/>
        <v>47</v>
      </c>
      <c r="U34" s="39">
        <f t="shared" si="26"/>
        <v>34</v>
      </c>
      <c r="V34" s="39">
        <f t="shared" si="26"/>
        <v>180</v>
      </c>
      <c r="W34" s="39">
        <f t="shared" si="26"/>
        <v>27</v>
      </c>
      <c r="X34" s="39">
        <f t="shared" si="26"/>
        <v>6</v>
      </c>
      <c r="Y34" s="39">
        <f t="shared" si="26"/>
        <v>44</v>
      </c>
      <c r="Z34" s="39">
        <f t="shared" si="26"/>
        <v>5</v>
      </c>
      <c r="AA34" s="39">
        <f t="shared" si="26"/>
        <v>1</v>
      </c>
      <c r="AB34" s="39">
        <f t="shared" si="26"/>
        <v>1</v>
      </c>
      <c r="AC34" s="39">
        <f t="shared" si="26"/>
        <v>680</v>
      </c>
      <c r="AD34" s="39">
        <f t="shared" si="26"/>
        <v>0</v>
      </c>
      <c r="AE34" s="40">
        <f t="shared" si="26"/>
        <v>532</v>
      </c>
      <c r="AF34" s="40">
        <f t="shared" si="26"/>
        <v>1212</v>
      </c>
    </row>
    <row r="35" spans="2:32" ht="23.1" customHeight="1" x14ac:dyDescent="0.25">
      <c r="B35" s="46" t="s">
        <v>62</v>
      </c>
      <c r="C35" s="50">
        <v>28</v>
      </c>
      <c r="D35" s="50">
        <v>2</v>
      </c>
      <c r="E35" s="50">
        <v>4</v>
      </c>
      <c r="F35" s="50">
        <v>23</v>
      </c>
      <c r="G35" s="50">
        <v>1</v>
      </c>
      <c r="H35" s="50">
        <v>1</v>
      </c>
      <c r="I35" s="50">
        <v>6</v>
      </c>
      <c r="J35" s="50">
        <v>1</v>
      </c>
      <c r="K35" s="50">
        <v>0</v>
      </c>
      <c r="L35" s="50">
        <v>0</v>
      </c>
      <c r="M35" s="50">
        <v>108</v>
      </c>
      <c r="N35" s="50">
        <v>0</v>
      </c>
      <c r="O35" s="15">
        <f t="shared" si="0"/>
        <v>66</v>
      </c>
      <c r="P35" s="15">
        <f t="shared" si="1"/>
        <v>174</v>
      </c>
      <c r="R35" s="38" t="s">
        <v>91</v>
      </c>
      <c r="S35" s="39">
        <f t="shared" ref="S35:AF35" si="27">MAX(S13:S18)</f>
        <v>159</v>
      </c>
      <c r="T35" s="39">
        <f t="shared" si="27"/>
        <v>26</v>
      </c>
      <c r="U35" s="39">
        <f t="shared" si="27"/>
        <v>29</v>
      </c>
      <c r="V35" s="39">
        <f t="shared" si="27"/>
        <v>140</v>
      </c>
      <c r="W35" s="39">
        <f t="shared" si="27"/>
        <v>6</v>
      </c>
      <c r="X35" s="39">
        <f t="shared" si="27"/>
        <v>7</v>
      </c>
      <c r="Y35" s="39">
        <f t="shared" si="27"/>
        <v>21</v>
      </c>
      <c r="Z35" s="39">
        <f t="shared" si="27"/>
        <v>18</v>
      </c>
      <c r="AA35" s="39">
        <f t="shared" si="27"/>
        <v>2</v>
      </c>
      <c r="AB35" s="39">
        <f t="shared" si="27"/>
        <v>1</v>
      </c>
      <c r="AC35" s="39">
        <f t="shared" si="27"/>
        <v>584</v>
      </c>
      <c r="AD35" s="39">
        <f t="shared" si="27"/>
        <v>0</v>
      </c>
      <c r="AE35" s="40">
        <f t="shared" si="27"/>
        <v>372</v>
      </c>
      <c r="AF35" s="40">
        <f t="shared" si="27"/>
        <v>915</v>
      </c>
    </row>
    <row r="36" spans="2:32" ht="23.1" customHeight="1" x14ac:dyDescent="0.25">
      <c r="B36" s="46" t="s">
        <v>63</v>
      </c>
      <c r="C36" s="50">
        <v>33</v>
      </c>
      <c r="D36" s="50">
        <v>7</v>
      </c>
      <c r="E36" s="50">
        <v>6</v>
      </c>
      <c r="F36" s="50">
        <v>25</v>
      </c>
      <c r="G36" s="50">
        <v>1</v>
      </c>
      <c r="H36" s="50">
        <v>1</v>
      </c>
      <c r="I36" s="50">
        <v>4</v>
      </c>
      <c r="J36" s="50">
        <v>5</v>
      </c>
      <c r="K36" s="50">
        <v>2</v>
      </c>
      <c r="L36" s="50">
        <v>0</v>
      </c>
      <c r="M36" s="50">
        <v>77</v>
      </c>
      <c r="N36" s="50">
        <v>0</v>
      </c>
      <c r="O36" s="15">
        <f t="shared" si="0"/>
        <v>84</v>
      </c>
      <c r="P36" s="15">
        <f t="shared" si="1"/>
        <v>161</v>
      </c>
      <c r="R36" s="38" t="s">
        <v>92</v>
      </c>
      <c r="S36" s="39">
        <f t="shared" ref="S36:AF36" si="28">MAX(S19:S21)</f>
        <v>299</v>
      </c>
      <c r="T36" s="39">
        <f t="shared" si="28"/>
        <v>24</v>
      </c>
      <c r="U36" s="39">
        <f t="shared" si="28"/>
        <v>18</v>
      </c>
      <c r="V36" s="39">
        <f t="shared" si="28"/>
        <v>183</v>
      </c>
      <c r="W36" s="39">
        <f t="shared" si="28"/>
        <v>5</v>
      </c>
      <c r="X36" s="39">
        <f t="shared" si="28"/>
        <v>5</v>
      </c>
      <c r="Y36" s="39">
        <f t="shared" si="28"/>
        <v>17</v>
      </c>
      <c r="Z36" s="39">
        <f t="shared" si="28"/>
        <v>9</v>
      </c>
      <c r="AA36" s="39">
        <f t="shared" si="28"/>
        <v>3</v>
      </c>
      <c r="AB36" s="39">
        <f t="shared" si="28"/>
        <v>2</v>
      </c>
      <c r="AC36" s="39">
        <f t="shared" si="28"/>
        <v>593</v>
      </c>
      <c r="AD36" s="39">
        <f t="shared" si="28"/>
        <v>0</v>
      </c>
      <c r="AE36" s="40">
        <f t="shared" si="28"/>
        <v>533</v>
      </c>
      <c r="AF36" s="40">
        <f t="shared" si="28"/>
        <v>1087</v>
      </c>
    </row>
    <row r="37" spans="2:32" ht="23.1" customHeight="1" x14ac:dyDescent="0.25">
      <c r="B37" s="45" t="s">
        <v>64</v>
      </c>
      <c r="C37" s="50">
        <v>41</v>
      </c>
      <c r="D37" s="50">
        <v>9</v>
      </c>
      <c r="E37" s="50">
        <v>4</v>
      </c>
      <c r="F37" s="50">
        <v>37</v>
      </c>
      <c r="G37" s="50">
        <v>3</v>
      </c>
      <c r="H37" s="50">
        <v>2</v>
      </c>
      <c r="I37" s="50">
        <v>5</v>
      </c>
      <c r="J37" s="50">
        <v>1</v>
      </c>
      <c r="K37" s="50">
        <v>0</v>
      </c>
      <c r="L37" s="50">
        <v>1</v>
      </c>
      <c r="M37" s="50">
        <v>106</v>
      </c>
      <c r="N37" s="50">
        <v>0</v>
      </c>
      <c r="O37" s="15">
        <f t="shared" si="0"/>
        <v>103</v>
      </c>
      <c r="P37" s="15">
        <f t="shared" si="1"/>
        <v>209</v>
      </c>
      <c r="R37" s="37" t="s">
        <v>85</v>
      </c>
      <c r="S37" s="35">
        <f t="shared" ref="S37:AF37" si="29">SUM(S10:S12)</f>
        <v>383</v>
      </c>
      <c r="T37" s="16">
        <f t="shared" si="29"/>
        <v>75</v>
      </c>
      <c r="U37" s="16">
        <f t="shared" si="29"/>
        <v>50</v>
      </c>
      <c r="V37" s="16">
        <f t="shared" si="29"/>
        <v>381</v>
      </c>
      <c r="W37" s="16">
        <f t="shared" si="29"/>
        <v>32</v>
      </c>
      <c r="X37" s="16">
        <f t="shared" si="29"/>
        <v>14</v>
      </c>
      <c r="Y37" s="16">
        <f t="shared" si="29"/>
        <v>62</v>
      </c>
      <c r="Z37" s="16">
        <f t="shared" si="29"/>
        <v>9</v>
      </c>
      <c r="AA37" s="16">
        <f t="shared" si="29"/>
        <v>1</v>
      </c>
      <c r="AB37" s="16">
        <f t="shared" si="29"/>
        <v>1</v>
      </c>
      <c r="AC37" s="16">
        <f t="shared" si="29"/>
        <v>1659</v>
      </c>
      <c r="AD37" s="16">
        <f t="shared" si="29"/>
        <v>0</v>
      </c>
      <c r="AE37" s="32">
        <f t="shared" si="29"/>
        <v>1008</v>
      </c>
      <c r="AF37" s="32">
        <f t="shared" si="29"/>
        <v>2667</v>
      </c>
    </row>
    <row r="38" spans="2:32" ht="23.1" customHeight="1" x14ac:dyDescent="0.25">
      <c r="B38" s="46" t="s">
        <v>65</v>
      </c>
      <c r="C38" s="50">
        <v>36</v>
      </c>
      <c r="D38" s="50">
        <v>3</v>
      </c>
      <c r="E38" s="50">
        <v>6</v>
      </c>
      <c r="F38" s="50">
        <v>40</v>
      </c>
      <c r="G38" s="50">
        <v>1</v>
      </c>
      <c r="H38" s="50">
        <v>0</v>
      </c>
      <c r="I38" s="50">
        <v>6</v>
      </c>
      <c r="J38" s="50">
        <v>2</v>
      </c>
      <c r="K38" s="50">
        <v>0</v>
      </c>
      <c r="L38" s="50">
        <v>0</v>
      </c>
      <c r="M38" s="50">
        <v>72</v>
      </c>
      <c r="N38" s="50">
        <v>0</v>
      </c>
      <c r="O38" s="15">
        <f t="shared" si="0"/>
        <v>94</v>
      </c>
      <c r="P38" s="15">
        <f t="shared" si="1"/>
        <v>166</v>
      </c>
      <c r="R38" s="28" t="s">
        <v>86</v>
      </c>
      <c r="S38" s="16">
        <f t="shared" ref="S38:AF38" si="30">SUM(S13:S18)</f>
        <v>862</v>
      </c>
      <c r="T38" s="16">
        <f t="shared" si="30"/>
        <v>132</v>
      </c>
      <c r="U38" s="16">
        <f t="shared" si="30"/>
        <v>123</v>
      </c>
      <c r="V38" s="16">
        <f t="shared" si="30"/>
        <v>790</v>
      </c>
      <c r="W38" s="16">
        <f t="shared" si="30"/>
        <v>20</v>
      </c>
      <c r="X38" s="16">
        <f t="shared" si="30"/>
        <v>29</v>
      </c>
      <c r="Y38" s="16">
        <f t="shared" si="30"/>
        <v>78</v>
      </c>
      <c r="Z38" s="16">
        <f t="shared" si="30"/>
        <v>51</v>
      </c>
      <c r="AA38" s="16">
        <f t="shared" si="30"/>
        <v>5</v>
      </c>
      <c r="AB38" s="16">
        <f t="shared" si="30"/>
        <v>5</v>
      </c>
      <c r="AC38" s="16">
        <f t="shared" si="30"/>
        <v>2687</v>
      </c>
      <c r="AD38" s="16">
        <f t="shared" si="30"/>
        <v>0</v>
      </c>
      <c r="AE38" s="32">
        <f t="shared" si="30"/>
        <v>2095</v>
      </c>
      <c r="AF38" s="32">
        <f t="shared" si="30"/>
        <v>4782</v>
      </c>
    </row>
    <row r="39" spans="2:32" ht="23.1" customHeight="1" x14ac:dyDescent="0.25">
      <c r="B39" s="46" t="s">
        <v>66</v>
      </c>
      <c r="C39" s="50">
        <v>34</v>
      </c>
      <c r="D39" s="50">
        <v>5</v>
      </c>
      <c r="E39" s="50">
        <v>1</v>
      </c>
      <c r="F39" s="50">
        <v>33</v>
      </c>
      <c r="G39" s="50">
        <v>0</v>
      </c>
      <c r="H39" s="50">
        <v>2</v>
      </c>
      <c r="I39" s="50">
        <v>4</v>
      </c>
      <c r="J39" s="50">
        <v>0</v>
      </c>
      <c r="K39" s="50">
        <v>0</v>
      </c>
      <c r="L39" s="50">
        <v>0</v>
      </c>
      <c r="M39" s="50">
        <v>67</v>
      </c>
      <c r="N39" s="50">
        <v>0</v>
      </c>
      <c r="O39" s="15">
        <f t="shared" si="0"/>
        <v>79</v>
      </c>
      <c r="P39" s="15">
        <f t="shared" si="1"/>
        <v>146</v>
      </c>
      <c r="R39" s="29" t="s">
        <v>87</v>
      </c>
      <c r="S39" s="16">
        <f t="shared" ref="S39:AF39" si="31">SUM(S19:S21)</f>
        <v>835</v>
      </c>
      <c r="T39" s="16">
        <f t="shared" si="31"/>
        <v>49</v>
      </c>
      <c r="U39" s="16">
        <f t="shared" si="31"/>
        <v>49</v>
      </c>
      <c r="V39" s="16">
        <f t="shared" si="31"/>
        <v>490</v>
      </c>
      <c r="W39" s="16">
        <f t="shared" si="31"/>
        <v>12</v>
      </c>
      <c r="X39" s="16">
        <f t="shared" si="31"/>
        <v>10</v>
      </c>
      <c r="Y39" s="16">
        <f t="shared" si="31"/>
        <v>40</v>
      </c>
      <c r="Z39" s="16">
        <f t="shared" si="31"/>
        <v>22</v>
      </c>
      <c r="AA39" s="16">
        <f t="shared" si="31"/>
        <v>3</v>
      </c>
      <c r="AB39" s="16">
        <f t="shared" si="31"/>
        <v>3</v>
      </c>
      <c r="AC39" s="16">
        <f t="shared" si="31"/>
        <v>1686</v>
      </c>
      <c r="AD39" s="16">
        <f t="shared" si="31"/>
        <v>0</v>
      </c>
      <c r="AE39" s="32">
        <f t="shared" si="31"/>
        <v>1513</v>
      </c>
      <c r="AF39" s="32">
        <f t="shared" si="31"/>
        <v>3199</v>
      </c>
    </row>
    <row r="40" spans="2:32" ht="23.1" customHeight="1" x14ac:dyDescent="0.25">
      <c r="B40" s="46" t="s">
        <v>67</v>
      </c>
      <c r="C40" s="50">
        <v>40</v>
      </c>
      <c r="D40" s="50">
        <v>5</v>
      </c>
      <c r="E40" s="50">
        <v>2</v>
      </c>
      <c r="F40" s="50">
        <v>21</v>
      </c>
      <c r="G40" s="50">
        <v>1</v>
      </c>
      <c r="H40" s="50">
        <v>1</v>
      </c>
      <c r="I40" s="50">
        <v>8</v>
      </c>
      <c r="J40" s="50">
        <v>1</v>
      </c>
      <c r="K40" s="50">
        <v>0</v>
      </c>
      <c r="L40" s="50">
        <v>1</v>
      </c>
      <c r="M40" s="50">
        <v>76</v>
      </c>
      <c r="N40" s="50">
        <v>0</v>
      </c>
      <c r="O40" s="15">
        <f t="shared" si="0"/>
        <v>80</v>
      </c>
      <c r="P40" s="15">
        <f t="shared" si="1"/>
        <v>156</v>
      </c>
      <c r="R40" s="5" t="s">
        <v>17</v>
      </c>
      <c r="S40" s="16">
        <f t="shared" ref="S40:AF40" si="32">SUM(S10:S21)</f>
        <v>2080</v>
      </c>
      <c r="T40" s="16">
        <f t="shared" si="32"/>
        <v>256</v>
      </c>
      <c r="U40" s="16">
        <f t="shared" si="32"/>
        <v>222</v>
      </c>
      <c r="V40" s="16">
        <f t="shared" si="32"/>
        <v>1661</v>
      </c>
      <c r="W40" s="16">
        <f t="shared" si="32"/>
        <v>64</v>
      </c>
      <c r="X40" s="16">
        <f t="shared" si="32"/>
        <v>53</v>
      </c>
      <c r="Y40" s="16">
        <f t="shared" si="32"/>
        <v>180</v>
      </c>
      <c r="Z40" s="16">
        <f t="shared" si="32"/>
        <v>82</v>
      </c>
      <c r="AA40" s="16">
        <f t="shared" si="32"/>
        <v>9</v>
      </c>
      <c r="AB40" s="16">
        <f t="shared" si="32"/>
        <v>9</v>
      </c>
      <c r="AC40" s="16">
        <f t="shared" si="32"/>
        <v>6032</v>
      </c>
      <c r="AD40" s="16">
        <f t="shared" si="32"/>
        <v>0</v>
      </c>
      <c r="AE40" s="32">
        <f t="shared" si="32"/>
        <v>4616</v>
      </c>
      <c r="AF40" s="32">
        <f t="shared" si="32"/>
        <v>10648</v>
      </c>
    </row>
    <row r="41" spans="2:32" ht="23.1" customHeight="1" x14ac:dyDescent="0.25">
      <c r="B41" s="45" t="s">
        <v>68</v>
      </c>
      <c r="C41" s="50">
        <v>49</v>
      </c>
      <c r="D41" s="50">
        <v>5</v>
      </c>
      <c r="E41" s="50">
        <v>9</v>
      </c>
      <c r="F41" s="50">
        <v>29</v>
      </c>
      <c r="G41" s="50">
        <v>0</v>
      </c>
      <c r="H41" s="50">
        <v>1</v>
      </c>
      <c r="I41" s="50">
        <v>3</v>
      </c>
      <c r="J41" s="50">
        <v>1</v>
      </c>
      <c r="K41" s="50">
        <v>0</v>
      </c>
      <c r="L41" s="50">
        <v>0</v>
      </c>
      <c r="M41" s="50">
        <v>92</v>
      </c>
      <c r="N41" s="50">
        <v>0</v>
      </c>
      <c r="O41" s="15">
        <f t="shared" si="0"/>
        <v>97</v>
      </c>
      <c r="P41" s="15">
        <f t="shared" si="1"/>
        <v>189</v>
      </c>
      <c r="R41" s="5" t="s">
        <v>159</v>
      </c>
      <c r="S41" s="16">
        <f>SUM(S10:S33)</f>
        <v>3437</v>
      </c>
      <c r="T41" s="16">
        <f t="shared" ref="T41:AF41" si="33">SUM(T10:T33)</f>
        <v>364</v>
      </c>
      <c r="U41" s="16">
        <f t="shared" si="33"/>
        <v>342</v>
      </c>
      <c r="V41" s="16">
        <f t="shared" si="33"/>
        <v>2618</v>
      </c>
      <c r="W41" s="16">
        <f t="shared" si="33"/>
        <v>90</v>
      </c>
      <c r="X41" s="16">
        <f t="shared" si="33"/>
        <v>91</v>
      </c>
      <c r="Y41" s="16">
        <f t="shared" si="33"/>
        <v>243</v>
      </c>
      <c r="Z41" s="16">
        <f t="shared" si="33"/>
        <v>124</v>
      </c>
      <c r="AA41" s="16">
        <f t="shared" si="33"/>
        <v>29</v>
      </c>
      <c r="AB41" s="16">
        <f t="shared" si="33"/>
        <v>13</v>
      </c>
      <c r="AC41" s="16">
        <f t="shared" si="33"/>
        <v>9508</v>
      </c>
      <c r="AD41" s="16">
        <f t="shared" si="33"/>
        <v>0</v>
      </c>
      <c r="AE41" s="32">
        <f t="shared" si="33"/>
        <v>7351</v>
      </c>
      <c r="AF41" s="32">
        <f t="shared" si="33"/>
        <v>16859</v>
      </c>
    </row>
    <row r="42" spans="2:32" ht="23.1" customHeight="1" x14ac:dyDescent="0.25">
      <c r="B42" s="46" t="s">
        <v>69</v>
      </c>
      <c r="C42" s="50">
        <v>40</v>
      </c>
      <c r="D42" s="50">
        <v>3</v>
      </c>
      <c r="E42" s="50">
        <v>9</v>
      </c>
      <c r="F42" s="50">
        <v>49</v>
      </c>
      <c r="G42" s="50">
        <v>0</v>
      </c>
      <c r="H42" s="50">
        <v>1</v>
      </c>
      <c r="I42" s="50">
        <v>3</v>
      </c>
      <c r="J42" s="50">
        <v>2</v>
      </c>
      <c r="K42" s="50">
        <v>1</v>
      </c>
      <c r="L42" s="50">
        <v>0</v>
      </c>
      <c r="M42" s="50">
        <v>90</v>
      </c>
      <c r="N42" s="50">
        <v>0</v>
      </c>
      <c r="O42" s="15">
        <f t="shared" si="0"/>
        <v>108</v>
      </c>
      <c r="P42" s="15">
        <f t="shared" si="1"/>
        <v>198</v>
      </c>
      <c r="R42" s="5" t="s">
        <v>160</v>
      </c>
      <c r="S42" s="48">
        <f>S41/S40</f>
        <v>1.6524038461538462</v>
      </c>
      <c r="T42" s="48">
        <f t="shared" ref="T42:AF42" si="34">T41/T40</f>
        <v>1.421875</v>
      </c>
      <c r="U42" s="48">
        <f t="shared" si="34"/>
        <v>1.5405405405405406</v>
      </c>
      <c r="V42" s="48">
        <f t="shared" si="34"/>
        <v>1.576158940397351</v>
      </c>
      <c r="W42" s="48">
        <f t="shared" si="34"/>
        <v>1.40625</v>
      </c>
      <c r="X42" s="48">
        <f t="shared" si="34"/>
        <v>1.7169811320754718</v>
      </c>
      <c r="Y42" s="48">
        <f t="shared" si="34"/>
        <v>1.35</v>
      </c>
      <c r="Z42" s="48">
        <f t="shared" si="34"/>
        <v>1.5121951219512195</v>
      </c>
      <c r="AA42" s="48">
        <f t="shared" si="34"/>
        <v>3.2222222222222223</v>
      </c>
      <c r="AB42" s="48">
        <f t="shared" si="34"/>
        <v>1.4444444444444444</v>
      </c>
      <c r="AC42" s="48">
        <f t="shared" si="34"/>
        <v>1.5762599469496021</v>
      </c>
      <c r="AD42" s="48" t="e">
        <f t="shared" si="34"/>
        <v>#DIV/0!</v>
      </c>
      <c r="AE42" s="48">
        <f t="shared" si="34"/>
        <v>1.5925043327556325</v>
      </c>
      <c r="AF42" s="48">
        <f t="shared" si="34"/>
        <v>1.5833020285499624</v>
      </c>
    </row>
    <row r="43" spans="2:32" ht="23.1" customHeight="1" x14ac:dyDescent="0.25">
      <c r="B43" s="45" t="s">
        <v>70</v>
      </c>
      <c r="C43" s="50">
        <v>41</v>
      </c>
      <c r="D43" s="50">
        <v>3</v>
      </c>
      <c r="E43" s="50">
        <v>6</v>
      </c>
      <c r="F43" s="50">
        <v>28</v>
      </c>
      <c r="G43" s="50">
        <v>2</v>
      </c>
      <c r="H43" s="50">
        <v>2</v>
      </c>
      <c r="I43" s="50">
        <v>4</v>
      </c>
      <c r="J43" s="50">
        <v>2</v>
      </c>
      <c r="K43" s="50">
        <v>0</v>
      </c>
      <c r="L43" s="50">
        <v>1</v>
      </c>
      <c r="M43" s="50">
        <v>78</v>
      </c>
      <c r="N43" s="50">
        <v>0</v>
      </c>
      <c r="O43" s="15">
        <f t="shared" si="0"/>
        <v>89</v>
      </c>
      <c r="P43" s="15">
        <f t="shared" si="1"/>
        <v>167</v>
      </c>
    </row>
    <row r="44" spans="2:32" ht="23.1" customHeight="1" x14ac:dyDescent="0.25">
      <c r="B44" s="47" t="s">
        <v>71</v>
      </c>
      <c r="C44" s="50">
        <v>46</v>
      </c>
      <c r="D44" s="50">
        <v>6</v>
      </c>
      <c r="E44" s="50">
        <v>4</v>
      </c>
      <c r="F44" s="50">
        <v>32</v>
      </c>
      <c r="G44" s="50">
        <v>0</v>
      </c>
      <c r="H44" s="50">
        <v>2</v>
      </c>
      <c r="I44" s="50">
        <v>3</v>
      </c>
      <c r="J44" s="50">
        <v>1</v>
      </c>
      <c r="K44" s="50">
        <v>0</v>
      </c>
      <c r="L44" s="50">
        <v>0</v>
      </c>
      <c r="M44" s="50">
        <v>91</v>
      </c>
      <c r="N44" s="50">
        <v>0</v>
      </c>
      <c r="O44" s="15">
        <f t="shared" si="0"/>
        <v>94</v>
      </c>
      <c r="P44" s="15">
        <f t="shared" si="1"/>
        <v>185</v>
      </c>
    </row>
    <row r="45" spans="2:32" ht="23.1" customHeight="1" x14ac:dyDescent="0.25">
      <c r="B45" s="45" t="s">
        <v>72</v>
      </c>
      <c r="C45" s="50">
        <v>31</v>
      </c>
      <c r="D45" s="50">
        <v>4</v>
      </c>
      <c r="E45" s="50">
        <v>3</v>
      </c>
      <c r="F45" s="50">
        <v>23</v>
      </c>
      <c r="G45" s="50">
        <v>2</v>
      </c>
      <c r="H45" s="50">
        <v>1</v>
      </c>
      <c r="I45" s="50">
        <v>3</v>
      </c>
      <c r="J45" s="50">
        <v>2</v>
      </c>
      <c r="K45" s="50">
        <v>0</v>
      </c>
      <c r="L45" s="50">
        <v>0</v>
      </c>
      <c r="M45" s="50">
        <v>105</v>
      </c>
      <c r="N45" s="50">
        <v>0</v>
      </c>
      <c r="O45" s="15">
        <f t="shared" si="0"/>
        <v>69</v>
      </c>
      <c r="P45" s="15">
        <f t="shared" si="1"/>
        <v>174</v>
      </c>
    </row>
    <row r="46" spans="2:32" ht="23.1" customHeight="1" x14ac:dyDescent="0.25">
      <c r="B46" s="46" t="s">
        <v>73</v>
      </c>
      <c r="C46" s="50">
        <v>58</v>
      </c>
      <c r="D46" s="50">
        <v>2</v>
      </c>
      <c r="E46" s="50">
        <v>2</v>
      </c>
      <c r="F46" s="50">
        <v>38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116</v>
      </c>
      <c r="N46" s="50">
        <v>0</v>
      </c>
      <c r="O46" s="15">
        <f t="shared" si="0"/>
        <v>104</v>
      </c>
      <c r="P46" s="15">
        <f t="shared" si="1"/>
        <v>220</v>
      </c>
      <c r="R46" s="8"/>
      <c r="T46"/>
    </row>
    <row r="47" spans="2:32" ht="23.1" customHeight="1" x14ac:dyDescent="0.25">
      <c r="B47" s="46" t="s">
        <v>74</v>
      </c>
      <c r="C47" s="50">
        <v>66</v>
      </c>
      <c r="D47" s="50">
        <v>1</v>
      </c>
      <c r="E47" s="50">
        <v>3</v>
      </c>
      <c r="F47" s="50">
        <v>40</v>
      </c>
      <c r="G47" s="50">
        <v>2</v>
      </c>
      <c r="H47" s="50">
        <v>0</v>
      </c>
      <c r="I47" s="50">
        <v>5</v>
      </c>
      <c r="J47" s="50">
        <v>3</v>
      </c>
      <c r="K47" s="50">
        <v>0</v>
      </c>
      <c r="L47" s="50">
        <v>0</v>
      </c>
      <c r="M47" s="50">
        <v>102</v>
      </c>
      <c r="N47" s="50">
        <v>0</v>
      </c>
      <c r="O47" s="15">
        <f t="shared" si="0"/>
        <v>120</v>
      </c>
      <c r="P47" s="15">
        <f t="shared" si="1"/>
        <v>222</v>
      </c>
      <c r="R47" s="8"/>
      <c r="T47"/>
    </row>
    <row r="48" spans="2:32" ht="23.1" customHeight="1" x14ac:dyDescent="0.25">
      <c r="B48" s="46" t="s">
        <v>75</v>
      </c>
      <c r="C48" s="50">
        <v>80</v>
      </c>
      <c r="D48" s="50">
        <v>4</v>
      </c>
      <c r="E48" s="50">
        <v>6</v>
      </c>
      <c r="F48" s="50">
        <v>55</v>
      </c>
      <c r="G48" s="50">
        <v>2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121</v>
      </c>
      <c r="N48" s="50">
        <v>0</v>
      </c>
      <c r="O48" s="15">
        <f t="shared" si="0"/>
        <v>151</v>
      </c>
      <c r="P48" s="15">
        <f t="shared" si="1"/>
        <v>272</v>
      </c>
      <c r="R48" s="8"/>
      <c r="T48"/>
    </row>
    <row r="49" spans="2:20" ht="23.1" customHeight="1" x14ac:dyDescent="0.25">
      <c r="B49" s="45" t="s">
        <v>76</v>
      </c>
      <c r="C49" s="50">
        <v>95</v>
      </c>
      <c r="D49" s="50">
        <v>3</v>
      </c>
      <c r="E49" s="50">
        <v>5</v>
      </c>
      <c r="F49" s="50">
        <v>50</v>
      </c>
      <c r="G49" s="50">
        <v>0</v>
      </c>
      <c r="H49" s="50">
        <v>1</v>
      </c>
      <c r="I49" s="50">
        <v>2</v>
      </c>
      <c r="J49" s="50">
        <v>1</v>
      </c>
      <c r="K49" s="50">
        <v>0</v>
      </c>
      <c r="L49" s="50">
        <v>1</v>
      </c>
      <c r="M49" s="50">
        <v>178</v>
      </c>
      <c r="N49" s="50">
        <v>0</v>
      </c>
      <c r="O49" s="15">
        <f t="shared" si="0"/>
        <v>158</v>
      </c>
      <c r="P49" s="15">
        <f t="shared" si="1"/>
        <v>336</v>
      </c>
      <c r="R49" s="8"/>
      <c r="T49"/>
    </row>
    <row r="50" spans="2:20" ht="23.1" customHeight="1" x14ac:dyDescent="0.25">
      <c r="B50" s="46" t="s">
        <v>77</v>
      </c>
      <c r="C50" s="50">
        <v>59</v>
      </c>
      <c r="D50" s="50">
        <v>2</v>
      </c>
      <c r="E50" s="50">
        <v>3</v>
      </c>
      <c r="F50" s="50">
        <v>43</v>
      </c>
      <c r="G50" s="50">
        <v>1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177</v>
      </c>
      <c r="N50" s="50">
        <v>0</v>
      </c>
      <c r="O50" s="15">
        <f t="shared" si="0"/>
        <v>113</v>
      </c>
      <c r="P50" s="15">
        <f t="shared" si="1"/>
        <v>290</v>
      </c>
      <c r="R50" s="8"/>
      <c r="T50"/>
    </row>
    <row r="51" spans="2:20" ht="23.1" customHeight="1" x14ac:dyDescent="0.25">
      <c r="B51" s="46" t="s">
        <v>78</v>
      </c>
      <c r="C51" s="50">
        <v>68</v>
      </c>
      <c r="D51" s="50">
        <v>2</v>
      </c>
      <c r="E51" s="50">
        <v>3</v>
      </c>
      <c r="F51" s="50">
        <v>43</v>
      </c>
      <c r="G51" s="50">
        <v>1</v>
      </c>
      <c r="H51" s="50">
        <v>0</v>
      </c>
      <c r="I51" s="50">
        <v>4</v>
      </c>
      <c r="J51" s="50">
        <v>1</v>
      </c>
      <c r="K51" s="50">
        <v>0</v>
      </c>
      <c r="L51" s="50">
        <v>0</v>
      </c>
      <c r="M51" s="50">
        <v>130</v>
      </c>
      <c r="N51" s="50">
        <v>0</v>
      </c>
      <c r="O51" s="15">
        <f t="shared" si="0"/>
        <v>122</v>
      </c>
      <c r="P51" s="15">
        <f t="shared" si="1"/>
        <v>252</v>
      </c>
      <c r="R51" s="8"/>
      <c r="T51"/>
    </row>
    <row r="52" spans="2:20" ht="23.1" customHeight="1" x14ac:dyDescent="0.25">
      <c r="B52" s="46" t="s">
        <v>79</v>
      </c>
      <c r="C52" s="50">
        <v>90</v>
      </c>
      <c r="D52" s="50">
        <v>7</v>
      </c>
      <c r="E52" s="50">
        <v>6</v>
      </c>
      <c r="F52" s="50">
        <v>43</v>
      </c>
      <c r="G52" s="50">
        <v>0</v>
      </c>
      <c r="H52" s="50">
        <v>1</v>
      </c>
      <c r="I52" s="50">
        <v>3</v>
      </c>
      <c r="J52" s="50">
        <v>3</v>
      </c>
      <c r="K52" s="50">
        <v>0</v>
      </c>
      <c r="L52" s="50">
        <v>0</v>
      </c>
      <c r="M52" s="50">
        <v>127</v>
      </c>
      <c r="N52" s="50">
        <v>0</v>
      </c>
      <c r="O52" s="15">
        <f t="shared" si="0"/>
        <v>153</v>
      </c>
      <c r="P52" s="15">
        <f t="shared" si="1"/>
        <v>280</v>
      </c>
      <c r="R52" s="8"/>
      <c r="T52"/>
    </row>
    <row r="53" spans="2:20" ht="23.1" customHeight="1" x14ac:dyDescent="0.25">
      <c r="B53" s="45" t="s">
        <v>80</v>
      </c>
      <c r="C53" s="50">
        <v>81</v>
      </c>
      <c r="D53" s="50">
        <v>4</v>
      </c>
      <c r="E53" s="50">
        <v>3</v>
      </c>
      <c r="F53" s="50">
        <v>0</v>
      </c>
      <c r="G53" s="50">
        <v>1</v>
      </c>
      <c r="H53" s="50">
        <v>3</v>
      </c>
      <c r="I53" s="50">
        <v>6</v>
      </c>
      <c r="J53" s="50">
        <v>0</v>
      </c>
      <c r="K53" s="50">
        <v>0</v>
      </c>
      <c r="L53" s="50">
        <v>0</v>
      </c>
      <c r="M53" s="50">
        <v>142</v>
      </c>
      <c r="N53" s="50">
        <v>0</v>
      </c>
      <c r="O53" s="15">
        <f t="shared" si="0"/>
        <v>98</v>
      </c>
      <c r="P53" s="15">
        <f t="shared" si="1"/>
        <v>240</v>
      </c>
      <c r="R53" s="8"/>
      <c r="T53"/>
    </row>
    <row r="54" spans="2:20" ht="23.1" customHeight="1" x14ac:dyDescent="0.25">
      <c r="B54" s="45" t="s">
        <v>81</v>
      </c>
      <c r="C54" s="50">
        <v>61</v>
      </c>
      <c r="D54" s="50">
        <v>9</v>
      </c>
      <c r="E54" s="50">
        <v>7</v>
      </c>
      <c r="F54" s="50">
        <v>38</v>
      </c>
      <c r="G54" s="50">
        <v>1</v>
      </c>
      <c r="H54" s="50">
        <v>0</v>
      </c>
      <c r="I54" s="50">
        <v>5</v>
      </c>
      <c r="J54" s="50">
        <v>1</v>
      </c>
      <c r="K54" s="50">
        <v>0</v>
      </c>
      <c r="L54" s="50">
        <v>1</v>
      </c>
      <c r="M54" s="50">
        <v>160</v>
      </c>
      <c r="N54" s="50">
        <v>0</v>
      </c>
      <c r="O54" s="15">
        <f t="shared" si="0"/>
        <v>123</v>
      </c>
      <c r="P54" s="15">
        <f t="shared" si="1"/>
        <v>283</v>
      </c>
      <c r="R54" s="8"/>
      <c r="T54"/>
    </row>
    <row r="55" spans="2:20" ht="23.1" customHeight="1" x14ac:dyDescent="0.25">
      <c r="B55" s="45" t="s">
        <v>82</v>
      </c>
      <c r="C55" s="50">
        <v>53</v>
      </c>
      <c r="D55" s="50">
        <v>6</v>
      </c>
      <c r="E55" s="50">
        <v>4</v>
      </c>
      <c r="F55" s="50">
        <v>60</v>
      </c>
      <c r="G55" s="50">
        <v>1</v>
      </c>
      <c r="H55" s="50">
        <v>1</v>
      </c>
      <c r="I55" s="50">
        <v>1</v>
      </c>
      <c r="J55" s="50">
        <v>0</v>
      </c>
      <c r="K55" s="50">
        <v>0</v>
      </c>
      <c r="L55" s="50">
        <v>1</v>
      </c>
      <c r="M55" s="50">
        <v>165</v>
      </c>
      <c r="N55" s="50">
        <v>0</v>
      </c>
      <c r="O55" s="15">
        <f t="shared" si="0"/>
        <v>127</v>
      </c>
      <c r="P55" s="15">
        <f t="shared" si="1"/>
        <v>292</v>
      </c>
      <c r="R55" s="8"/>
      <c r="T55"/>
    </row>
    <row r="56" spans="2:20" ht="23.1" customHeight="1" x14ac:dyDescent="0.25">
      <c r="B56" s="45" t="s">
        <v>83</v>
      </c>
      <c r="C56" s="50">
        <v>65</v>
      </c>
      <c r="D56" s="50">
        <v>3</v>
      </c>
      <c r="E56" s="50">
        <v>4</v>
      </c>
      <c r="F56" s="50">
        <v>48</v>
      </c>
      <c r="G56" s="50">
        <v>1</v>
      </c>
      <c r="H56" s="50">
        <v>2</v>
      </c>
      <c r="I56" s="50">
        <v>4</v>
      </c>
      <c r="J56" s="50">
        <v>6</v>
      </c>
      <c r="K56" s="50">
        <v>0</v>
      </c>
      <c r="L56" s="50">
        <v>0</v>
      </c>
      <c r="M56" s="50">
        <v>127</v>
      </c>
      <c r="N56" s="50">
        <v>0</v>
      </c>
      <c r="O56" s="15">
        <f t="shared" si="0"/>
        <v>133</v>
      </c>
      <c r="P56" s="15">
        <f t="shared" si="1"/>
        <v>260</v>
      </c>
      <c r="R56" s="8"/>
      <c r="T56"/>
    </row>
    <row r="57" spans="2:20" ht="23.1" customHeight="1" x14ac:dyDescent="0.25">
      <c r="B57" s="45" t="s">
        <v>84</v>
      </c>
      <c r="C57" s="50">
        <v>59</v>
      </c>
      <c r="D57" s="50">
        <v>6</v>
      </c>
      <c r="E57" s="50">
        <v>3</v>
      </c>
      <c r="F57" s="50">
        <v>32</v>
      </c>
      <c r="G57" s="50">
        <v>2</v>
      </c>
      <c r="H57" s="50">
        <v>2</v>
      </c>
      <c r="I57" s="50">
        <v>3</v>
      </c>
      <c r="J57" s="50">
        <v>1</v>
      </c>
      <c r="K57" s="50">
        <v>3</v>
      </c>
      <c r="L57" s="50">
        <v>0</v>
      </c>
      <c r="M57" s="50">
        <v>141</v>
      </c>
      <c r="N57" s="50">
        <v>0</v>
      </c>
      <c r="O57" s="15">
        <f t="shared" si="0"/>
        <v>111</v>
      </c>
      <c r="P57" s="15">
        <f t="shared" si="1"/>
        <v>252</v>
      </c>
      <c r="R57" s="8"/>
      <c r="T57"/>
    </row>
    <row r="58" spans="2:20" ht="23.1" customHeight="1" x14ac:dyDescent="0.25">
      <c r="B58" s="45" t="s">
        <v>99</v>
      </c>
      <c r="C58" s="50">
        <v>93</v>
      </c>
      <c r="D58" s="50">
        <v>2</v>
      </c>
      <c r="E58" s="50">
        <v>6</v>
      </c>
      <c r="F58" s="50">
        <v>43</v>
      </c>
      <c r="G58" s="50">
        <v>1</v>
      </c>
      <c r="H58" s="50">
        <v>0</v>
      </c>
      <c r="I58" s="50">
        <v>6</v>
      </c>
      <c r="J58" s="50">
        <v>3</v>
      </c>
      <c r="K58" s="50">
        <v>0</v>
      </c>
      <c r="L58" s="50">
        <v>0</v>
      </c>
      <c r="M58" s="50">
        <v>240</v>
      </c>
      <c r="N58" s="50">
        <v>0</v>
      </c>
      <c r="O58" s="15">
        <f t="shared" si="0"/>
        <v>154</v>
      </c>
      <c r="P58" s="15">
        <f t="shared" si="1"/>
        <v>394</v>
      </c>
      <c r="R58" s="8"/>
      <c r="T58"/>
    </row>
    <row r="59" spans="2:20" ht="23.1" customHeight="1" x14ac:dyDescent="0.25">
      <c r="B59" s="45" t="s">
        <v>100</v>
      </c>
      <c r="C59" s="50">
        <v>73</v>
      </c>
      <c r="D59" s="50">
        <v>8</v>
      </c>
      <c r="E59" s="50">
        <v>5</v>
      </c>
      <c r="F59" s="50">
        <v>42</v>
      </c>
      <c r="G59" s="50">
        <v>0</v>
      </c>
      <c r="H59" s="50">
        <v>2</v>
      </c>
      <c r="I59" s="50">
        <v>3</v>
      </c>
      <c r="J59" s="50">
        <v>1</v>
      </c>
      <c r="K59" s="50">
        <v>0</v>
      </c>
      <c r="L59" s="50">
        <v>0</v>
      </c>
      <c r="M59" s="50">
        <v>153</v>
      </c>
      <c r="N59" s="50">
        <v>0</v>
      </c>
      <c r="O59" s="15">
        <f t="shared" si="0"/>
        <v>134</v>
      </c>
      <c r="P59" s="15">
        <f t="shared" si="1"/>
        <v>287</v>
      </c>
      <c r="R59" s="8"/>
      <c r="T59"/>
    </row>
    <row r="60" spans="2:20" ht="23.1" customHeight="1" x14ac:dyDescent="0.25">
      <c r="B60" s="45" t="s">
        <v>101</v>
      </c>
      <c r="C60" s="50">
        <v>46</v>
      </c>
      <c r="D60" s="50">
        <v>2</v>
      </c>
      <c r="E60" s="50">
        <v>6</v>
      </c>
      <c r="F60" s="50">
        <v>38</v>
      </c>
      <c r="G60" s="50">
        <v>0</v>
      </c>
      <c r="H60" s="50">
        <v>1</v>
      </c>
      <c r="I60" s="50">
        <v>4</v>
      </c>
      <c r="J60" s="50">
        <v>3</v>
      </c>
      <c r="K60" s="50">
        <v>0</v>
      </c>
      <c r="L60" s="50">
        <v>0</v>
      </c>
      <c r="M60" s="50">
        <v>196</v>
      </c>
      <c r="N60" s="50">
        <v>0</v>
      </c>
      <c r="O60" s="15">
        <f t="shared" si="0"/>
        <v>100</v>
      </c>
      <c r="P60" s="15">
        <f t="shared" si="1"/>
        <v>296</v>
      </c>
      <c r="R60" s="8"/>
      <c r="T60"/>
    </row>
    <row r="61" spans="2:20" ht="23.1" customHeight="1" x14ac:dyDescent="0.25">
      <c r="B61" s="45" t="s">
        <v>102</v>
      </c>
      <c r="C61" s="50">
        <v>48</v>
      </c>
      <c r="D61" s="50">
        <v>1</v>
      </c>
      <c r="E61" s="50">
        <v>5</v>
      </c>
      <c r="F61" s="50">
        <v>23</v>
      </c>
      <c r="G61" s="50">
        <v>2</v>
      </c>
      <c r="H61" s="50">
        <v>0</v>
      </c>
      <c r="I61" s="50">
        <v>2</v>
      </c>
      <c r="J61" s="50">
        <v>1</v>
      </c>
      <c r="K61" s="50">
        <v>0</v>
      </c>
      <c r="L61" s="50">
        <v>0</v>
      </c>
      <c r="M61" s="50">
        <v>170</v>
      </c>
      <c r="N61" s="50">
        <v>0</v>
      </c>
      <c r="O61" s="15">
        <f t="shared" si="0"/>
        <v>82</v>
      </c>
      <c r="P61" s="15">
        <f t="shared" si="1"/>
        <v>252</v>
      </c>
      <c r="R61" s="8"/>
      <c r="T61"/>
    </row>
    <row r="62" spans="2:20" ht="23.1" customHeight="1" x14ac:dyDescent="0.25">
      <c r="B62" s="45" t="s">
        <v>107</v>
      </c>
      <c r="C62" s="50">
        <v>45</v>
      </c>
      <c r="D62" s="50">
        <v>4</v>
      </c>
      <c r="E62" s="50">
        <v>6</v>
      </c>
      <c r="F62" s="50">
        <v>27</v>
      </c>
      <c r="G62" s="50">
        <v>1</v>
      </c>
      <c r="H62" s="50">
        <v>0</v>
      </c>
      <c r="I62" s="50">
        <v>5</v>
      </c>
      <c r="J62" s="50">
        <v>3</v>
      </c>
      <c r="K62" s="50">
        <v>0</v>
      </c>
      <c r="L62" s="50">
        <v>0</v>
      </c>
      <c r="M62" s="50">
        <v>185</v>
      </c>
      <c r="N62" s="50">
        <v>0</v>
      </c>
      <c r="O62" s="15">
        <f t="shared" si="0"/>
        <v>91</v>
      </c>
      <c r="P62" s="15">
        <f t="shared" si="1"/>
        <v>276</v>
      </c>
      <c r="R62" s="8"/>
      <c r="T62"/>
    </row>
    <row r="63" spans="2:20" ht="23.1" customHeight="1" x14ac:dyDescent="0.25">
      <c r="B63" s="45" t="s">
        <v>108</v>
      </c>
      <c r="C63" s="50">
        <v>35</v>
      </c>
      <c r="D63" s="50">
        <v>3</v>
      </c>
      <c r="E63" s="50">
        <v>6</v>
      </c>
      <c r="F63" s="50">
        <v>32</v>
      </c>
      <c r="G63" s="50">
        <v>1</v>
      </c>
      <c r="H63" s="50">
        <v>1</v>
      </c>
      <c r="I63" s="50">
        <v>3</v>
      </c>
      <c r="J63" s="50">
        <v>2</v>
      </c>
      <c r="K63" s="50">
        <v>0</v>
      </c>
      <c r="L63" s="50">
        <v>0</v>
      </c>
      <c r="M63" s="50">
        <v>170</v>
      </c>
      <c r="N63" s="50">
        <v>0</v>
      </c>
      <c r="O63" s="15">
        <f t="shared" si="0"/>
        <v>83</v>
      </c>
      <c r="P63" s="15">
        <f t="shared" si="1"/>
        <v>253</v>
      </c>
      <c r="R63" s="8"/>
      <c r="T63"/>
    </row>
    <row r="64" spans="2:20" ht="23.1" customHeight="1" x14ac:dyDescent="0.25">
      <c r="B64" s="45" t="s">
        <v>109</v>
      </c>
      <c r="C64" s="50">
        <v>54</v>
      </c>
      <c r="D64" s="50">
        <v>7</v>
      </c>
      <c r="E64" s="50">
        <v>4</v>
      </c>
      <c r="F64" s="50">
        <v>25</v>
      </c>
      <c r="G64" s="50">
        <v>2</v>
      </c>
      <c r="H64" s="50">
        <v>2</v>
      </c>
      <c r="I64" s="50">
        <v>0</v>
      </c>
      <c r="J64" s="50">
        <v>1</v>
      </c>
      <c r="K64" s="50">
        <v>0</v>
      </c>
      <c r="L64" s="50">
        <v>0</v>
      </c>
      <c r="M64" s="50">
        <v>216</v>
      </c>
      <c r="N64" s="50">
        <v>0</v>
      </c>
      <c r="O64" s="15">
        <f t="shared" si="0"/>
        <v>95</v>
      </c>
      <c r="P64" s="15">
        <f t="shared" si="1"/>
        <v>311</v>
      </c>
      <c r="R64" s="8"/>
      <c r="T64"/>
    </row>
    <row r="65" spans="2:20" ht="23.1" customHeight="1" x14ac:dyDescent="0.25">
      <c r="B65" s="45" t="s">
        <v>158</v>
      </c>
      <c r="C65" s="50">
        <v>60</v>
      </c>
      <c r="D65" s="50">
        <v>5</v>
      </c>
      <c r="E65" s="50">
        <v>11</v>
      </c>
      <c r="F65" s="50">
        <v>37</v>
      </c>
      <c r="G65" s="50">
        <v>0</v>
      </c>
      <c r="H65" s="50">
        <v>1</v>
      </c>
      <c r="I65" s="50">
        <v>2</v>
      </c>
      <c r="J65" s="50">
        <v>3</v>
      </c>
      <c r="K65" s="50">
        <v>0</v>
      </c>
      <c r="L65" s="50">
        <v>0</v>
      </c>
      <c r="M65" s="50">
        <v>175</v>
      </c>
      <c r="N65" s="50">
        <v>0</v>
      </c>
      <c r="O65" s="15">
        <f t="shared" si="0"/>
        <v>119</v>
      </c>
      <c r="P65" s="15">
        <f t="shared" si="1"/>
        <v>294</v>
      </c>
      <c r="R65" s="8"/>
      <c r="T65"/>
    </row>
    <row r="66" spans="2:20" ht="23.1" customHeight="1" x14ac:dyDescent="0.25">
      <c r="B66" s="45" t="s">
        <v>103</v>
      </c>
      <c r="C66" s="50">
        <v>54</v>
      </c>
      <c r="D66" s="50">
        <v>6</v>
      </c>
      <c r="E66" s="50">
        <v>3</v>
      </c>
      <c r="F66" s="50">
        <v>37</v>
      </c>
      <c r="G66" s="50">
        <v>1</v>
      </c>
      <c r="H66" s="50">
        <v>0</v>
      </c>
      <c r="I66" s="50">
        <v>3</v>
      </c>
      <c r="J66" s="50">
        <v>1</v>
      </c>
      <c r="K66" s="50">
        <v>0</v>
      </c>
      <c r="L66" s="50">
        <v>1</v>
      </c>
      <c r="M66" s="50">
        <v>123</v>
      </c>
      <c r="N66" s="50">
        <v>0</v>
      </c>
      <c r="O66" s="15">
        <f t="shared" si="0"/>
        <v>106</v>
      </c>
      <c r="P66" s="15">
        <f t="shared" si="1"/>
        <v>229</v>
      </c>
      <c r="R66" s="8"/>
      <c r="T66"/>
    </row>
    <row r="67" spans="2:20" ht="23.1" customHeight="1" x14ac:dyDescent="0.25">
      <c r="B67" s="45" t="s">
        <v>104</v>
      </c>
      <c r="C67" s="50">
        <v>50</v>
      </c>
      <c r="D67" s="50">
        <v>8</v>
      </c>
      <c r="E67" s="50">
        <v>6</v>
      </c>
      <c r="F67" s="50">
        <v>38</v>
      </c>
      <c r="G67" s="50">
        <v>0</v>
      </c>
      <c r="H67" s="50">
        <v>1</v>
      </c>
      <c r="I67" s="50">
        <v>6</v>
      </c>
      <c r="J67" s="50">
        <v>2</v>
      </c>
      <c r="K67" s="50">
        <v>0</v>
      </c>
      <c r="L67" s="50">
        <v>0</v>
      </c>
      <c r="M67" s="50">
        <v>128</v>
      </c>
      <c r="N67" s="50">
        <v>0</v>
      </c>
      <c r="O67" s="15">
        <f t="shared" si="0"/>
        <v>111</v>
      </c>
      <c r="P67" s="15">
        <f t="shared" si="1"/>
        <v>239</v>
      </c>
      <c r="R67" s="8"/>
      <c r="T67"/>
    </row>
    <row r="68" spans="2:20" ht="23.1" customHeight="1" x14ac:dyDescent="0.25">
      <c r="B68" s="45" t="s">
        <v>105</v>
      </c>
      <c r="C68" s="50">
        <v>62</v>
      </c>
      <c r="D68" s="50">
        <v>4</v>
      </c>
      <c r="E68" s="50">
        <v>8</v>
      </c>
      <c r="F68" s="50">
        <v>46</v>
      </c>
      <c r="G68" s="50">
        <v>0</v>
      </c>
      <c r="H68" s="50">
        <v>3</v>
      </c>
      <c r="I68" s="50">
        <v>3</v>
      </c>
      <c r="J68" s="50">
        <v>1</v>
      </c>
      <c r="K68" s="50">
        <v>1</v>
      </c>
      <c r="L68" s="50">
        <v>0</v>
      </c>
      <c r="M68" s="50">
        <v>109</v>
      </c>
      <c r="N68" s="50">
        <v>0</v>
      </c>
      <c r="O68" s="15">
        <f t="shared" si="0"/>
        <v>128</v>
      </c>
      <c r="P68" s="15">
        <f t="shared" si="1"/>
        <v>237</v>
      </c>
      <c r="R68" s="8"/>
      <c r="T68"/>
    </row>
    <row r="69" spans="2:20" ht="23.1" customHeight="1" x14ac:dyDescent="0.25">
      <c r="B69" s="45" t="s">
        <v>106</v>
      </c>
      <c r="C69" s="50">
        <v>86</v>
      </c>
      <c r="D69" s="50">
        <v>2</v>
      </c>
      <c r="E69" s="50">
        <v>5</v>
      </c>
      <c r="F69" s="50">
        <v>37</v>
      </c>
      <c r="G69" s="50">
        <v>2</v>
      </c>
      <c r="H69" s="50">
        <v>1</v>
      </c>
      <c r="I69" s="50">
        <v>2</v>
      </c>
      <c r="J69" s="50">
        <v>0</v>
      </c>
      <c r="K69" s="50">
        <v>2</v>
      </c>
      <c r="L69" s="50">
        <v>0</v>
      </c>
      <c r="M69" s="50">
        <v>118</v>
      </c>
      <c r="N69" s="50">
        <v>0</v>
      </c>
      <c r="O69" s="15">
        <f t="shared" si="0"/>
        <v>137</v>
      </c>
      <c r="P69" s="15">
        <f t="shared" si="1"/>
        <v>255</v>
      </c>
      <c r="R69" s="8"/>
      <c r="T69"/>
    </row>
    <row r="70" spans="2:20" ht="23.1" customHeight="1" x14ac:dyDescent="0.25">
      <c r="B70" s="45" t="s">
        <v>110</v>
      </c>
      <c r="C70" s="50">
        <v>36</v>
      </c>
      <c r="D70" s="50">
        <v>6</v>
      </c>
      <c r="E70" s="50">
        <v>3</v>
      </c>
      <c r="F70" s="50">
        <v>26</v>
      </c>
      <c r="G70" s="50">
        <v>2</v>
      </c>
      <c r="H70" s="50">
        <v>1</v>
      </c>
      <c r="I70" s="50">
        <v>3</v>
      </c>
      <c r="J70" s="50">
        <v>1</v>
      </c>
      <c r="K70" s="50">
        <v>0</v>
      </c>
      <c r="L70" s="50">
        <v>0</v>
      </c>
      <c r="M70" s="50">
        <v>125</v>
      </c>
      <c r="N70" s="50">
        <v>0</v>
      </c>
      <c r="O70" s="15">
        <f t="shared" si="0"/>
        <v>78</v>
      </c>
      <c r="P70" s="15">
        <f t="shared" si="1"/>
        <v>203</v>
      </c>
      <c r="R70" s="8"/>
      <c r="T70"/>
    </row>
    <row r="71" spans="2:20" ht="23.1" customHeight="1" x14ac:dyDescent="0.25">
      <c r="B71" s="45" t="s">
        <v>111</v>
      </c>
      <c r="C71" s="50">
        <v>45</v>
      </c>
      <c r="D71" s="50">
        <v>3</v>
      </c>
      <c r="E71" s="50">
        <v>3</v>
      </c>
      <c r="F71" s="50">
        <v>32</v>
      </c>
      <c r="G71" s="50">
        <v>0</v>
      </c>
      <c r="H71" s="50">
        <v>0</v>
      </c>
      <c r="I71" s="50">
        <v>1</v>
      </c>
      <c r="J71" s="50">
        <v>2</v>
      </c>
      <c r="K71" s="50">
        <v>0</v>
      </c>
      <c r="L71" s="50">
        <v>0</v>
      </c>
      <c r="M71" s="50">
        <v>114</v>
      </c>
      <c r="N71" s="50">
        <v>0</v>
      </c>
      <c r="O71" s="15">
        <f t="shared" si="0"/>
        <v>86</v>
      </c>
      <c r="P71" s="15">
        <f t="shared" si="1"/>
        <v>200</v>
      </c>
      <c r="R71" s="8"/>
      <c r="T71"/>
    </row>
    <row r="72" spans="2:20" ht="23.1" customHeight="1" x14ac:dyDescent="0.25">
      <c r="B72" s="45" t="s">
        <v>112</v>
      </c>
      <c r="C72" s="50">
        <v>32</v>
      </c>
      <c r="D72" s="50">
        <v>2</v>
      </c>
      <c r="E72" s="50">
        <v>4</v>
      </c>
      <c r="F72" s="50">
        <v>26</v>
      </c>
      <c r="G72" s="50">
        <v>0</v>
      </c>
      <c r="H72" s="50">
        <v>1</v>
      </c>
      <c r="I72" s="50">
        <v>2</v>
      </c>
      <c r="J72" s="50">
        <v>0</v>
      </c>
      <c r="K72" s="50">
        <v>2</v>
      </c>
      <c r="L72" s="50">
        <v>0</v>
      </c>
      <c r="M72" s="50">
        <v>100</v>
      </c>
      <c r="N72" s="50">
        <v>0</v>
      </c>
      <c r="O72" s="15">
        <f t="shared" si="0"/>
        <v>69</v>
      </c>
      <c r="P72" s="15">
        <f t="shared" si="1"/>
        <v>169</v>
      </c>
      <c r="R72" s="8"/>
      <c r="T72"/>
    </row>
    <row r="73" spans="2:20" ht="23.1" customHeight="1" x14ac:dyDescent="0.25">
      <c r="B73" s="45" t="s">
        <v>113</v>
      </c>
      <c r="C73" s="50">
        <v>47</v>
      </c>
      <c r="D73" s="50">
        <v>6</v>
      </c>
      <c r="E73" s="50">
        <v>1</v>
      </c>
      <c r="F73" s="50">
        <v>263</v>
      </c>
      <c r="G73" s="50">
        <v>0</v>
      </c>
      <c r="H73" s="50">
        <v>2</v>
      </c>
      <c r="I73" s="50">
        <v>0</v>
      </c>
      <c r="J73" s="50">
        <v>1</v>
      </c>
      <c r="K73" s="50">
        <v>0</v>
      </c>
      <c r="L73" s="50">
        <v>0</v>
      </c>
      <c r="M73" s="50">
        <v>106</v>
      </c>
      <c r="N73" s="50">
        <v>0</v>
      </c>
      <c r="O73" s="15">
        <f t="shared" si="0"/>
        <v>320</v>
      </c>
      <c r="P73" s="15">
        <f t="shared" si="1"/>
        <v>426</v>
      </c>
      <c r="R73" s="8"/>
      <c r="T73"/>
    </row>
    <row r="74" spans="2:20" ht="23.1" customHeight="1" x14ac:dyDescent="0.25">
      <c r="B74" s="45" t="s">
        <v>114</v>
      </c>
      <c r="C74" s="50">
        <v>55</v>
      </c>
      <c r="D74" s="50">
        <v>10</v>
      </c>
      <c r="E74" s="50">
        <v>3</v>
      </c>
      <c r="F74" s="50">
        <v>15</v>
      </c>
      <c r="G74" s="50">
        <v>3</v>
      </c>
      <c r="H74" s="50">
        <v>3</v>
      </c>
      <c r="I74" s="50">
        <v>0</v>
      </c>
      <c r="J74" s="50">
        <v>2</v>
      </c>
      <c r="K74" s="50">
        <v>1</v>
      </c>
      <c r="L74" s="50">
        <v>0</v>
      </c>
      <c r="M74" s="50">
        <v>90</v>
      </c>
      <c r="N74" s="50">
        <v>0</v>
      </c>
      <c r="O74" s="15">
        <f t="shared" ref="O74:O105" si="35">SUM(C74:L74,N74)</f>
        <v>92</v>
      </c>
      <c r="P74" s="15">
        <f t="shared" ref="P74:P105" si="36">SUM(C74:N74)</f>
        <v>182</v>
      </c>
      <c r="R74" s="8"/>
      <c r="T74"/>
    </row>
    <row r="75" spans="2:20" ht="23.1" customHeight="1" x14ac:dyDescent="0.25">
      <c r="B75" s="45" t="s">
        <v>115</v>
      </c>
      <c r="C75" s="50">
        <v>43</v>
      </c>
      <c r="D75" s="50">
        <v>2</v>
      </c>
      <c r="E75" s="50">
        <v>2</v>
      </c>
      <c r="F75" s="50">
        <v>21</v>
      </c>
      <c r="G75" s="50">
        <v>0</v>
      </c>
      <c r="H75" s="50">
        <v>3</v>
      </c>
      <c r="I75" s="50">
        <v>1</v>
      </c>
      <c r="J75" s="50">
        <v>0</v>
      </c>
      <c r="K75" s="50">
        <v>0</v>
      </c>
      <c r="L75" s="50">
        <v>0</v>
      </c>
      <c r="M75" s="50">
        <v>75</v>
      </c>
      <c r="N75" s="50">
        <v>0</v>
      </c>
      <c r="O75" s="15">
        <f t="shared" si="35"/>
        <v>72</v>
      </c>
      <c r="P75" s="15">
        <f t="shared" si="36"/>
        <v>147</v>
      </c>
      <c r="R75" s="8"/>
      <c r="T75"/>
    </row>
    <row r="76" spans="2:20" ht="23.1" customHeight="1" x14ac:dyDescent="0.25">
      <c r="B76" s="45" t="s">
        <v>116</v>
      </c>
      <c r="C76" s="50">
        <v>36</v>
      </c>
      <c r="D76" s="50">
        <v>0</v>
      </c>
      <c r="E76" s="50">
        <v>3</v>
      </c>
      <c r="F76" s="50">
        <v>9</v>
      </c>
      <c r="G76" s="50">
        <v>1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51</v>
      </c>
      <c r="N76" s="50">
        <v>0</v>
      </c>
      <c r="O76" s="15">
        <f t="shared" si="35"/>
        <v>51</v>
      </c>
      <c r="P76" s="15">
        <f t="shared" si="36"/>
        <v>102</v>
      </c>
      <c r="R76" s="8"/>
      <c r="T76"/>
    </row>
    <row r="77" spans="2:20" ht="23.1" customHeight="1" x14ac:dyDescent="0.25">
      <c r="B77" s="45" t="s">
        <v>117</v>
      </c>
      <c r="C77" s="50">
        <v>39</v>
      </c>
      <c r="D77" s="50">
        <v>1</v>
      </c>
      <c r="E77" s="50">
        <v>4</v>
      </c>
      <c r="F77" s="50">
        <v>8</v>
      </c>
      <c r="G77" s="50">
        <v>0</v>
      </c>
      <c r="H77" s="50">
        <v>1</v>
      </c>
      <c r="I77" s="50">
        <v>0</v>
      </c>
      <c r="J77" s="50">
        <v>0</v>
      </c>
      <c r="K77" s="50">
        <v>0</v>
      </c>
      <c r="L77" s="50">
        <v>0</v>
      </c>
      <c r="M77" s="50">
        <v>52</v>
      </c>
      <c r="N77" s="50">
        <v>0</v>
      </c>
      <c r="O77" s="15">
        <f t="shared" si="35"/>
        <v>53</v>
      </c>
      <c r="P77" s="15">
        <f t="shared" si="36"/>
        <v>105</v>
      </c>
      <c r="R77" s="8"/>
      <c r="T77"/>
    </row>
    <row r="78" spans="2:20" ht="23.1" customHeight="1" x14ac:dyDescent="0.25">
      <c r="B78" s="46" t="s">
        <v>118</v>
      </c>
      <c r="C78" s="50">
        <v>26</v>
      </c>
      <c r="D78" s="50">
        <v>3</v>
      </c>
      <c r="E78" s="50">
        <v>2</v>
      </c>
      <c r="F78" s="50">
        <v>18</v>
      </c>
      <c r="G78" s="50">
        <v>0</v>
      </c>
      <c r="H78" s="50">
        <v>0</v>
      </c>
      <c r="I78" s="50">
        <v>1</v>
      </c>
      <c r="J78" s="50">
        <v>2</v>
      </c>
      <c r="K78" s="50">
        <v>0</v>
      </c>
      <c r="L78" s="50">
        <v>0</v>
      </c>
      <c r="M78" s="50">
        <v>64</v>
      </c>
      <c r="N78" s="50">
        <v>0</v>
      </c>
      <c r="O78" s="15">
        <f t="shared" si="35"/>
        <v>52</v>
      </c>
      <c r="P78" s="15">
        <f t="shared" si="36"/>
        <v>116</v>
      </c>
      <c r="R78" s="8"/>
      <c r="T78"/>
    </row>
    <row r="79" spans="2:20" ht="23.1" customHeight="1" x14ac:dyDescent="0.25">
      <c r="B79" s="45" t="s">
        <v>119</v>
      </c>
      <c r="C79" s="50">
        <v>38</v>
      </c>
      <c r="D79" s="50">
        <v>3</v>
      </c>
      <c r="E79" s="50">
        <v>0</v>
      </c>
      <c r="F79" s="50">
        <v>8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70</v>
      </c>
      <c r="N79" s="50">
        <v>0</v>
      </c>
      <c r="O79" s="15">
        <f t="shared" si="35"/>
        <v>49</v>
      </c>
      <c r="P79" s="15">
        <f t="shared" si="36"/>
        <v>119</v>
      </c>
      <c r="R79" s="8"/>
      <c r="T79"/>
    </row>
    <row r="80" spans="2:20" ht="23.1" customHeight="1" x14ac:dyDescent="0.25">
      <c r="B80" s="47" t="s">
        <v>120</v>
      </c>
      <c r="C80" s="50">
        <v>34</v>
      </c>
      <c r="D80" s="50">
        <v>0</v>
      </c>
      <c r="E80" s="50">
        <v>0</v>
      </c>
      <c r="F80" s="50">
        <v>11</v>
      </c>
      <c r="G80" s="50">
        <v>2</v>
      </c>
      <c r="H80" s="50">
        <v>0</v>
      </c>
      <c r="I80" s="50">
        <v>1</v>
      </c>
      <c r="J80" s="50">
        <v>2</v>
      </c>
      <c r="K80" s="50">
        <v>0</v>
      </c>
      <c r="L80" s="50">
        <v>0</v>
      </c>
      <c r="M80" s="50">
        <v>55</v>
      </c>
      <c r="N80" s="50">
        <v>0</v>
      </c>
      <c r="O80" s="15">
        <f t="shared" si="35"/>
        <v>50</v>
      </c>
      <c r="P80" s="15">
        <f t="shared" si="36"/>
        <v>105</v>
      </c>
      <c r="R80" s="8"/>
      <c r="T80"/>
    </row>
    <row r="81" spans="2:20" ht="23.1" customHeight="1" x14ac:dyDescent="0.25">
      <c r="B81" s="45" t="s">
        <v>121</v>
      </c>
      <c r="C81" s="50">
        <v>18</v>
      </c>
      <c r="D81" s="50">
        <v>1</v>
      </c>
      <c r="E81" s="50">
        <v>2</v>
      </c>
      <c r="F81" s="50">
        <v>7</v>
      </c>
      <c r="G81" s="50">
        <v>0</v>
      </c>
      <c r="H81" s="50">
        <v>1</v>
      </c>
      <c r="I81" s="50">
        <v>0</v>
      </c>
      <c r="J81" s="50">
        <v>0</v>
      </c>
      <c r="K81" s="50">
        <v>1</v>
      </c>
      <c r="L81" s="50">
        <v>0</v>
      </c>
      <c r="M81" s="50">
        <v>63</v>
      </c>
      <c r="N81" s="50">
        <v>0</v>
      </c>
      <c r="O81" s="15">
        <f t="shared" si="35"/>
        <v>30</v>
      </c>
      <c r="P81" s="15">
        <f t="shared" si="36"/>
        <v>93</v>
      </c>
      <c r="R81" s="8"/>
      <c r="T81"/>
    </row>
    <row r="82" spans="2:20" ht="23.1" customHeight="1" x14ac:dyDescent="0.25">
      <c r="B82" s="46" t="s">
        <v>122</v>
      </c>
      <c r="C82" s="50">
        <v>13</v>
      </c>
      <c r="D82" s="50">
        <v>1</v>
      </c>
      <c r="E82" s="50">
        <v>0</v>
      </c>
      <c r="F82" s="50">
        <v>4</v>
      </c>
      <c r="G82" s="50">
        <v>0</v>
      </c>
      <c r="H82" s="50">
        <v>1</v>
      </c>
      <c r="I82" s="50">
        <v>1</v>
      </c>
      <c r="J82" s="50">
        <v>2</v>
      </c>
      <c r="K82" s="50">
        <v>1</v>
      </c>
      <c r="L82" s="50">
        <v>0</v>
      </c>
      <c r="M82" s="50">
        <v>35</v>
      </c>
      <c r="N82" s="50">
        <v>0</v>
      </c>
      <c r="O82" s="15">
        <f t="shared" si="35"/>
        <v>23</v>
      </c>
      <c r="P82" s="15">
        <f t="shared" si="36"/>
        <v>58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0</v>
      </c>
      <c r="E83" s="50">
        <v>2</v>
      </c>
      <c r="F83" s="50">
        <v>9</v>
      </c>
      <c r="G83" s="50">
        <v>0</v>
      </c>
      <c r="H83" s="50">
        <v>2</v>
      </c>
      <c r="I83" s="50">
        <v>0</v>
      </c>
      <c r="J83" s="50">
        <v>1</v>
      </c>
      <c r="K83" s="50">
        <v>0</v>
      </c>
      <c r="L83" s="50">
        <v>0</v>
      </c>
      <c r="M83" s="50">
        <v>18</v>
      </c>
      <c r="N83" s="50">
        <v>0</v>
      </c>
      <c r="O83" s="15">
        <f t="shared" si="35"/>
        <v>22</v>
      </c>
      <c r="P83" s="15">
        <f t="shared" si="36"/>
        <v>40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0</v>
      </c>
      <c r="E84" s="50">
        <v>2</v>
      </c>
      <c r="F84" s="50">
        <v>2</v>
      </c>
      <c r="G84" s="50">
        <v>1</v>
      </c>
      <c r="H84" s="50">
        <v>0</v>
      </c>
      <c r="I84" s="50">
        <v>0</v>
      </c>
      <c r="J84" s="50">
        <v>0</v>
      </c>
      <c r="K84" s="50">
        <v>11</v>
      </c>
      <c r="L84" s="50">
        <v>0</v>
      </c>
      <c r="M84" s="50">
        <v>32</v>
      </c>
      <c r="N84" s="50">
        <v>0</v>
      </c>
      <c r="O84" s="15">
        <f t="shared" si="35"/>
        <v>25</v>
      </c>
      <c r="P84" s="15">
        <f t="shared" si="36"/>
        <v>57</v>
      </c>
      <c r="R84" s="8"/>
      <c r="T84"/>
    </row>
    <row r="85" spans="2:20" ht="23.1" customHeight="1" x14ac:dyDescent="0.25">
      <c r="B85" s="45" t="s">
        <v>125</v>
      </c>
      <c r="C85" s="50">
        <v>12</v>
      </c>
      <c r="D85" s="50">
        <v>0</v>
      </c>
      <c r="E85" s="50">
        <v>0</v>
      </c>
      <c r="F85" s="50">
        <v>2</v>
      </c>
      <c r="G85" s="50">
        <v>2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23</v>
      </c>
      <c r="N85" s="50">
        <v>0</v>
      </c>
      <c r="O85" s="15">
        <f t="shared" si="35"/>
        <v>16</v>
      </c>
      <c r="P85" s="15">
        <f t="shared" si="36"/>
        <v>39</v>
      </c>
      <c r="R85" s="8"/>
      <c r="T85"/>
    </row>
    <row r="86" spans="2:20" ht="23.1" customHeight="1" x14ac:dyDescent="0.25">
      <c r="B86" s="46" t="s">
        <v>126</v>
      </c>
      <c r="C86" s="50">
        <v>8</v>
      </c>
      <c r="D86" s="50">
        <v>0</v>
      </c>
      <c r="E86" s="50">
        <v>1</v>
      </c>
      <c r="F86" s="50">
        <v>1</v>
      </c>
      <c r="G86" s="50">
        <v>0</v>
      </c>
      <c r="H86" s="50">
        <v>0</v>
      </c>
      <c r="I86" s="50">
        <v>0</v>
      </c>
      <c r="J86" s="50">
        <v>2</v>
      </c>
      <c r="K86" s="50">
        <v>0</v>
      </c>
      <c r="L86" s="50">
        <v>0</v>
      </c>
      <c r="M86" s="50">
        <v>13</v>
      </c>
      <c r="N86" s="50">
        <v>0</v>
      </c>
      <c r="O86" s="15">
        <f t="shared" si="35"/>
        <v>12</v>
      </c>
      <c r="P86" s="15">
        <f t="shared" si="36"/>
        <v>25</v>
      </c>
      <c r="R86" s="8"/>
      <c r="T86"/>
    </row>
    <row r="87" spans="2:20" ht="23.1" customHeight="1" x14ac:dyDescent="0.25">
      <c r="B87" s="45" t="s">
        <v>127</v>
      </c>
      <c r="C87" s="50">
        <v>11</v>
      </c>
      <c r="D87" s="50">
        <v>2</v>
      </c>
      <c r="E87" s="50">
        <v>0</v>
      </c>
      <c r="F87" s="50">
        <v>0</v>
      </c>
      <c r="G87" s="50">
        <v>1</v>
      </c>
      <c r="H87" s="50">
        <v>0</v>
      </c>
      <c r="I87" s="50">
        <v>1</v>
      </c>
      <c r="J87" s="50">
        <v>1</v>
      </c>
      <c r="K87" s="50">
        <v>0</v>
      </c>
      <c r="L87" s="50">
        <v>1</v>
      </c>
      <c r="M87" s="50">
        <v>22</v>
      </c>
      <c r="N87" s="50">
        <v>0</v>
      </c>
      <c r="O87" s="15">
        <f t="shared" si="35"/>
        <v>17</v>
      </c>
      <c r="P87" s="15">
        <f t="shared" si="36"/>
        <v>39</v>
      </c>
      <c r="R87" s="8"/>
      <c r="T87"/>
    </row>
    <row r="88" spans="2:20" ht="23.1" customHeight="1" x14ac:dyDescent="0.25">
      <c r="B88" s="47" t="s">
        <v>128</v>
      </c>
      <c r="C88" s="50">
        <v>12</v>
      </c>
      <c r="D88" s="50">
        <v>0</v>
      </c>
      <c r="E88" s="50">
        <v>3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8</v>
      </c>
      <c r="N88" s="50">
        <v>0</v>
      </c>
      <c r="O88" s="15">
        <f t="shared" si="35"/>
        <v>16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1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11</v>
      </c>
      <c r="N89" s="50">
        <v>0</v>
      </c>
      <c r="O89" s="15">
        <f t="shared" si="35"/>
        <v>8</v>
      </c>
      <c r="P89" s="15">
        <f t="shared" si="36"/>
        <v>19</v>
      </c>
      <c r="R89" s="8"/>
      <c r="T89"/>
    </row>
    <row r="90" spans="2:20" ht="23.1" customHeight="1" x14ac:dyDescent="0.25">
      <c r="B90" s="46" t="s">
        <v>130</v>
      </c>
      <c r="C90" s="50">
        <v>17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5</v>
      </c>
      <c r="N90" s="50">
        <v>0</v>
      </c>
      <c r="O90" s="15">
        <f t="shared" si="35"/>
        <v>17</v>
      </c>
      <c r="P90" s="15">
        <f t="shared" si="36"/>
        <v>22</v>
      </c>
      <c r="R90" s="8"/>
      <c r="T90"/>
    </row>
    <row r="91" spans="2:20" ht="23.1" customHeight="1" x14ac:dyDescent="0.25">
      <c r="B91" s="45" t="s">
        <v>131</v>
      </c>
      <c r="C91" s="50">
        <v>14</v>
      </c>
      <c r="D91" s="50">
        <v>3</v>
      </c>
      <c r="E91" s="50">
        <v>2</v>
      </c>
      <c r="F91" s="50">
        <v>1</v>
      </c>
      <c r="G91" s="50">
        <v>0</v>
      </c>
      <c r="H91" s="50">
        <v>1</v>
      </c>
      <c r="I91" s="50">
        <v>2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5"/>
        <v>23</v>
      </c>
      <c r="P91" s="15">
        <f t="shared" si="36"/>
        <v>29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0</v>
      </c>
      <c r="F92" s="50">
        <v>0</v>
      </c>
      <c r="G92" s="50">
        <v>1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5</v>
      </c>
      <c r="P92" s="15">
        <f t="shared" si="36"/>
        <v>7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1</v>
      </c>
      <c r="E93" s="50">
        <v>2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1</v>
      </c>
      <c r="M93" s="50">
        <v>8</v>
      </c>
      <c r="N93" s="50">
        <v>0</v>
      </c>
      <c r="O93" s="15">
        <f t="shared" si="35"/>
        <v>12</v>
      </c>
      <c r="P93" s="15">
        <f t="shared" si="36"/>
        <v>20</v>
      </c>
      <c r="R93" s="8"/>
      <c r="T93"/>
    </row>
    <row r="94" spans="2:20" ht="23.1" customHeight="1" x14ac:dyDescent="0.25">
      <c r="B94" s="46" t="s">
        <v>134</v>
      </c>
      <c r="C94" s="50">
        <v>4</v>
      </c>
      <c r="D94" s="50">
        <v>0</v>
      </c>
      <c r="E94" s="50">
        <v>0</v>
      </c>
      <c r="F94" s="50">
        <v>0</v>
      </c>
      <c r="G94" s="50">
        <v>0</v>
      </c>
      <c r="H94" s="50">
        <v>1</v>
      </c>
      <c r="I94" s="50">
        <v>0</v>
      </c>
      <c r="J94" s="50">
        <v>0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5</v>
      </c>
      <c r="P94" s="15">
        <f t="shared" si="36"/>
        <v>20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0</v>
      </c>
      <c r="E95" s="50">
        <v>0</v>
      </c>
      <c r="F95" s="50">
        <v>8</v>
      </c>
      <c r="G95" s="50">
        <v>0</v>
      </c>
      <c r="H95" s="50">
        <v>2</v>
      </c>
      <c r="I95" s="50">
        <v>0</v>
      </c>
      <c r="J95" s="50">
        <v>0</v>
      </c>
      <c r="K95" s="50">
        <v>0</v>
      </c>
      <c r="L95" s="50">
        <v>0</v>
      </c>
      <c r="M95" s="50">
        <v>16</v>
      </c>
      <c r="N95" s="50">
        <v>0</v>
      </c>
      <c r="O95" s="15">
        <f t="shared" si="35"/>
        <v>16</v>
      </c>
      <c r="P95" s="15">
        <f t="shared" si="36"/>
        <v>32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5</v>
      </c>
      <c r="G96" s="50">
        <v>0</v>
      </c>
      <c r="H96" s="50">
        <v>1</v>
      </c>
      <c r="I96" s="50">
        <v>0</v>
      </c>
      <c r="J96" s="50">
        <v>2</v>
      </c>
      <c r="K96" s="50">
        <v>0</v>
      </c>
      <c r="L96" s="50">
        <v>0</v>
      </c>
      <c r="M96" s="50">
        <v>23</v>
      </c>
      <c r="N96" s="50">
        <v>0</v>
      </c>
      <c r="O96" s="15">
        <f t="shared" si="35"/>
        <v>10</v>
      </c>
      <c r="P96" s="15">
        <f t="shared" si="36"/>
        <v>33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2</v>
      </c>
      <c r="E97" s="50">
        <v>1</v>
      </c>
      <c r="F97" s="50">
        <v>2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15</v>
      </c>
      <c r="N97" s="50">
        <v>0</v>
      </c>
      <c r="O97" s="15">
        <f t="shared" si="35"/>
        <v>10</v>
      </c>
      <c r="P97" s="15">
        <f t="shared" si="36"/>
        <v>25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2</v>
      </c>
      <c r="E98" s="50">
        <v>0</v>
      </c>
      <c r="F98" s="50">
        <v>2</v>
      </c>
      <c r="G98" s="50">
        <v>1</v>
      </c>
      <c r="H98" s="50">
        <v>2</v>
      </c>
      <c r="I98" s="50">
        <v>0</v>
      </c>
      <c r="J98" s="50">
        <v>0</v>
      </c>
      <c r="K98" s="50">
        <v>0</v>
      </c>
      <c r="L98" s="50">
        <v>0</v>
      </c>
      <c r="M98" s="50">
        <v>20</v>
      </c>
      <c r="N98" s="50">
        <v>0</v>
      </c>
      <c r="O98" s="15">
        <f t="shared" si="35"/>
        <v>8</v>
      </c>
      <c r="P98" s="15">
        <f t="shared" si="36"/>
        <v>28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2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19</v>
      </c>
      <c r="N99" s="50">
        <v>0</v>
      </c>
      <c r="O99" s="15">
        <f t="shared" si="35"/>
        <v>11</v>
      </c>
      <c r="P99" s="15">
        <f t="shared" si="36"/>
        <v>30</v>
      </c>
      <c r="R99" s="8"/>
      <c r="T99"/>
    </row>
    <row r="100" spans="2:20" ht="23.1" customHeight="1" x14ac:dyDescent="0.25">
      <c r="B100" s="47" t="s">
        <v>140</v>
      </c>
      <c r="C100" s="50">
        <v>8</v>
      </c>
      <c r="D100" s="50">
        <v>0</v>
      </c>
      <c r="E100" s="50">
        <v>1</v>
      </c>
      <c r="F100" s="50">
        <v>0</v>
      </c>
      <c r="G100" s="50">
        <v>0</v>
      </c>
      <c r="H100" s="50">
        <v>1</v>
      </c>
      <c r="I100" s="50">
        <v>1</v>
      </c>
      <c r="J100" s="50">
        <v>0</v>
      </c>
      <c r="K100" s="50">
        <v>0</v>
      </c>
      <c r="L100" s="50">
        <v>0</v>
      </c>
      <c r="M100" s="50">
        <v>35</v>
      </c>
      <c r="N100" s="50">
        <v>0</v>
      </c>
      <c r="O100" s="15">
        <f t="shared" si="35"/>
        <v>11</v>
      </c>
      <c r="P100" s="15">
        <f t="shared" si="36"/>
        <v>46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1</v>
      </c>
      <c r="E101" s="50">
        <v>0</v>
      </c>
      <c r="F101" s="50">
        <v>2</v>
      </c>
      <c r="G101" s="50">
        <v>0</v>
      </c>
      <c r="H101" s="50">
        <v>1</v>
      </c>
      <c r="I101" s="50">
        <v>1</v>
      </c>
      <c r="J101" s="50">
        <v>0</v>
      </c>
      <c r="K101" s="50">
        <v>0</v>
      </c>
      <c r="L101" s="50">
        <v>0</v>
      </c>
      <c r="M101" s="50">
        <v>44</v>
      </c>
      <c r="N101" s="50">
        <v>0</v>
      </c>
      <c r="O101" s="15">
        <f t="shared" si="35"/>
        <v>9</v>
      </c>
      <c r="P101" s="15">
        <f t="shared" si="36"/>
        <v>53</v>
      </c>
      <c r="R101" s="8"/>
      <c r="T101"/>
    </row>
    <row r="102" spans="2:20" ht="23.1" customHeight="1" x14ac:dyDescent="0.25">
      <c r="B102" s="46" t="s">
        <v>142</v>
      </c>
      <c r="C102" s="50">
        <v>6</v>
      </c>
      <c r="D102" s="50">
        <v>3</v>
      </c>
      <c r="E102" s="50">
        <v>2</v>
      </c>
      <c r="F102" s="50">
        <v>6</v>
      </c>
      <c r="G102" s="50">
        <v>0</v>
      </c>
      <c r="H102" s="50">
        <v>0</v>
      </c>
      <c r="I102" s="50">
        <v>3</v>
      </c>
      <c r="J102" s="50">
        <v>0</v>
      </c>
      <c r="K102" s="50">
        <v>0</v>
      </c>
      <c r="L102" s="50">
        <v>1</v>
      </c>
      <c r="M102" s="50">
        <v>33</v>
      </c>
      <c r="N102" s="50">
        <v>0</v>
      </c>
      <c r="O102" s="15">
        <f t="shared" si="35"/>
        <v>21</v>
      </c>
      <c r="P102" s="15">
        <f t="shared" si="36"/>
        <v>54</v>
      </c>
      <c r="R102" s="8"/>
      <c r="T102"/>
    </row>
    <row r="103" spans="2:20" ht="23.1" customHeight="1" x14ac:dyDescent="0.25">
      <c r="B103" s="45" t="s">
        <v>143</v>
      </c>
      <c r="C103" s="50">
        <v>14</v>
      </c>
      <c r="D103" s="50">
        <v>1</v>
      </c>
      <c r="E103" s="50">
        <v>1</v>
      </c>
      <c r="F103" s="50">
        <v>7</v>
      </c>
      <c r="G103" s="50">
        <v>1</v>
      </c>
      <c r="H103" s="50">
        <v>2</v>
      </c>
      <c r="I103" s="50">
        <v>1</v>
      </c>
      <c r="J103" s="50">
        <v>0</v>
      </c>
      <c r="K103" s="50">
        <v>1</v>
      </c>
      <c r="L103" s="50">
        <v>0</v>
      </c>
      <c r="M103" s="50">
        <v>42</v>
      </c>
      <c r="N103" s="50">
        <v>0</v>
      </c>
      <c r="O103" s="15">
        <f t="shared" si="35"/>
        <v>28</v>
      </c>
      <c r="P103" s="15">
        <f t="shared" si="36"/>
        <v>70</v>
      </c>
      <c r="R103" s="8"/>
      <c r="T103"/>
    </row>
    <row r="104" spans="2:20" ht="23.1" customHeight="1" x14ac:dyDescent="0.25">
      <c r="B104" s="47" t="s">
        <v>144</v>
      </c>
      <c r="C104" s="50">
        <v>11</v>
      </c>
      <c r="D104" s="50">
        <v>2</v>
      </c>
      <c r="E104" s="50">
        <v>0</v>
      </c>
      <c r="F104" s="50">
        <v>15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43</v>
      </c>
      <c r="N104" s="50">
        <v>0</v>
      </c>
      <c r="O104" s="15">
        <f t="shared" si="35"/>
        <v>30</v>
      </c>
      <c r="P104" s="15">
        <f t="shared" si="36"/>
        <v>73</v>
      </c>
      <c r="R104" s="8"/>
      <c r="T104"/>
    </row>
    <row r="105" spans="2:20" ht="23.1" customHeight="1" x14ac:dyDescent="0.25">
      <c r="B105" s="45" t="s">
        <v>145</v>
      </c>
      <c r="C105" s="50">
        <v>15</v>
      </c>
      <c r="D105" s="50">
        <v>0</v>
      </c>
      <c r="E105" s="50">
        <v>2</v>
      </c>
      <c r="F105" s="50">
        <v>19</v>
      </c>
      <c r="G105" s="50">
        <v>1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40</v>
      </c>
      <c r="N105" s="50">
        <v>0</v>
      </c>
      <c r="O105" s="15">
        <f t="shared" si="35"/>
        <v>38</v>
      </c>
      <c r="P105" s="15">
        <f t="shared" si="36"/>
        <v>78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3437</v>
      </c>
      <c r="D106" s="16">
        <f t="shared" ref="D106:P106" si="37">SUM(D10:D105)</f>
        <v>364</v>
      </c>
      <c r="E106" s="16">
        <f t="shared" si="37"/>
        <v>342</v>
      </c>
      <c r="F106" s="16">
        <f t="shared" si="37"/>
        <v>2618</v>
      </c>
      <c r="G106" s="16">
        <f t="shared" si="37"/>
        <v>90</v>
      </c>
      <c r="H106" s="16">
        <f t="shared" si="37"/>
        <v>91</v>
      </c>
      <c r="I106" s="16">
        <f t="shared" si="37"/>
        <v>243</v>
      </c>
      <c r="J106" s="16">
        <f t="shared" si="37"/>
        <v>124</v>
      </c>
      <c r="K106" s="16">
        <f t="shared" si="37"/>
        <v>29</v>
      </c>
      <c r="L106" s="16">
        <f t="shared" si="37"/>
        <v>13</v>
      </c>
      <c r="M106" s="16">
        <f t="shared" si="37"/>
        <v>9508</v>
      </c>
      <c r="N106" s="16">
        <f t="shared" si="37"/>
        <v>0</v>
      </c>
      <c r="O106" s="16">
        <f t="shared" si="37"/>
        <v>7351</v>
      </c>
      <c r="P106" s="16">
        <f t="shared" si="37"/>
        <v>16859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0.20386737054392312</v>
      </c>
      <c r="D107" s="43">
        <f t="shared" si="38"/>
        <v>2.1590841686932795E-2</v>
      </c>
      <c r="E107" s="43">
        <f t="shared" si="38"/>
        <v>2.028590070585444E-2</v>
      </c>
      <c r="F107" s="43">
        <f t="shared" si="38"/>
        <v>0.15528797674832434</v>
      </c>
      <c r="G107" s="43">
        <f t="shared" si="38"/>
        <v>5.3383949225932733E-3</v>
      </c>
      <c r="H107" s="43">
        <f t="shared" si="38"/>
        <v>5.3977104217331987E-3</v>
      </c>
      <c r="I107" s="43">
        <f t="shared" si="38"/>
        <v>1.4413666291001839E-2</v>
      </c>
      <c r="J107" s="43">
        <f t="shared" si="38"/>
        <v>7.3551218933507329E-3</v>
      </c>
      <c r="K107" s="43">
        <f t="shared" si="38"/>
        <v>1.7201494750578325E-3</v>
      </c>
      <c r="L107" s="43">
        <f t="shared" si="38"/>
        <v>7.7110148881902839E-4</v>
      </c>
      <c r="M107" s="43">
        <f t="shared" si="38"/>
        <v>0.56397176582240938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0.46755543463474358</v>
      </c>
      <c r="D108" s="44">
        <f t="shared" ref="D108:N108" si="39">D106/$O$106</f>
        <v>4.9517072507141886E-2</v>
      </c>
      <c r="E108" s="44">
        <f t="shared" si="39"/>
        <v>4.6524282410556388E-2</v>
      </c>
      <c r="F108" s="44">
        <f t="shared" si="39"/>
        <v>0.35614202149367435</v>
      </c>
      <c r="G108" s="44">
        <f t="shared" si="39"/>
        <v>1.2243232213304313E-2</v>
      </c>
      <c r="H108" s="44">
        <f t="shared" si="39"/>
        <v>1.2379268126785472E-2</v>
      </c>
      <c r="I108" s="44">
        <f t="shared" si="39"/>
        <v>3.3056726975921644E-2</v>
      </c>
      <c r="J108" s="44">
        <f t="shared" si="39"/>
        <v>1.6868453271663718E-2</v>
      </c>
      <c r="K108" s="44">
        <f t="shared" si="39"/>
        <v>3.9450414909536118E-3</v>
      </c>
      <c r="L108" s="44">
        <f t="shared" si="39"/>
        <v>1.7684668752550674E-3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Natete-Rubaga'!C3:G3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2" t="str">
        <f>'27.07 Rubaga-Natete-24h'!G5:H5</f>
        <v>Total Wakaliga</v>
      </c>
      <c r="H5" s="53"/>
      <c r="I5" s="14"/>
      <c r="J5" s="2" t="s">
        <v>5</v>
      </c>
      <c r="K5" s="52" t="s">
        <v>179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Natete-Rubaga'!D6:E6</f>
        <v>Natete</v>
      </c>
      <c r="E6" s="53"/>
      <c r="F6" s="2" t="s">
        <v>2</v>
      </c>
      <c r="G6" s="52" t="str">
        <f>'22.07 Natete-Rubaga'!G6:H6</f>
        <v>Rubaga</v>
      </c>
      <c r="H6" s="53"/>
      <c r="J6" s="2" t="s">
        <v>21</v>
      </c>
      <c r="K6" s="52" t="str">
        <f>'27.07 Rubaga-Natete-24h'!K6:L6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3</v>
      </c>
      <c r="E10" s="50">
        <v>2</v>
      </c>
      <c r="F10" s="50">
        <v>65</v>
      </c>
      <c r="G10" s="50">
        <v>3</v>
      </c>
      <c r="H10" s="50">
        <v>0</v>
      </c>
      <c r="I10" s="50">
        <v>1</v>
      </c>
      <c r="J10" s="50">
        <v>3</v>
      </c>
      <c r="K10" s="50">
        <v>0</v>
      </c>
      <c r="L10" s="50">
        <v>0</v>
      </c>
      <c r="M10" s="50">
        <v>210</v>
      </c>
      <c r="N10" s="50">
        <v>0</v>
      </c>
      <c r="O10" s="15">
        <f t="shared" ref="O10:O57" si="0">SUM(C10:L10,N10)</f>
        <v>117</v>
      </c>
      <c r="P10" s="15">
        <f t="shared" ref="P10:P57" si="1">SUM(C10:N10)</f>
        <v>327</v>
      </c>
      <c r="R10" s="1" t="s">
        <v>6</v>
      </c>
      <c r="S10" s="17">
        <f t="shared" ref="S10:AF10" si="2">SUM(C10:C13)</f>
        <v>105</v>
      </c>
      <c r="T10" s="17">
        <f t="shared" si="2"/>
        <v>23</v>
      </c>
      <c r="U10" s="17">
        <f t="shared" si="2"/>
        <v>67</v>
      </c>
      <c r="V10" s="17">
        <f t="shared" si="2"/>
        <v>150</v>
      </c>
      <c r="W10" s="17">
        <f t="shared" si="2"/>
        <v>104</v>
      </c>
      <c r="X10" s="17">
        <f t="shared" si="2"/>
        <v>3</v>
      </c>
      <c r="Y10" s="17">
        <f t="shared" si="2"/>
        <v>7</v>
      </c>
      <c r="Z10" s="17">
        <f t="shared" si="2"/>
        <v>7</v>
      </c>
      <c r="AA10" s="17">
        <f t="shared" si="2"/>
        <v>0</v>
      </c>
      <c r="AB10" s="17">
        <f t="shared" si="2"/>
        <v>1</v>
      </c>
      <c r="AC10" s="17">
        <f t="shared" si="2"/>
        <v>646</v>
      </c>
      <c r="AD10" s="17">
        <f t="shared" si="2"/>
        <v>0</v>
      </c>
      <c r="AE10" s="31">
        <f t="shared" si="2"/>
        <v>467</v>
      </c>
      <c r="AF10" s="31">
        <f t="shared" si="2"/>
        <v>1113</v>
      </c>
    </row>
    <row r="11" spans="2:32" s="6" customFormat="1" ht="23.1" customHeight="1" x14ac:dyDescent="0.25">
      <c r="B11" s="23" t="s">
        <v>38</v>
      </c>
      <c r="C11" s="50">
        <v>30</v>
      </c>
      <c r="D11" s="50">
        <v>7</v>
      </c>
      <c r="E11" s="50">
        <v>65</v>
      </c>
      <c r="F11" s="50">
        <v>0</v>
      </c>
      <c r="G11" s="50">
        <v>100</v>
      </c>
      <c r="H11" s="50">
        <v>0</v>
      </c>
      <c r="I11" s="50">
        <v>3</v>
      </c>
      <c r="J11" s="50">
        <v>2</v>
      </c>
      <c r="K11" s="50">
        <v>0</v>
      </c>
      <c r="L11" s="50">
        <v>0</v>
      </c>
      <c r="M11" s="50">
        <v>150</v>
      </c>
      <c r="N11" s="50">
        <v>0</v>
      </c>
      <c r="O11" s="15">
        <f t="shared" si="0"/>
        <v>207</v>
      </c>
      <c r="P11" s="15">
        <f t="shared" si="1"/>
        <v>357</v>
      </c>
      <c r="R11" s="1" t="s">
        <v>7</v>
      </c>
      <c r="S11" s="17">
        <f t="shared" ref="S11:AF11" si="3">SUM(C14:C17)</f>
        <v>83</v>
      </c>
      <c r="T11" s="17">
        <f t="shared" si="3"/>
        <v>42</v>
      </c>
      <c r="U11" s="17">
        <f t="shared" si="3"/>
        <v>5</v>
      </c>
      <c r="V11" s="17">
        <f t="shared" si="3"/>
        <v>153</v>
      </c>
      <c r="W11" s="17">
        <f t="shared" si="3"/>
        <v>6</v>
      </c>
      <c r="X11" s="17">
        <f t="shared" si="3"/>
        <v>1</v>
      </c>
      <c r="Y11" s="17">
        <f t="shared" si="3"/>
        <v>11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705</v>
      </c>
      <c r="AD11" s="17">
        <f t="shared" si="3"/>
        <v>0</v>
      </c>
      <c r="AE11" s="31">
        <f t="shared" si="3"/>
        <v>305</v>
      </c>
      <c r="AF11" s="31">
        <f t="shared" si="3"/>
        <v>1010</v>
      </c>
    </row>
    <row r="12" spans="2:32" ht="23.1" customHeight="1" x14ac:dyDescent="0.25">
      <c r="B12" s="23" t="s">
        <v>39</v>
      </c>
      <c r="C12" s="50">
        <v>12</v>
      </c>
      <c r="D12" s="50">
        <v>6</v>
      </c>
      <c r="E12" s="50">
        <v>0</v>
      </c>
      <c r="F12" s="50">
        <v>38</v>
      </c>
      <c r="G12" s="50">
        <v>0</v>
      </c>
      <c r="H12" s="50">
        <v>1</v>
      </c>
      <c r="I12" s="50">
        <v>2</v>
      </c>
      <c r="J12" s="50">
        <v>1</v>
      </c>
      <c r="K12" s="50">
        <v>0</v>
      </c>
      <c r="L12" s="50">
        <v>1</v>
      </c>
      <c r="M12" s="50">
        <v>154</v>
      </c>
      <c r="N12" s="50">
        <v>0</v>
      </c>
      <c r="O12" s="15">
        <f t="shared" si="0"/>
        <v>61</v>
      </c>
      <c r="P12" s="15">
        <f t="shared" si="1"/>
        <v>215</v>
      </c>
      <c r="R12" s="1" t="s">
        <v>8</v>
      </c>
      <c r="S12" s="17">
        <f t="shared" ref="S12:AF12" si="4">SUM(C18:C21)</f>
        <v>91</v>
      </c>
      <c r="T12" s="17">
        <f t="shared" si="4"/>
        <v>47</v>
      </c>
      <c r="U12" s="17">
        <f t="shared" si="4"/>
        <v>9</v>
      </c>
      <c r="V12" s="17">
        <f t="shared" si="4"/>
        <v>174</v>
      </c>
      <c r="W12" s="17">
        <f t="shared" si="4"/>
        <v>5</v>
      </c>
      <c r="X12" s="17">
        <f t="shared" si="4"/>
        <v>2</v>
      </c>
      <c r="Y12" s="17">
        <f t="shared" si="4"/>
        <v>15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644</v>
      </c>
      <c r="AD12" s="17">
        <f t="shared" si="4"/>
        <v>0</v>
      </c>
      <c r="AE12" s="31">
        <f t="shared" si="4"/>
        <v>347</v>
      </c>
      <c r="AF12" s="31">
        <f t="shared" si="4"/>
        <v>991</v>
      </c>
    </row>
    <row r="13" spans="2:32" ht="23.1" customHeight="1" x14ac:dyDescent="0.25">
      <c r="B13" s="23" t="s">
        <v>40</v>
      </c>
      <c r="C13" s="50">
        <v>23</v>
      </c>
      <c r="D13" s="50">
        <v>7</v>
      </c>
      <c r="E13" s="50">
        <v>0</v>
      </c>
      <c r="F13" s="50">
        <v>47</v>
      </c>
      <c r="G13" s="50">
        <v>1</v>
      </c>
      <c r="H13" s="50">
        <v>2</v>
      </c>
      <c r="I13" s="50">
        <v>1</v>
      </c>
      <c r="J13" s="50">
        <v>1</v>
      </c>
      <c r="K13" s="50">
        <v>0</v>
      </c>
      <c r="L13" s="50">
        <v>0</v>
      </c>
      <c r="M13" s="50">
        <v>132</v>
      </c>
      <c r="N13" s="50">
        <v>0</v>
      </c>
      <c r="O13" s="15">
        <f t="shared" si="0"/>
        <v>82</v>
      </c>
      <c r="P13" s="15">
        <f t="shared" si="1"/>
        <v>214</v>
      </c>
      <c r="R13" s="1" t="s">
        <v>9</v>
      </c>
      <c r="S13" s="17">
        <f t="shared" ref="S13:AF13" si="5">SUM(C22:C25)</f>
        <v>113</v>
      </c>
      <c r="T13" s="17">
        <f t="shared" si="5"/>
        <v>24</v>
      </c>
      <c r="U13" s="17">
        <f t="shared" si="5"/>
        <v>7</v>
      </c>
      <c r="V13" s="17">
        <f t="shared" si="5"/>
        <v>143</v>
      </c>
      <c r="W13" s="17">
        <f t="shared" si="5"/>
        <v>5</v>
      </c>
      <c r="X13" s="17">
        <f t="shared" si="5"/>
        <v>1</v>
      </c>
      <c r="Y13" s="17">
        <f t="shared" si="5"/>
        <v>11</v>
      </c>
      <c r="Z13" s="17">
        <f t="shared" si="5"/>
        <v>1</v>
      </c>
      <c r="AA13" s="17">
        <f t="shared" si="5"/>
        <v>3</v>
      </c>
      <c r="AB13" s="17">
        <f t="shared" si="5"/>
        <v>0</v>
      </c>
      <c r="AC13" s="17">
        <f t="shared" si="5"/>
        <v>451</v>
      </c>
      <c r="AD13" s="17">
        <f t="shared" si="5"/>
        <v>0</v>
      </c>
      <c r="AE13" s="31">
        <f t="shared" si="5"/>
        <v>308</v>
      </c>
      <c r="AF13" s="31">
        <f t="shared" si="5"/>
        <v>759</v>
      </c>
    </row>
    <row r="14" spans="2:32" ht="23.1" customHeight="1" x14ac:dyDescent="0.25">
      <c r="B14" s="23" t="s">
        <v>41</v>
      </c>
      <c r="C14" s="50">
        <v>16</v>
      </c>
      <c r="D14" s="50">
        <v>10</v>
      </c>
      <c r="E14" s="50">
        <v>3</v>
      </c>
      <c r="F14" s="50">
        <v>32</v>
      </c>
      <c r="G14" s="50">
        <v>2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180</v>
      </c>
      <c r="N14" s="50">
        <v>0</v>
      </c>
      <c r="O14" s="15">
        <f t="shared" si="0"/>
        <v>67</v>
      </c>
      <c r="P14" s="15">
        <f t="shared" si="1"/>
        <v>247</v>
      </c>
      <c r="R14" s="1" t="s">
        <v>10</v>
      </c>
      <c r="S14" s="17">
        <f t="shared" ref="S14:AF14" si="6">SUM(C26:C29)</f>
        <v>130</v>
      </c>
      <c r="T14" s="17">
        <f t="shared" si="6"/>
        <v>55</v>
      </c>
      <c r="U14" s="17">
        <f t="shared" si="6"/>
        <v>12</v>
      </c>
      <c r="V14" s="17">
        <f t="shared" si="6"/>
        <v>155</v>
      </c>
      <c r="W14" s="17">
        <f t="shared" si="6"/>
        <v>2</v>
      </c>
      <c r="X14" s="17">
        <f t="shared" si="6"/>
        <v>2</v>
      </c>
      <c r="Y14" s="17">
        <f t="shared" si="6"/>
        <v>14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651</v>
      </c>
      <c r="AD14" s="17">
        <f t="shared" si="6"/>
        <v>0</v>
      </c>
      <c r="AE14" s="31">
        <f t="shared" si="6"/>
        <v>373</v>
      </c>
      <c r="AF14" s="31">
        <f t="shared" si="6"/>
        <v>1024</v>
      </c>
    </row>
    <row r="15" spans="2:32" ht="23.1" customHeight="1" x14ac:dyDescent="0.25">
      <c r="B15" s="23" t="s">
        <v>42</v>
      </c>
      <c r="C15" s="50">
        <v>13</v>
      </c>
      <c r="D15" s="50">
        <v>7</v>
      </c>
      <c r="E15" s="50">
        <v>1</v>
      </c>
      <c r="F15" s="50">
        <v>35</v>
      </c>
      <c r="G15" s="50">
        <v>2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165</v>
      </c>
      <c r="N15" s="50">
        <v>0</v>
      </c>
      <c r="O15" s="15">
        <f t="shared" si="0"/>
        <v>62</v>
      </c>
      <c r="P15" s="15">
        <f t="shared" si="1"/>
        <v>227</v>
      </c>
      <c r="R15" s="1" t="s">
        <v>11</v>
      </c>
      <c r="S15" s="17">
        <f t="shared" ref="S15:AF15" si="7">SUM(C30:C33)</f>
        <v>100</v>
      </c>
      <c r="T15" s="17">
        <f t="shared" si="7"/>
        <v>34</v>
      </c>
      <c r="U15" s="17">
        <f t="shared" si="7"/>
        <v>14</v>
      </c>
      <c r="V15" s="17">
        <f t="shared" si="7"/>
        <v>125</v>
      </c>
      <c r="W15" s="17">
        <f t="shared" si="7"/>
        <v>3</v>
      </c>
      <c r="X15" s="17">
        <f t="shared" si="7"/>
        <v>4</v>
      </c>
      <c r="Y15" s="17">
        <f t="shared" si="7"/>
        <v>12</v>
      </c>
      <c r="Z15" s="17">
        <f t="shared" si="7"/>
        <v>3</v>
      </c>
      <c r="AA15" s="17">
        <f t="shared" si="7"/>
        <v>0</v>
      </c>
      <c r="AB15" s="17">
        <f t="shared" si="7"/>
        <v>3</v>
      </c>
      <c r="AC15" s="17">
        <f t="shared" si="7"/>
        <v>402</v>
      </c>
      <c r="AD15" s="17">
        <f t="shared" si="7"/>
        <v>0</v>
      </c>
      <c r="AE15" s="31">
        <f t="shared" si="7"/>
        <v>298</v>
      </c>
      <c r="AF15" s="31">
        <f t="shared" si="7"/>
        <v>700</v>
      </c>
    </row>
    <row r="16" spans="2:32" ht="23.1" customHeight="1" x14ac:dyDescent="0.25">
      <c r="B16" s="23" t="s">
        <v>43</v>
      </c>
      <c r="C16" s="50">
        <v>32</v>
      </c>
      <c r="D16" s="50">
        <v>11</v>
      </c>
      <c r="E16" s="50">
        <v>1</v>
      </c>
      <c r="F16" s="50">
        <v>57</v>
      </c>
      <c r="G16" s="50">
        <v>1</v>
      </c>
      <c r="H16" s="50">
        <v>1</v>
      </c>
      <c r="I16" s="50">
        <v>3</v>
      </c>
      <c r="J16" s="50">
        <v>1</v>
      </c>
      <c r="K16" s="50">
        <v>0</v>
      </c>
      <c r="L16" s="50">
        <v>0</v>
      </c>
      <c r="M16" s="50">
        <v>245</v>
      </c>
      <c r="N16" s="50">
        <v>0</v>
      </c>
      <c r="O16" s="15">
        <f t="shared" si="0"/>
        <v>107</v>
      </c>
      <c r="P16" s="15">
        <f t="shared" si="1"/>
        <v>352</v>
      </c>
      <c r="R16" s="1" t="s">
        <v>12</v>
      </c>
      <c r="S16" s="17">
        <f t="shared" ref="S16:AF16" si="8">SUM(C34:C37)</f>
        <v>68</v>
      </c>
      <c r="T16" s="17">
        <f t="shared" si="8"/>
        <v>31</v>
      </c>
      <c r="U16" s="17">
        <f t="shared" si="8"/>
        <v>3</v>
      </c>
      <c r="V16" s="17">
        <f t="shared" si="8"/>
        <v>72</v>
      </c>
      <c r="W16" s="17">
        <f t="shared" si="8"/>
        <v>1</v>
      </c>
      <c r="X16" s="17">
        <f t="shared" si="8"/>
        <v>1</v>
      </c>
      <c r="Y16" s="17">
        <f t="shared" si="8"/>
        <v>13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512</v>
      </c>
      <c r="AD16" s="17">
        <f t="shared" si="8"/>
        <v>0</v>
      </c>
      <c r="AE16" s="31">
        <f t="shared" si="8"/>
        <v>192</v>
      </c>
      <c r="AF16" s="31">
        <f t="shared" si="8"/>
        <v>704</v>
      </c>
    </row>
    <row r="17" spans="2:32" ht="23.1" customHeight="1" x14ac:dyDescent="0.25">
      <c r="B17" s="23" t="s">
        <v>44</v>
      </c>
      <c r="C17" s="50">
        <v>22</v>
      </c>
      <c r="D17" s="50">
        <v>14</v>
      </c>
      <c r="E17" s="50">
        <v>0</v>
      </c>
      <c r="F17" s="50">
        <v>29</v>
      </c>
      <c r="G17" s="50">
        <v>1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115</v>
      </c>
      <c r="N17" s="50">
        <v>0</v>
      </c>
      <c r="O17" s="15">
        <f t="shared" si="0"/>
        <v>69</v>
      </c>
      <c r="P17" s="15">
        <f t="shared" si="1"/>
        <v>184</v>
      </c>
      <c r="R17" s="1" t="s">
        <v>13</v>
      </c>
      <c r="S17" s="17">
        <f t="shared" ref="S17:AF17" si="9">SUM(C38:C41)</f>
        <v>82</v>
      </c>
      <c r="T17" s="17">
        <f t="shared" si="9"/>
        <v>18</v>
      </c>
      <c r="U17" s="17">
        <f t="shared" si="9"/>
        <v>6</v>
      </c>
      <c r="V17" s="17">
        <f t="shared" si="9"/>
        <v>77</v>
      </c>
      <c r="W17" s="17">
        <f t="shared" si="9"/>
        <v>0</v>
      </c>
      <c r="X17" s="17">
        <f t="shared" si="9"/>
        <v>4</v>
      </c>
      <c r="Y17" s="17">
        <f t="shared" si="9"/>
        <v>10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448</v>
      </c>
      <c r="AD17" s="17">
        <f t="shared" si="9"/>
        <v>0</v>
      </c>
      <c r="AE17" s="31">
        <f t="shared" si="9"/>
        <v>198</v>
      </c>
      <c r="AF17" s="31">
        <f t="shared" si="9"/>
        <v>646</v>
      </c>
    </row>
    <row r="18" spans="2:32" ht="23.1" customHeight="1" x14ac:dyDescent="0.25">
      <c r="B18" s="23" t="s">
        <v>45</v>
      </c>
      <c r="C18" s="50">
        <v>18</v>
      </c>
      <c r="D18" s="50">
        <v>8</v>
      </c>
      <c r="E18" s="50">
        <v>5</v>
      </c>
      <c r="F18" s="50">
        <v>47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175</v>
      </c>
      <c r="N18" s="50">
        <v>0</v>
      </c>
      <c r="O18" s="15">
        <f t="shared" si="0"/>
        <v>81</v>
      </c>
      <c r="P18" s="15">
        <f t="shared" si="1"/>
        <v>256</v>
      </c>
      <c r="R18" s="1" t="s">
        <v>14</v>
      </c>
      <c r="S18" s="17">
        <f t="shared" ref="S18:AF18" si="10">SUM(C42:C45)</f>
        <v>130</v>
      </c>
      <c r="T18" s="17">
        <f t="shared" si="10"/>
        <v>44</v>
      </c>
      <c r="U18" s="17">
        <f t="shared" si="10"/>
        <v>11</v>
      </c>
      <c r="V18" s="17">
        <f t="shared" si="10"/>
        <v>100</v>
      </c>
      <c r="W18" s="17">
        <f t="shared" si="10"/>
        <v>3</v>
      </c>
      <c r="X18" s="17">
        <f t="shared" si="10"/>
        <v>6</v>
      </c>
      <c r="Y18" s="17">
        <f t="shared" si="10"/>
        <v>13</v>
      </c>
      <c r="Z18" s="17">
        <f t="shared" si="10"/>
        <v>4</v>
      </c>
      <c r="AA18" s="17">
        <f t="shared" si="10"/>
        <v>1</v>
      </c>
      <c r="AB18" s="17">
        <f t="shared" si="10"/>
        <v>3</v>
      </c>
      <c r="AC18" s="17">
        <f t="shared" si="10"/>
        <v>510</v>
      </c>
      <c r="AD18" s="17">
        <f t="shared" si="10"/>
        <v>0</v>
      </c>
      <c r="AE18" s="31">
        <f t="shared" si="10"/>
        <v>315</v>
      </c>
      <c r="AF18" s="31">
        <f t="shared" si="10"/>
        <v>825</v>
      </c>
    </row>
    <row r="19" spans="2:32" ht="23.1" customHeight="1" x14ac:dyDescent="0.25">
      <c r="B19" s="23" t="s">
        <v>46</v>
      </c>
      <c r="C19" s="50">
        <v>24</v>
      </c>
      <c r="D19" s="50">
        <v>14</v>
      </c>
      <c r="E19" s="50">
        <v>0</v>
      </c>
      <c r="F19" s="50">
        <v>42</v>
      </c>
      <c r="G19" s="50">
        <v>4</v>
      </c>
      <c r="H19" s="50">
        <v>1</v>
      </c>
      <c r="I19" s="50">
        <v>4</v>
      </c>
      <c r="J19" s="50">
        <v>3</v>
      </c>
      <c r="K19" s="50">
        <v>0</v>
      </c>
      <c r="L19" s="50">
        <v>0</v>
      </c>
      <c r="M19" s="50">
        <v>135</v>
      </c>
      <c r="N19" s="50">
        <v>0</v>
      </c>
      <c r="O19" s="15">
        <f t="shared" si="0"/>
        <v>92</v>
      </c>
      <c r="P19" s="15">
        <f t="shared" si="1"/>
        <v>227</v>
      </c>
      <c r="R19" s="1" t="s">
        <v>15</v>
      </c>
      <c r="S19" s="17">
        <f t="shared" ref="S19:AF19" si="11">SUM(C46:C49)</f>
        <v>123</v>
      </c>
      <c r="T19" s="17">
        <f t="shared" si="11"/>
        <v>66</v>
      </c>
      <c r="U19" s="17">
        <f t="shared" si="11"/>
        <v>11</v>
      </c>
      <c r="V19" s="17">
        <f t="shared" si="11"/>
        <v>128</v>
      </c>
      <c r="W19" s="17">
        <f t="shared" si="11"/>
        <v>3</v>
      </c>
      <c r="X19" s="17">
        <f t="shared" si="11"/>
        <v>8</v>
      </c>
      <c r="Y19" s="17">
        <f t="shared" si="11"/>
        <v>12</v>
      </c>
      <c r="Z19" s="17">
        <f t="shared" si="11"/>
        <v>7</v>
      </c>
      <c r="AA19" s="17">
        <f t="shared" si="11"/>
        <v>0</v>
      </c>
      <c r="AB19" s="17">
        <f t="shared" si="11"/>
        <v>2</v>
      </c>
      <c r="AC19" s="17">
        <f t="shared" si="11"/>
        <v>532</v>
      </c>
      <c r="AD19" s="17">
        <f t="shared" si="11"/>
        <v>0</v>
      </c>
      <c r="AE19" s="31">
        <f t="shared" si="11"/>
        <v>360</v>
      </c>
      <c r="AF19" s="31">
        <f t="shared" si="11"/>
        <v>892</v>
      </c>
    </row>
    <row r="20" spans="2:32" ht="23.1" customHeight="1" x14ac:dyDescent="0.25">
      <c r="B20" s="23" t="s">
        <v>47</v>
      </c>
      <c r="C20" s="50">
        <v>25</v>
      </c>
      <c r="D20" s="50">
        <v>9</v>
      </c>
      <c r="E20" s="50">
        <v>2</v>
      </c>
      <c r="F20" s="50">
        <v>48</v>
      </c>
      <c r="G20" s="50">
        <v>1</v>
      </c>
      <c r="H20" s="50">
        <v>1</v>
      </c>
      <c r="I20" s="50">
        <v>4</v>
      </c>
      <c r="J20" s="50">
        <v>1</v>
      </c>
      <c r="K20" s="50">
        <v>0</v>
      </c>
      <c r="L20" s="50">
        <v>0</v>
      </c>
      <c r="M20" s="50">
        <v>138</v>
      </c>
      <c r="N20" s="50">
        <v>0</v>
      </c>
      <c r="O20" s="15">
        <f t="shared" si="0"/>
        <v>91</v>
      </c>
      <c r="P20" s="15">
        <f t="shared" si="1"/>
        <v>229</v>
      </c>
      <c r="R20" s="1" t="s">
        <v>16</v>
      </c>
      <c r="S20" s="17">
        <f t="shared" ref="S20:AF20" si="12">SUM(C50:C53)</f>
        <v>162</v>
      </c>
      <c r="T20" s="17">
        <f t="shared" si="12"/>
        <v>80</v>
      </c>
      <c r="U20" s="17">
        <f t="shared" si="12"/>
        <v>19</v>
      </c>
      <c r="V20" s="17">
        <f t="shared" si="12"/>
        <v>125</v>
      </c>
      <c r="W20" s="17">
        <f t="shared" si="12"/>
        <v>3</v>
      </c>
      <c r="X20" s="17">
        <f t="shared" si="12"/>
        <v>12</v>
      </c>
      <c r="Y20" s="17">
        <f t="shared" si="12"/>
        <v>20</v>
      </c>
      <c r="Z20" s="17">
        <f t="shared" si="12"/>
        <v>5</v>
      </c>
      <c r="AA20" s="17">
        <f t="shared" si="12"/>
        <v>1</v>
      </c>
      <c r="AB20" s="17">
        <f t="shared" si="12"/>
        <v>0</v>
      </c>
      <c r="AC20" s="17">
        <f t="shared" si="12"/>
        <v>602</v>
      </c>
      <c r="AD20" s="17">
        <f t="shared" si="12"/>
        <v>0</v>
      </c>
      <c r="AE20" s="31">
        <f t="shared" si="12"/>
        <v>427</v>
      </c>
      <c r="AF20" s="31">
        <f t="shared" si="12"/>
        <v>1029</v>
      </c>
    </row>
    <row r="21" spans="2:32" ht="23.1" customHeight="1" x14ac:dyDescent="0.25">
      <c r="B21" s="23" t="s">
        <v>48</v>
      </c>
      <c r="C21" s="50">
        <v>24</v>
      </c>
      <c r="D21" s="50">
        <v>16</v>
      </c>
      <c r="E21" s="50">
        <v>2</v>
      </c>
      <c r="F21" s="50">
        <v>37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196</v>
      </c>
      <c r="N21" s="50">
        <v>0</v>
      </c>
      <c r="O21" s="15">
        <f t="shared" si="0"/>
        <v>83</v>
      </c>
      <c r="P21" s="15">
        <f t="shared" si="1"/>
        <v>279</v>
      </c>
      <c r="R21" s="36" t="s">
        <v>20</v>
      </c>
      <c r="S21" s="34">
        <f t="shared" ref="S21:AF21" si="13">SUM(C54:C57)</f>
        <v>81</v>
      </c>
      <c r="T21" s="17">
        <f t="shared" si="13"/>
        <v>54</v>
      </c>
      <c r="U21" s="17">
        <f t="shared" si="13"/>
        <v>11</v>
      </c>
      <c r="V21" s="17">
        <f t="shared" si="13"/>
        <v>102</v>
      </c>
      <c r="W21" s="17">
        <f t="shared" si="13"/>
        <v>2</v>
      </c>
      <c r="X21" s="17">
        <f t="shared" si="13"/>
        <v>10</v>
      </c>
      <c r="Y21" s="17">
        <f t="shared" si="13"/>
        <v>4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398</v>
      </c>
      <c r="AD21" s="17">
        <f t="shared" si="13"/>
        <v>0</v>
      </c>
      <c r="AE21" s="31">
        <f t="shared" si="13"/>
        <v>268</v>
      </c>
      <c r="AF21" s="31">
        <f t="shared" si="13"/>
        <v>666</v>
      </c>
    </row>
    <row r="22" spans="2:32" ht="23.1" customHeight="1" x14ac:dyDescent="0.25">
      <c r="B22" s="23" t="s">
        <v>49</v>
      </c>
      <c r="C22" s="50">
        <v>31</v>
      </c>
      <c r="D22" s="50">
        <v>11</v>
      </c>
      <c r="E22" s="50">
        <v>1</v>
      </c>
      <c r="F22" s="50">
        <v>36</v>
      </c>
      <c r="G22" s="50">
        <v>3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108</v>
      </c>
      <c r="N22" s="50">
        <v>0</v>
      </c>
      <c r="O22" s="15">
        <f t="shared" si="0"/>
        <v>86</v>
      </c>
      <c r="P22" s="15">
        <f t="shared" si="1"/>
        <v>194</v>
      </c>
      <c r="R22" s="38" t="s">
        <v>90</v>
      </c>
      <c r="S22" s="39">
        <f>MAX(S10:S12)</f>
        <v>105</v>
      </c>
      <c r="T22" s="39">
        <f t="shared" ref="T22:AF22" si="14">MAX(T10:T12)</f>
        <v>47</v>
      </c>
      <c r="U22" s="39">
        <f t="shared" si="14"/>
        <v>67</v>
      </c>
      <c r="V22" s="39">
        <f t="shared" si="14"/>
        <v>174</v>
      </c>
      <c r="W22" s="39">
        <f t="shared" si="14"/>
        <v>104</v>
      </c>
      <c r="X22" s="39">
        <f t="shared" si="14"/>
        <v>3</v>
      </c>
      <c r="Y22" s="39">
        <f t="shared" si="14"/>
        <v>15</v>
      </c>
      <c r="Z22" s="39">
        <f t="shared" si="14"/>
        <v>7</v>
      </c>
      <c r="AA22" s="39">
        <f t="shared" si="14"/>
        <v>0</v>
      </c>
      <c r="AB22" s="39">
        <f t="shared" si="14"/>
        <v>1</v>
      </c>
      <c r="AC22" s="39">
        <f t="shared" si="14"/>
        <v>705</v>
      </c>
      <c r="AD22" s="39">
        <f t="shared" si="14"/>
        <v>0</v>
      </c>
      <c r="AE22" s="40">
        <f t="shared" si="14"/>
        <v>467</v>
      </c>
      <c r="AF22" s="40">
        <f t="shared" si="14"/>
        <v>1113</v>
      </c>
    </row>
    <row r="23" spans="2:32" ht="23.1" customHeight="1" x14ac:dyDescent="0.25">
      <c r="B23" s="23" t="s">
        <v>50</v>
      </c>
      <c r="C23" s="50">
        <v>34</v>
      </c>
      <c r="D23" s="50">
        <v>9</v>
      </c>
      <c r="E23" s="50">
        <v>0</v>
      </c>
      <c r="F23" s="50">
        <v>45</v>
      </c>
      <c r="G23" s="50">
        <v>1</v>
      </c>
      <c r="H23" s="50">
        <v>1</v>
      </c>
      <c r="I23" s="50">
        <v>1</v>
      </c>
      <c r="J23" s="50">
        <v>0</v>
      </c>
      <c r="K23" s="50">
        <v>1</v>
      </c>
      <c r="L23" s="50">
        <v>0</v>
      </c>
      <c r="M23" s="50">
        <v>108</v>
      </c>
      <c r="N23" s="50">
        <v>0</v>
      </c>
      <c r="O23" s="15">
        <f t="shared" si="0"/>
        <v>92</v>
      </c>
      <c r="P23" s="15">
        <f t="shared" si="1"/>
        <v>200</v>
      </c>
      <c r="R23" s="38" t="s">
        <v>91</v>
      </c>
      <c r="S23" s="39">
        <f>MAX(S13:S18)</f>
        <v>130</v>
      </c>
      <c r="T23" s="39">
        <f t="shared" ref="T23:AF23" si="15">MAX(T13:T18)</f>
        <v>55</v>
      </c>
      <c r="U23" s="39">
        <f t="shared" si="15"/>
        <v>14</v>
      </c>
      <c r="V23" s="39">
        <f t="shared" si="15"/>
        <v>155</v>
      </c>
      <c r="W23" s="39">
        <f t="shared" si="15"/>
        <v>5</v>
      </c>
      <c r="X23" s="39">
        <f t="shared" si="15"/>
        <v>6</v>
      </c>
      <c r="Y23" s="39">
        <f t="shared" si="15"/>
        <v>14</v>
      </c>
      <c r="Z23" s="39">
        <f t="shared" si="15"/>
        <v>4</v>
      </c>
      <c r="AA23" s="39">
        <f t="shared" si="15"/>
        <v>3</v>
      </c>
      <c r="AB23" s="39">
        <f t="shared" si="15"/>
        <v>3</v>
      </c>
      <c r="AC23" s="39">
        <f t="shared" si="15"/>
        <v>651</v>
      </c>
      <c r="AD23" s="39">
        <f t="shared" si="15"/>
        <v>0</v>
      </c>
      <c r="AE23" s="40">
        <f t="shared" si="15"/>
        <v>373</v>
      </c>
      <c r="AF23" s="40">
        <f t="shared" si="15"/>
        <v>1024</v>
      </c>
    </row>
    <row r="24" spans="2:32" ht="23.1" customHeight="1" x14ac:dyDescent="0.25">
      <c r="B24" s="23" t="s">
        <v>51</v>
      </c>
      <c r="C24" s="50">
        <v>18</v>
      </c>
      <c r="D24" s="50">
        <v>4</v>
      </c>
      <c r="E24" s="50">
        <v>3</v>
      </c>
      <c r="F24" s="50">
        <v>31</v>
      </c>
      <c r="G24" s="50">
        <v>0</v>
      </c>
      <c r="H24" s="50">
        <v>0</v>
      </c>
      <c r="I24" s="50">
        <v>5</v>
      </c>
      <c r="J24" s="50">
        <v>0</v>
      </c>
      <c r="K24" s="50">
        <v>1</v>
      </c>
      <c r="L24" s="50">
        <v>0</v>
      </c>
      <c r="M24" s="50">
        <v>115</v>
      </c>
      <c r="N24" s="50">
        <v>0</v>
      </c>
      <c r="O24" s="15">
        <f t="shared" si="0"/>
        <v>62</v>
      </c>
      <c r="P24" s="15">
        <f t="shared" si="1"/>
        <v>177</v>
      </c>
      <c r="R24" s="38" t="s">
        <v>92</v>
      </c>
      <c r="S24" s="39">
        <f>MAX(S19:S21)</f>
        <v>162</v>
      </c>
      <c r="T24" s="39">
        <f t="shared" ref="T24:AF24" si="16">MAX(T19:T21)</f>
        <v>80</v>
      </c>
      <c r="U24" s="39">
        <f t="shared" si="16"/>
        <v>19</v>
      </c>
      <c r="V24" s="39">
        <f t="shared" si="16"/>
        <v>128</v>
      </c>
      <c r="W24" s="39">
        <f t="shared" si="16"/>
        <v>3</v>
      </c>
      <c r="X24" s="39">
        <f t="shared" si="16"/>
        <v>12</v>
      </c>
      <c r="Y24" s="39">
        <f t="shared" si="16"/>
        <v>20</v>
      </c>
      <c r="Z24" s="39">
        <f t="shared" si="16"/>
        <v>7</v>
      </c>
      <c r="AA24" s="39">
        <f t="shared" si="16"/>
        <v>1</v>
      </c>
      <c r="AB24" s="39">
        <f t="shared" si="16"/>
        <v>2</v>
      </c>
      <c r="AC24" s="39">
        <f t="shared" si="16"/>
        <v>602</v>
      </c>
      <c r="AD24" s="39">
        <f t="shared" si="16"/>
        <v>0</v>
      </c>
      <c r="AE24" s="40">
        <f t="shared" si="16"/>
        <v>427</v>
      </c>
      <c r="AF24" s="40">
        <f t="shared" si="16"/>
        <v>1029</v>
      </c>
    </row>
    <row r="25" spans="2:32" ht="23.1" customHeight="1" x14ac:dyDescent="0.25">
      <c r="B25" s="23" t="s">
        <v>52</v>
      </c>
      <c r="C25" s="50">
        <v>30</v>
      </c>
      <c r="D25" s="50">
        <v>0</v>
      </c>
      <c r="E25" s="50">
        <v>3</v>
      </c>
      <c r="F25" s="50">
        <v>31</v>
      </c>
      <c r="G25" s="50">
        <v>1</v>
      </c>
      <c r="H25" s="50">
        <v>0</v>
      </c>
      <c r="I25" s="50">
        <v>1</v>
      </c>
      <c r="J25" s="50">
        <v>1</v>
      </c>
      <c r="K25" s="50">
        <v>1</v>
      </c>
      <c r="L25" s="50">
        <v>0</v>
      </c>
      <c r="M25" s="50">
        <v>120</v>
      </c>
      <c r="N25" s="50">
        <v>0</v>
      </c>
      <c r="O25" s="15">
        <f t="shared" si="0"/>
        <v>68</v>
      </c>
      <c r="P25" s="15">
        <f t="shared" si="1"/>
        <v>188</v>
      </c>
      <c r="R25" s="37" t="s">
        <v>85</v>
      </c>
      <c r="S25" s="35">
        <f t="shared" ref="S25:AF25" si="17">SUM(S10:S12)</f>
        <v>279</v>
      </c>
      <c r="T25" s="16">
        <f t="shared" si="17"/>
        <v>112</v>
      </c>
      <c r="U25" s="16">
        <f t="shared" si="17"/>
        <v>81</v>
      </c>
      <c r="V25" s="16">
        <f t="shared" si="17"/>
        <v>477</v>
      </c>
      <c r="W25" s="16">
        <f t="shared" si="17"/>
        <v>115</v>
      </c>
      <c r="X25" s="16">
        <f t="shared" si="17"/>
        <v>6</v>
      </c>
      <c r="Y25" s="16">
        <f t="shared" si="17"/>
        <v>33</v>
      </c>
      <c r="Z25" s="16">
        <f t="shared" si="17"/>
        <v>15</v>
      </c>
      <c r="AA25" s="16">
        <f t="shared" si="17"/>
        <v>0</v>
      </c>
      <c r="AB25" s="16">
        <f t="shared" si="17"/>
        <v>1</v>
      </c>
      <c r="AC25" s="16">
        <f t="shared" si="17"/>
        <v>1995</v>
      </c>
      <c r="AD25" s="16">
        <f t="shared" si="17"/>
        <v>0</v>
      </c>
      <c r="AE25" s="32">
        <f t="shared" si="17"/>
        <v>1119</v>
      </c>
      <c r="AF25" s="32">
        <f t="shared" si="17"/>
        <v>3114</v>
      </c>
    </row>
    <row r="26" spans="2:32" ht="23.1" customHeight="1" x14ac:dyDescent="0.25">
      <c r="B26" s="23" t="s">
        <v>53</v>
      </c>
      <c r="C26" s="50">
        <v>34</v>
      </c>
      <c r="D26" s="50">
        <v>12</v>
      </c>
      <c r="E26" s="50">
        <v>5</v>
      </c>
      <c r="F26" s="50">
        <v>43</v>
      </c>
      <c r="G26" s="50">
        <v>2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210</v>
      </c>
      <c r="N26" s="50">
        <v>0</v>
      </c>
      <c r="O26" s="15">
        <f t="shared" si="0"/>
        <v>97</v>
      </c>
      <c r="P26" s="15">
        <f t="shared" si="1"/>
        <v>307</v>
      </c>
      <c r="R26" s="28" t="s">
        <v>86</v>
      </c>
      <c r="S26" s="16">
        <f t="shared" ref="S26:AF26" si="18">SUM(S13:S18)</f>
        <v>623</v>
      </c>
      <c r="T26" s="16">
        <f t="shared" si="18"/>
        <v>206</v>
      </c>
      <c r="U26" s="16">
        <f t="shared" si="18"/>
        <v>53</v>
      </c>
      <c r="V26" s="16">
        <f t="shared" si="18"/>
        <v>672</v>
      </c>
      <c r="W26" s="16">
        <f t="shared" si="18"/>
        <v>14</v>
      </c>
      <c r="X26" s="16">
        <f t="shared" si="18"/>
        <v>18</v>
      </c>
      <c r="Y26" s="16">
        <f t="shared" si="18"/>
        <v>73</v>
      </c>
      <c r="Z26" s="16">
        <f t="shared" si="18"/>
        <v>14</v>
      </c>
      <c r="AA26" s="16">
        <f t="shared" si="18"/>
        <v>4</v>
      </c>
      <c r="AB26" s="16">
        <f t="shared" si="18"/>
        <v>7</v>
      </c>
      <c r="AC26" s="16">
        <f t="shared" si="18"/>
        <v>2974</v>
      </c>
      <c r="AD26" s="16">
        <f t="shared" si="18"/>
        <v>0</v>
      </c>
      <c r="AE26" s="32">
        <f t="shared" si="18"/>
        <v>1684</v>
      </c>
      <c r="AF26" s="32">
        <f t="shared" si="18"/>
        <v>4658</v>
      </c>
    </row>
    <row r="27" spans="2:32" ht="23.1" customHeight="1" x14ac:dyDescent="0.25">
      <c r="B27" s="23" t="s">
        <v>54</v>
      </c>
      <c r="C27" s="50">
        <v>41</v>
      </c>
      <c r="D27" s="50">
        <v>14</v>
      </c>
      <c r="E27" s="50">
        <v>2</v>
      </c>
      <c r="F27" s="50">
        <v>43</v>
      </c>
      <c r="G27" s="50">
        <v>0</v>
      </c>
      <c r="H27" s="50">
        <v>2</v>
      </c>
      <c r="I27" s="50">
        <v>5</v>
      </c>
      <c r="J27" s="50">
        <v>0</v>
      </c>
      <c r="K27" s="50">
        <v>0</v>
      </c>
      <c r="L27" s="50">
        <v>0</v>
      </c>
      <c r="M27" s="50">
        <v>165</v>
      </c>
      <c r="N27" s="50">
        <v>0</v>
      </c>
      <c r="O27" s="15">
        <f t="shared" si="0"/>
        <v>107</v>
      </c>
      <c r="P27" s="15">
        <f t="shared" si="1"/>
        <v>272</v>
      </c>
      <c r="R27" s="29" t="s">
        <v>87</v>
      </c>
      <c r="S27" s="16">
        <f t="shared" ref="S27:AF27" si="19">SUM(S19:S21)</f>
        <v>366</v>
      </c>
      <c r="T27" s="16">
        <f t="shared" si="19"/>
        <v>200</v>
      </c>
      <c r="U27" s="16">
        <f t="shared" si="19"/>
        <v>41</v>
      </c>
      <c r="V27" s="16">
        <f t="shared" si="19"/>
        <v>355</v>
      </c>
      <c r="W27" s="16">
        <f t="shared" si="19"/>
        <v>8</v>
      </c>
      <c r="X27" s="16">
        <f t="shared" si="19"/>
        <v>30</v>
      </c>
      <c r="Y27" s="16">
        <f t="shared" si="19"/>
        <v>36</v>
      </c>
      <c r="Z27" s="16">
        <f t="shared" si="19"/>
        <v>16</v>
      </c>
      <c r="AA27" s="16">
        <f t="shared" si="19"/>
        <v>1</v>
      </c>
      <c r="AB27" s="16">
        <f t="shared" si="19"/>
        <v>2</v>
      </c>
      <c r="AC27" s="16">
        <f t="shared" si="19"/>
        <v>1532</v>
      </c>
      <c r="AD27" s="16">
        <f t="shared" si="19"/>
        <v>0</v>
      </c>
      <c r="AE27" s="32">
        <f t="shared" si="19"/>
        <v>1055</v>
      </c>
      <c r="AF27" s="32">
        <f t="shared" si="19"/>
        <v>2587</v>
      </c>
    </row>
    <row r="28" spans="2:32" ht="23.1" customHeight="1" x14ac:dyDescent="0.25">
      <c r="B28" s="23" t="s">
        <v>55</v>
      </c>
      <c r="C28" s="50">
        <v>27</v>
      </c>
      <c r="D28" s="50">
        <v>18</v>
      </c>
      <c r="E28" s="50">
        <v>2</v>
      </c>
      <c r="F28" s="50">
        <v>29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123</v>
      </c>
      <c r="N28" s="50">
        <v>0</v>
      </c>
      <c r="O28" s="15">
        <f t="shared" si="0"/>
        <v>80</v>
      </c>
      <c r="P28" s="15">
        <f t="shared" si="1"/>
        <v>203</v>
      </c>
      <c r="R28" s="5" t="s">
        <v>17</v>
      </c>
      <c r="S28" s="16">
        <f t="shared" ref="S28:AF28" si="20">SUM(S10:S21)</f>
        <v>1268</v>
      </c>
      <c r="T28" s="16">
        <f t="shared" si="20"/>
        <v>518</v>
      </c>
      <c r="U28" s="16">
        <f t="shared" si="20"/>
        <v>175</v>
      </c>
      <c r="V28" s="16">
        <f t="shared" si="20"/>
        <v>1504</v>
      </c>
      <c r="W28" s="16">
        <f t="shared" si="20"/>
        <v>137</v>
      </c>
      <c r="X28" s="16">
        <f t="shared" si="20"/>
        <v>54</v>
      </c>
      <c r="Y28" s="16">
        <f t="shared" si="20"/>
        <v>142</v>
      </c>
      <c r="Z28" s="16">
        <f t="shared" si="20"/>
        <v>45</v>
      </c>
      <c r="AA28" s="16">
        <f t="shared" si="20"/>
        <v>5</v>
      </c>
      <c r="AB28" s="16">
        <f t="shared" si="20"/>
        <v>10</v>
      </c>
      <c r="AC28" s="16">
        <f t="shared" si="20"/>
        <v>6501</v>
      </c>
      <c r="AD28" s="16">
        <f t="shared" si="20"/>
        <v>0</v>
      </c>
      <c r="AE28" s="32">
        <f t="shared" si="20"/>
        <v>3858</v>
      </c>
      <c r="AF28" s="32">
        <f t="shared" si="20"/>
        <v>10359</v>
      </c>
    </row>
    <row r="29" spans="2:32" ht="23.1" customHeight="1" x14ac:dyDescent="0.25">
      <c r="B29" s="23" t="s">
        <v>56</v>
      </c>
      <c r="C29" s="50">
        <v>28</v>
      </c>
      <c r="D29" s="50">
        <v>11</v>
      </c>
      <c r="E29" s="50">
        <v>3</v>
      </c>
      <c r="F29" s="50">
        <v>40</v>
      </c>
      <c r="G29" s="50">
        <v>0</v>
      </c>
      <c r="H29" s="50">
        <v>0</v>
      </c>
      <c r="I29" s="50">
        <v>5</v>
      </c>
      <c r="J29" s="50">
        <v>2</v>
      </c>
      <c r="K29" s="50">
        <v>0</v>
      </c>
      <c r="L29" s="50">
        <v>0</v>
      </c>
      <c r="M29" s="50">
        <v>153</v>
      </c>
      <c r="N29" s="50">
        <v>0</v>
      </c>
      <c r="O29" s="15">
        <f t="shared" si="0"/>
        <v>89</v>
      </c>
      <c r="P29" s="15">
        <f t="shared" si="1"/>
        <v>242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8</v>
      </c>
      <c r="E30" s="50">
        <v>4</v>
      </c>
      <c r="F30" s="50">
        <v>32</v>
      </c>
      <c r="G30" s="50">
        <v>0</v>
      </c>
      <c r="H30" s="50">
        <v>2</v>
      </c>
      <c r="I30" s="50">
        <v>1</v>
      </c>
      <c r="J30" s="50">
        <v>1</v>
      </c>
      <c r="K30" s="50">
        <v>0</v>
      </c>
      <c r="L30" s="50">
        <v>2</v>
      </c>
      <c r="M30" s="50">
        <v>85</v>
      </c>
      <c r="N30" s="50">
        <v>0</v>
      </c>
      <c r="O30" s="15">
        <f t="shared" si="0"/>
        <v>75</v>
      </c>
      <c r="P30" s="15">
        <f t="shared" si="1"/>
        <v>160</v>
      </c>
    </row>
    <row r="31" spans="2:32" ht="23.1" customHeight="1" x14ac:dyDescent="0.25">
      <c r="B31" s="24" t="s">
        <v>58</v>
      </c>
      <c r="C31" s="50">
        <v>27</v>
      </c>
      <c r="D31" s="50">
        <v>7</v>
      </c>
      <c r="E31" s="50">
        <v>2</v>
      </c>
      <c r="F31" s="50">
        <v>27</v>
      </c>
      <c r="G31" s="50">
        <v>2</v>
      </c>
      <c r="H31" s="50">
        <v>0</v>
      </c>
      <c r="I31" s="50">
        <v>5</v>
      </c>
      <c r="J31" s="50">
        <v>2</v>
      </c>
      <c r="K31" s="50">
        <v>0</v>
      </c>
      <c r="L31" s="50">
        <v>0</v>
      </c>
      <c r="M31" s="50">
        <v>102</v>
      </c>
      <c r="N31" s="50">
        <v>0</v>
      </c>
      <c r="O31" s="15">
        <f t="shared" si="0"/>
        <v>72</v>
      </c>
      <c r="P31" s="15">
        <f t="shared" si="1"/>
        <v>174</v>
      </c>
    </row>
    <row r="32" spans="2:32" ht="23.1" customHeight="1" x14ac:dyDescent="0.25">
      <c r="B32" s="24" t="s">
        <v>59</v>
      </c>
      <c r="C32" s="50">
        <v>22</v>
      </c>
      <c r="D32" s="50">
        <v>9</v>
      </c>
      <c r="E32" s="50">
        <v>4</v>
      </c>
      <c r="F32" s="50">
        <v>33</v>
      </c>
      <c r="G32" s="50">
        <v>1</v>
      </c>
      <c r="H32" s="50">
        <v>0</v>
      </c>
      <c r="I32" s="50">
        <v>5</v>
      </c>
      <c r="J32" s="50">
        <v>0</v>
      </c>
      <c r="K32" s="50">
        <v>0</v>
      </c>
      <c r="L32" s="50">
        <v>1</v>
      </c>
      <c r="M32" s="50">
        <v>105</v>
      </c>
      <c r="N32" s="50">
        <v>0</v>
      </c>
      <c r="O32" s="15">
        <f t="shared" si="0"/>
        <v>75</v>
      </c>
      <c r="P32" s="15">
        <f t="shared" si="1"/>
        <v>180</v>
      </c>
    </row>
    <row r="33" spans="2:20" ht="23.1" customHeight="1" x14ac:dyDescent="0.25">
      <c r="B33" s="23" t="s">
        <v>60</v>
      </c>
      <c r="C33" s="50">
        <v>26</v>
      </c>
      <c r="D33" s="50">
        <v>10</v>
      </c>
      <c r="E33" s="50">
        <v>4</v>
      </c>
      <c r="F33" s="50">
        <v>33</v>
      </c>
      <c r="G33" s="50">
        <v>0</v>
      </c>
      <c r="H33" s="50">
        <v>2</v>
      </c>
      <c r="I33" s="50">
        <v>1</v>
      </c>
      <c r="J33" s="50">
        <v>0</v>
      </c>
      <c r="K33" s="50">
        <v>0</v>
      </c>
      <c r="L33" s="50">
        <v>0</v>
      </c>
      <c r="M33" s="50">
        <v>110</v>
      </c>
      <c r="N33" s="50">
        <v>0</v>
      </c>
      <c r="O33" s="15">
        <f t="shared" si="0"/>
        <v>76</v>
      </c>
      <c r="P33" s="15">
        <f t="shared" si="1"/>
        <v>186</v>
      </c>
    </row>
    <row r="34" spans="2:20" ht="23.1" customHeight="1" x14ac:dyDescent="0.25">
      <c r="B34" s="24" t="s">
        <v>61</v>
      </c>
      <c r="C34" s="50">
        <v>24</v>
      </c>
      <c r="D34" s="50">
        <v>6</v>
      </c>
      <c r="E34" s="50">
        <v>0</v>
      </c>
      <c r="F34" s="50">
        <v>26</v>
      </c>
      <c r="G34" s="50">
        <v>0</v>
      </c>
      <c r="H34" s="50">
        <v>0</v>
      </c>
      <c r="I34" s="50">
        <v>6</v>
      </c>
      <c r="J34" s="50">
        <v>0</v>
      </c>
      <c r="K34" s="50">
        <v>0</v>
      </c>
      <c r="L34" s="50">
        <v>0</v>
      </c>
      <c r="M34" s="50">
        <v>133</v>
      </c>
      <c r="N34" s="50">
        <v>0</v>
      </c>
      <c r="O34" s="15">
        <f t="shared" si="0"/>
        <v>62</v>
      </c>
      <c r="P34" s="15">
        <f t="shared" si="1"/>
        <v>195</v>
      </c>
    </row>
    <row r="35" spans="2:20" ht="23.1" customHeight="1" x14ac:dyDescent="0.25">
      <c r="B35" s="24" t="s">
        <v>62</v>
      </c>
      <c r="C35" s="50">
        <v>22</v>
      </c>
      <c r="D35" s="50">
        <v>10</v>
      </c>
      <c r="E35" s="50">
        <v>3</v>
      </c>
      <c r="F35" s="50">
        <v>26</v>
      </c>
      <c r="G35" s="50">
        <v>0</v>
      </c>
      <c r="H35" s="50">
        <v>1</v>
      </c>
      <c r="I35" s="50">
        <v>4</v>
      </c>
      <c r="J35" s="50">
        <v>1</v>
      </c>
      <c r="K35" s="50">
        <v>0</v>
      </c>
      <c r="L35" s="50">
        <v>0</v>
      </c>
      <c r="M35" s="50">
        <v>141</v>
      </c>
      <c r="N35" s="50">
        <v>0</v>
      </c>
      <c r="O35" s="15">
        <f t="shared" si="0"/>
        <v>67</v>
      </c>
      <c r="P35" s="15">
        <f t="shared" si="1"/>
        <v>208</v>
      </c>
    </row>
    <row r="36" spans="2:20" ht="23.1" customHeight="1" x14ac:dyDescent="0.25">
      <c r="B36" s="24" t="s">
        <v>63</v>
      </c>
      <c r="C36" s="50">
        <v>6</v>
      </c>
      <c r="D36" s="50">
        <v>9</v>
      </c>
      <c r="E36" s="50">
        <v>0</v>
      </c>
      <c r="F36" s="50">
        <v>7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97</v>
      </c>
      <c r="N36" s="50">
        <v>0</v>
      </c>
      <c r="O36" s="15">
        <f t="shared" si="0"/>
        <v>26</v>
      </c>
      <c r="P36" s="15">
        <f t="shared" si="1"/>
        <v>123</v>
      </c>
    </row>
    <row r="37" spans="2:20" ht="23.1" customHeight="1" x14ac:dyDescent="0.25">
      <c r="B37" s="23" t="s">
        <v>64</v>
      </c>
      <c r="C37" s="50">
        <v>16</v>
      </c>
      <c r="D37" s="50">
        <v>6</v>
      </c>
      <c r="E37" s="50">
        <v>0</v>
      </c>
      <c r="F37" s="50">
        <v>13</v>
      </c>
      <c r="G37" s="50">
        <v>1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141</v>
      </c>
      <c r="N37" s="50">
        <v>0</v>
      </c>
      <c r="O37" s="15">
        <f t="shared" si="0"/>
        <v>37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26</v>
      </c>
      <c r="D38" s="50">
        <v>5</v>
      </c>
      <c r="E38" s="50">
        <v>1</v>
      </c>
      <c r="F38" s="50">
        <v>22</v>
      </c>
      <c r="G38" s="50">
        <v>0</v>
      </c>
      <c r="H38" s="50">
        <v>2</v>
      </c>
      <c r="I38" s="50">
        <v>3</v>
      </c>
      <c r="J38" s="50">
        <v>0</v>
      </c>
      <c r="K38" s="50">
        <v>0</v>
      </c>
      <c r="L38" s="50">
        <v>0</v>
      </c>
      <c r="M38" s="50">
        <v>131</v>
      </c>
      <c r="N38" s="50">
        <v>0</v>
      </c>
      <c r="O38" s="15">
        <f t="shared" si="0"/>
        <v>59</v>
      </c>
      <c r="P38" s="15">
        <f t="shared" si="1"/>
        <v>190</v>
      </c>
    </row>
    <row r="39" spans="2:20" ht="23.1" customHeight="1" x14ac:dyDescent="0.25">
      <c r="B39" s="24" t="s">
        <v>66</v>
      </c>
      <c r="C39" s="50">
        <v>23</v>
      </c>
      <c r="D39" s="50">
        <v>6</v>
      </c>
      <c r="E39" s="50">
        <v>1</v>
      </c>
      <c r="F39" s="50">
        <v>23</v>
      </c>
      <c r="G39" s="50">
        <v>0</v>
      </c>
      <c r="H39" s="50">
        <v>1</v>
      </c>
      <c r="I39" s="50">
        <v>3</v>
      </c>
      <c r="J39" s="50">
        <v>0</v>
      </c>
      <c r="K39" s="50">
        <v>0</v>
      </c>
      <c r="L39" s="50">
        <v>1</v>
      </c>
      <c r="M39" s="50">
        <v>95</v>
      </c>
      <c r="N39" s="50">
        <v>0</v>
      </c>
      <c r="O39" s="15">
        <f t="shared" si="0"/>
        <v>58</v>
      </c>
      <c r="P39" s="15">
        <f t="shared" si="1"/>
        <v>153</v>
      </c>
    </row>
    <row r="40" spans="2:20" ht="23.1" customHeight="1" x14ac:dyDescent="0.25">
      <c r="B40" s="24" t="s">
        <v>67</v>
      </c>
      <c r="C40" s="50">
        <v>19</v>
      </c>
      <c r="D40" s="50">
        <v>3</v>
      </c>
      <c r="E40" s="50">
        <v>2</v>
      </c>
      <c r="F40" s="50">
        <v>19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0</v>
      </c>
      <c r="M40" s="50">
        <v>130</v>
      </c>
      <c r="N40" s="50">
        <v>0</v>
      </c>
      <c r="O40" s="15">
        <f t="shared" si="0"/>
        <v>45</v>
      </c>
      <c r="P40" s="15">
        <f t="shared" si="1"/>
        <v>175</v>
      </c>
    </row>
    <row r="41" spans="2:20" ht="23.1" customHeight="1" x14ac:dyDescent="0.25">
      <c r="B41" s="23" t="s">
        <v>68</v>
      </c>
      <c r="C41" s="50">
        <v>14</v>
      </c>
      <c r="D41" s="50">
        <v>4</v>
      </c>
      <c r="E41" s="50">
        <v>2</v>
      </c>
      <c r="F41" s="50">
        <v>13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92</v>
      </c>
      <c r="N41" s="50">
        <v>0</v>
      </c>
      <c r="O41" s="15">
        <f t="shared" si="0"/>
        <v>36</v>
      </c>
      <c r="P41" s="15">
        <f t="shared" si="1"/>
        <v>128</v>
      </c>
    </row>
    <row r="42" spans="2:20" ht="23.1" customHeight="1" x14ac:dyDescent="0.25">
      <c r="B42" s="24" t="s">
        <v>69</v>
      </c>
      <c r="C42" s="50">
        <v>37</v>
      </c>
      <c r="D42" s="50">
        <v>2</v>
      </c>
      <c r="E42" s="50">
        <v>4</v>
      </c>
      <c r="F42" s="50">
        <v>25</v>
      </c>
      <c r="G42" s="50">
        <v>0</v>
      </c>
      <c r="H42" s="50">
        <v>1</v>
      </c>
      <c r="I42" s="50">
        <v>3</v>
      </c>
      <c r="J42" s="50">
        <v>2</v>
      </c>
      <c r="K42" s="50">
        <v>1</v>
      </c>
      <c r="L42" s="50">
        <v>0</v>
      </c>
      <c r="M42" s="50">
        <v>159</v>
      </c>
      <c r="N42" s="50">
        <v>0</v>
      </c>
      <c r="O42" s="15">
        <f t="shared" si="0"/>
        <v>75</v>
      </c>
      <c r="P42" s="15">
        <f t="shared" si="1"/>
        <v>234</v>
      </c>
    </row>
    <row r="43" spans="2:20" ht="23.1" customHeight="1" x14ac:dyDescent="0.25">
      <c r="B43" s="23" t="s">
        <v>70</v>
      </c>
      <c r="C43" s="50">
        <v>31</v>
      </c>
      <c r="D43" s="50">
        <v>6</v>
      </c>
      <c r="E43" s="50">
        <v>0</v>
      </c>
      <c r="F43" s="50">
        <v>28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111</v>
      </c>
      <c r="N43" s="50">
        <v>0</v>
      </c>
      <c r="O43" s="15">
        <f t="shared" si="0"/>
        <v>69</v>
      </c>
      <c r="P43" s="15">
        <f t="shared" si="1"/>
        <v>180</v>
      </c>
    </row>
    <row r="44" spans="2:20" ht="23.1" customHeight="1" x14ac:dyDescent="0.25">
      <c r="B44" s="25" t="s">
        <v>71</v>
      </c>
      <c r="C44" s="50">
        <v>35</v>
      </c>
      <c r="D44" s="50">
        <v>17</v>
      </c>
      <c r="E44" s="50">
        <v>4</v>
      </c>
      <c r="F44" s="50">
        <v>23</v>
      </c>
      <c r="G44" s="50">
        <v>1</v>
      </c>
      <c r="H44" s="50">
        <v>1</v>
      </c>
      <c r="I44" s="50">
        <v>4</v>
      </c>
      <c r="J44" s="50">
        <v>2</v>
      </c>
      <c r="K44" s="50">
        <v>0</v>
      </c>
      <c r="L44" s="50">
        <v>0</v>
      </c>
      <c r="M44" s="50">
        <v>119</v>
      </c>
      <c r="N44" s="50">
        <v>0</v>
      </c>
      <c r="O44" s="15">
        <f t="shared" si="0"/>
        <v>87</v>
      </c>
      <c r="P44" s="15">
        <f t="shared" si="1"/>
        <v>206</v>
      </c>
    </row>
    <row r="45" spans="2:20" ht="23.1" customHeight="1" x14ac:dyDescent="0.25">
      <c r="B45" s="23" t="s">
        <v>72</v>
      </c>
      <c r="C45" s="50">
        <v>27</v>
      </c>
      <c r="D45" s="50">
        <v>19</v>
      </c>
      <c r="E45" s="50">
        <v>3</v>
      </c>
      <c r="F45" s="50">
        <v>24</v>
      </c>
      <c r="G45" s="50">
        <v>2</v>
      </c>
      <c r="H45" s="50">
        <v>4</v>
      </c>
      <c r="I45" s="50">
        <v>2</v>
      </c>
      <c r="J45" s="50">
        <v>0</v>
      </c>
      <c r="K45" s="50">
        <v>0</v>
      </c>
      <c r="L45" s="50">
        <v>3</v>
      </c>
      <c r="M45" s="50">
        <v>121</v>
      </c>
      <c r="N45" s="50">
        <v>0</v>
      </c>
      <c r="O45" s="15">
        <f t="shared" si="0"/>
        <v>84</v>
      </c>
      <c r="P45" s="15">
        <f t="shared" si="1"/>
        <v>205</v>
      </c>
    </row>
    <row r="46" spans="2:20" ht="23.1" customHeight="1" x14ac:dyDescent="0.25">
      <c r="B46" s="24" t="s">
        <v>73</v>
      </c>
      <c r="C46" s="50">
        <v>25</v>
      </c>
      <c r="D46" s="50">
        <v>22</v>
      </c>
      <c r="E46" s="50">
        <v>1</v>
      </c>
      <c r="F46" s="50">
        <v>58</v>
      </c>
      <c r="G46" s="50">
        <v>2</v>
      </c>
      <c r="H46" s="50">
        <v>1</v>
      </c>
      <c r="I46" s="50">
        <v>2</v>
      </c>
      <c r="J46" s="50">
        <v>2</v>
      </c>
      <c r="K46" s="50">
        <v>0</v>
      </c>
      <c r="L46" s="50">
        <v>0</v>
      </c>
      <c r="M46" s="50">
        <v>140</v>
      </c>
      <c r="N46" s="50">
        <v>0</v>
      </c>
      <c r="O46" s="15">
        <f t="shared" si="0"/>
        <v>113</v>
      </c>
      <c r="P46" s="15">
        <f t="shared" si="1"/>
        <v>253</v>
      </c>
      <c r="R46" s="8"/>
      <c r="T46"/>
    </row>
    <row r="47" spans="2:20" ht="23.1" customHeight="1" x14ac:dyDescent="0.25">
      <c r="B47" s="24" t="s">
        <v>74</v>
      </c>
      <c r="C47" s="50">
        <v>23</v>
      </c>
      <c r="D47" s="50">
        <v>9</v>
      </c>
      <c r="E47" s="50">
        <v>1</v>
      </c>
      <c r="F47" s="50">
        <v>15</v>
      </c>
      <c r="G47" s="50">
        <v>0</v>
      </c>
      <c r="H47" s="50">
        <v>1</v>
      </c>
      <c r="I47" s="50">
        <v>2</v>
      </c>
      <c r="J47" s="50">
        <v>1</v>
      </c>
      <c r="K47" s="50">
        <v>0</v>
      </c>
      <c r="L47" s="50">
        <v>0</v>
      </c>
      <c r="M47" s="50">
        <v>111</v>
      </c>
      <c r="N47" s="50">
        <v>0</v>
      </c>
      <c r="O47" s="15">
        <f t="shared" si="0"/>
        <v>52</v>
      </c>
      <c r="P47" s="15">
        <f t="shared" si="1"/>
        <v>163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17</v>
      </c>
      <c r="E48" s="50">
        <v>4</v>
      </c>
      <c r="F48" s="50">
        <v>27</v>
      </c>
      <c r="G48" s="50">
        <v>1</v>
      </c>
      <c r="H48" s="50">
        <v>3</v>
      </c>
      <c r="I48" s="50">
        <v>4</v>
      </c>
      <c r="J48" s="50">
        <v>3</v>
      </c>
      <c r="K48" s="50">
        <v>0</v>
      </c>
      <c r="L48" s="50">
        <v>0</v>
      </c>
      <c r="M48" s="50">
        <v>131</v>
      </c>
      <c r="N48" s="50">
        <v>0</v>
      </c>
      <c r="O48" s="15">
        <f t="shared" si="0"/>
        <v>95</v>
      </c>
      <c r="P48" s="15">
        <f t="shared" si="1"/>
        <v>226</v>
      </c>
      <c r="R48" s="8"/>
      <c r="T48"/>
    </row>
    <row r="49" spans="2:20" ht="23.1" customHeight="1" x14ac:dyDescent="0.25">
      <c r="B49" s="23" t="s">
        <v>76</v>
      </c>
      <c r="C49" s="50">
        <v>39</v>
      </c>
      <c r="D49" s="50">
        <v>18</v>
      </c>
      <c r="E49" s="50">
        <v>5</v>
      </c>
      <c r="F49" s="50">
        <v>28</v>
      </c>
      <c r="G49" s="50">
        <v>0</v>
      </c>
      <c r="H49" s="50">
        <v>3</v>
      </c>
      <c r="I49" s="50">
        <v>4</v>
      </c>
      <c r="J49" s="50">
        <v>1</v>
      </c>
      <c r="K49" s="50">
        <v>0</v>
      </c>
      <c r="L49" s="50">
        <v>2</v>
      </c>
      <c r="M49" s="50">
        <v>150</v>
      </c>
      <c r="N49" s="50">
        <v>0</v>
      </c>
      <c r="O49" s="15">
        <f t="shared" si="0"/>
        <v>100</v>
      </c>
      <c r="P49" s="15">
        <f t="shared" si="1"/>
        <v>250</v>
      </c>
      <c r="R49" s="8"/>
      <c r="T49"/>
    </row>
    <row r="50" spans="2:20" ht="23.1" customHeight="1" x14ac:dyDescent="0.25">
      <c r="B50" s="24" t="s">
        <v>77</v>
      </c>
      <c r="C50" s="50">
        <v>32</v>
      </c>
      <c r="D50" s="50">
        <v>20</v>
      </c>
      <c r="E50" s="50">
        <v>5</v>
      </c>
      <c r="F50" s="50">
        <v>34</v>
      </c>
      <c r="G50" s="50">
        <v>0</v>
      </c>
      <c r="H50" s="50">
        <v>5</v>
      </c>
      <c r="I50" s="50">
        <v>7</v>
      </c>
      <c r="J50" s="50">
        <v>0</v>
      </c>
      <c r="K50" s="50">
        <v>0</v>
      </c>
      <c r="L50" s="50">
        <v>0</v>
      </c>
      <c r="M50" s="50">
        <v>134</v>
      </c>
      <c r="N50" s="50">
        <v>0</v>
      </c>
      <c r="O50" s="15">
        <f t="shared" si="0"/>
        <v>103</v>
      </c>
      <c r="P50" s="15">
        <f t="shared" si="1"/>
        <v>237</v>
      </c>
      <c r="R50" s="8"/>
      <c r="T50"/>
    </row>
    <row r="51" spans="2:20" ht="23.1" customHeight="1" x14ac:dyDescent="0.25">
      <c r="B51" s="24" t="s">
        <v>78</v>
      </c>
      <c r="C51" s="50">
        <v>43</v>
      </c>
      <c r="D51" s="50">
        <v>19</v>
      </c>
      <c r="E51" s="50">
        <v>7</v>
      </c>
      <c r="F51" s="50">
        <v>27</v>
      </c>
      <c r="G51" s="50">
        <v>2</v>
      </c>
      <c r="H51" s="50">
        <v>2</v>
      </c>
      <c r="I51" s="50">
        <v>7</v>
      </c>
      <c r="J51" s="50">
        <v>0</v>
      </c>
      <c r="K51" s="50">
        <v>0</v>
      </c>
      <c r="L51" s="50">
        <v>0</v>
      </c>
      <c r="M51" s="50">
        <v>147</v>
      </c>
      <c r="N51" s="50">
        <v>0</v>
      </c>
      <c r="O51" s="15">
        <f t="shared" si="0"/>
        <v>107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46</v>
      </c>
      <c r="D52" s="50">
        <v>20</v>
      </c>
      <c r="E52" s="50">
        <v>6</v>
      </c>
      <c r="F52" s="50">
        <v>32</v>
      </c>
      <c r="G52" s="50">
        <v>0</v>
      </c>
      <c r="H52" s="50">
        <v>5</v>
      </c>
      <c r="I52" s="50">
        <v>3</v>
      </c>
      <c r="J52" s="50">
        <v>3</v>
      </c>
      <c r="K52" s="50">
        <v>1</v>
      </c>
      <c r="L52" s="50">
        <v>0</v>
      </c>
      <c r="M52" s="50">
        <v>131</v>
      </c>
      <c r="N52" s="50">
        <v>0</v>
      </c>
      <c r="O52" s="15">
        <f t="shared" si="0"/>
        <v>116</v>
      </c>
      <c r="P52" s="15">
        <f t="shared" si="1"/>
        <v>247</v>
      </c>
      <c r="R52" s="8"/>
      <c r="T52"/>
    </row>
    <row r="53" spans="2:20" ht="23.1" customHeight="1" x14ac:dyDescent="0.25">
      <c r="B53" s="23" t="s">
        <v>80</v>
      </c>
      <c r="C53" s="50">
        <v>41</v>
      </c>
      <c r="D53" s="50">
        <v>21</v>
      </c>
      <c r="E53" s="50">
        <v>1</v>
      </c>
      <c r="F53" s="50">
        <v>32</v>
      </c>
      <c r="G53" s="50">
        <v>1</v>
      </c>
      <c r="H53" s="50">
        <v>0</v>
      </c>
      <c r="I53" s="50">
        <v>3</v>
      </c>
      <c r="J53" s="50">
        <v>2</v>
      </c>
      <c r="K53" s="50">
        <v>0</v>
      </c>
      <c r="L53" s="50">
        <v>0</v>
      </c>
      <c r="M53" s="50">
        <v>190</v>
      </c>
      <c r="N53" s="50">
        <v>0</v>
      </c>
      <c r="O53" s="15">
        <f t="shared" si="0"/>
        <v>101</v>
      </c>
      <c r="P53" s="15">
        <f t="shared" si="1"/>
        <v>291</v>
      </c>
      <c r="R53" s="8"/>
      <c r="T53"/>
    </row>
    <row r="54" spans="2:20" ht="23.1" customHeight="1" x14ac:dyDescent="0.25">
      <c r="B54" s="23" t="s">
        <v>81</v>
      </c>
      <c r="C54" s="50">
        <v>38</v>
      </c>
      <c r="D54" s="50">
        <v>17</v>
      </c>
      <c r="E54" s="50">
        <v>2</v>
      </c>
      <c r="F54" s="50">
        <v>30</v>
      </c>
      <c r="G54" s="50">
        <v>2</v>
      </c>
      <c r="H54" s="50">
        <v>3</v>
      </c>
      <c r="I54" s="50">
        <v>3</v>
      </c>
      <c r="J54" s="50">
        <v>4</v>
      </c>
      <c r="K54" s="50">
        <v>0</v>
      </c>
      <c r="L54" s="50">
        <v>0</v>
      </c>
      <c r="M54" s="50">
        <v>143</v>
      </c>
      <c r="N54" s="50">
        <v>0</v>
      </c>
      <c r="O54" s="15">
        <f t="shared" si="0"/>
        <v>99</v>
      </c>
      <c r="P54" s="15">
        <f t="shared" si="1"/>
        <v>242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18</v>
      </c>
      <c r="E55" s="50">
        <v>3</v>
      </c>
      <c r="F55" s="50">
        <v>16</v>
      </c>
      <c r="G55" s="50">
        <v>0</v>
      </c>
      <c r="H55" s="50">
        <v>2</v>
      </c>
      <c r="I55" s="50">
        <v>0</v>
      </c>
      <c r="J55" s="50">
        <v>0</v>
      </c>
      <c r="K55" s="50">
        <v>0</v>
      </c>
      <c r="L55" s="50">
        <v>0</v>
      </c>
      <c r="M55" s="50">
        <v>103</v>
      </c>
      <c r="N55" s="50">
        <v>0</v>
      </c>
      <c r="O55" s="15">
        <f t="shared" si="0"/>
        <v>48</v>
      </c>
      <c r="P55" s="15">
        <f t="shared" si="1"/>
        <v>151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3</v>
      </c>
      <c r="E56" s="50">
        <v>0</v>
      </c>
      <c r="F56" s="50">
        <v>25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42</v>
      </c>
      <c r="P56" s="15">
        <f t="shared" si="1"/>
        <v>117</v>
      </c>
      <c r="R56" s="8"/>
      <c r="T56"/>
    </row>
    <row r="57" spans="2:20" ht="23.1" customHeight="1" x14ac:dyDescent="0.25">
      <c r="B57" s="23" t="s">
        <v>84</v>
      </c>
      <c r="C57" s="50">
        <v>21</v>
      </c>
      <c r="D57" s="50">
        <v>16</v>
      </c>
      <c r="E57" s="50">
        <v>6</v>
      </c>
      <c r="F57" s="50">
        <v>31</v>
      </c>
      <c r="G57" s="50">
        <v>0</v>
      </c>
      <c r="H57" s="50">
        <v>4</v>
      </c>
      <c r="I57" s="50">
        <v>1</v>
      </c>
      <c r="J57" s="50">
        <v>0</v>
      </c>
      <c r="K57" s="50">
        <v>0</v>
      </c>
      <c r="L57" s="50">
        <v>0</v>
      </c>
      <c r="M57" s="50">
        <v>77</v>
      </c>
      <c r="N57" s="50">
        <v>0</v>
      </c>
      <c r="O57" s="15">
        <f t="shared" si="0"/>
        <v>79</v>
      </c>
      <c r="P57" s="15">
        <f t="shared" si="1"/>
        <v>156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1268</v>
      </c>
      <c r="D58" s="16">
        <f t="shared" si="21"/>
        <v>518</v>
      </c>
      <c r="E58" s="16">
        <f t="shared" si="21"/>
        <v>175</v>
      </c>
      <c r="F58" s="16">
        <f t="shared" si="21"/>
        <v>1504</v>
      </c>
      <c r="G58" s="16">
        <f t="shared" si="21"/>
        <v>137</v>
      </c>
      <c r="H58" s="16">
        <f t="shared" si="21"/>
        <v>54</v>
      </c>
      <c r="I58" s="16">
        <f t="shared" si="21"/>
        <v>142</v>
      </c>
      <c r="J58" s="16">
        <f t="shared" si="21"/>
        <v>45</v>
      </c>
      <c r="K58" s="16">
        <f t="shared" si="21"/>
        <v>5</v>
      </c>
      <c r="L58" s="16">
        <f t="shared" si="21"/>
        <v>10</v>
      </c>
      <c r="M58" s="16">
        <f t="shared" si="21"/>
        <v>6501</v>
      </c>
      <c r="N58" s="16">
        <f t="shared" si="21"/>
        <v>0</v>
      </c>
      <c r="O58" s="16">
        <f t="shared" si="21"/>
        <v>3858</v>
      </c>
      <c r="P58" s="16">
        <f t="shared" si="21"/>
        <v>10359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0.1224056376098079</v>
      </c>
      <c r="D59" s="43">
        <f t="shared" si="22"/>
        <v>5.0004826720725939E-2</v>
      </c>
      <c r="E59" s="43">
        <f t="shared" si="22"/>
        <v>1.6893522540785789E-2</v>
      </c>
      <c r="F59" s="43">
        <f t="shared" si="22"/>
        <v>0.14518775943623902</v>
      </c>
      <c r="G59" s="43">
        <f t="shared" si="22"/>
        <v>1.3225214789072305E-2</v>
      </c>
      <c r="H59" s="43">
        <f t="shared" si="22"/>
        <v>5.2128583840139013E-3</v>
      </c>
      <c r="I59" s="43">
        <f t="shared" si="22"/>
        <v>1.3707886861666184E-2</v>
      </c>
      <c r="J59" s="43">
        <f t="shared" si="22"/>
        <v>4.3440486533449178E-3</v>
      </c>
      <c r="K59" s="43">
        <f t="shared" si="22"/>
        <v>4.8267207259387971E-4</v>
      </c>
      <c r="L59" s="43">
        <f t="shared" si="22"/>
        <v>9.6534414518775942E-4</v>
      </c>
      <c r="M59" s="43">
        <f t="shared" si="22"/>
        <v>0.62757022878656243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0.32866770347330221</v>
      </c>
      <c r="D60" s="44">
        <f t="shared" ref="D60:N60" si="23">D58/$O$58</f>
        <v>0.13426645930533956</v>
      </c>
      <c r="E60" s="44">
        <f t="shared" si="23"/>
        <v>4.5360290305857955E-2</v>
      </c>
      <c r="F60" s="44">
        <f t="shared" si="23"/>
        <v>0.38983929497148784</v>
      </c>
      <c r="G60" s="44">
        <f t="shared" si="23"/>
        <v>3.5510627268014516E-2</v>
      </c>
      <c r="H60" s="44">
        <f t="shared" si="23"/>
        <v>1.3996889580093312E-2</v>
      </c>
      <c r="I60" s="44">
        <f t="shared" si="23"/>
        <v>3.6806635562467598E-2</v>
      </c>
      <c r="J60" s="44">
        <f t="shared" si="23"/>
        <v>1.1664074650077761E-2</v>
      </c>
      <c r="K60" s="44">
        <f t="shared" si="23"/>
        <v>1.2960082944530845E-3</v>
      </c>
      <c r="L60" s="44">
        <f t="shared" si="23"/>
        <v>2.592016588906169E-3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57" t="str">
        <f>'22.07 Rubaga-Natete'!C3:G3</f>
        <v>MCC-CI-STN08-WAKALIGA ROAD</v>
      </c>
      <c r="D3" s="57"/>
      <c r="E3" s="57"/>
      <c r="F3" s="57"/>
      <c r="G3" s="5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Natete-Rubaga'!D5</f>
        <v>28.07.19</v>
      </c>
      <c r="E5" s="3"/>
      <c r="F5" s="41" t="s">
        <v>1</v>
      </c>
      <c r="G5" s="52" t="str">
        <f>'28.07 Natete-Rubaga'!G5:H5</f>
        <v>Total Wakaliga</v>
      </c>
      <c r="H5" s="53"/>
      <c r="I5" s="14"/>
      <c r="J5" s="2" t="s">
        <v>5</v>
      </c>
      <c r="K5" s="52" t="s">
        <v>178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tr">
        <f>'22.07 Rubaga-Natete'!D6:E6</f>
        <v>Rubaga</v>
      </c>
      <c r="E6" s="53"/>
      <c r="F6" s="2" t="s">
        <v>2</v>
      </c>
      <c r="G6" s="52" t="str">
        <f>'22.07 Rubaga-Natete'!G6:H6</f>
        <v>Natete</v>
      </c>
      <c r="H6" s="53"/>
      <c r="J6" s="2" t="s">
        <v>21</v>
      </c>
      <c r="K6" s="52" t="str">
        <f>'28.07 Natete-Rubaga'!K6:L6</f>
        <v>oloya Felix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</v>
      </c>
      <c r="D10" s="50">
        <v>1</v>
      </c>
      <c r="E10" s="50">
        <v>4</v>
      </c>
      <c r="F10" s="50">
        <v>21</v>
      </c>
      <c r="G10" s="50">
        <v>1</v>
      </c>
      <c r="H10" s="50">
        <v>3</v>
      </c>
      <c r="I10" s="50">
        <v>1</v>
      </c>
      <c r="J10" s="50">
        <v>3</v>
      </c>
      <c r="K10" s="50">
        <v>0</v>
      </c>
      <c r="L10" s="50">
        <v>0</v>
      </c>
      <c r="M10" s="50">
        <v>71</v>
      </c>
      <c r="N10" s="50">
        <v>0</v>
      </c>
      <c r="O10" s="15">
        <f t="shared" ref="O10:O57" si="0">SUM(C10:L10,N10)</f>
        <v>52</v>
      </c>
      <c r="P10" s="15">
        <f t="shared" ref="P10:P57" si="1">SUM(C10:N10)</f>
        <v>123</v>
      </c>
      <c r="R10" s="1" t="s">
        <v>6</v>
      </c>
      <c r="S10" s="17">
        <f t="shared" ref="S10:AF10" si="2">SUM(C10:C13)</f>
        <v>54</v>
      </c>
      <c r="T10" s="17">
        <f t="shared" si="2"/>
        <v>15</v>
      </c>
      <c r="U10" s="17">
        <f t="shared" si="2"/>
        <v>7</v>
      </c>
      <c r="V10" s="17">
        <f t="shared" si="2"/>
        <v>146</v>
      </c>
      <c r="W10" s="17">
        <f t="shared" si="2"/>
        <v>6</v>
      </c>
      <c r="X10" s="17">
        <f t="shared" si="2"/>
        <v>7</v>
      </c>
      <c r="Y10" s="17">
        <f t="shared" si="2"/>
        <v>7</v>
      </c>
      <c r="Z10" s="17">
        <f t="shared" si="2"/>
        <v>5</v>
      </c>
      <c r="AA10" s="17">
        <f t="shared" si="2"/>
        <v>0</v>
      </c>
      <c r="AB10" s="17">
        <f t="shared" si="2"/>
        <v>1</v>
      </c>
      <c r="AC10" s="17">
        <f t="shared" si="2"/>
        <v>240</v>
      </c>
      <c r="AD10" s="17">
        <f t="shared" si="2"/>
        <v>0</v>
      </c>
      <c r="AE10" s="31">
        <f t="shared" si="2"/>
        <v>248</v>
      </c>
      <c r="AF10" s="31">
        <f t="shared" si="2"/>
        <v>488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3</v>
      </c>
      <c r="E11" s="50">
        <v>1</v>
      </c>
      <c r="F11" s="50">
        <v>82</v>
      </c>
      <c r="G11" s="50">
        <v>1</v>
      </c>
      <c r="H11" s="50">
        <v>1</v>
      </c>
      <c r="I11" s="50">
        <v>3</v>
      </c>
      <c r="J11" s="50">
        <v>0</v>
      </c>
      <c r="K11" s="50">
        <v>0</v>
      </c>
      <c r="L11" s="50">
        <v>0</v>
      </c>
      <c r="M11" s="50">
        <v>63</v>
      </c>
      <c r="N11" s="50">
        <v>0</v>
      </c>
      <c r="O11" s="15">
        <f t="shared" si="0"/>
        <v>103</v>
      </c>
      <c r="P11" s="15">
        <f t="shared" si="1"/>
        <v>166</v>
      </c>
      <c r="R11" s="1" t="s">
        <v>7</v>
      </c>
      <c r="S11" s="17">
        <f t="shared" ref="S11:AF11" si="3">SUM(C14:C17)</f>
        <v>169</v>
      </c>
      <c r="T11" s="17">
        <f t="shared" si="3"/>
        <v>14</v>
      </c>
      <c r="U11" s="17">
        <f t="shared" si="3"/>
        <v>6</v>
      </c>
      <c r="V11" s="17">
        <f t="shared" si="3"/>
        <v>245</v>
      </c>
      <c r="W11" s="17">
        <f t="shared" si="3"/>
        <v>7</v>
      </c>
      <c r="X11" s="17">
        <f t="shared" si="3"/>
        <v>10</v>
      </c>
      <c r="Y11" s="17">
        <f t="shared" si="3"/>
        <v>11</v>
      </c>
      <c r="Z11" s="17">
        <f t="shared" si="3"/>
        <v>7</v>
      </c>
      <c r="AA11" s="17">
        <f t="shared" si="3"/>
        <v>0</v>
      </c>
      <c r="AB11" s="17">
        <f t="shared" si="3"/>
        <v>1</v>
      </c>
      <c r="AC11" s="17">
        <f t="shared" si="3"/>
        <v>640</v>
      </c>
      <c r="AD11" s="17">
        <f t="shared" si="3"/>
        <v>0</v>
      </c>
      <c r="AE11" s="31">
        <f t="shared" si="3"/>
        <v>470</v>
      </c>
      <c r="AF11" s="31">
        <f t="shared" si="3"/>
        <v>1110</v>
      </c>
    </row>
    <row r="12" spans="2:32" ht="23.1" customHeight="1" x14ac:dyDescent="0.25">
      <c r="B12" s="23" t="s">
        <v>39</v>
      </c>
      <c r="C12" s="50">
        <v>13</v>
      </c>
      <c r="D12" s="50">
        <v>4</v>
      </c>
      <c r="E12" s="50">
        <v>1</v>
      </c>
      <c r="F12" s="50">
        <v>18</v>
      </c>
      <c r="G12" s="50">
        <v>4</v>
      </c>
      <c r="H12" s="50">
        <v>1</v>
      </c>
      <c r="I12" s="50">
        <v>0</v>
      </c>
      <c r="J12" s="50">
        <v>1</v>
      </c>
      <c r="K12" s="50">
        <v>0</v>
      </c>
      <c r="L12" s="50">
        <v>1</v>
      </c>
      <c r="M12" s="50">
        <v>61</v>
      </c>
      <c r="N12" s="50">
        <v>0</v>
      </c>
      <c r="O12" s="15">
        <f t="shared" si="0"/>
        <v>43</v>
      </c>
      <c r="P12" s="15">
        <f t="shared" si="1"/>
        <v>104</v>
      </c>
      <c r="R12" s="1" t="s">
        <v>8</v>
      </c>
      <c r="S12" s="17">
        <f t="shared" ref="S12:AF12" si="4">SUM(C18:C21)</f>
        <v>50</v>
      </c>
      <c r="T12" s="17">
        <f t="shared" si="4"/>
        <v>33</v>
      </c>
      <c r="U12" s="17">
        <f t="shared" si="4"/>
        <v>4</v>
      </c>
      <c r="V12" s="17">
        <f t="shared" si="4"/>
        <v>125</v>
      </c>
      <c r="W12" s="17">
        <f t="shared" si="4"/>
        <v>3</v>
      </c>
      <c r="X12" s="17">
        <f t="shared" si="4"/>
        <v>7</v>
      </c>
      <c r="Y12" s="17">
        <f t="shared" si="4"/>
        <v>9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267</v>
      </c>
      <c r="AD12" s="17">
        <f t="shared" si="4"/>
        <v>0</v>
      </c>
      <c r="AE12" s="31">
        <f t="shared" si="4"/>
        <v>234</v>
      </c>
      <c r="AF12" s="31">
        <f t="shared" si="4"/>
        <v>501</v>
      </c>
    </row>
    <row r="13" spans="2:32" ht="23.1" customHeight="1" x14ac:dyDescent="0.25">
      <c r="B13" s="23" t="s">
        <v>40</v>
      </c>
      <c r="C13" s="50">
        <v>11</v>
      </c>
      <c r="D13" s="50">
        <v>7</v>
      </c>
      <c r="E13" s="50">
        <v>1</v>
      </c>
      <c r="F13" s="50">
        <v>25</v>
      </c>
      <c r="G13" s="50">
        <v>0</v>
      </c>
      <c r="H13" s="50">
        <v>2</v>
      </c>
      <c r="I13" s="50">
        <v>3</v>
      </c>
      <c r="J13" s="50">
        <v>1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50</v>
      </c>
      <c r="P13" s="15">
        <f t="shared" si="1"/>
        <v>95</v>
      </c>
      <c r="R13" s="1" t="s">
        <v>9</v>
      </c>
      <c r="S13" s="17">
        <f t="shared" ref="S13:AF13" si="5">SUM(C22:C25)</f>
        <v>76</v>
      </c>
      <c r="T13" s="17">
        <f t="shared" si="5"/>
        <v>23</v>
      </c>
      <c r="U13" s="17">
        <f t="shared" si="5"/>
        <v>5</v>
      </c>
      <c r="V13" s="17">
        <f t="shared" si="5"/>
        <v>124</v>
      </c>
      <c r="W13" s="17">
        <f t="shared" si="5"/>
        <v>1</v>
      </c>
      <c r="X13" s="17">
        <f t="shared" si="5"/>
        <v>4</v>
      </c>
      <c r="Y13" s="17">
        <f t="shared" si="5"/>
        <v>22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347</v>
      </c>
      <c r="AD13" s="17">
        <f t="shared" si="5"/>
        <v>0</v>
      </c>
      <c r="AE13" s="31">
        <f t="shared" si="5"/>
        <v>258</v>
      </c>
      <c r="AF13" s="31">
        <f t="shared" si="5"/>
        <v>605</v>
      </c>
    </row>
    <row r="14" spans="2:32" ht="23.1" customHeight="1" x14ac:dyDescent="0.25">
      <c r="B14" s="23" t="s">
        <v>41</v>
      </c>
      <c r="C14" s="50">
        <v>40</v>
      </c>
      <c r="D14" s="50">
        <v>2</v>
      </c>
      <c r="E14" s="50">
        <v>3</v>
      </c>
      <c r="F14" s="50">
        <v>60</v>
      </c>
      <c r="G14" s="50">
        <v>3</v>
      </c>
      <c r="H14" s="50">
        <v>5</v>
      </c>
      <c r="I14" s="50">
        <v>3</v>
      </c>
      <c r="J14" s="50">
        <v>0</v>
      </c>
      <c r="K14" s="50">
        <v>0</v>
      </c>
      <c r="L14" s="50">
        <v>0</v>
      </c>
      <c r="M14" s="50">
        <v>110</v>
      </c>
      <c r="N14" s="50">
        <v>0</v>
      </c>
      <c r="O14" s="15">
        <f t="shared" si="0"/>
        <v>116</v>
      </c>
      <c r="P14" s="15">
        <f t="shared" si="1"/>
        <v>226</v>
      </c>
      <c r="R14" s="1" t="s">
        <v>10</v>
      </c>
      <c r="S14" s="17">
        <f t="shared" ref="S14:AF14" si="6">SUM(C26:C29)</f>
        <v>146</v>
      </c>
      <c r="T14" s="17">
        <f t="shared" si="6"/>
        <v>19</v>
      </c>
      <c r="U14" s="17">
        <f t="shared" si="6"/>
        <v>19</v>
      </c>
      <c r="V14" s="17">
        <f t="shared" si="6"/>
        <v>122</v>
      </c>
      <c r="W14" s="17">
        <f t="shared" si="6"/>
        <v>7</v>
      </c>
      <c r="X14" s="17">
        <f t="shared" si="6"/>
        <v>13</v>
      </c>
      <c r="Y14" s="17">
        <f t="shared" si="6"/>
        <v>5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563</v>
      </c>
      <c r="AD14" s="17">
        <f t="shared" si="6"/>
        <v>0</v>
      </c>
      <c r="AE14" s="31">
        <f t="shared" si="6"/>
        <v>336</v>
      </c>
      <c r="AF14" s="31">
        <f t="shared" si="6"/>
        <v>899</v>
      </c>
    </row>
    <row r="15" spans="2:32" ht="23.1" customHeight="1" x14ac:dyDescent="0.25">
      <c r="B15" s="23" t="s">
        <v>42</v>
      </c>
      <c r="C15" s="50">
        <v>40</v>
      </c>
      <c r="D15" s="50">
        <v>3</v>
      </c>
      <c r="E15" s="50">
        <v>2</v>
      </c>
      <c r="F15" s="50">
        <v>75</v>
      </c>
      <c r="G15" s="50">
        <v>2</v>
      </c>
      <c r="H15" s="50">
        <v>2</v>
      </c>
      <c r="I15" s="50">
        <v>3</v>
      </c>
      <c r="J15" s="50">
        <v>3</v>
      </c>
      <c r="K15" s="50">
        <v>0</v>
      </c>
      <c r="L15" s="50">
        <v>1</v>
      </c>
      <c r="M15" s="50">
        <v>175</v>
      </c>
      <c r="N15" s="50">
        <v>0</v>
      </c>
      <c r="O15" s="15">
        <f t="shared" si="0"/>
        <v>131</v>
      </c>
      <c r="P15" s="15">
        <f t="shared" si="1"/>
        <v>306</v>
      </c>
      <c r="R15" s="1" t="s">
        <v>11</v>
      </c>
      <c r="S15" s="17">
        <f t="shared" ref="S15:AF15" si="7">SUM(C30:C33)</f>
        <v>158</v>
      </c>
      <c r="T15" s="17">
        <f t="shared" si="7"/>
        <v>26</v>
      </c>
      <c r="U15" s="17">
        <f t="shared" si="7"/>
        <v>17</v>
      </c>
      <c r="V15" s="17">
        <f t="shared" si="7"/>
        <v>115</v>
      </c>
      <c r="W15" s="17">
        <f t="shared" si="7"/>
        <v>4</v>
      </c>
      <c r="X15" s="17">
        <f t="shared" si="7"/>
        <v>5</v>
      </c>
      <c r="Y15" s="17">
        <f t="shared" si="7"/>
        <v>14</v>
      </c>
      <c r="Z15" s="17">
        <f t="shared" si="7"/>
        <v>4</v>
      </c>
      <c r="AA15" s="17">
        <f t="shared" si="7"/>
        <v>1</v>
      </c>
      <c r="AB15" s="17">
        <f t="shared" si="7"/>
        <v>1</v>
      </c>
      <c r="AC15" s="17">
        <f t="shared" si="7"/>
        <v>458</v>
      </c>
      <c r="AD15" s="17">
        <f t="shared" si="7"/>
        <v>0</v>
      </c>
      <c r="AE15" s="31">
        <f t="shared" si="7"/>
        <v>345</v>
      </c>
      <c r="AF15" s="31">
        <f t="shared" si="7"/>
        <v>803</v>
      </c>
    </row>
    <row r="16" spans="2:32" ht="23.1" customHeight="1" x14ac:dyDescent="0.25">
      <c r="B16" s="23" t="s">
        <v>43</v>
      </c>
      <c r="C16" s="50">
        <v>43</v>
      </c>
      <c r="D16" s="50">
        <v>2</v>
      </c>
      <c r="E16" s="50">
        <v>1</v>
      </c>
      <c r="F16" s="50">
        <v>60</v>
      </c>
      <c r="G16" s="50">
        <v>1</v>
      </c>
      <c r="H16" s="50">
        <v>1</v>
      </c>
      <c r="I16" s="50">
        <v>3</v>
      </c>
      <c r="J16" s="50">
        <v>2</v>
      </c>
      <c r="K16" s="50">
        <v>0</v>
      </c>
      <c r="L16" s="50">
        <v>0</v>
      </c>
      <c r="M16" s="50">
        <v>175</v>
      </c>
      <c r="N16" s="50">
        <v>0</v>
      </c>
      <c r="O16" s="15">
        <f t="shared" si="0"/>
        <v>113</v>
      </c>
      <c r="P16" s="15">
        <f t="shared" si="1"/>
        <v>288</v>
      </c>
      <c r="R16" s="1" t="s">
        <v>12</v>
      </c>
      <c r="S16" s="17">
        <f t="shared" ref="S16:AF16" si="8">SUM(C34:C37)</f>
        <v>160</v>
      </c>
      <c r="T16" s="17">
        <f t="shared" si="8"/>
        <v>24</v>
      </c>
      <c r="U16" s="17">
        <f t="shared" si="8"/>
        <v>27</v>
      </c>
      <c r="V16" s="17">
        <f t="shared" si="8"/>
        <v>106</v>
      </c>
      <c r="W16" s="17">
        <f t="shared" si="8"/>
        <v>4</v>
      </c>
      <c r="X16" s="17">
        <f t="shared" si="8"/>
        <v>6</v>
      </c>
      <c r="Y16" s="17">
        <f t="shared" si="8"/>
        <v>10</v>
      </c>
      <c r="Z16" s="17">
        <f t="shared" si="8"/>
        <v>10</v>
      </c>
      <c r="AA16" s="17">
        <f t="shared" si="8"/>
        <v>1</v>
      </c>
      <c r="AB16" s="17">
        <f t="shared" si="8"/>
        <v>3</v>
      </c>
      <c r="AC16" s="17">
        <f t="shared" si="8"/>
        <v>326</v>
      </c>
      <c r="AD16" s="17">
        <f t="shared" si="8"/>
        <v>0</v>
      </c>
      <c r="AE16" s="31">
        <f t="shared" si="8"/>
        <v>351</v>
      </c>
      <c r="AF16" s="31">
        <f t="shared" si="8"/>
        <v>677</v>
      </c>
    </row>
    <row r="17" spans="2:32" ht="23.1" customHeight="1" x14ac:dyDescent="0.25">
      <c r="B17" s="23" t="s">
        <v>44</v>
      </c>
      <c r="C17" s="50">
        <v>46</v>
      </c>
      <c r="D17" s="50">
        <v>7</v>
      </c>
      <c r="E17" s="50">
        <v>0</v>
      </c>
      <c r="F17" s="50">
        <v>50</v>
      </c>
      <c r="G17" s="50">
        <v>1</v>
      </c>
      <c r="H17" s="50">
        <v>2</v>
      </c>
      <c r="I17" s="50">
        <v>2</v>
      </c>
      <c r="J17" s="50">
        <v>2</v>
      </c>
      <c r="K17" s="50">
        <v>0</v>
      </c>
      <c r="L17" s="50">
        <v>0</v>
      </c>
      <c r="M17" s="50">
        <v>180</v>
      </c>
      <c r="N17" s="50">
        <v>0</v>
      </c>
      <c r="O17" s="15">
        <f t="shared" si="0"/>
        <v>110</v>
      </c>
      <c r="P17" s="15">
        <f t="shared" si="1"/>
        <v>290</v>
      </c>
      <c r="R17" s="1" t="s">
        <v>13</v>
      </c>
      <c r="S17" s="17">
        <f t="shared" ref="S17:AF17" si="9">SUM(C38:C41)</f>
        <v>112</v>
      </c>
      <c r="T17" s="17">
        <f t="shared" si="9"/>
        <v>34</v>
      </c>
      <c r="U17" s="17">
        <f t="shared" si="9"/>
        <v>14</v>
      </c>
      <c r="V17" s="17">
        <f t="shared" si="9"/>
        <v>93</v>
      </c>
      <c r="W17" s="17">
        <f t="shared" si="9"/>
        <v>3</v>
      </c>
      <c r="X17" s="17">
        <f t="shared" si="9"/>
        <v>4</v>
      </c>
      <c r="Y17" s="17">
        <f t="shared" si="9"/>
        <v>9</v>
      </c>
      <c r="Z17" s="17">
        <f t="shared" si="9"/>
        <v>3</v>
      </c>
      <c r="AA17" s="17">
        <f t="shared" si="9"/>
        <v>0</v>
      </c>
      <c r="AB17" s="17">
        <f t="shared" si="9"/>
        <v>2</v>
      </c>
      <c r="AC17" s="17">
        <f t="shared" si="9"/>
        <v>318</v>
      </c>
      <c r="AD17" s="17">
        <f t="shared" si="9"/>
        <v>0</v>
      </c>
      <c r="AE17" s="31">
        <f t="shared" si="9"/>
        <v>274</v>
      </c>
      <c r="AF17" s="31">
        <f t="shared" si="9"/>
        <v>592</v>
      </c>
    </row>
    <row r="18" spans="2:32" ht="23.1" customHeight="1" x14ac:dyDescent="0.25">
      <c r="B18" s="23" t="s">
        <v>45</v>
      </c>
      <c r="C18" s="50">
        <v>14</v>
      </c>
      <c r="D18" s="50">
        <v>6</v>
      </c>
      <c r="E18" s="50">
        <v>1</v>
      </c>
      <c r="F18" s="50">
        <v>33</v>
      </c>
      <c r="G18" s="50">
        <v>1</v>
      </c>
      <c r="H18" s="50">
        <v>3</v>
      </c>
      <c r="I18" s="50">
        <v>2</v>
      </c>
      <c r="J18" s="50">
        <v>2</v>
      </c>
      <c r="K18" s="50">
        <v>0</v>
      </c>
      <c r="L18" s="50">
        <v>0</v>
      </c>
      <c r="M18" s="50">
        <v>62</v>
      </c>
      <c r="N18" s="50">
        <v>0</v>
      </c>
      <c r="O18" s="15">
        <f t="shared" si="0"/>
        <v>62</v>
      </c>
      <c r="P18" s="15">
        <f t="shared" si="1"/>
        <v>124</v>
      </c>
      <c r="R18" s="1" t="s">
        <v>14</v>
      </c>
      <c r="S18" s="17">
        <f t="shared" ref="S18:AF18" si="10">SUM(C42:C45)</f>
        <v>132</v>
      </c>
      <c r="T18" s="17">
        <f t="shared" si="10"/>
        <v>54</v>
      </c>
      <c r="U18" s="17">
        <f t="shared" si="10"/>
        <v>11</v>
      </c>
      <c r="V18" s="17">
        <f t="shared" si="10"/>
        <v>103</v>
      </c>
      <c r="W18" s="17">
        <f t="shared" si="10"/>
        <v>1</v>
      </c>
      <c r="X18" s="17">
        <f t="shared" si="10"/>
        <v>5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3</v>
      </c>
      <c r="AC18" s="17">
        <f t="shared" si="10"/>
        <v>398</v>
      </c>
      <c r="AD18" s="17">
        <f t="shared" si="10"/>
        <v>0</v>
      </c>
      <c r="AE18" s="31">
        <f t="shared" si="10"/>
        <v>317</v>
      </c>
      <c r="AF18" s="31">
        <f t="shared" si="10"/>
        <v>715</v>
      </c>
    </row>
    <row r="19" spans="2:32" ht="23.1" customHeight="1" x14ac:dyDescent="0.25">
      <c r="B19" s="23" t="s">
        <v>46</v>
      </c>
      <c r="C19" s="50">
        <v>13</v>
      </c>
      <c r="D19" s="50">
        <v>10</v>
      </c>
      <c r="E19" s="50">
        <v>1</v>
      </c>
      <c r="F19" s="50">
        <v>37</v>
      </c>
      <c r="G19" s="50">
        <v>0</v>
      </c>
      <c r="H19" s="50">
        <v>3</v>
      </c>
      <c r="I19" s="50">
        <v>0</v>
      </c>
      <c r="J19" s="50">
        <v>0</v>
      </c>
      <c r="K19" s="50">
        <v>0</v>
      </c>
      <c r="L19" s="50">
        <v>0</v>
      </c>
      <c r="M19" s="50">
        <v>71</v>
      </c>
      <c r="N19" s="50">
        <v>0</v>
      </c>
      <c r="O19" s="15">
        <f t="shared" si="0"/>
        <v>64</v>
      </c>
      <c r="P19" s="15">
        <f t="shared" si="1"/>
        <v>135</v>
      </c>
      <c r="R19" s="1" t="s">
        <v>15</v>
      </c>
      <c r="S19" s="17">
        <f t="shared" ref="S19:AF19" si="11">SUM(C46:C49)</f>
        <v>186</v>
      </c>
      <c r="T19" s="17">
        <f t="shared" si="11"/>
        <v>20</v>
      </c>
      <c r="U19" s="17">
        <f t="shared" si="11"/>
        <v>14</v>
      </c>
      <c r="V19" s="17">
        <f t="shared" si="11"/>
        <v>122</v>
      </c>
      <c r="W19" s="17">
        <f t="shared" si="11"/>
        <v>6</v>
      </c>
      <c r="X19" s="17">
        <f t="shared" si="11"/>
        <v>6</v>
      </c>
      <c r="Y19" s="17">
        <f t="shared" si="11"/>
        <v>3</v>
      </c>
      <c r="Z19" s="17">
        <f t="shared" si="11"/>
        <v>5</v>
      </c>
      <c r="AA19" s="17">
        <f t="shared" si="11"/>
        <v>1</v>
      </c>
      <c r="AB19" s="17">
        <f t="shared" si="11"/>
        <v>0</v>
      </c>
      <c r="AC19" s="17">
        <f t="shared" si="11"/>
        <v>512</v>
      </c>
      <c r="AD19" s="17">
        <f t="shared" si="11"/>
        <v>0</v>
      </c>
      <c r="AE19" s="31">
        <f t="shared" si="11"/>
        <v>363</v>
      </c>
      <c r="AF19" s="31">
        <f t="shared" si="11"/>
        <v>875</v>
      </c>
    </row>
    <row r="20" spans="2:32" ht="23.1" customHeight="1" x14ac:dyDescent="0.25">
      <c r="B20" s="23" t="s">
        <v>47</v>
      </c>
      <c r="C20" s="50">
        <v>11</v>
      </c>
      <c r="D20" s="50">
        <v>7</v>
      </c>
      <c r="E20" s="50">
        <v>2</v>
      </c>
      <c r="F20" s="50">
        <v>24</v>
      </c>
      <c r="G20" s="50">
        <v>1</v>
      </c>
      <c r="H20" s="50">
        <v>1</v>
      </c>
      <c r="I20" s="50">
        <v>2</v>
      </c>
      <c r="J20" s="50">
        <v>1</v>
      </c>
      <c r="K20" s="50">
        <v>0</v>
      </c>
      <c r="L20" s="50">
        <v>0</v>
      </c>
      <c r="M20" s="50">
        <v>61</v>
      </c>
      <c r="N20" s="50">
        <v>0</v>
      </c>
      <c r="O20" s="15">
        <f t="shared" si="0"/>
        <v>49</v>
      </c>
      <c r="P20" s="15">
        <f t="shared" si="1"/>
        <v>110</v>
      </c>
      <c r="R20" s="1" t="s">
        <v>16</v>
      </c>
      <c r="S20" s="17">
        <f t="shared" ref="S20:AF20" si="12">SUM(C50:C53)</f>
        <v>217</v>
      </c>
      <c r="T20" s="17">
        <f t="shared" si="12"/>
        <v>13</v>
      </c>
      <c r="U20" s="17">
        <f t="shared" si="12"/>
        <v>25</v>
      </c>
      <c r="V20" s="17">
        <f t="shared" si="12"/>
        <v>123</v>
      </c>
      <c r="W20" s="17">
        <f t="shared" si="12"/>
        <v>7</v>
      </c>
      <c r="X20" s="17">
        <f t="shared" si="12"/>
        <v>3</v>
      </c>
      <c r="Y20" s="17">
        <f t="shared" si="12"/>
        <v>6</v>
      </c>
      <c r="Z20" s="17">
        <f t="shared" si="12"/>
        <v>11</v>
      </c>
      <c r="AA20" s="17">
        <f t="shared" si="12"/>
        <v>0</v>
      </c>
      <c r="AB20" s="17">
        <f t="shared" si="12"/>
        <v>1</v>
      </c>
      <c r="AC20" s="17">
        <f t="shared" si="12"/>
        <v>542</v>
      </c>
      <c r="AD20" s="17">
        <f t="shared" si="12"/>
        <v>0</v>
      </c>
      <c r="AE20" s="31">
        <f t="shared" si="12"/>
        <v>406</v>
      </c>
      <c r="AF20" s="31">
        <f t="shared" si="12"/>
        <v>948</v>
      </c>
    </row>
    <row r="21" spans="2:32" ht="23.1" customHeight="1" x14ac:dyDescent="0.25">
      <c r="B21" s="23" t="s">
        <v>48</v>
      </c>
      <c r="C21" s="50">
        <v>12</v>
      </c>
      <c r="D21" s="50">
        <v>10</v>
      </c>
      <c r="E21" s="50">
        <v>0</v>
      </c>
      <c r="F21" s="50">
        <v>31</v>
      </c>
      <c r="G21" s="50">
        <v>1</v>
      </c>
      <c r="H21" s="50">
        <v>0</v>
      </c>
      <c r="I21" s="50">
        <v>5</v>
      </c>
      <c r="J21" s="50">
        <v>0</v>
      </c>
      <c r="K21" s="50">
        <v>0</v>
      </c>
      <c r="L21" s="50">
        <v>0</v>
      </c>
      <c r="M21" s="50">
        <v>73</v>
      </c>
      <c r="N21" s="50">
        <v>0</v>
      </c>
      <c r="O21" s="15">
        <f t="shared" si="0"/>
        <v>59</v>
      </c>
      <c r="P21" s="15">
        <f t="shared" si="1"/>
        <v>132</v>
      </c>
      <c r="R21" s="36" t="s">
        <v>20</v>
      </c>
      <c r="S21" s="34">
        <f t="shared" ref="S21:AF21" si="13">SUM(C54:C57)</f>
        <v>190</v>
      </c>
      <c r="T21" s="17">
        <f t="shared" si="13"/>
        <v>15</v>
      </c>
      <c r="U21" s="17">
        <f t="shared" si="13"/>
        <v>15</v>
      </c>
      <c r="V21" s="17">
        <f t="shared" si="13"/>
        <v>146</v>
      </c>
      <c r="W21" s="17">
        <f t="shared" si="13"/>
        <v>8</v>
      </c>
      <c r="X21" s="17">
        <f t="shared" si="13"/>
        <v>4</v>
      </c>
      <c r="Y21" s="17">
        <f t="shared" si="13"/>
        <v>21</v>
      </c>
      <c r="Z21" s="17">
        <f t="shared" si="13"/>
        <v>16</v>
      </c>
      <c r="AA21" s="17">
        <f t="shared" si="13"/>
        <v>0</v>
      </c>
      <c r="AB21" s="17">
        <f t="shared" si="13"/>
        <v>2</v>
      </c>
      <c r="AC21" s="17">
        <f t="shared" si="13"/>
        <v>577</v>
      </c>
      <c r="AD21" s="17">
        <f t="shared" si="13"/>
        <v>0</v>
      </c>
      <c r="AE21" s="31">
        <f t="shared" si="13"/>
        <v>417</v>
      </c>
      <c r="AF21" s="31">
        <f t="shared" si="13"/>
        <v>994</v>
      </c>
    </row>
    <row r="22" spans="2:32" ht="23.1" customHeight="1" x14ac:dyDescent="0.25">
      <c r="B22" s="23" t="s">
        <v>49</v>
      </c>
      <c r="C22" s="50">
        <v>15</v>
      </c>
      <c r="D22" s="50">
        <v>4</v>
      </c>
      <c r="E22" s="50">
        <v>0</v>
      </c>
      <c r="F22" s="50">
        <v>31</v>
      </c>
      <c r="G22" s="50">
        <v>0</v>
      </c>
      <c r="H22" s="50">
        <v>2</v>
      </c>
      <c r="I22" s="50">
        <v>8</v>
      </c>
      <c r="J22" s="50">
        <v>1</v>
      </c>
      <c r="K22" s="50">
        <v>0</v>
      </c>
      <c r="L22" s="50">
        <v>0</v>
      </c>
      <c r="M22" s="50">
        <v>77</v>
      </c>
      <c r="N22" s="50">
        <v>0</v>
      </c>
      <c r="O22" s="15">
        <f t="shared" si="0"/>
        <v>61</v>
      </c>
      <c r="P22" s="15">
        <f t="shared" si="1"/>
        <v>138</v>
      </c>
      <c r="R22" s="38" t="s">
        <v>90</v>
      </c>
      <c r="S22" s="39">
        <f>MAX(S10:S12)</f>
        <v>169</v>
      </c>
      <c r="T22" s="39">
        <f t="shared" ref="T22:AF22" si="14">MAX(T10:T12)</f>
        <v>33</v>
      </c>
      <c r="U22" s="39">
        <f t="shared" si="14"/>
        <v>7</v>
      </c>
      <c r="V22" s="39">
        <f t="shared" si="14"/>
        <v>245</v>
      </c>
      <c r="W22" s="39">
        <f t="shared" si="14"/>
        <v>7</v>
      </c>
      <c r="X22" s="39">
        <f t="shared" si="14"/>
        <v>10</v>
      </c>
      <c r="Y22" s="39">
        <f t="shared" si="14"/>
        <v>11</v>
      </c>
      <c r="Z22" s="39">
        <f t="shared" si="14"/>
        <v>7</v>
      </c>
      <c r="AA22" s="39">
        <f t="shared" si="14"/>
        <v>0</v>
      </c>
      <c r="AB22" s="39">
        <f t="shared" si="14"/>
        <v>1</v>
      </c>
      <c r="AC22" s="39">
        <f t="shared" si="14"/>
        <v>640</v>
      </c>
      <c r="AD22" s="39">
        <f t="shared" si="14"/>
        <v>0</v>
      </c>
      <c r="AE22" s="40">
        <f t="shared" si="14"/>
        <v>470</v>
      </c>
      <c r="AF22" s="40">
        <f t="shared" si="14"/>
        <v>1110</v>
      </c>
    </row>
    <row r="23" spans="2:32" ht="23.1" customHeight="1" x14ac:dyDescent="0.25">
      <c r="B23" s="23" t="s">
        <v>50</v>
      </c>
      <c r="C23" s="50">
        <v>17</v>
      </c>
      <c r="D23" s="50">
        <v>10</v>
      </c>
      <c r="E23" s="50">
        <v>1</v>
      </c>
      <c r="F23" s="50">
        <v>32</v>
      </c>
      <c r="G23" s="50">
        <v>0</v>
      </c>
      <c r="H23" s="50">
        <v>0</v>
      </c>
      <c r="I23" s="50">
        <v>8</v>
      </c>
      <c r="J23" s="50">
        <v>0</v>
      </c>
      <c r="K23" s="50">
        <v>0</v>
      </c>
      <c r="L23" s="50">
        <v>0</v>
      </c>
      <c r="M23" s="50">
        <v>69</v>
      </c>
      <c r="N23" s="50">
        <v>0</v>
      </c>
      <c r="O23" s="15">
        <f t="shared" si="0"/>
        <v>68</v>
      </c>
      <c r="P23" s="15">
        <f t="shared" si="1"/>
        <v>137</v>
      </c>
      <c r="R23" s="38" t="s">
        <v>91</v>
      </c>
      <c r="S23" s="39">
        <f>MAX(S13:S18)</f>
        <v>160</v>
      </c>
      <c r="T23" s="39">
        <f t="shared" ref="T23:AF23" si="15">MAX(T13:T18)</f>
        <v>54</v>
      </c>
      <c r="U23" s="39">
        <f t="shared" si="15"/>
        <v>27</v>
      </c>
      <c r="V23" s="39">
        <f t="shared" si="15"/>
        <v>124</v>
      </c>
      <c r="W23" s="39">
        <f t="shared" si="15"/>
        <v>7</v>
      </c>
      <c r="X23" s="39">
        <f t="shared" si="15"/>
        <v>13</v>
      </c>
      <c r="Y23" s="39">
        <f t="shared" si="15"/>
        <v>22</v>
      </c>
      <c r="Z23" s="39">
        <f t="shared" si="15"/>
        <v>10</v>
      </c>
      <c r="AA23" s="39">
        <f t="shared" si="15"/>
        <v>1</v>
      </c>
      <c r="AB23" s="39">
        <f t="shared" si="15"/>
        <v>3</v>
      </c>
      <c r="AC23" s="39">
        <f t="shared" si="15"/>
        <v>563</v>
      </c>
      <c r="AD23" s="39">
        <f t="shared" si="15"/>
        <v>0</v>
      </c>
      <c r="AE23" s="40">
        <f t="shared" si="15"/>
        <v>351</v>
      </c>
      <c r="AF23" s="40">
        <f t="shared" si="15"/>
        <v>899</v>
      </c>
    </row>
    <row r="24" spans="2:32" ht="23.1" customHeight="1" x14ac:dyDescent="0.25">
      <c r="B24" s="23" t="s">
        <v>51</v>
      </c>
      <c r="C24" s="50">
        <v>20</v>
      </c>
      <c r="D24" s="50">
        <v>7</v>
      </c>
      <c r="E24" s="50">
        <v>1</v>
      </c>
      <c r="F24" s="50">
        <v>25</v>
      </c>
      <c r="G24" s="50">
        <v>1</v>
      </c>
      <c r="H24" s="50">
        <v>1</v>
      </c>
      <c r="I24" s="50">
        <v>3</v>
      </c>
      <c r="J24" s="50">
        <v>0</v>
      </c>
      <c r="K24" s="50">
        <v>0</v>
      </c>
      <c r="L24" s="50">
        <v>1</v>
      </c>
      <c r="M24" s="50">
        <v>61</v>
      </c>
      <c r="N24" s="50">
        <v>0</v>
      </c>
      <c r="O24" s="15">
        <f t="shared" si="0"/>
        <v>59</v>
      </c>
      <c r="P24" s="15">
        <f t="shared" si="1"/>
        <v>120</v>
      </c>
      <c r="R24" s="38" t="s">
        <v>92</v>
      </c>
      <c r="S24" s="39">
        <f>MAX(S19:S21)</f>
        <v>217</v>
      </c>
      <c r="T24" s="39">
        <f t="shared" ref="T24:AF24" si="16">MAX(T19:T21)</f>
        <v>20</v>
      </c>
      <c r="U24" s="39">
        <f t="shared" si="16"/>
        <v>25</v>
      </c>
      <c r="V24" s="39">
        <f t="shared" si="16"/>
        <v>146</v>
      </c>
      <c r="W24" s="39">
        <f t="shared" si="16"/>
        <v>8</v>
      </c>
      <c r="X24" s="39">
        <f t="shared" si="16"/>
        <v>6</v>
      </c>
      <c r="Y24" s="39">
        <f t="shared" si="16"/>
        <v>21</v>
      </c>
      <c r="Z24" s="39">
        <f t="shared" si="16"/>
        <v>16</v>
      </c>
      <c r="AA24" s="39">
        <f t="shared" si="16"/>
        <v>1</v>
      </c>
      <c r="AB24" s="39">
        <f t="shared" si="16"/>
        <v>2</v>
      </c>
      <c r="AC24" s="39">
        <f t="shared" si="16"/>
        <v>577</v>
      </c>
      <c r="AD24" s="39">
        <f t="shared" si="16"/>
        <v>0</v>
      </c>
      <c r="AE24" s="40">
        <f t="shared" si="16"/>
        <v>417</v>
      </c>
      <c r="AF24" s="40">
        <f t="shared" si="16"/>
        <v>994</v>
      </c>
    </row>
    <row r="25" spans="2:32" ht="23.1" customHeight="1" x14ac:dyDescent="0.25">
      <c r="B25" s="23" t="s">
        <v>52</v>
      </c>
      <c r="C25" s="50">
        <v>24</v>
      </c>
      <c r="D25" s="50">
        <v>2</v>
      </c>
      <c r="E25" s="50">
        <v>3</v>
      </c>
      <c r="F25" s="50">
        <v>36</v>
      </c>
      <c r="G25" s="50">
        <v>0</v>
      </c>
      <c r="H25" s="50">
        <v>1</v>
      </c>
      <c r="I25" s="50">
        <v>3</v>
      </c>
      <c r="J25" s="50">
        <v>1</v>
      </c>
      <c r="K25" s="50">
        <v>0</v>
      </c>
      <c r="L25" s="50">
        <v>0</v>
      </c>
      <c r="M25" s="50">
        <v>140</v>
      </c>
      <c r="N25" s="50">
        <v>0</v>
      </c>
      <c r="O25" s="15">
        <f t="shared" si="0"/>
        <v>70</v>
      </c>
      <c r="P25" s="15">
        <f t="shared" si="1"/>
        <v>210</v>
      </c>
      <c r="R25" s="37" t="s">
        <v>85</v>
      </c>
      <c r="S25" s="35">
        <f t="shared" ref="S25:AF25" si="17">SUM(S10:S12)</f>
        <v>273</v>
      </c>
      <c r="T25" s="16">
        <f t="shared" si="17"/>
        <v>62</v>
      </c>
      <c r="U25" s="16">
        <f t="shared" si="17"/>
        <v>17</v>
      </c>
      <c r="V25" s="16">
        <f t="shared" si="17"/>
        <v>516</v>
      </c>
      <c r="W25" s="16">
        <f t="shared" si="17"/>
        <v>16</v>
      </c>
      <c r="X25" s="16">
        <f t="shared" si="17"/>
        <v>24</v>
      </c>
      <c r="Y25" s="16">
        <f t="shared" si="17"/>
        <v>27</v>
      </c>
      <c r="Z25" s="16">
        <f t="shared" si="17"/>
        <v>15</v>
      </c>
      <c r="AA25" s="16">
        <f t="shared" si="17"/>
        <v>0</v>
      </c>
      <c r="AB25" s="16">
        <f t="shared" si="17"/>
        <v>2</v>
      </c>
      <c r="AC25" s="16">
        <f t="shared" si="17"/>
        <v>1147</v>
      </c>
      <c r="AD25" s="16">
        <f t="shared" si="17"/>
        <v>0</v>
      </c>
      <c r="AE25" s="32">
        <f t="shared" si="17"/>
        <v>952</v>
      </c>
      <c r="AF25" s="32">
        <f t="shared" si="17"/>
        <v>2099</v>
      </c>
    </row>
    <row r="26" spans="2:32" ht="23.1" customHeight="1" x14ac:dyDescent="0.25">
      <c r="B26" s="23" t="s">
        <v>53</v>
      </c>
      <c r="C26" s="50">
        <v>33</v>
      </c>
      <c r="D26" s="50">
        <v>6</v>
      </c>
      <c r="E26" s="50">
        <v>3</v>
      </c>
      <c r="F26" s="50">
        <v>23</v>
      </c>
      <c r="G26" s="50">
        <v>3</v>
      </c>
      <c r="H26" s="50">
        <v>5</v>
      </c>
      <c r="I26" s="50">
        <v>0</v>
      </c>
      <c r="J26" s="50">
        <v>1</v>
      </c>
      <c r="K26" s="50">
        <v>0</v>
      </c>
      <c r="L26" s="50">
        <v>0</v>
      </c>
      <c r="M26" s="50">
        <v>185</v>
      </c>
      <c r="N26" s="50">
        <v>0</v>
      </c>
      <c r="O26" s="15">
        <f t="shared" si="0"/>
        <v>74</v>
      </c>
      <c r="P26" s="15">
        <f t="shared" si="1"/>
        <v>259</v>
      </c>
      <c r="R26" s="28" t="s">
        <v>86</v>
      </c>
      <c r="S26" s="16">
        <f t="shared" ref="S26:AF26" si="18">SUM(S13:S18)</f>
        <v>784</v>
      </c>
      <c r="T26" s="16">
        <f t="shared" si="18"/>
        <v>180</v>
      </c>
      <c r="U26" s="16">
        <f t="shared" si="18"/>
        <v>93</v>
      </c>
      <c r="V26" s="16">
        <f t="shared" si="18"/>
        <v>663</v>
      </c>
      <c r="W26" s="16">
        <f t="shared" si="18"/>
        <v>20</v>
      </c>
      <c r="X26" s="16">
        <f t="shared" si="18"/>
        <v>37</v>
      </c>
      <c r="Y26" s="16">
        <f t="shared" si="18"/>
        <v>67</v>
      </c>
      <c r="Z26" s="16">
        <f t="shared" si="18"/>
        <v>25</v>
      </c>
      <c r="AA26" s="16">
        <f t="shared" si="18"/>
        <v>2</v>
      </c>
      <c r="AB26" s="16">
        <f t="shared" si="18"/>
        <v>10</v>
      </c>
      <c r="AC26" s="16">
        <f t="shared" si="18"/>
        <v>2410</v>
      </c>
      <c r="AD26" s="16">
        <f t="shared" si="18"/>
        <v>0</v>
      </c>
      <c r="AE26" s="32">
        <f t="shared" si="18"/>
        <v>1881</v>
      </c>
      <c r="AF26" s="32">
        <f t="shared" si="18"/>
        <v>4291</v>
      </c>
    </row>
    <row r="27" spans="2:32" ht="23.1" customHeight="1" x14ac:dyDescent="0.25">
      <c r="B27" s="23" t="s">
        <v>54</v>
      </c>
      <c r="C27" s="50">
        <v>43</v>
      </c>
      <c r="D27" s="50">
        <v>6</v>
      </c>
      <c r="E27" s="50">
        <v>6</v>
      </c>
      <c r="F27" s="50">
        <v>37</v>
      </c>
      <c r="G27" s="50">
        <v>1</v>
      </c>
      <c r="H27" s="50">
        <v>3</v>
      </c>
      <c r="I27" s="50">
        <v>2</v>
      </c>
      <c r="J27" s="50">
        <v>0</v>
      </c>
      <c r="K27" s="50">
        <v>0</v>
      </c>
      <c r="L27" s="50">
        <v>0</v>
      </c>
      <c r="M27" s="50">
        <v>125</v>
      </c>
      <c r="N27" s="50">
        <v>0</v>
      </c>
      <c r="O27" s="15">
        <f t="shared" si="0"/>
        <v>98</v>
      </c>
      <c r="P27" s="15">
        <f t="shared" si="1"/>
        <v>223</v>
      </c>
      <c r="R27" s="29" t="s">
        <v>87</v>
      </c>
      <c r="S27" s="16">
        <f t="shared" ref="S27:AF27" si="19">SUM(S19:S21)</f>
        <v>593</v>
      </c>
      <c r="T27" s="16">
        <f t="shared" si="19"/>
        <v>48</v>
      </c>
      <c r="U27" s="16">
        <f t="shared" si="19"/>
        <v>54</v>
      </c>
      <c r="V27" s="16">
        <f t="shared" si="19"/>
        <v>391</v>
      </c>
      <c r="W27" s="16">
        <f t="shared" si="19"/>
        <v>21</v>
      </c>
      <c r="X27" s="16">
        <f t="shared" si="19"/>
        <v>13</v>
      </c>
      <c r="Y27" s="16">
        <f t="shared" si="19"/>
        <v>30</v>
      </c>
      <c r="Z27" s="16">
        <f t="shared" si="19"/>
        <v>32</v>
      </c>
      <c r="AA27" s="16">
        <f t="shared" si="19"/>
        <v>1</v>
      </c>
      <c r="AB27" s="16">
        <f t="shared" si="19"/>
        <v>3</v>
      </c>
      <c r="AC27" s="16">
        <f t="shared" si="19"/>
        <v>1631</v>
      </c>
      <c r="AD27" s="16">
        <f t="shared" si="19"/>
        <v>0</v>
      </c>
      <c r="AE27" s="32">
        <f t="shared" si="19"/>
        <v>1186</v>
      </c>
      <c r="AF27" s="32">
        <f t="shared" si="19"/>
        <v>2817</v>
      </c>
    </row>
    <row r="28" spans="2:32" ht="23.1" customHeight="1" x14ac:dyDescent="0.25">
      <c r="B28" s="23" t="s">
        <v>55</v>
      </c>
      <c r="C28" s="50">
        <v>23</v>
      </c>
      <c r="D28" s="50">
        <v>4</v>
      </c>
      <c r="E28" s="50">
        <v>5</v>
      </c>
      <c r="F28" s="50">
        <v>28</v>
      </c>
      <c r="G28" s="50">
        <v>2</v>
      </c>
      <c r="H28" s="50">
        <v>3</v>
      </c>
      <c r="I28" s="50">
        <v>1</v>
      </c>
      <c r="J28" s="50">
        <v>2</v>
      </c>
      <c r="K28" s="50">
        <v>0</v>
      </c>
      <c r="L28" s="50">
        <v>0</v>
      </c>
      <c r="M28" s="50">
        <v>115</v>
      </c>
      <c r="N28" s="50">
        <v>0</v>
      </c>
      <c r="O28" s="15">
        <f t="shared" si="0"/>
        <v>68</v>
      </c>
      <c r="P28" s="15">
        <f t="shared" si="1"/>
        <v>183</v>
      </c>
      <c r="R28" s="5" t="s">
        <v>17</v>
      </c>
      <c r="S28" s="16">
        <f t="shared" ref="S28:AF28" si="20">SUM(S10:S21)</f>
        <v>1650</v>
      </c>
      <c r="T28" s="16">
        <f t="shared" si="20"/>
        <v>290</v>
      </c>
      <c r="U28" s="16">
        <f t="shared" si="20"/>
        <v>164</v>
      </c>
      <c r="V28" s="16">
        <f t="shared" si="20"/>
        <v>1570</v>
      </c>
      <c r="W28" s="16">
        <f t="shared" si="20"/>
        <v>57</v>
      </c>
      <c r="X28" s="16">
        <f t="shared" si="20"/>
        <v>74</v>
      </c>
      <c r="Y28" s="16">
        <f t="shared" si="20"/>
        <v>124</v>
      </c>
      <c r="Z28" s="16">
        <f t="shared" si="20"/>
        <v>72</v>
      </c>
      <c r="AA28" s="16">
        <f t="shared" si="20"/>
        <v>3</v>
      </c>
      <c r="AB28" s="16">
        <f t="shared" si="20"/>
        <v>15</v>
      </c>
      <c r="AC28" s="16">
        <f t="shared" si="20"/>
        <v>5188</v>
      </c>
      <c r="AD28" s="16">
        <f t="shared" si="20"/>
        <v>0</v>
      </c>
      <c r="AE28" s="32">
        <f t="shared" si="20"/>
        <v>4019</v>
      </c>
      <c r="AF28" s="32">
        <f t="shared" si="20"/>
        <v>9207</v>
      </c>
    </row>
    <row r="29" spans="2:32" ht="23.1" customHeight="1" x14ac:dyDescent="0.25">
      <c r="B29" s="23" t="s">
        <v>56</v>
      </c>
      <c r="C29" s="50">
        <v>47</v>
      </c>
      <c r="D29" s="50">
        <v>3</v>
      </c>
      <c r="E29" s="50">
        <v>5</v>
      </c>
      <c r="F29" s="50">
        <v>34</v>
      </c>
      <c r="G29" s="50">
        <v>1</v>
      </c>
      <c r="H29" s="50">
        <v>2</v>
      </c>
      <c r="I29" s="50">
        <v>2</v>
      </c>
      <c r="J29" s="50">
        <v>2</v>
      </c>
      <c r="K29" s="50">
        <v>0</v>
      </c>
      <c r="L29" s="50">
        <v>0</v>
      </c>
      <c r="M29" s="50">
        <v>138</v>
      </c>
      <c r="N29" s="50">
        <v>0</v>
      </c>
      <c r="O29" s="15">
        <f t="shared" si="0"/>
        <v>96</v>
      </c>
      <c r="P29" s="15">
        <f t="shared" si="1"/>
        <v>234</v>
      </c>
      <c r="R29"/>
      <c r="S29" s="20"/>
      <c r="T29" s="19"/>
    </row>
    <row r="30" spans="2:32" ht="23.1" customHeight="1" x14ac:dyDescent="0.25">
      <c r="B30" s="23" t="s">
        <v>57</v>
      </c>
      <c r="C30" s="50">
        <v>42</v>
      </c>
      <c r="D30" s="50">
        <v>4</v>
      </c>
      <c r="E30" s="50">
        <v>1</v>
      </c>
      <c r="F30" s="50">
        <v>27</v>
      </c>
      <c r="G30" s="50">
        <v>1</v>
      </c>
      <c r="H30" s="50">
        <v>1</v>
      </c>
      <c r="I30" s="50">
        <v>2</v>
      </c>
      <c r="J30" s="50">
        <v>0</v>
      </c>
      <c r="K30" s="50">
        <v>0</v>
      </c>
      <c r="L30" s="50">
        <v>1</v>
      </c>
      <c r="M30" s="50">
        <v>150</v>
      </c>
      <c r="N30" s="50">
        <v>0</v>
      </c>
      <c r="O30" s="15">
        <f t="shared" si="0"/>
        <v>79</v>
      </c>
      <c r="P30" s="15">
        <f t="shared" si="1"/>
        <v>229</v>
      </c>
    </row>
    <row r="31" spans="2:32" ht="23.1" customHeight="1" x14ac:dyDescent="0.25">
      <c r="B31" s="24" t="s">
        <v>58</v>
      </c>
      <c r="C31" s="50">
        <v>33</v>
      </c>
      <c r="D31" s="50">
        <v>9</v>
      </c>
      <c r="E31" s="50">
        <v>7</v>
      </c>
      <c r="F31" s="50">
        <v>34</v>
      </c>
      <c r="G31" s="50">
        <v>2</v>
      </c>
      <c r="H31" s="50">
        <v>2</v>
      </c>
      <c r="I31" s="50">
        <v>6</v>
      </c>
      <c r="J31" s="50">
        <v>0</v>
      </c>
      <c r="K31" s="50">
        <v>1</v>
      </c>
      <c r="L31" s="50">
        <v>0</v>
      </c>
      <c r="M31" s="50">
        <v>126</v>
      </c>
      <c r="N31" s="50">
        <v>0</v>
      </c>
      <c r="O31" s="15">
        <f t="shared" si="0"/>
        <v>94</v>
      </c>
      <c r="P31" s="15">
        <f t="shared" si="1"/>
        <v>220</v>
      </c>
    </row>
    <row r="32" spans="2:32" ht="23.1" customHeight="1" x14ac:dyDescent="0.25">
      <c r="B32" s="24" t="s">
        <v>59</v>
      </c>
      <c r="C32" s="50">
        <v>55</v>
      </c>
      <c r="D32" s="50">
        <v>7</v>
      </c>
      <c r="E32" s="50">
        <v>5</v>
      </c>
      <c r="F32" s="50">
        <v>35</v>
      </c>
      <c r="G32" s="50">
        <v>1</v>
      </c>
      <c r="H32" s="50">
        <v>2</v>
      </c>
      <c r="I32" s="50">
        <v>3</v>
      </c>
      <c r="J32" s="50">
        <v>3</v>
      </c>
      <c r="K32" s="50">
        <v>0</v>
      </c>
      <c r="L32" s="50">
        <v>0</v>
      </c>
      <c r="M32" s="50">
        <v>100</v>
      </c>
      <c r="N32" s="50">
        <v>0</v>
      </c>
      <c r="O32" s="15">
        <f t="shared" si="0"/>
        <v>111</v>
      </c>
      <c r="P32" s="15">
        <f t="shared" si="1"/>
        <v>211</v>
      </c>
    </row>
    <row r="33" spans="2:20" ht="23.1" customHeight="1" x14ac:dyDescent="0.25">
      <c r="B33" s="23" t="s">
        <v>60</v>
      </c>
      <c r="C33" s="50">
        <v>28</v>
      </c>
      <c r="D33" s="50">
        <v>6</v>
      </c>
      <c r="E33" s="50">
        <v>4</v>
      </c>
      <c r="F33" s="50">
        <v>19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82</v>
      </c>
      <c r="N33" s="50">
        <v>0</v>
      </c>
      <c r="O33" s="15">
        <f t="shared" si="0"/>
        <v>61</v>
      </c>
      <c r="P33" s="15">
        <f t="shared" si="1"/>
        <v>143</v>
      </c>
    </row>
    <row r="34" spans="2:20" ht="23.1" customHeight="1" x14ac:dyDescent="0.25">
      <c r="B34" s="24" t="s">
        <v>61</v>
      </c>
      <c r="C34" s="50">
        <v>41</v>
      </c>
      <c r="D34" s="50">
        <v>7</v>
      </c>
      <c r="E34" s="50">
        <v>7</v>
      </c>
      <c r="F34" s="50">
        <v>22</v>
      </c>
      <c r="G34" s="50">
        <v>0</v>
      </c>
      <c r="H34" s="50">
        <v>2</v>
      </c>
      <c r="I34" s="50">
        <v>1</v>
      </c>
      <c r="J34" s="50">
        <v>1</v>
      </c>
      <c r="K34" s="50">
        <v>0</v>
      </c>
      <c r="L34" s="50">
        <v>0</v>
      </c>
      <c r="M34" s="50">
        <v>83</v>
      </c>
      <c r="N34" s="50">
        <v>0</v>
      </c>
      <c r="O34" s="15">
        <f t="shared" si="0"/>
        <v>81</v>
      </c>
      <c r="P34" s="15">
        <f t="shared" si="1"/>
        <v>164</v>
      </c>
    </row>
    <row r="35" spans="2:20" ht="23.1" customHeight="1" x14ac:dyDescent="0.25">
      <c r="B35" s="24" t="s">
        <v>62</v>
      </c>
      <c r="C35" s="50">
        <v>45</v>
      </c>
      <c r="D35" s="50">
        <v>4</v>
      </c>
      <c r="E35" s="50">
        <v>4</v>
      </c>
      <c r="F35" s="50">
        <v>36</v>
      </c>
      <c r="G35" s="50">
        <v>1</v>
      </c>
      <c r="H35" s="50">
        <v>1</v>
      </c>
      <c r="I35" s="50">
        <v>2</v>
      </c>
      <c r="J35" s="50">
        <v>4</v>
      </c>
      <c r="K35" s="50">
        <v>0</v>
      </c>
      <c r="L35" s="50">
        <v>2</v>
      </c>
      <c r="M35" s="50">
        <v>75</v>
      </c>
      <c r="N35" s="50">
        <v>0</v>
      </c>
      <c r="O35" s="15">
        <f t="shared" si="0"/>
        <v>99</v>
      </c>
      <c r="P35" s="15">
        <f t="shared" si="1"/>
        <v>174</v>
      </c>
    </row>
    <row r="36" spans="2:20" ht="23.1" customHeight="1" x14ac:dyDescent="0.25">
      <c r="B36" s="24" t="s">
        <v>63</v>
      </c>
      <c r="C36" s="50">
        <v>39</v>
      </c>
      <c r="D36" s="50">
        <v>6</v>
      </c>
      <c r="E36" s="50">
        <v>6</v>
      </c>
      <c r="F36" s="50">
        <v>21</v>
      </c>
      <c r="G36" s="50">
        <v>1</v>
      </c>
      <c r="H36" s="50">
        <v>1</v>
      </c>
      <c r="I36" s="50">
        <v>2</v>
      </c>
      <c r="J36" s="50">
        <v>3</v>
      </c>
      <c r="K36" s="50">
        <v>1</v>
      </c>
      <c r="L36" s="50">
        <v>1</v>
      </c>
      <c r="M36" s="50">
        <v>81</v>
      </c>
      <c r="N36" s="50">
        <v>0</v>
      </c>
      <c r="O36" s="15">
        <f t="shared" si="0"/>
        <v>81</v>
      </c>
      <c r="P36" s="15">
        <f t="shared" si="1"/>
        <v>162</v>
      </c>
    </row>
    <row r="37" spans="2:20" ht="23.1" customHeight="1" x14ac:dyDescent="0.25">
      <c r="B37" s="23" t="s">
        <v>64</v>
      </c>
      <c r="C37" s="50">
        <v>35</v>
      </c>
      <c r="D37" s="50">
        <v>7</v>
      </c>
      <c r="E37" s="50">
        <v>10</v>
      </c>
      <c r="F37" s="50">
        <v>27</v>
      </c>
      <c r="G37" s="50">
        <v>2</v>
      </c>
      <c r="H37" s="50">
        <v>2</v>
      </c>
      <c r="I37" s="50">
        <v>5</v>
      </c>
      <c r="J37" s="50">
        <v>2</v>
      </c>
      <c r="K37" s="50">
        <v>0</v>
      </c>
      <c r="L37" s="50">
        <v>0</v>
      </c>
      <c r="M37" s="50">
        <v>87</v>
      </c>
      <c r="N37" s="50">
        <v>0</v>
      </c>
      <c r="O37" s="15">
        <f t="shared" si="0"/>
        <v>90</v>
      </c>
      <c r="P37" s="15">
        <f t="shared" si="1"/>
        <v>177</v>
      </c>
    </row>
    <row r="38" spans="2:20" ht="23.1" customHeight="1" x14ac:dyDescent="0.25">
      <c r="B38" s="24" t="s">
        <v>65</v>
      </c>
      <c r="C38" s="50">
        <v>25</v>
      </c>
      <c r="D38" s="50">
        <v>9</v>
      </c>
      <c r="E38" s="50">
        <v>2</v>
      </c>
      <c r="F38" s="50">
        <v>26</v>
      </c>
      <c r="G38" s="50">
        <v>0</v>
      </c>
      <c r="H38" s="50">
        <v>1</v>
      </c>
      <c r="I38" s="50">
        <v>1</v>
      </c>
      <c r="J38" s="50">
        <v>1</v>
      </c>
      <c r="K38" s="50">
        <v>0</v>
      </c>
      <c r="L38" s="50">
        <v>0</v>
      </c>
      <c r="M38" s="50">
        <v>118</v>
      </c>
      <c r="N38" s="50">
        <v>0</v>
      </c>
      <c r="O38" s="15">
        <f t="shared" si="0"/>
        <v>65</v>
      </c>
      <c r="P38" s="15">
        <f t="shared" si="1"/>
        <v>183</v>
      </c>
    </row>
    <row r="39" spans="2:20" ht="23.1" customHeight="1" x14ac:dyDescent="0.25">
      <c r="B39" s="24" t="s">
        <v>66</v>
      </c>
      <c r="C39" s="50">
        <v>18</v>
      </c>
      <c r="D39" s="50">
        <v>11</v>
      </c>
      <c r="E39" s="50">
        <v>3</v>
      </c>
      <c r="F39" s="50">
        <v>23</v>
      </c>
      <c r="G39" s="50">
        <v>2</v>
      </c>
      <c r="H39" s="50">
        <v>1</v>
      </c>
      <c r="I39" s="50">
        <v>5</v>
      </c>
      <c r="J39" s="50">
        <v>1</v>
      </c>
      <c r="K39" s="50">
        <v>0</v>
      </c>
      <c r="L39" s="50">
        <v>1</v>
      </c>
      <c r="M39" s="50">
        <v>81</v>
      </c>
      <c r="N39" s="50">
        <v>0</v>
      </c>
      <c r="O39" s="15">
        <f t="shared" si="0"/>
        <v>65</v>
      </c>
      <c r="P39" s="15">
        <f t="shared" si="1"/>
        <v>146</v>
      </c>
    </row>
    <row r="40" spans="2:20" ht="23.1" customHeight="1" x14ac:dyDescent="0.25">
      <c r="B40" s="24" t="s">
        <v>67</v>
      </c>
      <c r="C40" s="50">
        <v>28</v>
      </c>
      <c r="D40" s="50">
        <v>12</v>
      </c>
      <c r="E40" s="50">
        <v>3</v>
      </c>
      <c r="F40" s="50">
        <v>23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53</v>
      </c>
      <c r="N40" s="50">
        <v>0</v>
      </c>
      <c r="O40" s="15">
        <f t="shared" si="0"/>
        <v>69</v>
      </c>
      <c r="P40" s="15">
        <f t="shared" si="1"/>
        <v>122</v>
      </c>
    </row>
    <row r="41" spans="2:20" ht="23.1" customHeight="1" x14ac:dyDescent="0.25">
      <c r="B41" s="23" t="s">
        <v>68</v>
      </c>
      <c r="C41" s="50">
        <v>41</v>
      </c>
      <c r="D41" s="50">
        <v>2</v>
      </c>
      <c r="E41" s="50">
        <v>6</v>
      </c>
      <c r="F41" s="50">
        <v>21</v>
      </c>
      <c r="G41" s="50">
        <v>1</v>
      </c>
      <c r="H41" s="50">
        <v>2</v>
      </c>
      <c r="I41" s="50">
        <v>1</v>
      </c>
      <c r="J41" s="50">
        <v>0</v>
      </c>
      <c r="K41" s="50">
        <v>0</v>
      </c>
      <c r="L41" s="50">
        <v>1</v>
      </c>
      <c r="M41" s="50">
        <v>66</v>
      </c>
      <c r="N41" s="50">
        <v>0</v>
      </c>
      <c r="O41" s="15">
        <f t="shared" si="0"/>
        <v>75</v>
      </c>
      <c r="P41" s="15">
        <f t="shared" si="1"/>
        <v>141</v>
      </c>
    </row>
    <row r="42" spans="2:20" ht="23.1" customHeight="1" x14ac:dyDescent="0.25">
      <c r="B42" s="24" t="s">
        <v>69</v>
      </c>
      <c r="C42" s="50">
        <v>30</v>
      </c>
      <c r="D42" s="50">
        <v>6</v>
      </c>
      <c r="E42" s="50">
        <v>4</v>
      </c>
      <c r="F42" s="50">
        <v>19</v>
      </c>
      <c r="G42" s="50">
        <v>0</v>
      </c>
      <c r="H42" s="50">
        <v>2</v>
      </c>
      <c r="I42" s="50">
        <v>2</v>
      </c>
      <c r="J42" s="50">
        <v>0</v>
      </c>
      <c r="K42" s="50">
        <v>0</v>
      </c>
      <c r="L42" s="50">
        <v>1</v>
      </c>
      <c r="M42" s="50">
        <v>101</v>
      </c>
      <c r="N42" s="50">
        <v>0</v>
      </c>
      <c r="O42" s="15">
        <f t="shared" si="0"/>
        <v>64</v>
      </c>
      <c r="P42" s="15">
        <f t="shared" si="1"/>
        <v>165</v>
      </c>
    </row>
    <row r="43" spans="2:20" ht="23.1" customHeight="1" x14ac:dyDescent="0.25">
      <c r="B43" s="23" t="s">
        <v>70</v>
      </c>
      <c r="C43" s="50">
        <v>41</v>
      </c>
      <c r="D43" s="50">
        <v>3</v>
      </c>
      <c r="E43" s="50">
        <v>2</v>
      </c>
      <c r="F43" s="50">
        <v>37</v>
      </c>
      <c r="G43" s="50">
        <v>1</v>
      </c>
      <c r="H43" s="50">
        <v>2</v>
      </c>
      <c r="I43" s="50">
        <v>1</v>
      </c>
      <c r="J43" s="50">
        <v>0</v>
      </c>
      <c r="K43" s="50">
        <v>0</v>
      </c>
      <c r="L43" s="50">
        <v>1</v>
      </c>
      <c r="M43" s="50">
        <v>93</v>
      </c>
      <c r="N43" s="50">
        <v>0</v>
      </c>
      <c r="O43" s="15">
        <f t="shared" si="0"/>
        <v>88</v>
      </c>
      <c r="P43" s="15">
        <f t="shared" si="1"/>
        <v>181</v>
      </c>
    </row>
    <row r="44" spans="2:20" ht="23.1" customHeight="1" x14ac:dyDescent="0.25">
      <c r="B44" s="25" t="s">
        <v>71</v>
      </c>
      <c r="C44" s="50">
        <v>27</v>
      </c>
      <c r="D44" s="50">
        <v>5</v>
      </c>
      <c r="E44" s="50">
        <v>1</v>
      </c>
      <c r="F44" s="50">
        <v>25</v>
      </c>
      <c r="G44" s="50">
        <v>0</v>
      </c>
      <c r="H44" s="50">
        <v>1</v>
      </c>
      <c r="I44" s="50">
        <v>2</v>
      </c>
      <c r="J44" s="50">
        <v>0</v>
      </c>
      <c r="K44" s="50">
        <v>0</v>
      </c>
      <c r="L44" s="50">
        <v>0</v>
      </c>
      <c r="M44" s="50">
        <v>87</v>
      </c>
      <c r="N44" s="50">
        <v>0</v>
      </c>
      <c r="O44" s="15">
        <f t="shared" si="0"/>
        <v>61</v>
      </c>
      <c r="P44" s="15">
        <f t="shared" si="1"/>
        <v>148</v>
      </c>
    </row>
    <row r="45" spans="2:20" ht="23.1" customHeight="1" x14ac:dyDescent="0.25">
      <c r="B45" s="23" t="s">
        <v>72</v>
      </c>
      <c r="C45" s="50">
        <v>34</v>
      </c>
      <c r="D45" s="50">
        <v>40</v>
      </c>
      <c r="E45" s="50">
        <v>4</v>
      </c>
      <c r="F45" s="50">
        <v>22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1</v>
      </c>
      <c r="M45" s="50">
        <v>117</v>
      </c>
      <c r="N45" s="50">
        <v>0</v>
      </c>
      <c r="O45" s="15">
        <f t="shared" si="0"/>
        <v>104</v>
      </c>
      <c r="P45" s="15">
        <f t="shared" si="1"/>
        <v>221</v>
      </c>
    </row>
    <row r="46" spans="2:20" ht="23.1" customHeight="1" x14ac:dyDescent="0.25">
      <c r="B46" s="24" t="s">
        <v>73</v>
      </c>
      <c r="C46" s="50">
        <v>36</v>
      </c>
      <c r="D46" s="50">
        <v>7</v>
      </c>
      <c r="E46" s="50">
        <v>4</v>
      </c>
      <c r="F46" s="50">
        <v>32</v>
      </c>
      <c r="G46" s="50">
        <v>2</v>
      </c>
      <c r="H46" s="50">
        <v>1</v>
      </c>
      <c r="I46" s="50">
        <v>0</v>
      </c>
      <c r="J46" s="50">
        <v>1</v>
      </c>
      <c r="K46" s="50">
        <v>0</v>
      </c>
      <c r="L46" s="50">
        <v>0</v>
      </c>
      <c r="M46" s="50">
        <v>106</v>
      </c>
      <c r="N46" s="50">
        <v>0</v>
      </c>
      <c r="O46" s="15">
        <f t="shared" si="0"/>
        <v>83</v>
      </c>
      <c r="P46" s="15">
        <f t="shared" si="1"/>
        <v>189</v>
      </c>
      <c r="R46" s="8"/>
      <c r="T46"/>
    </row>
    <row r="47" spans="2:20" ht="23.1" customHeight="1" x14ac:dyDescent="0.25">
      <c r="B47" s="24" t="s">
        <v>74</v>
      </c>
      <c r="C47" s="50">
        <v>35</v>
      </c>
      <c r="D47" s="50">
        <v>1</v>
      </c>
      <c r="E47" s="50">
        <v>4</v>
      </c>
      <c r="F47" s="50">
        <v>32</v>
      </c>
      <c r="G47" s="50">
        <v>3</v>
      </c>
      <c r="H47" s="50">
        <v>2</v>
      </c>
      <c r="I47" s="50">
        <v>3</v>
      </c>
      <c r="J47" s="50">
        <v>2</v>
      </c>
      <c r="K47" s="50">
        <v>1</v>
      </c>
      <c r="L47" s="50">
        <v>0</v>
      </c>
      <c r="M47" s="50">
        <v>121</v>
      </c>
      <c r="N47" s="50">
        <v>0</v>
      </c>
      <c r="O47" s="15">
        <f t="shared" si="0"/>
        <v>83</v>
      </c>
      <c r="P47" s="15">
        <f t="shared" si="1"/>
        <v>204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6</v>
      </c>
      <c r="E48" s="50">
        <v>3</v>
      </c>
      <c r="F48" s="50">
        <v>25</v>
      </c>
      <c r="G48" s="50">
        <v>0</v>
      </c>
      <c r="H48" s="50">
        <v>2</v>
      </c>
      <c r="I48" s="50">
        <v>0</v>
      </c>
      <c r="J48" s="50">
        <v>1</v>
      </c>
      <c r="K48" s="50">
        <v>0</v>
      </c>
      <c r="L48" s="50">
        <v>0</v>
      </c>
      <c r="M48" s="50">
        <v>160</v>
      </c>
      <c r="N48" s="50">
        <v>0</v>
      </c>
      <c r="O48" s="15">
        <f t="shared" si="0"/>
        <v>88</v>
      </c>
      <c r="P48" s="15">
        <f t="shared" si="1"/>
        <v>248</v>
      </c>
      <c r="R48" s="8"/>
      <c r="T48"/>
    </row>
    <row r="49" spans="2:20" ht="23.1" customHeight="1" x14ac:dyDescent="0.25">
      <c r="B49" s="23" t="s">
        <v>76</v>
      </c>
      <c r="C49" s="50">
        <v>64</v>
      </c>
      <c r="D49" s="50">
        <v>6</v>
      </c>
      <c r="E49" s="50">
        <v>3</v>
      </c>
      <c r="F49" s="50">
        <v>33</v>
      </c>
      <c r="G49" s="50">
        <v>1</v>
      </c>
      <c r="H49" s="50">
        <v>1</v>
      </c>
      <c r="I49" s="50">
        <v>0</v>
      </c>
      <c r="J49" s="50">
        <v>1</v>
      </c>
      <c r="K49" s="50">
        <v>0</v>
      </c>
      <c r="L49" s="50">
        <v>0</v>
      </c>
      <c r="M49" s="50">
        <v>125</v>
      </c>
      <c r="N49" s="50">
        <v>0</v>
      </c>
      <c r="O49" s="15">
        <f t="shared" si="0"/>
        <v>109</v>
      </c>
      <c r="P49" s="15">
        <f t="shared" si="1"/>
        <v>234</v>
      </c>
      <c r="R49" s="8"/>
      <c r="T49"/>
    </row>
    <row r="50" spans="2:20" ht="23.1" customHeight="1" x14ac:dyDescent="0.25">
      <c r="B50" s="24" t="s">
        <v>77</v>
      </c>
      <c r="C50" s="50">
        <v>76</v>
      </c>
      <c r="D50" s="50">
        <v>6</v>
      </c>
      <c r="E50" s="50">
        <v>3</v>
      </c>
      <c r="F50" s="50">
        <v>33</v>
      </c>
      <c r="G50" s="50">
        <v>1</v>
      </c>
      <c r="H50" s="50">
        <v>1</v>
      </c>
      <c r="I50" s="50">
        <v>2</v>
      </c>
      <c r="J50" s="50">
        <v>4</v>
      </c>
      <c r="K50" s="50">
        <v>0</v>
      </c>
      <c r="L50" s="50">
        <v>0</v>
      </c>
      <c r="M50" s="50">
        <v>97</v>
      </c>
      <c r="N50" s="50">
        <v>0</v>
      </c>
      <c r="O50" s="15">
        <f t="shared" si="0"/>
        <v>126</v>
      </c>
      <c r="P50" s="15">
        <f t="shared" si="1"/>
        <v>223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2</v>
      </c>
      <c r="E51" s="50">
        <v>7</v>
      </c>
      <c r="F51" s="50">
        <v>37</v>
      </c>
      <c r="G51" s="50">
        <v>3</v>
      </c>
      <c r="H51" s="50">
        <v>1</v>
      </c>
      <c r="I51" s="50">
        <v>2</v>
      </c>
      <c r="J51" s="50">
        <v>2</v>
      </c>
      <c r="K51" s="50">
        <v>0</v>
      </c>
      <c r="L51" s="50">
        <v>1</v>
      </c>
      <c r="M51" s="50">
        <v>154</v>
      </c>
      <c r="N51" s="50">
        <v>0</v>
      </c>
      <c r="O51" s="15">
        <f t="shared" si="0"/>
        <v>100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4</v>
      </c>
      <c r="E52" s="50">
        <v>7</v>
      </c>
      <c r="F52" s="50">
        <v>22</v>
      </c>
      <c r="G52" s="50">
        <v>0</v>
      </c>
      <c r="H52" s="50">
        <v>0</v>
      </c>
      <c r="I52" s="50">
        <v>0</v>
      </c>
      <c r="J52" s="50">
        <v>3</v>
      </c>
      <c r="K52" s="50">
        <v>0</v>
      </c>
      <c r="L52" s="50">
        <v>0</v>
      </c>
      <c r="M52" s="50">
        <v>156</v>
      </c>
      <c r="N52" s="50">
        <v>0</v>
      </c>
      <c r="O52" s="15">
        <f t="shared" si="0"/>
        <v>86</v>
      </c>
      <c r="P52" s="15">
        <f t="shared" si="1"/>
        <v>242</v>
      </c>
      <c r="R52" s="8"/>
      <c r="T52"/>
    </row>
    <row r="53" spans="2:20" ht="23.1" customHeight="1" x14ac:dyDescent="0.25">
      <c r="B53" s="23" t="s">
        <v>80</v>
      </c>
      <c r="C53" s="50">
        <v>46</v>
      </c>
      <c r="D53" s="50">
        <v>1</v>
      </c>
      <c r="E53" s="50">
        <v>8</v>
      </c>
      <c r="F53" s="50">
        <v>31</v>
      </c>
      <c r="G53" s="50">
        <v>3</v>
      </c>
      <c r="H53" s="50">
        <v>1</v>
      </c>
      <c r="I53" s="50">
        <v>2</v>
      </c>
      <c r="J53" s="50">
        <v>2</v>
      </c>
      <c r="K53" s="50">
        <v>0</v>
      </c>
      <c r="L53" s="50">
        <v>0</v>
      </c>
      <c r="M53" s="50">
        <v>135</v>
      </c>
      <c r="N53" s="50">
        <v>0</v>
      </c>
      <c r="O53" s="15">
        <f t="shared" si="0"/>
        <v>94</v>
      </c>
      <c r="P53" s="15">
        <f t="shared" si="1"/>
        <v>229</v>
      </c>
      <c r="R53" s="8"/>
      <c r="T53"/>
    </row>
    <row r="54" spans="2:20" ht="23.1" customHeight="1" x14ac:dyDescent="0.25">
      <c r="B54" s="23" t="s">
        <v>81</v>
      </c>
      <c r="C54" s="50">
        <v>49</v>
      </c>
      <c r="D54" s="50">
        <v>4</v>
      </c>
      <c r="E54" s="50">
        <v>3</v>
      </c>
      <c r="F54" s="50">
        <v>47</v>
      </c>
      <c r="G54" s="50">
        <v>4</v>
      </c>
      <c r="H54" s="50">
        <v>1</v>
      </c>
      <c r="I54" s="50">
        <v>7</v>
      </c>
      <c r="J54" s="50">
        <v>3</v>
      </c>
      <c r="K54" s="50">
        <v>0</v>
      </c>
      <c r="L54" s="50">
        <v>0</v>
      </c>
      <c r="M54" s="50">
        <v>183</v>
      </c>
      <c r="N54" s="50">
        <v>0</v>
      </c>
      <c r="O54" s="15">
        <f t="shared" si="0"/>
        <v>118</v>
      </c>
      <c r="P54" s="15">
        <f t="shared" si="1"/>
        <v>301</v>
      </c>
      <c r="R54" s="8"/>
      <c r="T54"/>
    </row>
    <row r="55" spans="2:20" ht="23.1" customHeight="1" x14ac:dyDescent="0.25">
      <c r="B55" s="23" t="s">
        <v>82</v>
      </c>
      <c r="C55" s="50">
        <v>62</v>
      </c>
      <c r="D55" s="50">
        <v>5</v>
      </c>
      <c r="E55" s="50">
        <v>2</v>
      </c>
      <c r="F55" s="50">
        <v>23</v>
      </c>
      <c r="G55" s="50">
        <v>0</v>
      </c>
      <c r="H55" s="50">
        <v>0</v>
      </c>
      <c r="I55" s="50">
        <v>4</v>
      </c>
      <c r="J55" s="50">
        <v>6</v>
      </c>
      <c r="K55" s="50">
        <v>0</v>
      </c>
      <c r="L55" s="50">
        <v>1</v>
      </c>
      <c r="M55" s="50">
        <v>152</v>
      </c>
      <c r="N55" s="50">
        <v>0</v>
      </c>
      <c r="O55" s="15">
        <f t="shared" si="0"/>
        <v>103</v>
      </c>
      <c r="P55" s="15">
        <f t="shared" si="1"/>
        <v>255</v>
      </c>
      <c r="R55" s="8"/>
      <c r="T55"/>
    </row>
    <row r="56" spans="2:20" ht="23.1" customHeight="1" x14ac:dyDescent="0.25">
      <c r="B56" s="23" t="s">
        <v>83</v>
      </c>
      <c r="C56" s="50">
        <v>32</v>
      </c>
      <c r="D56" s="50">
        <v>3</v>
      </c>
      <c r="E56" s="50">
        <v>6</v>
      </c>
      <c r="F56" s="50">
        <v>37</v>
      </c>
      <c r="G56" s="50">
        <v>1</v>
      </c>
      <c r="H56" s="50">
        <v>2</v>
      </c>
      <c r="I56" s="50">
        <v>2</v>
      </c>
      <c r="J56" s="50">
        <v>3</v>
      </c>
      <c r="K56" s="50">
        <v>0</v>
      </c>
      <c r="L56" s="50">
        <v>0</v>
      </c>
      <c r="M56" s="50">
        <v>124</v>
      </c>
      <c r="N56" s="50">
        <v>0</v>
      </c>
      <c r="O56" s="15">
        <f t="shared" si="0"/>
        <v>86</v>
      </c>
      <c r="P56" s="15">
        <f t="shared" si="1"/>
        <v>210</v>
      </c>
      <c r="R56" s="8"/>
      <c r="T56"/>
    </row>
    <row r="57" spans="2:20" ht="23.1" customHeight="1" x14ac:dyDescent="0.25">
      <c r="B57" s="23" t="s">
        <v>84</v>
      </c>
      <c r="C57" s="50">
        <v>47</v>
      </c>
      <c r="D57" s="50">
        <v>3</v>
      </c>
      <c r="E57" s="50">
        <v>4</v>
      </c>
      <c r="F57" s="50">
        <v>39</v>
      </c>
      <c r="G57" s="50">
        <v>3</v>
      </c>
      <c r="H57" s="50">
        <v>1</v>
      </c>
      <c r="I57" s="50">
        <v>8</v>
      </c>
      <c r="J57" s="50">
        <v>4</v>
      </c>
      <c r="K57" s="50">
        <v>0</v>
      </c>
      <c r="L57" s="50">
        <v>1</v>
      </c>
      <c r="M57" s="50">
        <v>118</v>
      </c>
      <c r="N57" s="50">
        <v>0</v>
      </c>
      <c r="O57" s="15">
        <f t="shared" si="0"/>
        <v>110</v>
      </c>
      <c r="P57" s="15">
        <f t="shared" si="1"/>
        <v>228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1650</v>
      </c>
      <c r="D58" s="16">
        <f t="shared" si="21"/>
        <v>290</v>
      </c>
      <c r="E58" s="16">
        <f t="shared" si="21"/>
        <v>164</v>
      </c>
      <c r="F58" s="16">
        <f t="shared" si="21"/>
        <v>1570</v>
      </c>
      <c r="G58" s="16">
        <f t="shared" si="21"/>
        <v>57</v>
      </c>
      <c r="H58" s="16">
        <f t="shared" si="21"/>
        <v>74</v>
      </c>
      <c r="I58" s="16">
        <f t="shared" si="21"/>
        <v>124</v>
      </c>
      <c r="J58" s="16">
        <f t="shared" si="21"/>
        <v>72</v>
      </c>
      <c r="K58" s="16">
        <f t="shared" si="21"/>
        <v>3</v>
      </c>
      <c r="L58" s="16">
        <f t="shared" si="21"/>
        <v>15</v>
      </c>
      <c r="M58" s="16">
        <f t="shared" si="21"/>
        <v>5188</v>
      </c>
      <c r="N58" s="16">
        <f t="shared" si="21"/>
        <v>0</v>
      </c>
      <c r="O58" s="16">
        <f t="shared" si="21"/>
        <v>4019</v>
      </c>
      <c r="P58" s="16">
        <f t="shared" si="21"/>
        <v>9207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0.17921146953405018</v>
      </c>
      <c r="D59" s="43">
        <f t="shared" si="22"/>
        <v>3.1497773433257305E-2</v>
      </c>
      <c r="E59" s="43">
        <f t="shared" si="22"/>
        <v>1.7812533941566198E-2</v>
      </c>
      <c r="F59" s="43">
        <f t="shared" si="22"/>
        <v>0.17052242858694472</v>
      </c>
      <c r="G59" s="43">
        <f t="shared" si="22"/>
        <v>6.1909416748126425E-3</v>
      </c>
      <c r="H59" s="43">
        <f t="shared" si="22"/>
        <v>8.0373628760725541E-3</v>
      </c>
      <c r="I59" s="43">
        <f t="shared" si="22"/>
        <v>1.3468013468013467E-2</v>
      </c>
      <c r="J59" s="43">
        <f t="shared" si="22"/>
        <v>7.8201368523949169E-3</v>
      </c>
      <c r="K59" s="43">
        <f t="shared" si="22"/>
        <v>3.2583903551645487E-4</v>
      </c>
      <c r="L59" s="43">
        <f t="shared" si="22"/>
        <v>1.6291951775822744E-3</v>
      </c>
      <c r="M59" s="43">
        <f t="shared" si="22"/>
        <v>0.56348430541978933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0.41054988803184872</v>
      </c>
      <c r="D60" s="44">
        <f t="shared" ref="D60:N60" si="23">D58/$O$58</f>
        <v>7.2157253048021897E-2</v>
      </c>
      <c r="E60" s="44">
        <f t="shared" si="23"/>
        <v>4.0806170689226179E-2</v>
      </c>
      <c r="F60" s="44">
        <f t="shared" si="23"/>
        <v>0.39064443891515305</v>
      </c>
      <c r="G60" s="44">
        <f t="shared" si="23"/>
        <v>1.4182632495645683E-2</v>
      </c>
      <c r="H60" s="44">
        <f t="shared" si="23"/>
        <v>1.8412540432943519E-2</v>
      </c>
      <c r="I60" s="44">
        <f t="shared" si="23"/>
        <v>3.0853446130878329E-2</v>
      </c>
      <c r="J60" s="44">
        <f t="shared" si="23"/>
        <v>1.7914904205026127E-2</v>
      </c>
      <c r="K60" s="44">
        <f t="shared" si="23"/>
        <v>7.4645434187608855E-4</v>
      </c>
      <c r="L60" s="44">
        <f t="shared" si="23"/>
        <v>3.732271709380443E-3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F85" zoomScale="60" workbookViewId="0">
      <selection activeCell="AE28" sqref="AE2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2" t="str">
        <f>'28.07 Rubaga-Natete'!C3:G3</f>
        <v>MCC-CI-STN08-WAKALIGA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0" t="s">
        <v>169</v>
      </c>
      <c r="E5" s="61"/>
      <c r="F5" s="41" t="s">
        <v>1</v>
      </c>
      <c r="G5" s="58" t="str">
        <f>'28.07 Natete-Rubaga'!G5:H5</f>
        <v>Total Wakaliga</v>
      </c>
      <c r="H5" s="59"/>
      <c r="I5" s="14"/>
      <c r="J5" s="2" t="s">
        <v>5</v>
      </c>
      <c r="K5" s="58" t="str">
        <f>'28.07 Natete-Rubaga'!K5:L5</f>
        <v>Osigai Geuge Brian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'28.07 Natete-Rubaga'!D6:E6</f>
        <v>Natete</v>
      </c>
      <c r="E6" s="59"/>
      <c r="F6" s="2" t="s">
        <v>2</v>
      </c>
      <c r="G6" s="58" t="str">
        <f>'28.07 Natete-Rubaga'!G6:H6</f>
        <v>Rubaga</v>
      </c>
      <c r="H6" s="59"/>
      <c r="J6" s="2" t="s">
        <v>21</v>
      </c>
      <c r="K6" s="58" t="str">
        <f>'28.07 Natete-Rubaga'!K6:L6</f>
        <v>oloya 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Natete-Rubaga'!C10,'23.07 Natete-Rubaga'!C10,'24.07 Natete-Rubaga'!C10,'25.07 Natete-Rubaga'!C10,'26.07 Natete-Rubaga-24h'!C10,'27.07 Natete-Rubaga-24h'!C10,'28.07 Natete-Rubaga'!C10)</f>
        <v>41.285714285714285</v>
      </c>
      <c r="D10" s="49">
        <f>AVERAGE('22.07 Natete-Rubaga'!D10,'23.07 Natete-Rubaga'!D10,'24.07 Natete-Rubaga'!D10,'25.07 Natete-Rubaga'!D10,'26.07 Natete-Rubaga-24h'!D10,'27.07 Natete-Rubaga-24h'!D10,'28.07 Natete-Rubaga'!D10)</f>
        <v>10.857142857142858</v>
      </c>
      <c r="E10" s="49">
        <f>AVERAGE('22.07 Natete-Rubaga'!E10,'23.07 Natete-Rubaga'!E10,'24.07 Natete-Rubaga'!E10,'25.07 Natete-Rubaga'!E10,'26.07 Natete-Rubaga-24h'!E10,'27.07 Natete-Rubaga-24h'!E10,'28.07 Natete-Rubaga'!E10)</f>
        <v>7.1428571428571432</v>
      </c>
      <c r="F10" s="49">
        <f>AVERAGE('22.07 Natete-Rubaga'!F10,'23.07 Natete-Rubaga'!F10,'24.07 Natete-Rubaga'!F10,'25.07 Natete-Rubaga'!F10,'26.07 Natete-Rubaga-24h'!F10,'27.07 Natete-Rubaga-24h'!F10,'28.07 Natete-Rubaga'!F10)</f>
        <v>53.714285714285715</v>
      </c>
      <c r="G10" s="49">
        <f>AVERAGE('22.07 Natete-Rubaga'!G10,'23.07 Natete-Rubaga'!G10,'24.07 Natete-Rubaga'!G10,'25.07 Natete-Rubaga'!G10,'26.07 Natete-Rubaga-24h'!G10,'27.07 Natete-Rubaga-24h'!G10,'28.07 Natete-Rubaga'!G10)</f>
        <v>1.7142857142857142</v>
      </c>
      <c r="H10" s="49">
        <f>AVERAGE('22.07 Natete-Rubaga'!H10,'23.07 Natete-Rubaga'!H10,'24.07 Natete-Rubaga'!H10,'25.07 Natete-Rubaga'!H10,'26.07 Natete-Rubaga-24h'!H10,'27.07 Natete-Rubaga-24h'!H10,'28.07 Natete-Rubaga'!H10)</f>
        <v>0.7142857142857143</v>
      </c>
      <c r="I10" s="49">
        <f>AVERAGE('22.07 Natete-Rubaga'!I10,'23.07 Natete-Rubaga'!I10,'24.07 Natete-Rubaga'!I10,'25.07 Natete-Rubaga'!I10,'26.07 Natete-Rubaga-24h'!I10,'27.07 Natete-Rubaga-24h'!I10,'28.07 Natete-Rubaga'!I10)</f>
        <v>2.2857142857142856</v>
      </c>
      <c r="J10" s="49">
        <f>AVERAGE('22.07 Natete-Rubaga'!J10,'23.07 Natete-Rubaga'!J10,'24.07 Natete-Rubaga'!J10,'25.07 Natete-Rubaga'!J10,'26.07 Natete-Rubaga-24h'!J10,'27.07 Natete-Rubaga-24h'!J10,'28.07 Natete-Rubaga'!J10)</f>
        <v>0.8571428571428571</v>
      </c>
      <c r="K10" s="49">
        <f>AVERAGE('22.07 Natete-Rubaga'!K10,'23.07 Natete-Rubaga'!K10,'24.07 Natete-Rubaga'!K10,'25.07 Natete-Rubaga'!K10,'26.07 Natete-Rubaga-24h'!K10,'27.07 Natete-Rubaga-24h'!K10,'28.07 Natete-Rubaga'!K10)</f>
        <v>0.14285714285714285</v>
      </c>
      <c r="L10" s="49">
        <f>AVERAGE('22.07 Natete-Rubaga'!L10,'23.07 Natete-Rubaga'!L10,'24.07 Natete-Rubaga'!L10,'25.07 Natete-Rubaga'!L10,'26.07 Natete-Rubaga-24h'!L10,'27.07 Natete-Rubaga-24h'!L10,'28.07 Natete-Rubaga'!L10)</f>
        <v>0</v>
      </c>
      <c r="M10" s="49">
        <f>AVERAGE('22.07 Natete-Rubaga'!M10,'23.07 Natete-Rubaga'!M10,'24.07 Natete-Rubaga'!M10,'25.07 Natete-Rubaga'!M10,'26.07 Natete-Rubaga-24h'!M10,'27.07 Natete-Rubaga-24h'!M10,'28.07 Natete-Rubaga'!M10)</f>
        <v>258.42857142857144</v>
      </c>
      <c r="N10" s="49">
        <f>AVERAGE('22.07 Natete-Rubaga'!N10,'23.07 Natete-Rubaga'!N10,'24.07 Natete-Rubaga'!N10,'25.07 Natete-Rubaga'!N10,'26.07 Natete-Rubaga-24h'!N10,'27.07 Natete-Rubaga-24h'!N10,'28.07 Natete-Rubaga'!N10)</f>
        <v>0</v>
      </c>
      <c r="O10" s="15">
        <f t="shared" ref="O10:O73" si="0">SUM(C10:L10,N10)</f>
        <v>118.71428571428571</v>
      </c>
      <c r="P10" s="15">
        <f t="shared" ref="P10:P73" si="1">SUM(C10:N10)</f>
        <v>377.14285714285717</v>
      </c>
      <c r="R10" s="1" t="s">
        <v>6</v>
      </c>
      <c r="S10" s="17">
        <f t="shared" ref="S10:AF10" si="2">SUM(C10:C13)</f>
        <v>140.14285714285714</v>
      </c>
      <c r="T10" s="17">
        <f t="shared" si="2"/>
        <v>39.714285714285722</v>
      </c>
      <c r="U10" s="17">
        <f t="shared" si="2"/>
        <v>32.428571428571431</v>
      </c>
      <c r="V10" s="17">
        <f t="shared" si="2"/>
        <v>186</v>
      </c>
      <c r="W10" s="17">
        <f t="shared" si="2"/>
        <v>22.142857142857142</v>
      </c>
      <c r="X10" s="17">
        <f t="shared" si="2"/>
        <v>3</v>
      </c>
      <c r="Y10" s="17">
        <f t="shared" si="2"/>
        <v>10.857142857142858</v>
      </c>
      <c r="Z10" s="17">
        <f t="shared" si="2"/>
        <v>6.2857142857142865</v>
      </c>
      <c r="AA10" s="17">
        <f t="shared" si="2"/>
        <v>0.2857142857142857</v>
      </c>
      <c r="AB10" s="17">
        <f t="shared" si="2"/>
        <v>0.14285714285714285</v>
      </c>
      <c r="AC10" s="17">
        <f t="shared" si="2"/>
        <v>1148.4285714285713</v>
      </c>
      <c r="AD10" s="17">
        <f t="shared" si="2"/>
        <v>0</v>
      </c>
      <c r="AE10" s="31">
        <f t="shared" si="2"/>
        <v>441</v>
      </c>
      <c r="AF10" s="31">
        <f t="shared" si="2"/>
        <v>1589.4285714285713</v>
      </c>
    </row>
    <row r="11" spans="2:32" s="6" customFormat="1" ht="23.1" customHeight="1" x14ac:dyDescent="0.25">
      <c r="B11" s="23" t="s">
        <v>38</v>
      </c>
      <c r="C11" s="49">
        <f>AVERAGE('22.07 Natete-Rubaga'!C11,'23.07 Natete-Rubaga'!C11,'24.07 Natete-Rubaga'!C11,'25.07 Natete-Rubaga'!C11,'26.07 Natete-Rubaga-24h'!C11,'27.07 Natete-Rubaga-24h'!C11,'28.07 Natete-Rubaga'!C11)</f>
        <v>36.428571428571431</v>
      </c>
      <c r="D11" s="49">
        <f>AVERAGE('22.07 Natete-Rubaga'!D11,'23.07 Natete-Rubaga'!D11,'24.07 Natete-Rubaga'!D11,'25.07 Natete-Rubaga'!D11,'26.07 Natete-Rubaga-24h'!D11,'27.07 Natete-Rubaga-24h'!D11,'28.07 Natete-Rubaga'!D11)</f>
        <v>9.2857142857142865</v>
      </c>
      <c r="E11" s="49">
        <f>AVERAGE('22.07 Natete-Rubaga'!E11,'23.07 Natete-Rubaga'!E11,'24.07 Natete-Rubaga'!E11,'25.07 Natete-Rubaga'!E11,'26.07 Natete-Rubaga-24h'!E11,'27.07 Natete-Rubaga-24h'!E11,'28.07 Natete-Rubaga'!E11)</f>
        <v>13.142857142857142</v>
      </c>
      <c r="F11" s="49">
        <f>AVERAGE('22.07 Natete-Rubaga'!F11,'23.07 Natete-Rubaga'!F11,'24.07 Natete-Rubaga'!F11,'25.07 Natete-Rubaga'!F11,'26.07 Natete-Rubaga-24h'!F11,'27.07 Natete-Rubaga-24h'!F11,'28.07 Natete-Rubaga'!F11)</f>
        <v>31.571428571428573</v>
      </c>
      <c r="G11" s="49">
        <f>AVERAGE('22.07 Natete-Rubaga'!G11,'23.07 Natete-Rubaga'!G11,'24.07 Natete-Rubaga'!G11,'25.07 Natete-Rubaga'!G11,'26.07 Natete-Rubaga-24h'!G11,'27.07 Natete-Rubaga-24h'!G11,'28.07 Natete-Rubaga'!G11)</f>
        <v>14.714285714285714</v>
      </c>
      <c r="H11" s="49">
        <f>AVERAGE('22.07 Natete-Rubaga'!H11,'23.07 Natete-Rubaga'!H11,'24.07 Natete-Rubaga'!H11,'25.07 Natete-Rubaga'!H11,'26.07 Natete-Rubaga-24h'!H11,'27.07 Natete-Rubaga-24h'!H11,'28.07 Natete-Rubaga'!H11)</f>
        <v>0.7142857142857143</v>
      </c>
      <c r="I11" s="49">
        <f>AVERAGE('22.07 Natete-Rubaga'!I11,'23.07 Natete-Rubaga'!I11,'24.07 Natete-Rubaga'!I11,'25.07 Natete-Rubaga'!I11,'26.07 Natete-Rubaga-24h'!I11,'27.07 Natete-Rubaga-24h'!I11,'28.07 Natete-Rubaga'!I11)</f>
        <v>2.8571428571428572</v>
      </c>
      <c r="J11" s="49">
        <f>AVERAGE('22.07 Natete-Rubaga'!J11,'23.07 Natete-Rubaga'!J11,'24.07 Natete-Rubaga'!J11,'25.07 Natete-Rubaga'!J11,'26.07 Natete-Rubaga-24h'!J11,'27.07 Natete-Rubaga-24h'!J11,'28.07 Natete-Rubaga'!J11)</f>
        <v>1.8571428571428572</v>
      </c>
      <c r="K11" s="49">
        <f>AVERAGE('22.07 Natete-Rubaga'!K11,'23.07 Natete-Rubaga'!K11,'24.07 Natete-Rubaga'!K11,'25.07 Natete-Rubaga'!K11,'26.07 Natete-Rubaga-24h'!K11,'27.07 Natete-Rubaga-24h'!K11,'28.07 Natete-Rubaga'!K11)</f>
        <v>0</v>
      </c>
      <c r="L11" s="49">
        <f>AVERAGE('22.07 Natete-Rubaga'!L11,'23.07 Natete-Rubaga'!L11,'24.07 Natete-Rubaga'!L11,'25.07 Natete-Rubaga'!L11,'26.07 Natete-Rubaga-24h'!L11,'27.07 Natete-Rubaga-24h'!L11,'28.07 Natete-Rubaga'!L11)</f>
        <v>0</v>
      </c>
      <c r="M11" s="49">
        <f>AVERAGE('22.07 Natete-Rubaga'!M11,'23.07 Natete-Rubaga'!M11,'24.07 Natete-Rubaga'!M11,'25.07 Natete-Rubaga'!M11,'26.07 Natete-Rubaga-24h'!M11,'27.07 Natete-Rubaga-24h'!M11,'28.07 Natete-Rubaga'!M11)</f>
        <v>246.57142857142858</v>
      </c>
      <c r="N11" s="49">
        <f>AVERAGE('22.07 Natete-Rubaga'!N11,'23.07 Natete-Rubaga'!N11,'24.07 Natete-Rubaga'!N11,'25.07 Natete-Rubaga'!N11,'26.07 Natete-Rubaga-24h'!N11,'27.07 Natete-Rubaga-24h'!N11,'28.07 Natete-Rubaga'!N11)</f>
        <v>0</v>
      </c>
      <c r="O11" s="15">
        <f t="shared" si="0"/>
        <v>110.57142857142857</v>
      </c>
      <c r="P11" s="15">
        <f t="shared" si="1"/>
        <v>357.14285714285717</v>
      </c>
      <c r="R11" s="1" t="s">
        <v>7</v>
      </c>
      <c r="S11" s="17">
        <f t="shared" ref="S11:AF11" si="3">SUM(C14:C17)</f>
        <v>148.42857142857142</v>
      </c>
      <c r="T11" s="17">
        <f t="shared" si="3"/>
        <v>42.142857142857139</v>
      </c>
      <c r="U11" s="17">
        <f t="shared" si="3"/>
        <v>21.285714285714285</v>
      </c>
      <c r="V11" s="17">
        <f t="shared" si="3"/>
        <v>224.28571428571428</v>
      </c>
      <c r="W11" s="17">
        <f t="shared" si="3"/>
        <v>7.2857142857142856</v>
      </c>
      <c r="X11" s="17">
        <f t="shared" si="3"/>
        <v>2</v>
      </c>
      <c r="Y11" s="17">
        <f t="shared" si="3"/>
        <v>9.1428571428571423</v>
      </c>
      <c r="Z11" s="17">
        <f t="shared" si="3"/>
        <v>5.2857142857142847</v>
      </c>
      <c r="AA11" s="17">
        <f t="shared" si="3"/>
        <v>0.71428571428571419</v>
      </c>
      <c r="AB11" s="17">
        <f t="shared" si="3"/>
        <v>0.42857142857142855</v>
      </c>
      <c r="AC11" s="17">
        <f t="shared" si="3"/>
        <v>1472.7142857142856</v>
      </c>
      <c r="AD11" s="17">
        <f t="shared" si="3"/>
        <v>0</v>
      </c>
      <c r="AE11" s="31">
        <f t="shared" si="3"/>
        <v>461</v>
      </c>
      <c r="AF11" s="31">
        <f t="shared" si="3"/>
        <v>1933.7142857142858</v>
      </c>
    </row>
    <row r="12" spans="2:32" ht="23.1" customHeight="1" x14ac:dyDescent="0.25">
      <c r="B12" s="23" t="s">
        <v>39</v>
      </c>
      <c r="C12" s="49">
        <f>AVERAGE('22.07 Natete-Rubaga'!C12,'23.07 Natete-Rubaga'!C12,'24.07 Natete-Rubaga'!C12,'25.07 Natete-Rubaga'!C12,'26.07 Natete-Rubaga-24h'!C12,'27.07 Natete-Rubaga-24h'!C12,'28.07 Natete-Rubaga'!C12)</f>
        <v>29.142857142857142</v>
      </c>
      <c r="D12" s="49">
        <f>AVERAGE('22.07 Natete-Rubaga'!D12,'23.07 Natete-Rubaga'!D12,'24.07 Natete-Rubaga'!D12,'25.07 Natete-Rubaga'!D12,'26.07 Natete-Rubaga-24h'!D12,'27.07 Natete-Rubaga-24h'!D12,'28.07 Natete-Rubaga'!D12)</f>
        <v>9.7142857142857135</v>
      </c>
      <c r="E12" s="49">
        <f>AVERAGE('22.07 Natete-Rubaga'!E12,'23.07 Natete-Rubaga'!E12,'24.07 Natete-Rubaga'!E12,'25.07 Natete-Rubaga'!E12,'26.07 Natete-Rubaga-24h'!E12,'27.07 Natete-Rubaga-24h'!E12,'28.07 Natete-Rubaga'!E12)</f>
        <v>8</v>
      </c>
      <c r="F12" s="49">
        <f>AVERAGE('22.07 Natete-Rubaga'!F12,'23.07 Natete-Rubaga'!F12,'24.07 Natete-Rubaga'!F12,'25.07 Natete-Rubaga'!F12,'26.07 Natete-Rubaga-24h'!F12,'27.07 Natete-Rubaga-24h'!F12,'28.07 Natete-Rubaga'!F12)</f>
        <v>51.428571428571431</v>
      </c>
      <c r="G12" s="49">
        <f>AVERAGE('22.07 Natete-Rubaga'!G12,'23.07 Natete-Rubaga'!G12,'24.07 Natete-Rubaga'!G12,'25.07 Natete-Rubaga'!G12,'26.07 Natete-Rubaga-24h'!G12,'27.07 Natete-Rubaga-24h'!G12,'28.07 Natete-Rubaga'!G12)</f>
        <v>3.7142857142857144</v>
      </c>
      <c r="H12" s="49">
        <f>AVERAGE('22.07 Natete-Rubaga'!H12,'23.07 Natete-Rubaga'!H12,'24.07 Natete-Rubaga'!H12,'25.07 Natete-Rubaga'!H12,'26.07 Natete-Rubaga-24h'!H12,'27.07 Natete-Rubaga-24h'!H12,'28.07 Natete-Rubaga'!H12)</f>
        <v>0.5714285714285714</v>
      </c>
      <c r="I12" s="49">
        <f>AVERAGE('22.07 Natete-Rubaga'!I12,'23.07 Natete-Rubaga'!I12,'24.07 Natete-Rubaga'!I12,'25.07 Natete-Rubaga'!I12,'26.07 Natete-Rubaga-24h'!I12,'27.07 Natete-Rubaga-24h'!I12,'28.07 Natete-Rubaga'!I12)</f>
        <v>2.8571428571428572</v>
      </c>
      <c r="J12" s="49">
        <f>AVERAGE('22.07 Natete-Rubaga'!J12,'23.07 Natete-Rubaga'!J12,'24.07 Natete-Rubaga'!J12,'25.07 Natete-Rubaga'!J12,'26.07 Natete-Rubaga-24h'!J12,'27.07 Natete-Rubaga-24h'!J12,'28.07 Natete-Rubaga'!J12)</f>
        <v>2.1428571428571428</v>
      </c>
      <c r="K12" s="49">
        <f>AVERAGE('22.07 Natete-Rubaga'!K12,'23.07 Natete-Rubaga'!K12,'24.07 Natete-Rubaga'!K12,'25.07 Natete-Rubaga'!K12,'26.07 Natete-Rubaga-24h'!K12,'27.07 Natete-Rubaga-24h'!K12,'28.07 Natete-Rubaga'!K12)</f>
        <v>0</v>
      </c>
      <c r="L12" s="49">
        <f>AVERAGE('22.07 Natete-Rubaga'!L12,'23.07 Natete-Rubaga'!L12,'24.07 Natete-Rubaga'!L12,'25.07 Natete-Rubaga'!L12,'26.07 Natete-Rubaga-24h'!L12,'27.07 Natete-Rubaga-24h'!L12,'28.07 Natete-Rubaga'!L12)</f>
        <v>0.14285714285714285</v>
      </c>
      <c r="M12" s="49">
        <f>AVERAGE('22.07 Natete-Rubaga'!M12,'23.07 Natete-Rubaga'!M12,'24.07 Natete-Rubaga'!M12,'25.07 Natete-Rubaga'!M12,'26.07 Natete-Rubaga-24h'!M12,'27.07 Natete-Rubaga-24h'!M12,'28.07 Natete-Rubaga'!M12)</f>
        <v>293.57142857142856</v>
      </c>
      <c r="N12" s="49">
        <f>AVERAGE('22.07 Natete-Rubaga'!N12,'23.07 Natete-Rubaga'!N12,'24.07 Natete-Rubaga'!N12,'25.07 Natete-Rubaga'!N12,'26.07 Natete-Rubaga-24h'!N12,'27.07 Natete-Rubaga-24h'!N12,'28.07 Natete-Rubaga'!N12)</f>
        <v>0</v>
      </c>
      <c r="O12" s="15">
        <f t="shared" si="0"/>
        <v>107.71428571428569</v>
      </c>
      <c r="P12" s="15">
        <f t="shared" si="1"/>
        <v>401.28571428571422</v>
      </c>
      <c r="R12" s="1" t="s">
        <v>8</v>
      </c>
      <c r="S12" s="17">
        <f t="shared" ref="S12:AF12" si="4">SUM(C18:C21)</f>
        <v>155</v>
      </c>
      <c r="T12" s="17">
        <f t="shared" si="4"/>
        <v>38.714285714285708</v>
      </c>
      <c r="U12" s="17">
        <f t="shared" si="4"/>
        <v>19.142857142857142</v>
      </c>
      <c r="V12" s="17">
        <f t="shared" si="4"/>
        <v>247.14285714285717</v>
      </c>
      <c r="W12" s="17">
        <f t="shared" si="4"/>
        <v>5.9999999999999991</v>
      </c>
      <c r="X12" s="17">
        <f t="shared" si="4"/>
        <v>2.8571428571428568</v>
      </c>
      <c r="Y12" s="17">
        <f t="shared" si="4"/>
        <v>9.1428571428571423</v>
      </c>
      <c r="Z12" s="17">
        <f t="shared" si="4"/>
        <v>8.2857142857142847</v>
      </c>
      <c r="AA12" s="17">
        <f t="shared" si="4"/>
        <v>0.71428571428571419</v>
      </c>
      <c r="AB12" s="17">
        <f t="shared" si="4"/>
        <v>0.2857142857142857</v>
      </c>
      <c r="AC12" s="17">
        <f t="shared" si="4"/>
        <v>1196.7142857142858</v>
      </c>
      <c r="AD12" s="17">
        <f t="shared" si="4"/>
        <v>0</v>
      </c>
      <c r="AE12" s="31">
        <f t="shared" si="4"/>
        <v>487.28571428571422</v>
      </c>
      <c r="AF12" s="31">
        <f t="shared" si="4"/>
        <v>1684</v>
      </c>
    </row>
    <row r="13" spans="2:32" ht="23.1" customHeight="1" x14ac:dyDescent="0.25">
      <c r="B13" s="23" t="s">
        <v>40</v>
      </c>
      <c r="C13" s="49">
        <f>AVERAGE('22.07 Natete-Rubaga'!C13,'23.07 Natete-Rubaga'!C13,'24.07 Natete-Rubaga'!C13,'25.07 Natete-Rubaga'!C13,'26.07 Natete-Rubaga-24h'!C13,'27.07 Natete-Rubaga-24h'!C13,'28.07 Natete-Rubaga'!C13)</f>
        <v>33.285714285714285</v>
      </c>
      <c r="D13" s="49">
        <f>AVERAGE('22.07 Natete-Rubaga'!D13,'23.07 Natete-Rubaga'!D13,'24.07 Natete-Rubaga'!D13,'25.07 Natete-Rubaga'!D13,'26.07 Natete-Rubaga-24h'!D13,'27.07 Natete-Rubaga-24h'!D13,'28.07 Natete-Rubaga'!D13)</f>
        <v>9.8571428571428577</v>
      </c>
      <c r="E13" s="49">
        <f>AVERAGE('22.07 Natete-Rubaga'!E13,'23.07 Natete-Rubaga'!E13,'24.07 Natete-Rubaga'!E13,'25.07 Natete-Rubaga'!E13,'26.07 Natete-Rubaga-24h'!E13,'27.07 Natete-Rubaga-24h'!E13,'28.07 Natete-Rubaga'!E13)</f>
        <v>4.1428571428571432</v>
      </c>
      <c r="F13" s="49">
        <f>AVERAGE('22.07 Natete-Rubaga'!F13,'23.07 Natete-Rubaga'!F13,'24.07 Natete-Rubaga'!F13,'25.07 Natete-Rubaga'!F13,'26.07 Natete-Rubaga-24h'!F13,'27.07 Natete-Rubaga-24h'!F13,'28.07 Natete-Rubaga'!F13)</f>
        <v>49.285714285714285</v>
      </c>
      <c r="G13" s="49">
        <f>AVERAGE('22.07 Natete-Rubaga'!G13,'23.07 Natete-Rubaga'!G13,'24.07 Natete-Rubaga'!G13,'25.07 Natete-Rubaga'!G13,'26.07 Natete-Rubaga-24h'!G13,'27.07 Natete-Rubaga-24h'!G13,'28.07 Natete-Rubaga'!G13)</f>
        <v>2</v>
      </c>
      <c r="H13" s="49">
        <f>AVERAGE('22.07 Natete-Rubaga'!H13,'23.07 Natete-Rubaga'!H13,'24.07 Natete-Rubaga'!H13,'25.07 Natete-Rubaga'!H13,'26.07 Natete-Rubaga-24h'!H13,'27.07 Natete-Rubaga-24h'!H13,'28.07 Natete-Rubaga'!H13)</f>
        <v>1</v>
      </c>
      <c r="I13" s="49">
        <f>AVERAGE('22.07 Natete-Rubaga'!I13,'23.07 Natete-Rubaga'!I13,'24.07 Natete-Rubaga'!I13,'25.07 Natete-Rubaga'!I13,'26.07 Natete-Rubaga-24h'!I13,'27.07 Natete-Rubaga-24h'!I13,'28.07 Natete-Rubaga'!I13)</f>
        <v>2.8571428571428572</v>
      </c>
      <c r="J13" s="49">
        <f>AVERAGE('22.07 Natete-Rubaga'!J13,'23.07 Natete-Rubaga'!J13,'24.07 Natete-Rubaga'!J13,'25.07 Natete-Rubaga'!J13,'26.07 Natete-Rubaga-24h'!J13,'27.07 Natete-Rubaga-24h'!J13,'28.07 Natete-Rubaga'!J13)</f>
        <v>1.4285714285714286</v>
      </c>
      <c r="K13" s="49">
        <f>AVERAGE('22.07 Natete-Rubaga'!K13,'23.07 Natete-Rubaga'!K13,'24.07 Natete-Rubaga'!K13,'25.07 Natete-Rubaga'!K13,'26.07 Natete-Rubaga-24h'!K13,'27.07 Natete-Rubaga-24h'!K13,'28.07 Natete-Rubaga'!K13)</f>
        <v>0.14285714285714285</v>
      </c>
      <c r="L13" s="49">
        <f>AVERAGE('22.07 Natete-Rubaga'!L13,'23.07 Natete-Rubaga'!L13,'24.07 Natete-Rubaga'!L13,'25.07 Natete-Rubaga'!L13,'26.07 Natete-Rubaga-24h'!L13,'27.07 Natete-Rubaga-24h'!L13,'28.07 Natete-Rubaga'!L13)</f>
        <v>0</v>
      </c>
      <c r="M13" s="49">
        <f>AVERAGE('22.07 Natete-Rubaga'!M13,'23.07 Natete-Rubaga'!M13,'24.07 Natete-Rubaga'!M13,'25.07 Natete-Rubaga'!M13,'26.07 Natete-Rubaga-24h'!M13,'27.07 Natete-Rubaga-24h'!M13,'28.07 Natete-Rubaga'!M13)</f>
        <v>349.85714285714283</v>
      </c>
      <c r="N13" s="49">
        <f>AVERAGE('22.07 Natete-Rubaga'!N13,'23.07 Natete-Rubaga'!N13,'24.07 Natete-Rubaga'!N13,'25.07 Natete-Rubaga'!N13,'26.07 Natete-Rubaga-24h'!N13,'27.07 Natete-Rubaga-24h'!N13,'28.07 Natete-Rubaga'!N13)</f>
        <v>0</v>
      </c>
      <c r="O13" s="15">
        <f t="shared" si="0"/>
        <v>104</v>
      </c>
      <c r="P13" s="15">
        <f t="shared" si="1"/>
        <v>453.85714285714283</v>
      </c>
      <c r="R13" s="1" t="s">
        <v>9</v>
      </c>
      <c r="S13" s="17">
        <f t="shared" ref="S13:AF13" si="5">SUM(C22:C25)</f>
        <v>145</v>
      </c>
      <c r="T13" s="17">
        <f t="shared" si="5"/>
        <v>35</v>
      </c>
      <c r="U13" s="17">
        <f t="shared" si="5"/>
        <v>19</v>
      </c>
      <c r="V13" s="17">
        <f t="shared" si="5"/>
        <v>187.42857142857144</v>
      </c>
      <c r="W13" s="17">
        <f t="shared" si="5"/>
        <v>5.5714285714285712</v>
      </c>
      <c r="X13" s="17">
        <f t="shared" si="5"/>
        <v>2</v>
      </c>
      <c r="Y13" s="17">
        <f t="shared" si="5"/>
        <v>11.142857142857142</v>
      </c>
      <c r="Z13" s="17">
        <f t="shared" si="5"/>
        <v>7.2857142857142856</v>
      </c>
      <c r="AA13" s="17">
        <f t="shared" si="5"/>
        <v>1.2857142857142856</v>
      </c>
      <c r="AB13" s="17">
        <f t="shared" si="5"/>
        <v>0.5714285714285714</v>
      </c>
      <c r="AC13" s="17">
        <f t="shared" si="5"/>
        <v>805.42857142857133</v>
      </c>
      <c r="AD13" s="17">
        <f t="shared" si="5"/>
        <v>0</v>
      </c>
      <c r="AE13" s="31">
        <f t="shared" si="5"/>
        <v>414.28571428571428</v>
      </c>
      <c r="AF13" s="31">
        <f t="shared" si="5"/>
        <v>1219.7142857142858</v>
      </c>
    </row>
    <row r="14" spans="2:32" ht="23.1" customHeight="1" x14ac:dyDescent="0.25">
      <c r="B14" s="23" t="s">
        <v>41</v>
      </c>
      <c r="C14" s="49">
        <f>AVERAGE('22.07 Natete-Rubaga'!C14,'23.07 Natete-Rubaga'!C14,'24.07 Natete-Rubaga'!C14,'25.07 Natete-Rubaga'!C14,'26.07 Natete-Rubaga-24h'!C14,'27.07 Natete-Rubaga-24h'!C14,'28.07 Natete-Rubaga'!C14)</f>
        <v>34.714285714285715</v>
      </c>
      <c r="D14" s="49">
        <f>AVERAGE('22.07 Natete-Rubaga'!D14,'23.07 Natete-Rubaga'!D14,'24.07 Natete-Rubaga'!D14,'25.07 Natete-Rubaga'!D14,'26.07 Natete-Rubaga-24h'!D14,'27.07 Natete-Rubaga-24h'!D14,'28.07 Natete-Rubaga'!D14)</f>
        <v>10</v>
      </c>
      <c r="E14" s="49">
        <f>AVERAGE('22.07 Natete-Rubaga'!E14,'23.07 Natete-Rubaga'!E14,'24.07 Natete-Rubaga'!E14,'25.07 Natete-Rubaga'!E14,'26.07 Natete-Rubaga-24h'!E14,'27.07 Natete-Rubaga-24h'!E14,'28.07 Natete-Rubaga'!E14)</f>
        <v>5.1428571428571432</v>
      </c>
      <c r="F14" s="49">
        <f>AVERAGE('22.07 Natete-Rubaga'!F14,'23.07 Natete-Rubaga'!F14,'24.07 Natete-Rubaga'!F14,'25.07 Natete-Rubaga'!F14,'26.07 Natete-Rubaga-24h'!F14,'27.07 Natete-Rubaga-24h'!F14,'28.07 Natete-Rubaga'!F14)</f>
        <v>45.285714285714285</v>
      </c>
      <c r="G14" s="49">
        <f>AVERAGE('22.07 Natete-Rubaga'!G14,'23.07 Natete-Rubaga'!G14,'24.07 Natete-Rubaga'!G14,'25.07 Natete-Rubaga'!G14,'26.07 Natete-Rubaga-24h'!G14,'27.07 Natete-Rubaga-24h'!G14,'28.07 Natete-Rubaga'!G14)</f>
        <v>1.5714285714285714</v>
      </c>
      <c r="H14" s="49">
        <f>AVERAGE('22.07 Natete-Rubaga'!H14,'23.07 Natete-Rubaga'!H14,'24.07 Natete-Rubaga'!H14,'25.07 Natete-Rubaga'!H14,'26.07 Natete-Rubaga-24h'!H14,'27.07 Natete-Rubaga-24h'!H14,'28.07 Natete-Rubaga'!H14)</f>
        <v>1</v>
      </c>
      <c r="I14" s="49">
        <f>AVERAGE('22.07 Natete-Rubaga'!I14,'23.07 Natete-Rubaga'!I14,'24.07 Natete-Rubaga'!I14,'25.07 Natete-Rubaga'!I14,'26.07 Natete-Rubaga-24h'!I14,'27.07 Natete-Rubaga-24h'!I14,'28.07 Natete-Rubaga'!I14)</f>
        <v>3.1428571428571428</v>
      </c>
      <c r="J14" s="49">
        <f>AVERAGE('22.07 Natete-Rubaga'!J14,'23.07 Natete-Rubaga'!J14,'24.07 Natete-Rubaga'!J14,'25.07 Natete-Rubaga'!J14,'26.07 Natete-Rubaga-24h'!J14,'27.07 Natete-Rubaga-24h'!J14,'28.07 Natete-Rubaga'!J14)</f>
        <v>0.8571428571428571</v>
      </c>
      <c r="K14" s="49">
        <f>AVERAGE('22.07 Natete-Rubaga'!K14,'23.07 Natete-Rubaga'!K14,'24.07 Natete-Rubaga'!K14,'25.07 Natete-Rubaga'!K14,'26.07 Natete-Rubaga-24h'!K14,'27.07 Natete-Rubaga-24h'!K14,'28.07 Natete-Rubaga'!K14)</f>
        <v>0</v>
      </c>
      <c r="L14" s="49">
        <f>AVERAGE('22.07 Natete-Rubaga'!L14,'23.07 Natete-Rubaga'!L14,'24.07 Natete-Rubaga'!L14,'25.07 Natete-Rubaga'!L14,'26.07 Natete-Rubaga-24h'!L14,'27.07 Natete-Rubaga-24h'!L14,'28.07 Natete-Rubaga'!L14)</f>
        <v>0</v>
      </c>
      <c r="M14" s="49">
        <f>AVERAGE('22.07 Natete-Rubaga'!M14,'23.07 Natete-Rubaga'!M14,'24.07 Natete-Rubaga'!M14,'25.07 Natete-Rubaga'!M14,'26.07 Natete-Rubaga-24h'!M14,'27.07 Natete-Rubaga-24h'!M14,'28.07 Natete-Rubaga'!M14)</f>
        <v>344.28571428571428</v>
      </c>
      <c r="N14" s="49">
        <f>AVERAGE('22.07 Natete-Rubaga'!N14,'23.07 Natete-Rubaga'!N14,'24.07 Natete-Rubaga'!N14,'25.07 Natete-Rubaga'!N14,'26.07 Natete-Rubaga-24h'!N14,'27.07 Natete-Rubaga-24h'!N14,'28.07 Natete-Rubaga'!N14)</f>
        <v>0</v>
      </c>
      <c r="O14" s="15">
        <f t="shared" si="0"/>
        <v>101.71428571428571</v>
      </c>
      <c r="P14" s="15">
        <f t="shared" si="1"/>
        <v>446</v>
      </c>
      <c r="R14" s="1" t="s">
        <v>10</v>
      </c>
      <c r="S14" s="17">
        <f t="shared" ref="S14:AF14" si="6">SUM(C26:C29)</f>
        <v>130.71428571428572</v>
      </c>
      <c r="T14" s="17">
        <f t="shared" si="6"/>
        <v>38.857142857142854</v>
      </c>
      <c r="U14" s="17">
        <f t="shared" si="6"/>
        <v>19.571428571428569</v>
      </c>
      <c r="V14" s="17">
        <f t="shared" si="6"/>
        <v>150.57142857142858</v>
      </c>
      <c r="W14" s="17">
        <f t="shared" si="6"/>
        <v>8.428571428571427</v>
      </c>
      <c r="X14" s="17">
        <f t="shared" si="6"/>
        <v>2.2857142857142856</v>
      </c>
      <c r="Y14" s="17">
        <f t="shared" si="6"/>
        <v>12.285714285714286</v>
      </c>
      <c r="Z14" s="17">
        <f t="shared" si="6"/>
        <v>8.4285714285714288</v>
      </c>
      <c r="AA14" s="17">
        <f t="shared" si="6"/>
        <v>0.5714285714285714</v>
      </c>
      <c r="AB14" s="17">
        <f t="shared" si="6"/>
        <v>0.71428571428571419</v>
      </c>
      <c r="AC14" s="17">
        <f t="shared" si="6"/>
        <v>734.71428571428578</v>
      </c>
      <c r="AD14" s="17">
        <f t="shared" si="6"/>
        <v>1.4285714285714286</v>
      </c>
      <c r="AE14" s="31">
        <f t="shared" si="6"/>
        <v>373.85714285714289</v>
      </c>
      <c r="AF14" s="31">
        <f t="shared" si="6"/>
        <v>1108.5714285714287</v>
      </c>
    </row>
    <row r="15" spans="2:32" ht="23.1" customHeight="1" x14ac:dyDescent="0.25">
      <c r="B15" s="23" t="s">
        <v>42</v>
      </c>
      <c r="C15" s="49">
        <f>AVERAGE('22.07 Natete-Rubaga'!C15,'23.07 Natete-Rubaga'!C15,'24.07 Natete-Rubaga'!C15,'25.07 Natete-Rubaga'!C15,'26.07 Natete-Rubaga-24h'!C15,'27.07 Natete-Rubaga-24h'!C15,'28.07 Natete-Rubaga'!C15)</f>
        <v>32.857142857142854</v>
      </c>
      <c r="D15" s="49">
        <f>AVERAGE('22.07 Natete-Rubaga'!D15,'23.07 Natete-Rubaga'!D15,'24.07 Natete-Rubaga'!D15,'25.07 Natete-Rubaga'!D15,'26.07 Natete-Rubaga-24h'!D15,'27.07 Natete-Rubaga-24h'!D15,'28.07 Natete-Rubaga'!D15)</f>
        <v>9.8571428571428577</v>
      </c>
      <c r="E15" s="49">
        <f>AVERAGE('22.07 Natete-Rubaga'!E15,'23.07 Natete-Rubaga'!E15,'24.07 Natete-Rubaga'!E15,'25.07 Natete-Rubaga'!E15,'26.07 Natete-Rubaga-24h'!E15,'27.07 Natete-Rubaga-24h'!E15,'28.07 Natete-Rubaga'!E15)</f>
        <v>4.8571428571428568</v>
      </c>
      <c r="F15" s="49">
        <f>AVERAGE('22.07 Natete-Rubaga'!F15,'23.07 Natete-Rubaga'!F15,'24.07 Natete-Rubaga'!F15,'25.07 Natete-Rubaga'!F15,'26.07 Natete-Rubaga-24h'!F15,'27.07 Natete-Rubaga-24h'!F15,'28.07 Natete-Rubaga'!F15)</f>
        <v>60.857142857142854</v>
      </c>
      <c r="G15" s="49">
        <f>AVERAGE('22.07 Natete-Rubaga'!G15,'23.07 Natete-Rubaga'!G15,'24.07 Natete-Rubaga'!G15,'25.07 Natete-Rubaga'!G15,'26.07 Natete-Rubaga-24h'!G15,'27.07 Natete-Rubaga-24h'!G15,'28.07 Natete-Rubaga'!G15)</f>
        <v>1.8571428571428572</v>
      </c>
      <c r="H15" s="49">
        <f>AVERAGE('22.07 Natete-Rubaga'!H15,'23.07 Natete-Rubaga'!H15,'24.07 Natete-Rubaga'!H15,'25.07 Natete-Rubaga'!H15,'26.07 Natete-Rubaga-24h'!H15,'27.07 Natete-Rubaga-24h'!H15,'28.07 Natete-Rubaga'!H15)</f>
        <v>0.2857142857142857</v>
      </c>
      <c r="I15" s="49">
        <f>AVERAGE('22.07 Natete-Rubaga'!I15,'23.07 Natete-Rubaga'!I15,'24.07 Natete-Rubaga'!I15,'25.07 Natete-Rubaga'!I15,'26.07 Natete-Rubaga-24h'!I15,'27.07 Natete-Rubaga-24h'!I15,'28.07 Natete-Rubaga'!I15)</f>
        <v>2.1428571428571428</v>
      </c>
      <c r="J15" s="49">
        <f>AVERAGE('22.07 Natete-Rubaga'!J15,'23.07 Natete-Rubaga'!J15,'24.07 Natete-Rubaga'!J15,'25.07 Natete-Rubaga'!J15,'26.07 Natete-Rubaga-24h'!J15,'27.07 Natete-Rubaga-24h'!J15,'28.07 Natete-Rubaga'!J15)</f>
        <v>1.2857142857142858</v>
      </c>
      <c r="K15" s="49">
        <f>AVERAGE('22.07 Natete-Rubaga'!K15,'23.07 Natete-Rubaga'!K15,'24.07 Natete-Rubaga'!K15,'25.07 Natete-Rubaga'!K15,'26.07 Natete-Rubaga-24h'!K15,'27.07 Natete-Rubaga-24h'!K15,'28.07 Natete-Rubaga'!K15)</f>
        <v>0.42857142857142855</v>
      </c>
      <c r="L15" s="49">
        <f>AVERAGE('22.07 Natete-Rubaga'!L15,'23.07 Natete-Rubaga'!L15,'24.07 Natete-Rubaga'!L15,'25.07 Natete-Rubaga'!L15,'26.07 Natete-Rubaga-24h'!L15,'27.07 Natete-Rubaga-24h'!L15,'28.07 Natete-Rubaga'!L15)</f>
        <v>0.2857142857142857</v>
      </c>
      <c r="M15" s="49">
        <f>AVERAGE('22.07 Natete-Rubaga'!M15,'23.07 Natete-Rubaga'!M15,'24.07 Natete-Rubaga'!M15,'25.07 Natete-Rubaga'!M15,'26.07 Natete-Rubaga-24h'!M15,'27.07 Natete-Rubaga-24h'!M15,'28.07 Natete-Rubaga'!M15)</f>
        <v>381</v>
      </c>
      <c r="N15" s="49">
        <f>AVERAGE('22.07 Natete-Rubaga'!N15,'23.07 Natete-Rubaga'!N15,'24.07 Natete-Rubaga'!N15,'25.07 Natete-Rubaga'!N15,'26.07 Natete-Rubaga-24h'!N15,'27.07 Natete-Rubaga-24h'!N15,'28.07 Natete-Rubaga'!N15)</f>
        <v>0</v>
      </c>
      <c r="O15" s="15">
        <f t="shared" si="0"/>
        <v>114.71428571428572</v>
      </c>
      <c r="P15" s="15">
        <f t="shared" si="1"/>
        <v>495.71428571428572</v>
      </c>
      <c r="R15" s="1" t="s">
        <v>11</v>
      </c>
      <c r="S15" s="17">
        <f t="shared" ref="S15:AF15" si="7">SUM(C30:C33)</f>
        <v>113.57142857142858</v>
      </c>
      <c r="T15" s="17">
        <f t="shared" si="7"/>
        <v>31</v>
      </c>
      <c r="U15" s="17">
        <f t="shared" si="7"/>
        <v>21.857142857142861</v>
      </c>
      <c r="V15" s="17">
        <f t="shared" si="7"/>
        <v>151.28571428571428</v>
      </c>
      <c r="W15" s="17">
        <f t="shared" si="7"/>
        <v>2.5714285714285716</v>
      </c>
      <c r="X15" s="17">
        <f t="shared" si="7"/>
        <v>2.8571428571428572</v>
      </c>
      <c r="Y15" s="17">
        <f t="shared" si="7"/>
        <v>9.8571428571428577</v>
      </c>
      <c r="Z15" s="17">
        <f t="shared" si="7"/>
        <v>8.8571428571428577</v>
      </c>
      <c r="AA15" s="17">
        <f t="shared" si="7"/>
        <v>0.42857142857142855</v>
      </c>
      <c r="AB15" s="17">
        <f t="shared" si="7"/>
        <v>1.4285714285714284</v>
      </c>
      <c r="AC15" s="17">
        <f t="shared" si="7"/>
        <v>606.14285714285711</v>
      </c>
      <c r="AD15" s="17">
        <f t="shared" si="7"/>
        <v>0</v>
      </c>
      <c r="AE15" s="31">
        <f t="shared" si="7"/>
        <v>343.71428571428567</v>
      </c>
      <c r="AF15" s="31">
        <f t="shared" si="7"/>
        <v>949.85714285714289</v>
      </c>
    </row>
    <row r="16" spans="2:32" ht="23.1" customHeight="1" x14ac:dyDescent="0.25">
      <c r="B16" s="23" t="s">
        <v>43</v>
      </c>
      <c r="C16" s="49">
        <f>AVERAGE('22.07 Natete-Rubaga'!C16,'23.07 Natete-Rubaga'!C16,'24.07 Natete-Rubaga'!C16,'25.07 Natete-Rubaga'!C16,'26.07 Natete-Rubaga-24h'!C16,'27.07 Natete-Rubaga-24h'!C16,'28.07 Natete-Rubaga'!C16)</f>
        <v>44</v>
      </c>
      <c r="D16" s="49">
        <f>AVERAGE('22.07 Natete-Rubaga'!D16,'23.07 Natete-Rubaga'!D16,'24.07 Natete-Rubaga'!D16,'25.07 Natete-Rubaga'!D16,'26.07 Natete-Rubaga-24h'!D16,'27.07 Natete-Rubaga-24h'!D16,'28.07 Natete-Rubaga'!D16)</f>
        <v>10.428571428571429</v>
      </c>
      <c r="E16" s="49">
        <f>AVERAGE('22.07 Natete-Rubaga'!E16,'23.07 Natete-Rubaga'!E16,'24.07 Natete-Rubaga'!E16,'25.07 Natete-Rubaga'!E16,'26.07 Natete-Rubaga-24h'!E16,'27.07 Natete-Rubaga-24h'!E16,'28.07 Natete-Rubaga'!E16)</f>
        <v>5.1428571428571432</v>
      </c>
      <c r="F16" s="49">
        <f>AVERAGE('22.07 Natete-Rubaga'!F16,'23.07 Natete-Rubaga'!F16,'24.07 Natete-Rubaga'!F16,'25.07 Natete-Rubaga'!F16,'26.07 Natete-Rubaga-24h'!F16,'27.07 Natete-Rubaga-24h'!F16,'28.07 Natete-Rubaga'!F16)</f>
        <v>60.428571428571431</v>
      </c>
      <c r="G16" s="49">
        <f>AVERAGE('22.07 Natete-Rubaga'!G16,'23.07 Natete-Rubaga'!G16,'24.07 Natete-Rubaga'!G16,'25.07 Natete-Rubaga'!G16,'26.07 Natete-Rubaga-24h'!G16,'27.07 Natete-Rubaga-24h'!G16,'28.07 Natete-Rubaga'!G16)</f>
        <v>3</v>
      </c>
      <c r="H16" s="49">
        <f>AVERAGE('22.07 Natete-Rubaga'!H16,'23.07 Natete-Rubaga'!H16,'24.07 Natete-Rubaga'!H16,'25.07 Natete-Rubaga'!H16,'26.07 Natete-Rubaga-24h'!H16,'27.07 Natete-Rubaga-24h'!H16,'28.07 Natete-Rubaga'!H16)</f>
        <v>0.7142857142857143</v>
      </c>
      <c r="I16" s="49">
        <f>AVERAGE('22.07 Natete-Rubaga'!I16,'23.07 Natete-Rubaga'!I16,'24.07 Natete-Rubaga'!I16,'25.07 Natete-Rubaga'!I16,'26.07 Natete-Rubaga-24h'!I16,'27.07 Natete-Rubaga-24h'!I16,'28.07 Natete-Rubaga'!I16)</f>
        <v>1.5714285714285714</v>
      </c>
      <c r="J16" s="49">
        <f>AVERAGE('22.07 Natete-Rubaga'!J16,'23.07 Natete-Rubaga'!J16,'24.07 Natete-Rubaga'!J16,'25.07 Natete-Rubaga'!J16,'26.07 Natete-Rubaga-24h'!J16,'27.07 Natete-Rubaga-24h'!J16,'28.07 Natete-Rubaga'!J16)</f>
        <v>2</v>
      </c>
      <c r="K16" s="49">
        <f>AVERAGE('22.07 Natete-Rubaga'!K16,'23.07 Natete-Rubaga'!K16,'24.07 Natete-Rubaga'!K16,'25.07 Natete-Rubaga'!K16,'26.07 Natete-Rubaga-24h'!K16,'27.07 Natete-Rubaga-24h'!K16,'28.07 Natete-Rubaga'!K16)</f>
        <v>0.14285714285714285</v>
      </c>
      <c r="L16" s="49">
        <f>AVERAGE('22.07 Natete-Rubaga'!L16,'23.07 Natete-Rubaga'!L16,'24.07 Natete-Rubaga'!L16,'25.07 Natete-Rubaga'!L16,'26.07 Natete-Rubaga-24h'!L16,'27.07 Natete-Rubaga-24h'!L16,'28.07 Natete-Rubaga'!L16)</f>
        <v>0.14285714285714285</v>
      </c>
      <c r="M16" s="49">
        <f>AVERAGE('22.07 Natete-Rubaga'!M16,'23.07 Natete-Rubaga'!M16,'24.07 Natete-Rubaga'!M16,'25.07 Natete-Rubaga'!M16,'26.07 Natete-Rubaga-24h'!M16,'27.07 Natete-Rubaga-24h'!M16,'28.07 Natete-Rubaga'!M16)</f>
        <v>387.28571428571428</v>
      </c>
      <c r="N16" s="49">
        <f>AVERAGE('22.07 Natete-Rubaga'!N16,'23.07 Natete-Rubaga'!N16,'24.07 Natete-Rubaga'!N16,'25.07 Natete-Rubaga'!N16,'26.07 Natete-Rubaga-24h'!N16,'27.07 Natete-Rubaga-24h'!N16,'28.07 Natete-Rubaga'!N16)</f>
        <v>0</v>
      </c>
      <c r="O16" s="15">
        <f t="shared" si="0"/>
        <v>127.57142857142856</v>
      </c>
      <c r="P16" s="15">
        <f t="shared" si="1"/>
        <v>514.85714285714289</v>
      </c>
      <c r="R16" s="1" t="s">
        <v>12</v>
      </c>
      <c r="S16" s="17">
        <f t="shared" ref="S16:AF16" si="8">SUM(C34:C37)</f>
        <v>102.57142857142857</v>
      </c>
      <c r="T16" s="17">
        <f t="shared" si="8"/>
        <v>28.571428571428569</v>
      </c>
      <c r="U16" s="17">
        <f t="shared" si="8"/>
        <v>18.142857142857142</v>
      </c>
      <c r="V16" s="17">
        <f t="shared" si="8"/>
        <v>140.28571428571428</v>
      </c>
      <c r="W16" s="17">
        <f t="shared" si="8"/>
        <v>1.714285714285714</v>
      </c>
      <c r="X16" s="17">
        <f t="shared" si="8"/>
        <v>5.2857142857142856</v>
      </c>
      <c r="Y16" s="17">
        <f t="shared" si="8"/>
        <v>12.285714285714285</v>
      </c>
      <c r="Z16" s="17">
        <f t="shared" si="8"/>
        <v>6.1428571428571432</v>
      </c>
      <c r="AA16" s="17">
        <f t="shared" si="8"/>
        <v>1.5714285714285714</v>
      </c>
      <c r="AB16" s="17">
        <f t="shared" si="8"/>
        <v>1.2857142857142856</v>
      </c>
      <c r="AC16" s="17">
        <f t="shared" si="8"/>
        <v>527.57142857142856</v>
      </c>
      <c r="AD16" s="17">
        <f t="shared" si="8"/>
        <v>0</v>
      </c>
      <c r="AE16" s="31">
        <f t="shared" si="8"/>
        <v>317.85714285714289</v>
      </c>
      <c r="AF16" s="31">
        <f t="shared" si="8"/>
        <v>845.42857142857144</v>
      </c>
    </row>
    <row r="17" spans="2:32" ht="23.1" customHeight="1" x14ac:dyDescent="0.25">
      <c r="B17" s="23" t="s">
        <v>44</v>
      </c>
      <c r="C17" s="49">
        <f>AVERAGE('22.07 Natete-Rubaga'!C17,'23.07 Natete-Rubaga'!C17,'24.07 Natete-Rubaga'!C17,'25.07 Natete-Rubaga'!C17,'26.07 Natete-Rubaga-24h'!C17,'27.07 Natete-Rubaga-24h'!C17,'28.07 Natete-Rubaga'!C17)</f>
        <v>36.857142857142854</v>
      </c>
      <c r="D17" s="49">
        <f>AVERAGE('22.07 Natete-Rubaga'!D17,'23.07 Natete-Rubaga'!D17,'24.07 Natete-Rubaga'!D17,'25.07 Natete-Rubaga'!D17,'26.07 Natete-Rubaga-24h'!D17,'27.07 Natete-Rubaga-24h'!D17,'28.07 Natete-Rubaga'!D17)</f>
        <v>11.857142857142858</v>
      </c>
      <c r="E17" s="49">
        <f>AVERAGE('22.07 Natete-Rubaga'!E17,'23.07 Natete-Rubaga'!E17,'24.07 Natete-Rubaga'!E17,'25.07 Natete-Rubaga'!E17,'26.07 Natete-Rubaga-24h'!E17,'27.07 Natete-Rubaga-24h'!E17,'28.07 Natete-Rubaga'!E17)</f>
        <v>6.1428571428571432</v>
      </c>
      <c r="F17" s="49">
        <f>AVERAGE('22.07 Natete-Rubaga'!F17,'23.07 Natete-Rubaga'!F17,'24.07 Natete-Rubaga'!F17,'25.07 Natete-Rubaga'!F17,'26.07 Natete-Rubaga-24h'!F17,'27.07 Natete-Rubaga-24h'!F17,'28.07 Natete-Rubaga'!F17)</f>
        <v>57.714285714285715</v>
      </c>
      <c r="G17" s="49">
        <f>AVERAGE('22.07 Natete-Rubaga'!G17,'23.07 Natete-Rubaga'!G17,'24.07 Natete-Rubaga'!G17,'25.07 Natete-Rubaga'!G17,'26.07 Natete-Rubaga-24h'!G17,'27.07 Natete-Rubaga-24h'!G17,'28.07 Natete-Rubaga'!G17)</f>
        <v>0.8571428571428571</v>
      </c>
      <c r="H17" s="49">
        <f>AVERAGE('22.07 Natete-Rubaga'!H17,'23.07 Natete-Rubaga'!H17,'24.07 Natete-Rubaga'!H17,'25.07 Natete-Rubaga'!H17,'26.07 Natete-Rubaga-24h'!H17,'27.07 Natete-Rubaga-24h'!H17,'28.07 Natete-Rubaga'!H17)</f>
        <v>0</v>
      </c>
      <c r="I17" s="49">
        <f>AVERAGE('22.07 Natete-Rubaga'!I17,'23.07 Natete-Rubaga'!I17,'24.07 Natete-Rubaga'!I17,'25.07 Natete-Rubaga'!I17,'26.07 Natete-Rubaga-24h'!I17,'27.07 Natete-Rubaga-24h'!I17,'28.07 Natete-Rubaga'!I17)</f>
        <v>2.2857142857142856</v>
      </c>
      <c r="J17" s="49">
        <f>AVERAGE('22.07 Natete-Rubaga'!J17,'23.07 Natete-Rubaga'!J17,'24.07 Natete-Rubaga'!J17,'25.07 Natete-Rubaga'!J17,'26.07 Natete-Rubaga-24h'!J17,'27.07 Natete-Rubaga-24h'!J17,'28.07 Natete-Rubaga'!J17)</f>
        <v>1.1428571428571428</v>
      </c>
      <c r="K17" s="49">
        <f>AVERAGE('22.07 Natete-Rubaga'!K17,'23.07 Natete-Rubaga'!K17,'24.07 Natete-Rubaga'!K17,'25.07 Natete-Rubaga'!K17,'26.07 Natete-Rubaga-24h'!K17,'27.07 Natete-Rubaga-24h'!K17,'28.07 Natete-Rubaga'!K17)</f>
        <v>0.14285714285714285</v>
      </c>
      <c r="L17" s="49">
        <f>AVERAGE('22.07 Natete-Rubaga'!L17,'23.07 Natete-Rubaga'!L17,'24.07 Natete-Rubaga'!L17,'25.07 Natete-Rubaga'!L17,'26.07 Natete-Rubaga-24h'!L17,'27.07 Natete-Rubaga-24h'!L17,'28.07 Natete-Rubaga'!L17)</f>
        <v>0</v>
      </c>
      <c r="M17" s="49">
        <f>AVERAGE('22.07 Natete-Rubaga'!M17,'23.07 Natete-Rubaga'!M17,'24.07 Natete-Rubaga'!M17,'25.07 Natete-Rubaga'!M17,'26.07 Natete-Rubaga-24h'!M17,'27.07 Natete-Rubaga-24h'!M17,'28.07 Natete-Rubaga'!M17)</f>
        <v>360.14285714285717</v>
      </c>
      <c r="N17" s="49">
        <f>AVERAGE('22.07 Natete-Rubaga'!N17,'23.07 Natete-Rubaga'!N17,'24.07 Natete-Rubaga'!N17,'25.07 Natete-Rubaga'!N17,'26.07 Natete-Rubaga-24h'!N17,'27.07 Natete-Rubaga-24h'!N17,'28.07 Natete-Rubaga'!N17)</f>
        <v>0</v>
      </c>
      <c r="O17" s="15">
        <f t="shared" si="0"/>
        <v>117</v>
      </c>
      <c r="P17" s="15">
        <f t="shared" si="1"/>
        <v>477.14285714285717</v>
      </c>
      <c r="R17" s="1" t="s">
        <v>13</v>
      </c>
      <c r="S17" s="17">
        <f t="shared" ref="S17:AF17" si="9">SUM(C38:C41)</f>
        <v>106</v>
      </c>
      <c r="T17" s="17">
        <f t="shared" si="9"/>
        <v>24.857142857142858</v>
      </c>
      <c r="U17" s="17">
        <f t="shared" si="9"/>
        <v>19.571428571428569</v>
      </c>
      <c r="V17" s="17">
        <f t="shared" si="9"/>
        <v>139.28571428571431</v>
      </c>
      <c r="W17" s="17">
        <f t="shared" si="9"/>
        <v>3.5714285714285712</v>
      </c>
      <c r="X17" s="17">
        <f t="shared" si="9"/>
        <v>5</v>
      </c>
      <c r="Y17" s="17">
        <f t="shared" si="9"/>
        <v>13.142857142857142</v>
      </c>
      <c r="Z17" s="17">
        <f t="shared" si="9"/>
        <v>8.4285714285714288</v>
      </c>
      <c r="AA17" s="17">
        <f t="shared" si="9"/>
        <v>1.1428571428571428</v>
      </c>
      <c r="AB17" s="17">
        <f t="shared" si="9"/>
        <v>0.2857142857142857</v>
      </c>
      <c r="AC17" s="17">
        <f t="shared" si="9"/>
        <v>474.85714285714289</v>
      </c>
      <c r="AD17" s="17">
        <f t="shared" si="9"/>
        <v>0</v>
      </c>
      <c r="AE17" s="31">
        <f t="shared" si="9"/>
        <v>321.28571428571428</v>
      </c>
      <c r="AF17" s="31">
        <f t="shared" si="9"/>
        <v>796.14285714285722</v>
      </c>
    </row>
    <row r="18" spans="2:32" ht="23.1" customHeight="1" x14ac:dyDescent="0.25">
      <c r="B18" s="23" t="s">
        <v>45</v>
      </c>
      <c r="C18" s="49">
        <f>AVERAGE('22.07 Natete-Rubaga'!C18,'23.07 Natete-Rubaga'!C18,'24.07 Natete-Rubaga'!C18,'25.07 Natete-Rubaga'!C18,'26.07 Natete-Rubaga-24h'!C18,'27.07 Natete-Rubaga-24h'!C18,'28.07 Natete-Rubaga'!C18)</f>
        <v>39</v>
      </c>
      <c r="D18" s="49">
        <f>AVERAGE('22.07 Natete-Rubaga'!D18,'23.07 Natete-Rubaga'!D18,'24.07 Natete-Rubaga'!D18,'25.07 Natete-Rubaga'!D18,'26.07 Natete-Rubaga-24h'!D18,'27.07 Natete-Rubaga-24h'!D18,'28.07 Natete-Rubaga'!D18)</f>
        <v>8.5714285714285712</v>
      </c>
      <c r="E18" s="49">
        <f>AVERAGE('22.07 Natete-Rubaga'!E18,'23.07 Natete-Rubaga'!E18,'24.07 Natete-Rubaga'!E18,'25.07 Natete-Rubaga'!E18,'26.07 Natete-Rubaga-24h'!E18,'27.07 Natete-Rubaga-24h'!E18,'28.07 Natete-Rubaga'!E18)</f>
        <v>4.5714285714285712</v>
      </c>
      <c r="F18" s="49">
        <f>AVERAGE('22.07 Natete-Rubaga'!F18,'23.07 Natete-Rubaga'!F18,'24.07 Natete-Rubaga'!F18,'25.07 Natete-Rubaga'!F18,'26.07 Natete-Rubaga-24h'!F18,'27.07 Natete-Rubaga-24h'!F18,'28.07 Natete-Rubaga'!F18)</f>
        <v>64.285714285714292</v>
      </c>
      <c r="G18" s="49">
        <f>AVERAGE('22.07 Natete-Rubaga'!G18,'23.07 Natete-Rubaga'!G18,'24.07 Natete-Rubaga'!G18,'25.07 Natete-Rubaga'!G18,'26.07 Natete-Rubaga-24h'!G18,'27.07 Natete-Rubaga-24h'!G18,'28.07 Natete-Rubaga'!G18)</f>
        <v>1.4285714285714286</v>
      </c>
      <c r="H18" s="49">
        <f>AVERAGE('22.07 Natete-Rubaga'!H18,'23.07 Natete-Rubaga'!H18,'24.07 Natete-Rubaga'!H18,'25.07 Natete-Rubaga'!H18,'26.07 Natete-Rubaga-24h'!H18,'27.07 Natete-Rubaga-24h'!H18,'28.07 Natete-Rubaga'!H18)</f>
        <v>0.5714285714285714</v>
      </c>
      <c r="I18" s="49">
        <f>AVERAGE('22.07 Natete-Rubaga'!I18,'23.07 Natete-Rubaga'!I18,'24.07 Natete-Rubaga'!I18,'25.07 Natete-Rubaga'!I18,'26.07 Natete-Rubaga-24h'!I18,'27.07 Natete-Rubaga-24h'!I18,'28.07 Natete-Rubaga'!I18)</f>
        <v>2.5714285714285716</v>
      </c>
      <c r="J18" s="49">
        <f>AVERAGE('22.07 Natete-Rubaga'!J18,'23.07 Natete-Rubaga'!J18,'24.07 Natete-Rubaga'!J18,'25.07 Natete-Rubaga'!J18,'26.07 Natete-Rubaga-24h'!J18,'27.07 Natete-Rubaga-24h'!J18,'28.07 Natete-Rubaga'!J18)</f>
        <v>1.5714285714285714</v>
      </c>
      <c r="K18" s="49">
        <f>AVERAGE('22.07 Natete-Rubaga'!K18,'23.07 Natete-Rubaga'!K18,'24.07 Natete-Rubaga'!K18,'25.07 Natete-Rubaga'!K18,'26.07 Natete-Rubaga-24h'!K18,'27.07 Natete-Rubaga-24h'!K18,'28.07 Natete-Rubaga'!K18)</f>
        <v>0.2857142857142857</v>
      </c>
      <c r="L18" s="49">
        <f>AVERAGE('22.07 Natete-Rubaga'!L18,'23.07 Natete-Rubaga'!L18,'24.07 Natete-Rubaga'!L18,'25.07 Natete-Rubaga'!L18,'26.07 Natete-Rubaga-24h'!L18,'27.07 Natete-Rubaga-24h'!L18,'28.07 Natete-Rubaga'!L18)</f>
        <v>0</v>
      </c>
      <c r="M18" s="49">
        <f>AVERAGE('22.07 Natete-Rubaga'!M18,'23.07 Natete-Rubaga'!M18,'24.07 Natete-Rubaga'!M18,'25.07 Natete-Rubaga'!M18,'26.07 Natete-Rubaga-24h'!M18,'27.07 Natete-Rubaga-24h'!M18,'28.07 Natete-Rubaga'!M18)</f>
        <v>340.57142857142856</v>
      </c>
      <c r="N18" s="49">
        <f>AVERAGE('22.07 Natete-Rubaga'!N18,'23.07 Natete-Rubaga'!N18,'24.07 Natete-Rubaga'!N18,'25.07 Natete-Rubaga'!N18,'26.07 Natete-Rubaga-24h'!N18,'27.07 Natete-Rubaga-24h'!N18,'28.07 Natete-Rubaga'!N18)</f>
        <v>0</v>
      </c>
      <c r="O18" s="15">
        <f t="shared" si="0"/>
        <v>122.85714285714286</v>
      </c>
      <c r="P18" s="15">
        <f t="shared" si="1"/>
        <v>463.42857142857144</v>
      </c>
      <c r="R18" s="1" t="s">
        <v>14</v>
      </c>
      <c r="S18" s="17">
        <f t="shared" ref="S18:AF18" si="10">SUM(C42:C45)</f>
        <v>100.14285714285715</v>
      </c>
      <c r="T18" s="17">
        <f t="shared" si="10"/>
        <v>30.714285714285712</v>
      </c>
      <c r="U18" s="17">
        <f t="shared" si="10"/>
        <v>18.142857142857142</v>
      </c>
      <c r="V18" s="17">
        <f t="shared" si="10"/>
        <v>116.42857142857142</v>
      </c>
      <c r="W18" s="17">
        <f t="shared" si="10"/>
        <v>3</v>
      </c>
      <c r="X18" s="17">
        <f t="shared" si="10"/>
        <v>4.8571428571428568</v>
      </c>
      <c r="Y18" s="17">
        <f t="shared" si="10"/>
        <v>9.9999999999999982</v>
      </c>
      <c r="Z18" s="17">
        <f t="shared" si="10"/>
        <v>7.4285714285714279</v>
      </c>
      <c r="AA18" s="17">
        <f t="shared" si="10"/>
        <v>0.42857142857142855</v>
      </c>
      <c r="AB18" s="17">
        <f t="shared" si="10"/>
        <v>0.5714285714285714</v>
      </c>
      <c r="AC18" s="17">
        <f t="shared" si="10"/>
        <v>447.28571428571428</v>
      </c>
      <c r="AD18" s="17">
        <f t="shared" si="10"/>
        <v>0</v>
      </c>
      <c r="AE18" s="31">
        <f t="shared" si="10"/>
        <v>291.71428571428567</v>
      </c>
      <c r="AF18" s="31">
        <f t="shared" si="10"/>
        <v>739</v>
      </c>
    </row>
    <row r="19" spans="2:32" ht="23.1" customHeight="1" x14ac:dyDescent="0.25">
      <c r="B19" s="23" t="s">
        <v>46</v>
      </c>
      <c r="C19" s="49">
        <f>AVERAGE('22.07 Natete-Rubaga'!C19,'23.07 Natete-Rubaga'!C19,'24.07 Natete-Rubaga'!C19,'25.07 Natete-Rubaga'!C19,'26.07 Natete-Rubaga-24h'!C19,'27.07 Natete-Rubaga-24h'!C19,'28.07 Natete-Rubaga'!C19)</f>
        <v>38.714285714285715</v>
      </c>
      <c r="D19" s="49">
        <f>AVERAGE('22.07 Natete-Rubaga'!D19,'23.07 Natete-Rubaga'!D19,'24.07 Natete-Rubaga'!D19,'25.07 Natete-Rubaga'!D19,'26.07 Natete-Rubaga-24h'!D19,'27.07 Natete-Rubaga-24h'!D19,'28.07 Natete-Rubaga'!D19)</f>
        <v>11</v>
      </c>
      <c r="E19" s="49">
        <f>AVERAGE('22.07 Natete-Rubaga'!E19,'23.07 Natete-Rubaga'!E19,'24.07 Natete-Rubaga'!E19,'25.07 Natete-Rubaga'!E19,'26.07 Natete-Rubaga-24h'!E19,'27.07 Natete-Rubaga-24h'!E19,'28.07 Natete-Rubaga'!E19)</f>
        <v>4.5714285714285712</v>
      </c>
      <c r="F19" s="49">
        <f>AVERAGE('22.07 Natete-Rubaga'!F19,'23.07 Natete-Rubaga'!F19,'24.07 Natete-Rubaga'!F19,'25.07 Natete-Rubaga'!F19,'26.07 Natete-Rubaga-24h'!F19,'27.07 Natete-Rubaga-24h'!F19,'28.07 Natete-Rubaga'!F19)</f>
        <v>58.142857142857146</v>
      </c>
      <c r="G19" s="49">
        <f>AVERAGE('22.07 Natete-Rubaga'!G19,'23.07 Natete-Rubaga'!G19,'24.07 Natete-Rubaga'!G19,'25.07 Natete-Rubaga'!G19,'26.07 Natete-Rubaga-24h'!G19,'27.07 Natete-Rubaga-24h'!G19,'28.07 Natete-Rubaga'!G19)</f>
        <v>2.1428571428571428</v>
      </c>
      <c r="H19" s="49">
        <f>AVERAGE('22.07 Natete-Rubaga'!H19,'23.07 Natete-Rubaga'!H19,'24.07 Natete-Rubaga'!H19,'25.07 Natete-Rubaga'!H19,'26.07 Natete-Rubaga-24h'!H19,'27.07 Natete-Rubaga-24h'!H19,'28.07 Natete-Rubaga'!H19)</f>
        <v>1</v>
      </c>
      <c r="I19" s="49">
        <f>AVERAGE('22.07 Natete-Rubaga'!I19,'23.07 Natete-Rubaga'!I19,'24.07 Natete-Rubaga'!I19,'25.07 Natete-Rubaga'!I19,'26.07 Natete-Rubaga-24h'!I19,'27.07 Natete-Rubaga-24h'!I19,'28.07 Natete-Rubaga'!I19)</f>
        <v>1.8571428571428572</v>
      </c>
      <c r="J19" s="49">
        <f>AVERAGE('22.07 Natete-Rubaga'!J19,'23.07 Natete-Rubaga'!J19,'24.07 Natete-Rubaga'!J19,'25.07 Natete-Rubaga'!J19,'26.07 Natete-Rubaga-24h'!J19,'27.07 Natete-Rubaga-24h'!J19,'28.07 Natete-Rubaga'!J19)</f>
        <v>3.1428571428571428</v>
      </c>
      <c r="K19" s="49">
        <f>AVERAGE('22.07 Natete-Rubaga'!K19,'23.07 Natete-Rubaga'!K19,'24.07 Natete-Rubaga'!K19,'25.07 Natete-Rubaga'!K19,'26.07 Natete-Rubaga-24h'!K19,'27.07 Natete-Rubaga-24h'!K19,'28.07 Natete-Rubaga'!K19)</f>
        <v>0.14285714285714285</v>
      </c>
      <c r="L19" s="49">
        <f>AVERAGE('22.07 Natete-Rubaga'!L19,'23.07 Natete-Rubaga'!L19,'24.07 Natete-Rubaga'!L19,'25.07 Natete-Rubaga'!L19,'26.07 Natete-Rubaga-24h'!L19,'27.07 Natete-Rubaga-24h'!L19,'28.07 Natete-Rubaga'!L19)</f>
        <v>0</v>
      </c>
      <c r="M19" s="49">
        <f>AVERAGE('22.07 Natete-Rubaga'!M19,'23.07 Natete-Rubaga'!M19,'24.07 Natete-Rubaga'!M19,'25.07 Natete-Rubaga'!M19,'26.07 Natete-Rubaga-24h'!M19,'27.07 Natete-Rubaga-24h'!M19,'28.07 Natete-Rubaga'!M19)</f>
        <v>320.28571428571428</v>
      </c>
      <c r="N19" s="49">
        <f>AVERAGE('22.07 Natete-Rubaga'!N19,'23.07 Natete-Rubaga'!N19,'24.07 Natete-Rubaga'!N19,'25.07 Natete-Rubaga'!N19,'26.07 Natete-Rubaga-24h'!N19,'27.07 Natete-Rubaga-24h'!N19,'28.07 Natete-Rubaga'!N19)</f>
        <v>0</v>
      </c>
      <c r="O19" s="15">
        <f t="shared" si="0"/>
        <v>120.71428571428571</v>
      </c>
      <c r="P19" s="15">
        <f t="shared" si="1"/>
        <v>441</v>
      </c>
      <c r="R19" s="1" t="s">
        <v>15</v>
      </c>
      <c r="S19" s="17">
        <f t="shared" ref="S19:AF19" si="11">SUM(C46:C49)</f>
        <v>106.57142857142858</v>
      </c>
      <c r="T19" s="17">
        <f t="shared" si="11"/>
        <v>34</v>
      </c>
      <c r="U19" s="17">
        <f t="shared" si="11"/>
        <v>17.142857142857142</v>
      </c>
      <c r="V19" s="17">
        <f t="shared" si="11"/>
        <v>133.57142857142856</v>
      </c>
      <c r="W19" s="17">
        <f t="shared" si="11"/>
        <v>2.4285714285714284</v>
      </c>
      <c r="X19" s="17">
        <f t="shared" si="11"/>
        <v>7.7142857142857144</v>
      </c>
      <c r="Y19" s="17">
        <f t="shared" si="11"/>
        <v>14.285714285714285</v>
      </c>
      <c r="Z19" s="17">
        <f t="shared" si="11"/>
        <v>7.4285714285714279</v>
      </c>
      <c r="AA19" s="17">
        <f t="shared" si="11"/>
        <v>1</v>
      </c>
      <c r="AB19" s="17">
        <f t="shared" si="11"/>
        <v>0.8571428571428571</v>
      </c>
      <c r="AC19" s="17">
        <f t="shared" si="11"/>
        <v>466.14285714285717</v>
      </c>
      <c r="AD19" s="17">
        <f t="shared" si="11"/>
        <v>0</v>
      </c>
      <c r="AE19" s="31">
        <f t="shared" si="11"/>
        <v>325.00000000000006</v>
      </c>
      <c r="AF19" s="31">
        <f t="shared" si="11"/>
        <v>791.14285714285711</v>
      </c>
    </row>
    <row r="20" spans="2:32" ht="23.1" customHeight="1" x14ac:dyDescent="0.25">
      <c r="B20" s="23" t="s">
        <v>47</v>
      </c>
      <c r="C20" s="49">
        <f>AVERAGE('22.07 Natete-Rubaga'!C20,'23.07 Natete-Rubaga'!C20,'24.07 Natete-Rubaga'!C20,'25.07 Natete-Rubaga'!C20,'26.07 Natete-Rubaga-24h'!C20,'27.07 Natete-Rubaga-24h'!C20,'28.07 Natete-Rubaga'!C20)</f>
        <v>42.714285714285715</v>
      </c>
      <c r="D20" s="49">
        <f>AVERAGE('22.07 Natete-Rubaga'!D20,'23.07 Natete-Rubaga'!D20,'24.07 Natete-Rubaga'!D20,'25.07 Natete-Rubaga'!D20,'26.07 Natete-Rubaga-24h'!D20,'27.07 Natete-Rubaga-24h'!D20,'28.07 Natete-Rubaga'!D20)</f>
        <v>10.571428571428571</v>
      </c>
      <c r="E20" s="49">
        <f>AVERAGE('22.07 Natete-Rubaga'!E20,'23.07 Natete-Rubaga'!E20,'24.07 Natete-Rubaga'!E20,'25.07 Natete-Rubaga'!E20,'26.07 Natete-Rubaga-24h'!E20,'27.07 Natete-Rubaga-24h'!E20,'28.07 Natete-Rubaga'!E20)</f>
        <v>4.5714285714285712</v>
      </c>
      <c r="F20" s="49">
        <f>AVERAGE('22.07 Natete-Rubaga'!F20,'23.07 Natete-Rubaga'!F20,'24.07 Natete-Rubaga'!F20,'25.07 Natete-Rubaga'!F20,'26.07 Natete-Rubaga-24h'!F20,'27.07 Natete-Rubaga-24h'!F20,'28.07 Natete-Rubaga'!F20)</f>
        <v>66</v>
      </c>
      <c r="G20" s="49">
        <f>AVERAGE('22.07 Natete-Rubaga'!G20,'23.07 Natete-Rubaga'!G20,'24.07 Natete-Rubaga'!G20,'25.07 Natete-Rubaga'!G20,'26.07 Natete-Rubaga-24h'!G20,'27.07 Natete-Rubaga-24h'!G20,'28.07 Natete-Rubaga'!G20)</f>
        <v>2.1428571428571428</v>
      </c>
      <c r="H20" s="49">
        <f>AVERAGE('22.07 Natete-Rubaga'!H20,'23.07 Natete-Rubaga'!H20,'24.07 Natete-Rubaga'!H20,'25.07 Natete-Rubaga'!H20,'26.07 Natete-Rubaga-24h'!H20,'27.07 Natete-Rubaga-24h'!H20,'28.07 Natete-Rubaga'!H20)</f>
        <v>0.7142857142857143</v>
      </c>
      <c r="I20" s="49">
        <f>AVERAGE('22.07 Natete-Rubaga'!I20,'23.07 Natete-Rubaga'!I20,'24.07 Natete-Rubaga'!I20,'25.07 Natete-Rubaga'!I20,'26.07 Natete-Rubaga-24h'!I20,'27.07 Natete-Rubaga-24h'!I20,'28.07 Natete-Rubaga'!I20)</f>
        <v>2.5714285714285716</v>
      </c>
      <c r="J20" s="49">
        <f>AVERAGE('22.07 Natete-Rubaga'!J20,'23.07 Natete-Rubaga'!J20,'24.07 Natete-Rubaga'!J20,'25.07 Natete-Rubaga'!J20,'26.07 Natete-Rubaga-24h'!J20,'27.07 Natete-Rubaga-24h'!J20,'28.07 Natete-Rubaga'!J20)</f>
        <v>2.4285714285714284</v>
      </c>
      <c r="K20" s="49">
        <f>AVERAGE('22.07 Natete-Rubaga'!K20,'23.07 Natete-Rubaga'!K20,'24.07 Natete-Rubaga'!K20,'25.07 Natete-Rubaga'!K20,'26.07 Natete-Rubaga-24h'!K20,'27.07 Natete-Rubaga-24h'!K20,'28.07 Natete-Rubaga'!K20)</f>
        <v>0</v>
      </c>
      <c r="L20" s="49">
        <f>AVERAGE('22.07 Natete-Rubaga'!L20,'23.07 Natete-Rubaga'!L20,'24.07 Natete-Rubaga'!L20,'25.07 Natete-Rubaga'!L20,'26.07 Natete-Rubaga-24h'!L20,'27.07 Natete-Rubaga-24h'!L20,'28.07 Natete-Rubaga'!L20)</f>
        <v>0.14285714285714285</v>
      </c>
      <c r="M20" s="49">
        <f>AVERAGE('22.07 Natete-Rubaga'!M20,'23.07 Natete-Rubaga'!M20,'24.07 Natete-Rubaga'!M20,'25.07 Natete-Rubaga'!M20,'26.07 Natete-Rubaga-24h'!M20,'27.07 Natete-Rubaga-24h'!M20,'28.07 Natete-Rubaga'!M20)</f>
        <v>276.85714285714283</v>
      </c>
      <c r="N20" s="49">
        <f>AVERAGE('22.07 Natete-Rubaga'!N20,'23.07 Natete-Rubaga'!N20,'24.07 Natete-Rubaga'!N20,'25.07 Natete-Rubaga'!N20,'26.07 Natete-Rubaga-24h'!N20,'27.07 Natete-Rubaga-24h'!N20,'28.07 Natete-Rubaga'!N20)</f>
        <v>0</v>
      </c>
      <c r="O20" s="15">
        <f t="shared" si="0"/>
        <v>131.85714285714283</v>
      </c>
      <c r="P20" s="15">
        <f t="shared" si="1"/>
        <v>408.71428571428567</v>
      </c>
      <c r="R20" s="1" t="s">
        <v>16</v>
      </c>
      <c r="S20" s="17">
        <f t="shared" ref="S20:AF20" si="12">SUM(C50:C53)</f>
        <v>120</v>
      </c>
      <c r="T20" s="17">
        <f t="shared" si="12"/>
        <v>35.857142857142861</v>
      </c>
      <c r="U20" s="17">
        <f t="shared" si="12"/>
        <v>17.714285714285712</v>
      </c>
      <c r="V20" s="17">
        <f t="shared" si="12"/>
        <v>151.57142857142858</v>
      </c>
      <c r="W20" s="17">
        <f t="shared" si="12"/>
        <v>3.2857142857142856</v>
      </c>
      <c r="X20" s="17">
        <f t="shared" si="12"/>
        <v>8.7142857142857135</v>
      </c>
      <c r="Y20" s="17">
        <f t="shared" si="12"/>
        <v>15.571428571428571</v>
      </c>
      <c r="Z20" s="17">
        <f t="shared" si="12"/>
        <v>8.7142857142857153</v>
      </c>
      <c r="AA20" s="17">
        <f t="shared" si="12"/>
        <v>1.2857142857142856</v>
      </c>
      <c r="AB20" s="17">
        <f t="shared" si="12"/>
        <v>0.5714285714285714</v>
      </c>
      <c r="AC20" s="17">
        <f t="shared" si="12"/>
        <v>487.28571428571433</v>
      </c>
      <c r="AD20" s="17">
        <f t="shared" si="12"/>
        <v>0</v>
      </c>
      <c r="AE20" s="31">
        <f t="shared" si="12"/>
        <v>363.28571428571428</v>
      </c>
      <c r="AF20" s="31">
        <f t="shared" si="12"/>
        <v>850.57142857142856</v>
      </c>
    </row>
    <row r="21" spans="2:32" ht="23.1" customHeight="1" x14ac:dyDescent="0.25">
      <c r="B21" s="23" t="s">
        <v>48</v>
      </c>
      <c r="C21" s="49">
        <f>AVERAGE('22.07 Natete-Rubaga'!C21,'23.07 Natete-Rubaga'!C21,'24.07 Natete-Rubaga'!C21,'25.07 Natete-Rubaga'!C21,'26.07 Natete-Rubaga-24h'!C21,'27.07 Natete-Rubaga-24h'!C21,'28.07 Natete-Rubaga'!C21)</f>
        <v>34.571428571428569</v>
      </c>
      <c r="D21" s="49">
        <f>AVERAGE('22.07 Natete-Rubaga'!D21,'23.07 Natete-Rubaga'!D21,'24.07 Natete-Rubaga'!D21,'25.07 Natete-Rubaga'!D21,'26.07 Natete-Rubaga-24h'!D21,'27.07 Natete-Rubaga-24h'!D21,'28.07 Natete-Rubaga'!D21)</f>
        <v>8.5714285714285712</v>
      </c>
      <c r="E21" s="49">
        <f>AVERAGE('22.07 Natete-Rubaga'!E21,'23.07 Natete-Rubaga'!E21,'24.07 Natete-Rubaga'!E21,'25.07 Natete-Rubaga'!E21,'26.07 Natete-Rubaga-24h'!E21,'27.07 Natete-Rubaga-24h'!E21,'28.07 Natete-Rubaga'!E21)</f>
        <v>5.4285714285714288</v>
      </c>
      <c r="F21" s="49">
        <f>AVERAGE('22.07 Natete-Rubaga'!F21,'23.07 Natete-Rubaga'!F21,'24.07 Natete-Rubaga'!F21,'25.07 Natete-Rubaga'!F21,'26.07 Natete-Rubaga-24h'!F21,'27.07 Natete-Rubaga-24h'!F21,'28.07 Natete-Rubaga'!F21)</f>
        <v>58.714285714285715</v>
      </c>
      <c r="G21" s="49">
        <f>AVERAGE('22.07 Natete-Rubaga'!G21,'23.07 Natete-Rubaga'!G21,'24.07 Natete-Rubaga'!G21,'25.07 Natete-Rubaga'!G21,'26.07 Natete-Rubaga-24h'!G21,'27.07 Natete-Rubaga-24h'!G21,'28.07 Natete-Rubaga'!G21)</f>
        <v>0.2857142857142857</v>
      </c>
      <c r="H21" s="49">
        <f>AVERAGE('22.07 Natete-Rubaga'!H21,'23.07 Natete-Rubaga'!H21,'24.07 Natete-Rubaga'!H21,'25.07 Natete-Rubaga'!H21,'26.07 Natete-Rubaga-24h'!H21,'27.07 Natete-Rubaga-24h'!H21,'28.07 Natete-Rubaga'!H21)</f>
        <v>0.5714285714285714</v>
      </c>
      <c r="I21" s="49">
        <f>AVERAGE('22.07 Natete-Rubaga'!I21,'23.07 Natete-Rubaga'!I21,'24.07 Natete-Rubaga'!I21,'25.07 Natete-Rubaga'!I21,'26.07 Natete-Rubaga-24h'!I21,'27.07 Natete-Rubaga-24h'!I21,'28.07 Natete-Rubaga'!I21)</f>
        <v>2.1428571428571428</v>
      </c>
      <c r="J21" s="49">
        <f>AVERAGE('22.07 Natete-Rubaga'!J21,'23.07 Natete-Rubaga'!J21,'24.07 Natete-Rubaga'!J21,'25.07 Natete-Rubaga'!J21,'26.07 Natete-Rubaga-24h'!J21,'27.07 Natete-Rubaga-24h'!J21,'28.07 Natete-Rubaga'!J21)</f>
        <v>1.1428571428571428</v>
      </c>
      <c r="K21" s="49">
        <f>AVERAGE('22.07 Natete-Rubaga'!K21,'23.07 Natete-Rubaga'!K21,'24.07 Natete-Rubaga'!K21,'25.07 Natete-Rubaga'!K21,'26.07 Natete-Rubaga-24h'!K21,'27.07 Natete-Rubaga-24h'!K21,'28.07 Natete-Rubaga'!K21)</f>
        <v>0.2857142857142857</v>
      </c>
      <c r="L21" s="49">
        <f>AVERAGE('22.07 Natete-Rubaga'!L21,'23.07 Natete-Rubaga'!L21,'24.07 Natete-Rubaga'!L21,'25.07 Natete-Rubaga'!L21,'26.07 Natete-Rubaga-24h'!L21,'27.07 Natete-Rubaga-24h'!L21,'28.07 Natete-Rubaga'!L21)</f>
        <v>0.14285714285714285</v>
      </c>
      <c r="M21" s="49">
        <f>AVERAGE('22.07 Natete-Rubaga'!M21,'23.07 Natete-Rubaga'!M21,'24.07 Natete-Rubaga'!M21,'25.07 Natete-Rubaga'!M21,'26.07 Natete-Rubaga-24h'!M21,'27.07 Natete-Rubaga-24h'!M21,'28.07 Natete-Rubaga'!M21)</f>
        <v>259</v>
      </c>
      <c r="N21" s="49">
        <f>AVERAGE('22.07 Natete-Rubaga'!N21,'23.07 Natete-Rubaga'!N21,'24.07 Natete-Rubaga'!N21,'25.07 Natete-Rubaga'!N21,'26.07 Natete-Rubaga-24h'!N21,'27.07 Natete-Rubaga-24h'!N21,'28.07 Natete-Rubaga'!N21)</f>
        <v>0</v>
      </c>
      <c r="O21" s="15">
        <f t="shared" si="0"/>
        <v>111.85714285714285</v>
      </c>
      <c r="P21" s="15">
        <f t="shared" si="1"/>
        <v>370.85714285714283</v>
      </c>
      <c r="R21" s="36" t="s">
        <v>20</v>
      </c>
      <c r="S21" s="34">
        <f>SUM(C54:C57)</f>
        <v>106</v>
      </c>
      <c r="T21" s="17">
        <f t="shared" ref="T21:AF33" si="13">SUM(D54:D57)</f>
        <v>38.285714285714292</v>
      </c>
      <c r="U21" s="17">
        <f t="shared" si="13"/>
        <v>16.142857142857142</v>
      </c>
      <c r="V21" s="17">
        <f t="shared" si="13"/>
        <v>145.85714285714283</v>
      </c>
      <c r="W21" s="17">
        <f t="shared" si="13"/>
        <v>1.5714285714285712</v>
      </c>
      <c r="X21" s="17">
        <f t="shared" si="13"/>
        <v>6.4285714285714288</v>
      </c>
      <c r="Y21" s="17">
        <f t="shared" si="13"/>
        <v>9.8571428571428559</v>
      </c>
      <c r="Z21" s="17">
        <f t="shared" si="13"/>
        <v>4.7142857142857144</v>
      </c>
      <c r="AA21" s="17">
        <f t="shared" si="13"/>
        <v>1.1428571428571428</v>
      </c>
      <c r="AB21" s="17">
        <f t="shared" si="13"/>
        <v>0.2857142857142857</v>
      </c>
      <c r="AC21" s="17">
        <f t="shared" si="13"/>
        <v>406.28571428571428</v>
      </c>
      <c r="AD21" s="17">
        <f t="shared" si="13"/>
        <v>0</v>
      </c>
      <c r="AE21" s="31">
        <f t="shared" si="13"/>
        <v>330.28571428571428</v>
      </c>
      <c r="AF21" s="31">
        <f t="shared" si="13"/>
        <v>736.57142857142867</v>
      </c>
    </row>
    <row r="22" spans="2:32" ht="23.1" customHeight="1" x14ac:dyDescent="0.25">
      <c r="B22" s="23" t="s">
        <v>49</v>
      </c>
      <c r="C22" s="49">
        <f>AVERAGE('22.07 Natete-Rubaga'!C22,'23.07 Natete-Rubaga'!C22,'24.07 Natete-Rubaga'!C22,'25.07 Natete-Rubaga'!C22,'26.07 Natete-Rubaga-24h'!C22,'27.07 Natete-Rubaga-24h'!C22,'28.07 Natete-Rubaga'!C22)</f>
        <v>38</v>
      </c>
      <c r="D22" s="49">
        <f>AVERAGE('22.07 Natete-Rubaga'!D22,'23.07 Natete-Rubaga'!D22,'24.07 Natete-Rubaga'!D22,'25.07 Natete-Rubaga'!D22,'26.07 Natete-Rubaga-24h'!D22,'27.07 Natete-Rubaga-24h'!D22,'28.07 Natete-Rubaga'!D22)</f>
        <v>10.285714285714286</v>
      </c>
      <c r="E22" s="49">
        <f>AVERAGE('22.07 Natete-Rubaga'!E22,'23.07 Natete-Rubaga'!E22,'24.07 Natete-Rubaga'!E22,'25.07 Natete-Rubaga'!E22,'26.07 Natete-Rubaga-24h'!E22,'27.07 Natete-Rubaga-24h'!E22,'28.07 Natete-Rubaga'!E22)</f>
        <v>4.4285714285714288</v>
      </c>
      <c r="F22" s="49">
        <f>AVERAGE('22.07 Natete-Rubaga'!F22,'23.07 Natete-Rubaga'!F22,'24.07 Natete-Rubaga'!F22,'25.07 Natete-Rubaga'!F22,'26.07 Natete-Rubaga-24h'!F22,'27.07 Natete-Rubaga-24h'!F22,'28.07 Natete-Rubaga'!F22)</f>
        <v>45.428571428571431</v>
      </c>
      <c r="G22" s="49">
        <f>AVERAGE('22.07 Natete-Rubaga'!G22,'23.07 Natete-Rubaga'!G22,'24.07 Natete-Rubaga'!G22,'25.07 Natete-Rubaga'!G22,'26.07 Natete-Rubaga-24h'!G22,'27.07 Natete-Rubaga-24h'!G22,'28.07 Natete-Rubaga'!G22)</f>
        <v>1.1428571428571428</v>
      </c>
      <c r="H22" s="49">
        <f>AVERAGE('22.07 Natete-Rubaga'!H22,'23.07 Natete-Rubaga'!H22,'24.07 Natete-Rubaga'!H22,'25.07 Natete-Rubaga'!H22,'26.07 Natete-Rubaga-24h'!H22,'27.07 Natete-Rubaga-24h'!H22,'28.07 Natete-Rubaga'!H22)</f>
        <v>0.5714285714285714</v>
      </c>
      <c r="I22" s="49">
        <f>AVERAGE('22.07 Natete-Rubaga'!I22,'23.07 Natete-Rubaga'!I22,'24.07 Natete-Rubaga'!I22,'25.07 Natete-Rubaga'!I22,'26.07 Natete-Rubaga-24h'!I22,'27.07 Natete-Rubaga-24h'!I22,'28.07 Natete-Rubaga'!I22)</f>
        <v>1.5714285714285714</v>
      </c>
      <c r="J22" s="49">
        <f>AVERAGE('22.07 Natete-Rubaga'!J22,'23.07 Natete-Rubaga'!J22,'24.07 Natete-Rubaga'!J22,'25.07 Natete-Rubaga'!J22,'26.07 Natete-Rubaga-24h'!J22,'27.07 Natete-Rubaga-24h'!J22,'28.07 Natete-Rubaga'!J22)</f>
        <v>1.5714285714285714</v>
      </c>
      <c r="K22" s="49">
        <f>AVERAGE('22.07 Natete-Rubaga'!K22,'23.07 Natete-Rubaga'!K22,'24.07 Natete-Rubaga'!K22,'25.07 Natete-Rubaga'!K22,'26.07 Natete-Rubaga-24h'!K22,'27.07 Natete-Rubaga-24h'!K22,'28.07 Natete-Rubaga'!K22)</f>
        <v>0.14285714285714285</v>
      </c>
      <c r="L22" s="49">
        <f>AVERAGE('22.07 Natete-Rubaga'!L22,'23.07 Natete-Rubaga'!L22,'24.07 Natete-Rubaga'!L22,'25.07 Natete-Rubaga'!L22,'26.07 Natete-Rubaga-24h'!L22,'27.07 Natete-Rubaga-24h'!L22,'28.07 Natete-Rubaga'!L22)</f>
        <v>0.14285714285714285</v>
      </c>
      <c r="M22" s="49">
        <f>AVERAGE('22.07 Natete-Rubaga'!M22,'23.07 Natete-Rubaga'!M22,'24.07 Natete-Rubaga'!M22,'25.07 Natete-Rubaga'!M22,'26.07 Natete-Rubaga-24h'!M22,'27.07 Natete-Rubaga-24h'!M22,'28.07 Natete-Rubaga'!M22)</f>
        <v>214</v>
      </c>
      <c r="N22" s="49">
        <f>AVERAGE('22.07 Natete-Rubaga'!N22,'23.07 Natete-Rubaga'!N22,'24.07 Natete-Rubaga'!N22,'25.07 Natete-Rubaga'!N22,'26.07 Natete-Rubaga-24h'!N22,'27.07 Natete-Rubaga-24h'!N22,'28.07 Natete-Rubaga'!N22)</f>
        <v>0</v>
      </c>
      <c r="O22" s="15">
        <f t="shared" si="0"/>
        <v>103.28571428571426</v>
      </c>
      <c r="P22" s="15">
        <f t="shared" si="1"/>
        <v>317.28571428571428</v>
      </c>
      <c r="R22" s="1" t="s">
        <v>146</v>
      </c>
      <c r="S22" s="34">
        <f>SUM(C58:C61)</f>
        <v>357.5</v>
      </c>
      <c r="T22" s="34">
        <f t="shared" ref="T22:AD22" si="14">SUM(D58:D61)</f>
        <v>141.5</v>
      </c>
      <c r="U22" s="34">
        <f t="shared" si="14"/>
        <v>114.5</v>
      </c>
      <c r="V22" s="34">
        <f t="shared" si="14"/>
        <v>311.5</v>
      </c>
      <c r="W22" s="34">
        <f t="shared" si="14"/>
        <v>30.5</v>
      </c>
      <c r="X22" s="34">
        <f t="shared" si="14"/>
        <v>43</v>
      </c>
      <c r="Y22" s="34">
        <f t="shared" si="14"/>
        <v>33.5</v>
      </c>
      <c r="Z22" s="34">
        <f t="shared" si="14"/>
        <v>48.5</v>
      </c>
      <c r="AA22" s="34">
        <f t="shared" si="14"/>
        <v>32.5</v>
      </c>
      <c r="AB22" s="34">
        <f t="shared" si="14"/>
        <v>42.5</v>
      </c>
      <c r="AC22" s="34">
        <f t="shared" si="14"/>
        <v>787.5</v>
      </c>
      <c r="AD22" s="34">
        <f t="shared" si="14"/>
        <v>0</v>
      </c>
      <c r="AE22" s="31">
        <f t="shared" si="13"/>
        <v>496.14285714285711</v>
      </c>
      <c r="AF22" s="31">
        <f t="shared" si="13"/>
        <v>970.35714285714289</v>
      </c>
    </row>
    <row r="23" spans="2:32" ht="23.1" customHeight="1" x14ac:dyDescent="0.25">
      <c r="B23" s="23" t="s">
        <v>50</v>
      </c>
      <c r="C23" s="49">
        <f>AVERAGE('22.07 Natete-Rubaga'!C23,'23.07 Natete-Rubaga'!C23,'24.07 Natete-Rubaga'!C23,'25.07 Natete-Rubaga'!C23,'26.07 Natete-Rubaga-24h'!C23,'27.07 Natete-Rubaga-24h'!C23,'28.07 Natete-Rubaga'!C23)</f>
        <v>35.857142857142854</v>
      </c>
      <c r="D23" s="49">
        <f>AVERAGE('22.07 Natete-Rubaga'!D23,'23.07 Natete-Rubaga'!D23,'24.07 Natete-Rubaga'!D23,'25.07 Natete-Rubaga'!D23,'26.07 Natete-Rubaga-24h'!D23,'27.07 Natete-Rubaga-24h'!D23,'28.07 Natete-Rubaga'!D23)</f>
        <v>8.5714285714285712</v>
      </c>
      <c r="E23" s="49">
        <f>AVERAGE('22.07 Natete-Rubaga'!E23,'23.07 Natete-Rubaga'!E23,'24.07 Natete-Rubaga'!E23,'25.07 Natete-Rubaga'!E23,'26.07 Natete-Rubaga-24h'!E23,'27.07 Natete-Rubaga-24h'!E23,'28.07 Natete-Rubaga'!E23)</f>
        <v>3.4285714285714284</v>
      </c>
      <c r="F23" s="49">
        <f>AVERAGE('22.07 Natete-Rubaga'!F23,'23.07 Natete-Rubaga'!F23,'24.07 Natete-Rubaga'!F23,'25.07 Natete-Rubaga'!F23,'26.07 Natete-Rubaga-24h'!F23,'27.07 Natete-Rubaga-24h'!F23,'28.07 Natete-Rubaga'!F23)</f>
        <v>47.428571428571431</v>
      </c>
      <c r="G23" s="49">
        <f>AVERAGE('22.07 Natete-Rubaga'!G23,'23.07 Natete-Rubaga'!G23,'24.07 Natete-Rubaga'!G23,'25.07 Natete-Rubaga'!G23,'26.07 Natete-Rubaga-24h'!G23,'27.07 Natete-Rubaga-24h'!G23,'28.07 Natete-Rubaga'!G23)</f>
        <v>1.8571428571428572</v>
      </c>
      <c r="H23" s="49">
        <f>AVERAGE('22.07 Natete-Rubaga'!H23,'23.07 Natete-Rubaga'!H23,'24.07 Natete-Rubaga'!H23,'25.07 Natete-Rubaga'!H23,'26.07 Natete-Rubaga-24h'!H23,'27.07 Natete-Rubaga-24h'!H23,'28.07 Natete-Rubaga'!H23)</f>
        <v>0.42857142857142855</v>
      </c>
      <c r="I23" s="49">
        <f>AVERAGE('22.07 Natete-Rubaga'!I23,'23.07 Natete-Rubaga'!I23,'24.07 Natete-Rubaga'!I23,'25.07 Natete-Rubaga'!I23,'26.07 Natete-Rubaga-24h'!I23,'27.07 Natete-Rubaga-24h'!I23,'28.07 Natete-Rubaga'!I23)</f>
        <v>3.7142857142857144</v>
      </c>
      <c r="J23" s="49">
        <f>AVERAGE('22.07 Natete-Rubaga'!J23,'23.07 Natete-Rubaga'!J23,'24.07 Natete-Rubaga'!J23,'25.07 Natete-Rubaga'!J23,'26.07 Natete-Rubaga-24h'!J23,'27.07 Natete-Rubaga-24h'!J23,'28.07 Natete-Rubaga'!J23)</f>
        <v>1.1428571428571428</v>
      </c>
      <c r="K23" s="49">
        <f>AVERAGE('22.07 Natete-Rubaga'!K23,'23.07 Natete-Rubaga'!K23,'24.07 Natete-Rubaga'!K23,'25.07 Natete-Rubaga'!K23,'26.07 Natete-Rubaga-24h'!K23,'27.07 Natete-Rubaga-24h'!K23,'28.07 Natete-Rubaga'!K23)</f>
        <v>0.14285714285714285</v>
      </c>
      <c r="L23" s="49">
        <f>AVERAGE('22.07 Natete-Rubaga'!L23,'23.07 Natete-Rubaga'!L23,'24.07 Natete-Rubaga'!L23,'25.07 Natete-Rubaga'!L23,'26.07 Natete-Rubaga-24h'!L23,'27.07 Natete-Rubaga-24h'!L23,'28.07 Natete-Rubaga'!L23)</f>
        <v>0</v>
      </c>
      <c r="M23" s="49">
        <f>AVERAGE('22.07 Natete-Rubaga'!M23,'23.07 Natete-Rubaga'!M23,'24.07 Natete-Rubaga'!M23,'25.07 Natete-Rubaga'!M23,'26.07 Natete-Rubaga-24h'!M23,'27.07 Natete-Rubaga-24h'!M23,'28.07 Natete-Rubaga'!M23)</f>
        <v>199.42857142857142</v>
      </c>
      <c r="N23" s="49">
        <f>AVERAGE('22.07 Natete-Rubaga'!N23,'23.07 Natete-Rubaga'!N23,'24.07 Natete-Rubaga'!N23,'25.07 Natete-Rubaga'!N23,'26.07 Natete-Rubaga-24h'!N23,'27.07 Natete-Rubaga-24h'!N23,'28.07 Natete-Rubaga'!N23)</f>
        <v>0</v>
      </c>
      <c r="O23" s="15">
        <f t="shared" si="0"/>
        <v>102.57142857142856</v>
      </c>
      <c r="P23" s="15">
        <f t="shared" si="1"/>
        <v>302</v>
      </c>
      <c r="R23" s="1" t="s">
        <v>147</v>
      </c>
      <c r="S23" s="34">
        <f>SUM(C62:C65)</f>
        <v>301</v>
      </c>
      <c r="T23" s="34">
        <f t="shared" ref="T23:AD23" si="15">SUM(D62:D65)</f>
        <v>39.5</v>
      </c>
      <c r="U23" s="34">
        <f t="shared" si="15"/>
        <v>33.5</v>
      </c>
      <c r="V23" s="34">
        <f t="shared" si="15"/>
        <v>232.5</v>
      </c>
      <c r="W23" s="34">
        <f t="shared" si="15"/>
        <v>18.5</v>
      </c>
      <c r="X23" s="34">
        <f t="shared" si="15"/>
        <v>9</v>
      </c>
      <c r="Y23" s="34">
        <f t="shared" si="15"/>
        <v>14</v>
      </c>
      <c r="Z23" s="34">
        <f t="shared" si="15"/>
        <v>11</v>
      </c>
      <c r="AA23" s="34">
        <f t="shared" si="15"/>
        <v>6.5</v>
      </c>
      <c r="AB23" s="34">
        <f t="shared" si="15"/>
        <v>7.5</v>
      </c>
      <c r="AC23" s="34">
        <f t="shared" si="15"/>
        <v>900</v>
      </c>
      <c r="AD23" s="34">
        <f t="shared" si="15"/>
        <v>0</v>
      </c>
      <c r="AE23" s="31">
        <f t="shared" si="13"/>
        <v>630.57142857142856</v>
      </c>
      <c r="AF23" s="31">
        <f t="shared" si="13"/>
        <v>1201.2142857142858</v>
      </c>
    </row>
    <row r="24" spans="2:32" ht="23.1" customHeight="1" x14ac:dyDescent="0.25">
      <c r="B24" s="23" t="s">
        <v>51</v>
      </c>
      <c r="C24" s="49">
        <f>AVERAGE('22.07 Natete-Rubaga'!C24,'23.07 Natete-Rubaga'!C24,'24.07 Natete-Rubaga'!C24,'25.07 Natete-Rubaga'!C24,'26.07 Natete-Rubaga-24h'!C24,'27.07 Natete-Rubaga-24h'!C24,'28.07 Natete-Rubaga'!C24)</f>
        <v>37.714285714285715</v>
      </c>
      <c r="D24" s="49">
        <f>AVERAGE('22.07 Natete-Rubaga'!D24,'23.07 Natete-Rubaga'!D24,'24.07 Natete-Rubaga'!D24,'25.07 Natete-Rubaga'!D24,'26.07 Natete-Rubaga-24h'!D24,'27.07 Natete-Rubaga-24h'!D24,'28.07 Natete-Rubaga'!D24)</f>
        <v>8.8571428571428577</v>
      </c>
      <c r="E24" s="49">
        <f>AVERAGE('22.07 Natete-Rubaga'!E24,'23.07 Natete-Rubaga'!E24,'24.07 Natete-Rubaga'!E24,'25.07 Natete-Rubaga'!E24,'26.07 Natete-Rubaga-24h'!E24,'27.07 Natete-Rubaga-24h'!E24,'28.07 Natete-Rubaga'!E24)</f>
        <v>5.7142857142857144</v>
      </c>
      <c r="F24" s="49">
        <f>AVERAGE('22.07 Natete-Rubaga'!F24,'23.07 Natete-Rubaga'!F24,'24.07 Natete-Rubaga'!F24,'25.07 Natete-Rubaga'!F24,'26.07 Natete-Rubaga-24h'!F24,'27.07 Natete-Rubaga-24h'!F24,'28.07 Natete-Rubaga'!F24)</f>
        <v>48.714285714285715</v>
      </c>
      <c r="G24" s="49">
        <f>AVERAGE('22.07 Natete-Rubaga'!G24,'23.07 Natete-Rubaga'!G24,'24.07 Natete-Rubaga'!G24,'25.07 Natete-Rubaga'!G24,'26.07 Natete-Rubaga-24h'!G24,'27.07 Natete-Rubaga-24h'!G24,'28.07 Natete-Rubaga'!G24)</f>
        <v>1.4285714285714286</v>
      </c>
      <c r="H24" s="49">
        <f>AVERAGE('22.07 Natete-Rubaga'!H24,'23.07 Natete-Rubaga'!H24,'24.07 Natete-Rubaga'!H24,'25.07 Natete-Rubaga'!H24,'26.07 Natete-Rubaga-24h'!H24,'27.07 Natete-Rubaga-24h'!H24,'28.07 Natete-Rubaga'!H24)</f>
        <v>0.7142857142857143</v>
      </c>
      <c r="I24" s="49">
        <f>AVERAGE('22.07 Natete-Rubaga'!I24,'23.07 Natete-Rubaga'!I24,'24.07 Natete-Rubaga'!I24,'25.07 Natete-Rubaga'!I24,'26.07 Natete-Rubaga-24h'!I24,'27.07 Natete-Rubaga-24h'!I24,'28.07 Natete-Rubaga'!I24)</f>
        <v>3</v>
      </c>
      <c r="J24" s="49">
        <f>AVERAGE('22.07 Natete-Rubaga'!J24,'23.07 Natete-Rubaga'!J24,'24.07 Natete-Rubaga'!J24,'25.07 Natete-Rubaga'!J24,'26.07 Natete-Rubaga-24h'!J24,'27.07 Natete-Rubaga-24h'!J24,'28.07 Natete-Rubaga'!J24)</f>
        <v>2.8571428571428572</v>
      </c>
      <c r="K24" s="49">
        <f>AVERAGE('22.07 Natete-Rubaga'!K24,'23.07 Natete-Rubaga'!K24,'24.07 Natete-Rubaga'!K24,'25.07 Natete-Rubaga'!K24,'26.07 Natete-Rubaga-24h'!K24,'27.07 Natete-Rubaga-24h'!K24,'28.07 Natete-Rubaga'!K24)</f>
        <v>0.8571428571428571</v>
      </c>
      <c r="L24" s="49">
        <f>AVERAGE('22.07 Natete-Rubaga'!L24,'23.07 Natete-Rubaga'!L24,'24.07 Natete-Rubaga'!L24,'25.07 Natete-Rubaga'!L24,'26.07 Natete-Rubaga-24h'!L24,'27.07 Natete-Rubaga-24h'!L24,'28.07 Natete-Rubaga'!L24)</f>
        <v>0.14285714285714285</v>
      </c>
      <c r="M24" s="49">
        <f>AVERAGE('22.07 Natete-Rubaga'!M24,'23.07 Natete-Rubaga'!M24,'24.07 Natete-Rubaga'!M24,'25.07 Natete-Rubaga'!M24,'26.07 Natete-Rubaga-24h'!M24,'27.07 Natete-Rubaga-24h'!M24,'28.07 Natete-Rubaga'!M24)</f>
        <v>201.71428571428572</v>
      </c>
      <c r="N24" s="49">
        <f>AVERAGE('22.07 Natete-Rubaga'!N24,'23.07 Natete-Rubaga'!N24,'24.07 Natete-Rubaga'!N24,'25.07 Natete-Rubaga'!N24,'26.07 Natete-Rubaga-24h'!N24,'27.07 Natete-Rubaga-24h'!N24,'28.07 Natete-Rubaga'!N24)</f>
        <v>0</v>
      </c>
      <c r="O24" s="15">
        <f t="shared" si="0"/>
        <v>110</v>
      </c>
      <c r="P24" s="15">
        <f t="shared" si="1"/>
        <v>311.71428571428572</v>
      </c>
      <c r="R24" s="1" t="s">
        <v>148</v>
      </c>
      <c r="S24" s="34">
        <f>SUM(C66:C69)</f>
        <v>249</v>
      </c>
      <c r="T24" s="34">
        <f t="shared" ref="T24:AD24" si="16">SUM(D66:D69)</f>
        <v>23.5</v>
      </c>
      <c r="U24" s="34">
        <f t="shared" si="16"/>
        <v>14.5</v>
      </c>
      <c r="V24" s="34">
        <f t="shared" si="16"/>
        <v>121.5</v>
      </c>
      <c r="W24" s="34">
        <f t="shared" si="16"/>
        <v>9</v>
      </c>
      <c r="X24" s="34">
        <f t="shared" si="16"/>
        <v>14</v>
      </c>
      <c r="Y24" s="34">
        <f t="shared" si="16"/>
        <v>21</v>
      </c>
      <c r="Z24" s="34">
        <f t="shared" si="16"/>
        <v>16</v>
      </c>
      <c r="AA24" s="34">
        <f t="shared" si="16"/>
        <v>3.5</v>
      </c>
      <c r="AB24" s="34">
        <f t="shared" si="16"/>
        <v>15</v>
      </c>
      <c r="AC24" s="34">
        <f t="shared" si="16"/>
        <v>647.5</v>
      </c>
      <c r="AD24" s="34">
        <f t="shared" si="16"/>
        <v>0</v>
      </c>
      <c r="AE24" s="31">
        <f t="shared" si="13"/>
        <v>904.78571428571422</v>
      </c>
      <c r="AF24" s="31">
        <f t="shared" si="13"/>
        <v>1558.3571428571429</v>
      </c>
    </row>
    <row r="25" spans="2:32" ht="23.1" customHeight="1" x14ac:dyDescent="0.25">
      <c r="B25" s="23" t="s">
        <v>52</v>
      </c>
      <c r="C25" s="49">
        <f>AVERAGE('22.07 Natete-Rubaga'!C25,'23.07 Natete-Rubaga'!C25,'24.07 Natete-Rubaga'!C25,'25.07 Natete-Rubaga'!C25,'26.07 Natete-Rubaga-24h'!C25,'27.07 Natete-Rubaga-24h'!C25,'28.07 Natete-Rubaga'!C25)</f>
        <v>33.428571428571431</v>
      </c>
      <c r="D25" s="49">
        <f>AVERAGE('22.07 Natete-Rubaga'!D25,'23.07 Natete-Rubaga'!D25,'24.07 Natete-Rubaga'!D25,'25.07 Natete-Rubaga'!D25,'26.07 Natete-Rubaga-24h'!D25,'27.07 Natete-Rubaga-24h'!D25,'28.07 Natete-Rubaga'!D25)</f>
        <v>7.2857142857142856</v>
      </c>
      <c r="E25" s="49">
        <f>AVERAGE('22.07 Natete-Rubaga'!E25,'23.07 Natete-Rubaga'!E25,'24.07 Natete-Rubaga'!E25,'25.07 Natete-Rubaga'!E25,'26.07 Natete-Rubaga-24h'!E25,'27.07 Natete-Rubaga-24h'!E25,'28.07 Natete-Rubaga'!E25)</f>
        <v>5.4285714285714288</v>
      </c>
      <c r="F25" s="49">
        <f>AVERAGE('22.07 Natete-Rubaga'!F25,'23.07 Natete-Rubaga'!F25,'24.07 Natete-Rubaga'!F25,'25.07 Natete-Rubaga'!F25,'26.07 Natete-Rubaga-24h'!F25,'27.07 Natete-Rubaga-24h'!F25,'28.07 Natete-Rubaga'!F25)</f>
        <v>45.857142857142854</v>
      </c>
      <c r="G25" s="49">
        <f>AVERAGE('22.07 Natete-Rubaga'!G25,'23.07 Natete-Rubaga'!G25,'24.07 Natete-Rubaga'!G25,'25.07 Natete-Rubaga'!G25,'26.07 Natete-Rubaga-24h'!G25,'27.07 Natete-Rubaga-24h'!G25,'28.07 Natete-Rubaga'!G25)</f>
        <v>1.1428571428571428</v>
      </c>
      <c r="H25" s="49">
        <f>AVERAGE('22.07 Natete-Rubaga'!H25,'23.07 Natete-Rubaga'!H25,'24.07 Natete-Rubaga'!H25,'25.07 Natete-Rubaga'!H25,'26.07 Natete-Rubaga-24h'!H25,'27.07 Natete-Rubaga-24h'!H25,'28.07 Natete-Rubaga'!H25)</f>
        <v>0.2857142857142857</v>
      </c>
      <c r="I25" s="49">
        <f>AVERAGE('22.07 Natete-Rubaga'!I25,'23.07 Natete-Rubaga'!I25,'24.07 Natete-Rubaga'!I25,'25.07 Natete-Rubaga'!I25,'26.07 Natete-Rubaga-24h'!I25,'27.07 Natete-Rubaga-24h'!I25,'28.07 Natete-Rubaga'!I25)</f>
        <v>2.8571428571428572</v>
      </c>
      <c r="J25" s="49">
        <f>AVERAGE('22.07 Natete-Rubaga'!J25,'23.07 Natete-Rubaga'!J25,'24.07 Natete-Rubaga'!J25,'25.07 Natete-Rubaga'!J25,'26.07 Natete-Rubaga-24h'!J25,'27.07 Natete-Rubaga-24h'!J25,'28.07 Natete-Rubaga'!J25)</f>
        <v>1.7142857142857142</v>
      </c>
      <c r="K25" s="49">
        <f>AVERAGE('22.07 Natete-Rubaga'!K25,'23.07 Natete-Rubaga'!K25,'24.07 Natete-Rubaga'!K25,'25.07 Natete-Rubaga'!K25,'26.07 Natete-Rubaga-24h'!K25,'27.07 Natete-Rubaga-24h'!K25,'28.07 Natete-Rubaga'!K25)</f>
        <v>0.14285714285714285</v>
      </c>
      <c r="L25" s="49">
        <f>AVERAGE('22.07 Natete-Rubaga'!L25,'23.07 Natete-Rubaga'!L25,'24.07 Natete-Rubaga'!L25,'25.07 Natete-Rubaga'!L25,'26.07 Natete-Rubaga-24h'!L25,'27.07 Natete-Rubaga-24h'!L25,'28.07 Natete-Rubaga'!L25)</f>
        <v>0.2857142857142857</v>
      </c>
      <c r="M25" s="49">
        <f>AVERAGE('22.07 Natete-Rubaga'!M25,'23.07 Natete-Rubaga'!M25,'24.07 Natete-Rubaga'!M25,'25.07 Natete-Rubaga'!M25,'26.07 Natete-Rubaga-24h'!M25,'27.07 Natete-Rubaga-24h'!M25,'28.07 Natete-Rubaga'!M25)</f>
        <v>190.28571428571428</v>
      </c>
      <c r="N25" s="49">
        <f>AVERAGE('22.07 Natete-Rubaga'!N25,'23.07 Natete-Rubaga'!N25,'24.07 Natete-Rubaga'!N25,'25.07 Natete-Rubaga'!N25,'26.07 Natete-Rubaga-24h'!N25,'27.07 Natete-Rubaga-24h'!N25,'28.07 Natete-Rubaga'!N25)</f>
        <v>0</v>
      </c>
      <c r="O25" s="15">
        <f t="shared" si="0"/>
        <v>98.428571428571431</v>
      </c>
      <c r="P25" s="15">
        <f t="shared" si="1"/>
        <v>288.71428571428572</v>
      </c>
      <c r="R25" s="1" t="s">
        <v>149</v>
      </c>
      <c r="S25" s="34">
        <f>SUM(C70:C73)</f>
        <v>161</v>
      </c>
      <c r="T25" s="34">
        <f t="shared" ref="T25:AD25" si="17">SUM(D70:D73)</f>
        <v>49.5</v>
      </c>
      <c r="U25" s="34">
        <f t="shared" si="17"/>
        <v>51.5</v>
      </c>
      <c r="V25" s="34">
        <f t="shared" si="17"/>
        <v>144.5</v>
      </c>
      <c r="W25" s="34">
        <f t="shared" si="17"/>
        <v>8.5</v>
      </c>
      <c r="X25" s="34">
        <f t="shared" si="17"/>
        <v>12</v>
      </c>
      <c r="Y25" s="34">
        <f t="shared" si="17"/>
        <v>15.5</v>
      </c>
      <c r="Z25" s="34">
        <f t="shared" si="17"/>
        <v>13.5</v>
      </c>
      <c r="AA25" s="34">
        <f t="shared" si="17"/>
        <v>19.5</v>
      </c>
      <c r="AB25" s="34">
        <f t="shared" si="17"/>
        <v>20</v>
      </c>
      <c r="AC25" s="34">
        <f t="shared" si="17"/>
        <v>410</v>
      </c>
      <c r="AD25" s="34">
        <f t="shared" si="17"/>
        <v>0</v>
      </c>
      <c r="AE25" s="31">
        <f t="shared" si="13"/>
        <v>1155.5</v>
      </c>
      <c r="AF25" s="31">
        <f t="shared" si="13"/>
        <v>1943</v>
      </c>
    </row>
    <row r="26" spans="2:32" ht="23.1" customHeight="1" x14ac:dyDescent="0.25">
      <c r="B26" s="23" t="s">
        <v>53</v>
      </c>
      <c r="C26" s="49">
        <f>AVERAGE('22.07 Natete-Rubaga'!C26,'23.07 Natete-Rubaga'!C26,'24.07 Natete-Rubaga'!C26,'25.07 Natete-Rubaga'!C26,'26.07 Natete-Rubaga-24h'!C26,'27.07 Natete-Rubaga-24h'!C26,'28.07 Natete-Rubaga'!C26)</f>
        <v>34.714285714285715</v>
      </c>
      <c r="D26" s="49">
        <f>AVERAGE('22.07 Natete-Rubaga'!D26,'23.07 Natete-Rubaga'!D26,'24.07 Natete-Rubaga'!D26,'25.07 Natete-Rubaga'!D26,'26.07 Natete-Rubaga-24h'!D26,'27.07 Natete-Rubaga-24h'!D26,'28.07 Natete-Rubaga'!D26)</f>
        <v>9.8571428571428577</v>
      </c>
      <c r="E26" s="49">
        <f>AVERAGE('22.07 Natete-Rubaga'!E26,'23.07 Natete-Rubaga'!E26,'24.07 Natete-Rubaga'!E26,'25.07 Natete-Rubaga'!E26,'26.07 Natete-Rubaga-24h'!E26,'27.07 Natete-Rubaga-24h'!E26,'28.07 Natete-Rubaga'!E26)</f>
        <v>5.5714285714285712</v>
      </c>
      <c r="F26" s="49">
        <f>AVERAGE('22.07 Natete-Rubaga'!F26,'23.07 Natete-Rubaga'!F26,'24.07 Natete-Rubaga'!F26,'25.07 Natete-Rubaga'!F26,'26.07 Natete-Rubaga-24h'!F26,'27.07 Natete-Rubaga-24h'!F26,'28.07 Natete-Rubaga'!F26)</f>
        <v>41.571428571428569</v>
      </c>
      <c r="G26" s="49">
        <f>AVERAGE('22.07 Natete-Rubaga'!G26,'23.07 Natete-Rubaga'!G26,'24.07 Natete-Rubaga'!G26,'25.07 Natete-Rubaga'!G26,'26.07 Natete-Rubaga-24h'!G26,'27.07 Natete-Rubaga-24h'!G26,'28.07 Natete-Rubaga'!G26)</f>
        <v>0.8571428571428571</v>
      </c>
      <c r="H26" s="49">
        <f>AVERAGE('22.07 Natete-Rubaga'!H26,'23.07 Natete-Rubaga'!H26,'24.07 Natete-Rubaga'!H26,'25.07 Natete-Rubaga'!H26,'26.07 Natete-Rubaga-24h'!H26,'27.07 Natete-Rubaga-24h'!H26,'28.07 Natete-Rubaga'!H26)</f>
        <v>0.42857142857142855</v>
      </c>
      <c r="I26" s="49">
        <f>AVERAGE('22.07 Natete-Rubaga'!I26,'23.07 Natete-Rubaga'!I26,'24.07 Natete-Rubaga'!I26,'25.07 Natete-Rubaga'!I26,'26.07 Natete-Rubaga-24h'!I26,'27.07 Natete-Rubaga-24h'!I26,'28.07 Natete-Rubaga'!I26)</f>
        <v>3</v>
      </c>
      <c r="J26" s="49">
        <f>AVERAGE('22.07 Natete-Rubaga'!J26,'23.07 Natete-Rubaga'!J26,'24.07 Natete-Rubaga'!J26,'25.07 Natete-Rubaga'!J26,'26.07 Natete-Rubaga-24h'!J26,'27.07 Natete-Rubaga-24h'!J26,'28.07 Natete-Rubaga'!J26)</f>
        <v>1.5714285714285714</v>
      </c>
      <c r="K26" s="49">
        <f>AVERAGE('22.07 Natete-Rubaga'!K26,'23.07 Natete-Rubaga'!K26,'24.07 Natete-Rubaga'!K26,'25.07 Natete-Rubaga'!K26,'26.07 Natete-Rubaga-24h'!K26,'27.07 Natete-Rubaga-24h'!K26,'28.07 Natete-Rubaga'!K26)</f>
        <v>0</v>
      </c>
      <c r="L26" s="49">
        <f>AVERAGE('22.07 Natete-Rubaga'!L26,'23.07 Natete-Rubaga'!L26,'24.07 Natete-Rubaga'!L26,'25.07 Natete-Rubaga'!L26,'26.07 Natete-Rubaga-24h'!L26,'27.07 Natete-Rubaga-24h'!L26,'28.07 Natete-Rubaga'!L26)</f>
        <v>0.2857142857142857</v>
      </c>
      <c r="M26" s="49">
        <f>AVERAGE('22.07 Natete-Rubaga'!M26,'23.07 Natete-Rubaga'!M26,'24.07 Natete-Rubaga'!M26,'25.07 Natete-Rubaga'!M26,'26.07 Natete-Rubaga-24h'!M26,'27.07 Natete-Rubaga-24h'!M26,'28.07 Natete-Rubaga'!M26)</f>
        <v>213.14285714285714</v>
      </c>
      <c r="N26" s="49">
        <f>AVERAGE('22.07 Natete-Rubaga'!N26,'23.07 Natete-Rubaga'!N26,'24.07 Natete-Rubaga'!N26,'25.07 Natete-Rubaga'!N26,'26.07 Natete-Rubaga-24h'!N26,'27.07 Natete-Rubaga-24h'!N26,'28.07 Natete-Rubaga'!N26)</f>
        <v>1.4285714285714286</v>
      </c>
      <c r="O26" s="15">
        <f t="shared" si="0"/>
        <v>99.285714285714292</v>
      </c>
      <c r="P26" s="15">
        <f t="shared" si="1"/>
        <v>312.42857142857144</v>
      </c>
      <c r="R26" s="1" t="s">
        <v>150</v>
      </c>
      <c r="S26" s="34">
        <f>SUM(C74:C77)</f>
        <v>124</v>
      </c>
      <c r="T26" s="34">
        <f t="shared" ref="T26:AD26" si="18">SUM(D74:D77)</f>
        <v>71</v>
      </c>
      <c r="U26" s="34">
        <f t="shared" si="18"/>
        <v>13</v>
      </c>
      <c r="V26" s="34">
        <f t="shared" si="18"/>
        <v>54.5</v>
      </c>
      <c r="W26" s="34">
        <f t="shared" si="18"/>
        <v>0</v>
      </c>
      <c r="X26" s="34">
        <f t="shared" si="18"/>
        <v>3.5</v>
      </c>
      <c r="Y26" s="34">
        <f t="shared" si="18"/>
        <v>3.5</v>
      </c>
      <c r="Z26" s="34">
        <f t="shared" si="18"/>
        <v>1.5</v>
      </c>
      <c r="AA26" s="34">
        <f t="shared" si="18"/>
        <v>0</v>
      </c>
      <c r="AB26" s="34">
        <f t="shared" si="18"/>
        <v>0</v>
      </c>
      <c r="AC26" s="34">
        <f t="shared" si="18"/>
        <v>297.5</v>
      </c>
      <c r="AD26" s="34">
        <f t="shared" si="18"/>
        <v>0</v>
      </c>
      <c r="AE26" s="31">
        <f t="shared" si="13"/>
        <v>1073</v>
      </c>
      <c r="AF26" s="31">
        <f t="shared" si="13"/>
        <v>1903</v>
      </c>
    </row>
    <row r="27" spans="2:32" ht="23.1" customHeight="1" x14ac:dyDescent="0.25">
      <c r="B27" s="23" t="s">
        <v>54</v>
      </c>
      <c r="C27" s="49">
        <f>AVERAGE('22.07 Natete-Rubaga'!C27,'23.07 Natete-Rubaga'!C27,'24.07 Natete-Rubaga'!C27,'25.07 Natete-Rubaga'!C27,'26.07 Natete-Rubaga-24h'!C27,'27.07 Natete-Rubaga-24h'!C27,'28.07 Natete-Rubaga'!C27)</f>
        <v>35.285714285714285</v>
      </c>
      <c r="D27" s="49">
        <f>AVERAGE('22.07 Natete-Rubaga'!D27,'23.07 Natete-Rubaga'!D27,'24.07 Natete-Rubaga'!D27,'25.07 Natete-Rubaga'!D27,'26.07 Natete-Rubaga-24h'!D27,'27.07 Natete-Rubaga-24h'!D27,'28.07 Natete-Rubaga'!D27)</f>
        <v>9.7142857142857135</v>
      </c>
      <c r="E27" s="49">
        <f>AVERAGE('22.07 Natete-Rubaga'!E27,'23.07 Natete-Rubaga'!E27,'24.07 Natete-Rubaga'!E27,'25.07 Natete-Rubaga'!E27,'26.07 Natete-Rubaga-24h'!E27,'27.07 Natete-Rubaga-24h'!E27,'28.07 Natete-Rubaga'!E27)</f>
        <v>4.7142857142857144</v>
      </c>
      <c r="F27" s="49">
        <f>AVERAGE('22.07 Natete-Rubaga'!F27,'23.07 Natete-Rubaga'!F27,'24.07 Natete-Rubaga'!F27,'25.07 Natete-Rubaga'!F27,'26.07 Natete-Rubaga-24h'!F27,'27.07 Natete-Rubaga-24h'!F27,'28.07 Natete-Rubaga'!F27)</f>
        <v>41.285714285714285</v>
      </c>
      <c r="G27" s="49">
        <f>AVERAGE('22.07 Natete-Rubaga'!G27,'23.07 Natete-Rubaga'!G27,'24.07 Natete-Rubaga'!G27,'25.07 Natete-Rubaga'!G27,'26.07 Natete-Rubaga-24h'!G27,'27.07 Natete-Rubaga-24h'!G27,'28.07 Natete-Rubaga'!G27)</f>
        <v>0.42857142857142855</v>
      </c>
      <c r="H27" s="49">
        <f>AVERAGE('22.07 Natete-Rubaga'!H27,'23.07 Natete-Rubaga'!H27,'24.07 Natete-Rubaga'!H27,'25.07 Natete-Rubaga'!H27,'26.07 Natete-Rubaga-24h'!H27,'27.07 Natete-Rubaga-24h'!H27,'28.07 Natete-Rubaga'!H27)</f>
        <v>0.5714285714285714</v>
      </c>
      <c r="I27" s="49">
        <f>AVERAGE('22.07 Natete-Rubaga'!I27,'23.07 Natete-Rubaga'!I27,'24.07 Natete-Rubaga'!I27,'25.07 Natete-Rubaga'!I27,'26.07 Natete-Rubaga-24h'!I27,'27.07 Natete-Rubaga-24h'!I27,'28.07 Natete-Rubaga'!I27)</f>
        <v>2.8571428571428572</v>
      </c>
      <c r="J27" s="49">
        <f>AVERAGE('22.07 Natete-Rubaga'!J27,'23.07 Natete-Rubaga'!J27,'24.07 Natete-Rubaga'!J27,'25.07 Natete-Rubaga'!J27,'26.07 Natete-Rubaga-24h'!J27,'27.07 Natete-Rubaga-24h'!J27,'28.07 Natete-Rubaga'!J27)</f>
        <v>2.7142857142857144</v>
      </c>
      <c r="K27" s="49">
        <f>AVERAGE('22.07 Natete-Rubaga'!K27,'23.07 Natete-Rubaga'!K27,'24.07 Natete-Rubaga'!K27,'25.07 Natete-Rubaga'!K27,'26.07 Natete-Rubaga-24h'!K27,'27.07 Natete-Rubaga-24h'!K27,'28.07 Natete-Rubaga'!K27)</f>
        <v>0.5714285714285714</v>
      </c>
      <c r="L27" s="49">
        <f>AVERAGE('22.07 Natete-Rubaga'!L27,'23.07 Natete-Rubaga'!L27,'24.07 Natete-Rubaga'!L27,'25.07 Natete-Rubaga'!L27,'26.07 Natete-Rubaga-24h'!L27,'27.07 Natete-Rubaga-24h'!L27,'28.07 Natete-Rubaga'!L27)</f>
        <v>0</v>
      </c>
      <c r="M27" s="49">
        <f>AVERAGE('22.07 Natete-Rubaga'!M27,'23.07 Natete-Rubaga'!M27,'24.07 Natete-Rubaga'!M27,'25.07 Natete-Rubaga'!M27,'26.07 Natete-Rubaga-24h'!M27,'27.07 Natete-Rubaga-24h'!M27,'28.07 Natete-Rubaga'!M27)</f>
        <v>185.14285714285714</v>
      </c>
      <c r="N27" s="49">
        <f>AVERAGE('22.07 Natete-Rubaga'!N27,'23.07 Natete-Rubaga'!N27,'24.07 Natete-Rubaga'!N27,'25.07 Natete-Rubaga'!N27,'26.07 Natete-Rubaga-24h'!N27,'27.07 Natete-Rubaga-24h'!N27,'28.07 Natete-Rubaga'!N27)</f>
        <v>0</v>
      </c>
      <c r="O27" s="15">
        <f t="shared" si="0"/>
        <v>98.142857142857139</v>
      </c>
      <c r="P27" s="15">
        <f t="shared" si="1"/>
        <v>283.28571428571428</v>
      </c>
      <c r="R27" s="1" t="s">
        <v>151</v>
      </c>
      <c r="S27" s="34">
        <f>SUM(C78:C81)</f>
        <v>61</v>
      </c>
      <c r="T27" s="34">
        <f t="shared" ref="T27:AD27" si="19">SUM(D78:D81)</f>
        <v>14.5</v>
      </c>
      <c r="U27" s="34">
        <f t="shared" si="19"/>
        <v>9</v>
      </c>
      <c r="V27" s="34">
        <f t="shared" si="19"/>
        <v>21</v>
      </c>
      <c r="W27" s="34">
        <f t="shared" si="19"/>
        <v>0.5</v>
      </c>
      <c r="X27" s="34">
        <f t="shared" si="19"/>
        <v>5</v>
      </c>
      <c r="Y27" s="34">
        <f t="shared" si="19"/>
        <v>2.5</v>
      </c>
      <c r="Z27" s="34">
        <f t="shared" si="19"/>
        <v>1.5</v>
      </c>
      <c r="AA27" s="34">
        <f t="shared" si="19"/>
        <v>1</v>
      </c>
      <c r="AB27" s="34">
        <f t="shared" si="19"/>
        <v>0</v>
      </c>
      <c r="AC27" s="34">
        <f t="shared" si="19"/>
        <v>207</v>
      </c>
      <c r="AD27" s="34">
        <f t="shared" si="19"/>
        <v>0</v>
      </c>
      <c r="AE27" s="31">
        <f t="shared" si="13"/>
        <v>1023.5</v>
      </c>
      <c r="AF27" s="31">
        <f t="shared" si="13"/>
        <v>1903.5</v>
      </c>
    </row>
    <row r="28" spans="2:32" ht="23.1" customHeight="1" x14ac:dyDescent="0.25">
      <c r="B28" s="23" t="s">
        <v>55</v>
      </c>
      <c r="C28" s="49">
        <f>AVERAGE('22.07 Natete-Rubaga'!C28,'23.07 Natete-Rubaga'!C28,'24.07 Natete-Rubaga'!C28,'25.07 Natete-Rubaga'!C28,'26.07 Natete-Rubaga-24h'!C28,'27.07 Natete-Rubaga-24h'!C28,'28.07 Natete-Rubaga'!C28)</f>
        <v>32</v>
      </c>
      <c r="D28" s="49">
        <f>AVERAGE('22.07 Natete-Rubaga'!D28,'23.07 Natete-Rubaga'!D28,'24.07 Natete-Rubaga'!D28,'25.07 Natete-Rubaga'!D28,'26.07 Natete-Rubaga-24h'!D28,'27.07 Natete-Rubaga-24h'!D28,'28.07 Natete-Rubaga'!D28)</f>
        <v>9.2857142857142865</v>
      </c>
      <c r="E28" s="49">
        <f>AVERAGE('22.07 Natete-Rubaga'!E28,'23.07 Natete-Rubaga'!E28,'24.07 Natete-Rubaga'!E28,'25.07 Natete-Rubaga'!E28,'26.07 Natete-Rubaga-24h'!E28,'27.07 Natete-Rubaga-24h'!E28,'28.07 Natete-Rubaga'!E28)</f>
        <v>4.8571428571428568</v>
      </c>
      <c r="F28" s="49">
        <f>AVERAGE('22.07 Natete-Rubaga'!F28,'23.07 Natete-Rubaga'!F28,'24.07 Natete-Rubaga'!F28,'25.07 Natete-Rubaga'!F28,'26.07 Natete-Rubaga-24h'!F28,'27.07 Natete-Rubaga-24h'!F28,'28.07 Natete-Rubaga'!F28)</f>
        <v>33.571428571428569</v>
      </c>
      <c r="G28" s="49">
        <f>AVERAGE('22.07 Natete-Rubaga'!G28,'23.07 Natete-Rubaga'!G28,'24.07 Natete-Rubaga'!G28,'25.07 Natete-Rubaga'!G28,'26.07 Natete-Rubaga-24h'!G28,'27.07 Natete-Rubaga-24h'!G28,'28.07 Natete-Rubaga'!G28)</f>
        <v>7</v>
      </c>
      <c r="H28" s="49">
        <f>AVERAGE('22.07 Natete-Rubaga'!H28,'23.07 Natete-Rubaga'!H28,'24.07 Natete-Rubaga'!H28,'25.07 Natete-Rubaga'!H28,'26.07 Natete-Rubaga-24h'!H28,'27.07 Natete-Rubaga-24h'!H28,'28.07 Natete-Rubaga'!H28)</f>
        <v>0.5714285714285714</v>
      </c>
      <c r="I28" s="49">
        <f>AVERAGE('22.07 Natete-Rubaga'!I28,'23.07 Natete-Rubaga'!I28,'24.07 Natete-Rubaga'!I28,'25.07 Natete-Rubaga'!I28,'26.07 Natete-Rubaga-24h'!I28,'27.07 Natete-Rubaga-24h'!I28,'28.07 Natete-Rubaga'!I28)</f>
        <v>2.4285714285714284</v>
      </c>
      <c r="J28" s="49">
        <f>AVERAGE('22.07 Natete-Rubaga'!J28,'23.07 Natete-Rubaga'!J28,'24.07 Natete-Rubaga'!J28,'25.07 Natete-Rubaga'!J28,'26.07 Natete-Rubaga-24h'!J28,'27.07 Natete-Rubaga-24h'!J28,'28.07 Natete-Rubaga'!J28)</f>
        <v>1.4285714285714286</v>
      </c>
      <c r="K28" s="49">
        <f>AVERAGE('22.07 Natete-Rubaga'!K28,'23.07 Natete-Rubaga'!K28,'24.07 Natete-Rubaga'!K28,'25.07 Natete-Rubaga'!K28,'26.07 Natete-Rubaga-24h'!K28,'27.07 Natete-Rubaga-24h'!K28,'28.07 Natete-Rubaga'!K28)</f>
        <v>0</v>
      </c>
      <c r="L28" s="49">
        <f>AVERAGE('22.07 Natete-Rubaga'!L28,'23.07 Natete-Rubaga'!L28,'24.07 Natete-Rubaga'!L28,'25.07 Natete-Rubaga'!L28,'26.07 Natete-Rubaga-24h'!L28,'27.07 Natete-Rubaga-24h'!L28,'28.07 Natete-Rubaga'!L28)</f>
        <v>0.2857142857142857</v>
      </c>
      <c r="M28" s="49">
        <f>AVERAGE('22.07 Natete-Rubaga'!M28,'23.07 Natete-Rubaga'!M28,'24.07 Natete-Rubaga'!M28,'25.07 Natete-Rubaga'!M28,'26.07 Natete-Rubaga-24h'!M28,'27.07 Natete-Rubaga-24h'!M28,'28.07 Natete-Rubaga'!M28)</f>
        <v>179.57142857142858</v>
      </c>
      <c r="N28" s="49">
        <f>AVERAGE('22.07 Natete-Rubaga'!N28,'23.07 Natete-Rubaga'!N28,'24.07 Natete-Rubaga'!N28,'25.07 Natete-Rubaga'!N28,'26.07 Natete-Rubaga-24h'!N28,'27.07 Natete-Rubaga-24h'!N28,'28.07 Natete-Rubaga'!N28)</f>
        <v>0</v>
      </c>
      <c r="O28" s="15">
        <f t="shared" si="0"/>
        <v>91.428571428571431</v>
      </c>
      <c r="P28" s="15">
        <f t="shared" si="1"/>
        <v>271</v>
      </c>
      <c r="R28" s="1" t="s">
        <v>152</v>
      </c>
      <c r="S28" s="34">
        <f>SUM(C82:C85)</f>
        <v>41.5</v>
      </c>
      <c r="T28" s="34">
        <f t="shared" ref="T28:AD28" si="20">SUM(D82:D85)</f>
        <v>9.5</v>
      </c>
      <c r="U28" s="34">
        <f t="shared" si="20"/>
        <v>4.5</v>
      </c>
      <c r="V28" s="34">
        <f t="shared" si="20"/>
        <v>5.5</v>
      </c>
      <c r="W28" s="34">
        <f t="shared" si="20"/>
        <v>1</v>
      </c>
      <c r="X28" s="34">
        <f t="shared" si="20"/>
        <v>2.5</v>
      </c>
      <c r="Y28" s="34">
        <f t="shared" si="20"/>
        <v>1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111</v>
      </c>
      <c r="AD28" s="34">
        <f t="shared" si="20"/>
        <v>0</v>
      </c>
      <c r="AE28" s="31">
        <f t="shared" si="13"/>
        <v>849.5</v>
      </c>
      <c r="AF28" s="31">
        <f t="shared" si="13"/>
        <v>1727</v>
      </c>
    </row>
    <row r="29" spans="2:32" ht="23.1" customHeight="1" x14ac:dyDescent="0.25">
      <c r="B29" s="23" t="s">
        <v>56</v>
      </c>
      <c r="C29" s="49">
        <f>AVERAGE('22.07 Natete-Rubaga'!C29,'23.07 Natete-Rubaga'!C29,'24.07 Natete-Rubaga'!C29,'25.07 Natete-Rubaga'!C29,'26.07 Natete-Rubaga-24h'!C29,'27.07 Natete-Rubaga-24h'!C29,'28.07 Natete-Rubaga'!C29)</f>
        <v>28.714285714285715</v>
      </c>
      <c r="D29" s="49">
        <f>AVERAGE('22.07 Natete-Rubaga'!D29,'23.07 Natete-Rubaga'!D29,'24.07 Natete-Rubaga'!D29,'25.07 Natete-Rubaga'!D29,'26.07 Natete-Rubaga-24h'!D29,'27.07 Natete-Rubaga-24h'!D29,'28.07 Natete-Rubaga'!D29)</f>
        <v>10</v>
      </c>
      <c r="E29" s="49">
        <f>AVERAGE('22.07 Natete-Rubaga'!E29,'23.07 Natete-Rubaga'!E29,'24.07 Natete-Rubaga'!E29,'25.07 Natete-Rubaga'!E29,'26.07 Natete-Rubaga-24h'!E29,'27.07 Natete-Rubaga-24h'!E29,'28.07 Natete-Rubaga'!E29)</f>
        <v>4.4285714285714288</v>
      </c>
      <c r="F29" s="49">
        <f>AVERAGE('22.07 Natete-Rubaga'!F29,'23.07 Natete-Rubaga'!F29,'24.07 Natete-Rubaga'!F29,'25.07 Natete-Rubaga'!F29,'26.07 Natete-Rubaga-24h'!F29,'27.07 Natete-Rubaga-24h'!F29,'28.07 Natete-Rubaga'!F29)</f>
        <v>34.142857142857146</v>
      </c>
      <c r="G29" s="49">
        <f>AVERAGE('22.07 Natete-Rubaga'!G29,'23.07 Natete-Rubaga'!G29,'24.07 Natete-Rubaga'!G29,'25.07 Natete-Rubaga'!G29,'26.07 Natete-Rubaga-24h'!G29,'27.07 Natete-Rubaga-24h'!G29,'28.07 Natete-Rubaga'!G29)</f>
        <v>0.14285714285714285</v>
      </c>
      <c r="H29" s="49">
        <f>AVERAGE('22.07 Natete-Rubaga'!H29,'23.07 Natete-Rubaga'!H29,'24.07 Natete-Rubaga'!H29,'25.07 Natete-Rubaga'!H29,'26.07 Natete-Rubaga-24h'!H29,'27.07 Natete-Rubaga-24h'!H29,'28.07 Natete-Rubaga'!H29)</f>
        <v>0.7142857142857143</v>
      </c>
      <c r="I29" s="49">
        <f>AVERAGE('22.07 Natete-Rubaga'!I29,'23.07 Natete-Rubaga'!I29,'24.07 Natete-Rubaga'!I29,'25.07 Natete-Rubaga'!I29,'26.07 Natete-Rubaga-24h'!I29,'27.07 Natete-Rubaga-24h'!I29,'28.07 Natete-Rubaga'!I29)</f>
        <v>4</v>
      </c>
      <c r="J29" s="49">
        <f>AVERAGE('22.07 Natete-Rubaga'!J29,'23.07 Natete-Rubaga'!J29,'24.07 Natete-Rubaga'!J29,'25.07 Natete-Rubaga'!J29,'26.07 Natete-Rubaga-24h'!J29,'27.07 Natete-Rubaga-24h'!J29,'28.07 Natete-Rubaga'!J29)</f>
        <v>2.7142857142857144</v>
      </c>
      <c r="K29" s="49">
        <f>AVERAGE('22.07 Natete-Rubaga'!K29,'23.07 Natete-Rubaga'!K29,'24.07 Natete-Rubaga'!K29,'25.07 Natete-Rubaga'!K29,'26.07 Natete-Rubaga-24h'!K29,'27.07 Natete-Rubaga-24h'!K29,'28.07 Natete-Rubaga'!K29)</f>
        <v>0</v>
      </c>
      <c r="L29" s="49">
        <f>AVERAGE('22.07 Natete-Rubaga'!L29,'23.07 Natete-Rubaga'!L29,'24.07 Natete-Rubaga'!L29,'25.07 Natete-Rubaga'!L29,'26.07 Natete-Rubaga-24h'!L29,'27.07 Natete-Rubaga-24h'!L29,'28.07 Natete-Rubaga'!L29)</f>
        <v>0.14285714285714285</v>
      </c>
      <c r="M29" s="49">
        <f>AVERAGE('22.07 Natete-Rubaga'!M29,'23.07 Natete-Rubaga'!M29,'24.07 Natete-Rubaga'!M29,'25.07 Natete-Rubaga'!M29,'26.07 Natete-Rubaga-24h'!M29,'27.07 Natete-Rubaga-24h'!M29,'28.07 Natete-Rubaga'!M29)</f>
        <v>156.85714285714286</v>
      </c>
      <c r="N29" s="49">
        <f>AVERAGE('22.07 Natete-Rubaga'!N29,'23.07 Natete-Rubaga'!N29,'24.07 Natete-Rubaga'!N29,'25.07 Natete-Rubaga'!N29,'26.07 Natete-Rubaga-24h'!N29,'27.07 Natete-Rubaga-24h'!N29,'28.07 Natete-Rubaga'!N29)</f>
        <v>0</v>
      </c>
      <c r="O29" s="15">
        <f t="shared" si="0"/>
        <v>84.999999999999986</v>
      </c>
      <c r="P29" s="15">
        <f t="shared" si="1"/>
        <v>241.85714285714283</v>
      </c>
      <c r="R29" s="1" t="s">
        <v>153</v>
      </c>
      <c r="S29" s="34">
        <f>SUM(C86:C89)</f>
        <v>25</v>
      </c>
      <c r="T29" s="34">
        <f t="shared" ref="T29:AD29" si="21">SUM(D86:D89)</f>
        <v>5.5</v>
      </c>
      <c r="U29" s="34">
        <f t="shared" si="21"/>
        <v>2.5</v>
      </c>
      <c r="V29" s="34">
        <f t="shared" si="21"/>
        <v>3.5</v>
      </c>
      <c r="W29" s="34">
        <f t="shared" si="21"/>
        <v>0.5</v>
      </c>
      <c r="X29" s="34">
        <f t="shared" si="21"/>
        <v>3.5</v>
      </c>
      <c r="Y29" s="34">
        <f t="shared" si="21"/>
        <v>2</v>
      </c>
      <c r="Z29" s="34">
        <f t="shared" si="21"/>
        <v>1</v>
      </c>
      <c r="AA29" s="34">
        <f t="shared" si="21"/>
        <v>0.5</v>
      </c>
      <c r="AB29" s="34">
        <f t="shared" si="21"/>
        <v>0</v>
      </c>
      <c r="AC29" s="34">
        <f t="shared" si="21"/>
        <v>61.5</v>
      </c>
      <c r="AD29" s="34">
        <f t="shared" si="21"/>
        <v>0</v>
      </c>
      <c r="AE29" s="31">
        <f t="shared" si="13"/>
        <v>673</v>
      </c>
      <c r="AF29" s="31">
        <f t="shared" si="13"/>
        <v>1573</v>
      </c>
    </row>
    <row r="30" spans="2:32" ht="23.1" customHeight="1" x14ac:dyDescent="0.25">
      <c r="B30" s="23" t="s">
        <v>57</v>
      </c>
      <c r="C30" s="49">
        <f>AVERAGE('22.07 Natete-Rubaga'!C30,'23.07 Natete-Rubaga'!C30,'24.07 Natete-Rubaga'!C30,'25.07 Natete-Rubaga'!C30,'26.07 Natete-Rubaga-24h'!C30,'27.07 Natete-Rubaga-24h'!C30,'28.07 Natete-Rubaga'!C30)</f>
        <v>30.571428571428573</v>
      </c>
      <c r="D30" s="49">
        <f>AVERAGE('22.07 Natete-Rubaga'!D30,'23.07 Natete-Rubaga'!D30,'24.07 Natete-Rubaga'!D30,'25.07 Natete-Rubaga'!D30,'26.07 Natete-Rubaga-24h'!D30,'27.07 Natete-Rubaga-24h'!D30,'28.07 Natete-Rubaga'!D30)</f>
        <v>10</v>
      </c>
      <c r="E30" s="49">
        <f>AVERAGE('22.07 Natete-Rubaga'!E30,'23.07 Natete-Rubaga'!E30,'24.07 Natete-Rubaga'!E30,'25.07 Natete-Rubaga'!E30,'26.07 Natete-Rubaga-24h'!E30,'27.07 Natete-Rubaga-24h'!E30,'28.07 Natete-Rubaga'!E30)</f>
        <v>6.8571428571428568</v>
      </c>
      <c r="F30" s="49">
        <f>AVERAGE('22.07 Natete-Rubaga'!F30,'23.07 Natete-Rubaga'!F30,'24.07 Natete-Rubaga'!F30,'25.07 Natete-Rubaga'!F30,'26.07 Natete-Rubaga-24h'!F30,'27.07 Natete-Rubaga-24h'!F30,'28.07 Natete-Rubaga'!F30)</f>
        <v>37.142857142857146</v>
      </c>
      <c r="G30" s="49">
        <f>AVERAGE('22.07 Natete-Rubaga'!G30,'23.07 Natete-Rubaga'!G30,'24.07 Natete-Rubaga'!G30,'25.07 Natete-Rubaga'!G30,'26.07 Natete-Rubaga-24h'!G30,'27.07 Natete-Rubaga-24h'!G30,'28.07 Natete-Rubaga'!G30)</f>
        <v>0.7142857142857143</v>
      </c>
      <c r="H30" s="49">
        <f>AVERAGE('22.07 Natete-Rubaga'!H30,'23.07 Natete-Rubaga'!H30,'24.07 Natete-Rubaga'!H30,'25.07 Natete-Rubaga'!H30,'26.07 Natete-Rubaga-24h'!H30,'27.07 Natete-Rubaga-24h'!H30,'28.07 Natete-Rubaga'!H30)</f>
        <v>0.7142857142857143</v>
      </c>
      <c r="I30" s="49">
        <f>AVERAGE('22.07 Natete-Rubaga'!I30,'23.07 Natete-Rubaga'!I30,'24.07 Natete-Rubaga'!I30,'25.07 Natete-Rubaga'!I30,'26.07 Natete-Rubaga-24h'!I30,'27.07 Natete-Rubaga-24h'!I30,'28.07 Natete-Rubaga'!I30)</f>
        <v>2.1428571428571428</v>
      </c>
      <c r="J30" s="49">
        <f>AVERAGE('22.07 Natete-Rubaga'!J30,'23.07 Natete-Rubaga'!J30,'24.07 Natete-Rubaga'!J30,'25.07 Natete-Rubaga'!J30,'26.07 Natete-Rubaga-24h'!J30,'27.07 Natete-Rubaga-24h'!J30,'28.07 Natete-Rubaga'!J30)</f>
        <v>3</v>
      </c>
      <c r="K30" s="49">
        <f>AVERAGE('22.07 Natete-Rubaga'!K30,'23.07 Natete-Rubaga'!K30,'24.07 Natete-Rubaga'!K30,'25.07 Natete-Rubaga'!K30,'26.07 Natete-Rubaga-24h'!K30,'27.07 Natete-Rubaga-24h'!K30,'28.07 Natete-Rubaga'!K30)</f>
        <v>0.2857142857142857</v>
      </c>
      <c r="L30" s="49">
        <f>AVERAGE('22.07 Natete-Rubaga'!L30,'23.07 Natete-Rubaga'!L30,'24.07 Natete-Rubaga'!L30,'25.07 Natete-Rubaga'!L30,'26.07 Natete-Rubaga-24h'!L30,'27.07 Natete-Rubaga-24h'!L30,'28.07 Natete-Rubaga'!L30)</f>
        <v>0.7142857142857143</v>
      </c>
      <c r="M30" s="49">
        <f>AVERAGE('22.07 Natete-Rubaga'!M30,'23.07 Natete-Rubaga'!M30,'24.07 Natete-Rubaga'!M30,'25.07 Natete-Rubaga'!M30,'26.07 Natete-Rubaga-24h'!M30,'27.07 Natete-Rubaga-24h'!M30,'28.07 Natete-Rubaga'!M30)</f>
        <v>149.42857142857142</v>
      </c>
      <c r="N30" s="49">
        <f>AVERAGE('22.07 Natete-Rubaga'!N30,'23.07 Natete-Rubaga'!N30,'24.07 Natete-Rubaga'!N30,'25.07 Natete-Rubaga'!N30,'26.07 Natete-Rubaga-24h'!N30,'27.07 Natete-Rubaga-24h'!N30,'28.07 Natete-Rubaga'!N30)</f>
        <v>0</v>
      </c>
      <c r="O30" s="15">
        <f t="shared" si="0"/>
        <v>92.142857142857125</v>
      </c>
      <c r="P30" s="15">
        <f t="shared" si="1"/>
        <v>241.57142857142856</v>
      </c>
      <c r="R30" s="1" t="s">
        <v>154</v>
      </c>
      <c r="S30" s="34">
        <f>SUM(C90:C93)</f>
        <v>17</v>
      </c>
      <c r="T30" s="34">
        <f t="shared" ref="T30:AD30" si="22">SUM(D90:D93)</f>
        <v>3</v>
      </c>
      <c r="U30" s="34">
        <f t="shared" si="22"/>
        <v>2</v>
      </c>
      <c r="V30" s="34">
        <f t="shared" si="22"/>
        <v>5.5</v>
      </c>
      <c r="W30" s="34">
        <f t="shared" si="22"/>
        <v>1</v>
      </c>
      <c r="X30" s="34">
        <f t="shared" si="22"/>
        <v>4</v>
      </c>
      <c r="Y30" s="34">
        <f t="shared" si="22"/>
        <v>4</v>
      </c>
      <c r="Z30" s="34">
        <f t="shared" si="22"/>
        <v>1.5</v>
      </c>
      <c r="AA30" s="34">
        <f t="shared" si="22"/>
        <v>0</v>
      </c>
      <c r="AB30" s="34">
        <f t="shared" si="22"/>
        <v>0</v>
      </c>
      <c r="AC30" s="34">
        <f t="shared" si="22"/>
        <v>58</v>
      </c>
      <c r="AD30" s="34">
        <f t="shared" si="22"/>
        <v>0</v>
      </c>
      <c r="AE30" s="31">
        <f t="shared" si="13"/>
        <v>673.5</v>
      </c>
      <c r="AF30" s="31">
        <f t="shared" si="13"/>
        <v>1548.5</v>
      </c>
    </row>
    <row r="31" spans="2:32" ht="23.1" customHeight="1" x14ac:dyDescent="0.25">
      <c r="B31" s="24" t="s">
        <v>58</v>
      </c>
      <c r="C31" s="49">
        <f>AVERAGE('22.07 Natete-Rubaga'!C31,'23.07 Natete-Rubaga'!C31,'24.07 Natete-Rubaga'!C31,'25.07 Natete-Rubaga'!C31,'26.07 Natete-Rubaga-24h'!C31,'27.07 Natete-Rubaga-24h'!C31,'28.07 Natete-Rubaga'!C31)</f>
        <v>28.714285714285715</v>
      </c>
      <c r="D31" s="49">
        <f>AVERAGE('22.07 Natete-Rubaga'!D31,'23.07 Natete-Rubaga'!D31,'24.07 Natete-Rubaga'!D31,'25.07 Natete-Rubaga'!D31,'26.07 Natete-Rubaga-24h'!D31,'27.07 Natete-Rubaga-24h'!D31,'28.07 Natete-Rubaga'!D31)</f>
        <v>7.4285714285714288</v>
      </c>
      <c r="E31" s="49">
        <f>AVERAGE('22.07 Natete-Rubaga'!E31,'23.07 Natete-Rubaga'!E31,'24.07 Natete-Rubaga'!E31,'25.07 Natete-Rubaga'!E31,'26.07 Natete-Rubaga-24h'!E31,'27.07 Natete-Rubaga-24h'!E31,'28.07 Natete-Rubaga'!E31)</f>
        <v>4.1428571428571432</v>
      </c>
      <c r="F31" s="49">
        <f>AVERAGE('22.07 Natete-Rubaga'!F31,'23.07 Natete-Rubaga'!F31,'24.07 Natete-Rubaga'!F31,'25.07 Natete-Rubaga'!F31,'26.07 Natete-Rubaga-24h'!F31,'27.07 Natete-Rubaga-24h'!F31,'28.07 Natete-Rubaga'!F31)</f>
        <v>35.857142857142854</v>
      </c>
      <c r="G31" s="49">
        <f>AVERAGE('22.07 Natete-Rubaga'!G31,'23.07 Natete-Rubaga'!G31,'24.07 Natete-Rubaga'!G31,'25.07 Natete-Rubaga'!G31,'26.07 Natete-Rubaga-24h'!G31,'27.07 Natete-Rubaga-24h'!G31,'28.07 Natete-Rubaga'!G31)</f>
        <v>1</v>
      </c>
      <c r="H31" s="49">
        <f>AVERAGE('22.07 Natete-Rubaga'!H31,'23.07 Natete-Rubaga'!H31,'24.07 Natete-Rubaga'!H31,'25.07 Natete-Rubaga'!H31,'26.07 Natete-Rubaga-24h'!H31,'27.07 Natete-Rubaga-24h'!H31,'28.07 Natete-Rubaga'!H31)</f>
        <v>0.2857142857142857</v>
      </c>
      <c r="I31" s="49">
        <f>AVERAGE('22.07 Natete-Rubaga'!I31,'23.07 Natete-Rubaga'!I31,'24.07 Natete-Rubaga'!I31,'25.07 Natete-Rubaga'!I31,'26.07 Natete-Rubaga-24h'!I31,'27.07 Natete-Rubaga-24h'!I31,'28.07 Natete-Rubaga'!I31)</f>
        <v>4</v>
      </c>
      <c r="J31" s="49">
        <f>AVERAGE('22.07 Natete-Rubaga'!J31,'23.07 Natete-Rubaga'!J31,'24.07 Natete-Rubaga'!J31,'25.07 Natete-Rubaga'!J31,'26.07 Natete-Rubaga-24h'!J31,'27.07 Natete-Rubaga-24h'!J31,'28.07 Natete-Rubaga'!J31)</f>
        <v>2.4285714285714284</v>
      </c>
      <c r="K31" s="49">
        <f>AVERAGE('22.07 Natete-Rubaga'!K31,'23.07 Natete-Rubaga'!K31,'24.07 Natete-Rubaga'!K31,'25.07 Natete-Rubaga'!K31,'26.07 Natete-Rubaga-24h'!K31,'27.07 Natete-Rubaga-24h'!K31,'28.07 Natete-Rubaga'!K31)</f>
        <v>0</v>
      </c>
      <c r="L31" s="49">
        <f>AVERAGE('22.07 Natete-Rubaga'!L31,'23.07 Natete-Rubaga'!L31,'24.07 Natete-Rubaga'!L31,'25.07 Natete-Rubaga'!L31,'26.07 Natete-Rubaga-24h'!L31,'27.07 Natete-Rubaga-24h'!L31,'28.07 Natete-Rubaga'!L31)</f>
        <v>0.42857142857142855</v>
      </c>
      <c r="M31" s="49">
        <f>AVERAGE('22.07 Natete-Rubaga'!M31,'23.07 Natete-Rubaga'!M31,'24.07 Natete-Rubaga'!M31,'25.07 Natete-Rubaga'!M31,'26.07 Natete-Rubaga-24h'!M31,'27.07 Natete-Rubaga-24h'!M31,'28.07 Natete-Rubaga'!M31)</f>
        <v>146.57142857142858</v>
      </c>
      <c r="N31" s="49">
        <f>AVERAGE('22.07 Natete-Rubaga'!N31,'23.07 Natete-Rubaga'!N31,'24.07 Natete-Rubaga'!N31,'25.07 Natete-Rubaga'!N31,'26.07 Natete-Rubaga-24h'!N31,'27.07 Natete-Rubaga-24h'!N31,'28.07 Natete-Rubaga'!N31)</f>
        <v>0</v>
      </c>
      <c r="O31" s="15">
        <f t="shared" si="0"/>
        <v>84.285714285714292</v>
      </c>
      <c r="P31" s="15">
        <f t="shared" si="1"/>
        <v>230.85714285714289</v>
      </c>
      <c r="R31" s="1" t="s">
        <v>155</v>
      </c>
      <c r="S31" s="34">
        <f>SUM(C94:C97)</f>
        <v>22</v>
      </c>
      <c r="T31" s="34">
        <f t="shared" ref="T31:AD31" si="23">SUM(D94:D97)</f>
        <v>10</v>
      </c>
      <c r="U31" s="34">
        <f t="shared" si="23"/>
        <v>2.5</v>
      </c>
      <c r="V31" s="34">
        <f t="shared" si="23"/>
        <v>23.5</v>
      </c>
      <c r="W31" s="34">
        <f t="shared" si="23"/>
        <v>1</v>
      </c>
      <c r="X31" s="34">
        <f t="shared" si="23"/>
        <v>10.5</v>
      </c>
      <c r="Y31" s="34">
        <f t="shared" si="23"/>
        <v>4.5</v>
      </c>
      <c r="Z31" s="34">
        <f t="shared" si="23"/>
        <v>2.5</v>
      </c>
      <c r="AA31" s="34">
        <f t="shared" si="23"/>
        <v>0</v>
      </c>
      <c r="AB31" s="34">
        <f t="shared" si="23"/>
        <v>0</v>
      </c>
      <c r="AC31" s="34">
        <f t="shared" si="23"/>
        <v>83</v>
      </c>
      <c r="AD31" s="34">
        <f t="shared" si="23"/>
        <v>0</v>
      </c>
      <c r="AE31" s="31">
        <f t="shared" si="13"/>
        <v>603.5</v>
      </c>
      <c r="AF31" s="31">
        <f t="shared" si="13"/>
        <v>1413.5</v>
      </c>
    </row>
    <row r="32" spans="2:32" ht="23.1" customHeight="1" x14ac:dyDescent="0.25">
      <c r="B32" s="24" t="s">
        <v>59</v>
      </c>
      <c r="C32" s="49">
        <f>AVERAGE('22.07 Natete-Rubaga'!C32,'23.07 Natete-Rubaga'!C32,'24.07 Natete-Rubaga'!C32,'25.07 Natete-Rubaga'!C32,'26.07 Natete-Rubaga-24h'!C32,'27.07 Natete-Rubaga-24h'!C32,'28.07 Natete-Rubaga'!C32)</f>
        <v>26</v>
      </c>
      <c r="D32" s="49">
        <f>AVERAGE('22.07 Natete-Rubaga'!D32,'23.07 Natete-Rubaga'!D32,'24.07 Natete-Rubaga'!D32,'25.07 Natete-Rubaga'!D32,'26.07 Natete-Rubaga-24h'!D32,'27.07 Natete-Rubaga-24h'!D32,'28.07 Natete-Rubaga'!D32)</f>
        <v>7.2857142857142856</v>
      </c>
      <c r="E32" s="49">
        <f>AVERAGE('22.07 Natete-Rubaga'!E32,'23.07 Natete-Rubaga'!E32,'24.07 Natete-Rubaga'!E32,'25.07 Natete-Rubaga'!E32,'26.07 Natete-Rubaga-24h'!E32,'27.07 Natete-Rubaga-24h'!E32,'28.07 Natete-Rubaga'!E32)</f>
        <v>5.4285714285714288</v>
      </c>
      <c r="F32" s="49">
        <f>AVERAGE('22.07 Natete-Rubaga'!F32,'23.07 Natete-Rubaga'!F32,'24.07 Natete-Rubaga'!F32,'25.07 Natete-Rubaga'!F32,'26.07 Natete-Rubaga-24h'!F32,'27.07 Natete-Rubaga-24h'!F32,'28.07 Natete-Rubaga'!F32)</f>
        <v>37.285714285714285</v>
      </c>
      <c r="G32" s="49">
        <f>AVERAGE('22.07 Natete-Rubaga'!G32,'23.07 Natete-Rubaga'!G32,'24.07 Natete-Rubaga'!G32,'25.07 Natete-Rubaga'!G32,'26.07 Natete-Rubaga-24h'!G32,'27.07 Natete-Rubaga-24h'!G32,'28.07 Natete-Rubaga'!G32)</f>
        <v>0.7142857142857143</v>
      </c>
      <c r="H32" s="49">
        <f>AVERAGE('22.07 Natete-Rubaga'!H32,'23.07 Natete-Rubaga'!H32,'24.07 Natete-Rubaga'!H32,'25.07 Natete-Rubaga'!H32,'26.07 Natete-Rubaga-24h'!H32,'27.07 Natete-Rubaga-24h'!H32,'28.07 Natete-Rubaga'!H32)</f>
        <v>1</v>
      </c>
      <c r="I32" s="49">
        <f>AVERAGE('22.07 Natete-Rubaga'!I32,'23.07 Natete-Rubaga'!I32,'24.07 Natete-Rubaga'!I32,'25.07 Natete-Rubaga'!I32,'26.07 Natete-Rubaga-24h'!I32,'27.07 Natete-Rubaga-24h'!I32,'28.07 Natete-Rubaga'!I32)</f>
        <v>2.8571428571428572</v>
      </c>
      <c r="J32" s="49">
        <f>AVERAGE('22.07 Natete-Rubaga'!J32,'23.07 Natete-Rubaga'!J32,'24.07 Natete-Rubaga'!J32,'25.07 Natete-Rubaga'!J32,'26.07 Natete-Rubaga-24h'!J32,'27.07 Natete-Rubaga-24h'!J32,'28.07 Natete-Rubaga'!J32)</f>
        <v>1.5714285714285714</v>
      </c>
      <c r="K32" s="49">
        <f>AVERAGE('22.07 Natete-Rubaga'!K32,'23.07 Natete-Rubaga'!K32,'24.07 Natete-Rubaga'!K32,'25.07 Natete-Rubaga'!K32,'26.07 Natete-Rubaga-24h'!K32,'27.07 Natete-Rubaga-24h'!K32,'28.07 Natete-Rubaga'!K32)</f>
        <v>0</v>
      </c>
      <c r="L32" s="49">
        <f>AVERAGE('22.07 Natete-Rubaga'!L32,'23.07 Natete-Rubaga'!L32,'24.07 Natete-Rubaga'!L32,'25.07 Natete-Rubaga'!L32,'26.07 Natete-Rubaga-24h'!L32,'27.07 Natete-Rubaga-24h'!L32,'28.07 Natete-Rubaga'!L32)</f>
        <v>0.14285714285714285</v>
      </c>
      <c r="M32" s="49">
        <f>AVERAGE('22.07 Natete-Rubaga'!M32,'23.07 Natete-Rubaga'!M32,'24.07 Natete-Rubaga'!M32,'25.07 Natete-Rubaga'!M32,'26.07 Natete-Rubaga-24h'!M32,'27.07 Natete-Rubaga-24h'!M32,'28.07 Natete-Rubaga'!M32)</f>
        <v>157.14285714285714</v>
      </c>
      <c r="N32" s="49">
        <f>AVERAGE('22.07 Natete-Rubaga'!N32,'23.07 Natete-Rubaga'!N32,'24.07 Natete-Rubaga'!N32,'25.07 Natete-Rubaga'!N32,'26.07 Natete-Rubaga-24h'!N32,'27.07 Natete-Rubaga-24h'!N32,'28.07 Natete-Rubaga'!N32)</f>
        <v>0</v>
      </c>
      <c r="O32" s="15">
        <f t="shared" si="0"/>
        <v>82.285714285714278</v>
      </c>
      <c r="P32" s="15">
        <f t="shared" si="1"/>
        <v>239.42857142857142</v>
      </c>
      <c r="R32" s="1" t="s">
        <v>156</v>
      </c>
      <c r="S32" s="34">
        <f>SUM(C98:C101)</f>
        <v>18.5</v>
      </c>
      <c r="T32" s="34">
        <f t="shared" ref="T32:AD32" si="24">SUM(D98:D101)</f>
        <v>22.5</v>
      </c>
      <c r="U32" s="34">
        <f t="shared" si="24"/>
        <v>5.5</v>
      </c>
      <c r="V32" s="34">
        <f t="shared" si="24"/>
        <v>136.5</v>
      </c>
      <c r="W32" s="34">
        <f t="shared" si="24"/>
        <v>2</v>
      </c>
      <c r="X32" s="34">
        <f t="shared" si="24"/>
        <v>7.5</v>
      </c>
      <c r="Y32" s="34">
        <f t="shared" si="24"/>
        <v>2.5</v>
      </c>
      <c r="Z32" s="34">
        <f t="shared" si="24"/>
        <v>2.5</v>
      </c>
      <c r="AA32" s="34">
        <f t="shared" si="24"/>
        <v>0</v>
      </c>
      <c r="AB32" s="34">
        <f t="shared" si="24"/>
        <v>0</v>
      </c>
      <c r="AC32" s="34">
        <f t="shared" si="24"/>
        <v>220.5</v>
      </c>
      <c r="AD32" s="34">
        <f t="shared" si="24"/>
        <v>0</v>
      </c>
      <c r="AE32" s="31">
        <f t="shared" si="13"/>
        <v>512.5</v>
      </c>
      <c r="AF32" s="31">
        <f t="shared" si="13"/>
        <v>1282.5</v>
      </c>
    </row>
    <row r="33" spans="2:32" ht="23.1" customHeight="1" x14ac:dyDescent="0.25">
      <c r="B33" s="23" t="s">
        <v>60</v>
      </c>
      <c r="C33" s="49">
        <f>AVERAGE('22.07 Natete-Rubaga'!C33,'23.07 Natete-Rubaga'!C33,'24.07 Natete-Rubaga'!C33,'25.07 Natete-Rubaga'!C33,'26.07 Natete-Rubaga-24h'!C33,'27.07 Natete-Rubaga-24h'!C33,'28.07 Natete-Rubaga'!C33)</f>
        <v>28.285714285714285</v>
      </c>
      <c r="D33" s="49">
        <f>AVERAGE('22.07 Natete-Rubaga'!D33,'23.07 Natete-Rubaga'!D33,'24.07 Natete-Rubaga'!D33,'25.07 Natete-Rubaga'!D33,'26.07 Natete-Rubaga-24h'!D33,'27.07 Natete-Rubaga-24h'!D33,'28.07 Natete-Rubaga'!D33)</f>
        <v>6.2857142857142856</v>
      </c>
      <c r="E33" s="49">
        <f>AVERAGE('22.07 Natete-Rubaga'!E33,'23.07 Natete-Rubaga'!E33,'24.07 Natete-Rubaga'!E33,'25.07 Natete-Rubaga'!E33,'26.07 Natete-Rubaga-24h'!E33,'27.07 Natete-Rubaga-24h'!E33,'28.07 Natete-Rubaga'!E33)</f>
        <v>5.4285714285714288</v>
      </c>
      <c r="F33" s="49">
        <f>AVERAGE('22.07 Natete-Rubaga'!F33,'23.07 Natete-Rubaga'!F33,'24.07 Natete-Rubaga'!F33,'25.07 Natete-Rubaga'!F33,'26.07 Natete-Rubaga-24h'!F33,'27.07 Natete-Rubaga-24h'!F33,'28.07 Natete-Rubaga'!F33)</f>
        <v>41</v>
      </c>
      <c r="G33" s="49">
        <f>AVERAGE('22.07 Natete-Rubaga'!G33,'23.07 Natete-Rubaga'!G33,'24.07 Natete-Rubaga'!G33,'25.07 Natete-Rubaga'!G33,'26.07 Natete-Rubaga-24h'!G33,'27.07 Natete-Rubaga-24h'!G33,'28.07 Natete-Rubaga'!G33)</f>
        <v>0.14285714285714285</v>
      </c>
      <c r="H33" s="49">
        <f>AVERAGE('22.07 Natete-Rubaga'!H33,'23.07 Natete-Rubaga'!H33,'24.07 Natete-Rubaga'!H33,'25.07 Natete-Rubaga'!H33,'26.07 Natete-Rubaga-24h'!H33,'27.07 Natete-Rubaga-24h'!H33,'28.07 Natete-Rubaga'!H33)</f>
        <v>0.8571428571428571</v>
      </c>
      <c r="I33" s="49">
        <f>AVERAGE('22.07 Natete-Rubaga'!I33,'23.07 Natete-Rubaga'!I33,'24.07 Natete-Rubaga'!I33,'25.07 Natete-Rubaga'!I33,'26.07 Natete-Rubaga-24h'!I33,'27.07 Natete-Rubaga-24h'!I33,'28.07 Natete-Rubaga'!I33)</f>
        <v>0.8571428571428571</v>
      </c>
      <c r="J33" s="49">
        <f>AVERAGE('22.07 Natete-Rubaga'!J33,'23.07 Natete-Rubaga'!J33,'24.07 Natete-Rubaga'!J33,'25.07 Natete-Rubaga'!J33,'26.07 Natete-Rubaga-24h'!J33,'27.07 Natete-Rubaga-24h'!J33,'28.07 Natete-Rubaga'!J33)</f>
        <v>1.8571428571428572</v>
      </c>
      <c r="K33" s="49">
        <f>AVERAGE('22.07 Natete-Rubaga'!K33,'23.07 Natete-Rubaga'!K33,'24.07 Natete-Rubaga'!K33,'25.07 Natete-Rubaga'!K33,'26.07 Natete-Rubaga-24h'!K33,'27.07 Natete-Rubaga-24h'!K33,'28.07 Natete-Rubaga'!K33)</f>
        <v>0.14285714285714285</v>
      </c>
      <c r="L33" s="49">
        <f>AVERAGE('22.07 Natete-Rubaga'!L33,'23.07 Natete-Rubaga'!L33,'24.07 Natete-Rubaga'!L33,'25.07 Natete-Rubaga'!L33,'26.07 Natete-Rubaga-24h'!L33,'27.07 Natete-Rubaga-24h'!L33,'28.07 Natete-Rubaga'!L33)</f>
        <v>0.14285714285714285</v>
      </c>
      <c r="M33" s="49">
        <f>AVERAGE('22.07 Natete-Rubaga'!M33,'23.07 Natete-Rubaga'!M33,'24.07 Natete-Rubaga'!M33,'25.07 Natete-Rubaga'!M33,'26.07 Natete-Rubaga-24h'!M33,'27.07 Natete-Rubaga-24h'!M33,'28.07 Natete-Rubaga'!M33)</f>
        <v>153</v>
      </c>
      <c r="N33" s="49">
        <f>AVERAGE('22.07 Natete-Rubaga'!N33,'23.07 Natete-Rubaga'!N33,'24.07 Natete-Rubaga'!N33,'25.07 Natete-Rubaga'!N33,'26.07 Natete-Rubaga-24h'!N33,'27.07 Natete-Rubaga-24h'!N33,'28.07 Natete-Rubaga'!N33)</f>
        <v>0</v>
      </c>
      <c r="O33" s="15">
        <f t="shared" si="0"/>
        <v>85</v>
      </c>
      <c r="P33" s="15">
        <f t="shared" si="1"/>
        <v>238</v>
      </c>
      <c r="R33" s="1" t="s">
        <v>157</v>
      </c>
      <c r="S33" s="34">
        <f>SUM(C102:C105)</f>
        <v>27</v>
      </c>
      <c r="T33" s="34">
        <f t="shared" ref="T33:AD33" si="25">SUM(D102:D105)</f>
        <v>49.5</v>
      </c>
      <c r="U33" s="34">
        <f t="shared" si="25"/>
        <v>8.5</v>
      </c>
      <c r="V33" s="34">
        <f t="shared" si="25"/>
        <v>159</v>
      </c>
      <c r="W33" s="34">
        <f t="shared" si="25"/>
        <v>3.5</v>
      </c>
      <c r="X33" s="34">
        <f t="shared" si="25"/>
        <v>5</v>
      </c>
      <c r="Y33" s="34">
        <f t="shared" si="25"/>
        <v>16.5</v>
      </c>
      <c r="Z33" s="34">
        <f t="shared" si="25"/>
        <v>4</v>
      </c>
      <c r="AA33" s="34">
        <f t="shared" si="25"/>
        <v>0</v>
      </c>
      <c r="AB33" s="34">
        <f t="shared" si="25"/>
        <v>0.5</v>
      </c>
      <c r="AC33" s="34">
        <f t="shared" si="25"/>
        <v>288</v>
      </c>
      <c r="AD33" s="34">
        <f t="shared" si="25"/>
        <v>0</v>
      </c>
      <c r="AE33" s="31">
        <f t="shared" si="13"/>
        <v>487</v>
      </c>
      <c r="AF33" s="31">
        <f t="shared" si="13"/>
        <v>1134.5</v>
      </c>
    </row>
    <row r="34" spans="2:32" ht="23.1" customHeight="1" x14ac:dyDescent="0.25">
      <c r="B34" s="24" t="s">
        <v>61</v>
      </c>
      <c r="C34" s="49">
        <f>AVERAGE('22.07 Natete-Rubaga'!C34,'23.07 Natete-Rubaga'!C34,'24.07 Natete-Rubaga'!C34,'25.07 Natete-Rubaga'!C34,'26.07 Natete-Rubaga-24h'!C34,'27.07 Natete-Rubaga-24h'!C34,'28.07 Natete-Rubaga'!C34)</f>
        <v>24</v>
      </c>
      <c r="D34" s="49">
        <f>AVERAGE('22.07 Natete-Rubaga'!D34,'23.07 Natete-Rubaga'!D34,'24.07 Natete-Rubaga'!D34,'25.07 Natete-Rubaga'!D34,'26.07 Natete-Rubaga-24h'!D34,'27.07 Natete-Rubaga-24h'!D34,'28.07 Natete-Rubaga'!D34)</f>
        <v>6.8571428571428568</v>
      </c>
      <c r="E34" s="49">
        <f>AVERAGE('22.07 Natete-Rubaga'!E34,'23.07 Natete-Rubaga'!E34,'24.07 Natete-Rubaga'!E34,'25.07 Natete-Rubaga'!E34,'26.07 Natete-Rubaga-24h'!E34,'27.07 Natete-Rubaga-24h'!E34,'28.07 Natete-Rubaga'!E34)</f>
        <v>4.8571428571428568</v>
      </c>
      <c r="F34" s="49">
        <f>AVERAGE('22.07 Natete-Rubaga'!F34,'23.07 Natete-Rubaga'!F34,'24.07 Natete-Rubaga'!F34,'25.07 Natete-Rubaga'!F34,'26.07 Natete-Rubaga-24h'!F34,'27.07 Natete-Rubaga-24h'!F34,'28.07 Natete-Rubaga'!F34)</f>
        <v>33.714285714285715</v>
      </c>
      <c r="G34" s="49">
        <f>AVERAGE('22.07 Natete-Rubaga'!G34,'23.07 Natete-Rubaga'!G34,'24.07 Natete-Rubaga'!G34,'25.07 Natete-Rubaga'!G34,'26.07 Natete-Rubaga-24h'!G34,'27.07 Natete-Rubaga-24h'!G34,'28.07 Natete-Rubaga'!G34)</f>
        <v>0.42857142857142855</v>
      </c>
      <c r="H34" s="49">
        <f>AVERAGE('22.07 Natete-Rubaga'!H34,'23.07 Natete-Rubaga'!H34,'24.07 Natete-Rubaga'!H34,'25.07 Natete-Rubaga'!H34,'26.07 Natete-Rubaga-24h'!H34,'27.07 Natete-Rubaga-24h'!H34,'28.07 Natete-Rubaga'!H34)</f>
        <v>1.4285714285714286</v>
      </c>
      <c r="I34" s="49">
        <f>AVERAGE('22.07 Natete-Rubaga'!I34,'23.07 Natete-Rubaga'!I34,'24.07 Natete-Rubaga'!I34,'25.07 Natete-Rubaga'!I34,'26.07 Natete-Rubaga-24h'!I34,'27.07 Natete-Rubaga-24h'!I34,'28.07 Natete-Rubaga'!I34)</f>
        <v>2.8571428571428572</v>
      </c>
      <c r="J34" s="49">
        <f>AVERAGE('22.07 Natete-Rubaga'!J34,'23.07 Natete-Rubaga'!J34,'24.07 Natete-Rubaga'!J34,'25.07 Natete-Rubaga'!J34,'26.07 Natete-Rubaga-24h'!J34,'27.07 Natete-Rubaga-24h'!J34,'28.07 Natete-Rubaga'!J34)</f>
        <v>1.2857142857142858</v>
      </c>
      <c r="K34" s="49">
        <f>AVERAGE('22.07 Natete-Rubaga'!K34,'23.07 Natete-Rubaga'!K34,'24.07 Natete-Rubaga'!K34,'25.07 Natete-Rubaga'!K34,'26.07 Natete-Rubaga-24h'!K34,'27.07 Natete-Rubaga-24h'!K34,'28.07 Natete-Rubaga'!K34)</f>
        <v>0.7142857142857143</v>
      </c>
      <c r="L34" s="49">
        <f>AVERAGE('22.07 Natete-Rubaga'!L34,'23.07 Natete-Rubaga'!L34,'24.07 Natete-Rubaga'!L34,'25.07 Natete-Rubaga'!L34,'26.07 Natete-Rubaga-24h'!L34,'27.07 Natete-Rubaga-24h'!L34,'28.07 Natete-Rubaga'!L34)</f>
        <v>0</v>
      </c>
      <c r="M34" s="49">
        <f>AVERAGE('22.07 Natete-Rubaga'!M34,'23.07 Natete-Rubaga'!M34,'24.07 Natete-Rubaga'!M34,'25.07 Natete-Rubaga'!M34,'26.07 Natete-Rubaga-24h'!M34,'27.07 Natete-Rubaga-24h'!M34,'28.07 Natete-Rubaga'!M34)</f>
        <v>130.14285714285714</v>
      </c>
      <c r="N34" s="49">
        <f>AVERAGE('22.07 Natete-Rubaga'!N34,'23.07 Natete-Rubaga'!N34,'24.07 Natete-Rubaga'!N34,'25.07 Natete-Rubaga'!N34,'26.07 Natete-Rubaga-24h'!N34,'27.07 Natete-Rubaga-24h'!N34,'28.07 Natete-Rubaga'!N34)</f>
        <v>0</v>
      </c>
      <c r="O34" s="15">
        <f t="shared" si="0"/>
        <v>76.142857142857153</v>
      </c>
      <c r="P34" s="15">
        <f t="shared" si="1"/>
        <v>206.28571428571428</v>
      </c>
      <c r="R34" s="38" t="s">
        <v>90</v>
      </c>
      <c r="S34" s="39">
        <f t="shared" ref="S34:AF34" si="26">MAX(S10:S12)</f>
        <v>155</v>
      </c>
      <c r="T34" s="39">
        <f t="shared" si="26"/>
        <v>42.142857142857139</v>
      </c>
      <c r="U34" s="39">
        <f t="shared" si="26"/>
        <v>32.428571428571431</v>
      </c>
      <c r="V34" s="39">
        <f t="shared" si="26"/>
        <v>247.14285714285717</v>
      </c>
      <c r="W34" s="39">
        <f t="shared" si="26"/>
        <v>22.142857142857142</v>
      </c>
      <c r="X34" s="39">
        <f t="shared" si="26"/>
        <v>3</v>
      </c>
      <c r="Y34" s="39">
        <f t="shared" si="26"/>
        <v>10.857142857142858</v>
      </c>
      <c r="Z34" s="39">
        <f t="shared" si="26"/>
        <v>8.2857142857142847</v>
      </c>
      <c r="AA34" s="39">
        <f t="shared" si="26"/>
        <v>0.71428571428571419</v>
      </c>
      <c r="AB34" s="39">
        <f t="shared" si="26"/>
        <v>0.42857142857142855</v>
      </c>
      <c r="AC34" s="39">
        <f t="shared" si="26"/>
        <v>1472.7142857142856</v>
      </c>
      <c r="AD34" s="39">
        <f t="shared" si="26"/>
        <v>0</v>
      </c>
      <c r="AE34" s="40">
        <f t="shared" si="26"/>
        <v>487.28571428571422</v>
      </c>
      <c r="AF34" s="40">
        <f t="shared" si="26"/>
        <v>1933.7142857142858</v>
      </c>
    </row>
    <row r="35" spans="2:32" ht="23.1" customHeight="1" x14ac:dyDescent="0.25">
      <c r="B35" s="24" t="s">
        <v>62</v>
      </c>
      <c r="C35" s="49">
        <f>AVERAGE('22.07 Natete-Rubaga'!C35,'23.07 Natete-Rubaga'!C35,'24.07 Natete-Rubaga'!C35,'25.07 Natete-Rubaga'!C35,'26.07 Natete-Rubaga-24h'!C35,'27.07 Natete-Rubaga-24h'!C35,'28.07 Natete-Rubaga'!C35)</f>
        <v>25.285714285714285</v>
      </c>
      <c r="D35" s="49">
        <f>AVERAGE('22.07 Natete-Rubaga'!D35,'23.07 Natete-Rubaga'!D35,'24.07 Natete-Rubaga'!D35,'25.07 Natete-Rubaga'!D35,'26.07 Natete-Rubaga-24h'!D35,'27.07 Natete-Rubaga-24h'!D35,'28.07 Natete-Rubaga'!D35)</f>
        <v>7</v>
      </c>
      <c r="E35" s="49">
        <f>AVERAGE('22.07 Natete-Rubaga'!E35,'23.07 Natete-Rubaga'!E35,'24.07 Natete-Rubaga'!E35,'25.07 Natete-Rubaga'!E35,'26.07 Natete-Rubaga-24h'!E35,'27.07 Natete-Rubaga-24h'!E35,'28.07 Natete-Rubaga'!E35)</f>
        <v>3.4285714285714284</v>
      </c>
      <c r="F35" s="49">
        <f>AVERAGE('22.07 Natete-Rubaga'!F35,'23.07 Natete-Rubaga'!F35,'24.07 Natete-Rubaga'!F35,'25.07 Natete-Rubaga'!F35,'26.07 Natete-Rubaga-24h'!F35,'27.07 Natete-Rubaga-24h'!F35,'28.07 Natete-Rubaga'!F35)</f>
        <v>34.428571428571431</v>
      </c>
      <c r="G35" s="49">
        <f>AVERAGE('22.07 Natete-Rubaga'!G35,'23.07 Natete-Rubaga'!G35,'24.07 Natete-Rubaga'!G35,'25.07 Natete-Rubaga'!G35,'26.07 Natete-Rubaga-24h'!G35,'27.07 Natete-Rubaga-24h'!G35,'28.07 Natete-Rubaga'!G35)</f>
        <v>0.42857142857142855</v>
      </c>
      <c r="H35" s="49">
        <f>AVERAGE('22.07 Natete-Rubaga'!H35,'23.07 Natete-Rubaga'!H35,'24.07 Natete-Rubaga'!H35,'25.07 Natete-Rubaga'!H35,'26.07 Natete-Rubaga-24h'!H35,'27.07 Natete-Rubaga-24h'!H35,'28.07 Natete-Rubaga'!H35)</f>
        <v>0.5714285714285714</v>
      </c>
      <c r="I35" s="49">
        <f>AVERAGE('22.07 Natete-Rubaga'!I35,'23.07 Natete-Rubaga'!I35,'24.07 Natete-Rubaga'!I35,'25.07 Natete-Rubaga'!I35,'26.07 Natete-Rubaga-24h'!I35,'27.07 Natete-Rubaga-24h'!I35,'28.07 Natete-Rubaga'!I35)</f>
        <v>2.4285714285714284</v>
      </c>
      <c r="J35" s="49">
        <f>AVERAGE('22.07 Natete-Rubaga'!J35,'23.07 Natete-Rubaga'!J35,'24.07 Natete-Rubaga'!J35,'25.07 Natete-Rubaga'!J35,'26.07 Natete-Rubaga-24h'!J35,'27.07 Natete-Rubaga-24h'!J35,'28.07 Natete-Rubaga'!J35)</f>
        <v>1.4285714285714286</v>
      </c>
      <c r="K35" s="49">
        <f>AVERAGE('22.07 Natete-Rubaga'!K35,'23.07 Natete-Rubaga'!K35,'24.07 Natete-Rubaga'!K35,'25.07 Natete-Rubaga'!K35,'26.07 Natete-Rubaga-24h'!K35,'27.07 Natete-Rubaga-24h'!K35,'28.07 Natete-Rubaga'!K35)</f>
        <v>0.14285714285714285</v>
      </c>
      <c r="L35" s="49">
        <f>AVERAGE('22.07 Natete-Rubaga'!L35,'23.07 Natete-Rubaga'!L35,'24.07 Natete-Rubaga'!L35,'25.07 Natete-Rubaga'!L35,'26.07 Natete-Rubaga-24h'!L35,'27.07 Natete-Rubaga-24h'!L35,'28.07 Natete-Rubaga'!L35)</f>
        <v>0.2857142857142857</v>
      </c>
      <c r="M35" s="49">
        <f>AVERAGE('22.07 Natete-Rubaga'!M35,'23.07 Natete-Rubaga'!M35,'24.07 Natete-Rubaga'!M35,'25.07 Natete-Rubaga'!M35,'26.07 Natete-Rubaga-24h'!M35,'27.07 Natete-Rubaga-24h'!M35,'28.07 Natete-Rubaga'!M35)</f>
        <v>134</v>
      </c>
      <c r="N35" s="49">
        <f>AVERAGE('22.07 Natete-Rubaga'!N35,'23.07 Natete-Rubaga'!N35,'24.07 Natete-Rubaga'!N35,'25.07 Natete-Rubaga'!N35,'26.07 Natete-Rubaga-24h'!N35,'27.07 Natete-Rubaga-24h'!N35,'28.07 Natete-Rubaga'!N35)</f>
        <v>0</v>
      </c>
      <c r="O35" s="15">
        <f t="shared" si="0"/>
        <v>75.428571428571431</v>
      </c>
      <c r="P35" s="15">
        <f t="shared" si="1"/>
        <v>209.42857142857144</v>
      </c>
      <c r="R35" s="38" t="s">
        <v>91</v>
      </c>
      <c r="S35" s="39">
        <f t="shared" ref="S35:AF35" si="27">MAX(S13:S18)</f>
        <v>145</v>
      </c>
      <c r="T35" s="39">
        <f t="shared" si="27"/>
        <v>38.857142857142854</v>
      </c>
      <c r="U35" s="39">
        <f t="shared" si="27"/>
        <v>21.857142857142861</v>
      </c>
      <c r="V35" s="39">
        <f t="shared" si="27"/>
        <v>187.42857142857144</v>
      </c>
      <c r="W35" s="39">
        <f t="shared" si="27"/>
        <v>8.428571428571427</v>
      </c>
      <c r="X35" s="39">
        <f t="shared" si="27"/>
        <v>5.2857142857142856</v>
      </c>
      <c r="Y35" s="39">
        <f t="shared" si="27"/>
        <v>13.142857142857142</v>
      </c>
      <c r="Z35" s="39">
        <f t="shared" si="27"/>
        <v>8.8571428571428577</v>
      </c>
      <c r="AA35" s="39">
        <f t="shared" si="27"/>
        <v>1.5714285714285714</v>
      </c>
      <c r="AB35" s="39">
        <f t="shared" si="27"/>
        <v>1.4285714285714284</v>
      </c>
      <c r="AC35" s="39">
        <f t="shared" si="27"/>
        <v>805.42857142857133</v>
      </c>
      <c r="AD35" s="39">
        <f t="shared" si="27"/>
        <v>1.4285714285714286</v>
      </c>
      <c r="AE35" s="40">
        <f t="shared" si="27"/>
        <v>414.28571428571428</v>
      </c>
      <c r="AF35" s="40">
        <f t="shared" si="27"/>
        <v>1219.7142857142858</v>
      </c>
    </row>
    <row r="36" spans="2:32" ht="23.1" customHeight="1" x14ac:dyDescent="0.25">
      <c r="B36" s="24" t="s">
        <v>63</v>
      </c>
      <c r="C36" s="49">
        <f>AVERAGE('22.07 Natete-Rubaga'!C36,'23.07 Natete-Rubaga'!C36,'24.07 Natete-Rubaga'!C36,'25.07 Natete-Rubaga'!C36,'26.07 Natete-Rubaga-24h'!C36,'27.07 Natete-Rubaga-24h'!C36,'28.07 Natete-Rubaga'!C36)</f>
        <v>24.857142857142858</v>
      </c>
      <c r="D36" s="49">
        <f>AVERAGE('22.07 Natete-Rubaga'!D36,'23.07 Natete-Rubaga'!D36,'24.07 Natete-Rubaga'!D36,'25.07 Natete-Rubaga'!D36,'26.07 Natete-Rubaga-24h'!D36,'27.07 Natete-Rubaga-24h'!D36,'28.07 Natete-Rubaga'!D36)</f>
        <v>8.1428571428571423</v>
      </c>
      <c r="E36" s="49">
        <f>AVERAGE('22.07 Natete-Rubaga'!E36,'23.07 Natete-Rubaga'!E36,'24.07 Natete-Rubaga'!E36,'25.07 Natete-Rubaga'!E36,'26.07 Natete-Rubaga-24h'!E36,'27.07 Natete-Rubaga-24h'!E36,'28.07 Natete-Rubaga'!E36)</f>
        <v>4.5714285714285712</v>
      </c>
      <c r="F36" s="49">
        <f>AVERAGE('22.07 Natete-Rubaga'!F36,'23.07 Natete-Rubaga'!F36,'24.07 Natete-Rubaga'!F36,'25.07 Natete-Rubaga'!F36,'26.07 Natete-Rubaga-24h'!F36,'27.07 Natete-Rubaga-24h'!F36,'28.07 Natete-Rubaga'!F36)</f>
        <v>33.714285714285715</v>
      </c>
      <c r="G36" s="49">
        <f>AVERAGE('22.07 Natete-Rubaga'!G36,'23.07 Natete-Rubaga'!G36,'24.07 Natete-Rubaga'!G36,'25.07 Natete-Rubaga'!G36,'26.07 Natete-Rubaga-24h'!G36,'27.07 Natete-Rubaga-24h'!G36,'28.07 Natete-Rubaga'!G36)</f>
        <v>0.5714285714285714</v>
      </c>
      <c r="H36" s="49">
        <f>AVERAGE('22.07 Natete-Rubaga'!H36,'23.07 Natete-Rubaga'!H36,'24.07 Natete-Rubaga'!H36,'25.07 Natete-Rubaga'!H36,'26.07 Natete-Rubaga-24h'!H36,'27.07 Natete-Rubaga-24h'!H36,'28.07 Natete-Rubaga'!H36)</f>
        <v>1</v>
      </c>
      <c r="I36" s="49">
        <f>AVERAGE('22.07 Natete-Rubaga'!I36,'23.07 Natete-Rubaga'!I36,'24.07 Natete-Rubaga'!I36,'25.07 Natete-Rubaga'!I36,'26.07 Natete-Rubaga-24h'!I36,'27.07 Natete-Rubaga-24h'!I36,'28.07 Natete-Rubaga'!I36)</f>
        <v>3</v>
      </c>
      <c r="J36" s="49">
        <f>AVERAGE('22.07 Natete-Rubaga'!J36,'23.07 Natete-Rubaga'!J36,'24.07 Natete-Rubaga'!J36,'25.07 Natete-Rubaga'!J36,'26.07 Natete-Rubaga-24h'!J36,'27.07 Natete-Rubaga-24h'!J36,'28.07 Natete-Rubaga'!J36)</f>
        <v>2.1428571428571428</v>
      </c>
      <c r="K36" s="49">
        <f>AVERAGE('22.07 Natete-Rubaga'!K36,'23.07 Natete-Rubaga'!K36,'24.07 Natete-Rubaga'!K36,'25.07 Natete-Rubaga'!K36,'26.07 Natete-Rubaga-24h'!K36,'27.07 Natete-Rubaga-24h'!K36,'28.07 Natete-Rubaga'!K36)</f>
        <v>0.2857142857142857</v>
      </c>
      <c r="L36" s="49">
        <f>AVERAGE('22.07 Natete-Rubaga'!L36,'23.07 Natete-Rubaga'!L36,'24.07 Natete-Rubaga'!L36,'25.07 Natete-Rubaga'!L36,'26.07 Natete-Rubaga-24h'!L36,'27.07 Natete-Rubaga-24h'!L36,'28.07 Natete-Rubaga'!L36)</f>
        <v>0.8571428571428571</v>
      </c>
      <c r="M36" s="49">
        <f>AVERAGE('22.07 Natete-Rubaga'!M36,'23.07 Natete-Rubaga'!M36,'24.07 Natete-Rubaga'!M36,'25.07 Natete-Rubaga'!M36,'26.07 Natete-Rubaga-24h'!M36,'27.07 Natete-Rubaga-24h'!M36,'28.07 Natete-Rubaga'!M36)</f>
        <v>122.28571428571429</v>
      </c>
      <c r="N36" s="49">
        <f>AVERAGE('22.07 Natete-Rubaga'!N36,'23.07 Natete-Rubaga'!N36,'24.07 Natete-Rubaga'!N36,'25.07 Natete-Rubaga'!N36,'26.07 Natete-Rubaga-24h'!N36,'27.07 Natete-Rubaga-24h'!N36,'28.07 Natete-Rubaga'!N36)</f>
        <v>0</v>
      </c>
      <c r="O36" s="15">
        <f t="shared" si="0"/>
        <v>79.142857142857139</v>
      </c>
      <c r="P36" s="15">
        <f t="shared" si="1"/>
        <v>201.42857142857144</v>
      </c>
      <c r="R36" s="38" t="s">
        <v>92</v>
      </c>
      <c r="S36" s="39">
        <f t="shared" ref="S36:AF36" si="28">MAX(S19:S21)</f>
        <v>120</v>
      </c>
      <c r="T36" s="39">
        <f t="shared" si="28"/>
        <v>38.285714285714292</v>
      </c>
      <c r="U36" s="39">
        <f t="shared" si="28"/>
        <v>17.714285714285712</v>
      </c>
      <c r="V36" s="39">
        <f t="shared" si="28"/>
        <v>151.57142857142858</v>
      </c>
      <c r="W36" s="39">
        <f t="shared" si="28"/>
        <v>3.2857142857142856</v>
      </c>
      <c r="X36" s="39">
        <f t="shared" si="28"/>
        <v>8.7142857142857135</v>
      </c>
      <c r="Y36" s="39">
        <f t="shared" si="28"/>
        <v>15.571428571428571</v>
      </c>
      <c r="Z36" s="39">
        <f t="shared" si="28"/>
        <v>8.7142857142857153</v>
      </c>
      <c r="AA36" s="39">
        <f t="shared" si="28"/>
        <v>1.2857142857142856</v>
      </c>
      <c r="AB36" s="39">
        <f t="shared" si="28"/>
        <v>0.8571428571428571</v>
      </c>
      <c r="AC36" s="39">
        <f t="shared" si="28"/>
        <v>487.28571428571433</v>
      </c>
      <c r="AD36" s="39">
        <f t="shared" si="28"/>
        <v>0</v>
      </c>
      <c r="AE36" s="40">
        <f t="shared" si="28"/>
        <v>363.28571428571428</v>
      </c>
      <c r="AF36" s="40">
        <f t="shared" si="28"/>
        <v>850.57142857142856</v>
      </c>
    </row>
    <row r="37" spans="2:32" ht="23.1" customHeight="1" x14ac:dyDescent="0.25">
      <c r="B37" s="23" t="s">
        <v>64</v>
      </c>
      <c r="C37" s="49">
        <f>AVERAGE('22.07 Natete-Rubaga'!C37,'23.07 Natete-Rubaga'!C37,'24.07 Natete-Rubaga'!C37,'25.07 Natete-Rubaga'!C37,'26.07 Natete-Rubaga-24h'!C37,'27.07 Natete-Rubaga-24h'!C37,'28.07 Natete-Rubaga'!C37)</f>
        <v>28.428571428571427</v>
      </c>
      <c r="D37" s="49">
        <f>AVERAGE('22.07 Natete-Rubaga'!D37,'23.07 Natete-Rubaga'!D37,'24.07 Natete-Rubaga'!D37,'25.07 Natete-Rubaga'!D37,'26.07 Natete-Rubaga-24h'!D37,'27.07 Natete-Rubaga-24h'!D37,'28.07 Natete-Rubaga'!D37)</f>
        <v>6.5714285714285712</v>
      </c>
      <c r="E37" s="49">
        <f>AVERAGE('22.07 Natete-Rubaga'!E37,'23.07 Natete-Rubaga'!E37,'24.07 Natete-Rubaga'!E37,'25.07 Natete-Rubaga'!E37,'26.07 Natete-Rubaga-24h'!E37,'27.07 Natete-Rubaga-24h'!E37,'28.07 Natete-Rubaga'!E37)</f>
        <v>5.2857142857142856</v>
      </c>
      <c r="F37" s="49">
        <f>AVERAGE('22.07 Natete-Rubaga'!F37,'23.07 Natete-Rubaga'!F37,'24.07 Natete-Rubaga'!F37,'25.07 Natete-Rubaga'!F37,'26.07 Natete-Rubaga-24h'!F37,'27.07 Natete-Rubaga-24h'!F37,'28.07 Natete-Rubaga'!F37)</f>
        <v>38.428571428571431</v>
      </c>
      <c r="G37" s="49">
        <f>AVERAGE('22.07 Natete-Rubaga'!G37,'23.07 Natete-Rubaga'!G37,'24.07 Natete-Rubaga'!G37,'25.07 Natete-Rubaga'!G37,'26.07 Natete-Rubaga-24h'!G37,'27.07 Natete-Rubaga-24h'!G37,'28.07 Natete-Rubaga'!G37)</f>
        <v>0.2857142857142857</v>
      </c>
      <c r="H37" s="49">
        <f>AVERAGE('22.07 Natete-Rubaga'!H37,'23.07 Natete-Rubaga'!H37,'24.07 Natete-Rubaga'!H37,'25.07 Natete-Rubaga'!H37,'26.07 Natete-Rubaga-24h'!H37,'27.07 Natete-Rubaga-24h'!H37,'28.07 Natete-Rubaga'!H37)</f>
        <v>2.2857142857142856</v>
      </c>
      <c r="I37" s="49">
        <f>AVERAGE('22.07 Natete-Rubaga'!I37,'23.07 Natete-Rubaga'!I37,'24.07 Natete-Rubaga'!I37,'25.07 Natete-Rubaga'!I37,'26.07 Natete-Rubaga-24h'!I37,'27.07 Natete-Rubaga-24h'!I37,'28.07 Natete-Rubaga'!I37)</f>
        <v>4</v>
      </c>
      <c r="J37" s="49">
        <f>AVERAGE('22.07 Natete-Rubaga'!J37,'23.07 Natete-Rubaga'!J37,'24.07 Natete-Rubaga'!J37,'25.07 Natete-Rubaga'!J37,'26.07 Natete-Rubaga-24h'!J37,'27.07 Natete-Rubaga-24h'!J37,'28.07 Natete-Rubaga'!J37)</f>
        <v>1.2857142857142858</v>
      </c>
      <c r="K37" s="49">
        <f>AVERAGE('22.07 Natete-Rubaga'!K37,'23.07 Natete-Rubaga'!K37,'24.07 Natete-Rubaga'!K37,'25.07 Natete-Rubaga'!K37,'26.07 Natete-Rubaga-24h'!K37,'27.07 Natete-Rubaga-24h'!K37,'28.07 Natete-Rubaga'!K37)</f>
        <v>0.42857142857142855</v>
      </c>
      <c r="L37" s="49">
        <f>AVERAGE('22.07 Natete-Rubaga'!L37,'23.07 Natete-Rubaga'!L37,'24.07 Natete-Rubaga'!L37,'25.07 Natete-Rubaga'!L37,'26.07 Natete-Rubaga-24h'!L37,'27.07 Natete-Rubaga-24h'!L37,'28.07 Natete-Rubaga'!L37)</f>
        <v>0.14285714285714285</v>
      </c>
      <c r="M37" s="49">
        <f>AVERAGE('22.07 Natete-Rubaga'!M37,'23.07 Natete-Rubaga'!M37,'24.07 Natete-Rubaga'!M37,'25.07 Natete-Rubaga'!M37,'26.07 Natete-Rubaga-24h'!M37,'27.07 Natete-Rubaga-24h'!M37,'28.07 Natete-Rubaga'!M37)</f>
        <v>141.14285714285714</v>
      </c>
      <c r="N37" s="49">
        <f>AVERAGE('22.07 Natete-Rubaga'!N37,'23.07 Natete-Rubaga'!N37,'24.07 Natete-Rubaga'!N37,'25.07 Natete-Rubaga'!N37,'26.07 Natete-Rubaga-24h'!N37,'27.07 Natete-Rubaga-24h'!N37,'28.07 Natete-Rubaga'!N37)</f>
        <v>0</v>
      </c>
      <c r="O37" s="15">
        <f t="shared" si="0"/>
        <v>87.142857142857167</v>
      </c>
      <c r="P37" s="15">
        <f t="shared" si="1"/>
        <v>228.28571428571431</v>
      </c>
      <c r="R37" s="37" t="s">
        <v>85</v>
      </c>
      <c r="S37" s="35">
        <f t="shared" ref="S37:AF37" si="29">SUM(S10:S12)</f>
        <v>443.57142857142856</v>
      </c>
      <c r="T37" s="16">
        <f t="shared" si="29"/>
        <v>120.57142857142857</v>
      </c>
      <c r="U37" s="16">
        <f t="shared" si="29"/>
        <v>72.857142857142861</v>
      </c>
      <c r="V37" s="16">
        <f t="shared" si="29"/>
        <v>657.42857142857144</v>
      </c>
      <c r="W37" s="16">
        <f t="shared" si="29"/>
        <v>35.428571428571423</v>
      </c>
      <c r="X37" s="16">
        <f t="shared" si="29"/>
        <v>7.8571428571428568</v>
      </c>
      <c r="Y37" s="16">
        <f t="shared" si="29"/>
        <v>29.142857142857142</v>
      </c>
      <c r="Z37" s="16">
        <f t="shared" si="29"/>
        <v>19.857142857142854</v>
      </c>
      <c r="AA37" s="16">
        <f t="shared" si="29"/>
        <v>1.714285714285714</v>
      </c>
      <c r="AB37" s="16">
        <f t="shared" si="29"/>
        <v>0.8571428571428571</v>
      </c>
      <c r="AC37" s="16">
        <f t="shared" si="29"/>
        <v>3817.8571428571427</v>
      </c>
      <c r="AD37" s="16">
        <f t="shared" si="29"/>
        <v>0</v>
      </c>
      <c r="AE37" s="32">
        <f t="shared" si="29"/>
        <v>1389.2857142857142</v>
      </c>
      <c r="AF37" s="32">
        <f t="shared" si="29"/>
        <v>5207.1428571428569</v>
      </c>
    </row>
    <row r="38" spans="2:32" ht="23.1" customHeight="1" x14ac:dyDescent="0.25">
      <c r="B38" s="24" t="s">
        <v>65</v>
      </c>
      <c r="C38" s="49">
        <f>AVERAGE('22.07 Natete-Rubaga'!C38,'23.07 Natete-Rubaga'!C38,'24.07 Natete-Rubaga'!C38,'25.07 Natete-Rubaga'!C38,'26.07 Natete-Rubaga-24h'!C38,'27.07 Natete-Rubaga-24h'!C38,'28.07 Natete-Rubaga'!C38)</f>
        <v>25.571428571428573</v>
      </c>
      <c r="D38" s="49">
        <f>AVERAGE('22.07 Natete-Rubaga'!D38,'23.07 Natete-Rubaga'!D38,'24.07 Natete-Rubaga'!D38,'25.07 Natete-Rubaga'!D38,'26.07 Natete-Rubaga-24h'!D38,'27.07 Natete-Rubaga-24h'!D38,'28.07 Natete-Rubaga'!D38)</f>
        <v>6</v>
      </c>
      <c r="E38" s="49">
        <f>AVERAGE('22.07 Natete-Rubaga'!E38,'23.07 Natete-Rubaga'!E38,'24.07 Natete-Rubaga'!E38,'25.07 Natete-Rubaga'!E38,'26.07 Natete-Rubaga-24h'!E38,'27.07 Natete-Rubaga-24h'!E38,'28.07 Natete-Rubaga'!E38)</f>
        <v>5.5714285714285712</v>
      </c>
      <c r="F38" s="49">
        <f>AVERAGE('22.07 Natete-Rubaga'!F38,'23.07 Natete-Rubaga'!F38,'24.07 Natete-Rubaga'!F38,'25.07 Natete-Rubaga'!F38,'26.07 Natete-Rubaga-24h'!F38,'27.07 Natete-Rubaga-24h'!F38,'28.07 Natete-Rubaga'!F38)</f>
        <v>35.142857142857146</v>
      </c>
      <c r="G38" s="49">
        <f>AVERAGE('22.07 Natete-Rubaga'!G38,'23.07 Natete-Rubaga'!G38,'24.07 Natete-Rubaga'!G38,'25.07 Natete-Rubaga'!G38,'26.07 Natete-Rubaga-24h'!G38,'27.07 Natete-Rubaga-24h'!G38,'28.07 Natete-Rubaga'!G38)</f>
        <v>0.8571428571428571</v>
      </c>
      <c r="H38" s="49">
        <f>AVERAGE('22.07 Natete-Rubaga'!H38,'23.07 Natete-Rubaga'!H38,'24.07 Natete-Rubaga'!H38,'25.07 Natete-Rubaga'!H38,'26.07 Natete-Rubaga-24h'!H38,'27.07 Natete-Rubaga-24h'!H38,'28.07 Natete-Rubaga'!H38)</f>
        <v>1.1428571428571428</v>
      </c>
      <c r="I38" s="49">
        <f>AVERAGE('22.07 Natete-Rubaga'!I38,'23.07 Natete-Rubaga'!I38,'24.07 Natete-Rubaga'!I38,'25.07 Natete-Rubaga'!I38,'26.07 Natete-Rubaga-24h'!I38,'27.07 Natete-Rubaga-24h'!I38,'28.07 Natete-Rubaga'!I38)</f>
        <v>3.2857142857142856</v>
      </c>
      <c r="J38" s="49">
        <f>AVERAGE('22.07 Natete-Rubaga'!J38,'23.07 Natete-Rubaga'!J38,'24.07 Natete-Rubaga'!J38,'25.07 Natete-Rubaga'!J38,'26.07 Natete-Rubaga-24h'!J38,'27.07 Natete-Rubaga-24h'!J38,'28.07 Natete-Rubaga'!J38)</f>
        <v>1.8571428571428572</v>
      </c>
      <c r="K38" s="49">
        <f>AVERAGE('22.07 Natete-Rubaga'!K38,'23.07 Natete-Rubaga'!K38,'24.07 Natete-Rubaga'!K38,'25.07 Natete-Rubaga'!K38,'26.07 Natete-Rubaga-24h'!K38,'27.07 Natete-Rubaga-24h'!K38,'28.07 Natete-Rubaga'!K38)</f>
        <v>0.2857142857142857</v>
      </c>
      <c r="L38" s="49">
        <f>AVERAGE('22.07 Natete-Rubaga'!L38,'23.07 Natete-Rubaga'!L38,'24.07 Natete-Rubaga'!L38,'25.07 Natete-Rubaga'!L38,'26.07 Natete-Rubaga-24h'!L38,'27.07 Natete-Rubaga-24h'!L38,'28.07 Natete-Rubaga'!L38)</f>
        <v>0</v>
      </c>
      <c r="M38" s="49">
        <f>AVERAGE('22.07 Natete-Rubaga'!M38,'23.07 Natete-Rubaga'!M38,'24.07 Natete-Rubaga'!M38,'25.07 Natete-Rubaga'!M38,'26.07 Natete-Rubaga-24h'!M38,'27.07 Natete-Rubaga-24h'!M38,'28.07 Natete-Rubaga'!M38)</f>
        <v>128.57142857142858</v>
      </c>
      <c r="N38" s="49">
        <f>AVERAGE('22.07 Natete-Rubaga'!N38,'23.07 Natete-Rubaga'!N38,'24.07 Natete-Rubaga'!N38,'25.07 Natete-Rubaga'!N38,'26.07 Natete-Rubaga-24h'!N38,'27.07 Natete-Rubaga-24h'!N38,'28.07 Natete-Rubaga'!N38)</f>
        <v>0</v>
      </c>
      <c r="O38" s="15">
        <f t="shared" si="0"/>
        <v>79.714285714285737</v>
      </c>
      <c r="P38" s="15">
        <f t="shared" si="1"/>
        <v>208.28571428571433</v>
      </c>
      <c r="R38" s="28" t="s">
        <v>86</v>
      </c>
      <c r="S38" s="16">
        <f t="shared" ref="S38:AF38" si="30">SUM(S13:S18)</f>
        <v>698</v>
      </c>
      <c r="T38" s="16">
        <f t="shared" si="30"/>
        <v>189.00000000000003</v>
      </c>
      <c r="U38" s="16">
        <f t="shared" si="30"/>
        <v>116.28571428571428</v>
      </c>
      <c r="V38" s="16">
        <f t="shared" si="30"/>
        <v>885.28571428571433</v>
      </c>
      <c r="W38" s="16">
        <f t="shared" si="30"/>
        <v>24.857142857142854</v>
      </c>
      <c r="X38" s="16">
        <f t="shared" si="30"/>
        <v>22.285714285714285</v>
      </c>
      <c r="Y38" s="16">
        <f t="shared" si="30"/>
        <v>68.714285714285722</v>
      </c>
      <c r="Z38" s="16">
        <f t="shared" si="30"/>
        <v>46.571428571428577</v>
      </c>
      <c r="AA38" s="16">
        <f t="shared" si="30"/>
        <v>5.4285714285714288</v>
      </c>
      <c r="AB38" s="16">
        <f t="shared" si="30"/>
        <v>4.8571428571428568</v>
      </c>
      <c r="AC38" s="16">
        <f t="shared" si="30"/>
        <v>3595.9999999999995</v>
      </c>
      <c r="AD38" s="16">
        <f t="shared" si="30"/>
        <v>1.4285714285714286</v>
      </c>
      <c r="AE38" s="32">
        <f t="shared" si="30"/>
        <v>2062.7142857142853</v>
      </c>
      <c r="AF38" s="32">
        <f t="shared" si="30"/>
        <v>5658.7142857142862</v>
      </c>
    </row>
    <row r="39" spans="2:32" ht="23.1" customHeight="1" x14ac:dyDescent="0.25">
      <c r="B39" s="24" t="s">
        <v>66</v>
      </c>
      <c r="C39" s="49">
        <f>AVERAGE('22.07 Natete-Rubaga'!C39,'23.07 Natete-Rubaga'!C39,'24.07 Natete-Rubaga'!C39,'25.07 Natete-Rubaga'!C39,'26.07 Natete-Rubaga-24h'!C39,'27.07 Natete-Rubaga-24h'!C39,'28.07 Natete-Rubaga'!C39)</f>
        <v>29.857142857142858</v>
      </c>
      <c r="D39" s="49">
        <f>AVERAGE('22.07 Natete-Rubaga'!D39,'23.07 Natete-Rubaga'!D39,'24.07 Natete-Rubaga'!D39,'25.07 Natete-Rubaga'!D39,'26.07 Natete-Rubaga-24h'!D39,'27.07 Natete-Rubaga-24h'!D39,'28.07 Natete-Rubaga'!D39)</f>
        <v>5.8571428571428568</v>
      </c>
      <c r="E39" s="49">
        <f>AVERAGE('22.07 Natete-Rubaga'!E39,'23.07 Natete-Rubaga'!E39,'24.07 Natete-Rubaga'!E39,'25.07 Natete-Rubaga'!E39,'26.07 Natete-Rubaga-24h'!E39,'27.07 Natete-Rubaga-24h'!E39,'28.07 Natete-Rubaga'!E39)</f>
        <v>4.7142857142857144</v>
      </c>
      <c r="F39" s="49">
        <f>AVERAGE('22.07 Natete-Rubaga'!F39,'23.07 Natete-Rubaga'!F39,'24.07 Natete-Rubaga'!F39,'25.07 Natete-Rubaga'!F39,'26.07 Natete-Rubaga-24h'!F39,'27.07 Natete-Rubaga-24h'!F39,'28.07 Natete-Rubaga'!F39)</f>
        <v>34.428571428571431</v>
      </c>
      <c r="G39" s="49">
        <f>AVERAGE('22.07 Natete-Rubaga'!G39,'23.07 Natete-Rubaga'!G39,'24.07 Natete-Rubaga'!G39,'25.07 Natete-Rubaga'!G39,'26.07 Natete-Rubaga-24h'!G39,'27.07 Natete-Rubaga-24h'!G39,'28.07 Natete-Rubaga'!G39)</f>
        <v>0.8571428571428571</v>
      </c>
      <c r="H39" s="49">
        <f>AVERAGE('22.07 Natete-Rubaga'!H39,'23.07 Natete-Rubaga'!H39,'24.07 Natete-Rubaga'!H39,'25.07 Natete-Rubaga'!H39,'26.07 Natete-Rubaga-24h'!H39,'27.07 Natete-Rubaga-24h'!H39,'28.07 Natete-Rubaga'!H39)</f>
        <v>1</v>
      </c>
      <c r="I39" s="49">
        <f>AVERAGE('22.07 Natete-Rubaga'!I39,'23.07 Natete-Rubaga'!I39,'24.07 Natete-Rubaga'!I39,'25.07 Natete-Rubaga'!I39,'26.07 Natete-Rubaga-24h'!I39,'27.07 Natete-Rubaga-24h'!I39,'28.07 Natete-Rubaga'!I39)</f>
        <v>4.2857142857142856</v>
      </c>
      <c r="J39" s="49">
        <f>AVERAGE('22.07 Natete-Rubaga'!J39,'23.07 Natete-Rubaga'!J39,'24.07 Natete-Rubaga'!J39,'25.07 Natete-Rubaga'!J39,'26.07 Natete-Rubaga-24h'!J39,'27.07 Natete-Rubaga-24h'!J39,'28.07 Natete-Rubaga'!J39)</f>
        <v>2.4285714285714284</v>
      </c>
      <c r="K39" s="49">
        <f>AVERAGE('22.07 Natete-Rubaga'!K39,'23.07 Natete-Rubaga'!K39,'24.07 Natete-Rubaga'!K39,'25.07 Natete-Rubaga'!K39,'26.07 Natete-Rubaga-24h'!K39,'27.07 Natete-Rubaga-24h'!K39,'28.07 Natete-Rubaga'!K39)</f>
        <v>0.14285714285714285</v>
      </c>
      <c r="L39" s="49">
        <f>AVERAGE('22.07 Natete-Rubaga'!L39,'23.07 Natete-Rubaga'!L39,'24.07 Natete-Rubaga'!L39,'25.07 Natete-Rubaga'!L39,'26.07 Natete-Rubaga-24h'!L39,'27.07 Natete-Rubaga-24h'!L39,'28.07 Natete-Rubaga'!L39)</f>
        <v>0.2857142857142857</v>
      </c>
      <c r="M39" s="49">
        <f>AVERAGE('22.07 Natete-Rubaga'!M39,'23.07 Natete-Rubaga'!M39,'24.07 Natete-Rubaga'!M39,'25.07 Natete-Rubaga'!M39,'26.07 Natete-Rubaga-24h'!M39,'27.07 Natete-Rubaga-24h'!M39,'28.07 Natete-Rubaga'!M39)</f>
        <v>94.285714285714292</v>
      </c>
      <c r="N39" s="49">
        <f>AVERAGE('22.07 Natete-Rubaga'!N39,'23.07 Natete-Rubaga'!N39,'24.07 Natete-Rubaga'!N39,'25.07 Natete-Rubaga'!N39,'26.07 Natete-Rubaga-24h'!N39,'27.07 Natete-Rubaga-24h'!N39,'28.07 Natete-Rubaga'!N39)</f>
        <v>0</v>
      </c>
      <c r="O39" s="15">
        <f t="shared" si="0"/>
        <v>83.857142857142875</v>
      </c>
      <c r="P39" s="15">
        <f t="shared" si="1"/>
        <v>178.14285714285717</v>
      </c>
      <c r="R39" s="29" t="s">
        <v>87</v>
      </c>
      <c r="S39" s="16">
        <f t="shared" ref="S39:AF39" si="31">SUM(S19:S21)</f>
        <v>332.57142857142856</v>
      </c>
      <c r="T39" s="16">
        <f t="shared" si="31"/>
        <v>108.14285714285715</v>
      </c>
      <c r="U39" s="16">
        <f t="shared" si="31"/>
        <v>51</v>
      </c>
      <c r="V39" s="16">
        <f t="shared" si="31"/>
        <v>430.99999999999994</v>
      </c>
      <c r="W39" s="16">
        <f t="shared" si="31"/>
        <v>7.2857142857142847</v>
      </c>
      <c r="X39" s="16">
        <f t="shared" si="31"/>
        <v>22.857142857142854</v>
      </c>
      <c r="Y39" s="16">
        <f t="shared" si="31"/>
        <v>39.714285714285708</v>
      </c>
      <c r="Z39" s="16">
        <f t="shared" si="31"/>
        <v>20.857142857142858</v>
      </c>
      <c r="AA39" s="16">
        <f t="shared" si="31"/>
        <v>3.4285714285714284</v>
      </c>
      <c r="AB39" s="16">
        <f t="shared" si="31"/>
        <v>1.714285714285714</v>
      </c>
      <c r="AC39" s="16">
        <f t="shared" si="31"/>
        <v>1359.7142857142858</v>
      </c>
      <c r="AD39" s="16">
        <f t="shared" si="31"/>
        <v>0</v>
      </c>
      <c r="AE39" s="32">
        <f t="shared" si="31"/>
        <v>1018.5714285714287</v>
      </c>
      <c r="AF39" s="32">
        <f t="shared" si="31"/>
        <v>2378.2857142857147</v>
      </c>
    </row>
    <row r="40" spans="2:32" ht="23.1" customHeight="1" x14ac:dyDescent="0.25">
      <c r="B40" s="24" t="s">
        <v>67</v>
      </c>
      <c r="C40" s="49">
        <f>AVERAGE('22.07 Natete-Rubaga'!C40,'23.07 Natete-Rubaga'!C40,'24.07 Natete-Rubaga'!C40,'25.07 Natete-Rubaga'!C40,'26.07 Natete-Rubaga-24h'!C40,'27.07 Natete-Rubaga-24h'!C40,'28.07 Natete-Rubaga'!C40)</f>
        <v>27.285714285714285</v>
      </c>
      <c r="D40" s="49">
        <f>AVERAGE('22.07 Natete-Rubaga'!D40,'23.07 Natete-Rubaga'!D40,'24.07 Natete-Rubaga'!D40,'25.07 Natete-Rubaga'!D40,'26.07 Natete-Rubaga-24h'!D40,'27.07 Natete-Rubaga-24h'!D40,'28.07 Natete-Rubaga'!D40)</f>
        <v>6.1428571428571432</v>
      </c>
      <c r="E40" s="49">
        <f>AVERAGE('22.07 Natete-Rubaga'!E40,'23.07 Natete-Rubaga'!E40,'24.07 Natete-Rubaga'!E40,'25.07 Natete-Rubaga'!E40,'26.07 Natete-Rubaga-24h'!E40,'27.07 Natete-Rubaga-24h'!E40,'28.07 Natete-Rubaga'!E40)</f>
        <v>4</v>
      </c>
      <c r="F40" s="49">
        <f>AVERAGE('22.07 Natete-Rubaga'!F40,'23.07 Natete-Rubaga'!F40,'24.07 Natete-Rubaga'!F40,'25.07 Natete-Rubaga'!F40,'26.07 Natete-Rubaga-24h'!F40,'27.07 Natete-Rubaga-24h'!F40,'28.07 Natete-Rubaga'!F40)</f>
        <v>35.857142857142854</v>
      </c>
      <c r="G40" s="49">
        <f>AVERAGE('22.07 Natete-Rubaga'!G40,'23.07 Natete-Rubaga'!G40,'24.07 Natete-Rubaga'!G40,'25.07 Natete-Rubaga'!G40,'26.07 Natete-Rubaga-24h'!G40,'27.07 Natete-Rubaga-24h'!G40,'28.07 Natete-Rubaga'!G40)</f>
        <v>0.8571428571428571</v>
      </c>
      <c r="H40" s="49">
        <f>AVERAGE('22.07 Natete-Rubaga'!H40,'23.07 Natete-Rubaga'!H40,'24.07 Natete-Rubaga'!H40,'25.07 Natete-Rubaga'!H40,'26.07 Natete-Rubaga-24h'!H40,'27.07 Natete-Rubaga-24h'!H40,'28.07 Natete-Rubaga'!H40)</f>
        <v>2.1428571428571428</v>
      </c>
      <c r="I40" s="49">
        <f>AVERAGE('22.07 Natete-Rubaga'!I40,'23.07 Natete-Rubaga'!I40,'24.07 Natete-Rubaga'!I40,'25.07 Natete-Rubaga'!I40,'26.07 Natete-Rubaga-24h'!I40,'27.07 Natete-Rubaga-24h'!I40,'28.07 Natete-Rubaga'!I40)</f>
        <v>2.1428571428571428</v>
      </c>
      <c r="J40" s="49">
        <f>AVERAGE('22.07 Natete-Rubaga'!J40,'23.07 Natete-Rubaga'!J40,'24.07 Natete-Rubaga'!J40,'25.07 Natete-Rubaga'!J40,'26.07 Natete-Rubaga-24h'!J40,'27.07 Natete-Rubaga-24h'!J40,'28.07 Natete-Rubaga'!J40)</f>
        <v>2.1428571428571428</v>
      </c>
      <c r="K40" s="49">
        <f>AVERAGE('22.07 Natete-Rubaga'!K40,'23.07 Natete-Rubaga'!K40,'24.07 Natete-Rubaga'!K40,'25.07 Natete-Rubaga'!K40,'26.07 Natete-Rubaga-24h'!K40,'27.07 Natete-Rubaga-24h'!K40,'28.07 Natete-Rubaga'!K40)</f>
        <v>0.2857142857142857</v>
      </c>
      <c r="L40" s="49">
        <f>AVERAGE('22.07 Natete-Rubaga'!L40,'23.07 Natete-Rubaga'!L40,'24.07 Natete-Rubaga'!L40,'25.07 Natete-Rubaga'!L40,'26.07 Natete-Rubaga-24h'!L40,'27.07 Natete-Rubaga-24h'!L40,'28.07 Natete-Rubaga'!L40)</f>
        <v>0</v>
      </c>
      <c r="M40" s="49">
        <f>AVERAGE('22.07 Natete-Rubaga'!M40,'23.07 Natete-Rubaga'!M40,'24.07 Natete-Rubaga'!M40,'25.07 Natete-Rubaga'!M40,'26.07 Natete-Rubaga-24h'!M40,'27.07 Natete-Rubaga-24h'!M40,'28.07 Natete-Rubaga'!M40)</f>
        <v>121.28571428571429</v>
      </c>
      <c r="N40" s="49">
        <f>AVERAGE('22.07 Natete-Rubaga'!N40,'23.07 Natete-Rubaga'!N40,'24.07 Natete-Rubaga'!N40,'25.07 Natete-Rubaga'!N40,'26.07 Natete-Rubaga-24h'!N40,'27.07 Natete-Rubaga-24h'!N40,'28.07 Natete-Rubaga'!N40)</f>
        <v>0</v>
      </c>
      <c r="O40" s="15">
        <f t="shared" si="0"/>
        <v>80.857142857142847</v>
      </c>
      <c r="P40" s="15">
        <f t="shared" si="1"/>
        <v>202.14285714285714</v>
      </c>
      <c r="R40" s="5" t="s">
        <v>17</v>
      </c>
      <c r="S40" s="16">
        <f t="shared" ref="S40:AF40" si="32">SUM(S10:S21)</f>
        <v>1474.1428571428571</v>
      </c>
      <c r="T40" s="16">
        <f t="shared" si="32"/>
        <v>417.71428571428572</v>
      </c>
      <c r="U40" s="16">
        <f t="shared" si="32"/>
        <v>240.14285714285714</v>
      </c>
      <c r="V40" s="16">
        <f t="shared" si="32"/>
        <v>1973.7142857142858</v>
      </c>
      <c r="W40" s="16">
        <f t="shared" si="32"/>
        <v>67.571428571428555</v>
      </c>
      <c r="X40" s="16">
        <f t="shared" si="32"/>
        <v>53</v>
      </c>
      <c r="Y40" s="16">
        <f t="shared" si="32"/>
        <v>137.57142857142856</v>
      </c>
      <c r="Z40" s="16">
        <f t="shared" si="32"/>
        <v>87.285714285714292</v>
      </c>
      <c r="AA40" s="16">
        <f t="shared" si="32"/>
        <v>10.571428571428569</v>
      </c>
      <c r="AB40" s="16">
        <f t="shared" si="32"/>
        <v>7.4285714285714262</v>
      </c>
      <c r="AC40" s="16">
        <f t="shared" si="32"/>
        <v>8773.5714285714275</v>
      </c>
      <c r="AD40" s="16">
        <f t="shared" si="32"/>
        <v>1.4285714285714286</v>
      </c>
      <c r="AE40" s="32">
        <f t="shared" si="32"/>
        <v>4470.5714285714294</v>
      </c>
      <c r="AF40" s="32">
        <f t="shared" si="32"/>
        <v>13244.142857142857</v>
      </c>
    </row>
    <row r="41" spans="2:32" ht="23.1" customHeight="1" x14ac:dyDescent="0.25">
      <c r="B41" s="23" t="s">
        <v>68</v>
      </c>
      <c r="C41" s="49">
        <f>AVERAGE('22.07 Natete-Rubaga'!C41,'23.07 Natete-Rubaga'!C41,'24.07 Natete-Rubaga'!C41,'25.07 Natete-Rubaga'!C41,'26.07 Natete-Rubaga-24h'!C41,'27.07 Natete-Rubaga-24h'!C41,'28.07 Natete-Rubaga'!C41)</f>
        <v>23.285714285714285</v>
      </c>
      <c r="D41" s="49">
        <f>AVERAGE('22.07 Natete-Rubaga'!D41,'23.07 Natete-Rubaga'!D41,'24.07 Natete-Rubaga'!D41,'25.07 Natete-Rubaga'!D41,'26.07 Natete-Rubaga-24h'!D41,'27.07 Natete-Rubaga-24h'!D41,'28.07 Natete-Rubaga'!D41)</f>
        <v>6.8571428571428568</v>
      </c>
      <c r="E41" s="49">
        <f>AVERAGE('22.07 Natete-Rubaga'!E41,'23.07 Natete-Rubaga'!E41,'24.07 Natete-Rubaga'!E41,'25.07 Natete-Rubaga'!E41,'26.07 Natete-Rubaga-24h'!E41,'27.07 Natete-Rubaga-24h'!E41,'28.07 Natete-Rubaga'!E41)</f>
        <v>5.2857142857142856</v>
      </c>
      <c r="F41" s="49">
        <f>AVERAGE('22.07 Natete-Rubaga'!F41,'23.07 Natete-Rubaga'!F41,'24.07 Natete-Rubaga'!F41,'25.07 Natete-Rubaga'!F41,'26.07 Natete-Rubaga-24h'!F41,'27.07 Natete-Rubaga-24h'!F41,'28.07 Natete-Rubaga'!F41)</f>
        <v>33.857142857142854</v>
      </c>
      <c r="G41" s="49">
        <f>AVERAGE('22.07 Natete-Rubaga'!G41,'23.07 Natete-Rubaga'!G41,'24.07 Natete-Rubaga'!G41,'25.07 Natete-Rubaga'!G41,'26.07 Natete-Rubaga-24h'!G41,'27.07 Natete-Rubaga-24h'!G41,'28.07 Natete-Rubaga'!G41)</f>
        <v>1</v>
      </c>
      <c r="H41" s="49">
        <f>AVERAGE('22.07 Natete-Rubaga'!H41,'23.07 Natete-Rubaga'!H41,'24.07 Natete-Rubaga'!H41,'25.07 Natete-Rubaga'!H41,'26.07 Natete-Rubaga-24h'!H41,'27.07 Natete-Rubaga-24h'!H41,'28.07 Natete-Rubaga'!H41)</f>
        <v>0.7142857142857143</v>
      </c>
      <c r="I41" s="49">
        <f>AVERAGE('22.07 Natete-Rubaga'!I41,'23.07 Natete-Rubaga'!I41,'24.07 Natete-Rubaga'!I41,'25.07 Natete-Rubaga'!I41,'26.07 Natete-Rubaga-24h'!I41,'27.07 Natete-Rubaga-24h'!I41,'28.07 Natete-Rubaga'!I41)</f>
        <v>3.4285714285714284</v>
      </c>
      <c r="J41" s="49">
        <f>AVERAGE('22.07 Natete-Rubaga'!J41,'23.07 Natete-Rubaga'!J41,'24.07 Natete-Rubaga'!J41,'25.07 Natete-Rubaga'!J41,'26.07 Natete-Rubaga-24h'!J41,'27.07 Natete-Rubaga-24h'!J41,'28.07 Natete-Rubaga'!J41)</f>
        <v>2</v>
      </c>
      <c r="K41" s="49">
        <f>AVERAGE('22.07 Natete-Rubaga'!K41,'23.07 Natete-Rubaga'!K41,'24.07 Natete-Rubaga'!K41,'25.07 Natete-Rubaga'!K41,'26.07 Natete-Rubaga-24h'!K41,'27.07 Natete-Rubaga-24h'!K41,'28.07 Natete-Rubaga'!K41)</f>
        <v>0.42857142857142855</v>
      </c>
      <c r="L41" s="49">
        <f>AVERAGE('22.07 Natete-Rubaga'!L41,'23.07 Natete-Rubaga'!L41,'24.07 Natete-Rubaga'!L41,'25.07 Natete-Rubaga'!L41,'26.07 Natete-Rubaga-24h'!L41,'27.07 Natete-Rubaga-24h'!L41,'28.07 Natete-Rubaga'!L41)</f>
        <v>0</v>
      </c>
      <c r="M41" s="49">
        <f>AVERAGE('22.07 Natete-Rubaga'!M41,'23.07 Natete-Rubaga'!M41,'24.07 Natete-Rubaga'!M41,'25.07 Natete-Rubaga'!M41,'26.07 Natete-Rubaga-24h'!M41,'27.07 Natete-Rubaga-24h'!M41,'28.07 Natete-Rubaga'!M41)</f>
        <v>130.71428571428572</v>
      </c>
      <c r="N41" s="49">
        <f>AVERAGE('22.07 Natete-Rubaga'!N41,'23.07 Natete-Rubaga'!N41,'24.07 Natete-Rubaga'!N41,'25.07 Natete-Rubaga'!N41,'26.07 Natete-Rubaga-24h'!N41,'27.07 Natete-Rubaga-24h'!N41,'28.07 Natete-Rubaga'!N41)</f>
        <v>0</v>
      </c>
      <c r="O41" s="15">
        <f t="shared" si="0"/>
        <v>76.857142857142847</v>
      </c>
      <c r="P41" s="15">
        <f t="shared" si="1"/>
        <v>207.57142857142856</v>
      </c>
      <c r="R41" s="5" t="s">
        <v>180</v>
      </c>
      <c r="S41" s="16">
        <f>SUM(S10:S33)</f>
        <v>2878.6428571428569</v>
      </c>
      <c r="T41" s="16">
        <f t="shared" ref="T41:AD41" si="33">SUM(T10:T33)</f>
        <v>857.21428571428578</v>
      </c>
      <c r="U41" s="16">
        <f t="shared" si="33"/>
        <v>501.64285714285711</v>
      </c>
      <c r="V41" s="16">
        <f t="shared" si="33"/>
        <v>3192.7142857142858</v>
      </c>
      <c r="W41" s="16">
        <f t="shared" si="33"/>
        <v>143.57142857142856</v>
      </c>
      <c r="X41" s="16">
        <f t="shared" si="33"/>
        <v>172.5</v>
      </c>
      <c r="Y41" s="16">
        <f t="shared" si="33"/>
        <v>258.07142857142856</v>
      </c>
      <c r="Z41" s="16">
        <f t="shared" si="33"/>
        <v>192.78571428571428</v>
      </c>
      <c r="AA41" s="16">
        <f t="shared" si="33"/>
        <v>74.071428571428569</v>
      </c>
      <c r="AB41" s="16">
        <f t="shared" si="33"/>
        <v>92.928571428571416</v>
      </c>
      <c r="AC41" s="16">
        <f t="shared" si="33"/>
        <v>12845.071428571428</v>
      </c>
      <c r="AD41" s="16">
        <f t="shared" si="33"/>
        <v>1.4285714285714286</v>
      </c>
      <c r="AE41" s="32">
        <f>SUM(AE10:AE33)</f>
        <v>13553.071428571429</v>
      </c>
      <c r="AF41" s="32">
        <f>SUM(AF10:AF33)</f>
        <v>31402.571428571428</v>
      </c>
    </row>
    <row r="42" spans="2:32" ht="23.1" customHeight="1" x14ac:dyDescent="0.25">
      <c r="B42" s="24" t="s">
        <v>69</v>
      </c>
      <c r="C42" s="49">
        <f>AVERAGE('22.07 Natete-Rubaga'!C42,'23.07 Natete-Rubaga'!C42,'24.07 Natete-Rubaga'!C42,'25.07 Natete-Rubaga'!C42,'26.07 Natete-Rubaga-24h'!C42,'27.07 Natete-Rubaga-24h'!C42,'28.07 Natete-Rubaga'!C42)</f>
        <v>23.714285714285715</v>
      </c>
      <c r="D42" s="49">
        <f>AVERAGE('22.07 Natete-Rubaga'!D42,'23.07 Natete-Rubaga'!D42,'24.07 Natete-Rubaga'!D42,'25.07 Natete-Rubaga'!D42,'26.07 Natete-Rubaga-24h'!D42,'27.07 Natete-Rubaga-24h'!D42,'28.07 Natete-Rubaga'!D42)</f>
        <v>6</v>
      </c>
      <c r="E42" s="49">
        <f>AVERAGE('22.07 Natete-Rubaga'!E42,'23.07 Natete-Rubaga'!E42,'24.07 Natete-Rubaga'!E42,'25.07 Natete-Rubaga'!E42,'26.07 Natete-Rubaga-24h'!E42,'27.07 Natete-Rubaga-24h'!E42,'28.07 Natete-Rubaga'!E42)</f>
        <v>4.8571428571428568</v>
      </c>
      <c r="F42" s="49">
        <f>AVERAGE('22.07 Natete-Rubaga'!F42,'23.07 Natete-Rubaga'!F42,'24.07 Natete-Rubaga'!F42,'25.07 Natete-Rubaga'!F42,'26.07 Natete-Rubaga-24h'!F42,'27.07 Natete-Rubaga-24h'!F42,'28.07 Natete-Rubaga'!F42)</f>
        <v>29.857142857142858</v>
      </c>
      <c r="G42" s="49">
        <f>AVERAGE('22.07 Natete-Rubaga'!G42,'23.07 Natete-Rubaga'!G42,'24.07 Natete-Rubaga'!G42,'25.07 Natete-Rubaga'!G42,'26.07 Natete-Rubaga-24h'!G42,'27.07 Natete-Rubaga-24h'!G42,'28.07 Natete-Rubaga'!G42)</f>
        <v>1.1428571428571428</v>
      </c>
      <c r="H42" s="49">
        <f>AVERAGE('22.07 Natete-Rubaga'!H42,'23.07 Natete-Rubaga'!H42,'24.07 Natete-Rubaga'!H42,'25.07 Natete-Rubaga'!H42,'26.07 Natete-Rubaga-24h'!H42,'27.07 Natete-Rubaga-24h'!H42,'28.07 Natete-Rubaga'!H42)</f>
        <v>1.2857142857142858</v>
      </c>
      <c r="I42" s="49">
        <f>AVERAGE('22.07 Natete-Rubaga'!I42,'23.07 Natete-Rubaga'!I42,'24.07 Natete-Rubaga'!I42,'25.07 Natete-Rubaga'!I42,'26.07 Natete-Rubaga-24h'!I42,'27.07 Natete-Rubaga-24h'!I42,'28.07 Natete-Rubaga'!I42)</f>
        <v>3.4285714285714284</v>
      </c>
      <c r="J42" s="49">
        <f>AVERAGE('22.07 Natete-Rubaga'!J42,'23.07 Natete-Rubaga'!J42,'24.07 Natete-Rubaga'!J42,'25.07 Natete-Rubaga'!J42,'26.07 Natete-Rubaga-24h'!J42,'27.07 Natete-Rubaga-24h'!J42,'28.07 Natete-Rubaga'!J42)</f>
        <v>1.7142857142857142</v>
      </c>
      <c r="K42" s="49">
        <f>AVERAGE('22.07 Natete-Rubaga'!K42,'23.07 Natete-Rubaga'!K42,'24.07 Natete-Rubaga'!K42,'25.07 Natete-Rubaga'!K42,'26.07 Natete-Rubaga-24h'!K42,'27.07 Natete-Rubaga-24h'!K42,'28.07 Natete-Rubaga'!K42)</f>
        <v>0.2857142857142857</v>
      </c>
      <c r="L42" s="49">
        <f>AVERAGE('22.07 Natete-Rubaga'!L42,'23.07 Natete-Rubaga'!L42,'24.07 Natete-Rubaga'!L42,'25.07 Natete-Rubaga'!L42,'26.07 Natete-Rubaga-24h'!L42,'27.07 Natete-Rubaga-24h'!L42,'28.07 Natete-Rubaga'!L42)</f>
        <v>0</v>
      </c>
      <c r="M42" s="49">
        <f>AVERAGE('22.07 Natete-Rubaga'!M42,'23.07 Natete-Rubaga'!M42,'24.07 Natete-Rubaga'!M42,'25.07 Natete-Rubaga'!M42,'26.07 Natete-Rubaga-24h'!M42,'27.07 Natete-Rubaga-24h'!M42,'28.07 Natete-Rubaga'!M42)</f>
        <v>116.57142857142857</v>
      </c>
      <c r="N42" s="49">
        <f>AVERAGE('22.07 Natete-Rubaga'!N42,'23.07 Natete-Rubaga'!N42,'24.07 Natete-Rubaga'!N42,'25.07 Natete-Rubaga'!N42,'26.07 Natete-Rubaga-24h'!N42,'27.07 Natete-Rubaga-24h'!N42,'28.07 Natete-Rubaga'!N42)</f>
        <v>0</v>
      </c>
      <c r="O42" s="15">
        <f t="shared" si="0"/>
        <v>72.285714285714292</v>
      </c>
      <c r="P42" s="15">
        <f t="shared" si="1"/>
        <v>188.85714285714286</v>
      </c>
      <c r="R42" s="5" t="s">
        <v>160</v>
      </c>
      <c r="S42" s="48">
        <f>S41/S40</f>
        <v>1.9527570501017539</v>
      </c>
      <c r="T42" s="48">
        <f t="shared" ref="T42:AF42" si="34">T41/T40</f>
        <v>2.0521545827633378</v>
      </c>
      <c r="U42" s="48">
        <f t="shared" si="34"/>
        <v>2.0889351576442592</v>
      </c>
      <c r="V42" s="48">
        <f t="shared" si="34"/>
        <v>1.6176172553561088</v>
      </c>
      <c r="W42" s="48">
        <f t="shared" si="34"/>
        <v>2.1247357293868925</v>
      </c>
      <c r="X42" s="48">
        <f t="shared" si="34"/>
        <v>3.2547169811320753</v>
      </c>
      <c r="Y42" s="48">
        <f t="shared" si="34"/>
        <v>1.8759086188992733</v>
      </c>
      <c r="Z42" s="48">
        <f t="shared" si="34"/>
        <v>2.2086743044189849</v>
      </c>
      <c r="AA42" s="48">
        <f t="shared" si="34"/>
        <v>7.0067567567567579</v>
      </c>
      <c r="AB42" s="48">
        <f t="shared" si="34"/>
        <v>12.509615384615387</v>
      </c>
      <c r="AC42" s="48">
        <f t="shared" si="34"/>
        <v>1.4640641537083774</v>
      </c>
      <c r="AD42" s="48">
        <f t="shared" si="34"/>
        <v>1</v>
      </c>
      <c r="AE42" s="51">
        <f t="shared" si="34"/>
        <v>3.03161947977248</v>
      </c>
      <c r="AF42" s="51">
        <f t="shared" si="34"/>
        <v>2.3710535115253104</v>
      </c>
    </row>
    <row r="43" spans="2:32" ht="23.1" customHeight="1" x14ac:dyDescent="0.25">
      <c r="B43" s="23" t="s">
        <v>70</v>
      </c>
      <c r="C43" s="49">
        <f>AVERAGE('22.07 Natete-Rubaga'!C43,'23.07 Natete-Rubaga'!C43,'24.07 Natete-Rubaga'!C43,'25.07 Natete-Rubaga'!C43,'26.07 Natete-Rubaga-24h'!C43,'27.07 Natete-Rubaga-24h'!C43,'28.07 Natete-Rubaga'!C43)</f>
        <v>27.571428571428573</v>
      </c>
      <c r="D43" s="49">
        <f>AVERAGE('22.07 Natete-Rubaga'!D43,'23.07 Natete-Rubaga'!D43,'24.07 Natete-Rubaga'!D43,'25.07 Natete-Rubaga'!D43,'26.07 Natete-Rubaga-24h'!D43,'27.07 Natete-Rubaga-24h'!D43,'28.07 Natete-Rubaga'!D43)</f>
        <v>6.8571428571428568</v>
      </c>
      <c r="E43" s="49">
        <f>AVERAGE('22.07 Natete-Rubaga'!E43,'23.07 Natete-Rubaga'!E43,'24.07 Natete-Rubaga'!E43,'25.07 Natete-Rubaga'!E43,'26.07 Natete-Rubaga-24h'!E43,'27.07 Natete-Rubaga-24h'!E43,'28.07 Natete-Rubaga'!E43)</f>
        <v>4.7142857142857144</v>
      </c>
      <c r="F43" s="49">
        <f>AVERAGE('22.07 Natete-Rubaga'!F43,'23.07 Natete-Rubaga'!F43,'24.07 Natete-Rubaga'!F43,'25.07 Natete-Rubaga'!F43,'26.07 Natete-Rubaga-24h'!F43,'27.07 Natete-Rubaga-24h'!F43,'28.07 Natete-Rubaga'!F43)</f>
        <v>31.714285714285715</v>
      </c>
      <c r="G43" s="49">
        <f>AVERAGE('22.07 Natete-Rubaga'!G43,'23.07 Natete-Rubaga'!G43,'24.07 Natete-Rubaga'!G43,'25.07 Natete-Rubaga'!G43,'26.07 Natete-Rubaga-24h'!G43,'27.07 Natete-Rubaga-24h'!G43,'28.07 Natete-Rubaga'!G43)</f>
        <v>0.7142857142857143</v>
      </c>
      <c r="H43" s="49">
        <f>AVERAGE('22.07 Natete-Rubaga'!H43,'23.07 Natete-Rubaga'!H43,'24.07 Natete-Rubaga'!H43,'25.07 Natete-Rubaga'!H43,'26.07 Natete-Rubaga-24h'!H43,'27.07 Natete-Rubaga-24h'!H43,'28.07 Natete-Rubaga'!H43)</f>
        <v>0.7142857142857143</v>
      </c>
      <c r="I43" s="49">
        <f>AVERAGE('22.07 Natete-Rubaga'!I43,'23.07 Natete-Rubaga'!I43,'24.07 Natete-Rubaga'!I43,'25.07 Natete-Rubaga'!I43,'26.07 Natete-Rubaga-24h'!I43,'27.07 Natete-Rubaga-24h'!I43,'28.07 Natete-Rubaga'!I43)</f>
        <v>1.8571428571428572</v>
      </c>
      <c r="J43" s="49">
        <f>AVERAGE('22.07 Natete-Rubaga'!J43,'23.07 Natete-Rubaga'!J43,'24.07 Natete-Rubaga'!J43,'25.07 Natete-Rubaga'!J43,'26.07 Natete-Rubaga-24h'!J43,'27.07 Natete-Rubaga-24h'!J43,'28.07 Natete-Rubaga'!J43)</f>
        <v>2.4285714285714284</v>
      </c>
      <c r="K43" s="49">
        <f>AVERAGE('22.07 Natete-Rubaga'!K43,'23.07 Natete-Rubaga'!K43,'24.07 Natete-Rubaga'!K43,'25.07 Natete-Rubaga'!K43,'26.07 Natete-Rubaga-24h'!K43,'27.07 Natete-Rubaga-24h'!K43,'28.07 Natete-Rubaga'!K43)</f>
        <v>0</v>
      </c>
      <c r="L43" s="49">
        <f>AVERAGE('22.07 Natete-Rubaga'!L43,'23.07 Natete-Rubaga'!L43,'24.07 Natete-Rubaga'!L43,'25.07 Natete-Rubaga'!L43,'26.07 Natete-Rubaga-24h'!L43,'27.07 Natete-Rubaga-24h'!L43,'28.07 Natete-Rubaga'!L43)</f>
        <v>0</v>
      </c>
      <c r="M43" s="49">
        <f>AVERAGE('22.07 Natete-Rubaga'!M43,'23.07 Natete-Rubaga'!M43,'24.07 Natete-Rubaga'!M43,'25.07 Natete-Rubaga'!M43,'26.07 Natete-Rubaga-24h'!M43,'27.07 Natete-Rubaga-24h'!M43,'28.07 Natete-Rubaga'!M43)</f>
        <v>100.14285714285714</v>
      </c>
      <c r="N43" s="49">
        <f>AVERAGE('22.07 Natete-Rubaga'!N43,'23.07 Natete-Rubaga'!N43,'24.07 Natete-Rubaga'!N43,'25.07 Natete-Rubaga'!N43,'26.07 Natete-Rubaga-24h'!N43,'27.07 Natete-Rubaga-24h'!N43,'28.07 Natete-Rubaga'!N43)</f>
        <v>0</v>
      </c>
      <c r="O43" s="15">
        <f t="shared" si="0"/>
        <v>76.571428571428569</v>
      </c>
      <c r="P43" s="15">
        <f t="shared" si="1"/>
        <v>176.71428571428572</v>
      </c>
    </row>
    <row r="44" spans="2:32" ht="23.1" customHeight="1" x14ac:dyDescent="0.25">
      <c r="B44" s="25" t="s">
        <v>71</v>
      </c>
      <c r="C44" s="49">
        <f>AVERAGE('22.07 Natete-Rubaga'!C44,'23.07 Natete-Rubaga'!C44,'24.07 Natete-Rubaga'!C44,'25.07 Natete-Rubaga'!C44,'26.07 Natete-Rubaga-24h'!C44,'27.07 Natete-Rubaga-24h'!C44,'28.07 Natete-Rubaga'!C44)</f>
        <v>24</v>
      </c>
      <c r="D44" s="49">
        <f>AVERAGE('22.07 Natete-Rubaga'!D44,'23.07 Natete-Rubaga'!D44,'24.07 Natete-Rubaga'!D44,'25.07 Natete-Rubaga'!D44,'26.07 Natete-Rubaga-24h'!D44,'27.07 Natete-Rubaga-24h'!D44,'28.07 Natete-Rubaga'!D44)</f>
        <v>8.7142857142857135</v>
      </c>
      <c r="E44" s="49">
        <f>AVERAGE('22.07 Natete-Rubaga'!E44,'23.07 Natete-Rubaga'!E44,'24.07 Natete-Rubaga'!E44,'25.07 Natete-Rubaga'!E44,'26.07 Natete-Rubaga-24h'!E44,'27.07 Natete-Rubaga-24h'!E44,'28.07 Natete-Rubaga'!E44)</f>
        <v>3.2857142857142856</v>
      </c>
      <c r="F44" s="49">
        <f>AVERAGE('22.07 Natete-Rubaga'!F44,'23.07 Natete-Rubaga'!F44,'24.07 Natete-Rubaga'!F44,'25.07 Natete-Rubaga'!F44,'26.07 Natete-Rubaga-24h'!F44,'27.07 Natete-Rubaga-24h'!F44,'28.07 Natete-Rubaga'!F44)</f>
        <v>26.142857142857142</v>
      </c>
      <c r="G44" s="49">
        <f>AVERAGE('22.07 Natete-Rubaga'!G44,'23.07 Natete-Rubaga'!G44,'24.07 Natete-Rubaga'!G44,'25.07 Natete-Rubaga'!G44,'26.07 Natete-Rubaga-24h'!G44,'27.07 Natete-Rubaga-24h'!G44,'28.07 Natete-Rubaga'!G44)</f>
        <v>0.7142857142857143</v>
      </c>
      <c r="H44" s="49">
        <f>AVERAGE('22.07 Natete-Rubaga'!H44,'23.07 Natete-Rubaga'!H44,'24.07 Natete-Rubaga'!H44,'25.07 Natete-Rubaga'!H44,'26.07 Natete-Rubaga-24h'!H44,'27.07 Natete-Rubaga-24h'!H44,'28.07 Natete-Rubaga'!H44)</f>
        <v>1.1428571428571428</v>
      </c>
      <c r="I44" s="49">
        <f>AVERAGE('22.07 Natete-Rubaga'!I44,'23.07 Natete-Rubaga'!I44,'24.07 Natete-Rubaga'!I44,'25.07 Natete-Rubaga'!I44,'26.07 Natete-Rubaga-24h'!I44,'27.07 Natete-Rubaga-24h'!I44,'28.07 Natete-Rubaga'!I44)</f>
        <v>3</v>
      </c>
      <c r="J44" s="49">
        <f>AVERAGE('22.07 Natete-Rubaga'!J44,'23.07 Natete-Rubaga'!J44,'24.07 Natete-Rubaga'!J44,'25.07 Natete-Rubaga'!J44,'26.07 Natete-Rubaga-24h'!J44,'27.07 Natete-Rubaga-24h'!J44,'28.07 Natete-Rubaga'!J44)</f>
        <v>1.2857142857142858</v>
      </c>
      <c r="K44" s="49">
        <f>AVERAGE('22.07 Natete-Rubaga'!K44,'23.07 Natete-Rubaga'!K44,'24.07 Natete-Rubaga'!K44,'25.07 Natete-Rubaga'!K44,'26.07 Natete-Rubaga-24h'!K44,'27.07 Natete-Rubaga-24h'!K44,'28.07 Natete-Rubaga'!K44)</f>
        <v>0</v>
      </c>
      <c r="L44" s="49">
        <f>AVERAGE('22.07 Natete-Rubaga'!L44,'23.07 Natete-Rubaga'!L44,'24.07 Natete-Rubaga'!L44,'25.07 Natete-Rubaga'!L44,'26.07 Natete-Rubaga-24h'!L44,'27.07 Natete-Rubaga-24h'!L44,'28.07 Natete-Rubaga'!L44)</f>
        <v>0.14285714285714285</v>
      </c>
      <c r="M44" s="49">
        <f>AVERAGE('22.07 Natete-Rubaga'!M44,'23.07 Natete-Rubaga'!M44,'24.07 Natete-Rubaga'!M44,'25.07 Natete-Rubaga'!M44,'26.07 Natete-Rubaga-24h'!M44,'27.07 Natete-Rubaga-24h'!M44,'28.07 Natete-Rubaga'!M44)</f>
        <v>114.28571428571429</v>
      </c>
      <c r="N44" s="49">
        <f>AVERAGE('22.07 Natete-Rubaga'!N44,'23.07 Natete-Rubaga'!N44,'24.07 Natete-Rubaga'!N44,'25.07 Natete-Rubaga'!N44,'26.07 Natete-Rubaga-24h'!N44,'27.07 Natete-Rubaga-24h'!N44,'28.07 Natete-Rubaga'!N44)</f>
        <v>0</v>
      </c>
      <c r="O44" s="15">
        <f t="shared" si="0"/>
        <v>68.428571428571431</v>
      </c>
      <c r="P44" s="15">
        <f t="shared" si="1"/>
        <v>182.71428571428572</v>
      </c>
    </row>
    <row r="45" spans="2:32" ht="23.1" customHeight="1" x14ac:dyDescent="0.25">
      <c r="B45" s="23" t="s">
        <v>72</v>
      </c>
      <c r="C45" s="49">
        <f>AVERAGE('22.07 Natete-Rubaga'!C45,'23.07 Natete-Rubaga'!C45,'24.07 Natete-Rubaga'!C45,'25.07 Natete-Rubaga'!C45,'26.07 Natete-Rubaga-24h'!C45,'27.07 Natete-Rubaga-24h'!C45,'28.07 Natete-Rubaga'!C45)</f>
        <v>24.857142857142858</v>
      </c>
      <c r="D45" s="49">
        <f>AVERAGE('22.07 Natete-Rubaga'!D45,'23.07 Natete-Rubaga'!D45,'24.07 Natete-Rubaga'!D45,'25.07 Natete-Rubaga'!D45,'26.07 Natete-Rubaga-24h'!D45,'27.07 Natete-Rubaga-24h'!D45,'28.07 Natete-Rubaga'!D45)</f>
        <v>9.1428571428571423</v>
      </c>
      <c r="E45" s="49">
        <f>AVERAGE('22.07 Natete-Rubaga'!E45,'23.07 Natete-Rubaga'!E45,'24.07 Natete-Rubaga'!E45,'25.07 Natete-Rubaga'!E45,'26.07 Natete-Rubaga-24h'!E45,'27.07 Natete-Rubaga-24h'!E45,'28.07 Natete-Rubaga'!E45)</f>
        <v>5.2857142857142856</v>
      </c>
      <c r="F45" s="49">
        <f>AVERAGE('22.07 Natete-Rubaga'!F45,'23.07 Natete-Rubaga'!F45,'24.07 Natete-Rubaga'!F45,'25.07 Natete-Rubaga'!F45,'26.07 Natete-Rubaga-24h'!F45,'27.07 Natete-Rubaga-24h'!F45,'28.07 Natete-Rubaga'!F45)</f>
        <v>28.714285714285715</v>
      </c>
      <c r="G45" s="49">
        <f>AVERAGE('22.07 Natete-Rubaga'!G45,'23.07 Natete-Rubaga'!G45,'24.07 Natete-Rubaga'!G45,'25.07 Natete-Rubaga'!G45,'26.07 Natete-Rubaga-24h'!G45,'27.07 Natete-Rubaga-24h'!G45,'28.07 Natete-Rubaga'!G45)</f>
        <v>0.42857142857142855</v>
      </c>
      <c r="H45" s="49">
        <f>AVERAGE('22.07 Natete-Rubaga'!H45,'23.07 Natete-Rubaga'!H45,'24.07 Natete-Rubaga'!H45,'25.07 Natete-Rubaga'!H45,'26.07 Natete-Rubaga-24h'!H45,'27.07 Natete-Rubaga-24h'!H45,'28.07 Natete-Rubaga'!H45)</f>
        <v>1.7142857142857142</v>
      </c>
      <c r="I45" s="49">
        <f>AVERAGE('22.07 Natete-Rubaga'!I45,'23.07 Natete-Rubaga'!I45,'24.07 Natete-Rubaga'!I45,'25.07 Natete-Rubaga'!I45,'26.07 Natete-Rubaga-24h'!I45,'27.07 Natete-Rubaga-24h'!I45,'28.07 Natete-Rubaga'!I45)</f>
        <v>1.7142857142857142</v>
      </c>
      <c r="J45" s="49">
        <f>AVERAGE('22.07 Natete-Rubaga'!J45,'23.07 Natete-Rubaga'!J45,'24.07 Natete-Rubaga'!J45,'25.07 Natete-Rubaga'!J45,'26.07 Natete-Rubaga-24h'!J45,'27.07 Natete-Rubaga-24h'!J45,'28.07 Natete-Rubaga'!J45)</f>
        <v>2</v>
      </c>
      <c r="K45" s="49">
        <f>AVERAGE('22.07 Natete-Rubaga'!K45,'23.07 Natete-Rubaga'!K45,'24.07 Natete-Rubaga'!K45,'25.07 Natete-Rubaga'!K45,'26.07 Natete-Rubaga-24h'!K45,'27.07 Natete-Rubaga-24h'!K45,'28.07 Natete-Rubaga'!K45)</f>
        <v>0.14285714285714285</v>
      </c>
      <c r="L45" s="49">
        <f>AVERAGE('22.07 Natete-Rubaga'!L45,'23.07 Natete-Rubaga'!L45,'24.07 Natete-Rubaga'!L45,'25.07 Natete-Rubaga'!L45,'26.07 Natete-Rubaga-24h'!L45,'27.07 Natete-Rubaga-24h'!L45,'28.07 Natete-Rubaga'!L45)</f>
        <v>0.42857142857142855</v>
      </c>
      <c r="M45" s="49">
        <f>AVERAGE('22.07 Natete-Rubaga'!M45,'23.07 Natete-Rubaga'!M45,'24.07 Natete-Rubaga'!M45,'25.07 Natete-Rubaga'!M45,'26.07 Natete-Rubaga-24h'!M45,'27.07 Natete-Rubaga-24h'!M45,'28.07 Natete-Rubaga'!M45)</f>
        <v>116.28571428571429</v>
      </c>
      <c r="N45" s="49">
        <f>AVERAGE('22.07 Natete-Rubaga'!N45,'23.07 Natete-Rubaga'!N45,'24.07 Natete-Rubaga'!N45,'25.07 Natete-Rubaga'!N45,'26.07 Natete-Rubaga-24h'!N45,'27.07 Natete-Rubaga-24h'!N45,'28.07 Natete-Rubaga'!N45)</f>
        <v>0</v>
      </c>
      <c r="O45" s="15">
        <f t="shared" si="0"/>
        <v>74.428571428571416</v>
      </c>
      <c r="P45" s="15">
        <f t="shared" si="1"/>
        <v>190.71428571428572</v>
      </c>
    </row>
    <row r="46" spans="2:32" ht="23.1" customHeight="1" x14ac:dyDescent="0.25">
      <c r="B46" s="24" t="s">
        <v>73</v>
      </c>
      <c r="C46" s="49">
        <f>AVERAGE('22.07 Natete-Rubaga'!C46,'23.07 Natete-Rubaga'!C46,'24.07 Natete-Rubaga'!C46,'25.07 Natete-Rubaga'!C46,'26.07 Natete-Rubaga-24h'!C46,'27.07 Natete-Rubaga-24h'!C46,'28.07 Natete-Rubaga'!C46)</f>
        <v>25.428571428571427</v>
      </c>
      <c r="D46" s="49">
        <f>AVERAGE('22.07 Natete-Rubaga'!D46,'23.07 Natete-Rubaga'!D46,'24.07 Natete-Rubaga'!D46,'25.07 Natete-Rubaga'!D46,'26.07 Natete-Rubaga-24h'!D46,'27.07 Natete-Rubaga-24h'!D46,'28.07 Natete-Rubaga'!D46)</f>
        <v>9.1428571428571423</v>
      </c>
      <c r="E46" s="49">
        <f>AVERAGE('22.07 Natete-Rubaga'!E46,'23.07 Natete-Rubaga'!E46,'24.07 Natete-Rubaga'!E46,'25.07 Natete-Rubaga'!E46,'26.07 Natete-Rubaga-24h'!E46,'27.07 Natete-Rubaga-24h'!E46,'28.07 Natete-Rubaga'!E46)</f>
        <v>4.8571428571428568</v>
      </c>
      <c r="F46" s="49">
        <f>AVERAGE('22.07 Natete-Rubaga'!F46,'23.07 Natete-Rubaga'!F46,'24.07 Natete-Rubaga'!F46,'25.07 Natete-Rubaga'!F46,'26.07 Natete-Rubaga-24h'!F46,'27.07 Natete-Rubaga-24h'!F46,'28.07 Natete-Rubaga'!F46)</f>
        <v>35.571428571428569</v>
      </c>
      <c r="G46" s="49">
        <f>AVERAGE('22.07 Natete-Rubaga'!G46,'23.07 Natete-Rubaga'!G46,'24.07 Natete-Rubaga'!G46,'25.07 Natete-Rubaga'!G46,'26.07 Natete-Rubaga-24h'!G46,'27.07 Natete-Rubaga-24h'!G46,'28.07 Natete-Rubaga'!G46)</f>
        <v>0.8571428571428571</v>
      </c>
      <c r="H46" s="49">
        <f>AVERAGE('22.07 Natete-Rubaga'!H46,'23.07 Natete-Rubaga'!H46,'24.07 Natete-Rubaga'!H46,'25.07 Natete-Rubaga'!H46,'26.07 Natete-Rubaga-24h'!H46,'27.07 Natete-Rubaga-24h'!H46,'28.07 Natete-Rubaga'!H46)</f>
        <v>2</v>
      </c>
      <c r="I46" s="49">
        <f>AVERAGE('22.07 Natete-Rubaga'!I46,'23.07 Natete-Rubaga'!I46,'24.07 Natete-Rubaga'!I46,'25.07 Natete-Rubaga'!I46,'26.07 Natete-Rubaga-24h'!I46,'27.07 Natete-Rubaga-24h'!I46,'28.07 Natete-Rubaga'!I46)</f>
        <v>3.4285714285714284</v>
      </c>
      <c r="J46" s="49">
        <f>AVERAGE('22.07 Natete-Rubaga'!J46,'23.07 Natete-Rubaga'!J46,'24.07 Natete-Rubaga'!J46,'25.07 Natete-Rubaga'!J46,'26.07 Natete-Rubaga-24h'!J46,'27.07 Natete-Rubaga-24h'!J46,'28.07 Natete-Rubaga'!J46)</f>
        <v>1.8571428571428572</v>
      </c>
      <c r="K46" s="49">
        <f>AVERAGE('22.07 Natete-Rubaga'!K46,'23.07 Natete-Rubaga'!K46,'24.07 Natete-Rubaga'!K46,'25.07 Natete-Rubaga'!K46,'26.07 Natete-Rubaga-24h'!K46,'27.07 Natete-Rubaga-24h'!K46,'28.07 Natete-Rubaga'!K46)</f>
        <v>0.42857142857142855</v>
      </c>
      <c r="L46" s="49">
        <f>AVERAGE('22.07 Natete-Rubaga'!L46,'23.07 Natete-Rubaga'!L46,'24.07 Natete-Rubaga'!L46,'25.07 Natete-Rubaga'!L46,'26.07 Natete-Rubaga-24h'!L46,'27.07 Natete-Rubaga-24h'!L46,'28.07 Natete-Rubaga'!L46)</f>
        <v>0.14285714285714285</v>
      </c>
      <c r="M46" s="49">
        <f>AVERAGE('22.07 Natete-Rubaga'!M46,'23.07 Natete-Rubaga'!M46,'24.07 Natete-Rubaga'!M46,'25.07 Natete-Rubaga'!M46,'26.07 Natete-Rubaga-24h'!M46,'27.07 Natete-Rubaga-24h'!M46,'28.07 Natete-Rubaga'!M46)</f>
        <v>112.57142857142857</v>
      </c>
      <c r="N46" s="49">
        <f>AVERAGE('22.07 Natete-Rubaga'!N46,'23.07 Natete-Rubaga'!N46,'24.07 Natete-Rubaga'!N46,'25.07 Natete-Rubaga'!N46,'26.07 Natete-Rubaga-24h'!N46,'27.07 Natete-Rubaga-24h'!N46,'28.07 Natete-Rubaga'!N46)</f>
        <v>0</v>
      </c>
      <c r="O46" s="15">
        <f t="shared" si="0"/>
        <v>83.714285714285722</v>
      </c>
      <c r="P46" s="15">
        <f t="shared" si="1"/>
        <v>196.28571428571428</v>
      </c>
      <c r="R46" s="8"/>
      <c r="T46"/>
    </row>
    <row r="47" spans="2:32" ht="23.1" customHeight="1" x14ac:dyDescent="0.25">
      <c r="B47" s="24" t="s">
        <v>74</v>
      </c>
      <c r="C47" s="49">
        <f>AVERAGE('22.07 Natete-Rubaga'!C47,'23.07 Natete-Rubaga'!C47,'24.07 Natete-Rubaga'!C47,'25.07 Natete-Rubaga'!C47,'26.07 Natete-Rubaga-24h'!C47,'27.07 Natete-Rubaga-24h'!C47,'28.07 Natete-Rubaga'!C47)</f>
        <v>22.857142857142858</v>
      </c>
      <c r="D47" s="49">
        <f>AVERAGE('22.07 Natete-Rubaga'!D47,'23.07 Natete-Rubaga'!D47,'24.07 Natete-Rubaga'!D47,'25.07 Natete-Rubaga'!D47,'26.07 Natete-Rubaga-24h'!D47,'27.07 Natete-Rubaga-24h'!D47,'28.07 Natete-Rubaga'!D47)</f>
        <v>7.1428571428571432</v>
      </c>
      <c r="E47" s="49">
        <f>AVERAGE('22.07 Natete-Rubaga'!E47,'23.07 Natete-Rubaga'!E47,'24.07 Natete-Rubaga'!E47,'25.07 Natete-Rubaga'!E47,'26.07 Natete-Rubaga-24h'!E47,'27.07 Natete-Rubaga-24h'!E47,'28.07 Natete-Rubaga'!E47)</f>
        <v>2.1428571428571428</v>
      </c>
      <c r="F47" s="49">
        <f>AVERAGE('22.07 Natete-Rubaga'!F47,'23.07 Natete-Rubaga'!F47,'24.07 Natete-Rubaga'!F47,'25.07 Natete-Rubaga'!F47,'26.07 Natete-Rubaga-24h'!F47,'27.07 Natete-Rubaga-24h'!F47,'28.07 Natete-Rubaga'!F47)</f>
        <v>27.571428571428573</v>
      </c>
      <c r="G47" s="49">
        <f>AVERAGE('22.07 Natete-Rubaga'!G47,'23.07 Natete-Rubaga'!G47,'24.07 Natete-Rubaga'!G47,'25.07 Natete-Rubaga'!G47,'26.07 Natete-Rubaga-24h'!G47,'27.07 Natete-Rubaga-24h'!G47,'28.07 Natete-Rubaga'!G47)</f>
        <v>0.14285714285714285</v>
      </c>
      <c r="H47" s="49">
        <f>AVERAGE('22.07 Natete-Rubaga'!H47,'23.07 Natete-Rubaga'!H47,'24.07 Natete-Rubaga'!H47,'25.07 Natete-Rubaga'!H47,'26.07 Natete-Rubaga-24h'!H47,'27.07 Natete-Rubaga-24h'!H47,'28.07 Natete-Rubaga'!H47)</f>
        <v>1.1428571428571428</v>
      </c>
      <c r="I47" s="49">
        <f>AVERAGE('22.07 Natete-Rubaga'!I47,'23.07 Natete-Rubaga'!I47,'24.07 Natete-Rubaga'!I47,'25.07 Natete-Rubaga'!I47,'26.07 Natete-Rubaga-24h'!I47,'27.07 Natete-Rubaga-24h'!I47,'28.07 Natete-Rubaga'!I47)</f>
        <v>3.2857142857142856</v>
      </c>
      <c r="J47" s="49">
        <f>AVERAGE('22.07 Natete-Rubaga'!J47,'23.07 Natete-Rubaga'!J47,'24.07 Natete-Rubaga'!J47,'25.07 Natete-Rubaga'!J47,'26.07 Natete-Rubaga-24h'!J47,'27.07 Natete-Rubaga-24h'!J47,'28.07 Natete-Rubaga'!J47)</f>
        <v>1.7142857142857142</v>
      </c>
      <c r="K47" s="49">
        <f>AVERAGE('22.07 Natete-Rubaga'!K47,'23.07 Natete-Rubaga'!K47,'24.07 Natete-Rubaga'!K47,'25.07 Natete-Rubaga'!K47,'26.07 Natete-Rubaga-24h'!K47,'27.07 Natete-Rubaga-24h'!K47,'28.07 Natete-Rubaga'!K47)</f>
        <v>0.14285714285714285</v>
      </c>
      <c r="L47" s="49">
        <f>AVERAGE('22.07 Natete-Rubaga'!L47,'23.07 Natete-Rubaga'!L47,'24.07 Natete-Rubaga'!L47,'25.07 Natete-Rubaga'!L47,'26.07 Natete-Rubaga-24h'!L47,'27.07 Natete-Rubaga-24h'!L47,'28.07 Natete-Rubaga'!L47)</f>
        <v>0</v>
      </c>
      <c r="M47" s="49">
        <f>AVERAGE('22.07 Natete-Rubaga'!M47,'23.07 Natete-Rubaga'!M47,'24.07 Natete-Rubaga'!M47,'25.07 Natete-Rubaga'!M47,'26.07 Natete-Rubaga-24h'!M47,'27.07 Natete-Rubaga-24h'!M47,'28.07 Natete-Rubaga'!M47)</f>
        <v>104.57142857142857</v>
      </c>
      <c r="N47" s="49">
        <f>AVERAGE('22.07 Natete-Rubaga'!N47,'23.07 Natete-Rubaga'!N47,'24.07 Natete-Rubaga'!N47,'25.07 Natete-Rubaga'!N47,'26.07 Natete-Rubaga-24h'!N47,'27.07 Natete-Rubaga-24h'!N47,'28.07 Natete-Rubaga'!N47)</f>
        <v>0</v>
      </c>
      <c r="O47" s="15">
        <f t="shared" si="0"/>
        <v>66.142857142857153</v>
      </c>
      <c r="P47" s="15">
        <f t="shared" si="1"/>
        <v>170.71428571428572</v>
      </c>
      <c r="R47" s="8"/>
      <c r="T47"/>
    </row>
    <row r="48" spans="2:32" ht="23.1" customHeight="1" x14ac:dyDescent="0.25">
      <c r="B48" s="24" t="s">
        <v>75</v>
      </c>
      <c r="C48" s="49">
        <f>AVERAGE('22.07 Natete-Rubaga'!C48,'23.07 Natete-Rubaga'!C48,'24.07 Natete-Rubaga'!C48,'25.07 Natete-Rubaga'!C48,'26.07 Natete-Rubaga-24h'!C48,'27.07 Natete-Rubaga-24h'!C48,'28.07 Natete-Rubaga'!C48)</f>
        <v>28.571428571428573</v>
      </c>
      <c r="D48" s="49">
        <f>AVERAGE('22.07 Natete-Rubaga'!D48,'23.07 Natete-Rubaga'!D48,'24.07 Natete-Rubaga'!D48,'25.07 Natete-Rubaga'!D48,'26.07 Natete-Rubaga-24h'!D48,'27.07 Natete-Rubaga-24h'!D48,'28.07 Natete-Rubaga'!D48)</f>
        <v>9</v>
      </c>
      <c r="E48" s="49">
        <f>AVERAGE('22.07 Natete-Rubaga'!E48,'23.07 Natete-Rubaga'!E48,'24.07 Natete-Rubaga'!E48,'25.07 Natete-Rubaga'!E48,'26.07 Natete-Rubaga-24h'!E48,'27.07 Natete-Rubaga-24h'!E48,'28.07 Natete-Rubaga'!E48)</f>
        <v>4.5714285714285712</v>
      </c>
      <c r="F48" s="49">
        <f>AVERAGE('22.07 Natete-Rubaga'!F48,'23.07 Natete-Rubaga'!F48,'24.07 Natete-Rubaga'!F48,'25.07 Natete-Rubaga'!F48,'26.07 Natete-Rubaga-24h'!F48,'27.07 Natete-Rubaga-24h'!F48,'28.07 Natete-Rubaga'!F48)</f>
        <v>34</v>
      </c>
      <c r="G48" s="49">
        <f>AVERAGE('22.07 Natete-Rubaga'!G48,'23.07 Natete-Rubaga'!G48,'24.07 Natete-Rubaga'!G48,'25.07 Natete-Rubaga'!G48,'26.07 Natete-Rubaga-24h'!G48,'27.07 Natete-Rubaga-24h'!G48,'28.07 Natete-Rubaga'!G48)</f>
        <v>1</v>
      </c>
      <c r="H48" s="49">
        <f>AVERAGE('22.07 Natete-Rubaga'!H48,'23.07 Natete-Rubaga'!H48,'24.07 Natete-Rubaga'!H48,'25.07 Natete-Rubaga'!H48,'26.07 Natete-Rubaga-24h'!H48,'27.07 Natete-Rubaga-24h'!H48,'28.07 Natete-Rubaga'!H48)</f>
        <v>2.2857142857142856</v>
      </c>
      <c r="I48" s="49">
        <f>AVERAGE('22.07 Natete-Rubaga'!I48,'23.07 Natete-Rubaga'!I48,'24.07 Natete-Rubaga'!I48,'25.07 Natete-Rubaga'!I48,'26.07 Natete-Rubaga-24h'!I48,'27.07 Natete-Rubaga-24h'!I48,'28.07 Natete-Rubaga'!I48)</f>
        <v>3.7142857142857144</v>
      </c>
      <c r="J48" s="49">
        <f>AVERAGE('22.07 Natete-Rubaga'!J48,'23.07 Natete-Rubaga'!J48,'24.07 Natete-Rubaga'!J48,'25.07 Natete-Rubaga'!J48,'26.07 Natete-Rubaga-24h'!J48,'27.07 Natete-Rubaga-24h'!J48,'28.07 Natete-Rubaga'!J48)</f>
        <v>2.5714285714285716</v>
      </c>
      <c r="K48" s="49">
        <f>AVERAGE('22.07 Natete-Rubaga'!K48,'23.07 Natete-Rubaga'!K48,'24.07 Natete-Rubaga'!K48,'25.07 Natete-Rubaga'!K48,'26.07 Natete-Rubaga-24h'!K48,'27.07 Natete-Rubaga-24h'!K48,'28.07 Natete-Rubaga'!K48)</f>
        <v>0.2857142857142857</v>
      </c>
      <c r="L48" s="49">
        <f>AVERAGE('22.07 Natete-Rubaga'!L48,'23.07 Natete-Rubaga'!L48,'24.07 Natete-Rubaga'!L48,'25.07 Natete-Rubaga'!L48,'26.07 Natete-Rubaga-24h'!L48,'27.07 Natete-Rubaga-24h'!L48,'28.07 Natete-Rubaga'!L48)</f>
        <v>0.2857142857142857</v>
      </c>
      <c r="M48" s="49">
        <f>AVERAGE('22.07 Natete-Rubaga'!M48,'23.07 Natete-Rubaga'!M48,'24.07 Natete-Rubaga'!M48,'25.07 Natete-Rubaga'!M48,'26.07 Natete-Rubaga-24h'!M48,'27.07 Natete-Rubaga-24h'!M48,'28.07 Natete-Rubaga'!M48)</f>
        <v>120.28571428571429</v>
      </c>
      <c r="N48" s="49">
        <f>AVERAGE('22.07 Natete-Rubaga'!N48,'23.07 Natete-Rubaga'!N48,'24.07 Natete-Rubaga'!N48,'25.07 Natete-Rubaga'!N48,'26.07 Natete-Rubaga-24h'!N48,'27.07 Natete-Rubaga-24h'!N48,'28.07 Natete-Rubaga'!N48)</f>
        <v>0</v>
      </c>
      <c r="O48" s="15">
        <f t="shared" si="0"/>
        <v>86.285714285714292</v>
      </c>
      <c r="P48" s="15">
        <f t="shared" si="1"/>
        <v>206.57142857142858</v>
      </c>
      <c r="R48" s="8"/>
      <c r="T48"/>
    </row>
    <row r="49" spans="2:20" ht="23.1" customHeight="1" x14ac:dyDescent="0.25">
      <c r="B49" s="23" t="s">
        <v>76</v>
      </c>
      <c r="C49" s="49">
        <f>AVERAGE('22.07 Natete-Rubaga'!C49,'23.07 Natete-Rubaga'!C49,'24.07 Natete-Rubaga'!C49,'25.07 Natete-Rubaga'!C49,'26.07 Natete-Rubaga-24h'!C49,'27.07 Natete-Rubaga-24h'!C49,'28.07 Natete-Rubaga'!C49)</f>
        <v>29.714285714285715</v>
      </c>
      <c r="D49" s="49">
        <f>AVERAGE('22.07 Natete-Rubaga'!D49,'23.07 Natete-Rubaga'!D49,'24.07 Natete-Rubaga'!D49,'25.07 Natete-Rubaga'!D49,'26.07 Natete-Rubaga-24h'!D49,'27.07 Natete-Rubaga-24h'!D49,'28.07 Natete-Rubaga'!D49)</f>
        <v>8.7142857142857135</v>
      </c>
      <c r="E49" s="49">
        <f>AVERAGE('22.07 Natete-Rubaga'!E49,'23.07 Natete-Rubaga'!E49,'24.07 Natete-Rubaga'!E49,'25.07 Natete-Rubaga'!E49,'26.07 Natete-Rubaga-24h'!E49,'27.07 Natete-Rubaga-24h'!E49,'28.07 Natete-Rubaga'!E49)</f>
        <v>5.5714285714285712</v>
      </c>
      <c r="F49" s="49">
        <f>AVERAGE('22.07 Natete-Rubaga'!F49,'23.07 Natete-Rubaga'!F49,'24.07 Natete-Rubaga'!F49,'25.07 Natete-Rubaga'!F49,'26.07 Natete-Rubaga-24h'!F49,'27.07 Natete-Rubaga-24h'!F49,'28.07 Natete-Rubaga'!F49)</f>
        <v>36.428571428571431</v>
      </c>
      <c r="G49" s="49">
        <f>AVERAGE('22.07 Natete-Rubaga'!G49,'23.07 Natete-Rubaga'!G49,'24.07 Natete-Rubaga'!G49,'25.07 Natete-Rubaga'!G49,'26.07 Natete-Rubaga-24h'!G49,'27.07 Natete-Rubaga-24h'!G49,'28.07 Natete-Rubaga'!G49)</f>
        <v>0.42857142857142855</v>
      </c>
      <c r="H49" s="49">
        <f>AVERAGE('22.07 Natete-Rubaga'!H49,'23.07 Natete-Rubaga'!H49,'24.07 Natete-Rubaga'!H49,'25.07 Natete-Rubaga'!H49,'26.07 Natete-Rubaga-24h'!H49,'27.07 Natete-Rubaga-24h'!H49,'28.07 Natete-Rubaga'!H49)</f>
        <v>2.2857142857142856</v>
      </c>
      <c r="I49" s="49">
        <f>AVERAGE('22.07 Natete-Rubaga'!I49,'23.07 Natete-Rubaga'!I49,'24.07 Natete-Rubaga'!I49,'25.07 Natete-Rubaga'!I49,'26.07 Natete-Rubaga-24h'!I49,'27.07 Natete-Rubaga-24h'!I49,'28.07 Natete-Rubaga'!I49)</f>
        <v>3.8571428571428572</v>
      </c>
      <c r="J49" s="49">
        <f>AVERAGE('22.07 Natete-Rubaga'!J49,'23.07 Natete-Rubaga'!J49,'24.07 Natete-Rubaga'!J49,'25.07 Natete-Rubaga'!J49,'26.07 Natete-Rubaga-24h'!J49,'27.07 Natete-Rubaga-24h'!J49,'28.07 Natete-Rubaga'!J49)</f>
        <v>1.2857142857142858</v>
      </c>
      <c r="K49" s="49">
        <f>AVERAGE('22.07 Natete-Rubaga'!K49,'23.07 Natete-Rubaga'!K49,'24.07 Natete-Rubaga'!K49,'25.07 Natete-Rubaga'!K49,'26.07 Natete-Rubaga-24h'!K49,'27.07 Natete-Rubaga-24h'!K49,'28.07 Natete-Rubaga'!K49)</f>
        <v>0.14285714285714285</v>
      </c>
      <c r="L49" s="49">
        <f>AVERAGE('22.07 Natete-Rubaga'!L49,'23.07 Natete-Rubaga'!L49,'24.07 Natete-Rubaga'!L49,'25.07 Natete-Rubaga'!L49,'26.07 Natete-Rubaga-24h'!L49,'27.07 Natete-Rubaga-24h'!L49,'28.07 Natete-Rubaga'!L49)</f>
        <v>0.42857142857142855</v>
      </c>
      <c r="M49" s="49">
        <f>AVERAGE('22.07 Natete-Rubaga'!M49,'23.07 Natete-Rubaga'!M49,'24.07 Natete-Rubaga'!M49,'25.07 Natete-Rubaga'!M49,'26.07 Natete-Rubaga-24h'!M49,'27.07 Natete-Rubaga-24h'!M49,'28.07 Natete-Rubaga'!M49)</f>
        <v>128.71428571428572</v>
      </c>
      <c r="N49" s="49">
        <f>AVERAGE('22.07 Natete-Rubaga'!N49,'23.07 Natete-Rubaga'!N49,'24.07 Natete-Rubaga'!N49,'25.07 Natete-Rubaga'!N49,'26.07 Natete-Rubaga-24h'!N49,'27.07 Natete-Rubaga-24h'!N49,'28.07 Natete-Rubaga'!N49)</f>
        <v>0</v>
      </c>
      <c r="O49" s="15">
        <f t="shared" si="0"/>
        <v>88.857142857142875</v>
      </c>
      <c r="P49" s="15">
        <f t="shared" si="1"/>
        <v>217.57142857142861</v>
      </c>
      <c r="R49" s="8"/>
      <c r="T49"/>
    </row>
    <row r="50" spans="2:20" ht="23.1" customHeight="1" x14ac:dyDescent="0.25">
      <c r="B50" s="24" t="s">
        <v>77</v>
      </c>
      <c r="C50" s="49">
        <f>AVERAGE('22.07 Natete-Rubaga'!C50,'23.07 Natete-Rubaga'!C50,'24.07 Natete-Rubaga'!C50,'25.07 Natete-Rubaga'!C50,'26.07 Natete-Rubaga-24h'!C50,'27.07 Natete-Rubaga-24h'!C50,'28.07 Natete-Rubaga'!C50)</f>
        <v>26.857142857142858</v>
      </c>
      <c r="D50" s="49">
        <f>AVERAGE('22.07 Natete-Rubaga'!D50,'23.07 Natete-Rubaga'!D50,'24.07 Natete-Rubaga'!D50,'25.07 Natete-Rubaga'!D50,'26.07 Natete-Rubaga-24h'!D50,'27.07 Natete-Rubaga-24h'!D50,'28.07 Natete-Rubaga'!D50)</f>
        <v>8.8571428571428577</v>
      </c>
      <c r="E50" s="49">
        <f>AVERAGE('22.07 Natete-Rubaga'!E50,'23.07 Natete-Rubaga'!E50,'24.07 Natete-Rubaga'!E50,'25.07 Natete-Rubaga'!E50,'26.07 Natete-Rubaga-24h'!E50,'27.07 Natete-Rubaga-24h'!E50,'28.07 Natete-Rubaga'!E50)</f>
        <v>5.2857142857142856</v>
      </c>
      <c r="F50" s="49">
        <f>AVERAGE('22.07 Natete-Rubaga'!F50,'23.07 Natete-Rubaga'!F50,'24.07 Natete-Rubaga'!F50,'25.07 Natete-Rubaga'!F50,'26.07 Natete-Rubaga-24h'!F50,'27.07 Natete-Rubaga-24h'!F50,'28.07 Natete-Rubaga'!F50)</f>
        <v>38.571428571428569</v>
      </c>
      <c r="G50" s="49">
        <f>AVERAGE('22.07 Natete-Rubaga'!G50,'23.07 Natete-Rubaga'!G50,'24.07 Natete-Rubaga'!G50,'25.07 Natete-Rubaga'!G50,'26.07 Natete-Rubaga-24h'!G50,'27.07 Natete-Rubaga-24h'!G50,'28.07 Natete-Rubaga'!G50)</f>
        <v>1.5714285714285714</v>
      </c>
      <c r="H50" s="49">
        <f>AVERAGE('22.07 Natete-Rubaga'!H50,'23.07 Natete-Rubaga'!H50,'24.07 Natete-Rubaga'!H50,'25.07 Natete-Rubaga'!H50,'26.07 Natete-Rubaga-24h'!H50,'27.07 Natete-Rubaga-24h'!H50,'28.07 Natete-Rubaga'!H50)</f>
        <v>1.8571428571428572</v>
      </c>
      <c r="I50" s="49">
        <f>AVERAGE('22.07 Natete-Rubaga'!I50,'23.07 Natete-Rubaga'!I50,'24.07 Natete-Rubaga'!I50,'25.07 Natete-Rubaga'!I50,'26.07 Natete-Rubaga-24h'!I50,'27.07 Natete-Rubaga-24h'!I50,'28.07 Natete-Rubaga'!I50)</f>
        <v>5.7142857142857144</v>
      </c>
      <c r="J50" s="49">
        <f>AVERAGE('22.07 Natete-Rubaga'!J50,'23.07 Natete-Rubaga'!J50,'24.07 Natete-Rubaga'!J50,'25.07 Natete-Rubaga'!J50,'26.07 Natete-Rubaga-24h'!J50,'27.07 Natete-Rubaga-24h'!J50,'28.07 Natete-Rubaga'!J50)</f>
        <v>1.4285714285714286</v>
      </c>
      <c r="K50" s="49">
        <f>AVERAGE('22.07 Natete-Rubaga'!K50,'23.07 Natete-Rubaga'!K50,'24.07 Natete-Rubaga'!K50,'25.07 Natete-Rubaga'!K50,'26.07 Natete-Rubaga-24h'!K50,'27.07 Natete-Rubaga-24h'!K50,'28.07 Natete-Rubaga'!K50)</f>
        <v>0.42857142857142855</v>
      </c>
      <c r="L50" s="49">
        <f>AVERAGE('22.07 Natete-Rubaga'!L50,'23.07 Natete-Rubaga'!L50,'24.07 Natete-Rubaga'!L50,'25.07 Natete-Rubaga'!L50,'26.07 Natete-Rubaga-24h'!L50,'27.07 Natete-Rubaga-24h'!L50,'28.07 Natete-Rubaga'!L50)</f>
        <v>0</v>
      </c>
      <c r="M50" s="49">
        <f>AVERAGE('22.07 Natete-Rubaga'!M50,'23.07 Natete-Rubaga'!M50,'24.07 Natete-Rubaga'!M50,'25.07 Natete-Rubaga'!M50,'26.07 Natete-Rubaga-24h'!M50,'27.07 Natete-Rubaga-24h'!M50,'28.07 Natete-Rubaga'!M50)</f>
        <v>124.57142857142857</v>
      </c>
      <c r="N50" s="49">
        <f>AVERAGE('22.07 Natete-Rubaga'!N50,'23.07 Natete-Rubaga'!N50,'24.07 Natete-Rubaga'!N50,'25.07 Natete-Rubaga'!N50,'26.07 Natete-Rubaga-24h'!N50,'27.07 Natete-Rubaga-24h'!N50,'28.07 Natete-Rubaga'!N50)</f>
        <v>0</v>
      </c>
      <c r="O50" s="15">
        <f t="shared" si="0"/>
        <v>90.571428571428569</v>
      </c>
      <c r="P50" s="15">
        <f t="shared" si="1"/>
        <v>215.14285714285714</v>
      </c>
      <c r="R50" s="8"/>
      <c r="T50"/>
    </row>
    <row r="51" spans="2:20" ht="23.1" customHeight="1" x14ac:dyDescent="0.25">
      <c r="B51" s="24" t="s">
        <v>78</v>
      </c>
      <c r="C51" s="49">
        <f>AVERAGE('22.07 Natete-Rubaga'!C51,'23.07 Natete-Rubaga'!C51,'24.07 Natete-Rubaga'!C51,'25.07 Natete-Rubaga'!C51,'26.07 Natete-Rubaga-24h'!C51,'27.07 Natete-Rubaga-24h'!C51,'28.07 Natete-Rubaga'!C51)</f>
        <v>26.142857142857142</v>
      </c>
      <c r="D51" s="49">
        <f>AVERAGE('22.07 Natete-Rubaga'!D51,'23.07 Natete-Rubaga'!D51,'24.07 Natete-Rubaga'!D51,'25.07 Natete-Rubaga'!D51,'26.07 Natete-Rubaga-24h'!D51,'27.07 Natete-Rubaga-24h'!D51,'28.07 Natete-Rubaga'!D51)</f>
        <v>9.8571428571428577</v>
      </c>
      <c r="E51" s="49">
        <f>AVERAGE('22.07 Natete-Rubaga'!E51,'23.07 Natete-Rubaga'!E51,'24.07 Natete-Rubaga'!E51,'25.07 Natete-Rubaga'!E51,'26.07 Natete-Rubaga-24h'!E51,'27.07 Natete-Rubaga-24h'!E51,'28.07 Natete-Rubaga'!E51)</f>
        <v>5.1428571428571432</v>
      </c>
      <c r="F51" s="49">
        <f>AVERAGE('22.07 Natete-Rubaga'!F51,'23.07 Natete-Rubaga'!F51,'24.07 Natete-Rubaga'!F51,'25.07 Natete-Rubaga'!F51,'26.07 Natete-Rubaga-24h'!F51,'27.07 Natete-Rubaga-24h'!F51,'28.07 Natete-Rubaga'!F51)</f>
        <v>35.285714285714285</v>
      </c>
      <c r="G51" s="49">
        <f>AVERAGE('22.07 Natete-Rubaga'!G51,'23.07 Natete-Rubaga'!G51,'24.07 Natete-Rubaga'!G51,'25.07 Natete-Rubaga'!G51,'26.07 Natete-Rubaga-24h'!G51,'27.07 Natete-Rubaga-24h'!G51,'28.07 Natete-Rubaga'!G51)</f>
        <v>0.7142857142857143</v>
      </c>
      <c r="H51" s="49">
        <f>AVERAGE('22.07 Natete-Rubaga'!H51,'23.07 Natete-Rubaga'!H51,'24.07 Natete-Rubaga'!H51,'25.07 Natete-Rubaga'!H51,'26.07 Natete-Rubaga-24h'!H51,'27.07 Natete-Rubaga-24h'!H51,'28.07 Natete-Rubaga'!H51)</f>
        <v>2.2857142857142856</v>
      </c>
      <c r="I51" s="49">
        <f>AVERAGE('22.07 Natete-Rubaga'!I51,'23.07 Natete-Rubaga'!I51,'24.07 Natete-Rubaga'!I51,'25.07 Natete-Rubaga'!I51,'26.07 Natete-Rubaga-24h'!I51,'27.07 Natete-Rubaga-24h'!I51,'28.07 Natete-Rubaga'!I51)</f>
        <v>3.8571428571428572</v>
      </c>
      <c r="J51" s="49">
        <f>AVERAGE('22.07 Natete-Rubaga'!J51,'23.07 Natete-Rubaga'!J51,'24.07 Natete-Rubaga'!J51,'25.07 Natete-Rubaga'!J51,'26.07 Natete-Rubaga-24h'!J51,'27.07 Natete-Rubaga-24h'!J51,'28.07 Natete-Rubaga'!J51)</f>
        <v>1.7142857142857142</v>
      </c>
      <c r="K51" s="49">
        <f>AVERAGE('22.07 Natete-Rubaga'!K51,'23.07 Natete-Rubaga'!K51,'24.07 Natete-Rubaga'!K51,'25.07 Natete-Rubaga'!K51,'26.07 Natete-Rubaga-24h'!K51,'27.07 Natete-Rubaga-24h'!K51,'28.07 Natete-Rubaga'!K51)</f>
        <v>0.14285714285714285</v>
      </c>
      <c r="L51" s="49">
        <f>AVERAGE('22.07 Natete-Rubaga'!L51,'23.07 Natete-Rubaga'!L51,'24.07 Natete-Rubaga'!L51,'25.07 Natete-Rubaga'!L51,'26.07 Natete-Rubaga-24h'!L51,'27.07 Natete-Rubaga-24h'!L51,'28.07 Natete-Rubaga'!L51)</f>
        <v>0.2857142857142857</v>
      </c>
      <c r="M51" s="49">
        <f>AVERAGE('22.07 Natete-Rubaga'!M51,'23.07 Natete-Rubaga'!M51,'24.07 Natete-Rubaga'!M51,'25.07 Natete-Rubaga'!M51,'26.07 Natete-Rubaga-24h'!M51,'27.07 Natete-Rubaga-24h'!M51,'28.07 Natete-Rubaga'!M51)</f>
        <v>115.42857142857143</v>
      </c>
      <c r="N51" s="49">
        <f>AVERAGE('22.07 Natete-Rubaga'!N51,'23.07 Natete-Rubaga'!N51,'24.07 Natete-Rubaga'!N51,'25.07 Natete-Rubaga'!N51,'26.07 Natete-Rubaga-24h'!N51,'27.07 Natete-Rubaga-24h'!N51,'28.07 Natete-Rubaga'!N51)</f>
        <v>0</v>
      </c>
      <c r="O51" s="15">
        <f t="shared" si="0"/>
        <v>85.428571428571431</v>
      </c>
      <c r="P51" s="15">
        <f t="shared" si="1"/>
        <v>200.85714285714286</v>
      </c>
      <c r="R51" s="8"/>
      <c r="T51"/>
    </row>
    <row r="52" spans="2:20" ht="23.1" customHeight="1" x14ac:dyDescent="0.25">
      <c r="B52" s="24" t="s">
        <v>79</v>
      </c>
      <c r="C52" s="49">
        <f>AVERAGE('22.07 Natete-Rubaga'!C52,'23.07 Natete-Rubaga'!C52,'24.07 Natete-Rubaga'!C52,'25.07 Natete-Rubaga'!C52,'26.07 Natete-Rubaga-24h'!C52,'27.07 Natete-Rubaga-24h'!C52,'28.07 Natete-Rubaga'!C52)</f>
        <v>30.142857142857142</v>
      </c>
      <c r="D52" s="49">
        <f>AVERAGE('22.07 Natete-Rubaga'!D52,'23.07 Natete-Rubaga'!D52,'24.07 Natete-Rubaga'!D52,'25.07 Natete-Rubaga'!D52,'26.07 Natete-Rubaga-24h'!D52,'27.07 Natete-Rubaga-24h'!D52,'28.07 Natete-Rubaga'!D52)</f>
        <v>9.8571428571428577</v>
      </c>
      <c r="E52" s="49">
        <f>AVERAGE('22.07 Natete-Rubaga'!E52,'23.07 Natete-Rubaga'!E52,'24.07 Natete-Rubaga'!E52,'25.07 Natete-Rubaga'!E52,'26.07 Natete-Rubaga-24h'!E52,'27.07 Natete-Rubaga-24h'!E52,'28.07 Natete-Rubaga'!E52)</f>
        <v>4.8571428571428568</v>
      </c>
      <c r="F52" s="49">
        <f>AVERAGE('22.07 Natete-Rubaga'!F52,'23.07 Natete-Rubaga'!F52,'24.07 Natete-Rubaga'!F52,'25.07 Natete-Rubaga'!F52,'26.07 Natete-Rubaga-24h'!F52,'27.07 Natete-Rubaga-24h'!F52,'28.07 Natete-Rubaga'!F52)</f>
        <v>40.571428571428569</v>
      </c>
      <c r="G52" s="49">
        <f>AVERAGE('22.07 Natete-Rubaga'!G52,'23.07 Natete-Rubaga'!G52,'24.07 Natete-Rubaga'!G52,'25.07 Natete-Rubaga'!G52,'26.07 Natete-Rubaga-24h'!G52,'27.07 Natete-Rubaga-24h'!G52,'28.07 Natete-Rubaga'!G52)</f>
        <v>0.14285714285714285</v>
      </c>
      <c r="H52" s="49">
        <f>AVERAGE('22.07 Natete-Rubaga'!H52,'23.07 Natete-Rubaga'!H52,'24.07 Natete-Rubaga'!H52,'25.07 Natete-Rubaga'!H52,'26.07 Natete-Rubaga-24h'!H52,'27.07 Natete-Rubaga-24h'!H52,'28.07 Natete-Rubaga'!H52)</f>
        <v>2.8571428571428572</v>
      </c>
      <c r="I52" s="49">
        <f>AVERAGE('22.07 Natete-Rubaga'!I52,'23.07 Natete-Rubaga'!I52,'24.07 Natete-Rubaga'!I52,'25.07 Natete-Rubaga'!I52,'26.07 Natete-Rubaga-24h'!I52,'27.07 Natete-Rubaga-24h'!I52,'28.07 Natete-Rubaga'!I52)</f>
        <v>2</v>
      </c>
      <c r="J52" s="49">
        <f>AVERAGE('22.07 Natete-Rubaga'!J52,'23.07 Natete-Rubaga'!J52,'24.07 Natete-Rubaga'!J52,'25.07 Natete-Rubaga'!J52,'26.07 Natete-Rubaga-24h'!J52,'27.07 Natete-Rubaga-24h'!J52,'28.07 Natete-Rubaga'!J52)</f>
        <v>2.5714285714285716</v>
      </c>
      <c r="K52" s="49">
        <f>AVERAGE('22.07 Natete-Rubaga'!K52,'23.07 Natete-Rubaga'!K52,'24.07 Natete-Rubaga'!K52,'25.07 Natete-Rubaga'!K52,'26.07 Natete-Rubaga-24h'!K52,'27.07 Natete-Rubaga-24h'!K52,'28.07 Natete-Rubaga'!K52)</f>
        <v>0.5714285714285714</v>
      </c>
      <c r="L52" s="49">
        <f>AVERAGE('22.07 Natete-Rubaga'!L52,'23.07 Natete-Rubaga'!L52,'24.07 Natete-Rubaga'!L52,'25.07 Natete-Rubaga'!L52,'26.07 Natete-Rubaga-24h'!L52,'27.07 Natete-Rubaga-24h'!L52,'28.07 Natete-Rubaga'!L52)</f>
        <v>0</v>
      </c>
      <c r="M52" s="49">
        <f>AVERAGE('22.07 Natete-Rubaga'!M52,'23.07 Natete-Rubaga'!M52,'24.07 Natete-Rubaga'!M52,'25.07 Natete-Rubaga'!M52,'26.07 Natete-Rubaga-24h'!M52,'27.07 Natete-Rubaga-24h'!M52,'28.07 Natete-Rubaga'!M52)</f>
        <v>115.85714285714286</v>
      </c>
      <c r="N52" s="49">
        <f>AVERAGE('22.07 Natete-Rubaga'!N52,'23.07 Natete-Rubaga'!N52,'24.07 Natete-Rubaga'!N52,'25.07 Natete-Rubaga'!N52,'26.07 Natete-Rubaga-24h'!N52,'27.07 Natete-Rubaga-24h'!N52,'28.07 Natete-Rubaga'!N52)</f>
        <v>0</v>
      </c>
      <c r="O52" s="15">
        <f t="shared" si="0"/>
        <v>93.571428571428555</v>
      </c>
      <c r="P52" s="15">
        <f t="shared" si="1"/>
        <v>209.42857142857142</v>
      </c>
      <c r="R52" s="8"/>
      <c r="T52"/>
    </row>
    <row r="53" spans="2:20" ht="23.1" customHeight="1" x14ac:dyDescent="0.25">
      <c r="B53" s="23" t="s">
        <v>80</v>
      </c>
      <c r="C53" s="49">
        <f>AVERAGE('22.07 Natete-Rubaga'!C53,'23.07 Natete-Rubaga'!C53,'24.07 Natete-Rubaga'!C53,'25.07 Natete-Rubaga'!C53,'26.07 Natete-Rubaga-24h'!C53,'27.07 Natete-Rubaga-24h'!C53,'28.07 Natete-Rubaga'!C53)</f>
        <v>36.857142857142854</v>
      </c>
      <c r="D53" s="49">
        <f>AVERAGE('22.07 Natete-Rubaga'!D53,'23.07 Natete-Rubaga'!D53,'24.07 Natete-Rubaga'!D53,'25.07 Natete-Rubaga'!D53,'26.07 Natete-Rubaga-24h'!D53,'27.07 Natete-Rubaga-24h'!D53,'28.07 Natete-Rubaga'!D53)</f>
        <v>7.2857142857142856</v>
      </c>
      <c r="E53" s="49">
        <f>AVERAGE('22.07 Natete-Rubaga'!E53,'23.07 Natete-Rubaga'!E53,'24.07 Natete-Rubaga'!E53,'25.07 Natete-Rubaga'!E53,'26.07 Natete-Rubaga-24h'!E53,'27.07 Natete-Rubaga-24h'!E53,'28.07 Natete-Rubaga'!E53)</f>
        <v>2.4285714285714284</v>
      </c>
      <c r="F53" s="49">
        <f>AVERAGE('22.07 Natete-Rubaga'!F53,'23.07 Natete-Rubaga'!F53,'24.07 Natete-Rubaga'!F53,'25.07 Natete-Rubaga'!F53,'26.07 Natete-Rubaga-24h'!F53,'27.07 Natete-Rubaga-24h'!F53,'28.07 Natete-Rubaga'!F53)</f>
        <v>37.142857142857146</v>
      </c>
      <c r="G53" s="49">
        <f>AVERAGE('22.07 Natete-Rubaga'!G53,'23.07 Natete-Rubaga'!G53,'24.07 Natete-Rubaga'!G53,'25.07 Natete-Rubaga'!G53,'26.07 Natete-Rubaga-24h'!G53,'27.07 Natete-Rubaga-24h'!G53,'28.07 Natete-Rubaga'!G53)</f>
        <v>0.8571428571428571</v>
      </c>
      <c r="H53" s="49">
        <f>AVERAGE('22.07 Natete-Rubaga'!H53,'23.07 Natete-Rubaga'!H53,'24.07 Natete-Rubaga'!H53,'25.07 Natete-Rubaga'!H53,'26.07 Natete-Rubaga-24h'!H53,'27.07 Natete-Rubaga-24h'!H53,'28.07 Natete-Rubaga'!H53)</f>
        <v>1.7142857142857142</v>
      </c>
      <c r="I53" s="49">
        <f>AVERAGE('22.07 Natete-Rubaga'!I53,'23.07 Natete-Rubaga'!I53,'24.07 Natete-Rubaga'!I53,'25.07 Natete-Rubaga'!I53,'26.07 Natete-Rubaga-24h'!I53,'27.07 Natete-Rubaga-24h'!I53,'28.07 Natete-Rubaga'!I53)</f>
        <v>4</v>
      </c>
      <c r="J53" s="49">
        <f>AVERAGE('22.07 Natete-Rubaga'!J53,'23.07 Natete-Rubaga'!J53,'24.07 Natete-Rubaga'!J53,'25.07 Natete-Rubaga'!J53,'26.07 Natete-Rubaga-24h'!J53,'27.07 Natete-Rubaga-24h'!J53,'28.07 Natete-Rubaga'!J53)</f>
        <v>3</v>
      </c>
      <c r="K53" s="49">
        <f>AVERAGE('22.07 Natete-Rubaga'!K53,'23.07 Natete-Rubaga'!K53,'24.07 Natete-Rubaga'!K53,'25.07 Natete-Rubaga'!K53,'26.07 Natete-Rubaga-24h'!K53,'27.07 Natete-Rubaga-24h'!K53,'28.07 Natete-Rubaga'!K53)</f>
        <v>0.14285714285714285</v>
      </c>
      <c r="L53" s="49">
        <f>AVERAGE('22.07 Natete-Rubaga'!L53,'23.07 Natete-Rubaga'!L53,'24.07 Natete-Rubaga'!L53,'25.07 Natete-Rubaga'!L53,'26.07 Natete-Rubaga-24h'!L53,'27.07 Natete-Rubaga-24h'!L53,'28.07 Natete-Rubaga'!L53)</f>
        <v>0.2857142857142857</v>
      </c>
      <c r="M53" s="49">
        <f>AVERAGE('22.07 Natete-Rubaga'!M53,'23.07 Natete-Rubaga'!M53,'24.07 Natete-Rubaga'!M53,'25.07 Natete-Rubaga'!M53,'26.07 Natete-Rubaga-24h'!M53,'27.07 Natete-Rubaga-24h'!M53,'28.07 Natete-Rubaga'!M53)</f>
        <v>131.42857142857142</v>
      </c>
      <c r="N53" s="49">
        <f>AVERAGE('22.07 Natete-Rubaga'!N53,'23.07 Natete-Rubaga'!N53,'24.07 Natete-Rubaga'!N53,'25.07 Natete-Rubaga'!N53,'26.07 Natete-Rubaga-24h'!N53,'27.07 Natete-Rubaga-24h'!N53,'28.07 Natete-Rubaga'!N53)</f>
        <v>0</v>
      </c>
      <c r="O53" s="15">
        <f t="shared" si="0"/>
        <v>93.714285714285722</v>
      </c>
      <c r="P53" s="15">
        <f t="shared" si="1"/>
        <v>225.14285714285714</v>
      </c>
      <c r="R53" s="8"/>
      <c r="T53"/>
    </row>
    <row r="54" spans="2:20" ht="23.1" customHeight="1" x14ac:dyDescent="0.25">
      <c r="B54" s="23" t="s">
        <v>81</v>
      </c>
      <c r="C54" s="49">
        <f>AVERAGE('22.07 Natete-Rubaga'!C54,'23.07 Natete-Rubaga'!C54,'24.07 Natete-Rubaga'!C54,'25.07 Natete-Rubaga'!C54,'26.07 Natete-Rubaga-24h'!C54,'27.07 Natete-Rubaga-24h'!C54,'28.07 Natete-Rubaga'!C54)</f>
        <v>29.857142857142858</v>
      </c>
      <c r="D54" s="49">
        <f>AVERAGE('22.07 Natete-Rubaga'!D54,'23.07 Natete-Rubaga'!D54,'24.07 Natete-Rubaga'!D54,'25.07 Natete-Rubaga'!D54,'26.07 Natete-Rubaga-24h'!D54,'27.07 Natete-Rubaga-24h'!D54,'28.07 Natete-Rubaga'!D54)</f>
        <v>9.8571428571428577</v>
      </c>
      <c r="E54" s="49">
        <f>AVERAGE('22.07 Natete-Rubaga'!E54,'23.07 Natete-Rubaga'!E54,'24.07 Natete-Rubaga'!E54,'25.07 Natete-Rubaga'!E54,'26.07 Natete-Rubaga-24h'!E54,'27.07 Natete-Rubaga-24h'!E54,'28.07 Natete-Rubaga'!E54)</f>
        <v>4</v>
      </c>
      <c r="F54" s="49">
        <f>AVERAGE('22.07 Natete-Rubaga'!F54,'23.07 Natete-Rubaga'!F54,'24.07 Natete-Rubaga'!F54,'25.07 Natete-Rubaga'!F54,'26.07 Natete-Rubaga-24h'!F54,'27.07 Natete-Rubaga-24h'!F54,'28.07 Natete-Rubaga'!F54)</f>
        <v>38.571428571428569</v>
      </c>
      <c r="G54" s="49">
        <f>AVERAGE('22.07 Natete-Rubaga'!G54,'23.07 Natete-Rubaga'!G54,'24.07 Natete-Rubaga'!G54,'25.07 Natete-Rubaga'!G54,'26.07 Natete-Rubaga-24h'!G54,'27.07 Natete-Rubaga-24h'!G54,'28.07 Natete-Rubaga'!G54)</f>
        <v>1.1428571428571428</v>
      </c>
      <c r="H54" s="49">
        <f>AVERAGE('22.07 Natete-Rubaga'!H54,'23.07 Natete-Rubaga'!H54,'24.07 Natete-Rubaga'!H54,'25.07 Natete-Rubaga'!H54,'26.07 Natete-Rubaga-24h'!H54,'27.07 Natete-Rubaga-24h'!H54,'28.07 Natete-Rubaga'!H54)</f>
        <v>2</v>
      </c>
      <c r="I54" s="49">
        <f>AVERAGE('22.07 Natete-Rubaga'!I54,'23.07 Natete-Rubaga'!I54,'24.07 Natete-Rubaga'!I54,'25.07 Natete-Rubaga'!I54,'26.07 Natete-Rubaga-24h'!I54,'27.07 Natete-Rubaga-24h'!I54,'28.07 Natete-Rubaga'!I54)</f>
        <v>3.4285714285714284</v>
      </c>
      <c r="J54" s="49">
        <f>AVERAGE('22.07 Natete-Rubaga'!J54,'23.07 Natete-Rubaga'!J54,'24.07 Natete-Rubaga'!J54,'25.07 Natete-Rubaga'!J54,'26.07 Natete-Rubaga-24h'!J54,'27.07 Natete-Rubaga-24h'!J54,'28.07 Natete-Rubaga'!J54)</f>
        <v>1.8571428571428572</v>
      </c>
      <c r="K54" s="49">
        <f>AVERAGE('22.07 Natete-Rubaga'!K54,'23.07 Natete-Rubaga'!K54,'24.07 Natete-Rubaga'!K54,'25.07 Natete-Rubaga'!K54,'26.07 Natete-Rubaga-24h'!K54,'27.07 Natete-Rubaga-24h'!K54,'28.07 Natete-Rubaga'!K54)</f>
        <v>0.2857142857142857</v>
      </c>
      <c r="L54" s="49">
        <f>AVERAGE('22.07 Natete-Rubaga'!L54,'23.07 Natete-Rubaga'!L54,'24.07 Natete-Rubaga'!L54,'25.07 Natete-Rubaga'!L54,'26.07 Natete-Rubaga-24h'!L54,'27.07 Natete-Rubaga-24h'!L54,'28.07 Natete-Rubaga'!L54)</f>
        <v>0.14285714285714285</v>
      </c>
      <c r="M54" s="49">
        <f>AVERAGE('22.07 Natete-Rubaga'!M54,'23.07 Natete-Rubaga'!M54,'24.07 Natete-Rubaga'!M54,'25.07 Natete-Rubaga'!M54,'26.07 Natete-Rubaga-24h'!M54,'27.07 Natete-Rubaga-24h'!M54,'28.07 Natete-Rubaga'!M54)</f>
        <v>114.57142857142857</v>
      </c>
      <c r="N54" s="49">
        <f>AVERAGE('22.07 Natete-Rubaga'!N54,'23.07 Natete-Rubaga'!N54,'24.07 Natete-Rubaga'!N54,'25.07 Natete-Rubaga'!N54,'26.07 Natete-Rubaga-24h'!N54,'27.07 Natete-Rubaga-24h'!N54,'28.07 Natete-Rubaga'!N54)</f>
        <v>0</v>
      </c>
      <c r="O54" s="15">
        <f t="shared" si="0"/>
        <v>91.142857142857139</v>
      </c>
      <c r="P54" s="15">
        <f t="shared" si="1"/>
        <v>205.71428571428572</v>
      </c>
      <c r="R54" s="8"/>
      <c r="T54"/>
    </row>
    <row r="55" spans="2:20" ht="23.1" customHeight="1" x14ac:dyDescent="0.25">
      <c r="B55" s="23" t="s">
        <v>82</v>
      </c>
      <c r="C55" s="49">
        <f>AVERAGE('22.07 Natete-Rubaga'!C55,'23.07 Natete-Rubaga'!C55,'24.07 Natete-Rubaga'!C55,'25.07 Natete-Rubaga'!C55,'26.07 Natete-Rubaga-24h'!C55,'27.07 Natete-Rubaga-24h'!C55,'28.07 Natete-Rubaga'!C55)</f>
        <v>20.714285714285715</v>
      </c>
      <c r="D55" s="49">
        <f>AVERAGE('22.07 Natete-Rubaga'!D55,'23.07 Natete-Rubaga'!D55,'24.07 Natete-Rubaga'!D55,'25.07 Natete-Rubaga'!D55,'26.07 Natete-Rubaga-24h'!D55,'27.07 Natete-Rubaga-24h'!D55,'28.07 Natete-Rubaga'!D55)</f>
        <v>9.2857142857142865</v>
      </c>
      <c r="E55" s="49">
        <f>AVERAGE('22.07 Natete-Rubaga'!E55,'23.07 Natete-Rubaga'!E55,'24.07 Natete-Rubaga'!E55,'25.07 Natete-Rubaga'!E55,'26.07 Natete-Rubaga-24h'!E55,'27.07 Natete-Rubaga-24h'!E55,'28.07 Natete-Rubaga'!E55)</f>
        <v>4.2857142857142856</v>
      </c>
      <c r="F55" s="49">
        <f>AVERAGE('22.07 Natete-Rubaga'!F55,'23.07 Natete-Rubaga'!F55,'24.07 Natete-Rubaga'!F55,'25.07 Natete-Rubaga'!F55,'26.07 Natete-Rubaga-24h'!F55,'27.07 Natete-Rubaga-24h'!F55,'28.07 Natete-Rubaga'!F55)</f>
        <v>35.857142857142854</v>
      </c>
      <c r="G55" s="49">
        <f>AVERAGE('22.07 Natete-Rubaga'!G55,'23.07 Natete-Rubaga'!G55,'24.07 Natete-Rubaga'!G55,'25.07 Natete-Rubaga'!G55,'26.07 Natete-Rubaga-24h'!G55,'27.07 Natete-Rubaga-24h'!G55,'28.07 Natete-Rubaga'!G55)</f>
        <v>0.14285714285714285</v>
      </c>
      <c r="H55" s="49">
        <f>AVERAGE('22.07 Natete-Rubaga'!H55,'23.07 Natete-Rubaga'!H55,'24.07 Natete-Rubaga'!H55,'25.07 Natete-Rubaga'!H55,'26.07 Natete-Rubaga-24h'!H55,'27.07 Natete-Rubaga-24h'!H55,'28.07 Natete-Rubaga'!H55)</f>
        <v>1.2857142857142858</v>
      </c>
      <c r="I55" s="49">
        <f>AVERAGE('22.07 Natete-Rubaga'!I55,'23.07 Natete-Rubaga'!I55,'24.07 Natete-Rubaga'!I55,'25.07 Natete-Rubaga'!I55,'26.07 Natete-Rubaga-24h'!I55,'27.07 Natete-Rubaga-24h'!I55,'28.07 Natete-Rubaga'!I55)</f>
        <v>1.1428571428571428</v>
      </c>
      <c r="J55" s="49">
        <f>AVERAGE('22.07 Natete-Rubaga'!J55,'23.07 Natete-Rubaga'!J55,'24.07 Natete-Rubaga'!J55,'25.07 Natete-Rubaga'!J55,'26.07 Natete-Rubaga-24h'!J55,'27.07 Natete-Rubaga-24h'!J55,'28.07 Natete-Rubaga'!J55)</f>
        <v>0.8571428571428571</v>
      </c>
      <c r="K55" s="49">
        <f>AVERAGE('22.07 Natete-Rubaga'!K55,'23.07 Natete-Rubaga'!K55,'24.07 Natete-Rubaga'!K55,'25.07 Natete-Rubaga'!K55,'26.07 Natete-Rubaga-24h'!K55,'27.07 Natete-Rubaga-24h'!K55,'28.07 Natete-Rubaga'!K55)</f>
        <v>0</v>
      </c>
      <c r="L55" s="49">
        <f>AVERAGE('22.07 Natete-Rubaga'!L55,'23.07 Natete-Rubaga'!L55,'24.07 Natete-Rubaga'!L55,'25.07 Natete-Rubaga'!L55,'26.07 Natete-Rubaga-24h'!L55,'27.07 Natete-Rubaga-24h'!L55,'28.07 Natete-Rubaga'!L55)</f>
        <v>0</v>
      </c>
      <c r="M55" s="49">
        <f>AVERAGE('22.07 Natete-Rubaga'!M55,'23.07 Natete-Rubaga'!M55,'24.07 Natete-Rubaga'!M55,'25.07 Natete-Rubaga'!M55,'26.07 Natete-Rubaga-24h'!M55,'27.07 Natete-Rubaga-24h'!M55,'28.07 Natete-Rubaga'!M55)</f>
        <v>98.571428571428569</v>
      </c>
      <c r="N55" s="49">
        <f>AVERAGE('22.07 Natete-Rubaga'!N55,'23.07 Natete-Rubaga'!N55,'24.07 Natete-Rubaga'!N55,'25.07 Natete-Rubaga'!N55,'26.07 Natete-Rubaga-24h'!N55,'27.07 Natete-Rubaga-24h'!N55,'28.07 Natete-Rubaga'!N55)</f>
        <v>0</v>
      </c>
      <c r="O55" s="15">
        <f t="shared" si="0"/>
        <v>73.571428571428569</v>
      </c>
      <c r="P55" s="15">
        <f t="shared" si="1"/>
        <v>172.14285714285714</v>
      </c>
      <c r="R55" s="8"/>
      <c r="T55"/>
    </row>
    <row r="56" spans="2:20" ht="23.1" customHeight="1" x14ac:dyDescent="0.25">
      <c r="B56" s="23" t="s">
        <v>83</v>
      </c>
      <c r="C56" s="49">
        <f>AVERAGE('22.07 Natete-Rubaga'!C56,'23.07 Natete-Rubaga'!C56,'24.07 Natete-Rubaga'!C56,'25.07 Natete-Rubaga'!C56,'26.07 Natete-Rubaga-24h'!C56,'27.07 Natete-Rubaga-24h'!C56,'28.07 Natete-Rubaga'!C56)</f>
        <v>26.571428571428573</v>
      </c>
      <c r="D56" s="49">
        <f>AVERAGE('22.07 Natete-Rubaga'!D56,'23.07 Natete-Rubaga'!D56,'24.07 Natete-Rubaga'!D56,'25.07 Natete-Rubaga'!D56,'26.07 Natete-Rubaga-24h'!D56,'27.07 Natete-Rubaga-24h'!D56,'28.07 Natete-Rubaga'!D56)</f>
        <v>9.4285714285714288</v>
      </c>
      <c r="E56" s="49">
        <f>AVERAGE('22.07 Natete-Rubaga'!E56,'23.07 Natete-Rubaga'!E56,'24.07 Natete-Rubaga'!E56,'25.07 Natete-Rubaga'!E56,'26.07 Natete-Rubaga-24h'!E56,'27.07 Natete-Rubaga-24h'!E56,'28.07 Natete-Rubaga'!E56)</f>
        <v>3.7142857142857144</v>
      </c>
      <c r="F56" s="49">
        <f>AVERAGE('22.07 Natete-Rubaga'!F56,'23.07 Natete-Rubaga'!F56,'24.07 Natete-Rubaga'!F56,'25.07 Natete-Rubaga'!F56,'26.07 Natete-Rubaga-24h'!F56,'27.07 Natete-Rubaga-24h'!F56,'28.07 Natete-Rubaga'!F56)</f>
        <v>38.285714285714285</v>
      </c>
      <c r="G56" s="49">
        <f>AVERAGE('22.07 Natete-Rubaga'!G56,'23.07 Natete-Rubaga'!G56,'24.07 Natete-Rubaga'!G56,'25.07 Natete-Rubaga'!G56,'26.07 Natete-Rubaga-24h'!G56,'27.07 Natete-Rubaga-24h'!G56,'28.07 Natete-Rubaga'!G56)</f>
        <v>0.14285714285714285</v>
      </c>
      <c r="H56" s="49">
        <f>AVERAGE('22.07 Natete-Rubaga'!H56,'23.07 Natete-Rubaga'!H56,'24.07 Natete-Rubaga'!H56,'25.07 Natete-Rubaga'!H56,'26.07 Natete-Rubaga-24h'!H56,'27.07 Natete-Rubaga-24h'!H56,'28.07 Natete-Rubaga'!H56)</f>
        <v>1.1428571428571428</v>
      </c>
      <c r="I56" s="49">
        <f>AVERAGE('22.07 Natete-Rubaga'!I56,'23.07 Natete-Rubaga'!I56,'24.07 Natete-Rubaga'!I56,'25.07 Natete-Rubaga'!I56,'26.07 Natete-Rubaga-24h'!I56,'27.07 Natete-Rubaga-24h'!I56,'28.07 Natete-Rubaga'!I56)</f>
        <v>3.5714285714285716</v>
      </c>
      <c r="J56" s="49">
        <f>AVERAGE('22.07 Natete-Rubaga'!J56,'23.07 Natete-Rubaga'!J56,'24.07 Natete-Rubaga'!J56,'25.07 Natete-Rubaga'!J56,'26.07 Natete-Rubaga-24h'!J56,'27.07 Natete-Rubaga-24h'!J56,'28.07 Natete-Rubaga'!J56)</f>
        <v>0.8571428571428571</v>
      </c>
      <c r="K56" s="49">
        <f>AVERAGE('22.07 Natete-Rubaga'!K56,'23.07 Natete-Rubaga'!K56,'24.07 Natete-Rubaga'!K56,'25.07 Natete-Rubaga'!K56,'26.07 Natete-Rubaga-24h'!K56,'27.07 Natete-Rubaga-24h'!K56,'28.07 Natete-Rubaga'!K56)</f>
        <v>0.42857142857142855</v>
      </c>
      <c r="L56" s="49">
        <f>AVERAGE('22.07 Natete-Rubaga'!L56,'23.07 Natete-Rubaga'!L56,'24.07 Natete-Rubaga'!L56,'25.07 Natete-Rubaga'!L56,'26.07 Natete-Rubaga-24h'!L56,'27.07 Natete-Rubaga-24h'!L56,'28.07 Natete-Rubaga'!L56)</f>
        <v>0.14285714285714285</v>
      </c>
      <c r="M56" s="49">
        <f>AVERAGE('22.07 Natete-Rubaga'!M56,'23.07 Natete-Rubaga'!M56,'24.07 Natete-Rubaga'!M56,'25.07 Natete-Rubaga'!M56,'26.07 Natete-Rubaga-24h'!M56,'27.07 Natete-Rubaga-24h'!M56,'28.07 Natete-Rubaga'!M56)</f>
        <v>104.57142857142857</v>
      </c>
      <c r="N56" s="49">
        <f>AVERAGE('22.07 Natete-Rubaga'!N56,'23.07 Natete-Rubaga'!N56,'24.07 Natete-Rubaga'!N56,'25.07 Natete-Rubaga'!N56,'26.07 Natete-Rubaga-24h'!N56,'27.07 Natete-Rubaga-24h'!N56,'28.07 Natete-Rubaga'!N56)</f>
        <v>0</v>
      </c>
      <c r="O56" s="15">
        <f t="shared" si="0"/>
        <v>84.285714285714278</v>
      </c>
      <c r="P56" s="15">
        <f t="shared" si="1"/>
        <v>188.85714285714283</v>
      </c>
      <c r="R56" s="8"/>
      <c r="T56"/>
    </row>
    <row r="57" spans="2:20" ht="23.1" customHeight="1" x14ac:dyDescent="0.25">
      <c r="B57" s="23" t="s">
        <v>84</v>
      </c>
      <c r="C57" s="49">
        <f>AVERAGE('22.07 Natete-Rubaga'!C57,'23.07 Natete-Rubaga'!C57,'24.07 Natete-Rubaga'!C57,'25.07 Natete-Rubaga'!C57,'26.07 Natete-Rubaga-24h'!C57,'27.07 Natete-Rubaga-24h'!C57,'28.07 Natete-Rubaga'!C57)</f>
        <v>28.857142857142858</v>
      </c>
      <c r="D57" s="49">
        <f>AVERAGE('22.07 Natete-Rubaga'!D57,'23.07 Natete-Rubaga'!D57,'24.07 Natete-Rubaga'!D57,'25.07 Natete-Rubaga'!D57,'26.07 Natete-Rubaga-24h'!D57,'27.07 Natete-Rubaga-24h'!D57,'28.07 Natete-Rubaga'!D57)</f>
        <v>9.7142857142857135</v>
      </c>
      <c r="E57" s="49">
        <f>AVERAGE('22.07 Natete-Rubaga'!E57,'23.07 Natete-Rubaga'!E57,'24.07 Natete-Rubaga'!E57,'25.07 Natete-Rubaga'!E57,'26.07 Natete-Rubaga-24h'!E57,'27.07 Natete-Rubaga-24h'!E57,'28.07 Natete-Rubaga'!E57)</f>
        <v>4.1428571428571432</v>
      </c>
      <c r="F57" s="49">
        <f>AVERAGE('22.07 Natete-Rubaga'!F57,'23.07 Natete-Rubaga'!F57,'24.07 Natete-Rubaga'!F57,'25.07 Natete-Rubaga'!F57,'26.07 Natete-Rubaga-24h'!F57,'27.07 Natete-Rubaga-24h'!F57,'28.07 Natete-Rubaga'!F57)</f>
        <v>33.142857142857146</v>
      </c>
      <c r="G57" s="49">
        <f>AVERAGE('22.07 Natete-Rubaga'!G57,'23.07 Natete-Rubaga'!G57,'24.07 Natete-Rubaga'!G57,'25.07 Natete-Rubaga'!G57,'26.07 Natete-Rubaga-24h'!G57,'27.07 Natete-Rubaga-24h'!G57,'28.07 Natete-Rubaga'!G57)</f>
        <v>0.14285714285714285</v>
      </c>
      <c r="H57" s="49">
        <f>AVERAGE('22.07 Natete-Rubaga'!H57,'23.07 Natete-Rubaga'!H57,'24.07 Natete-Rubaga'!H57,'25.07 Natete-Rubaga'!H57,'26.07 Natete-Rubaga-24h'!H57,'27.07 Natete-Rubaga-24h'!H57,'28.07 Natete-Rubaga'!H57)</f>
        <v>2</v>
      </c>
      <c r="I57" s="49">
        <f>AVERAGE('22.07 Natete-Rubaga'!I57,'23.07 Natete-Rubaga'!I57,'24.07 Natete-Rubaga'!I57,'25.07 Natete-Rubaga'!I57,'26.07 Natete-Rubaga-24h'!I57,'27.07 Natete-Rubaga-24h'!I57,'28.07 Natete-Rubaga'!I57)</f>
        <v>1.7142857142857142</v>
      </c>
      <c r="J57" s="49">
        <f>AVERAGE('22.07 Natete-Rubaga'!J57,'23.07 Natete-Rubaga'!J57,'24.07 Natete-Rubaga'!J57,'25.07 Natete-Rubaga'!J57,'26.07 Natete-Rubaga-24h'!J57,'27.07 Natete-Rubaga-24h'!J57,'28.07 Natete-Rubaga'!J57)</f>
        <v>1.1428571428571428</v>
      </c>
      <c r="K57" s="49">
        <f>AVERAGE('22.07 Natete-Rubaga'!K57,'23.07 Natete-Rubaga'!K57,'24.07 Natete-Rubaga'!K57,'25.07 Natete-Rubaga'!K57,'26.07 Natete-Rubaga-24h'!K57,'27.07 Natete-Rubaga-24h'!K57,'28.07 Natete-Rubaga'!K57)</f>
        <v>0.42857142857142855</v>
      </c>
      <c r="L57" s="49">
        <f>AVERAGE('22.07 Natete-Rubaga'!L57,'23.07 Natete-Rubaga'!L57,'24.07 Natete-Rubaga'!L57,'25.07 Natete-Rubaga'!L57,'26.07 Natete-Rubaga-24h'!L57,'27.07 Natete-Rubaga-24h'!L57,'28.07 Natete-Rubaga'!L57)</f>
        <v>0</v>
      </c>
      <c r="M57" s="49">
        <f>AVERAGE('22.07 Natete-Rubaga'!M57,'23.07 Natete-Rubaga'!M57,'24.07 Natete-Rubaga'!M57,'25.07 Natete-Rubaga'!M57,'26.07 Natete-Rubaga-24h'!M57,'27.07 Natete-Rubaga-24h'!M57,'28.07 Natete-Rubaga'!M57)</f>
        <v>88.571428571428569</v>
      </c>
      <c r="N57" s="49">
        <f>AVERAGE('22.07 Natete-Rubaga'!N57,'23.07 Natete-Rubaga'!N57,'24.07 Natete-Rubaga'!N57,'25.07 Natete-Rubaga'!N57,'26.07 Natete-Rubaga-24h'!N57,'27.07 Natete-Rubaga-24h'!N57,'28.07 Natete-Rubaga'!N57)</f>
        <v>0</v>
      </c>
      <c r="O57" s="15">
        <f t="shared" si="0"/>
        <v>81.285714285714278</v>
      </c>
      <c r="P57" s="15">
        <f t="shared" si="1"/>
        <v>169.85714285714283</v>
      </c>
      <c r="R57" s="8"/>
      <c r="T57"/>
    </row>
    <row r="58" spans="2:20" ht="23.1" customHeight="1" x14ac:dyDescent="0.25">
      <c r="B58" s="23" t="s">
        <v>99</v>
      </c>
      <c r="C58" s="49">
        <f>AVERAGE('26.07 Natete-Rubaga-24h'!C58,'27.07 Natete-Rubaga-24h'!C58)</f>
        <v>100</v>
      </c>
      <c r="D58" s="49">
        <f>AVERAGE('26.07 Natete-Rubaga-24h'!D58,'27.07 Natete-Rubaga-24h'!D58)</f>
        <v>39.5</v>
      </c>
      <c r="E58" s="49">
        <f>AVERAGE('26.07 Natete-Rubaga-24h'!E58,'27.07 Natete-Rubaga-24h'!E58)</f>
        <v>24</v>
      </c>
      <c r="F58" s="49">
        <f>AVERAGE('26.07 Natete-Rubaga-24h'!F58,'27.07 Natete-Rubaga-24h'!F58)</f>
        <v>40</v>
      </c>
      <c r="G58" s="49">
        <f>AVERAGE('26.07 Natete-Rubaga-24h'!G58,'27.07 Natete-Rubaga-24h'!G58)</f>
        <v>7</v>
      </c>
      <c r="H58" s="49">
        <f>AVERAGE('26.07 Natete-Rubaga-24h'!H58,'27.07 Natete-Rubaga-24h'!H58)</f>
        <v>16.5</v>
      </c>
      <c r="I58" s="49">
        <f>AVERAGE('26.07 Natete-Rubaga-24h'!I58,'27.07 Natete-Rubaga-24h'!I58)</f>
        <v>11.5</v>
      </c>
      <c r="J58" s="49">
        <f>AVERAGE('26.07 Natete-Rubaga-24h'!J58,'27.07 Natete-Rubaga-24h'!J58)</f>
        <v>8.5</v>
      </c>
      <c r="K58" s="49">
        <f>AVERAGE('26.07 Natete-Rubaga-24h'!K58,'27.07 Natete-Rubaga-24h'!K58)</f>
        <v>5</v>
      </c>
      <c r="L58" s="49">
        <f>AVERAGE('26.07 Natete-Rubaga-24h'!L58,'27.07 Natete-Rubaga-24h'!L58)</f>
        <v>5</v>
      </c>
      <c r="M58" s="49">
        <f>AVERAGE('26.07 Natete-Rubaga-24h'!M58,'27.07 Natete-Rubaga-24h'!M58)</f>
        <v>182.5</v>
      </c>
      <c r="N58" s="49">
        <f>AVERAGE('26.07 Natete-Rubaga-24h'!N58,'27.07 Natete-Rubaga-24h'!N58)</f>
        <v>0</v>
      </c>
      <c r="O58" s="15">
        <f t="shared" si="0"/>
        <v>257</v>
      </c>
      <c r="P58" s="15">
        <f t="shared" si="1"/>
        <v>439.5</v>
      </c>
      <c r="R58" s="8"/>
      <c r="T58"/>
    </row>
    <row r="59" spans="2:20" ht="23.1" customHeight="1" x14ac:dyDescent="0.25">
      <c r="B59" s="23" t="s">
        <v>100</v>
      </c>
      <c r="C59" s="49">
        <f>AVERAGE('26.07 Natete-Rubaga-24h'!C59,'27.07 Natete-Rubaga-24h'!C59)</f>
        <v>65</v>
      </c>
      <c r="D59" s="49">
        <f>AVERAGE('26.07 Natete-Rubaga-24h'!D59,'27.07 Natete-Rubaga-24h'!D59)</f>
        <v>8</v>
      </c>
      <c r="E59" s="49">
        <f>AVERAGE('26.07 Natete-Rubaga-24h'!E59,'27.07 Natete-Rubaga-24h'!E59)</f>
        <v>11.5</v>
      </c>
      <c r="F59" s="49">
        <f>AVERAGE('26.07 Natete-Rubaga-24h'!F59,'27.07 Natete-Rubaga-24h'!F59)</f>
        <v>86.5</v>
      </c>
      <c r="G59" s="49">
        <f>AVERAGE('26.07 Natete-Rubaga-24h'!G59,'27.07 Natete-Rubaga-24h'!G59)</f>
        <v>2.5</v>
      </c>
      <c r="H59" s="49">
        <f>AVERAGE('26.07 Natete-Rubaga-24h'!H59,'27.07 Natete-Rubaga-24h'!H59)</f>
        <v>13</v>
      </c>
      <c r="I59" s="49">
        <f>AVERAGE('26.07 Natete-Rubaga-24h'!I59,'27.07 Natete-Rubaga-24h'!I59)</f>
        <v>6</v>
      </c>
      <c r="J59" s="49">
        <f>AVERAGE('26.07 Natete-Rubaga-24h'!J59,'27.07 Natete-Rubaga-24h'!J59)</f>
        <v>3</v>
      </c>
      <c r="K59" s="49">
        <f>AVERAGE('26.07 Natete-Rubaga-24h'!K59,'27.07 Natete-Rubaga-24h'!K59)</f>
        <v>2.5</v>
      </c>
      <c r="L59" s="49">
        <f>AVERAGE('26.07 Natete-Rubaga-24h'!L59,'27.07 Natete-Rubaga-24h'!L59)</f>
        <v>10</v>
      </c>
      <c r="M59" s="49">
        <f>AVERAGE('26.07 Natete-Rubaga-24h'!M59,'27.07 Natete-Rubaga-24h'!M59)</f>
        <v>195</v>
      </c>
      <c r="N59" s="49">
        <f>AVERAGE('26.07 Natete-Rubaga-24h'!N59,'27.07 Natete-Rubaga-24h'!N59)</f>
        <v>0</v>
      </c>
      <c r="O59" s="15">
        <f t="shared" si="0"/>
        <v>208</v>
      </c>
      <c r="P59" s="15">
        <f t="shared" si="1"/>
        <v>403</v>
      </c>
      <c r="R59" s="8"/>
      <c r="T59"/>
    </row>
    <row r="60" spans="2:20" ht="23.1" customHeight="1" x14ac:dyDescent="0.25">
      <c r="B60" s="23" t="s">
        <v>101</v>
      </c>
      <c r="C60" s="49">
        <f>AVERAGE('26.07 Natete-Rubaga-24h'!C60,'27.07 Natete-Rubaga-24h'!C60)</f>
        <v>97.5</v>
      </c>
      <c r="D60" s="49">
        <f>AVERAGE('26.07 Natete-Rubaga-24h'!D60,'27.07 Natete-Rubaga-24h'!D60)</f>
        <v>47.5</v>
      </c>
      <c r="E60" s="49">
        <f>AVERAGE('26.07 Natete-Rubaga-24h'!E60,'27.07 Natete-Rubaga-24h'!E60)</f>
        <v>45.5</v>
      </c>
      <c r="F60" s="49">
        <f>AVERAGE('26.07 Natete-Rubaga-24h'!F60,'27.07 Natete-Rubaga-24h'!F60)</f>
        <v>92.5</v>
      </c>
      <c r="G60" s="49">
        <f>AVERAGE('26.07 Natete-Rubaga-24h'!G60,'27.07 Natete-Rubaga-24h'!G60)</f>
        <v>8</v>
      </c>
      <c r="H60" s="49">
        <f>AVERAGE('26.07 Natete-Rubaga-24h'!H60,'27.07 Natete-Rubaga-24h'!H60)</f>
        <v>6</v>
      </c>
      <c r="I60" s="49">
        <f>AVERAGE('26.07 Natete-Rubaga-24h'!I60,'27.07 Natete-Rubaga-24h'!I60)</f>
        <v>13</v>
      </c>
      <c r="J60" s="49">
        <f>AVERAGE('26.07 Natete-Rubaga-24h'!J60,'27.07 Natete-Rubaga-24h'!J60)</f>
        <v>18.5</v>
      </c>
      <c r="K60" s="49">
        <f>AVERAGE('26.07 Natete-Rubaga-24h'!K60,'27.07 Natete-Rubaga-24h'!K60)</f>
        <v>10</v>
      </c>
      <c r="L60" s="49">
        <f>AVERAGE('26.07 Natete-Rubaga-24h'!L60,'27.07 Natete-Rubaga-24h'!L60)</f>
        <v>20</v>
      </c>
      <c r="M60" s="49">
        <f>AVERAGE('26.07 Natete-Rubaga-24h'!M60,'27.07 Natete-Rubaga-24h'!M60)</f>
        <v>187.5</v>
      </c>
      <c r="N60" s="49">
        <f>AVERAGE('26.07 Natete-Rubaga-24h'!N60,'27.07 Natete-Rubaga-24h'!N60)</f>
        <v>0</v>
      </c>
      <c r="O60" s="15">
        <f t="shared" si="0"/>
        <v>358.5</v>
      </c>
      <c r="P60" s="15">
        <f t="shared" si="1"/>
        <v>546</v>
      </c>
      <c r="R60" s="8"/>
      <c r="T60"/>
    </row>
    <row r="61" spans="2:20" ht="23.1" customHeight="1" x14ac:dyDescent="0.25">
      <c r="B61" s="23" t="s">
        <v>102</v>
      </c>
      <c r="C61" s="49">
        <f>AVERAGE('26.07 Natete-Rubaga-24h'!C61,'27.07 Natete-Rubaga-24h'!C61)</f>
        <v>95</v>
      </c>
      <c r="D61" s="49">
        <f>AVERAGE('26.07 Natete-Rubaga-24h'!D61,'27.07 Natete-Rubaga-24h'!D61)</f>
        <v>46.5</v>
      </c>
      <c r="E61" s="49">
        <f>AVERAGE('26.07 Natete-Rubaga-24h'!E61,'27.07 Natete-Rubaga-24h'!E61)</f>
        <v>33.5</v>
      </c>
      <c r="F61" s="49">
        <f>AVERAGE('26.07 Natete-Rubaga-24h'!F61,'27.07 Natete-Rubaga-24h'!F61)</f>
        <v>92.5</v>
      </c>
      <c r="G61" s="49">
        <f>AVERAGE('26.07 Natete-Rubaga-24h'!G61,'27.07 Natete-Rubaga-24h'!G61)</f>
        <v>13</v>
      </c>
      <c r="H61" s="49">
        <f>AVERAGE('26.07 Natete-Rubaga-24h'!H61,'27.07 Natete-Rubaga-24h'!H61)</f>
        <v>7.5</v>
      </c>
      <c r="I61" s="49">
        <f>AVERAGE('26.07 Natete-Rubaga-24h'!I61,'27.07 Natete-Rubaga-24h'!I61)</f>
        <v>3</v>
      </c>
      <c r="J61" s="49">
        <f>AVERAGE('26.07 Natete-Rubaga-24h'!J61,'27.07 Natete-Rubaga-24h'!J61)</f>
        <v>18.5</v>
      </c>
      <c r="K61" s="49">
        <f>AVERAGE('26.07 Natete-Rubaga-24h'!K61,'27.07 Natete-Rubaga-24h'!K61)</f>
        <v>15</v>
      </c>
      <c r="L61" s="49">
        <f>AVERAGE('26.07 Natete-Rubaga-24h'!L61,'27.07 Natete-Rubaga-24h'!L61)</f>
        <v>7.5</v>
      </c>
      <c r="M61" s="49">
        <f>AVERAGE('26.07 Natete-Rubaga-24h'!M61,'27.07 Natete-Rubaga-24h'!M61)</f>
        <v>222.5</v>
      </c>
      <c r="N61" s="49">
        <f>AVERAGE('26.07 Natete-Rubaga-24h'!N61,'27.07 Natete-Rubaga-24h'!N61)</f>
        <v>0</v>
      </c>
      <c r="O61" s="15">
        <f t="shared" si="0"/>
        <v>332</v>
      </c>
      <c r="P61" s="15">
        <f t="shared" si="1"/>
        <v>554.5</v>
      </c>
      <c r="R61" s="8"/>
      <c r="T61"/>
    </row>
    <row r="62" spans="2:20" ht="23.1" customHeight="1" x14ac:dyDescent="0.25">
      <c r="B62" s="23" t="s">
        <v>107</v>
      </c>
      <c r="C62" s="49">
        <f>AVERAGE('26.07 Natete-Rubaga-24h'!C62,'27.07 Natete-Rubaga-24h'!C62)</f>
        <v>62.5</v>
      </c>
      <c r="D62" s="49">
        <f>AVERAGE('26.07 Natete-Rubaga-24h'!D62,'27.07 Natete-Rubaga-24h'!D62)</f>
        <v>10.5</v>
      </c>
      <c r="E62" s="49">
        <f>AVERAGE('26.07 Natete-Rubaga-24h'!E62,'27.07 Natete-Rubaga-24h'!E62)</f>
        <v>10.5</v>
      </c>
      <c r="F62" s="49">
        <f>AVERAGE('26.07 Natete-Rubaga-24h'!F62,'27.07 Natete-Rubaga-24h'!F62)</f>
        <v>72.5</v>
      </c>
      <c r="G62" s="49">
        <f>AVERAGE('26.07 Natete-Rubaga-24h'!G62,'27.07 Natete-Rubaga-24h'!G62)</f>
        <v>3</v>
      </c>
      <c r="H62" s="49">
        <f>AVERAGE('26.07 Natete-Rubaga-24h'!H62,'27.07 Natete-Rubaga-24h'!H62)</f>
        <v>2</v>
      </c>
      <c r="I62" s="49">
        <f>AVERAGE('26.07 Natete-Rubaga-24h'!I62,'27.07 Natete-Rubaga-24h'!I62)</f>
        <v>4</v>
      </c>
      <c r="J62" s="49">
        <f>AVERAGE('26.07 Natete-Rubaga-24h'!J62,'27.07 Natete-Rubaga-24h'!J62)</f>
        <v>2</v>
      </c>
      <c r="K62" s="49">
        <f>AVERAGE('26.07 Natete-Rubaga-24h'!K62,'27.07 Natete-Rubaga-24h'!K62)</f>
        <v>3.5</v>
      </c>
      <c r="L62" s="49">
        <f>AVERAGE('26.07 Natete-Rubaga-24h'!L62,'27.07 Natete-Rubaga-24h'!L62)</f>
        <v>4</v>
      </c>
      <c r="M62" s="49">
        <f>AVERAGE('26.07 Natete-Rubaga-24h'!M62,'27.07 Natete-Rubaga-24h'!M62)</f>
        <v>225</v>
      </c>
      <c r="N62" s="49">
        <f>AVERAGE('26.07 Natete-Rubaga-24h'!N62,'27.07 Natete-Rubaga-24h'!N62)</f>
        <v>0</v>
      </c>
      <c r="O62" s="15">
        <f t="shared" si="0"/>
        <v>174.5</v>
      </c>
      <c r="P62" s="15">
        <f t="shared" si="1"/>
        <v>399.5</v>
      </c>
      <c r="R62" s="8"/>
      <c r="T62"/>
    </row>
    <row r="63" spans="2:20" ht="23.1" customHeight="1" x14ac:dyDescent="0.25">
      <c r="B63" s="23" t="s">
        <v>108</v>
      </c>
      <c r="C63" s="49">
        <f>AVERAGE('26.07 Natete-Rubaga-24h'!C63,'27.07 Natete-Rubaga-24h'!C63)</f>
        <v>72.5</v>
      </c>
      <c r="D63" s="49">
        <f>AVERAGE('26.07 Natete-Rubaga-24h'!D63,'27.07 Natete-Rubaga-24h'!D63)</f>
        <v>4.5</v>
      </c>
      <c r="E63" s="49">
        <f>AVERAGE('26.07 Natete-Rubaga-24h'!E63,'27.07 Natete-Rubaga-24h'!E63)</f>
        <v>5</v>
      </c>
      <c r="F63" s="49">
        <f>AVERAGE('26.07 Natete-Rubaga-24h'!F63,'27.07 Natete-Rubaga-24h'!F63)</f>
        <v>67.5</v>
      </c>
      <c r="G63" s="49">
        <f>AVERAGE('26.07 Natete-Rubaga-24h'!G63,'27.07 Natete-Rubaga-24h'!G63)</f>
        <v>0.5</v>
      </c>
      <c r="H63" s="49">
        <f>AVERAGE('26.07 Natete-Rubaga-24h'!H63,'27.07 Natete-Rubaga-24h'!H63)</f>
        <v>2.5</v>
      </c>
      <c r="I63" s="49">
        <f>AVERAGE('26.07 Natete-Rubaga-24h'!I63,'27.07 Natete-Rubaga-24h'!I63)</f>
        <v>1.5</v>
      </c>
      <c r="J63" s="49">
        <f>AVERAGE('26.07 Natete-Rubaga-24h'!J63,'27.07 Natete-Rubaga-24h'!J63)</f>
        <v>3</v>
      </c>
      <c r="K63" s="49">
        <f>AVERAGE('26.07 Natete-Rubaga-24h'!K63,'27.07 Natete-Rubaga-24h'!K63)</f>
        <v>1</v>
      </c>
      <c r="L63" s="49">
        <f>AVERAGE('26.07 Natete-Rubaga-24h'!L63,'27.07 Natete-Rubaga-24h'!L63)</f>
        <v>0.5</v>
      </c>
      <c r="M63" s="49">
        <f>AVERAGE('26.07 Natete-Rubaga-24h'!M63,'27.07 Natete-Rubaga-24h'!M63)</f>
        <v>245</v>
      </c>
      <c r="N63" s="49">
        <f>AVERAGE('26.07 Natete-Rubaga-24h'!N63,'27.07 Natete-Rubaga-24h'!N63)</f>
        <v>0</v>
      </c>
      <c r="O63" s="15">
        <f t="shared" si="0"/>
        <v>158.5</v>
      </c>
      <c r="P63" s="15">
        <f t="shared" si="1"/>
        <v>403.5</v>
      </c>
      <c r="R63" s="8"/>
      <c r="T63"/>
    </row>
    <row r="64" spans="2:20" ht="23.1" customHeight="1" x14ac:dyDescent="0.25">
      <c r="B64" s="23" t="s">
        <v>109</v>
      </c>
      <c r="C64" s="49">
        <f>AVERAGE('26.07 Natete-Rubaga-24h'!C64,'27.07 Natete-Rubaga-24h'!C64)</f>
        <v>90</v>
      </c>
      <c r="D64" s="49">
        <f>AVERAGE('26.07 Natete-Rubaga-24h'!D64,'27.07 Natete-Rubaga-24h'!D64)</f>
        <v>14.5</v>
      </c>
      <c r="E64" s="49">
        <f>AVERAGE('26.07 Natete-Rubaga-24h'!E64,'27.07 Natete-Rubaga-24h'!E64)</f>
        <v>11.5</v>
      </c>
      <c r="F64" s="49">
        <f>AVERAGE('26.07 Natete-Rubaga-24h'!F64,'27.07 Natete-Rubaga-24h'!F64)</f>
        <v>42.5</v>
      </c>
      <c r="G64" s="49">
        <f>AVERAGE('26.07 Natete-Rubaga-24h'!G64,'27.07 Natete-Rubaga-24h'!G64)</f>
        <v>10.5</v>
      </c>
      <c r="H64" s="49">
        <f>AVERAGE('26.07 Natete-Rubaga-24h'!H64,'27.07 Natete-Rubaga-24h'!H64)</f>
        <v>2.5</v>
      </c>
      <c r="I64" s="49">
        <f>AVERAGE('26.07 Natete-Rubaga-24h'!I64,'27.07 Natete-Rubaga-24h'!I64)</f>
        <v>4.5</v>
      </c>
      <c r="J64" s="49">
        <f>AVERAGE('26.07 Natete-Rubaga-24h'!J64,'27.07 Natete-Rubaga-24h'!J64)</f>
        <v>5.5</v>
      </c>
      <c r="K64" s="49">
        <f>AVERAGE('26.07 Natete-Rubaga-24h'!K64,'27.07 Natete-Rubaga-24h'!K64)</f>
        <v>0.5</v>
      </c>
      <c r="L64" s="49">
        <f>AVERAGE('26.07 Natete-Rubaga-24h'!L64,'27.07 Natete-Rubaga-24h'!L64)</f>
        <v>2.5</v>
      </c>
      <c r="M64" s="49">
        <f>AVERAGE('26.07 Natete-Rubaga-24h'!M64,'27.07 Natete-Rubaga-24h'!M64)</f>
        <v>185</v>
      </c>
      <c r="N64" s="49">
        <f>AVERAGE('26.07 Natete-Rubaga-24h'!N64,'27.07 Natete-Rubaga-24h'!N64)</f>
        <v>0</v>
      </c>
      <c r="O64" s="15">
        <f t="shared" si="0"/>
        <v>184.5</v>
      </c>
      <c r="P64" s="15">
        <f t="shared" si="1"/>
        <v>369.5</v>
      </c>
      <c r="R64" s="8"/>
      <c r="T64"/>
    </row>
    <row r="65" spans="2:20" ht="23.1" customHeight="1" x14ac:dyDescent="0.25">
      <c r="B65" s="23" t="s">
        <v>158</v>
      </c>
      <c r="C65" s="49">
        <f>AVERAGE('26.07 Natete-Rubaga-24h'!C65,'27.07 Natete-Rubaga-24h'!C65)</f>
        <v>76</v>
      </c>
      <c r="D65" s="49">
        <f>AVERAGE('26.07 Natete-Rubaga-24h'!D65,'27.07 Natete-Rubaga-24h'!D65)</f>
        <v>10</v>
      </c>
      <c r="E65" s="49">
        <f>AVERAGE('26.07 Natete-Rubaga-24h'!E65,'27.07 Natete-Rubaga-24h'!E65)</f>
        <v>6.5</v>
      </c>
      <c r="F65" s="49">
        <f>AVERAGE('26.07 Natete-Rubaga-24h'!F65,'27.07 Natete-Rubaga-24h'!F65)</f>
        <v>50</v>
      </c>
      <c r="G65" s="49">
        <f>AVERAGE('26.07 Natete-Rubaga-24h'!G65,'27.07 Natete-Rubaga-24h'!G65)</f>
        <v>4.5</v>
      </c>
      <c r="H65" s="49">
        <f>AVERAGE('26.07 Natete-Rubaga-24h'!H65,'27.07 Natete-Rubaga-24h'!H65)</f>
        <v>2</v>
      </c>
      <c r="I65" s="49">
        <f>AVERAGE('26.07 Natete-Rubaga-24h'!I65,'27.07 Natete-Rubaga-24h'!I65)</f>
        <v>4</v>
      </c>
      <c r="J65" s="49">
        <f>AVERAGE('26.07 Natete-Rubaga-24h'!J65,'27.07 Natete-Rubaga-24h'!J65)</f>
        <v>0.5</v>
      </c>
      <c r="K65" s="49">
        <f>AVERAGE('26.07 Natete-Rubaga-24h'!K65,'27.07 Natete-Rubaga-24h'!K65)</f>
        <v>1.5</v>
      </c>
      <c r="L65" s="49">
        <f>AVERAGE('26.07 Natete-Rubaga-24h'!L65,'27.07 Natete-Rubaga-24h'!L65)</f>
        <v>0.5</v>
      </c>
      <c r="M65" s="49">
        <f>AVERAGE('26.07 Natete-Rubaga-24h'!M65,'27.07 Natete-Rubaga-24h'!M65)</f>
        <v>245</v>
      </c>
      <c r="N65" s="49">
        <f>AVERAGE('26.07 Natete-Rubaga-24h'!N65,'27.07 Natete-Rubaga-24h'!N65)</f>
        <v>0</v>
      </c>
      <c r="O65" s="15">
        <f t="shared" si="0"/>
        <v>155.5</v>
      </c>
      <c r="P65" s="15">
        <f t="shared" si="1"/>
        <v>400.5</v>
      </c>
      <c r="R65" s="8"/>
      <c r="T65"/>
    </row>
    <row r="66" spans="2:20" ht="23.1" customHeight="1" x14ac:dyDescent="0.25">
      <c r="B66" s="23" t="s">
        <v>103</v>
      </c>
      <c r="C66" s="49">
        <f>AVERAGE('26.07 Natete-Rubaga-24h'!C66,'27.07 Natete-Rubaga-24h'!C66)</f>
        <v>87.5</v>
      </c>
      <c r="D66" s="49">
        <f>AVERAGE('26.07 Natete-Rubaga-24h'!D66,'27.07 Natete-Rubaga-24h'!D66)</f>
        <v>4.5</v>
      </c>
      <c r="E66" s="49">
        <f>AVERAGE('26.07 Natete-Rubaga-24h'!E66,'27.07 Natete-Rubaga-24h'!E66)</f>
        <v>3</v>
      </c>
      <c r="F66" s="49">
        <f>AVERAGE('26.07 Natete-Rubaga-24h'!F66,'27.07 Natete-Rubaga-24h'!F66)</f>
        <v>65</v>
      </c>
      <c r="G66" s="49">
        <f>AVERAGE('26.07 Natete-Rubaga-24h'!G66,'27.07 Natete-Rubaga-24h'!G66)</f>
        <v>2.5</v>
      </c>
      <c r="H66" s="49">
        <f>AVERAGE('26.07 Natete-Rubaga-24h'!H66,'27.07 Natete-Rubaga-24h'!H66)</f>
        <v>3</v>
      </c>
      <c r="I66" s="49">
        <f>AVERAGE('26.07 Natete-Rubaga-24h'!I66,'27.07 Natete-Rubaga-24h'!I66)</f>
        <v>3.5</v>
      </c>
      <c r="J66" s="49">
        <f>AVERAGE('26.07 Natete-Rubaga-24h'!J66,'27.07 Natete-Rubaga-24h'!J66)</f>
        <v>3</v>
      </c>
      <c r="K66" s="49">
        <f>AVERAGE('26.07 Natete-Rubaga-24h'!K66,'27.07 Natete-Rubaga-24h'!K66)</f>
        <v>0.5</v>
      </c>
      <c r="L66" s="49">
        <f>AVERAGE('26.07 Natete-Rubaga-24h'!L66,'27.07 Natete-Rubaga-24h'!L66)</f>
        <v>2.5</v>
      </c>
      <c r="M66" s="49">
        <f>AVERAGE('26.07 Natete-Rubaga-24h'!M66,'27.07 Natete-Rubaga-24h'!M66)</f>
        <v>200</v>
      </c>
      <c r="N66" s="49">
        <f>AVERAGE('26.07 Natete-Rubaga-24h'!N66,'27.07 Natete-Rubaga-24h'!N66)</f>
        <v>0</v>
      </c>
      <c r="O66" s="15">
        <f t="shared" si="0"/>
        <v>175</v>
      </c>
      <c r="P66" s="15">
        <f t="shared" si="1"/>
        <v>375</v>
      </c>
      <c r="R66" s="8"/>
      <c r="T66"/>
    </row>
    <row r="67" spans="2:20" ht="23.1" customHeight="1" x14ac:dyDescent="0.25">
      <c r="B67" s="23" t="s">
        <v>104</v>
      </c>
      <c r="C67" s="49">
        <f>AVERAGE('26.07 Natete-Rubaga-24h'!C67,'27.07 Natete-Rubaga-24h'!C67)</f>
        <v>37</v>
      </c>
      <c r="D67" s="49">
        <f>AVERAGE('26.07 Natete-Rubaga-24h'!D67,'27.07 Natete-Rubaga-24h'!D67)</f>
        <v>3</v>
      </c>
      <c r="E67" s="49">
        <f>AVERAGE('26.07 Natete-Rubaga-24h'!E67,'27.07 Natete-Rubaga-24h'!E67)</f>
        <v>3</v>
      </c>
      <c r="F67" s="49">
        <f>AVERAGE('26.07 Natete-Rubaga-24h'!F67,'27.07 Natete-Rubaga-24h'!F67)</f>
        <v>20.5</v>
      </c>
      <c r="G67" s="49">
        <f>AVERAGE('26.07 Natete-Rubaga-24h'!G67,'27.07 Natete-Rubaga-24h'!G67)</f>
        <v>2.5</v>
      </c>
      <c r="H67" s="49">
        <f>AVERAGE('26.07 Natete-Rubaga-24h'!H67,'27.07 Natete-Rubaga-24h'!H67)</f>
        <v>6</v>
      </c>
      <c r="I67" s="49">
        <f>AVERAGE('26.07 Natete-Rubaga-24h'!I67,'27.07 Natete-Rubaga-24h'!I67)</f>
        <v>8</v>
      </c>
      <c r="J67" s="49">
        <f>AVERAGE('26.07 Natete-Rubaga-24h'!J67,'27.07 Natete-Rubaga-24h'!J67)</f>
        <v>3.5</v>
      </c>
      <c r="K67" s="49">
        <f>AVERAGE('26.07 Natete-Rubaga-24h'!K67,'27.07 Natete-Rubaga-24h'!K67)</f>
        <v>1.5</v>
      </c>
      <c r="L67" s="49">
        <f>AVERAGE('26.07 Natete-Rubaga-24h'!L67,'27.07 Natete-Rubaga-24h'!L67)</f>
        <v>3.5</v>
      </c>
      <c r="M67" s="49">
        <f>AVERAGE('26.07 Natete-Rubaga-24h'!M67,'27.07 Natete-Rubaga-24h'!M67)</f>
        <v>180</v>
      </c>
      <c r="N67" s="49">
        <f>AVERAGE('26.07 Natete-Rubaga-24h'!N67,'27.07 Natete-Rubaga-24h'!N67)</f>
        <v>0</v>
      </c>
      <c r="O67" s="15">
        <f t="shared" si="0"/>
        <v>88.5</v>
      </c>
      <c r="P67" s="15">
        <f t="shared" si="1"/>
        <v>268.5</v>
      </c>
      <c r="R67" s="8"/>
      <c r="T67"/>
    </row>
    <row r="68" spans="2:20" ht="23.1" customHeight="1" x14ac:dyDescent="0.25">
      <c r="B68" s="23" t="s">
        <v>105</v>
      </c>
      <c r="C68" s="49">
        <f>AVERAGE('26.07 Natete-Rubaga-24h'!C68,'27.07 Natete-Rubaga-24h'!C68)</f>
        <v>70</v>
      </c>
      <c r="D68" s="49">
        <f>AVERAGE('26.07 Natete-Rubaga-24h'!D68,'27.07 Natete-Rubaga-24h'!D68)</f>
        <v>4</v>
      </c>
      <c r="E68" s="49">
        <f>AVERAGE('26.07 Natete-Rubaga-24h'!E68,'27.07 Natete-Rubaga-24h'!E68)</f>
        <v>2</v>
      </c>
      <c r="F68" s="49">
        <f>AVERAGE('26.07 Natete-Rubaga-24h'!F68,'27.07 Natete-Rubaga-24h'!F68)</f>
        <v>3.5</v>
      </c>
      <c r="G68" s="49">
        <f>AVERAGE('26.07 Natete-Rubaga-24h'!G68,'27.07 Natete-Rubaga-24h'!G68)</f>
        <v>0.5</v>
      </c>
      <c r="H68" s="49">
        <f>AVERAGE('26.07 Natete-Rubaga-24h'!H68,'27.07 Natete-Rubaga-24h'!H68)</f>
        <v>2.5</v>
      </c>
      <c r="I68" s="49">
        <f>AVERAGE('26.07 Natete-Rubaga-24h'!I68,'27.07 Natete-Rubaga-24h'!I68)</f>
        <v>2.5</v>
      </c>
      <c r="J68" s="49">
        <f>AVERAGE('26.07 Natete-Rubaga-24h'!J68,'27.07 Natete-Rubaga-24h'!J68)</f>
        <v>4</v>
      </c>
      <c r="K68" s="49">
        <f>AVERAGE('26.07 Natete-Rubaga-24h'!K68,'27.07 Natete-Rubaga-24h'!K68)</f>
        <v>1</v>
      </c>
      <c r="L68" s="49">
        <f>AVERAGE('26.07 Natete-Rubaga-24h'!L68,'27.07 Natete-Rubaga-24h'!L68)</f>
        <v>3.5</v>
      </c>
      <c r="M68" s="49">
        <f>AVERAGE('26.07 Natete-Rubaga-24h'!M68,'27.07 Natete-Rubaga-24h'!M68)</f>
        <v>145</v>
      </c>
      <c r="N68" s="49">
        <f>AVERAGE('26.07 Natete-Rubaga-24h'!N68,'27.07 Natete-Rubaga-24h'!N68)</f>
        <v>0</v>
      </c>
      <c r="O68" s="15">
        <f t="shared" si="0"/>
        <v>93.5</v>
      </c>
      <c r="P68" s="15">
        <f t="shared" si="1"/>
        <v>238.5</v>
      </c>
      <c r="R68" s="8"/>
      <c r="T68"/>
    </row>
    <row r="69" spans="2:20" ht="23.1" customHeight="1" x14ac:dyDescent="0.25">
      <c r="B69" s="23" t="s">
        <v>106</v>
      </c>
      <c r="C69" s="49">
        <f>AVERAGE('26.07 Natete-Rubaga-24h'!C69,'27.07 Natete-Rubaga-24h'!C69)</f>
        <v>54.5</v>
      </c>
      <c r="D69" s="49">
        <f>AVERAGE('26.07 Natete-Rubaga-24h'!D69,'27.07 Natete-Rubaga-24h'!D69)</f>
        <v>12</v>
      </c>
      <c r="E69" s="49">
        <f>AVERAGE('26.07 Natete-Rubaga-24h'!E69,'27.07 Natete-Rubaga-24h'!E69)</f>
        <v>6.5</v>
      </c>
      <c r="F69" s="49">
        <f>AVERAGE('26.07 Natete-Rubaga-24h'!F69,'27.07 Natete-Rubaga-24h'!F69)</f>
        <v>32.5</v>
      </c>
      <c r="G69" s="49">
        <f>AVERAGE('26.07 Natete-Rubaga-24h'!G69,'27.07 Natete-Rubaga-24h'!G69)</f>
        <v>3.5</v>
      </c>
      <c r="H69" s="49">
        <f>AVERAGE('26.07 Natete-Rubaga-24h'!H69,'27.07 Natete-Rubaga-24h'!H69)</f>
        <v>2.5</v>
      </c>
      <c r="I69" s="49">
        <f>AVERAGE('26.07 Natete-Rubaga-24h'!I69,'27.07 Natete-Rubaga-24h'!I69)</f>
        <v>7</v>
      </c>
      <c r="J69" s="49">
        <f>AVERAGE('26.07 Natete-Rubaga-24h'!J69,'27.07 Natete-Rubaga-24h'!J69)</f>
        <v>5.5</v>
      </c>
      <c r="K69" s="49">
        <f>AVERAGE('26.07 Natete-Rubaga-24h'!K69,'27.07 Natete-Rubaga-24h'!K69)</f>
        <v>0.5</v>
      </c>
      <c r="L69" s="49">
        <f>AVERAGE('26.07 Natete-Rubaga-24h'!L69,'27.07 Natete-Rubaga-24h'!L69)</f>
        <v>5.5</v>
      </c>
      <c r="M69" s="49">
        <f>AVERAGE('26.07 Natete-Rubaga-24h'!M69,'27.07 Natete-Rubaga-24h'!M69)</f>
        <v>122.5</v>
      </c>
      <c r="N69" s="49">
        <f>AVERAGE('26.07 Natete-Rubaga-24h'!N69,'27.07 Natete-Rubaga-24h'!N69)</f>
        <v>0</v>
      </c>
      <c r="O69" s="15">
        <f t="shared" si="0"/>
        <v>130</v>
      </c>
      <c r="P69" s="15">
        <f t="shared" si="1"/>
        <v>252.5</v>
      </c>
      <c r="R69" s="8"/>
      <c r="T69"/>
    </row>
    <row r="70" spans="2:20" ht="23.1" customHeight="1" x14ac:dyDescent="0.25">
      <c r="B70" s="23" t="s">
        <v>110</v>
      </c>
      <c r="C70" s="49">
        <f>AVERAGE('26.07 Natete-Rubaga-24h'!C70,'27.07 Natete-Rubaga-24h'!C70)</f>
        <v>41</v>
      </c>
      <c r="D70" s="49">
        <f>AVERAGE('26.07 Natete-Rubaga-24h'!D70,'27.07 Natete-Rubaga-24h'!D70)</f>
        <v>10.5</v>
      </c>
      <c r="E70" s="49">
        <f>AVERAGE('26.07 Natete-Rubaga-24h'!E70,'27.07 Natete-Rubaga-24h'!E70)</f>
        <v>6</v>
      </c>
      <c r="F70" s="49">
        <f>AVERAGE('26.07 Natete-Rubaga-24h'!F70,'27.07 Natete-Rubaga-24h'!F70)</f>
        <v>42</v>
      </c>
      <c r="G70" s="49">
        <f>AVERAGE('26.07 Natete-Rubaga-24h'!G70,'27.07 Natete-Rubaga-24h'!G70)</f>
        <v>2</v>
      </c>
      <c r="H70" s="49">
        <f>AVERAGE('26.07 Natete-Rubaga-24h'!H70,'27.07 Natete-Rubaga-24h'!H70)</f>
        <v>3.5</v>
      </c>
      <c r="I70" s="49">
        <f>AVERAGE('26.07 Natete-Rubaga-24h'!I70,'27.07 Natete-Rubaga-24h'!I70)</f>
        <v>2.5</v>
      </c>
      <c r="J70" s="49">
        <f>AVERAGE('26.07 Natete-Rubaga-24h'!J70,'27.07 Natete-Rubaga-24h'!J70)</f>
        <v>2</v>
      </c>
      <c r="K70" s="49">
        <f>AVERAGE('26.07 Natete-Rubaga-24h'!K70,'27.07 Natete-Rubaga-24h'!K70)</f>
        <v>3.5</v>
      </c>
      <c r="L70" s="49">
        <f>AVERAGE('26.07 Natete-Rubaga-24h'!L70,'27.07 Natete-Rubaga-24h'!L70)</f>
        <v>4</v>
      </c>
      <c r="M70" s="49">
        <f>AVERAGE('26.07 Natete-Rubaga-24h'!M70,'27.07 Natete-Rubaga-24h'!M70)</f>
        <v>112.5</v>
      </c>
      <c r="N70" s="49">
        <f>AVERAGE('26.07 Natete-Rubaga-24h'!N70,'27.07 Natete-Rubaga-24h'!N70)</f>
        <v>0</v>
      </c>
      <c r="O70" s="15">
        <f t="shared" si="0"/>
        <v>117</v>
      </c>
      <c r="P70" s="15">
        <f t="shared" si="1"/>
        <v>229.5</v>
      </c>
      <c r="R70" s="8"/>
      <c r="T70"/>
    </row>
    <row r="71" spans="2:20" ht="23.1" customHeight="1" x14ac:dyDescent="0.25">
      <c r="B71" s="23" t="s">
        <v>111</v>
      </c>
      <c r="C71" s="49">
        <f>AVERAGE('26.07 Natete-Rubaga-24h'!C71,'27.07 Natete-Rubaga-24h'!C71)</f>
        <v>55</v>
      </c>
      <c r="D71" s="49">
        <f>AVERAGE('26.07 Natete-Rubaga-24h'!D71,'27.07 Natete-Rubaga-24h'!D71)</f>
        <v>17</v>
      </c>
      <c r="E71" s="49">
        <f>AVERAGE('26.07 Natete-Rubaga-24h'!E71,'27.07 Natete-Rubaga-24h'!E71)</f>
        <v>16.5</v>
      </c>
      <c r="F71" s="49">
        <f>AVERAGE('26.07 Natete-Rubaga-24h'!F71,'27.07 Natete-Rubaga-24h'!F71)</f>
        <v>45.5</v>
      </c>
      <c r="G71" s="49">
        <f>AVERAGE('26.07 Natete-Rubaga-24h'!G71,'27.07 Natete-Rubaga-24h'!G71)</f>
        <v>3.5</v>
      </c>
      <c r="H71" s="49">
        <f>AVERAGE('26.07 Natete-Rubaga-24h'!H71,'27.07 Natete-Rubaga-24h'!H71)</f>
        <v>1.5</v>
      </c>
      <c r="I71" s="49">
        <f>AVERAGE('26.07 Natete-Rubaga-24h'!I71,'27.07 Natete-Rubaga-24h'!I71)</f>
        <v>3.5</v>
      </c>
      <c r="J71" s="49">
        <f>AVERAGE('26.07 Natete-Rubaga-24h'!J71,'27.07 Natete-Rubaga-24h'!J71)</f>
        <v>2</v>
      </c>
      <c r="K71" s="49">
        <f>AVERAGE('26.07 Natete-Rubaga-24h'!K71,'27.07 Natete-Rubaga-24h'!K71)</f>
        <v>4</v>
      </c>
      <c r="L71" s="49">
        <f>AVERAGE('26.07 Natete-Rubaga-24h'!L71,'27.07 Natete-Rubaga-24h'!L71)</f>
        <v>5.5</v>
      </c>
      <c r="M71" s="49">
        <f>AVERAGE('26.07 Natete-Rubaga-24h'!M71,'27.07 Natete-Rubaga-24h'!M71)</f>
        <v>85</v>
      </c>
      <c r="N71" s="49">
        <f>AVERAGE('26.07 Natete-Rubaga-24h'!N71,'27.07 Natete-Rubaga-24h'!N71)</f>
        <v>0</v>
      </c>
      <c r="O71" s="15">
        <f t="shared" si="0"/>
        <v>154</v>
      </c>
      <c r="P71" s="15">
        <f t="shared" si="1"/>
        <v>239</v>
      </c>
      <c r="R71" s="8"/>
      <c r="T71"/>
    </row>
    <row r="72" spans="2:20" ht="23.1" customHeight="1" x14ac:dyDescent="0.25">
      <c r="B72" s="23" t="s">
        <v>112</v>
      </c>
      <c r="C72" s="49">
        <f>AVERAGE('26.07 Natete-Rubaga-24h'!C72,'27.07 Natete-Rubaga-24h'!C72)</f>
        <v>32.5</v>
      </c>
      <c r="D72" s="49">
        <f>AVERAGE('26.07 Natete-Rubaga-24h'!D72,'27.07 Natete-Rubaga-24h'!D72)</f>
        <v>7.5</v>
      </c>
      <c r="E72" s="49">
        <f>AVERAGE('26.07 Natete-Rubaga-24h'!E72,'27.07 Natete-Rubaga-24h'!E72)</f>
        <v>9</v>
      </c>
      <c r="F72" s="49">
        <f>AVERAGE('26.07 Natete-Rubaga-24h'!F72,'27.07 Natete-Rubaga-24h'!F72)</f>
        <v>31.5</v>
      </c>
      <c r="G72" s="49">
        <f>AVERAGE('26.07 Natete-Rubaga-24h'!G72,'27.07 Natete-Rubaga-24h'!G72)</f>
        <v>1.5</v>
      </c>
      <c r="H72" s="49">
        <f>AVERAGE('26.07 Natete-Rubaga-24h'!H72,'27.07 Natete-Rubaga-24h'!H72)</f>
        <v>3.5</v>
      </c>
      <c r="I72" s="49">
        <f>AVERAGE('26.07 Natete-Rubaga-24h'!I72,'27.07 Natete-Rubaga-24h'!I72)</f>
        <v>1.5</v>
      </c>
      <c r="J72" s="49">
        <f>AVERAGE('26.07 Natete-Rubaga-24h'!J72,'27.07 Natete-Rubaga-24h'!J72)</f>
        <v>4.5</v>
      </c>
      <c r="K72" s="49">
        <f>AVERAGE('26.07 Natete-Rubaga-24h'!K72,'27.07 Natete-Rubaga-24h'!K72)</f>
        <v>8.5</v>
      </c>
      <c r="L72" s="49">
        <f>AVERAGE('26.07 Natete-Rubaga-24h'!L72,'27.07 Natete-Rubaga-24h'!L72)</f>
        <v>8.5</v>
      </c>
      <c r="M72" s="49">
        <f>AVERAGE('26.07 Natete-Rubaga-24h'!M72,'27.07 Natete-Rubaga-24h'!M72)</f>
        <v>102.5</v>
      </c>
      <c r="N72" s="49">
        <f>AVERAGE('26.07 Natete-Rubaga-24h'!N72,'27.07 Natete-Rubaga-24h'!N72)</f>
        <v>0</v>
      </c>
      <c r="O72" s="15">
        <f t="shared" si="0"/>
        <v>108.5</v>
      </c>
      <c r="P72" s="15">
        <f t="shared" si="1"/>
        <v>211</v>
      </c>
      <c r="R72" s="8"/>
      <c r="T72"/>
    </row>
    <row r="73" spans="2:20" ht="23.1" customHeight="1" x14ac:dyDescent="0.25">
      <c r="B73" s="23" t="s">
        <v>113</v>
      </c>
      <c r="C73" s="49">
        <f>AVERAGE('26.07 Natete-Rubaga-24h'!C73,'27.07 Natete-Rubaga-24h'!C73)</f>
        <v>32.5</v>
      </c>
      <c r="D73" s="49">
        <f>AVERAGE('26.07 Natete-Rubaga-24h'!D73,'27.07 Natete-Rubaga-24h'!D73)</f>
        <v>14.5</v>
      </c>
      <c r="E73" s="49">
        <f>AVERAGE('26.07 Natete-Rubaga-24h'!E73,'27.07 Natete-Rubaga-24h'!E73)</f>
        <v>20</v>
      </c>
      <c r="F73" s="49">
        <f>AVERAGE('26.07 Natete-Rubaga-24h'!F73,'27.07 Natete-Rubaga-24h'!F73)</f>
        <v>25.5</v>
      </c>
      <c r="G73" s="49">
        <f>AVERAGE('26.07 Natete-Rubaga-24h'!G73,'27.07 Natete-Rubaga-24h'!G73)</f>
        <v>1.5</v>
      </c>
      <c r="H73" s="49">
        <f>AVERAGE('26.07 Natete-Rubaga-24h'!H73,'27.07 Natete-Rubaga-24h'!H73)</f>
        <v>3.5</v>
      </c>
      <c r="I73" s="49">
        <f>AVERAGE('26.07 Natete-Rubaga-24h'!I73,'27.07 Natete-Rubaga-24h'!I73)</f>
        <v>8</v>
      </c>
      <c r="J73" s="49">
        <f>AVERAGE('26.07 Natete-Rubaga-24h'!J73,'27.07 Natete-Rubaga-24h'!J73)</f>
        <v>5</v>
      </c>
      <c r="K73" s="49">
        <f>AVERAGE('26.07 Natete-Rubaga-24h'!K73,'27.07 Natete-Rubaga-24h'!K73)</f>
        <v>3.5</v>
      </c>
      <c r="L73" s="49">
        <f>AVERAGE('26.07 Natete-Rubaga-24h'!L73,'27.07 Natete-Rubaga-24h'!L73)</f>
        <v>2</v>
      </c>
      <c r="M73" s="49">
        <f>AVERAGE('26.07 Natete-Rubaga-24h'!M73,'27.07 Natete-Rubaga-24h'!M73)</f>
        <v>110</v>
      </c>
      <c r="N73" s="49">
        <f>AVERAGE('26.07 Natete-Rubaga-24h'!N73,'27.07 Natete-Rubaga-24h'!N73)</f>
        <v>0</v>
      </c>
      <c r="O73" s="15">
        <f t="shared" si="0"/>
        <v>116</v>
      </c>
      <c r="P73" s="15">
        <f t="shared" si="1"/>
        <v>226</v>
      </c>
      <c r="R73" s="8"/>
      <c r="T73"/>
    </row>
    <row r="74" spans="2:20" ht="23.1" customHeight="1" x14ac:dyDescent="0.25">
      <c r="B74" s="23" t="s">
        <v>114</v>
      </c>
      <c r="C74" s="49">
        <f>AVERAGE('26.07 Natete-Rubaga-24h'!C74,'27.07 Natete-Rubaga-24h'!C74)</f>
        <v>22.5</v>
      </c>
      <c r="D74" s="49">
        <f>AVERAGE('26.07 Natete-Rubaga-24h'!D74,'27.07 Natete-Rubaga-24h'!D74)</f>
        <v>17.5</v>
      </c>
      <c r="E74" s="49">
        <f>AVERAGE('26.07 Natete-Rubaga-24h'!E74,'27.07 Natete-Rubaga-24h'!E74)</f>
        <v>1</v>
      </c>
      <c r="F74" s="49">
        <f>AVERAGE('26.07 Natete-Rubaga-24h'!F74,'27.07 Natete-Rubaga-24h'!F74)</f>
        <v>18</v>
      </c>
      <c r="G74" s="49">
        <f>AVERAGE('26.07 Natete-Rubaga-24h'!G74,'27.07 Natete-Rubaga-24h'!G74)</f>
        <v>0</v>
      </c>
      <c r="H74" s="49">
        <f>AVERAGE('26.07 Natete-Rubaga-24h'!H74,'27.07 Natete-Rubaga-24h'!H74)</f>
        <v>2.5</v>
      </c>
      <c r="I74" s="49">
        <f>AVERAGE('26.07 Natete-Rubaga-24h'!I74,'27.07 Natete-Rubaga-24h'!I74)</f>
        <v>3</v>
      </c>
      <c r="J74" s="49">
        <f>AVERAGE('26.07 Natete-Rubaga-24h'!J74,'27.07 Natete-Rubaga-24h'!J74)</f>
        <v>1</v>
      </c>
      <c r="K74" s="49">
        <f>AVERAGE('26.07 Natete-Rubaga-24h'!K74,'27.07 Natete-Rubaga-24h'!K74)</f>
        <v>0</v>
      </c>
      <c r="L74" s="49">
        <f>AVERAGE('26.07 Natete-Rubaga-24h'!L74,'27.07 Natete-Rubaga-24h'!L74)</f>
        <v>0</v>
      </c>
      <c r="M74" s="49">
        <f>AVERAGE('26.07 Natete-Rubaga-24h'!M74,'27.07 Natete-Rubaga-24h'!M74)</f>
        <v>82.5</v>
      </c>
      <c r="N74" s="49">
        <f>AVERAGE('26.07 Natete-Rubaga-24h'!N74,'27.07 Natete-Rubaga-24h'!N74)</f>
        <v>0</v>
      </c>
      <c r="O74" s="15">
        <f t="shared" ref="O74:O105" si="35">SUM(C74:L74,N74)</f>
        <v>65.5</v>
      </c>
      <c r="P74" s="15">
        <f t="shared" ref="P74:P105" si="36">SUM(C74:N74)</f>
        <v>148</v>
      </c>
      <c r="R74" s="8"/>
      <c r="T74"/>
    </row>
    <row r="75" spans="2:20" ht="23.1" customHeight="1" x14ac:dyDescent="0.25">
      <c r="B75" s="23" t="s">
        <v>115</v>
      </c>
      <c r="C75" s="49">
        <f>AVERAGE('26.07 Natete-Rubaga-24h'!C75,'27.07 Natete-Rubaga-24h'!C75)</f>
        <v>34</v>
      </c>
      <c r="D75" s="49">
        <f>AVERAGE('26.07 Natete-Rubaga-24h'!D75,'27.07 Natete-Rubaga-24h'!D75)</f>
        <v>34</v>
      </c>
      <c r="E75" s="49">
        <f>AVERAGE('26.07 Natete-Rubaga-24h'!E75,'27.07 Natete-Rubaga-24h'!E75)</f>
        <v>1.5</v>
      </c>
      <c r="F75" s="49">
        <f>AVERAGE('26.07 Natete-Rubaga-24h'!F75,'27.07 Natete-Rubaga-24h'!F75)</f>
        <v>28.5</v>
      </c>
      <c r="G75" s="49">
        <f>AVERAGE('26.07 Natete-Rubaga-24h'!G75,'27.07 Natete-Rubaga-24h'!G75)</f>
        <v>0</v>
      </c>
      <c r="H75" s="49">
        <f>AVERAGE('26.07 Natete-Rubaga-24h'!H75,'27.07 Natete-Rubaga-24h'!H75)</f>
        <v>1</v>
      </c>
      <c r="I75" s="49">
        <f>AVERAGE('26.07 Natete-Rubaga-24h'!I75,'27.07 Natete-Rubaga-24h'!I75)</f>
        <v>0</v>
      </c>
      <c r="J75" s="49">
        <f>AVERAGE('26.07 Natete-Rubaga-24h'!J75,'27.07 Natete-Rubaga-24h'!J75)</f>
        <v>0</v>
      </c>
      <c r="K75" s="49">
        <f>AVERAGE('26.07 Natete-Rubaga-24h'!K75,'27.07 Natete-Rubaga-24h'!K75)</f>
        <v>0</v>
      </c>
      <c r="L75" s="49">
        <f>AVERAGE('26.07 Natete-Rubaga-24h'!L75,'27.07 Natete-Rubaga-24h'!L75)</f>
        <v>0</v>
      </c>
      <c r="M75" s="49">
        <f>AVERAGE('26.07 Natete-Rubaga-24h'!M75,'27.07 Natete-Rubaga-24h'!M75)</f>
        <v>92.5</v>
      </c>
      <c r="N75" s="49">
        <f>AVERAGE('26.07 Natete-Rubaga-24h'!N75,'27.07 Natete-Rubaga-24h'!N75)</f>
        <v>0</v>
      </c>
      <c r="O75" s="15">
        <f t="shared" si="35"/>
        <v>99</v>
      </c>
      <c r="P75" s="15">
        <f t="shared" si="36"/>
        <v>191.5</v>
      </c>
      <c r="R75" s="8"/>
      <c r="T75"/>
    </row>
    <row r="76" spans="2:20" ht="23.1" customHeight="1" x14ac:dyDescent="0.25">
      <c r="B76" s="23" t="s">
        <v>116</v>
      </c>
      <c r="C76" s="49">
        <f>AVERAGE('26.07 Natete-Rubaga-24h'!C76,'27.07 Natete-Rubaga-24h'!C76)</f>
        <v>32.5</v>
      </c>
      <c r="D76" s="49">
        <f>AVERAGE('26.07 Natete-Rubaga-24h'!D76,'27.07 Natete-Rubaga-24h'!D76)</f>
        <v>7.5</v>
      </c>
      <c r="E76" s="49">
        <f>AVERAGE('26.07 Natete-Rubaga-24h'!E76,'27.07 Natete-Rubaga-24h'!E76)</f>
        <v>2</v>
      </c>
      <c r="F76" s="49">
        <f>AVERAGE('26.07 Natete-Rubaga-24h'!F76,'27.07 Natete-Rubaga-24h'!F76)</f>
        <v>1</v>
      </c>
      <c r="G76" s="49">
        <f>AVERAGE('26.07 Natete-Rubaga-24h'!G76,'27.07 Natete-Rubaga-24h'!G76)</f>
        <v>0</v>
      </c>
      <c r="H76" s="49">
        <f>AVERAGE('26.07 Natete-Rubaga-24h'!H76,'27.07 Natete-Rubaga-24h'!H76)</f>
        <v>0</v>
      </c>
      <c r="I76" s="49">
        <f>AVERAGE('26.07 Natete-Rubaga-24h'!I76,'27.07 Natete-Rubaga-24h'!I76)</f>
        <v>0</v>
      </c>
      <c r="J76" s="49">
        <f>AVERAGE('26.07 Natete-Rubaga-24h'!J76,'27.07 Natete-Rubaga-24h'!J76)</f>
        <v>0</v>
      </c>
      <c r="K76" s="49">
        <f>AVERAGE('26.07 Natete-Rubaga-24h'!K76,'27.07 Natete-Rubaga-24h'!K76)</f>
        <v>0</v>
      </c>
      <c r="L76" s="49">
        <f>AVERAGE('26.07 Natete-Rubaga-24h'!L76,'27.07 Natete-Rubaga-24h'!L76)</f>
        <v>0</v>
      </c>
      <c r="M76" s="49">
        <f>AVERAGE('26.07 Natete-Rubaga-24h'!M76,'27.07 Natete-Rubaga-24h'!M76)</f>
        <v>62.5</v>
      </c>
      <c r="N76" s="49">
        <f>AVERAGE('26.07 Natete-Rubaga-24h'!N76,'27.07 Natete-Rubaga-24h'!N76)</f>
        <v>0</v>
      </c>
      <c r="O76" s="15">
        <f t="shared" si="35"/>
        <v>43</v>
      </c>
      <c r="P76" s="15">
        <f t="shared" si="36"/>
        <v>105.5</v>
      </c>
      <c r="R76" s="8"/>
      <c r="T76"/>
    </row>
    <row r="77" spans="2:20" ht="23.1" customHeight="1" x14ac:dyDescent="0.25">
      <c r="B77" s="23" t="s">
        <v>117</v>
      </c>
      <c r="C77" s="49">
        <f>AVERAGE('26.07 Natete-Rubaga-24h'!C77,'27.07 Natete-Rubaga-24h'!C77)</f>
        <v>35</v>
      </c>
      <c r="D77" s="49">
        <f>AVERAGE('26.07 Natete-Rubaga-24h'!D77,'27.07 Natete-Rubaga-24h'!D77)</f>
        <v>12</v>
      </c>
      <c r="E77" s="49">
        <f>AVERAGE('26.07 Natete-Rubaga-24h'!E77,'27.07 Natete-Rubaga-24h'!E77)</f>
        <v>8.5</v>
      </c>
      <c r="F77" s="49">
        <f>AVERAGE('26.07 Natete-Rubaga-24h'!F77,'27.07 Natete-Rubaga-24h'!F77)</f>
        <v>7</v>
      </c>
      <c r="G77" s="49">
        <f>AVERAGE('26.07 Natete-Rubaga-24h'!G77,'27.07 Natete-Rubaga-24h'!G77)</f>
        <v>0</v>
      </c>
      <c r="H77" s="49">
        <f>AVERAGE('26.07 Natete-Rubaga-24h'!H77,'27.07 Natete-Rubaga-24h'!H77)</f>
        <v>0</v>
      </c>
      <c r="I77" s="49">
        <f>AVERAGE('26.07 Natete-Rubaga-24h'!I77,'27.07 Natete-Rubaga-24h'!I77)</f>
        <v>0.5</v>
      </c>
      <c r="J77" s="49">
        <f>AVERAGE('26.07 Natete-Rubaga-24h'!J77,'27.07 Natete-Rubaga-24h'!J77)</f>
        <v>0.5</v>
      </c>
      <c r="K77" s="49">
        <f>AVERAGE('26.07 Natete-Rubaga-24h'!K77,'27.07 Natete-Rubaga-24h'!K77)</f>
        <v>0</v>
      </c>
      <c r="L77" s="49">
        <f>AVERAGE('26.07 Natete-Rubaga-24h'!L77,'27.07 Natete-Rubaga-24h'!L77)</f>
        <v>0</v>
      </c>
      <c r="M77" s="49">
        <f>AVERAGE('26.07 Natete-Rubaga-24h'!M77,'27.07 Natete-Rubaga-24h'!M77)</f>
        <v>60</v>
      </c>
      <c r="N77" s="49">
        <f>AVERAGE('26.07 Natete-Rubaga-24h'!N77,'27.07 Natete-Rubaga-24h'!N77)</f>
        <v>0</v>
      </c>
      <c r="O77" s="15">
        <f t="shared" si="35"/>
        <v>63.5</v>
      </c>
      <c r="P77" s="15">
        <f t="shared" si="36"/>
        <v>123.5</v>
      </c>
      <c r="R77" s="8"/>
      <c r="T77"/>
    </row>
    <row r="78" spans="2:20" ht="23.1" customHeight="1" x14ac:dyDescent="0.25">
      <c r="B78" s="24" t="s">
        <v>118</v>
      </c>
      <c r="C78" s="49">
        <f>AVERAGE('26.07 Natete-Rubaga-24h'!C78,'27.07 Natete-Rubaga-24h'!C78)</f>
        <v>15.5</v>
      </c>
      <c r="D78" s="49">
        <f>AVERAGE('26.07 Natete-Rubaga-24h'!D78,'27.07 Natete-Rubaga-24h'!D78)</f>
        <v>5</v>
      </c>
      <c r="E78" s="49">
        <f>AVERAGE('26.07 Natete-Rubaga-24h'!E78,'27.07 Natete-Rubaga-24h'!E78)</f>
        <v>2</v>
      </c>
      <c r="F78" s="49">
        <f>AVERAGE('26.07 Natete-Rubaga-24h'!F78,'27.07 Natete-Rubaga-24h'!F78)</f>
        <v>7</v>
      </c>
      <c r="G78" s="49">
        <f>AVERAGE('26.07 Natete-Rubaga-24h'!G78,'27.07 Natete-Rubaga-24h'!G78)</f>
        <v>0</v>
      </c>
      <c r="H78" s="49">
        <f>AVERAGE('26.07 Natete-Rubaga-24h'!H78,'27.07 Natete-Rubaga-24h'!H78)</f>
        <v>0.5</v>
      </c>
      <c r="I78" s="49">
        <f>AVERAGE('26.07 Natete-Rubaga-24h'!I78,'27.07 Natete-Rubaga-24h'!I78)</f>
        <v>1.5</v>
      </c>
      <c r="J78" s="49">
        <f>AVERAGE('26.07 Natete-Rubaga-24h'!J78,'27.07 Natete-Rubaga-24h'!J78)</f>
        <v>1</v>
      </c>
      <c r="K78" s="49">
        <f>AVERAGE('26.07 Natete-Rubaga-24h'!K78,'27.07 Natete-Rubaga-24h'!K78)</f>
        <v>0.5</v>
      </c>
      <c r="L78" s="49">
        <f>AVERAGE('26.07 Natete-Rubaga-24h'!L78,'27.07 Natete-Rubaga-24h'!L78)</f>
        <v>0</v>
      </c>
      <c r="M78" s="49">
        <f>AVERAGE('26.07 Natete-Rubaga-24h'!M78,'27.07 Natete-Rubaga-24h'!M78)</f>
        <v>49.5</v>
      </c>
      <c r="N78" s="49">
        <f>AVERAGE('26.07 Natete-Rubaga-24h'!N78,'27.07 Natete-Rubaga-24h'!N78)</f>
        <v>0</v>
      </c>
      <c r="O78" s="15">
        <f t="shared" si="35"/>
        <v>33</v>
      </c>
      <c r="P78" s="15">
        <f t="shared" si="36"/>
        <v>82.5</v>
      </c>
      <c r="R78" s="8"/>
      <c r="T78"/>
    </row>
    <row r="79" spans="2:20" ht="23.1" customHeight="1" x14ac:dyDescent="0.25">
      <c r="B79" s="23" t="s">
        <v>119</v>
      </c>
      <c r="C79" s="49">
        <f>AVERAGE('26.07 Natete-Rubaga-24h'!C79,'27.07 Natete-Rubaga-24h'!C79)</f>
        <v>19.5</v>
      </c>
      <c r="D79" s="49">
        <f>AVERAGE('26.07 Natete-Rubaga-24h'!D79,'27.07 Natete-Rubaga-24h'!D79)</f>
        <v>4</v>
      </c>
      <c r="E79" s="49">
        <f>AVERAGE('26.07 Natete-Rubaga-24h'!E79,'27.07 Natete-Rubaga-24h'!E79)</f>
        <v>0.5</v>
      </c>
      <c r="F79" s="49">
        <f>AVERAGE('26.07 Natete-Rubaga-24h'!F79,'27.07 Natete-Rubaga-24h'!F79)</f>
        <v>3</v>
      </c>
      <c r="G79" s="49">
        <f>AVERAGE('26.07 Natete-Rubaga-24h'!G79,'27.07 Natete-Rubaga-24h'!G79)</f>
        <v>0.5</v>
      </c>
      <c r="H79" s="49">
        <f>AVERAGE('26.07 Natete-Rubaga-24h'!H79,'27.07 Natete-Rubaga-24h'!H79)</f>
        <v>1</v>
      </c>
      <c r="I79" s="49">
        <f>AVERAGE('26.07 Natete-Rubaga-24h'!I79,'27.07 Natete-Rubaga-24h'!I79)</f>
        <v>0</v>
      </c>
      <c r="J79" s="49">
        <f>AVERAGE('26.07 Natete-Rubaga-24h'!J79,'27.07 Natete-Rubaga-24h'!J79)</f>
        <v>0</v>
      </c>
      <c r="K79" s="49">
        <f>AVERAGE('26.07 Natete-Rubaga-24h'!K79,'27.07 Natete-Rubaga-24h'!K79)</f>
        <v>0</v>
      </c>
      <c r="L79" s="49">
        <f>AVERAGE('26.07 Natete-Rubaga-24h'!L79,'27.07 Natete-Rubaga-24h'!L79)</f>
        <v>0</v>
      </c>
      <c r="M79" s="49">
        <f>AVERAGE('26.07 Natete-Rubaga-24h'!M79,'27.07 Natete-Rubaga-24h'!M79)</f>
        <v>58</v>
      </c>
      <c r="N79" s="49">
        <f>AVERAGE('26.07 Natete-Rubaga-24h'!N79,'27.07 Natete-Rubaga-24h'!N79)</f>
        <v>0</v>
      </c>
      <c r="O79" s="15">
        <f t="shared" si="35"/>
        <v>28.5</v>
      </c>
      <c r="P79" s="15">
        <f t="shared" si="36"/>
        <v>86.5</v>
      </c>
      <c r="R79" s="8"/>
      <c r="T79"/>
    </row>
    <row r="80" spans="2:20" ht="23.1" customHeight="1" x14ac:dyDescent="0.25">
      <c r="B80" s="25" t="s">
        <v>120</v>
      </c>
      <c r="C80" s="49">
        <f>AVERAGE('26.07 Natete-Rubaga-24h'!C80,'27.07 Natete-Rubaga-24h'!C80)</f>
        <v>7.5</v>
      </c>
      <c r="D80" s="49">
        <f>AVERAGE('26.07 Natete-Rubaga-24h'!D80,'27.07 Natete-Rubaga-24h'!D80)</f>
        <v>1.5</v>
      </c>
      <c r="E80" s="49">
        <f>AVERAGE('26.07 Natete-Rubaga-24h'!E80,'27.07 Natete-Rubaga-24h'!E80)</f>
        <v>2</v>
      </c>
      <c r="F80" s="49">
        <f>AVERAGE('26.07 Natete-Rubaga-24h'!F80,'27.07 Natete-Rubaga-24h'!F80)</f>
        <v>1</v>
      </c>
      <c r="G80" s="49">
        <f>AVERAGE('26.07 Natete-Rubaga-24h'!G80,'27.07 Natete-Rubaga-24h'!G80)</f>
        <v>0</v>
      </c>
      <c r="H80" s="49">
        <f>AVERAGE('26.07 Natete-Rubaga-24h'!H80,'27.07 Natete-Rubaga-24h'!H80)</f>
        <v>1</v>
      </c>
      <c r="I80" s="49">
        <f>AVERAGE('26.07 Natete-Rubaga-24h'!I80,'27.07 Natete-Rubaga-24h'!I80)</f>
        <v>1</v>
      </c>
      <c r="J80" s="49">
        <f>AVERAGE('26.07 Natete-Rubaga-24h'!J80,'27.07 Natete-Rubaga-24h'!J80)</f>
        <v>0</v>
      </c>
      <c r="K80" s="49">
        <f>AVERAGE('26.07 Natete-Rubaga-24h'!K80,'27.07 Natete-Rubaga-24h'!K80)</f>
        <v>0.5</v>
      </c>
      <c r="L80" s="49">
        <f>AVERAGE('26.07 Natete-Rubaga-24h'!L80,'27.07 Natete-Rubaga-24h'!L80)</f>
        <v>0</v>
      </c>
      <c r="M80" s="49">
        <f>AVERAGE('26.07 Natete-Rubaga-24h'!M80,'27.07 Natete-Rubaga-24h'!M80)</f>
        <v>52</v>
      </c>
      <c r="N80" s="49">
        <f>AVERAGE('26.07 Natete-Rubaga-24h'!N80,'27.07 Natete-Rubaga-24h'!N80)</f>
        <v>0</v>
      </c>
      <c r="O80" s="15">
        <f t="shared" si="35"/>
        <v>14.5</v>
      </c>
      <c r="P80" s="15">
        <f t="shared" si="36"/>
        <v>66.5</v>
      </c>
      <c r="R80" s="8"/>
      <c r="T80"/>
    </row>
    <row r="81" spans="2:20" ht="23.1" customHeight="1" x14ac:dyDescent="0.25">
      <c r="B81" s="23" t="s">
        <v>121</v>
      </c>
      <c r="C81" s="49">
        <f>AVERAGE('26.07 Natete-Rubaga-24h'!C81,'27.07 Natete-Rubaga-24h'!C81)</f>
        <v>18.5</v>
      </c>
      <c r="D81" s="49">
        <f>AVERAGE('26.07 Natete-Rubaga-24h'!D81,'27.07 Natete-Rubaga-24h'!D81)</f>
        <v>4</v>
      </c>
      <c r="E81" s="49">
        <f>AVERAGE('26.07 Natete-Rubaga-24h'!E81,'27.07 Natete-Rubaga-24h'!E81)</f>
        <v>4.5</v>
      </c>
      <c r="F81" s="49">
        <f>AVERAGE('26.07 Natete-Rubaga-24h'!F81,'27.07 Natete-Rubaga-24h'!F81)</f>
        <v>10</v>
      </c>
      <c r="G81" s="49">
        <f>AVERAGE('26.07 Natete-Rubaga-24h'!G81,'27.07 Natete-Rubaga-24h'!G81)</f>
        <v>0</v>
      </c>
      <c r="H81" s="49">
        <f>AVERAGE('26.07 Natete-Rubaga-24h'!H81,'27.07 Natete-Rubaga-24h'!H81)</f>
        <v>2.5</v>
      </c>
      <c r="I81" s="49">
        <f>AVERAGE('26.07 Natete-Rubaga-24h'!I81,'27.07 Natete-Rubaga-24h'!I81)</f>
        <v>0</v>
      </c>
      <c r="J81" s="49">
        <f>AVERAGE('26.07 Natete-Rubaga-24h'!J81,'27.07 Natete-Rubaga-24h'!J81)</f>
        <v>0.5</v>
      </c>
      <c r="K81" s="49">
        <f>AVERAGE('26.07 Natete-Rubaga-24h'!K81,'27.07 Natete-Rubaga-24h'!K81)</f>
        <v>0</v>
      </c>
      <c r="L81" s="49">
        <f>AVERAGE('26.07 Natete-Rubaga-24h'!L81,'27.07 Natete-Rubaga-24h'!L81)</f>
        <v>0</v>
      </c>
      <c r="M81" s="49">
        <f>AVERAGE('26.07 Natete-Rubaga-24h'!M81,'27.07 Natete-Rubaga-24h'!M81)</f>
        <v>47.5</v>
      </c>
      <c r="N81" s="49">
        <f>AVERAGE('26.07 Natete-Rubaga-24h'!N81,'27.07 Natete-Rubaga-24h'!N81)</f>
        <v>0</v>
      </c>
      <c r="O81" s="15">
        <f t="shared" si="35"/>
        <v>40</v>
      </c>
      <c r="P81" s="15">
        <f t="shared" si="36"/>
        <v>87.5</v>
      </c>
      <c r="R81" s="8"/>
      <c r="T81"/>
    </row>
    <row r="82" spans="2:20" ht="23.1" customHeight="1" x14ac:dyDescent="0.25">
      <c r="B82" s="24" t="s">
        <v>122</v>
      </c>
      <c r="C82" s="49">
        <f>AVERAGE('26.07 Natete-Rubaga-24h'!C82,'27.07 Natete-Rubaga-24h'!C82)</f>
        <v>5</v>
      </c>
      <c r="D82" s="49">
        <f>AVERAGE('26.07 Natete-Rubaga-24h'!D82,'27.07 Natete-Rubaga-24h'!D82)</f>
        <v>5</v>
      </c>
      <c r="E82" s="49">
        <f>AVERAGE('26.07 Natete-Rubaga-24h'!E82,'27.07 Natete-Rubaga-24h'!E82)</f>
        <v>1.5</v>
      </c>
      <c r="F82" s="49">
        <f>AVERAGE('26.07 Natete-Rubaga-24h'!F82,'27.07 Natete-Rubaga-24h'!F82)</f>
        <v>0.5</v>
      </c>
      <c r="G82" s="49">
        <f>AVERAGE('26.07 Natete-Rubaga-24h'!G82,'27.07 Natete-Rubaga-24h'!G82)</f>
        <v>0</v>
      </c>
      <c r="H82" s="49">
        <f>AVERAGE('26.07 Natete-Rubaga-24h'!H82,'27.07 Natete-Rubaga-24h'!H82)</f>
        <v>1.5</v>
      </c>
      <c r="I82" s="49">
        <f>AVERAGE('26.07 Natete-Rubaga-24h'!I82,'27.07 Natete-Rubaga-24h'!I82)</f>
        <v>1</v>
      </c>
      <c r="J82" s="49">
        <f>AVERAGE('26.07 Natete-Rubaga-24h'!J82,'27.07 Natete-Rubaga-24h'!J82)</f>
        <v>1</v>
      </c>
      <c r="K82" s="49">
        <f>AVERAGE('26.07 Natete-Rubaga-24h'!K82,'27.07 Natete-Rubaga-24h'!K82)</f>
        <v>0</v>
      </c>
      <c r="L82" s="49">
        <f>AVERAGE('26.07 Natete-Rubaga-24h'!L82,'27.07 Natete-Rubaga-24h'!L82)</f>
        <v>0</v>
      </c>
      <c r="M82" s="49">
        <f>AVERAGE('26.07 Natete-Rubaga-24h'!M82,'27.07 Natete-Rubaga-24h'!M82)</f>
        <v>30.5</v>
      </c>
      <c r="N82" s="49">
        <f>AVERAGE('26.07 Natete-Rubaga-24h'!N82,'27.07 Natete-Rubaga-24h'!N82)</f>
        <v>0</v>
      </c>
      <c r="O82" s="15">
        <f t="shared" si="35"/>
        <v>15.5</v>
      </c>
      <c r="P82" s="15">
        <f t="shared" si="36"/>
        <v>46</v>
      </c>
      <c r="R82" s="8"/>
      <c r="T82"/>
    </row>
    <row r="83" spans="2:20" ht="23.1" customHeight="1" x14ac:dyDescent="0.25">
      <c r="B83" s="23" t="s">
        <v>123</v>
      </c>
      <c r="C83" s="49">
        <f>AVERAGE('26.07 Natete-Rubaga-24h'!C83,'27.07 Natete-Rubaga-24h'!C83)</f>
        <v>6</v>
      </c>
      <c r="D83" s="49">
        <f>AVERAGE('26.07 Natete-Rubaga-24h'!D83,'27.07 Natete-Rubaga-24h'!D83)</f>
        <v>0.5</v>
      </c>
      <c r="E83" s="49">
        <f>AVERAGE('26.07 Natete-Rubaga-24h'!E83,'27.07 Natete-Rubaga-24h'!E83)</f>
        <v>1</v>
      </c>
      <c r="F83" s="49">
        <f>AVERAGE('26.07 Natete-Rubaga-24h'!F83,'27.07 Natete-Rubaga-24h'!F83)</f>
        <v>1.5</v>
      </c>
      <c r="G83" s="49">
        <f>AVERAGE('26.07 Natete-Rubaga-24h'!G83,'27.07 Natete-Rubaga-24h'!G83)</f>
        <v>1</v>
      </c>
      <c r="H83" s="49">
        <f>AVERAGE('26.07 Natete-Rubaga-24h'!H83,'27.07 Natete-Rubaga-24h'!H83)</f>
        <v>0.5</v>
      </c>
      <c r="I83" s="49">
        <f>AVERAGE('26.07 Natete-Rubaga-24h'!I83,'27.07 Natete-Rubaga-24h'!I83)</f>
        <v>0</v>
      </c>
      <c r="J83" s="49">
        <f>AVERAGE('26.07 Natete-Rubaga-24h'!J83,'27.07 Natete-Rubaga-24h'!J83)</f>
        <v>0</v>
      </c>
      <c r="K83" s="49">
        <f>AVERAGE('26.07 Natete-Rubaga-24h'!K83,'27.07 Natete-Rubaga-24h'!K83)</f>
        <v>0</v>
      </c>
      <c r="L83" s="49">
        <f>AVERAGE('26.07 Natete-Rubaga-24h'!L83,'27.07 Natete-Rubaga-24h'!L83)</f>
        <v>0</v>
      </c>
      <c r="M83" s="49">
        <f>AVERAGE('26.07 Natete-Rubaga-24h'!M83,'27.07 Natete-Rubaga-24h'!M83)</f>
        <v>32</v>
      </c>
      <c r="N83" s="49">
        <f>AVERAGE('26.07 Natete-Rubaga-24h'!N83,'27.07 Natete-Rubaga-24h'!N83)</f>
        <v>0</v>
      </c>
      <c r="O83" s="15">
        <f t="shared" si="35"/>
        <v>10.5</v>
      </c>
      <c r="P83" s="15">
        <f t="shared" si="36"/>
        <v>42.5</v>
      </c>
      <c r="R83" s="8"/>
      <c r="T83"/>
    </row>
    <row r="84" spans="2:20" ht="23.1" customHeight="1" x14ac:dyDescent="0.25">
      <c r="B84" s="25" t="s">
        <v>124</v>
      </c>
      <c r="C84" s="49">
        <f>AVERAGE('26.07 Natete-Rubaga-24h'!C84,'27.07 Natete-Rubaga-24h'!C84)</f>
        <v>11.5</v>
      </c>
      <c r="D84" s="49">
        <f>AVERAGE('26.07 Natete-Rubaga-24h'!D84,'27.07 Natete-Rubaga-24h'!D84)</f>
        <v>2</v>
      </c>
      <c r="E84" s="49">
        <f>AVERAGE('26.07 Natete-Rubaga-24h'!E84,'27.07 Natete-Rubaga-24h'!E84)</f>
        <v>1</v>
      </c>
      <c r="F84" s="49">
        <f>AVERAGE('26.07 Natete-Rubaga-24h'!F84,'27.07 Natete-Rubaga-24h'!F84)</f>
        <v>2</v>
      </c>
      <c r="G84" s="49">
        <f>AVERAGE('26.07 Natete-Rubaga-24h'!G84,'27.07 Natete-Rubaga-24h'!G84)</f>
        <v>0</v>
      </c>
      <c r="H84" s="49">
        <f>AVERAGE('26.07 Natete-Rubaga-24h'!H84,'27.07 Natete-Rubaga-24h'!H84)</f>
        <v>0.5</v>
      </c>
      <c r="I84" s="49">
        <f>AVERAGE('26.07 Natete-Rubaga-24h'!I84,'27.07 Natete-Rubaga-24h'!I84)</f>
        <v>0</v>
      </c>
      <c r="J84" s="49">
        <f>AVERAGE('26.07 Natete-Rubaga-24h'!J84,'27.07 Natete-Rubaga-24h'!J84)</f>
        <v>1</v>
      </c>
      <c r="K84" s="49">
        <f>AVERAGE('26.07 Natete-Rubaga-24h'!K84,'27.07 Natete-Rubaga-24h'!K84)</f>
        <v>0</v>
      </c>
      <c r="L84" s="49">
        <f>AVERAGE('26.07 Natete-Rubaga-24h'!L84,'27.07 Natete-Rubaga-24h'!L84)</f>
        <v>0</v>
      </c>
      <c r="M84" s="49">
        <f>AVERAGE('26.07 Natete-Rubaga-24h'!M84,'27.07 Natete-Rubaga-24h'!M84)</f>
        <v>20.5</v>
      </c>
      <c r="N84" s="49">
        <f>AVERAGE('26.07 Natete-Rubaga-24h'!N84,'27.07 Natete-Rubaga-24h'!N84)</f>
        <v>0</v>
      </c>
      <c r="O84" s="15">
        <f t="shared" si="35"/>
        <v>18</v>
      </c>
      <c r="P84" s="15">
        <f t="shared" si="36"/>
        <v>38.5</v>
      </c>
      <c r="R84" s="8"/>
      <c r="T84"/>
    </row>
    <row r="85" spans="2:20" ht="23.1" customHeight="1" x14ac:dyDescent="0.25">
      <c r="B85" s="23" t="s">
        <v>125</v>
      </c>
      <c r="C85" s="49">
        <f>AVERAGE('26.07 Natete-Rubaga-24h'!C85,'27.07 Natete-Rubaga-24h'!C85)</f>
        <v>19</v>
      </c>
      <c r="D85" s="49">
        <f>AVERAGE('26.07 Natete-Rubaga-24h'!D85,'27.07 Natete-Rubaga-24h'!D85)</f>
        <v>2</v>
      </c>
      <c r="E85" s="49">
        <f>AVERAGE('26.07 Natete-Rubaga-24h'!E85,'27.07 Natete-Rubaga-24h'!E85)</f>
        <v>1</v>
      </c>
      <c r="F85" s="49">
        <f>AVERAGE('26.07 Natete-Rubaga-24h'!F85,'27.07 Natete-Rubaga-24h'!F85)</f>
        <v>1.5</v>
      </c>
      <c r="G85" s="49">
        <f>AVERAGE('26.07 Natete-Rubaga-24h'!G85,'27.07 Natete-Rubaga-24h'!G85)</f>
        <v>0</v>
      </c>
      <c r="H85" s="49">
        <f>AVERAGE('26.07 Natete-Rubaga-24h'!H85,'27.07 Natete-Rubaga-24h'!H85)</f>
        <v>0</v>
      </c>
      <c r="I85" s="49">
        <f>AVERAGE('26.07 Natete-Rubaga-24h'!I85,'27.07 Natete-Rubaga-24h'!I85)</f>
        <v>0</v>
      </c>
      <c r="J85" s="49">
        <f>AVERAGE('26.07 Natete-Rubaga-24h'!J85,'27.07 Natete-Rubaga-24h'!J85)</f>
        <v>0</v>
      </c>
      <c r="K85" s="49">
        <f>AVERAGE('26.07 Natete-Rubaga-24h'!K85,'27.07 Natete-Rubaga-24h'!K85)</f>
        <v>0</v>
      </c>
      <c r="L85" s="49">
        <f>AVERAGE('26.07 Natete-Rubaga-24h'!L85,'27.07 Natete-Rubaga-24h'!L85)</f>
        <v>0</v>
      </c>
      <c r="M85" s="49">
        <f>AVERAGE('26.07 Natete-Rubaga-24h'!M85,'27.07 Natete-Rubaga-24h'!M85)</f>
        <v>28</v>
      </c>
      <c r="N85" s="49">
        <f>AVERAGE('26.07 Natete-Rubaga-24h'!N85,'27.07 Natete-Rubaga-24h'!N85)</f>
        <v>0</v>
      </c>
      <c r="O85" s="15">
        <f t="shared" si="35"/>
        <v>23.5</v>
      </c>
      <c r="P85" s="15">
        <f t="shared" si="36"/>
        <v>51.5</v>
      </c>
      <c r="R85" s="8"/>
      <c r="T85"/>
    </row>
    <row r="86" spans="2:20" ht="23.1" customHeight="1" x14ac:dyDescent="0.25">
      <c r="B86" s="24" t="s">
        <v>126</v>
      </c>
      <c r="C86" s="49">
        <f>AVERAGE('26.07 Natete-Rubaga-24h'!C86,'27.07 Natete-Rubaga-24h'!C86)</f>
        <v>6.5</v>
      </c>
      <c r="D86" s="49">
        <f>AVERAGE('26.07 Natete-Rubaga-24h'!D86,'27.07 Natete-Rubaga-24h'!D86)</f>
        <v>2.5</v>
      </c>
      <c r="E86" s="49">
        <f>AVERAGE('26.07 Natete-Rubaga-24h'!E86,'27.07 Natete-Rubaga-24h'!E86)</f>
        <v>0.5</v>
      </c>
      <c r="F86" s="49">
        <f>AVERAGE('26.07 Natete-Rubaga-24h'!F86,'27.07 Natete-Rubaga-24h'!F86)</f>
        <v>0</v>
      </c>
      <c r="G86" s="49">
        <f>AVERAGE('26.07 Natete-Rubaga-24h'!G86,'27.07 Natete-Rubaga-24h'!G86)</f>
        <v>0.5</v>
      </c>
      <c r="H86" s="49">
        <f>AVERAGE('26.07 Natete-Rubaga-24h'!H86,'27.07 Natete-Rubaga-24h'!H86)</f>
        <v>1</v>
      </c>
      <c r="I86" s="49">
        <f>AVERAGE('26.07 Natete-Rubaga-24h'!I86,'27.07 Natete-Rubaga-24h'!I86)</f>
        <v>0.5</v>
      </c>
      <c r="J86" s="49">
        <f>AVERAGE('26.07 Natete-Rubaga-24h'!J86,'27.07 Natete-Rubaga-24h'!J86)</f>
        <v>0</v>
      </c>
      <c r="K86" s="49">
        <f>AVERAGE('26.07 Natete-Rubaga-24h'!K86,'27.07 Natete-Rubaga-24h'!K86)</f>
        <v>0</v>
      </c>
      <c r="L86" s="49">
        <f>AVERAGE('26.07 Natete-Rubaga-24h'!L86,'27.07 Natete-Rubaga-24h'!L86)</f>
        <v>0</v>
      </c>
      <c r="M86" s="49">
        <f>AVERAGE('26.07 Natete-Rubaga-24h'!M86,'27.07 Natete-Rubaga-24h'!M86)</f>
        <v>16</v>
      </c>
      <c r="N86" s="49">
        <f>AVERAGE('26.07 Natete-Rubaga-24h'!N86,'27.07 Natete-Rubaga-24h'!N86)</f>
        <v>0</v>
      </c>
      <c r="O86" s="15">
        <f t="shared" si="35"/>
        <v>11.5</v>
      </c>
      <c r="P86" s="15">
        <f t="shared" si="36"/>
        <v>27.5</v>
      </c>
      <c r="R86" s="8"/>
      <c r="T86"/>
    </row>
    <row r="87" spans="2:20" ht="23.1" customHeight="1" x14ac:dyDescent="0.25">
      <c r="B87" s="23" t="s">
        <v>127</v>
      </c>
      <c r="C87" s="49">
        <f>AVERAGE('26.07 Natete-Rubaga-24h'!C87,'27.07 Natete-Rubaga-24h'!C87)</f>
        <v>3.5</v>
      </c>
      <c r="D87" s="49">
        <f>AVERAGE('26.07 Natete-Rubaga-24h'!D87,'27.07 Natete-Rubaga-24h'!D87)</f>
        <v>2</v>
      </c>
      <c r="E87" s="49">
        <f>AVERAGE('26.07 Natete-Rubaga-24h'!E87,'27.07 Natete-Rubaga-24h'!E87)</f>
        <v>0</v>
      </c>
      <c r="F87" s="49">
        <f>AVERAGE('26.07 Natete-Rubaga-24h'!F87,'27.07 Natete-Rubaga-24h'!F87)</f>
        <v>0.5</v>
      </c>
      <c r="G87" s="49">
        <f>AVERAGE('26.07 Natete-Rubaga-24h'!G87,'27.07 Natete-Rubaga-24h'!G87)</f>
        <v>0</v>
      </c>
      <c r="H87" s="49">
        <f>AVERAGE('26.07 Natete-Rubaga-24h'!H87,'27.07 Natete-Rubaga-24h'!H87)</f>
        <v>1.5</v>
      </c>
      <c r="I87" s="49">
        <f>AVERAGE('26.07 Natete-Rubaga-24h'!I87,'27.07 Natete-Rubaga-24h'!I87)</f>
        <v>1</v>
      </c>
      <c r="J87" s="49">
        <f>AVERAGE('26.07 Natete-Rubaga-24h'!J87,'27.07 Natete-Rubaga-24h'!J87)</f>
        <v>1</v>
      </c>
      <c r="K87" s="49">
        <f>AVERAGE('26.07 Natete-Rubaga-24h'!K87,'27.07 Natete-Rubaga-24h'!K87)</f>
        <v>0</v>
      </c>
      <c r="L87" s="49">
        <f>AVERAGE('26.07 Natete-Rubaga-24h'!L87,'27.07 Natete-Rubaga-24h'!L87)</f>
        <v>0</v>
      </c>
      <c r="M87" s="49">
        <f>AVERAGE('26.07 Natete-Rubaga-24h'!M87,'27.07 Natete-Rubaga-24h'!M87)</f>
        <v>19.5</v>
      </c>
      <c r="N87" s="49">
        <f>AVERAGE('26.07 Natete-Rubaga-24h'!N87,'27.07 Natete-Rubaga-24h'!N87)</f>
        <v>0</v>
      </c>
      <c r="O87" s="15">
        <f t="shared" si="35"/>
        <v>9.5</v>
      </c>
      <c r="P87" s="15">
        <f t="shared" si="36"/>
        <v>29</v>
      </c>
      <c r="R87" s="8"/>
      <c r="T87"/>
    </row>
    <row r="88" spans="2:20" ht="23.1" customHeight="1" x14ac:dyDescent="0.25">
      <c r="B88" s="25" t="s">
        <v>128</v>
      </c>
      <c r="C88" s="49">
        <f>AVERAGE('26.07 Natete-Rubaga-24h'!C88,'27.07 Natete-Rubaga-24h'!C88)</f>
        <v>6</v>
      </c>
      <c r="D88" s="49">
        <f>AVERAGE('26.07 Natete-Rubaga-24h'!D88,'27.07 Natete-Rubaga-24h'!D88)</f>
        <v>0.5</v>
      </c>
      <c r="E88" s="49">
        <f>AVERAGE('26.07 Natete-Rubaga-24h'!E88,'27.07 Natete-Rubaga-24h'!E88)</f>
        <v>0.5</v>
      </c>
      <c r="F88" s="49">
        <f>AVERAGE('26.07 Natete-Rubaga-24h'!F88,'27.07 Natete-Rubaga-24h'!F88)</f>
        <v>1.5</v>
      </c>
      <c r="G88" s="49">
        <f>AVERAGE('26.07 Natete-Rubaga-24h'!G88,'27.07 Natete-Rubaga-24h'!G88)</f>
        <v>0</v>
      </c>
      <c r="H88" s="49">
        <f>AVERAGE('26.07 Natete-Rubaga-24h'!H88,'27.07 Natete-Rubaga-24h'!H88)</f>
        <v>0.5</v>
      </c>
      <c r="I88" s="49">
        <f>AVERAGE('26.07 Natete-Rubaga-24h'!I88,'27.07 Natete-Rubaga-24h'!I88)</f>
        <v>0</v>
      </c>
      <c r="J88" s="49">
        <f>AVERAGE('26.07 Natete-Rubaga-24h'!J88,'27.07 Natete-Rubaga-24h'!J88)</f>
        <v>0</v>
      </c>
      <c r="K88" s="49">
        <f>AVERAGE('26.07 Natete-Rubaga-24h'!K88,'27.07 Natete-Rubaga-24h'!K88)</f>
        <v>0</v>
      </c>
      <c r="L88" s="49">
        <f>AVERAGE('26.07 Natete-Rubaga-24h'!L88,'27.07 Natete-Rubaga-24h'!L88)</f>
        <v>0</v>
      </c>
      <c r="M88" s="49">
        <f>AVERAGE('26.07 Natete-Rubaga-24h'!M88,'27.07 Natete-Rubaga-24h'!M88)</f>
        <v>7.5</v>
      </c>
      <c r="N88" s="49">
        <f>AVERAGE('26.07 Natete-Rubaga-24h'!N88,'27.07 Natete-Rubaga-24h'!N88)</f>
        <v>0</v>
      </c>
      <c r="O88" s="15">
        <f t="shared" si="35"/>
        <v>9</v>
      </c>
      <c r="P88" s="15">
        <f t="shared" si="36"/>
        <v>16.5</v>
      </c>
      <c r="R88" s="8"/>
      <c r="T88"/>
    </row>
    <row r="89" spans="2:20" ht="23.1" customHeight="1" x14ac:dyDescent="0.25">
      <c r="B89" s="23" t="s">
        <v>129</v>
      </c>
      <c r="C89" s="49">
        <f>AVERAGE('26.07 Natete-Rubaga-24h'!C89,'27.07 Natete-Rubaga-24h'!C89)</f>
        <v>9</v>
      </c>
      <c r="D89" s="49">
        <f>AVERAGE('26.07 Natete-Rubaga-24h'!D89,'27.07 Natete-Rubaga-24h'!D89)</f>
        <v>0.5</v>
      </c>
      <c r="E89" s="49">
        <f>AVERAGE('26.07 Natete-Rubaga-24h'!E89,'27.07 Natete-Rubaga-24h'!E89)</f>
        <v>1.5</v>
      </c>
      <c r="F89" s="49">
        <f>AVERAGE('26.07 Natete-Rubaga-24h'!F89,'27.07 Natete-Rubaga-24h'!F89)</f>
        <v>1.5</v>
      </c>
      <c r="G89" s="49">
        <f>AVERAGE('26.07 Natete-Rubaga-24h'!G89,'27.07 Natete-Rubaga-24h'!G89)</f>
        <v>0</v>
      </c>
      <c r="H89" s="49">
        <f>AVERAGE('26.07 Natete-Rubaga-24h'!H89,'27.07 Natete-Rubaga-24h'!H89)</f>
        <v>0.5</v>
      </c>
      <c r="I89" s="49">
        <f>AVERAGE('26.07 Natete-Rubaga-24h'!I89,'27.07 Natete-Rubaga-24h'!I89)</f>
        <v>0.5</v>
      </c>
      <c r="J89" s="49">
        <f>AVERAGE('26.07 Natete-Rubaga-24h'!J89,'27.07 Natete-Rubaga-24h'!J89)</f>
        <v>0</v>
      </c>
      <c r="K89" s="49">
        <f>AVERAGE('26.07 Natete-Rubaga-24h'!K89,'27.07 Natete-Rubaga-24h'!K89)</f>
        <v>0.5</v>
      </c>
      <c r="L89" s="49">
        <f>AVERAGE('26.07 Natete-Rubaga-24h'!L89,'27.07 Natete-Rubaga-24h'!L89)</f>
        <v>0</v>
      </c>
      <c r="M89" s="49">
        <f>AVERAGE('26.07 Natete-Rubaga-24h'!M89,'27.07 Natete-Rubaga-24h'!M89)</f>
        <v>18.5</v>
      </c>
      <c r="N89" s="49">
        <f>AVERAGE('26.07 Natete-Rubaga-24h'!N89,'27.07 Natete-Rubaga-24h'!N89)</f>
        <v>0</v>
      </c>
      <c r="O89" s="15">
        <f t="shared" si="35"/>
        <v>14</v>
      </c>
      <c r="P89" s="15">
        <f t="shared" si="36"/>
        <v>32.5</v>
      </c>
      <c r="R89" s="8"/>
      <c r="T89"/>
    </row>
    <row r="90" spans="2:20" ht="23.1" customHeight="1" x14ac:dyDescent="0.25">
      <c r="B90" s="24" t="s">
        <v>130</v>
      </c>
      <c r="C90" s="49">
        <f>AVERAGE('26.07 Natete-Rubaga-24h'!C90,'27.07 Natete-Rubaga-24h'!C90)</f>
        <v>2</v>
      </c>
      <c r="D90" s="49">
        <f>AVERAGE('26.07 Natete-Rubaga-24h'!D90,'27.07 Natete-Rubaga-24h'!D90)</f>
        <v>0</v>
      </c>
      <c r="E90" s="49">
        <f>AVERAGE('26.07 Natete-Rubaga-24h'!E90,'27.07 Natete-Rubaga-24h'!E90)</f>
        <v>1.5</v>
      </c>
      <c r="F90" s="49">
        <f>AVERAGE('26.07 Natete-Rubaga-24h'!F90,'27.07 Natete-Rubaga-24h'!F90)</f>
        <v>2.5</v>
      </c>
      <c r="G90" s="49">
        <f>AVERAGE('26.07 Natete-Rubaga-24h'!G90,'27.07 Natete-Rubaga-24h'!G90)</f>
        <v>0</v>
      </c>
      <c r="H90" s="49">
        <f>AVERAGE('26.07 Natete-Rubaga-24h'!H90,'27.07 Natete-Rubaga-24h'!H90)</f>
        <v>1</v>
      </c>
      <c r="I90" s="49">
        <f>AVERAGE('26.07 Natete-Rubaga-24h'!I90,'27.07 Natete-Rubaga-24h'!I90)</f>
        <v>0</v>
      </c>
      <c r="J90" s="49">
        <f>AVERAGE('26.07 Natete-Rubaga-24h'!J90,'27.07 Natete-Rubaga-24h'!J90)</f>
        <v>0.5</v>
      </c>
      <c r="K90" s="49">
        <f>AVERAGE('26.07 Natete-Rubaga-24h'!K90,'27.07 Natete-Rubaga-24h'!K90)</f>
        <v>0</v>
      </c>
      <c r="L90" s="49">
        <f>AVERAGE('26.07 Natete-Rubaga-24h'!L90,'27.07 Natete-Rubaga-24h'!L90)</f>
        <v>0</v>
      </c>
      <c r="M90" s="49">
        <f>AVERAGE('26.07 Natete-Rubaga-24h'!M90,'27.07 Natete-Rubaga-24h'!M90)</f>
        <v>14</v>
      </c>
      <c r="N90" s="49">
        <f>AVERAGE('26.07 Natete-Rubaga-24h'!N90,'27.07 Natete-Rubaga-24h'!N90)</f>
        <v>0</v>
      </c>
      <c r="O90" s="15">
        <f t="shared" si="35"/>
        <v>7.5</v>
      </c>
      <c r="P90" s="15">
        <f t="shared" si="36"/>
        <v>21.5</v>
      </c>
      <c r="R90" s="8"/>
      <c r="T90"/>
    </row>
    <row r="91" spans="2:20" ht="23.1" customHeight="1" x14ac:dyDescent="0.25">
      <c r="B91" s="23" t="s">
        <v>131</v>
      </c>
      <c r="C91" s="49">
        <f>AVERAGE('26.07 Natete-Rubaga-24h'!C91,'27.07 Natete-Rubaga-24h'!C91)</f>
        <v>7.5</v>
      </c>
      <c r="D91" s="49">
        <f>AVERAGE('26.07 Natete-Rubaga-24h'!D91,'27.07 Natete-Rubaga-24h'!D91)</f>
        <v>0.5</v>
      </c>
      <c r="E91" s="49">
        <f>AVERAGE('26.07 Natete-Rubaga-24h'!E91,'27.07 Natete-Rubaga-24h'!E91)</f>
        <v>0</v>
      </c>
      <c r="F91" s="49">
        <f>AVERAGE('26.07 Natete-Rubaga-24h'!F91,'27.07 Natete-Rubaga-24h'!F91)</f>
        <v>0.5</v>
      </c>
      <c r="G91" s="49">
        <f>AVERAGE('26.07 Natete-Rubaga-24h'!G91,'27.07 Natete-Rubaga-24h'!G91)</f>
        <v>0</v>
      </c>
      <c r="H91" s="49">
        <f>AVERAGE('26.07 Natete-Rubaga-24h'!H91,'27.07 Natete-Rubaga-24h'!H91)</f>
        <v>2</v>
      </c>
      <c r="I91" s="49">
        <f>AVERAGE('26.07 Natete-Rubaga-24h'!I91,'27.07 Natete-Rubaga-24h'!I91)</f>
        <v>0</v>
      </c>
      <c r="J91" s="49">
        <f>AVERAGE('26.07 Natete-Rubaga-24h'!J91,'27.07 Natete-Rubaga-24h'!J91)</f>
        <v>0.5</v>
      </c>
      <c r="K91" s="49">
        <f>AVERAGE('26.07 Natete-Rubaga-24h'!K91,'27.07 Natete-Rubaga-24h'!K91)</f>
        <v>0</v>
      </c>
      <c r="L91" s="49">
        <f>AVERAGE('26.07 Natete-Rubaga-24h'!L91,'27.07 Natete-Rubaga-24h'!L91)</f>
        <v>0</v>
      </c>
      <c r="M91" s="49">
        <f>AVERAGE('26.07 Natete-Rubaga-24h'!M91,'27.07 Natete-Rubaga-24h'!M91)</f>
        <v>14</v>
      </c>
      <c r="N91" s="49">
        <f>AVERAGE('26.07 Natete-Rubaga-24h'!N91,'27.07 Natete-Rubaga-24h'!N91)</f>
        <v>0</v>
      </c>
      <c r="O91" s="15">
        <f t="shared" si="35"/>
        <v>11</v>
      </c>
      <c r="P91" s="15">
        <f t="shared" si="36"/>
        <v>25</v>
      </c>
      <c r="R91" s="8"/>
      <c r="T91"/>
    </row>
    <row r="92" spans="2:20" ht="23.1" customHeight="1" x14ac:dyDescent="0.25">
      <c r="B92" s="25" t="s">
        <v>132</v>
      </c>
      <c r="C92" s="49">
        <f>AVERAGE('26.07 Natete-Rubaga-24h'!C92,'27.07 Natete-Rubaga-24h'!C92)</f>
        <v>2.5</v>
      </c>
      <c r="D92" s="49">
        <f>AVERAGE('26.07 Natete-Rubaga-24h'!D92,'27.07 Natete-Rubaga-24h'!D92)</f>
        <v>0.5</v>
      </c>
      <c r="E92" s="49">
        <f>AVERAGE('26.07 Natete-Rubaga-24h'!E92,'27.07 Natete-Rubaga-24h'!E92)</f>
        <v>0</v>
      </c>
      <c r="F92" s="49">
        <f>AVERAGE('26.07 Natete-Rubaga-24h'!F92,'27.07 Natete-Rubaga-24h'!F92)</f>
        <v>0.5</v>
      </c>
      <c r="G92" s="49">
        <f>AVERAGE('26.07 Natete-Rubaga-24h'!G92,'27.07 Natete-Rubaga-24h'!G92)</f>
        <v>1</v>
      </c>
      <c r="H92" s="49">
        <f>AVERAGE('26.07 Natete-Rubaga-24h'!H92,'27.07 Natete-Rubaga-24h'!H92)</f>
        <v>0.5</v>
      </c>
      <c r="I92" s="49">
        <f>AVERAGE('26.07 Natete-Rubaga-24h'!I92,'27.07 Natete-Rubaga-24h'!I92)</f>
        <v>3</v>
      </c>
      <c r="J92" s="49">
        <f>AVERAGE('26.07 Natete-Rubaga-24h'!J92,'27.07 Natete-Rubaga-24h'!J92)</f>
        <v>0</v>
      </c>
      <c r="K92" s="49">
        <f>AVERAGE('26.07 Natete-Rubaga-24h'!K92,'27.07 Natete-Rubaga-24h'!K92)</f>
        <v>0</v>
      </c>
      <c r="L92" s="49">
        <f>AVERAGE('26.07 Natete-Rubaga-24h'!L92,'27.07 Natete-Rubaga-24h'!L92)</f>
        <v>0</v>
      </c>
      <c r="M92" s="49">
        <f>AVERAGE('26.07 Natete-Rubaga-24h'!M92,'27.07 Natete-Rubaga-24h'!M92)</f>
        <v>12</v>
      </c>
      <c r="N92" s="49">
        <f>AVERAGE('26.07 Natete-Rubaga-24h'!N92,'27.07 Natete-Rubaga-24h'!N92)</f>
        <v>0</v>
      </c>
      <c r="O92" s="15">
        <f t="shared" si="35"/>
        <v>8</v>
      </c>
      <c r="P92" s="15">
        <f t="shared" si="36"/>
        <v>20</v>
      </c>
      <c r="R92" s="8"/>
      <c r="T92"/>
    </row>
    <row r="93" spans="2:20" ht="23.1" customHeight="1" x14ac:dyDescent="0.25">
      <c r="B93" s="23" t="s">
        <v>133</v>
      </c>
      <c r="C93" s="49">
        <f>AVERAGE('26.07 Natete-Rubaga-24h'!C93,'27.07 Natete-Rubaga-24h'!C93)</f>
        <v>5</v>
      </c>
      <c r="D93" s="49">
        <f>AVERAGE('26.07 Natete-Rubaga-24h'!D93,'27.07 Natete-Rubaga-24h'!D93)</f>
        <v>2</v>
      </c>
      <c r="E93" s="49">
        <f>AVERAGE('26.07 Natete-Rubaga-24h'!E93,'27.07 Natete-Rubaga-24h'!E93)</f>
        <v>0.5</v>
      </c>
      <c r="F93" s="49">
        <f>AVERAGE('26.07 Natete-Rubaga-24h'!F93,'27.07 Natete-Rubaga-24h'!F93)</f>
        <v>2</v>
      </c>
      <c r="G93" s="49">
        <f>AVERAGE('26.07 Natete-Rubaga-24h'!G93,'27.07 Natete-Rubaga-24h'!G93)</f>
        <v>0</v>
      </c>
      <c r="H93" s="49">
        <f>AVERAGE('26.07 Natete-Rubaga-24h'!H93,'27.07 Natete-Rubaga-24h'!H93)</f>
        <v>0.5</v>
      </c>
      <c r="I93" s="49">
        <f>AVERAGE('26.07 Natete-Rubaga-24h'!I93,'27.07 Natete-Rubaga-24h'!I93)</f>
        <v>1</v>
      </c>
      <c r="J93" s="49">
        <f>AVERAGE('26.07 Natete-Rubaga-24h'!J93,'27.07 Natete-Rubaga-24h'!J93)</f>
        <v>0.5</v>
      </c>
      <c r="K93" s="49">
        <f>AVERAGE('26.07 Natete-Rubaga-24h'!K93,'27.07 Natete-Rubaga-24h'!K93)</f>
        <v>0</v>
      </c>
      <c r="L93" s="49">
        <f>AVERAGE('26.07 Natete-Rubaga-24h'!L93,'27.07 Natete-Rubaga-24h'!L93)</f>
        <v>0</v>
      </c>
      <c r="M93" s="49">
        <f>AVERAGE('26.07 Natete-Rubaga-24h'!M93,'27.07 Natete-Rubaga-24h'!M93)</f>
        <v>18</v>
      </c>
      <c r="N93" s="49">
        <f>AVERAGE('26.07 Natete-Rubaga-24h'!N93,'27.07 Natete-Rubaga-24h'!N93)</f>
        <v>0</v>
      </c>
      <c r="O93" s="15">
        <f t="shared" si="35"/>
        <v>11.5</v>
      </c>
      <c r="P93" s="15">
        <f t="shared" si="36"/>
        <v>29.5</v>
      </c>
      <c r="R93" s="8"/>
      <c r="T93"/>
    </row>
    <row r="94" spans="2:20" ht="23.1" customHeight="1" x14ac:dyDescent="0.25">
      <c r="B94" s="24" t="s">
        <v>134</v>
      </c>
      <c r="C94" s="49">
        <f>AVERAGE('26.07 Natete-Rubaga-24h'!C94,'27.07 Natete-Rubaga-24h'!C94)</f>
        <v>6</v>
      </c>
      <c r="D94" s="49">
        <f>AVERAGE('26.07 Natete-Rubaga-24h'!D94,'27.07 Natete-Rubaga-24h'!D94)</f>
        <v>0</v>
      </c>
      <c r="E94" s="49">
        <f>AVERAGE('26.07 Natete-Rubaga-24h'!E94,'27.07 Natete-Rubaga-24h'!E94)</f>
        <v>1</v>
      </c>
      <c r="F94" s="49">
        <f>AVERAGE('26.07 Natete-Rubaga-24h'!F94,'27.07 Natete-Rubaga-24h'!F94)</f>
        <v>1.5</v>
      </c>
      <c r="G94" s="49">
        <f>AVERAGE('26.07 Natete-Rubaga-24h'!G94,'27.07 Natete-Rubaga-24h'!G94)</f>
        <v>0</v>
      </c>
      <c r="H94" s="49">
        <f>AVERAGE('26.07 Natete-Rubaga-24h'!H94,'27.07 Natete-Rubaga-24h'!H94)</f>
        <v>2</v>
      </c>
      <c r="I94" s="49">
        <f>AVERAGE('26.07 Natete-Rubaga-24h'!I94,'27.07 Natete-Rubaga-24h'!I94)</f>
        <v>1</v>
      </c>
      <c r="J94" s="49">
        <f>AVERAGE('26.07 Natete-Rubaga-24h'!J94,'27.07 Natete-Rubaga-24h'!J94)</f>
        <v>0</v>
      </c>
      <c r="K94" s="49">
        <f>AVERAGE('26.07 Natete-Rubaga-24h'!K94,'27.07 Natete-Rubaga-24h'!K94)</f>
        <v>0</v>
      </c>
      <c r="L94" s="49">
        <f>AVERAGE('26.07 Natete-Rubaga-24h'!L94,'27.07 Natete-Rubaga-24h'!L94)</f>
        <v>0</v>
      </c>
      <c r="M94" s="49">
        <f>AVERAGE('26.07 Natete-Rubaga-24h'!M94,'27.07 Natete-Rubaga-24h'!M94)</f>
        <v>14.5</v>
      </c>
      <c r="N94" s="49">
        <f>AVERAGE('26.07 Natete-Rubaga-24h'!N94,'27.07 Natete-Rubaga-24h'!N94)</f>
        <v>0</v>
      </c>
      <c r="O94" s="15">
        <f t="shared" si="35"/>
        <v>11.5</v>
      </c>
      <c r="P94" s="15">
        <f t="shared" si="36"/>
        <v>26</v>
      </c>
      <c r="R94" s="8"/>
      <c r="T94"/>
    </row>
    <row r="95" spans="2:20" ht="23.1" customHeight="1" x14ac:dyDescent="0.25">
      <c r="B95" s="23" t="s">
        <v>135</v>
      </c>
      <c r="C95" s="49">
        <f>AVERAGE('26.07 Natete-Rubaga-24h'!C95,'27.07 Natete-Rubaga-24h'!C95)</f>
        <v>3.5</v>
      </c>
      <c r="D95" s="49">
        <f>AVERAGE('26.07 Natete-Rubaga-24h'!D95,'27.07 Natete-Rubaga-24h'!D95)</f>
        <v>1</v>
      </c>
      <c r="E95" s="49">
        <f>AVERAGE('26.07 Natete-Rubaga-24h'!E95,'27.07 Natete-Rubaga-24h'!E95)</f>
        <v>0</v>
      </c>
      <c r="F95" s="49">
        <f>AVERAGE('26.07 Natete-Rubaga-24h'!F95,'27.07 Natete-Rubaga-24h'!F95)</f>
        <v>5</v>
      </c>
      <c r="G95" s="49">
        <f>AVERAGE('26.07 Natete-Rubaga-24h'!G95,'27.07 Natete-Rubaga-24h'!G95)</f>
        <v>0</v>
      </c>
      <c r="H95" s="49">
        <f>AVERAGE('26.07 Natete-Rubaga-24h'!H95,'27.07 Natete-Rubaga-24h'!H95)</f>
        <v>1.5</v>
      </c>
      <c r="I95" s="49">
        <f>AVERAGE('26.07 Natete-Rubaga-24h'!I95,'27.07 Natete-Rubaga-24h'!I95)</f>
        <v>0</v>
      </c>
      <c r="J95" s="49">
        <f>AVERAGE('26.07 Natete-Rubaga-24h'!J95,'27.07 Natete-Rubaga-24h'!J95)</f>
        <v>1.5</v>
      </c>
      <c r="K95" s="49">
        <f>AVERAGE('26.07 Natete-Rubaga-24h'!K95,'27.07 Natete-Rubaga-24h'!K95)</f>
        <v>0</v>
      </c>
      <c r="L95" s="49">
        <f>AVERAGE('26.07 Natete-Rubaga-24h'!L95,'27.07 Natete-Rubaga-24h'!L95)</f>
        <v>0</v>
      </c>
      <c r="M95" s="49">
        <f>AVERAGE('26.07 Natete-Rubaga-24h'!M95,'27.07 Natete-Rubaga-24h'!M95)</f>
        <v>14</v>
      </c>
      <c r="N95" s="49">
        <f>AVERAGE('26.07 Natete-Rubaga-24h'!N95,'27.07 Natete-Rubaga-24h'!N95)</f>
        <v>0</v>
      </c>
      <c r="O95" s="15">
        <f t="shared" si="35"/>
        <v>12.5</v>
      </c>
      <c r="P95" s="15">
        <f t="shared" si="36"/>
        <v>26.5</v>
      </c>
      <c r="R95" s="8"/>
      <c r="T95"/>
    </row>
    <row r="96" spans="2:20" ht="23.1" customHeight="1" x14ac:dyDescent="0.25">
      <c r="B96" s="25" t="s">
        <v>136</v>
      </c>
      <c r="C96" s="49">
        <f>AVERAGE('26.07 Natete-Rubaga-24h'!C96,'27.07 Natete-Rubaga-24h'!C96)</f>
        <v>7</v>
      </c>
      <c r="D96" s="49">
        <f>AVERAGE('26.07 Natete-Rubaga-24h'!D96,'27.07 Natete-Rubaga-24h'!D96)</f>
        <v>5</v>
      </c>
      <c r="E96" s="49">
        <f>AVERAGE('26.07 Natete-Rubaga-24h'!E96,'27.07 Natete-Rubaga-24h'!E96)</f>
        <v>0.5</v>
      </c>
      <c r="F96" s="49">
        <f>AVERAGE('26.07 Natete-Rubaga-24h'!F96,'27.07 Natete-Rubaga-24h'!F96)</f>
        <v>8</v>
      </c>
      <c r="G96" s="49">
        <f>AVERAGE('26.07 Natete-Rubaga-24h'!G96,'27.07 Natete-Rubaga-24h'!G96)</f>
        <v>1</v>
      </c>
      <c r="H96" s="49">
        <f>AVERAGE('26.07 Natete-Rubaga-24h'!H96,'27.07 Natete-Rubaga-24h'!H96)</f>
        <v>4</v>
      </c>
      <c r="I96" s="49">
        <f>AVERAGE('26.07 Natete-Rubaga-24h'!I96,'27.07 Natete-Rubaga-24h'!I96)</f>
        <v>1.5</v>
      </c>
      <c r="J96" s="49">
        <f>AVERAGE('26.07 Natete-Rubaga-24h'!J96,'27.07 Natete-Rubaga-24h'!J96)</f>
        <v>1</v>
      </c>
      <c r="K96" s="49">
        <f>AVERAGE('26.07 Natete-Rubaga-24h'!K96,'27.07 Natete-Rubaga-24h'!K96)</f>
        <v>0</v>
      </c>
      <c r="L96" s="49">
        <f>AVERAGE('26.07 Natete-Rubaga-24h'!L96,'27.07 Natete-Rubaga-24h'!L96)</f>
        <v>0</v>
      </c>
      <c r="M96" s="49">
        <f>AVERAGE('26.07 Natete-Rubaga-24h'!M96,'27.07 Natete-Rubaga-24h'!M96)</f>
        <v>36.5</v>
      </c>
      <c r="N96" s="49">
        <f>AVERAGE('26.07 Natete-Rubaga-24h'!N96,'27.07 Natete-Rubaga-24h'!N96)</f>
        <v>0</v>
      </c>
      <c r="O96" s="15">
        <f t="shared" si="35"/>
        <v>28</v>
      </c>
      <c r="P96" s="15">
        <f t="shared" si="36"/>
        <v>64.5</v>
      </c>
      <c r="R96" s="8"/>
      <c r="T96"/>
    </row>
    <row r="97" spans="2:20" ht="23.1" customHeight="1" x14ac:dyDescent="0.25">
      <c r="B97" s="23" t="s">
        <v>137</v>
      </c>
      <c r="C97" s="49">
        <f>AVERAGE('26.07 Natete-Rubaga-24h'!C97,'27.07 Natete-Rubaga-24h'!C97)</f>
        <v>5.5</v>
      </c>
      <c r="D97" s="49">
        <f>AVERAGE('26.07 Natete-Rubaga-24h'!D97,'27.07 Natete-Rubaga-24h'!D97)</f>
        <v>4</v>
      </c>
      <c r="E97" s="49">
        <f>AVERAGE('26.07 Natete-Rubaga-24h'!E97,'27.07 Natete-Rubaga-24h'!E97)</f>
        <v>1</v>
      </c>
      <c r="F97" s="49">
        <f>AVERAGE('26.07 Natete-Rubaga-24h'!F97,'27.07 Natete-Rubaga-24h'!F97)</f>
        <v>9</v>
      </c>
      <c r="G97" s="49">
        <f>AVERAGE('26.07 Natete-Rubaga-24h'!G97,'27.07 Natete-Rubaga-24h'!G97)</f>
        <v>0</v>
      </c>
      <c r="H97" s="49">
        <f>AVERAGE('26.07 Natete-Rubaga-24h'!H97,'27.07 Natete-Rubaga-24h'!H97)</f>
        <v>3</v>
      </c>
      <c r="I97" s="49">
        <f>AVERAGE('26.07 Natete-Rubaga-24h'!I97,'27.07 Natete-Rubaga-24h'!I97)</f>
        <v>2</v>
      </c>
      <c r="J97" s="49">
        <f>AVERAGE('26.07 Natete-Rubaga-24h'!J97,'27.07 Natete-Rubaga-24h'!J97)</f>
        <v>0</v>
      </c>
      <c r="K97" s="49">
        <f>AVERAGE('26.07 Natete-Rubaga-24h'!K97,'27.07 Natete-Rubaga-24h'!K97)</f>
        <v>0</v>
      </c>
      <c r="L97" s="49">
        <f>AVERAGE('26.07 Natete-Rubaga-24h'!L97,'27.07 Natete-Rubaga-24h'!L97)</f>
        <v>0</v>
      </c>
      <c r="M97" s="49">
        <f>AVERAGE('26.07 Natete-Rubaga-24h'!M97,'27.07 Natete-Rubaga-24h'!M97)</f>
        <v>18</v>
      </c>
      <c r="N97" s="49">
        <f>AVERAGE('26.07 Natete-Rubaga-24h'!N97,'27.07 Natete-Rubaga-24h'!N97)</f>
        <v>0</v>
      </c>
      <c r="O97" s="15">
        <f t="shared" si="35"/>
        <v>24.5</v>
      </c>
      <c r="P97" s="15">
        <f t="shared" si="36"/>
        <v>42.5</v>
      </c>
      <c r="R97" s="8"/>
      <c r="T97"/>
    </row>
    <row r="98" spans="2:20" ht="23.1" customHeight="1" x14ac:dyDescent="0.25">
      <c r="B98" s="24" t="s">
        <v>138</v>
      </c>
      <c r="C98" s="49">
        <f>AVERAGE('26.07 Natete-Rubaga-24h'!C98,'27.07 Natete-Rubaga-24h'!C98)</f>
        <v>3</v>
      </c>
      <c r="D98" s="49">
        <f>AVERAGE('26.07 Natete-Rubaga-24h'!D98,'27.07 Natete-Rubaga-24h'!D98)</f>
        <v>2.5</v>
      </c>
      <c r="E98" s="49">
        <f>AVERAGE('26.07 Natete-Rubaga-24h'!E98,'27.07 Natete-Rubaga-24h'!E98)</f>
        <v>1</v>
      </c>
      <c r="F98" s="49">
        <f>AVERAGE('26.07 Natete-Rubaga-24h'!F98,'27.07 Natete-Rubaga-24h'!F98)</f>
        <v>11</v>
      </c>
      <c r="G98" s="49">
        <f>AVERAGE('26.07 Natete-Rubaga-24h'!G98,'27.07 Natete-Rubaga-24h'!G98)</f>
        <v>0</v>
      </c>
      <c r="H98" s="49">
        <f>AVERAGE('26.07 Natete-Rubaga-24h'!H98,'27.07 Natete-Rubaga-24h'!H98)</f>
        <v>1.5</v>
      </c>
      <c r="I98" s="49">
        <f>AVERAGE('26.07 Natete-Rubaga-24h'!I98,'27.07 Natete-Rubaga-24h'!I98)</f>
        <v>1</v>
      </c>
      <c r="J98" s="49">
        <f>AVERAGE('26.07 Natete-Rubaga-24h'!J98,'27.07 Natete-Rubaga-24h'!J98)</f>
        <v>0.5</v>
      </c>
      <c r="K98" s="49">
        <f>AVERAGE('26.07 Natete-Rubaga-24h'!K98,'27.07 Natete-Rubaga-24h'!K98)</f>
        <v>0</v>
      </c>
      <c r="L98" s="49">
        <f>AVERAGE('26.07 Natete-Rubaga-24h'!L98,'27.07 Natete-Rubaga-24h'!L98)</f>
        <v>0</v>
      </c>
      <c r="M98" s="49">
        <f>AVERAGE('26.07 Natete-Rubaga-24h'!M98,'27.07 Natete-Rubaga-24h'!M98)</f>
        <v>49</v>
      </c>
      <c r="N98" s="49">
        <f>AVERAGE('26.07 Natete-Rubaga-24h'!N98,'27.07 Natete-Rubaga-24h'!N98)</f>
        <v>0</v>
      </c>
      <c r="O98" s="15">
        <f t="shared" si="35"/>
        <v>20.5</v>
      </c>
      <c r="P98" s="15">
        <f t="shared" si="36"/>
        <v>69.5</v>
      </c>
      <c r="R98" s="8"/>
      <c r="T98"/>
    </row>
    <row r="99" spans="2:20" ht="23.1" customHeight="1" x14ac:dyDescent="0.25">
      <c r="B99" s="23" t="s">
        <v>139</v>
      </c>
      <c r="C99" s="49">
        <f>AVERAGE('26.07 Natete-Rubaga-24h'!C99,'27.07 Natete-Rubaga-24h'!C99)</f>
        <v>4.5</v>
      </c>
      <c r="D99" s="49">
        <f>AVERAGE('26.07 Natete-Rubaga-24h'!D99,'27.07 Natete-Rubaga-24h'!D99)</f>
        <v>8</v>
      </c>
      <c r="E99" s="49">
        <f>AVERAGE('26.07 Natete-Rubaga-24h'!E99,'27.07 Natete-Rubaga-24h'!E99)</f>
        <v>0</v>
      </c>
      <c r="F99" s="49">
        <f>AVERAGE('26.07 Natete-Rubaga-24h'!F99,'27.07 Natete-Rubaga-24h'!F99)</f>
        <v>42</v>
      </c>
      <c r="G99" s="49">
        <f>AVERAGE('26.07 Natete-Rubaga-24h'!G99,'27.07 Natete-Rubaga-24h'!G99)</f>
        <v>0</v>
      </c>
      <c r="H99" s="49">
        <f>AVERAGE('26.07 Natete-Rubaga-24h'!H99,'27.07 Natete-Rubaga-24h'!H99)</f>
        <v>0</v>
      </c>
      <c r="I99" s="49">
        <f>AVERAGE('26.07 Natete-Rubaga-24h'!I99,'27.07 Natete-Rubaga-24h'!I99)</f>
        <v>0</v>
      </c>
      <c r="J99" s="49">
        <f>AVERAGE('26.07 Natete-Rubaga-24h'!J99,'27.07 Natete-Rubaga-24h'!J99)</f>
        <v>1</v>
      </c>
      <c r="K99" s="49">
        <f>AVERAGE('26.07 Natete-Rubaga-24h'!K99,'27.07 Natete-Rubaga-24h'!K99)</f>
        <v>0</v>
      </c>
      <c r="L99" s="49">
        <f>AVERAGE('26.07 Natete-Rubaga-24h'!L99,'27.07 Natete-Rubaga-24h'!L99)</f>
        <v>0</v>
      </c>
      <c r="M99" s="49">
        <f>AVERAGE('26.07 Natete-Rubaga-24h'!M99,'27.07 Natete-Rubaga-24h'!M99)</f>
        <v>54.5</v>
      </c>
      <c r="N99" s="49">
        <f>AVERAGE('26.07 Natete-Rubaga-24h'!N99,'27.07 Natete-Rubaga-24h'!N99)</f>
        <v>0</v>
      </c>
      <c r="O99" s="15">
        <f t="shared" si="35"/>
        <v>55.5</v>
      </c>
      <c r="P99" s="15">
        <f t="shared" si="36"/>
        <v>110</v>
      </c>
      <c r="R99" s="8"/>
      <c r="T99"/>
    </row>
    <row r="100" spans="2:20" ht="23.1" customHeight="1" x14ac:dyDescent="0.25">
      <c r="B100" s="25" t="s">
        <v>140</v>
      </c>
      <c r="C100" s="49">
        <f>AVERAGE('26.07 Natete-Rubaga-24h'!C100,'27.07 Natete-Rubaga-24h'!C100)</f>
        <v>5</v>
      </c>
      <c r="D100" s="49">
        <f>AVERAGE('26.07 Natete-Rubaga-24h'!D100,'27.07 Natete-Rubaga-24h'!D100)</f>
        <v>5</v>
      </c>
      <c r="E100" s="49">
        <f>AVERAGE('26.07 Natete-Rubaga-24h'!E100,'27.07 Natete-Rubaga-24h'!E100)</f>
        <v>0.5</v>
      </c>
      <c r="F100" s="49">
        <f>AVERAGE('26.07 Natete-Rubaga-24h'!F100,'27.07 Natete-Rubaga-24h'!F100)</f>
        <v>38.5</v>
      </c>
      <c r="G100" s="49">
        <f>AVERAGE('26.07 Natete-Rubaga-24h'!G100,'27.07 Natete-Rubaga-24h'!G100)</f>
        <v>0</v>
      </c>
      <c r="H100" s="49">
        <f>AVERAGE('26.07 Natete-Rubaga-24h'!H100,'27.07 Natete-Rubaga-24h'!H100)</f>
        <v>3.5</v>
      </c>
      <c r="I100" s="49">
        <f>AVERAGE('26.07 Natete-Rubaga-24h'!I100,'27.07 Natete-Rubaga-24h'!I100)</f>
        <v>1</v>
      </c>
      <c r="J100" s="49">
        <f>AVERAGE('26.07 Natete-Rubaga-24h'!J100,'27.07 Natete-Rubaga-24h'!J100)</f>
        <v>0</v>
      </c>
      <c r="K100" s="49">
        <f>AVERAGE('26.07 Natete-Rubaga-24h'!K100,'27.07 Natete-Rubaga-24h'!K100)</f>
        <v>0</v>
      </c>
      <c r="L100" s="49">
        <f>AVERAGE('26.07 Natete-Rubaga-24h'!L100,'27.07 Natete-Rubaga-24h'!L100)</f>
        <v>0</v>
      </c>
      <c r="M100" s="49">
        <f>AVERAGE('26.07 Natete-Rubaga-24h'!M100,'27.07 Natete-Rubaga-24h'!M100)</f>
        <v>53</v>
      </c>
      <c r="N100" s="49">
        <f>AVERAGE('26.07 Natete-Rubaga-24h'!N100,'27.07 Natete-Rubaga-24h'!N100)</f>
        <v>0</v>
      </c>
      <c r="O100" s="15">
        <f t="shared" si="35"/>
        <v>53.5</v>
      </c>
      <c r="P100" s="15">
        <f t="shared" si="36"/>
        <v>106.5</v>
      </c>
      <c r="R100" s="8"/>
      <c r="T100"/>
    </row>
    <row r="101" spans="2:20" ht="23.1" customHeight="1" x14ac:dyDescent="0.25">
      <c r="B101" s="23" t="s">
        <v>141</v>
      </c>
      <c r="C101" s="49">
        <f>AVERAGE('26.07 Natete-Rubaga-24h'!C101,'27.07 Natete-Rubaga-24h'!C101)</f>
        <v>6</v>
      </c>
      <c r="D101" s="49">
        <f>AVERAGE('26.07 Natete-Rubaga-24h'!D101,'27.07 Natete-Rubaga-24h'!D101)</f>
        <v>7</v>
      </c>
      <c r="E101" s="49">
        <f>AVERAGE('26.07 Natete-Rubaga-24h'!E101,'27.07 Natete-Rubaga-24h'!E101)</f>
        <v>4</v>
      </c>
      <c r="F101" s="49">
        <f>AVERAGE('26.07 Natete-Rubaga-24h'!F101,'27.07 Natete-Rubaga-24h'!F101)</f>
        <v>45</v>
      </c>
      <c r="G101" s="49">
        <f>AVERAGE('26.07 Natete-Rubaga-24h'!G101,'27.07 Natete-Rubaga-24h'!G101)</f>
        <v>2</v>
      </c>
      <c r="H101" s="49">
        <f>AVERAGE('26.07 Natete-Rubaga-24h'!H101,'27.07 Natete-Rubaga-24h'!H101)</f>
        <v>2.5</v>
      </c>
      <c r="I101" s="49">
        <f>AVERAGE('26.07 Natete-Rubaga-24h'!I101,'27.07 Natete-Rubaga-24h'!I101)</f>
        <v>0.5</v>
      </c>
      <c r="J101" s="49">
        <f>AVERAGE('26.07 Natete-Rubaga-24h'!J101,'27.07 Natete-Rubaga-24h'!J101)</f>
        <v>1</v>
      </c>
      <c r="K101" s="49">
        <f>AVERAGE('26.07 Natete-Rubaga-24h'!K101,'27.07 Natete-Rubaga-24h'!K101)</f>
        <v>0</v>
      </c>
      <c r="L101" s="49">
        <f>AVERAGE('26.07 Natete-Rubaga-24h'!L101,'27.07 Natete-Rubaga-24h'!L101)</f>
        <v>0</v>
      </c>
      <c r="M101" s="49">
        <f>AVERAGE('26.07 Natete-Rubaga-24h'!M101,'27.07 Natete-Rubaga-24h'!M101)</f>
        <v>64</v>
      </c>
      <c r="N101" s="49">
        <f>AVERAGE('26.07 Natete-Rubaga-24h'!N101,'27.07 Natete-Rubaga-24h'!N101)</f>
        <v>0</v>
      </c>
      <c r="O101" s="15">
        <f t="shared" si="35"/>
        <v>68</v>
      </c>
      <c r="P101" s="15">
        <f t="shared" si="36"/>
        <v>132</v>
      </c>
      <c r="R101" s="8"/>
      <c r="T101"/>
    </row>
    <row r="102" spans="2:20" ht="23.1" customHeight="1" x14ac:dyDescent="0.25">
      <c r="B102" s="24" t="s">
        <v>142</v>
      </c>
      <c r="C102" s="49">
        <f>AVERAGE('26.07 Natete-Rubaga-24h'!C102,'27.07 Natete-Rubaga-24h'!C102)</f>
        <v>3</v>
      </c>
      <c r="D102" s="49">
        <f>AVERAGE('26.07 Natete-Rubaga-24h'!D102,'27.07 Natete-Rubaga-24h'!D102)</f>
        <v>5</v>
      </c>
      <c r="E102" s="49">
        <f>AVERAGE('26.07 Natete-Rubaga-24h'!E102,'27.07 Natete-Rubaga-24h'!E102)</f>
        <v>0</v>
      </c>
      <c r="F102" s="49">
        <f>AVERAGE('26.07 Natete-Rubaga-24h'!F102,'27.07 Natete-Rubaga-24h'!F102)</f>
        <v>19</v>
      </c>
      <c r="G102" s="49">
        <f>AVERAGE('26.07 Natete-Rubaga-24h'!G102,'27.07 Natete-Rubaga-24h'!G102)</f>
        <v>0.5</v>
      </c>
      <c r="H102" s="49">
        <f>AVERAGE('26.07 Natete-Rubaga-24h'!H102,'27.07 Natete-Rubaga-24h'!H102)</f>
        <v>2</v>
      </c>
      <c r="I102" s="49">
        <f>AVERAGE('26.07 Natete-Rubaga-24h'!I102,'27.07 Natete-Rubaga-24h'!I102)</f>
        <v>3</v>
      </c>
      <c r="J102" s="49">
        <f>AVERAGE('26.07 Natete-Rubaga-24h'!J102,'27.07 Natete-Rubaga-24h'!J102)</f>
        <v>0</v>
      </c>
      <c r="K102" s="49">
        <f>AVERAGE('26.07 Natete-Rubaga-24h'!K102,'27.07 Natete-Rubaga-24h'!K102)</f>
        <v>0</v>
      </c>
      <c r="L102" s="49">
        <f>AVERAGE('26.07 Natete-Rubaga-24h'!L102,'27.07 Natete-Rubaga-24h'!L102)</f>
        <v>0.5</v>
      </c>
      <c r="M102" s="49">
        <f>AVERAGE('26.07 Natete-Rubaga-24h'!M102,'27.07 Natete-Rubaga-24h'!M102)</f>
        <v>43</v>
      </c>
      <c r="N102" s="49">
        <f>AVERAGE('26.07 Natete-Rubaga-24h'!N102,'27.07 Natete-Rubaga-24h'!N102)</f>
        <v>0</v>
      </c>
      <c r="O102" s="15">
        <f t="shared" si="35"/>
        <v>33</v>
      </c>
      <c r="P102" s="15">
        <f t="shared" si="36"/>
        <v>76</v>
      </c>
      <c r="R102" s="8"/>
      <c r="T102"/>
    </row>
    <row r="103" spans="2:20" ht="23.1" customHeight="1" x14ac:dyDescent="0.25">
      <c r="B103" s="23" t="s">
        <v>143</v>
      </c>
      <c r="C103" s="49">
        <f>AVERAGE('26.07 Natete-Rubaga-24h'!C103,'27.07 Natete-Rubaga-24h'!C103)</f>
        <v>5.5</v>
      </c>
      <c r="D103" s="49">
        <f>AVERAGE('26.07 Natete-Rubaga-24h'!D103,'27.07 Natete-Rubaga-24h'!D103)</f>
        <v>9</v>
      </c>
      <c r="E103" s="49">
        <f>AVERAGE('26.07 Natete-Rubaga-24h'!E103,'27.07 Natete-Rubaga-24h'!E103)</f>
        <v>1.5</v>
      </c>
      <c r="F103" s="49">
        <f>AVERAGE('26.07 Natete-Rubaga-24h'!F103,'27.07 Natete-Rubaga-24h'!F103)</f>
        <v>40</v>
      </c>
      <c r="G103" s="49">
        <f>AVERAGE('26.07 Natete-Rubaga-24h'!G103,'27.07 Natete-Rubaga-24h'!G103)</f>
        <v>1</v>
      </c>
      <c r="H103" s="49">
        <f>AVERAGE('26.07 Natete-Rubaga-24h'!H103,'27.07 Natete-Rubaga-24h'!H103)</f>
        <v>1.5</v>
      </c>
      <c r="I103" s="49">
        <f>AVERAGE('26.07 Natete-Rubaga-24h'!I103,'27.07 Natete-Rubaga-24h'!I103)</f>
        <v>3</v>
      </c>
      <c r="J103" s="49">
        <f>AVERAGE('26.07 Natete-Rubaga-24h'!J103,'27.07 Natete-Rubaga-24h'!J103)</f>
        <v>0.5</v>
      </c>
      <c r="K103" s="49">
        <f>AVERAGE('26.07 Natete-Rubaga-24h'!K103,'27.07 Natete-Rubaga-24h'!K103)</f>
        <v>0</v>
      </c>
      <c r="L103" s="49">
        <f>AVERAGE('26.07 Natete-Rubaga-24h'!L103,'27.07 Natete-Rubaga-24h'!L103)</f>
        <v>0</v>
      </c>
      <c r="M103" s="49">
        <f>AVERAGE('26.07 Natete-Rubaga-24h'!M103,'27.07 Natete-Rubaga-24h'!M103)</f>
        <v>85</v>
      </c>
      <c r="N103" s="49">
        <f>AVERAGE('26.07 Natete-Rubaga-24h'!N103,'27.07 Natete-Rubaga-24h'!N103)</f>
        <v>0</v>
      </c>
      <c r="O103" s="15">
        <f t="shared" si="35"/>
        <v>62</v>
      </c>
      <c r="P103" s="15">
        <f t="shared" si="36"/>
        <v>147</v>
      </c>
      <c r="R103" s="8"/>
      <c r="T103"/>
    </row>
    <row r="104" spans="2:20" ht="23.1" customHeight="1" x14ac:dyDescent="0.25">
      <c r="B104" s="25" t="s">
        <v>144</v>
      </c>
      <c r="C104" s="49">
        <f>AVERAGE('26.07 Natete-Rubaga-24h'!C104,'27.07 Natete-Rubaga-24h'!C104)</f>
        <v>6.5</v>
      </c>
      <c r="D104" s="49">
        <f>AVERAGE('26.07 Natete-Rubaga-24h'!D104,'27.07 Natete-Rubaga-24h'!D104)</f>
        <v>24.5</v>
      </c>
      <c r="E104" s="49">
        <f>AVERAGE('26.07 Natete-Rubaga-24h'!E104,'27.07 Natete-Rubaga-24h'!E104)</f>
        <v>3</v>
      </c>
      <c r="F104" s="49">
        <f>AVERAGE('26.07 Natete-Rubaga-24h'!F104,'27.07 Natete-Rubaga-24h'!F104)</f>
        <v>52.5</v>
      </c>
      <c r="G104" s="49">
        <f>AVERAGE('26.07 Natete-Rubaga-24h'!G104,'27.07 Natete-Rubaga-24h'!G104)</f>
        <v>2</v>
      </c>
      <c r="H104" s="49">
        <f>AVERAGE('26.07 Natete-Rubaga-24h'!H104,'27.07 Natete-Rubaga-24h'!H104)</f>
        <v>1</v>
      </c>
      <c r="I104" s="49">
        <f>AVERAGE('26.07 Natete-Rubaga-24h'!I104,'27.07 Natete-Rubaga-24h'!I104)</f>
        <v>3</v>
      </c>
      <c r="J104" s="49">
        <f>AVERAGE('26.07 Natete-Rubaga-24h'!J104,'27.07 Natete-Rubaga-24h'!J104)</f>
        <v>1</v>
      </c>
      <c r="K104" s="49">
        <f>AVERAGE('26.07 Natete-Rubaga-24h'!K104,'27.07 Natete-Rubaga-24h'!K104)</f>
        <v>0</v>
      </c>
      <c r="L104" s="49">
        <f>AVERAGE('26.07 Natete-Rubaga-24h'!L104,'27.07 Natete-Rubaga-24h'!L104)</f>
        <v>0</v>
      </c>
      <c r="M104" s="49">
        <f>AVERAGE('26.07 Natete-Rubaga-24h'!M104,'27.07 Natete-Rubaga-24h'!M104)</f>
        <v>102.5</v>
      </c>
      <c r="N104" s="49">
        <f>AVERAGE('26.07 Natete-Rubaga-24h'!N104,'27.07 Natete-Rubaga-24h'!N104)</f>
        <v>0</v>
      </c>
      <c r="O104" s="15">
        <f t="shared" si="35"/>
        <v>93.5</v>
      </c>
      <c r="P104" s="15">
        <f t="shared" si="36"/>
        <v>196</v>
      </c>
      <c r="R104" s="8"/>
      <c r="T104"/>
    </row>
    <row r="105" spans="2:20" ht="23.1" customHeight="1" x14ac:dyDescent="0.25">
      <c r="B105" s="23" t="s">
        <v>145</v>
      </c>
      <c r="C105" s="49">
        <f>AVERAGE('26.07 Natete-Rubaga-24h'!C105,'27.07 Natete-Rubaga-24h'!C105)</f>
        <v>12</v>
      </c>
      <c r="D105" s="49">
        <f>AVERAGE('26.07 Natete-Rubaga-24h'!D105,'27.07 Natete-Rubaga-24h'!D105)</f>
        <v>11</v>
      </c>
      <c r="E105" s="49">
        <f>AVERAGE('26.07 Natete-Rubaga-24h'!E105,'27.07 Natete-Rubaga-24h'!E105)</f>
        <v>4</v>
      </c>
      <c r="F105" s="49">
        <f>AVERAGE('26.07 Natete-Rubaga-24h'!F105,'27.07 Natete-Rubaga-24h'!F105)</f>
        <v>47.5</v>
      </c>
      <c r="G105" s="49">
        <f>AVERAGE('26.07 Natete-Rubaga-24h'!G105,'27.07 Natete-Rubaga-24h'!G105)</f>
        <v>0</v>
      </c>
      <c r="H105" s="49">
        <f>AVERAGE('26.07 Natete-Rubaga-24h'!H105,'27.07 Natete-Rubaga-24h'!H105)</f>
        <v>0.5</v>
      </c>
      <c r="I105" s="49">
        <f>AVERAGE('26.07 Natete-Rubaga-24h'!I105,'27.07 Natete-Rubaga-24h'!I105)</f>
        <v>7.5</v>
      </c>
      <c r="J105" s="49">
        <f>AVERAGE('26.07 Natete-Rubaga-24h'!J105,'27.07 Natete-Rubaga-24h'!J105)</f>
        <v>2.5</v>
      </c>
      <c r="K105" s="49">
        <f>AVERAGE('26.07 Natete-Rubaga-24h'!K105,'27.07 Natete-Rubaga-24h'!K105)</f>
        <v>0</v>
      </c>
      <c r="L105" s="49">
        <f>AVERAGE('26.07 Natete-Rubaga-24h'!L105,'27.07 Natete-Rubaga-24h'!L105)</f>
        <v>0</v>
      </c>
      <c r="M105" s="49">
        <f>AVERAGE('26.07 Natete-Rubaga-24h'!M105,'27.07 Natete-Rubaga-24h'!M105)</f>
        <v>57.5</v>
      </c>
      <c r="N105" s="49">
        <f>AVERAGE('26.07 Natete-Rubaga-24h'!N105,'27.07 Natete-Rubaga-24h'!N105)</f>
        <v>0</v>
      </c>
      <c r="O105" s="15">
        <f t="shared" si="35"/>
        <v>85</v>
      </c>
      <c r="P105" s="15">
        <f t="shared" si="36"/>
        <v>142.5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2878.6428571428578</v>
      </c>
      <c r="D106" s="16">
        <f>SUM(D10:D105)</f>
        <v>857.21428571428567</v>
      </c>
      <c r="E106" s="16">
        <f t="shared" ref="E106:M106" si="37">SUM(E10:E105)</f>
        <v>501.64285714285711</v>
      </c>
      <c r="F106" s="16">
        <f t="shared" si="37"/>
        <v>3192.7142857142858</v>
      </c>
      <c r="G106" s="16">
        <f t="shared" si="37"/>
        <v>143.57142857142856</v>
      </c>
      <c r="H106" s="16">
        <f t="shared" si="37"/>
        <v>172.5</v>
      </c>
      <c r="I106" s="16">
        <f t="shared" si="37"/>
        <v>258.07142857142856</v>
      </c>
      <c r="J106" s="16">
        <f t="shared" si="37"/>
        <v>192.78571428571431</v>
      </c>
      <c r="K106" s="16">
        <f t="shared" si="37"/>
        <v>74.071428571428569</v>
      </c>
      <c r="L106" s="16">
        <f t="shared" si="37"/>
        <v>92.928571428571431</v>
      </c>
      <c r="M106" s="16">
        <f t="shared" si="37"/>
        <v>12845.071428571429</v>
      </c>
      <c r="N106" s="16">
        <f t="shared" ref="N106" si="38">SUM(N10:N105)</f>
        <v>1.4285714285714286</v>
      </c>
      <c r="O106" s="16">
        <f t="shared" ref="O106" si="39">SUM(O10:O105)</f>
        <v>8365.5714285714275</v>
      </c>
      <c r="P106" s="16">
        <f t="shared" ref="P106" si="40">SUM(P10:P105)</f>
        <v>21210.642857142859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1">C106/$P$106</f>
        <v>0.13571690761713293</v>
      </c>
      <c r="D107" s="43">
        <f t="shared" si="41"/>
        <v>4.0414347244813076E-2</v>
      </c>
      <c r="E107" s="43">
        <f t="shared" si="41"/>
        <v>2.3650525847872864E-2</v>
      </c>
      <c r="F107" s="43">
        <f t="shared" si="41"/>
        <v>0.15052416408204775</v>
      </c>
      <c r="G107" s="43">
        <f t="shared" si="41"/>
        <v>6.7688390935817253E-3</v>
      </c>
      <c r="H107" s="43">
        <f t="shared" si="41"/>
        <v>8.132709657213865E-3</v>
      </c>
      <c r="I107" s="43">
        <f t="shared" si="41"/>
        <v>1.2167072460254115E-2</v>
      </c>
      <c r="J107" s="43">
        <f t="shared" si="41"/>
        <v>9.089102842575662E-3</v>
      </c>
      <c r="K107" s="43">
        <f t="shared" si="41"/>
        <v>3.4921821592259947E-3</v>
      </c>
      <c r="L107" s="43">
        <f t="shared" si="41"/>
        <v>4.3812237118158338E-3</v>
      </c>
      <c r="M107" s="43">
        <f t="shared" si="41"/>
        <v>0.60559557365069427</v>
      </c>
      <c r="N107" s="43">
        <f t="shared" si="41"/>
        <v>6.7351632771957471E-5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0.34410594443211134</v>
      </c>
      <c r="D108" s="44">
        <f t="shared" ref="D108:N108" si="42">D106/$O$106</f>
        <v>0.10246930446216637</v>
      </c>
      <c r="E108" s="44">
        <f t="shared" si="42"/>
        <v>5.9965163339537907E-2</v>
      </c>
      <c r="F108" s="44">
        <f t="shared" si="42"/>
        <v>0.38164927679775956</v>
      </c>
      <c r="G108" s="44">
        <f t="shared" si="42"/>
        <v>1.7162178315886543E-2</v>
      </c>
      <c r="H108" s="44">
        <f t="shared" si="42"/>
        <v>2.0620229170580102E-2</v>
      </c>
      <c r="I108" s="44">
        <f t="shared" si="42"/>
        <v>3.0849228982735361E-2</v>
      </c>
      <c r="J108" s="44">
        <f t="shared" si="42"/>
        <v>2.3045133967451635E-2</v>
      </c>
      <c r="K108" s="44">
        <f t="shared" si="42"/>
        <v>8.8543178674499231E-3</v>
      </c>
      <c r="L108" s="44">
        <f t="shared" si="42"/>
        <v>1.1108454720879799E-2</v>
      </c>
      <c r="M108" s="44"/>
      <c r="N108" s="44">
        <f t="shared" si="42"/>
        <v>1.7076794344165715E-4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49" zoomScale="60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2" t="str">
        <f>'28.07 Rubaga-Natete'!C3:G3</f>
        <v>MCC-CI-STN08-WAKALIGA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0" t="s">
        <v>169</v>
      </c>
      <c r="E5" s="61"/>
      <c r="F5" s="41" t="s">
        <v>1</v>
      </c>
      <c r="G5" s="58" t="str">
        <f>'28.07 Rubaga-Natete'!G5:H5</f>
        <v>Total Wakaliga</v>
      </c>
      <c r="H5" s="59"/>
      <c r="I5" s="14"/>
      <c r="J5" s="2" t="s">
        <v>5</v>
      </c>
      <c r="K5" s="58" t="str">
        <f>'28.07 Rubaga-Natete'!K5:L5</f>
        <v>Mujuni Peter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tr">
        <f>'28.07 Rubaga-Natete'!D6:E6</f>
        <v>Rubaga</v>
      </c>
      <c r="E6" s="59"/>
      <c r="F6" s="2" t="s">
        <v>2</v>
      </c>
      <c r="G6" s="58" t="str">
        <f>'28.07 Rubaga-Natete'!G6:H6</f>
        <v>Natete</v>
      </c>
      <c r="H6" s="59"/>
      <c r="J6" s="2" t="s">
        <v>21</v>
      </c>
      <c r="K6" s="58" t="str">
        <f>'28.07 Rubaga-Natete'!K6:L6</f>
        <v>oloya 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Rubaga-Natete'!C10,'23.07 Rubaga-Natete'!C10,'24.07 Rubaga-Natete'!C10,'25.07 Rubaga-natete'!C10,'26.07 Rubaga-Natete-24h'!C10,'27.07 Rubaga-Natete-24h'!C10,'28.07 Rubaga-Natete'!C10)</f>
        <v>47.142857142857146</v>
      </c>
      <c r="D10" s="49">
        <f>AVERAGE('22.07 Rubaga-Natete'!D10,'23.07 Rubaga-Natete'!D10,'24.07 Rubaga-Natete'!D10,'25.07 Rubaga-natete'!D10,'26.07 Rubaga-Natete-24h'!D10,'27.07 Rubaga-Natete-24h'!D10,'28.07 Rubaga-Natete'!D10)</f>
        <v>6.2857142857142856</v>
      </c>
      <c r="E10" s="49">
        <f>AVERAGE('22.07 Rubaga-Natete'!E10,'23.07 Rubaga-Natete'!E10,'24.07 Rubaga-Natete'!E10,'25.07 Rubaga-natete'!E10,'26.07 Rubaga-Natete-24h'!E10,'27.07 Rubaga-Natete-24h'!E10,'28.07 Rubaga-Natete'!E10)</f>
        <v>5.7142857142857144</v>
      </c>
      <c r="F10" s="49">
        <f>AVERAGE('22.07 Rubaga-Natete'!F10,'23.07 Rubaga-Natete'!F10,'24.07 Rubaga-Natete'!F10,'25.07 Rubaga-natete'!F10,'26.07 Rubaga-Natete-24h'!F10,'27.07 Rubaga-Natete-24h'!F10,'28.07 Rubaga-Natete'!F10)</f>
        <v>65.571428571428569</v>
      </c>
      <c r="G10" s="49">
        <f>AVERAGE('22.07 Rubaga-Natete'!G10,'23.07 Rubaga-Natete'!G10,'24.07 Rubaga-Natete'!G10,'25.07 Rubaga-natete'!G10,'26.07 Rubaga-Natete-24h'!G10,'27.07 Rubaga-Natete-24h'!G10,'28.07 Rubaga-Natete'!G10)</f>
        <v>3.7142857142857144</v>
      </c>
      <c r="H10" s="49">
        <f>AVERAGE('22.07 Rubaga-Natete'!H10,'23.07 Rubaga-Natete'!H10,'24.07 Rubaga-Natete'!H10,'25.07 Rubaga-natete'!H10,'26.07 Rubaga-Natete-24h'!H10,'27.07 Rubaga-Natete-24h'!H10,'28.07 Rubaga-Natete'!H10)</f>
        <v>1.5714285714285714</v>
      </c>
      <c r="I10" s="49">
        <f>AVERAGE('22.07 Rubaga-Natete'!I10,'23.07 Rubaga-Natete'!I10,'24.07 Rubaga-Natete'!I10,'25.07 Rubaga-natete'!I10,'26.07 Rubaga-Natete-24h'!I10,'27.07 Rubaga-Natete-24h'!I10,'28.07 Rubaga-Natete'!I10)</f>
        <v>6.7142857142857144</v>
      </c>
      <c r="J10" s="49">
        <f>AVERAGE('22.07 Rubaga-Natete'!J10,'23.07 Rubaga-Natete'!J10,'24.07 Rubaga-Natete'!J10,'25.07 Rubaga-natete'!J10,'26.07 Rubaga-Natete-24h'!J10,'27.07 Rubaga-Natete-24h'!J10,'28.07 Rubaga-Natete'!J10)</f>
        <v>2.1428571428571428</v>
      </c>
      <c r="K10" s="49">
        <f>AVERAGE('22.07 Rubaga-Natete'!K10,'23.07 Rubaga-Natete'!K10,'24.07 Rubaga-Natete'!K10,'25.07 Rubaga-natete'!K10,'26.07 Rubaga-Natete-24h'!K10,'27.07 Rubaga-Natete-24h'!K10,'28.07 Rubaga-Natete'!K10)</f>
        <v>0.14285714285714285</v>
      </c>
      <c r="L10" s="49">
        <f>AVERAGE('22.07 Rubaga-Natete'!L10,'23.07 Rubaga-Natete'!L10,'24.07 Rubaga-Natete'!L10,'25.07 Rubaga-natete'!L10,'26.07 Rubaga-Natete-24h'!L10,'27.07 Rubaga-Natete-24h'!L10,'28.07 Rubaga-Natete'!L10)</f>
        <v>0</v>
      </c>
      <c r="M10" s="49">
        <f>AVERAGE('22.07 Rubaga-Natete'!M10,'23.07 Rubaga-Natete'!M10,'24.07 Rubaga-Natete'!M10,'25.07 Rubaga-natete'!M10,'26.07 Rubaga-Natete-24h'!M10,'27.07 Rubaga-Natete-24h'!M10,'28.07 Rubaga-Natete'!M10)</f>
        <v>151</v>
      </c>
      <c r="N10" s="49">
        <f>AVERAGE('22.07 Rubaga-Natete'!N10,'23.07 Rubaga-Natete'!N10,'24.07 Rubaga-Natete'!N10,'25.07 Rubaga-natete'!N10,'26.07 Rubaga-Natete-24h'!N10,'27.07 Rubaga-Natete-24h'!N10,'28.07 Rubaga-Natete'!N10)</f>
        <v>0</v>
      </c>
      <c r="O10" s="15">
        <f t="shared" ref="O10:O73" si="0">SUM(C10:L10,N10)</f>
        <v>139.00000000000003</v>
      </c>
      <c r="P10" s="15">
        <f t="shared" ref="P10:P73" si="1">SUM(C10:N10)</f>
        <v>290</v>
      </c>
      <c r="R10" s="1" t="s">
        <v>6</v>
      </c>
      <c r="S10" s="17">
        <f t="shared" ref="S10:AF10" si="2">SUM(C10:C13)</f>
        <v>171.57142857142858</v>
      </c>
      <c r="T10" s="17">
        <f t="shared" si="2"/>
        <v>22.571428571428569</v>
      </c>
      <c r="U10" s="17">
        <f t="shared" si="2"/>
        <v>15.285714285714288</v>
      </c>
      <c r="V10" s="17">
        <f t="shared" si="2"/>
        <v>229.42857142857144</v>
      </c>
      <c r="W10" s="17">
        <f t="shared" si="2"/>
        <v>11.142857142857144</v>
      </c>
      <c r="X10" s="17">
        <f t="shared" si="2"/>
        <v>5.2857142857142856</v>
      </c>
      <c r="Y10" s="17">
        <f t="shared" si="2"/>
        <v>14.571428571428571</v>
      </c>
      <c r="Z10" s="17">
        <f t="shared" si="2"/>
        <v>5.1428571428571423</v>
      </c>
      <c r="AA10" s="17">
        <f t="shared" si="2"/>
        <v>1.4285714285714284</v>
      </c>
      <c r="AB10" s="17">
        <f t="shared" si="2"/>
        <v>0.42857142857142855</v>
      </c>
      <c r="AC10" s="17">
        <f t="shared" si="2"/>
        <v>575.28571428571422</v>
      </c>
      <c r="AD10" s="17">
        <f t="shared" si="2"/>
        <v>0</v>
      </c>
      <c r="AE10" s="31">
        <f t="shared" si="2"/>
        <v>476.85714285714295</v>
      </c>
      <c r="AF10" s="31">
        <f t="shared" si="2"/>
        <v>1052.1428571428573</v>
      </c>
    </row>
    <row r="11" spans="2:32" s="6" customFormat="1" ht="23.1" customHeight="1" x14ac:dyDescent="0.25">
      <c r="B11" s="23" t="s">
        <v>38</v>
      </c>
      <c r="C11" s="49">
        <f>AVERAGE('22.07 Rubaga-Natete'!C11,'23.07 Rubaga-Natete'!C11,'24.07 Rubaga-Natete'!C11,'25.07 Rubaga-natete'!C11,'26.07 Rubaga-Natete-24h'!C11,'27.07 Rubaga-Natete-24h'!C11,'28.07 Rubaga-Natete'!C11)</f>
        <v>45.714285714285715</v>
      </c>
      <c r="D11" s="49">
        <f>AVERAGE('22.07 Rubaga-Natete'!D11,'23.07 Rubaga-Natete'!D11,'24.07 Rubaga-Natete'!D11,'25.07 Rubaga-natete'!D11,'26.07 Rubaga-Natete-24h'!D11,'27.07 Rubaga-Natete-24h'!D11,'28.07 Rubaga-Natete'!D11)</f>
        <v>5.1428571428571432</v>
      </c>
      <c r="E11" s="49">
        <f>AVERAGE('22.07 Rubaga-Natete'!E11,'23.07 Rubaga-Natete'!E11,'24.07 Rubaga-Natete'!E11,'25.07 Rubaga-natete'!E11,'26.07 Rubaga-Natete-24h'!E11,'27.07 Rubaga-Natete-24h'!E11,'28.07 Rubaga-Natete'!E11)</f>
        <v>2.7142857142857144</v>
      </c>
      <c r="F11" s="49">
        <f>AVERAGE('22.07 Rubaga-Natete'!F11,'23.07 Rubaga-Natete'!F11,'24.07 Rubaga-Natete'!F11,'25.07 Rubaga-natete'!F11,'26.07 Rubaga-Natete-24h'!F11,'27.07 Rubaga-Natete-24h'!F11,'28.07 Rubaga-Natete'!F11)</f>
        <v>68.285714285714292</v>
      </c>
      <c r="G11" s="49">
        <f>AVERAGE('22.07 Rubaga-Natete'!G11,'23.07 Rubaga-Natete'!G11,'24.07 Rubaga-Natete'!G11,'25.07 Rubaga-natete'!G11,'26.07 Rubaga-Natete-24h'!G11,'27.07 Rubaga-Natete-24h'!G11,'28.07 Rubaga-Natete'!G11)</f>
        <v>3</v>
      </c>
      <c r="H11" s="49">
        <f>AVERAGE('22.07 Rubaga-Natete'!H11,'23.07 Rubaga-Natete'!H11,'24.07 Rubaga-Natete'!H11,'25.07 Rubaga-natete'!H11,'26.07 Rubaga-Natete-24h'!H11,'27.07 Rubaga-Natete-24h'!H11,'28.07 Rubaga-Natete'!H11)</f>
        <v>1.2857142857142858</v>
      </c>
      <c r="I11" s="49">
        <f>AVERAGE('22.07 Rubaga-Natete'!I11,'23.07 Rubaga-Natete'!I11,'24.07 Rubaga-Natete'!I11,'25.07 Rubaga-natete'!I11,'26.07 Rubaga-Natete-24h'!I11,'27.07 Rubaga-Natete-24h'!I11,'28.07 Rubaga-Natete'!I11)</f>
        <v>2.7142857142857144</v>
      </c>
      <c r="J11" s="49">
        <f>AVERAGE('22.07 Rubaga-Natete'!J11,'23.07 Rubaga-Natete'!J11,'24.07 Rubaga-Natete'!J11,'25.07 Rubaga-natete'!J11,'26.07 Rubaga-Natete-24h'!J11,'27.07 Rubaga-Natete-24h'!J11,'28.07 Rubaga-Natete'!J11)</f>
        <v>0.7142857142857143</v>
      </c>
      <c r="K11" s="49">
        <f>AVERAGE('22.07 Rubaga-Natete'!K11,'23.07 Rubaga-Natete'!K11,'24.07 Rubaga-Natete'!K11,'25.07 Rubaga-natete'!K11,'26.07 Rubaga-Natete-24h'!K11,'27.07 Rubaga-Natete-24h'!K11,'28.07 Rubaga-Natete'!K11)</f>
        <v>0.5714285714285714</v>
      </c>
      <c r="L11" s="49">
        <f>AVERAGE('22.07 Rubaga-Natete'!L11,'23.07 Rubaga-Natete'!L11,'24.07 Rubaga-Natete'!L11,'25.07 Rubaga-natete'!L11,'26.07 Rubaga-Natete-24h'!L11,'27.07 Rubaga-Natete-24h'!L11,'28.07 Rubaga-Natete'!L11)</f>
        <v>0</v>
      </c>
      <c r="M11" s="49">
        <f>AVERAGE('22.07 Rubaga-Natete'!M11,'23.07 Rubaga-Natete'!M11,'24.07 Rubaga-Natete'!M11,'25.07 Rubaga-natete'!M11,'26.07 Rubaga-Natete-24h'!M11,'27.07 Rubaga-Natete-24h'!M11,'28.07 Rubaga-Natete'!M11)</f>
        <v>110.42857142857143</v>
      </c>
      <c r="N11" s="49">
        <f>AVERAGE('22.07 Rubaga-Natete'!N11,'23.07 Rubaga-Natete'!N11,'24.07 Rubaga-Natete'!N11,'25.07 Rubaga-natete'!N11,'26.07 Rubaga-Natete-24h'!N11,'27.07 Rubaga-Natete-24h'!N11,'28.07 Rubaga-Natete'!N11)</f>
        <v>0</v>
      </c>
      <c r="O11" s="15">
        <f t="shared" si="0"/>
        <v>130.14285714285717</v>
      </c>
      <c r="P11" s="15">
        <f t="shared" si="1"/>
        <v>240.57142857142861</v>
      </c>
      <c r="R11" s="1" t="s">
        <v>7</v>
      </c>
      <c r="S11" s="17">
        <f t="shared" ref="S11:AF11" si="3">SUM(C14:C17)</f>
        <v>124.14285714285714</v>
      </c>
      <c r="T11" s="17">
        <f t="shared" si="3"/>
        <v>13.714285714285714</v>
      </c>
      <c r="U11" s="17">
        <f t="shared" si="3"/>
        <v>10</v>
      </c>
      <c r="V11" s="17">
        <f t="shared" si="3"/>
        <v>198.57142857142858</v>
      </c>
      <c r="W11" s="17">
        <f t="shared" si="3"/>
        <v>4.8571428571428577</v>
      </c>
      <c r="X11" s="17">
        <f t="shared" si="3"/>
        <v>6.2857142857142856</v>
      </c>
      <c r="Y11" s="17">
        <f t="shared" si="3"/>
        <v>9.7142857142857135</v>
      </c>
      <c r="Z11" s="17">
        <f t="shared" si="3"/>
        <v>6.4285714285714288</v>
      </c>
      <c r="AA11" s="17">
        <f t="shared" si="3"/>
        <v>0.5714285714285714</v>
      </c>
      <c r="AB11" s="17">
        <f t="shared" si="3"/>
        <v>0.71428571428571419</v>
      </c>
      <c r="AC11" s="17">
        <f t="shared" si="3"/>
        <v>720.57142857142856</v>
      </c>
      <c r="AD11" s="17">
        <f t="shared" si="3"/>
        <v>0</v>
      </c>
      <c r="AE11" s="31">
        <f t="shared" si="3"/>
        <v>375</v>
      </c>
      <c r="AF11" s="31">
        <f t="shared" si="3"/>
        <v>1095.5714285714284</v>
      </c>
    </row>
    <row r="12" spans="2:32" ht="23.1" customHeight="1" x14ac:dyDescent="0.25">
      <c r="B12" s="23" t="s">
        <v>39</v>
      </c>
      <c r="C12" s="49">
        <f>AVERAGE('22.07 Rubaga-Natete'!C12,'23.07 Rubaga-Natete'!C12,'24.07 Rubaga-Natete'!C12,'25.07 Rubaga-natete'!C12,'26.07 Rubaga-Natete-24h'!C12,'27.07 Rubaga-Natete-24h'!C12,'28.07 Rubaga-Natete'!C12)</f>
        <v>45.714285714285715</v>
      </c>
      <c r="D12" s="49">
        <f>AVERAGE('22.07 Rubaga-Natete'!D12,'23.07 Rubaga-Natete'!D12,'24.07 Rubaga-Natete'!D12,'25.07 Rubaga-natete'!D12,'26.07 Rubaga-Natete-24h'!D12,'27.07 Rubaga-Natete-24h'!D12,'28.07 Rubaga-Natete'!D12)</f>
        <v>6.5714285714285712</v>
      </c>
      <c r="E12" s="49">
        <f>AVERAGE('22.07 Rubaga-Natete'!E12,'23.07 Rubaga-Natete'!E12,'24.07 Rubaga-Natete'!E12,'25.07 Rubaga-natete'!E12,'26.07 Rubaga-Natete-24h'!E12,'27.07 Rubaga-Natete-24h'!E12,'28.07 Rubaga-Natete'!E12)</f>
        <v>4.1428571428571432</v>
      </c>
      <c r="F12" s="49">
        <f>AVERAGE('22.07 Rubaga-Natete'!F12,'23.07 Rubaga-Natete'!F12,'24.07 Rubaga-Natete'!F12,'25.07 Rubaga-natete'!F12,'26.07 Rubaga-Natete-24h'!F12,'27.07 Rubaga-Natete-24h'!F12,'28.07 Rubaga-Natete'!F12)</f>
        <v>52.142857142857146</v>
      </c>
      <c r="G12" s="49">
        <f>AVERAGE('22.07 Rubaga-Natete'!G12,'23.07 Rubaga-Natete'!G12,'24.07 Rubaga-Natete'!G12,'25.07 Rubaga-natete'!G12,'26.07 Rubaga-Natete-24h'!G12,'27.07 Rubaga-Natete-24h'!G12,'28.07 Rubaga-Natete'!G12)</f>
        <v>3</v>
      </c>
      <c r="H12" s="49">
        <f>AVERAGE('22.07 Rubaga-Natete'!H12,'23.07 Rubaga-Natete'!H12,'24.07 Rubaga-Natete'!H12,'25.07 Rubaga-natete'!H12,'26.07 Rubaga-Natete-24h'!H12,'27.07 Rubaga-Natete-24h'!H12,'28.07 Rubaga-Natete'!H12)</f>
        <v>1.4285714285714286</v>
      </c>
      <c r="I12" s="49">
        <f>AVERAGE('22.07 Rubaga-Natete'!I12,'23.07 Rubaga-Natete'!I12,'24.07 Rubaga-Natete'!I12,'25.07 Rubaga-natete'!I12,'26.07 Rubaga-Natete-24h'!I12,'27.07 Rubaga-Natete-24h'!I12,'28.07 Rubaga-Natete'!I12)</f>
        <v>1.7142857142857142</v>
      </c>
      <c r="J12" s="49">
        <f>AVERAGE('22.07 Rubaga-Natete'!J12,'23.07 Rubaga-Natete'!J12,'24.07 Rubaga-Natete'!J12,'25.07 Rubaga-natete'!J12,'26.07 Rubaga-Natete-24h'!J12,'27.07 Rubaga-Natete-24h'!J12,'28.07 Rubaga-Natete'!J12)</f>
        <v>1.4285714285714286</v>
      </c>
      <c r="K12" s="49">
        <f>AVERAGE('22.07 Rubaga-Natete'!K12,'23.07 Rubaga-Natete'!K12,'24.07 Rubaga-Natete'!K12,'25.07 Rubaga-natete'!K12,'26.07 Rubaga-Natete-24h'!K12,'27.07 Rubaga-Natete-24h'!K12,'28.07 Rubaga-Natete'!K12)</f>
        <v>0.2857142857142857</v>
      </c>
      <c r="L12" s="49">
        <f>AVERAGE('22.07 Rubaga-Natete'!L12,'23.07 Rubaga-Natete'!L12,'24.07 Rubaga-Natete'!L12,'25.07 Rubaga-natete'!L12,'26.07 Rubaga-Natete-24h'!L12,'27.07 Rubaga-Natete-24h'!L12,'28.07 Rubaga-Natete'!L12)</f>
        <v>0.2857142857142857</v>
      </c>
      <c r="M12" s="49">
        <f>AVERAGE('22.07 Rubaga-Natete'!M12,'23.07 Rubaga-Natete'!M12,'24.07 Rubaga-Natete'!M12,'25.07 Rubaga-natete'!M12,'26.07 Rubaga-Natete-24h'!M12,'27.07 Rubaga-Natete-24h'!M12,'28.07 Rubaga-Natete'!M12)</f>
        <v>169.14285714285714</v>
      </c>
      <c r="N12" s="49">
        <f>AVERAGE('22.07 Rubaga-Natete'!N12,'23.07 Rubaga-Natete'!N12,'24.07 Rubaga-Natete'!N12,'25.07 Rubaga-natete'!N12,'26.07 Rubaga-Natete-24h'!N12,'27.07 Rubaga-Natete-24h'!N12,'28.07 Rubaga-Natete'!N12)</f>
        <v>0</v>
      </c>
      <c r="O12" s="15">
        <f t="shared" si="0"/>
        <v>116.71428571428574</v>
      </c>
      <c r="P12" s="15">
        <f t="shared" si="1"/>
        <v>285.85714285714289</v>
      </c>
      <c r="R12" s="1" t="s">
        <v>8</v>
      </c>
      <c r="S12" s="17">
        <f t="shared" ref="S12:AF12" si="4">SUM(C18:C21)</f>
        <v>115.85714285714286</v>
      </c>
      <c r="T12" s="17">
        <f t="shared" si="4"/>
        <v>16.428571428571431</v>
      </c>
      <c r="U12" s="17">
        <f t="shared" si="4"/>
        <v>10.428571428571429</v>
      </c>
      <c r="V12" s="17">
        <f t="shared" si="4"/>
        <v>166.14285714285714</v>
      </c>
      <c r="W12" s="17">
        <f t="shared" si="4"/>
        <v>4.7142857142857144</v>
      </c>
      <c r="X12" s="17">
        <f t="shared" si="4"/>
        <v>6.7142857142857144</v>
      </c>
      <c r="Y12" s="17">
        <f t="shared" si="4"/>
        <v>11.857142857142858</v>
      </c>
      <c r="Z12" s="17">
        <f t="shared" si="4"/>
        <v>4.4285714285714288</v>
      </c>
      <c r="AA12" s="17">
        <f t="shared" si="4"/>
        <v>0.5714285714285714</v>
      </c>
      <c r="AB12" s="17">
        <f t="shared" si="4"/>
        <v>0.14285714285714285</v>
      </c>
      <c r="AC12" s="17">
        <f t="shared" si="4"/>
        <v>681.85714285714289</v>
      </c>
      <c r="AD12" s="17">
        <f t="shared" si="4"/>
        <v>0</v>
      </c>
      <c r="AE12" s="31">
        <f t="shared" si="4"/>
        <v>337.28571428571433</v>
      </c>
      <c r="AF12" s="31">
        <f t="shared" si="4"/>
        <v>1019.1428571428571</v>
      </c>
    </row>
    <row r="13" spans="2:32" ht="23.1" customHeight="1" x14ac:dyDescent="0.25">
      <c r="B13" s="23" t="s">
        <v>40</v>
      </c>
      <c r="C13" s="49">
        <f>AVERAGE('22.07 Rubaga-Natete'!C13,'23.07 Rubaga-Natete'!C13,'24.07 Rubaga-Natete'!C13,'25.07 Rubaga-natete'!C13,'26.07 Rubaga-Natete-24h'!C13,'27.07 Rubaga-Natete-24h'!C13,'28.07 Rubaga-Natete'!C13)</f>
        <v>33</v>
      </c>
      <c r="D13" s="49">
        <f>AVERAGE('22.07 Rubaga-Natete'!D13,'23.07 Rubaga-Natete'!D13,'24.07 Rubaga-Natete'!D13,'25.07 Rubaga-natete'!D13,'26.07 Rubaga-Natete-24h'!D13,'27.07 Rubaga-Natete-24h'!D13,'28.07 Rubaga-Natete'!D13)</f>
        <v>4.5714285714285712</v>
      </c>
      <c r="E13" s="49">
        <f>AVERAGE('22.07 Rubaga-Natete'!E13,'23.07 Rubaga-Natete'!E13,'24.07 Rubaga-Natete'!E13,'25.07 Rubaga-natete'!E13,'26.07 Rubaga-Natete-24h'!E13,'27.07 Rubaga-Natete-24h'!E13,'28.07 Rubaga-Natete'!E13)</f>
        <v>2.7142857142857144</v>
      </c>
      <c r="F13" s="49">
        <f>AVERAGE('22.07 Rubaga-Natete'!F13,'23.07 Rubaga-Natete'!F13,'24.07 Rubaga-Natete'!F13,'25.07 Rubaga-natete'!F13,'26.07 Rubaga-Natete-24h'!F13,'27.07 Rubaga-Natete-24h'!F13,'28.07 Rubaga-Natete'!F13)</f>
        <v>43.428571428571431</v>
      </c>
      <c r="G13" s="49">
        <f>AVERAGE('22.07 Rubaga-Natete'!G13,'23.07 Rubaga-Natete'!G13,'24.07 Rubaga-Natete'!G13,'25.07 Rubaga-natete'!G13,'26.07 Rubaga-Natete-24h'!G13,'27.07 Rubaga-Natete-24h'!G13,'28.07 Rubaga-Natete'!G13)</f>
        <v>1.4285714285714286</v>
      </c>
      <c r="H13" s="49">
        <f>AVERAGE('22.07 Rubaga-Natete'!H13,'23.07 Rubaga-Natete'!H13,'24.07 Rubaga-Natete'!H13,'25.07 Rubaga-natete'!H13,'26.07 Rubaga-Natete-24h'!H13,'27.07 Rubaga-Natete-24h'!H13,'28.07 Rubaga-Natete'!H13)</f>
        <v>1</v>
      </c>
      <c r="I13" s="49">
        <f>AVERAGE('22.07 Rubaga-Natete'!I13,'23.07 Rubaga-Natete'!I13,'24.07 Rubaga-Natete'!I13,'25.07 Rubaga-natete'!I13,'26.07 Rubaga-Natete-24h'!I13,'27.07 Rubaga-Natete-24h'!I13,'28.07 Rubaga-Natete'!I13)</f>
        <v>3.4285714285714284</v>
      </c>
      <c r="J13" s="49">
        <f>AVERAGE('22.07 Rubaga-Natete'!J13,'23.07 Rubaga-Natete'!J13,'24.07 Rubaga-Natete'!J13,'25.07 Rubaga-natete'!J13,'26.07 Rubaga-Natete-24h'!J13,'27.07 Rubaga-Natete-24h'!J13,'28.07 Rubaga-Natete'!J13)</f>
        <v>0.8571428571428571</v>
      </c>
      <c r="K13" s="49">
        <f>AVERAGE('22.07 Rubaga-Natete'!K13,'23.07 Rubaga-Natete'!K13,'24.07 Rubaga-Natete'!K13,'25.07 Rubaga-natete'!K13,'26.07 Rubaga-Natete-24h'!K13,'27.07 Rubaga-Natete-24h'!K13,'28.07 Rubaga-Natete'!K13)</f>
        <v>0.42857142857142855</v>
      </c>
      <c r="L13" s="49">
        <f>AVERAGE('22.07 Rubaga-Natete'!L13,'23.07 Rubaga-Natete'!L13,'24.07 Rubaga-Natete'!L13,'25.07 Rubaga-natete'!L13,'26.07 Rubaga-Natete-24h'!L13,'27.07 Rubaga-Natete-24h'!L13,'28.07 Rubaga-Natete'!L13)</f>
        <v>0.14285714285714285</v>
      </c>
      <c r="M13" s="49">
        <f>AVERAGE('22.07 Rubaga-Natete'!M13,'23.07 Rubaga-Natete'!M13,'24.07 Rubaga-Natete'!M13,'25.07 Rubaga-natete'!M13,'26.07 Rubaga-Natete-24h'!M13,'27.07 Rubaga-Natete-24h'!M13,'28.07 Rubaga-Natete'!M13)</f>
        <v>144.71428571428572</v>
      </c>
      <c r="N13" s="49">
        <f>AVERAGE('22.07 Rubaga-Natete'!N13,'23.07 Rubaga-Natete'!N13,'24.07 Rubaga-Natete'!N13,'25.07 Rubaga-natete'!N13,'26.07 Rubaga-Natete-24h'!N13,'27.07 Rubaga-Natete-24h'!N13,'28.07 Rubaga-Natete'!N13)</f>
        <v>0</v>
      </c>
      <c r="O13" s="15">
        <f t="shared" si="0"/>
        <v>91.000000000000014</v>
      </c>
      <c r="P13" s="15">
        <f t="shared" si="1"/>
        <v>235.71428571428572</v>
      </c>
      <c r="R13" s="1" t="s">
        <v>9</v>
      </c>
      <c r="S13" s="17">
        <f t="shared" ref="S13:AF13" si="5">SUM(C22:C25)</f>
        <v>127.28571428571429</v>
      </c>
      <c r="T13" s="17">
        <f t="shared" si="5"/>
        <v>18</v>
      </c>
      <c r="U13" s="17">
        <f t="shared" si="5"/>
        <v>17.857142857142858</v>
      </c>
      <c r="V13" s="17">
        <f t="shared" si="5"/>
        <v>169.28571428571428</v>
      </c>
      <c r="W13" s="17">
        <f t="shared" si="5"/>
        <v>6.7142857142857144</v>
      </c>
      <c r="X13" s="17">
        <f t="shared" si="5"/>
        <v>6.4285714285714288</v>
      </c>
      <c r="Y13" s="17">
        <f t="shared" si="5"/>
        <v>14.428571428571431</v>
      </c>
      <c r="Z13" s="17">
        <f t="shared" si="5"/>
        <v>7.1428571428571423</v>
      </c>
      <c r="AA13" s="17">
        <f t="shared" si="5"/>
        <v>0.8571428571428571</v>
      </c>
      <c r="AB13" s="17">
        <f t="shared" si="5"/>
        <v>0.71428571428571419</v>
      </c>
      <c r="AC13" s="17">
        <f t="shared" si="5"/>
        <v>670.42857142857144</v>
      </c>
      <c r="AD13" s="17">
        <f t="shared" si="5"/>
        <v>0</v>
      </c>
      <c r="AE13" s="31">
        <f t="shared" si="5"/>
        <v>368.71428571428572</v>
      </c>
      <c r="AF13" s="31">
        <f t="shared" si="5"/>
        <v>1039.1428571428571</v>
      </c>
    </row>
    <row r="14" spans="2:32" ht="23.1" customHeight="1" x14ac:dyDescent="0.25">
      <c r="B14" s="23" t="s">
        <v>41</v>
      </c>
      <c r="C14" s="49">
        <f>AVERAGE('22.07 Rubaga-Natete'!C14,'23.07 Rubaga-Natete'!C14,'24.07 Rubaga-Natete'!C14,'25.07 Rubaga-natete'!C14,'26.07 Rubaga-Natete-24h'!C14,'27.07 Rubaga-Natete-24h'!C14,'28.07 Rubaga-Natete'!C14)</f>
        <v>34.714285714285715</v>
      </c>
      <c r="D14" s="49">
        <f>AVERAGE('22.07 Rubaga-Natete'!D14,'23.07 Rubaga-Natete'!D14,'24.07 Rubaga-Natete'!D14,'25.07 Rubaga-natete'!D14,'26.07 Rubaga-Natete-24h'!D14,'27.07 Rubaga-Natete-24h'!D14,'28.07 Rubaga-Natete'!D14)</f>
        <v>3.4285714285714284</v>
      </c>
      <c r="E14" s="49">
        <f>AVERAGE('22.07 Rubaga-Natete'!E14,'23.07 Rubaga-Natete'!E14,'24.07 Rubaga-Natete'!E14,'25.07 Rubaga-natete'!E14,'26.07 Rubaga-Natete-24h'!E14,'27.07 Rubaga-Natete-24h'!E14,'28.07 Rubaga-Natete'!E14)</f>
        <v>2.7142857142857144</v>
      </c>
      <c r="F14" s="49">
        <f>AVERAGE('22.07 Rubaga-Natete'!F14,'23.07 Rubaga-Natete'!F14,'24.07 Rubaga-Natete'!F14,'25.07 Rubaga-natete'!F14,'26.07 Rubaga-Natete-24h'!F14,'27.07 Rubaga-Natete-24h'!F14,'28.07 Rubaga-Natete'!F14)</f>
        <v>55.142857142857146</v>
      </c>
      <c r="G14" s="49">
        <f>AVERAGE('22.07 Rubaga-Natete'!G14,'23.07 Rubaga-Natete'!G14,'24.07 Rubaga-Natete'!G14,'25.07 Rubaga-natete'!G14,'26.07 Rubaga-Natete-24h'!G14,'27.07 Rubaga-Natete-24h'!G14,'28.07 Rubaga-Natete'!G14)</f>
        <v>1.2857142857142858</v>
      </c>
      <c r="H14" s="49">
        <f>AVERAGE('22.07 Rubaga-Natete'!H14,'23.07 Rubaga-Natete'!H14,'24.07 Rubaga-Natete'!H14,'25.07 Rubaga-natete'!H14,'26.07 Rubaga-Natete-24h'!H14,'27.07 Rubaga-Natete-24h'!H14,'28.07 Rubaga-Natete'!H14)</f>
        <v>2</v>
      </c>
      <c r="I14" s="49">
        <f>AVERAGE('22.07 Rubaga-Natete'!I14,'23.07 Rubaga-Natete'!I14,'24.07 Rubaga-Natete'!I14,'25.07 Rubaga-natete'!I14,'26.07 Rubaga-Natete-24h'!I14,'27.07 Rubaga-Natete-24h'!I14,'28.07 Rubaga-Natete'!I14)</f>
        <v>2.4285714285714284</v>
      </c>
      <c r="J14" s="49">
        <f>AVERAGE('22.07 Rubaga-Natete'!J14,'23.07 Rubaga-Natete'!J14,'24.07 Rubaga-Natete'!J14,'25.07 Rubaga-natete'!J14,'26.07 Rubaga-Natete-24h'!J14,'27.07 Rubaga-Natete-24h'!J14,'28.07 Rubaga-Natete'!J14)</f>
        <v>2</v>
      </c>
      <c r="K14" s="49">
        <f>AVERAGE('22.07 Rubaga-Natete'!K14,'23.07 Rubaga-Natete'!K14,'24.07 Rubaga-Natete'!K14,'25.07 Rubaga-natete'!K14,'26.07 Rubaga-Natete-24h'!K14,'27.07 Rubaga-Natete-24h'!K14,'28.07 Rubaga-Natete'!K14)</f>
        <v>0.14285714285714285</v>
      </c>
      <c r="L14" s="49">
        <f>AVERAGE('22.07 Rubaga-Natete'!L14,'23.07 Rubaga-Natete'!L14,'24.07 Rubaga-Natete'!L14,'25.07 Rubaga-natete'!L14,'26.07 Rubaga-Natete-24h'!L14,'27.07 Rubaga-Natete-24h'!L14,'28.07 Rubaga-Natete'!L14)</f>
        <v>0.42857142857142855</v>
      </c>
      <c r="M14" s="49">
        <f>AVERAGE('22.07 Rubaga-Natete'!M14,'23.07 Rubaga-Natete'!M14,'24.07 Rubaga-Natete'!M14,'25.07 Rubaga-natete'!M14,'26.07 Rubaga-Natete-24h'!M14,'27.07 Rubaga-Natete-24h'!M14,'28.07 Rubaga-Natete'!M14)</f>
        <v>163.57142857142858</v>
      </c>
      <c r="N14" s="49">
        <f>AVERAGE('22.07 Rubaga-Natete'!N14,'23.07 Rubaga-Natete'!N14,'24.07 Rubaga-Natete'!N14,'25.07 Rubaga-natete'!N14,'26.07 Rubaga-Natete-24h'!N14,'27.07 Rubaga-Natete-24h'!N14,'28.07 Rubaga-Natete'!N14)</f>
        <v>0</v>
      </c>
      <c r="O14" s="15">
        <f t="shared" si="0"/>
        <v>104.28571428571429</v>
      </c>
      <c r="P14" s="15">
        <f t="shared" si="1"/>
        <v>267.85714285714289</v>
      </c>
      <c r="R14" s="1" t="s">
        <v>10</v>
      </c>
      <c r="S14" s="17">
        <f t="shared" ref="S14:AF14" si="6">SUM(C26:C29)</f>
        <v>130.28571428571428</v>
      </c>
      <c r="T14" s="17">
        <f t="shared" si="6"/>
        <v>16.857142857142858</v>
      </c>
      <c r="U14" s="17">
        <f t="shared" si="6"/>
        <v>22.142857142857142</v>
      </c>
      <c r="V14" s="17">
        <f t="shared" si="6"/>
        <v>163.14285714285714</v>
      </c>
      <c r="W14" s="17">
        <f t="shared" si="6"/>
        <v>4.2857142857142856</v>
      </c>
      <c r="X14" s="17">
        <f t="shared" si="6"/>
        <v>10</v>
      </c>
      <c r="Y14" s="17">
        <f t="shared" si="6"/>
        <v>10.714285714285715</v>
      </c>
      <c r="Z14" s="17">
        <f t="shared" si="6"/>
        <v>11.285714285714285</v>
      </c>
      <c r="AA14" s="17">
        <f t="shared" si="6"/>
        <v>0.5714285714285714</v>
      </c>
      <c r="AB14" s="17">
        <f t="shared" si="6"/>
        <v>0.71428571428571419</v>
      </c>
      <c r="AC14" s="17">
        <f t="shared" si="6"/>
        <v>707.57142857142856</v>
      </c>
      <c r="AD14" s="17">
        <f t="shared" si="6"/>
        <v>0</v>
      </c>
      <c r="AE14" s="31">
        <f t="shared" si="6"/>
        <v>370</v>
      </c>
      <c r="AF14" s="31">
        <f t="shared" si="6"/>
        <v>1077.5714285714287</v>
      </c>
    </row>
    <row r="15" spans="2:32" ht="23.1" customHeight="1" x14ac:dyDescent="0.25">
      <c r="B15" s="23" t="s">
        <v>42</v>
      </c>
      <c r="C15" s="49">
        <f>AVERAGE('22.07 Rubaga-Natete'!C15,'23.07 Rubaga-Natete'!C15,'24.07 Rubaga-Natete'!C15,'25.07 Rubaga-natete'!C15,'26.07 Rubaga-Natete-24h'!C15,'27.07 Rubaga-Natete-24h'!C15,'28.07 Rubaga-Natete'!C15)</f>
        <v>26.285714285714285</v>
      </c>
      <c r="D15" s="49">
        <f>AVERAGE('22.07 Rubaga-Natete'!D15,'23.07 Rubaga-Natete'!D15,'24.07 Rubaga-Natete'!D15,'25.07 Rubaga-natete'!D15,'26.07 Rubaga-Natete-24h'!D15,'27.07 Rubaga-Natete-24h'!D15,'28.07 Rubaga-Natete'!D15)</f>
        <v>3.4285714285714284</v>
      </c>
      <c r="E15" s="49">
        <f>AVERAGE('22.07 Rubaga-Natete'!E15,'23.07 Rubaga-Natete'!E15,'24.07 Rubaga-Natete'!E15,'25.07 Rubaga-natete'!E15,'26.07 Rubaga-Natete-24h'!E15,'27.07 Rubaga-Natete-24h'!E15,'28.07 Rubaga-Natete'!E15)</f>
        <v>2.4285714285714284</v>
      </c>
      <c r="F15" s="49">
        <f>AVERAGE('22.07 Rubaga-Natete'!F15,'23.07 Rubaga-Natete'!F15,'24.07 Rubaga-Natete'!F15,'25.07 Rubaga-natete'!F15,'26.07 Rubaga-Natete-24h'!F15,'27.07 Rubaga-Natete-24h'!F15,'28.07 Rubaga-Natete'!F15)</f>
        <v>52</v>
      </c>
      <c r="G15" s="49">
        <f>AVERAGE('22.07 Rubaga-Natete'!G15,'23.07 Rubaga-Natete'!G15,'24.07 Rubaga-Natete'!G15,'25.07 Rubaga-natete'!G15,'26.07 Rubaga-Natete-24h'!G15,'27.07 Rubaga-Natete-24h'!G15,'28.07 Rubaga-Natete'!G15)</f>
        <v>1.1428571428571428</v>
      </c>
      <c r="H15" s="49">
        <f>AVERAGE('22.07 Rubaga-Natete'!H15,'23.07 Rubaga-Natete'!H15,'24.07 Rubaga-Natete'!H15,'25.07 Rubaga-natete'!H15,'26.07 Rubaga-Natete-24h'!H15,'27.07 Rubaga-Natete-24h'!H15,'28.07 Rubaga-Natete'!H15)</f>
        <v>1.8571428571428572</v>
      </c>
      <c r="I15" s="49">
        <f>AVERAGE('22.07 Rubaga-Natete'!I15,'23.07 Rubaga-Natete'!I15,'24.07 Rubaga-Natete'!I15,'25.07 Rubaga-natete'!I15,'26.07 Rubaga-Natete-24h'!I15,'27.07 Rubaga-Natete-24h'!I15,'28.07 Rubaga-Natete'!I15)</f>
        <v>1.5714285714285714</v>
      </c>
      <c r="J15" s="49">
        <f>AVERAGE('22.07 Rubaga-Natete'!J15,'23.07 Rubaga-Natete'!J15,'24.07 Rubaga-Natete'!J15,'25.07 Rubaga-natete'!J15,'26.07 Rubaga-Natete-24h'!J15,'27.07 Rubaga-Natete-24h'!J15,'28.07 Rubaga-Natete'!J15)</f>
        <v>2.4285714285714284</v>
      </c>
      <c r="K15" s="49">
        <f>AVERAGE('22.07 Rubaga-Natete'!K15,'23.07 Rubaga-Natete'!K15,'24.07 Rubaga-Natete'!K15,'25.07 Rubaga-natete'!K15,'26.07 Rubaga-Natete-24h'!K15,'27.07 Rubaga-Natete-24h'!K15,'28.07 Rubaga-Natete'!K15)</f>
        <v>0.42857142857142855</v>
      </c>
      <c r="L15" s="49">
        <f>AVERAGE('22.07 Rubaga-Natete'!L15,'23.07 Rubaga-Natete'!L15,'24.07 Rubaga-Natete'!L15,'25.07 Rubaga-natete'!L15,'26.07 Rubaga-Natete-24h'!L15,'27.07 Rubaga-Natete-24h'!L15,'28.07 Rubaga-Natete'!L15)</f>
        <v>0.14285714285714285</v>
      </c>
      <c r="M15" s="49">
        <f>AVERAGE('22.07 Rubaga-Natete'!M15,'23.07 Rubaga-Natete'!M15,'24.07 Rubaga-Natete'!M15,'25.07 Rubaga-natete'!M15,'26.07 Rubaga-Natete-24h'!M15,'27.07 Rubaga-Natete-24h'!M15,'28.07 Rubaga-Natete'!M15)</f>
        <v>177.28571428571428</v>
      </c>
      <c r="N15" s="49">
        <f>AVERAGE('22.07 Rubaga-Natete'!N15,'23.07 Rubaga-Natete'!N15,'24.07 Rubaga-Natete'!N15,'25.07 Rubaga-natete'!N15,'26.07 Rubaga-Natete-24h'!N15,'27.07 Rubaga-Natete-24h'!N15,'28.07 Rubaga-Natete'!N15)</f>
        <v>0</v>
      </c>
      <c r="O15" s="15">
        <f t="shared" si="0"/>
        <v>91.714285714285708</v>
      </c>
      <c r="P15" s="15">
        <f t="shared" si="1"/>
        <v>269</v>
      </c>
      <c r="R15" s="1" t="s">
        <v>11</v>
      </c>
      <c r="S15" s="17">
        <f t="shared" ref="S15:AF15" si="7">SUM(C30:C33)</f>
        <v>160.71428571428572</v>
      </c>
      <c r="T15" s="17">
        <f t="shared" si="7"/>
        <v>20.142857142857142</v>
      </c>
      <c r="U15" s="17">
        <f t="shared" si="7"/>
        <v>21.428571428571431</v>
      </c>
      <c r="V15" s="17">
        <f t="shared" si="7"/>
        <v>166.57142857142858</v>
      </c>
      <c r="W15" s="17">
        <f t="shared" si="7"/>
        <v>4.8571428571428568</v>
      </c>
      <c r="X15" s="17">
        <f t="shared" si="7"/>
        <v>6.8571428571428559</v>
      </c>
      <c r="Y15" s="17">
        <f t="shared" si="7"/>
        <v>14.857142857142858</v>
      </c>
      <c r="Z15" s="17">
        <f t="shared" si="7"/>
        <v>13.285714285714285</v>
      </c>
      <c r="AA15" s="17">
        <f t="shared" si="7"/>
        <v>1.2857142857142856</v>
      </c>
      <c r="AB15" s="17">
        <f t="shared" si="7"/>
        <v>0.8571428571428571</v>
      </c>
      <c r="AC15" s="17">
        <f t="shared" si="7"/>
        <v>604.28571428571433</v>
      </c>
      <c r="AD15" s="17">
        <f t="shared" si="7"/>
        <v>0</v>
      </c>
      <c r="AE15" s="31">
        <f t="shared" si="7"/>
        <v>410.85714285714283</v>
      </c>
      <c r="AF15" s="31">
        <f t="shared" si="7"/>
        <v>1015.1428571428572</v>
      </c>
    </row>
    <row r="16" spans="2:32" ht="23.1" customHeight="1" x14ac:dyDescent="0.25">
      <c r="B16" s="23" t="s">
        <v>43</v>
      </c>
      <c r="C16" s="49">
        <f>AVERAGE('22.07 Rubaga-Natete'!C16,'23.07 Rubaga-Natete'!C16,'24.07 Rubaga-Natete'!C16,'25.07 Rubaga-natete'!C16,'26.07 Rubaga-Natete-24h'!C16,'27.07 Rubaga-Natete-24h'!C16,'28.07 Rubaga-Natete'!C16)</f>
        <v>32.857142857142854</v>
      </c>
      <c r="D16" s="49">
        <f>AVERAGE('22.07 Rubaga-Natete'!D16,'23.07 Rubaga-Natete'!D16,'24.07 Rubaga-Natete'!D16,'25.07 Rubaga-natete'!D16,'26.07 Rubaga-Natete-24h'!D16,'27.07 Rubaga-Natete-24h'!D16,'28.07 Rubaga-Natete'!D16)</f>
        <v>3.2857142857142856</v>
      </c>
      <c r="E16" s="49">
        <f>AVERAGE('22.07 Rubaga-Natete'!E16,'23.07 Rubaga-Natete'!E16,'24.07 Rubaga-Natete'!E16,'25.07 Rubaga-natete'!E16,'26.07 Rubaga-Natete-24h'!E16,'27.07 Rubaga-Natete-24h'!E16,'28.07 Rubaga-Natete'!E16)</f>
        <v>3.5714285714285716</v>
      </c>
      <c r="F16" s="49">
        <f>AVERAGE('22.07 Rubaga-Natete'!F16,'23.07 Rubaga-Natete'!F16,'24.07 Rubaga-Natete'!F16,'25.07 Rubaga-natete'!F16,'26.07 Rubaga-Natete-24h'!F16,'27.07 Rubaga-Natete-24h'!F16,'28.07 Rubaga-Natete'!F16)</f>
        <v>49.571428571428569</v>
      </c>
      <c r="G16" s="49">
        <f>AVERAGE('22.07 Rubaga-Natete'!G16,'23.07 Rubaga-Natete'!G16,'24.07 Rubaga-Natete'!G16,'25.07 Rubaga-natete'!G16,'26.07 Rubaga-Natete-24h'!G16,'27.07 Rubaga-Natete-24h'!G16,'28.07 Rubaga-Natete'!G16)</f>
        <v>1</v>
      </c>
      <c r="H16" s="49">
        <f>AVERAGE('22.07 Rubaga-Natete'!H16,'23.07 Rubaga-Natete'!H16,'24.07 Rubaga-Natete'!H16,'25.07 Rubaga-natete'!H16,'26.07 Rubaga-Natete-24h'!H16,'27.07 Rubaga-Natete-24h'!H16,'28.07 Rubaga-Natete'!H16)</f>
        <v>0.8571428571428571</v>
      </c>
      <c r="I16" s="49">
        <f>AVERAGE('22.07 Rubaga-Natete'!I16,'23.07 Rubaga-Natete'!I16,'24.07 Rubaga-Natete'!I16,'25.07 Rubaga-natete'!I16,'26.07 Rubaga-Natete-24h'!I16,'27.07 Rubaga-Natete-24h'!I16,'28.07 Rubaga-Natete'!I16)</f>
        <v>2.5714285714285716</v>
      </c>
      <c r="J16" s="49">
        <f>AVERAGE('22.07 Rubaga-Natete'!J16,'23.07 Rubaga-Natete'!J16,'24.07 Rubaga-Natete'!J16,'25.07 Rubaga-natete'!J16,'26.07 Rubaga-Natete-24h'!J16,'27.07 Rubaga-Natete-24h'!J16,'28.07 Rubaga-Natete'!J16)</f>
        <v>0.42857142857142855</v>
      </c>
      <c r="K16" s="49">
        <f>AVERAGE('22.07 Rubaga-Natete'!K16,'23.07 Rubaga-Natete'!K16,'24.07 Rubaga-Natete'!K16,'25.07 Rubaga-natete'!K16,'26.07 Rubaga-Natete-24h'!K16,'27.07 Rubaga-Natete-24h'!K16,'28.07 Rubaga-Natete'!K16)</f>
        <v>0</v>
      </c>
      <c r="L16" s="49">
        <f>AVERAGE('22.07 Rubaga-Natete'!L16,'23.07 Rubaga-Natete'!L16,'24.07 Rubaga-Natete'!L16,'25.07 Rubaga-natete'!L16,'26.07 Rubaga-Natete-24h'!L16,'27.07 Rubaga-Natete-24h'!L16,'28.07 Rubaga-Natete'!L16)</f>
        <v>0.14285714285714285</v>
      </c>
      <c r="M16" s="49">
        <f>AVERAGE('22.07 Rubaga-Natete'!M16,'23.07 Rubaga-Natete'!M16,'24.07 Rubaga-Natete'!M16,'25.07 Rubaga-natete'!M16,'26.07 Rubaga-Natete-24h'!M16,'27.07 Rubaga-Natete-24h'!M16,'28.07 Rubaga-Natete'!M16)</f>
        <v>197.28571428571428</v>
      </c>
      <c r="N16" s="49">
        <f>AVERAGE('22.07 Rubaga-Natete'!N16,'23.07 Rubaga-Natete'!N16,'24.07 Rubaga-Natete'!N16,'25.07 Rubaga-natete'!N16,'26.07 Rubaga-Natete-24h'!N16,'27.07 Rubaga-Natete-24h'!N16,'28.07 Rubaga-Natete'!N16)</f>
        <v>0</v>
      </c>
      <c r="O16" s="15">
        <f t="shared" si="0"/>
        <v>94.285714285714278</v>
      </c>
      <c r="P16" s="15">
        <f t="shared" si="1"/>
        <v>291.57142857142856</v>
      </c>
      <c r="R16" s="1" t="s">
        <v>12</v>
      </c>
      <c r="S16" s="17">
        <f t="shared" ref="S16:AF16" si="8">SUM(C34:C37)</f>
        <v>169.71428571428572</v>
      </c>
      <c r="T16" s="17">
        <f t="shared" si="8"/>
        <v>17.428571428571431</v>
      </c>
      <c r="U16" s="17">
        <f t="shared" si="8"/>
        <v>21.285714285714285</v>
      </c>
      <c r="V16" s="17">
        <f t="shared" si="8"/>
        <v>169.14285714285714</v>
      </c>
      <c r="W16" s="17">
        <f t="shared" si="8"/>
        <v>6.4285714285714288</v>
      </c>
      <c r="X16" s="17">
        <f t="shared" si="8"/>
        <v>6.7142857142857144</v>
      </c>
      <c r="Y16" s="17">
        <f t="shared" si="8"/>
        <v>12.428571428571427</v>
      </c>
      <c r="Z16" s="17">
        <f t="shared" si="8"/>
        <v>9.8571428571428559</v>
      </c>
      <c r="AA16" s="17">
        <f t="shared" si="8"/>
        <v>0.71428571428571419</v>
      </c>
      <c r="AB16" s="17">
        <f t="shared" si="8"/>
        <v>1.4285714285714284</v>
      </c>
      <c r="AC16" s="17">
        <f t="shared" si="8"/>
        <v>475</v>
      </c>
      <c r="AD16" s="17">
        <f t="shared" si="8"/>
        <v>0</v>
      </c>
      <c r="AE16" s="31">
        <f t="shared" si="8"/>
        <v>415.14285714285711</v>
      </c>
      <c r="AF16" s="31">
        <f t="shared" si="8"/>
        <v>890.14285714285711</v>
      </c>
    </row>
    <row r="17" spans="2:32" ht="23.1" customHeight="1" x14ac:dyDescent="0.25">
      <c r="B17" s="23" t="s">
        <v>44</v>
      </c>
      <c r="C17" s="49">
        <f>AVERAGE('22.07 Rubaga-Natete'!C17,'23.07 Rubaga-Natete'!C17,'24.07 Rubaga-Natete'!C17,'25.07 Rubaga-natete'!C17,'26.07 Rubaga-Natete-24h'!C17,'27.07 Rubaga-Natete-24h'!C17,'28.07 Rubaga-Natete'!C17)</f>
        <v>30.285714285714285</v>
      </c>
      <c r="D17" s="49">
        <f>AVERAGE('22.07 Rubaga-Natete'!D17,'23.07 Rubaga-Natete'!D17,'24.07 Rubaga-Natete'!D17,'25.07 Rubaga-natete'!D17,'26.07 Rubaga-Natete-24h'!D17,'27.07 Rubaga-Natete-24h'!D17,'28.07 Rubaga-Natete'!D17)</f>
        <v>3.5714285714285716</v>
      </c>
      <c r="E17" s="49">
        <f>AVERAGE('22.07 Rubaga-Natete'!E17,'23.07 Rubaga-Natete'!E17,'24.07 Rubaga-Natete'!E17,'25.07 Rubaga-natete'!E17,'26.07 Rubaga-Natete-24h'!E17,'27.07 Rubaga-Natete-24h'!E17,'28.07 Rubaga-Natete'!E17)</f>
        <v>1.2857142857142858</v>
      </c>
      <c r="F17" s="49">
        <f>AVERAGE('22.07 Rubaga-Natete'!F17,'23.07 Rubaga-Natete'!F17,'24.07 Rubaga-Natete'!F17,'25.07 Rubaga-natete'!F17,'26.07 Rubaga-Natete-24h'!F17,'27.07 Rubaga-Natete-24h'!F17,'28.07 Rubaga-Natete'!F17)</f>
        <v>41.857142857142854</v>
      </c>
      <c r="G17" s="49">
        <f>AVERAGE('22.07 Rubaga-Natete'!G17,'23.07 Rubaga-Natete'!G17,'24.07 Rubaga-Natete'!G17,'25.07 Rubaga-natete'!G17,'26.07 Rubaga-Natete-24h'!G17,'27.07 Rubaga-Natete-24h'!G17,'28.07 Rubaga-Natete'!G17)</f>
        <v>1.4285714285714286</v>
      </c>
      <c r="H17" s="49">
        <f>AVERAGE('22.07 Rubaga-Natete'!H17,'23.07 Rubaga-Natete'!H17,'24.07 Rubaga-Natete'!H17,'25.07 Rubaga-natete'!H17,'26.07 Rubaga-Natete-24h'!H17,'27.07 Rubaga-Natete-24h'!H17,'28.07 Rubaga-Natete'!H17)</f>
        <v>1.5714285714285714</v>
      </c>
      <c r="I17" s="49">
        <f>AVERAGE('22.07 Rubaga-Natete'!I17,'23.07 Rubaga-Natete'!I17,'24.07 Rubaga-Natete'!I17,'25.07 Rubaga-natete'!I17,'26.07 Rubaga-Natete-24h'!I17,'27.07 Rubaga-Natete-24h'!I17,'28.07 Rubaga-Natete'!I17)</f>
        <v>3.1428571428571428</v>
      </c>
      <c r="J17" s="49">
        <f>AVERAGE('22.07 Rubaga-Natete'!J17,'23.07 Rubaga-Natete'!J17,'24.07 Rubaga-Natete'!J17,'25.07 Rubaga-natete'!J17,'26.07 Rubaga-Natete-24h'!J17,'27.07 Rubaga-Natete-24h'!J17,'28.07 Rubaga-Natete'!J17)</f>
        <v>1.5714285714285714</v>
      </c>
      <c r="K17" s="49">
        <f>AVERAGE('22.07 Rubaga-Natete'!K17,'23.07 Rubaga-Natete'!K17,'24.07 Rubaga-Natete'!K17,'25.07 Rubaga-natete'!K17,'26.07 Rubaga-Natete-24h'!K17,'27.07 Rubaga-Natete-24h'!K17,'28.07 Rubaga-Natete'!K17)</f>
        <v>0</v>
      </c>
      <c r="L17" s="49">
        <f>AVERAGE('22.07 Rubaga-Natete'!L17,'23.07 Rubaga-Natete'!L17,'24.07 Rubaga-Natete'!L17,'25.07 Rubaga-natete'!L17,'26.07 Rubaga-Natete-24h'!L17,'27.07 Rubaga-Natete-24h'!L17,'28.07 Rubaga-Natete'!L17)</f>
        <v>0</v>
      </c>
      <c r="M17" s="49">
        <f>AVERAGE('22.07 Rubaga-Natete'!M17,'23.07 Rubaga-Natete'!M17,'24.07 Rubaga-Natete'!M17,'25.07 Rubaga-natete'!M17,'26.07 Rubaga-Natete-24h'!M17,'27.07 Rubaga-Natete-24h'!M17,'28.07 Rubaga-Natete'!M17)</f>
        <v>182.42857142857142</v>
      </c>
      <c r="N17" s="49">
        <f>AVERAGE('22.07 Rubaga-Natete'!N17,'23.07 Rubaga-Natete'!N17,'24.07 Rubaga-Natete'!N17,'25.07 Rubaga-natete'!N17,'26.07 Rubaga-Natete-24h'!N17,'27.07 Rubaga-Natete-24h'!N17,'28.07 Rubaga-Natete'!N17)</f>
        <v>0</v>
      </c>
      <c r="O17" s="15">
        <f t="shared" si="0"/>
        <v>84.714285714285708</v>
      </c>
      <c r="P17" s="15">
        <f t="shared" si="1"/>
        <v>267.14285714285711</v>
      </c>
      <c r="R17" s="1" t="s">
        <v>13</v>
      </c>
      <c r="S17" s="17">
        <f t="shared" ref="S17:AF17" si="9">SUM(C38:C41)</f>
        <v>140.42857142857144</v>
      </c>
      <c r="T17" s="17">
        <f t="shared" si="9"/>
        <v>19.857142857142858</v>
      </c>
      <c r="U17" s="17">
        <f t="shared" si="9"/>
        <v>27.571428571428577</v>
      </c>
      <c r="V17" s="17">
        <f t="shared" si="9"/>
        <v>159.28571428571428</v>
      </c>
      <c r="W17" s="17">
        <f t="shared" si="9"/>
        <v>4.4285714285714288</v>
      </c>
      <c r="X17" s="17">
        <f t="shared" si="9"/>
        <v>6</v>
      </c>
      <c r="Y17" s="17">
        <f t="shared" si="9"/>
        <v>13.285714285714286</v>
      </c>
      <c r="Z17" s="17">
        <f t="shared" si="9"/>
        <v>7</v>
      </c>
      <c r="AA17" s="17">
        <f t="shared" si="9"/>
        <v>0.14285714285714285</v>
      </c>
      <c r="AB17" s="17">
        <f t="shared" si="9"/>
        <v>1.7142857142857142</v>
      </c>
      <c r="AC17" s="17">
        <f t="shared" si="9"/>
        <v>417.28571428571428</v>
      </c>
      <c r="AD17" s="17">
        <f t="shared" si="9"/>
        <v>0</v>
      </c>
      <c r="AE17" s="31">
        <f t="shared" si="9"/>
        <v>379.71428571428567</v>
      </c>
      <c r="AF17" s="31">
        <f t="shared" si="9"/>
        <v>797</v>
      </c>
    </row>
    <row r="18" spans="2:32" ht="23.1" customHeight="1" x14ac:dyDescent="0.25">
      <c r="B18" s="23" t="s">
        <v>45</v>
      </c>
      <c r="C18" s="49">
        <f>AVERAGE('22.07 Rubaga-Natete'!C18,'23.07 Rubaga-Natete'!C18,'24.07 Rubaga-Natete'!C18,'25.07 Rubaga-natete'!C18,'26.07 Rubaga-Natete-24h'!C18,'27.07 Rubaga-Natete-24h'!C18,'28.07 Rubaga-Natete'!C18)</f>
        <v>29.428571428571427</v>
      </c>
      <c r="D18" s="49">
        <f>AVERAGE('22.07 Rubaga-Natete'!D18,'23.07 Rubaga-Natete'!D18,'24.07 Rubaga-Natete'!D18,'25.07 Rubaga-natete'!D18,'26.07 Rubaga-Natete-24h'!D18,'27.07 Rubaga-Natete-24h'!D18,'28.07 Rubaga-Natete'!D18)</f>
        <v>4.2857142857142856</v>
      </c>
      <c r="E18" s="49">
        <f>AVERAGE('22.07 Rubaga-Natete'!E18,'23.07 Rubaga-Natete'!E18,'24.07 Rubaga-Natete'!E18,'25.07 Rubaga-natete'!E18,'26.07 Rubaga-Natete-24h'!E18,'27.07 Rubaga-Natete-24h'!E18,'28.07 Rubaga-Natete'!E18)</f>
        <v>1.5714285714285714</v>
      </c>
      <c r="F18" s="49">
        <f>AVERAGE('22.07 Rubaga-Natete'!F18,'23.07 Rubaga-Natete'!F18,'24.07 Rubaga-Natete'!F18,'25.07 Rubaga-natete'!F18,'26.07 Rubaga-Natete-24h'!F18,'27.07 Rubaga-Natete-24h'!F18,'28.07 Rubaga-Natete'!F18)</f>
        <v>46.857142857142854</v>
      </c>
      <c r="G18" s="49">
        <f>AVERAGE('22.07 Rubaga-Natete'!G18,'23.07 Rubaga-Natete'!G18,'24.07 Rubaga-Natete'!G18,'25.07 Rubaga-natete'!G18,'26.07 Rubaga-Natete-24h'!G18,'27.07 Rubaga-Natete-24h'!G18,'28.07 Rubaga-Natete'!G18)</f>
        <v>0.8571428571428571</v>
      </c>
      <c r="H18" s="49">
        <f>AVERAGE('22.07 Rubaga-Natete'!H18,'23.07 Rubaga-Natete'!H18,'24.07 Rubaga-Natete'!H18,'25.07 Rubaga-natete'!H18,'26.07 Rubaga-Natete-24h'!H18,'27.07 Rubaga-Natete-24h'!H18,'28.07 Rubaga-Natete'!H18)</f>
        <v>2</v>
      </c>
      <c r="I18" s="49">
        <f>AVERAGE('22.07 Rubaga-Natete'!I18,'23.07 Rubaga-Natete'!I18,'24.07 Rubaga-Natete'!I18,'25.07 Rubaga-natete'!I18,'26.07 Rubaga-Natete-24h'!I18,'27.07 Rubaga-Natete-24h'!I18,'28.07 Rubaga-Natete'!I18)</f>
        <v>1.8571428571428572</v>
      </c>
      <c r="J18" s="49">
        <f>AVERAGE('22.07 Rubaga-Natete'!J18,'23.07 Rubaga-Natete'!J18,'24.07 Rubaga-Natete'!J18,'25.07 Rubaga-natete'!J18,'26.07 Rubaga-Natete-24h'!J18,'27.07 Rubaga-Natete-24h'!J18,'28.07 Rubaga-Natete'!J18)</f>
        <v>1.1428571428571428</v>
      </c>
      <c r="K18" s="49">
        <f>AVERAGE('22.07 Rubaga-Natete'!K18,'23.07 Rubaga-Natete'!K18,'24.07 Rubaga-Natete'!K18,'25.07 Rubaga-natete'!K18,'26.07 Rubaga-Natete-24h'!K18,'27.07 Rubaga-Natete-24h'!K18,'28.07 Rubaga-Natete'!K18)</f>
        <v>0.2857142857142857</v>
      </c>
      <c r="L18" s="49">
        <f>AVERAGE('22.07 Rubaga-Natete'!L18,'23.07 Rubaga-Natete'!L18,'24.07 Rubaga-Natete'!L18,'25.07 Rubaga-natete'!L18,'26.07 Rubaga-Natete-24h'!L18,'27.07 Rubaga-Natete-24h'!L18,'28.07 Rubaga-Natete'!L18)</f>
        <v>0</v>
      </c>
      <c r="M18" s="49">
        <f>AVERAGE('22.07 Rubaga-Natete'!M18,'23.07 Rubaga-Natete'!M18,'24.07 Rubaga-Natete'!M18,'25.07 Rubaga-natete'!M18,'26.07 Rubaga-Natete-24h'!M18,'27.07 Rubaga-Natete-24h'!M18,'28.07 Rubaga-Natete'!M18)</f>
        <v>179.71428571428572</v>
      </c>
      <c r="N18" s="49">
        <f>AVERAGE('22.07 Rubaga-Natete'!N18,'23.07 Rubaga-Natete'!N18,'24.07 Rubaga-Natete'!N18,'25.07 Rubaga-natete'!N18,'26.07 Rubaga-Natete-24h'!N18,'27.07 Rubaga-Natete-24h'!N18,'28.07 Rubaga-Natete'!N18)</f>
        <v>0</v>
      </c>
      <c r="O18" s="15">
        <f t="shared" si="0"/>
        <v>88.285714285714292</v>
      </c>
      <c r="P18" s="15">
        <f t="shared" si="1"/>
        <v>268</v>
      </c>
      <c r="R18" s="1" t="s">
        <v>14</v>
      </c>
      <c r="S18" s="17">
        <f t="shared" ref="S18:AF18" si="10">SUM(C42:C45)</f>
        <v>155.85714285714286</v>
      </c>
      <c r="T18" s="17">
        <f t="shared" si="10"/>
        <v>21.428571428571431</v>
      </c>
      <c r="U18" s="17">
        <f t="shared" si="10"/>
        <v>20</v>
      </c>
      <c r="V18" s="17">
        <f t="shared" si="10"/>
        <v>143.71428571428572</v>
      </c>
      <c r="W18" s="17">
        <f t="shared" si="10"/>
        <v>3.4285714285714284</v>
      </c>
      <c r="X18" s="17">
        <f t="shared" si="10"/>
        <v>4.8571428571428568</v>
      </c>
      <c r="Y18" s="17">
        <f t="shared" si="10"/>
        <v>13.285714285714285</v>
      </c>
      <c r="Z18" s="17">
        <f t="shared" si="10"/>
        <v>6.5714285714285712</v>
      </c>
      <c r="AA18" s="17">
        <f t="shared" si="10"/>
        <v>0.8571428571428571</v>
      </c>
      <c r="AB18" s="17">
        <f t="shared" si="10"/>
        <v>1.4285714285714284</v>
      </c>
      <c r="AC18" s="17">
        <f t="shared" si="10"/>
        <v>413.28571428571428</v>
      </c>
      <c r="AD18" s="17">
        <f t="shared" si="10"/>
        <v>0</v>
      </c>
      <c r="AE18" s="31">
        <f t="shared" si="10"/>
        <v>371.42857142857144</v>
      </c>
      <c r="AF18" s="31">
        <f t="shared" si="10"/>
        <v>784.71428571428567</v>
      </c>
    </row>
    <row r="19" spans="2:32" ht="23.1" customHeight="1" x14ac:dyDescent="0.25">
      <c r="B19" s="23" t="s">
        <v>46</v>
      </c>
      <c r="C19" s="49">
        <f>AVERAGE('22.07 Rubaga-Natete'!C19,'23.07 Rubaga-Natete'!C19,'24.07 Rubaga-Natete'!C19,'25.07 Rubaga-natete'!C19,'26.07 Rubaga-Natete-24h'!C19,'27.07 Rubaga-Natete-24h'!C19,'28.07 Rubaga-Natete'!C19)</f>
        <v>31.285714285714285</v>
      </c>
      <c r="D19" s="49">
        <f>AVERAGE('22.07 Rubaga-Natete'!D19,'23.07 Rubaga-Natete'!D19,'24.07 Rubaga-Natete'!D19,'25.07 Rubaga-natete'!D19,'26.07 Rubaga-Natete-24h'!D19,'27.07 Rubaga-Natete-24h'!D19,'28.07 Rubaga-Natete'!D19)</f>
        <v>2.7142857142857144</v>
      </c>
      <c r="E19" s="49">
        <f>AVERAGE('22.07 Rubaga-Natete'!E19,'23.07 Rubaga-Natete'!E19,'24.07 Rubaga-Natete'!E19,'25.07 Rubaga-natete'!E19,'26.07 Rubaga-Natete-24h'!E19,'27.07 Rubaga-Natete-24h'!E19,'28.07 Rubaga-Natete'!E19)</f>
        <v>2.2857142857142856</v>
      </c>
      <c r="F19" s="49">
        <f>AVERAGE('22.07 Rubaga-Natete'!F19,'23.07 Rubaga-Natete'!F19,'24.07 Rubaga-Natete'!F19,'25.07 Rubaga-natete'!F19,'26.07 Rubaga-Natete-24h'!F19,'27.07 Rubaga-Natete-24h'!F19,'28.07 Rubaga-Natete'!F19)</f>
        <v>43.714285714285715</v>
      </c>
      <c r="G19" s="49">
        <f>AVERAGE('22.07 Rubaga-Natete'!G19,'23.07 Rubaga-Natete'!G19,'24.07 Rubaga-Natete'!G19,'25.07 Rubaga-natete'!G19,'26.07 Rubaga-Natete-24h'!G19,'27.07 Rubaga-Natete-24h'!G19,'28.07 Rubaga-Natete'!G19)</f>
        <v>1.1428571428571428</v>
      </c>
      <c r="H19" s="49">
        <f>AVERAGE('22.07 Rubaga-Natete'!H19,'23.07 Rubaga-Natete'!H19,'24.07 Rubaga-Natete'!H19,'25.07 Rubaga-natete'!H19,'26.07 Rubaga-Natete-24h'!H19,'27.07 Rubaga-Natete-24h'!H19,'28.07 Rubaga-Natete'!H19)</f>
        <v>2.4285714285714284</v>
      </c>
      <c r="I19" s="49">
        <f>AVERAGE('22.07 Rubaga-Natete'!I19,'23.07 Rubaga-Natete'!I19,'24.07 Rubaga-Natete'!I19,'25.07 Rubaga-natete'!I19,'26.07 Rubaga-Natete-24h'!I19,'27.07 Rubaga-Natete-24h'!I19,'28.07 Rubaga-Natete'!I19)</f>
        <v>1.8571428571428572</v>
      </c>
      <c r="J19" s="49">
        <f>AVERAGE('22.07 Rubaga-Natete'!J19,'23.07 Rubaga-Natete'!J19,'24.07 Rubaga-Natete'!J19,'25.07 Rubaga-natete'!J19,'26.07 Rubaga-Natete-24h'!J19,'27.07 Rubaga-Natete-24h'!J19,'28.07 Rubaga-Natete'!J19)</f>
        <v>0.7142857142857143</v>
      </c>
      <c r="K19" s="49">
        <f>AVERAGE('22.07 Rubaga-Natete'!K19,'23.07 Rubaga-Natete'!K19,'24.07 Rubaga-Natete'!K19,'25.07 Rubaga-natete'!K19,'26.07 Rubaga-Natete-24h'!K19,'27.07 Rubaga-Natete-24h'!K19,'28.07 Rubaga-Natete'!K19)</f>
        <v>0.14285714285714285</v>
      </c>
      <c r="L19" s="49">
        <f>AVERAGE('22.07 Rubaga-Natete'!L19,'23.07 Rubaga-Natete'!L19,'24.07 Rubaga-Natete'!L19,'25.07 Rubaga-natete'!L19,'26.07 Rubaga-Natete-24h'!L19,'27.07 Rubaga-Natete-24h'!L19,'28.07 Rubaga-Natete'!L19)</f>
        <v>0.14285714285714285</v>
      </c>
      <c r="M19" s="49">
        <f>AVERAGE('22.07 Rubaga-Natete'!M19,'23.07 Rubaga-Natete'!M19,'24.07 Rubaga-Natete'!M19,'25.07 Rubaga-natete'!M19,'26.07 Rubaga-Natete-24h'!M19,'27.07 Rubaga-Natete-24h'!M19,'28.07 Rubaga-Natete'!M19)</f>
        <v>173</v>
      </c>
      <c r="N19" s="49">
        <f>AVERAGE('22.07 Rubaga-Natete'!N19,'23.07 Rubaga-Natete'!N19,'24.07 Rubaga-Natete'!N19,'25.07 Rubaga-natete'!N19,'26.07 Rubaga-Natete-24h'!N19,'27.07 Rubaga-Natete-24h'!N19,'28.07 Rubaga-Natete'!N19)</f>
        <v>0</v>
      </c>
      <c r="O19" s="15">
        <f t="shared" si="0"/>
        <v>86.428571428571416</v>
      </c>
      <c r="P19" s="15">
        <f t="shared" si="1"/>
        <v>259.42857142857144</v>
      </c>
      <c r="R19" s="1" t="s">
        <v>15</v>
      </c>
      <c r="S19" s="17">
        <f t="shared" ref="S19:AF19" si="11">SUM(C46:C49)</f>
        <v>201.99999999999997</v>
      </c>
      <c r="T19" s="17">
        <f t="shared" si="11"/>
        <v>15.857142857142858</v>
      </c>
      <c r="U19" s="17">
        <f t="shared" si="11"/>
        <v>16.571428571428569</v>
      </c>
      <c r="V19" s="17">
        <f t="shared" si="11"/>
        <v>205.71428571428572</v>
      </c>
      <c r="W19" s="17">
        <f t="shared" si="11"/>
        <v>5.1428571428571423</v>
      </c>
      <c r="X19" s="17">
        <f t="shared" si="11"/>
        <v>5</v>
      </c>
      <c r="Y19" s="17">
        <f t="shared" si="11"/>
        <v>10.142857142857142</v>
      </c>
      <c r="Z19" s="17">
        <f t="shared" si="11"/>
        <v>7.2857142857142856</v>
      </c>
      <c r="AA19" s="17">
        <f t="shared" si="11"/>
        <v>1.5714285714285712</v>
      </c>
      <c r="AB19" s="17">
        <f t="shared" si="11"/>
        <v>1.2857142857142856</v>
      </c>
      <c r="AC19" s="17">
        <f t="shared" si="11"/>
        <v>570.85714285714289</v>
      </c>
      <c r="AD19" s="17">
        <f t="shared" si="11"/>
        <v>0</v>
      </c>
      <c r="AE19" s="31">
        <f t="shared" si="11"/>
        <v>470.57142857142861</v>
      </c>
      <c r="AF19" s="31">
        <f t="shared" si="11"/>
        <v>1041.4285714285716</v>
      </c>
    </row>
    <row r="20" spans="2:32" ht="23.1" customHeight="1" x14ac:dyDescent="0.25">
      <c r="B20" s="23" t="s">
        <v>47</v>
      </c>
      <c r="C20" s="49">
        <f>AVERAGE('22.07 Rubaga-Natete'!C20,'23.07 Rubaga-Natete'!C20,'24.07 Rubaga-Natete'!C20,'25.07 Rubaga-natete'!C20,'26.07 Rubaga-Natete-24h'!C20,'27.07 Rubaga-Natete-24h'!C20,'28.07 Rubaga-Natete'!C20)</f>
        <v>25.285714285714285</v>
      </c>
      <c r="D20" s="49">
        <f>AVERAGE('22.07 Rubaga-Natete'!D20,'23.07 Rubaga-Natete'!D20,'24.07 Rubaga-Natete'!D20,'25.07 Rubaga-natete'!D20,'26.07 Rubaga-Natete-24h'!D20,'27.07 Rubaga-Natete-24h'!D20,'28.07 Rubaga-Natete'!D20)</f>
        <v>3.8571428571428572</v>
      </c>
      <c r="E20" s="49">
        <f>AVERAGE('22.07 Rubaga-Natete'!E20,'23.07 Rubaga-Natete'!E20,'24.07 Rubaga-Natete'!E20,'25.07 Rubaga-natete'!E20,'26.07 Rubaga-Natete-24h'!E20,'27.07 Rubaga-Natete-24h'!E20,'28.07 Rubaga-Natete'!E20)</f>
        <v>3.1428571428571428</v>
      </c>
      <c r="F20" s="49">
        <f>AVERAGE('22.07 Rubaga-Natete'!F20,'23.07 Rubaga-Natete'!F20,'24.07 Rubaga-Natete'!F20,'25.07 Rubaga-natete'!F20,'26.07 Rubaga-Natete-24h'!F20,'27.07 Rubaga-Natete-24h'!F20,'28.07 Rubaga-Natete'!F20)</f>
        <v>34.571428571428569</v>
      </c>
      <c r="G20" s="49">
        <f>AVERAGE('22.07 Rubaga-Natete'!G20,'23.07 Rubaga-Natete'!G20,'24.07 Rubaga-Natete'!G20,'25.07 Rubaga-natete'!G20,'26.07 Rubaga-Natete-24h'!G20,'27.07 Rubaga-Natete-24h'!G20,'28.07 Rubaga-Natete'!G20)</f>
        <v>1.2857142857142858</v>
      </c>
      <c r="H20" s="49">
        <f>AVERAGE('22.07 Rubaga-Natete'!H20,'23.07 Rubaga-Natete'!H20,'24.07 Rubaga-Natete'!H20,'25.07 Rubaga-natete'!H20,'26.07 Rubaga-Natete-24h'!H20,'27.07 Rubaga-Natete-24h'!H20,'28.07 Rubaga-Natete'!H20)</f>
        <v>1.2857142857142858</v>
      </c>
      <c r="I20" s="49">
        <f>AVERAGE('22.07 Rubaga-Natete'!I20,'23.07 Rubaga-Natete'!I20,'24.07 Rubaga-Natete'!I20,'25.07 Rubaga-natete'!I20,'26.07 Rubaga-Natete-24h'!I20,'27.07 Rubaga-Natete-24h'!I20,'28.07 Rubaga-Natete'!I20)</f>
        <v>3.8571428571428572</v>
      </c>
      <c r="J20" s="49">
        <f>AVERAGE('22.07 Rubaga-Natete'!J20,'23.07 Rubaga-Natete'!J20,'24.07 Rubaga-Natete'!J20,'25.07 Rubaga-natete'!J20,'26.07 Rubaga-Natete-24h'!J20,'27.07 Rubaga-Natete-24h'!J20,'28.07 Rubaga-Natete'!J20)</f>
        <v>1.4285714285714286</v>
      </c>
      <c r="K20" s="49">
        <f>AVERAGE('22.07 Rubaga-Natete'!K20,'23.07 Rubaga-Natete'!K20,'24.07 Rubaga-Natete'!K20,'25.07 Rubaga-natete'!K20,'26.07 Rubaga-Natete-24h'!K20,'27.07 Rubaga-Natete-24h'!K20,'28.07 Rubaga-Natete'!K20)</f>
        <v>0</v>
      </c>
      <c r="L20" s="49">
        <f>AVERAGE('22.07 Rubaga-Natete'!L20,'23.07 Rubaga-Natete'!L20,'24.07 Rubaga-Natete'!L20,'25.07 Rubaga-natete'!L20,'26.07 Rubaga-Natete-24h'!L20,'27.07 Rubaga-Natete-24h'!L20,'28.07 Rubaga-Natete'!L20)</f>
        <v>0</v>
      </c>
      <c r="M20" s="49">
        <f>AVERAGE('22.07 Rubaga-Natete'!M20,'23.07 Rubaga-Natete'!M20,'24.07 Rubaga-Natete'!M20,'25.07 Rubaga-natete'!M20,'26.07 Rubaga-Natete-24h'!M20,'27.07 Rubaga-Natete-24h'!M20,'28.07 Rubaga-Natete'!M20)</f>
        <v>148.28571428571428</v>
      </c>
      <c r="N20" s="49">
        <f>AVERAGE('22.07 Rubaga-Natete'!N20,'23.07 Rubaga-Natete'!N20,'24.07 Rubaga-Natete'!N20,'25.07 Rubaga-natete'!N20,'26.07 Rubaga-Natete-24h'!N20,'27.07 Rubaga-Natete-24h'!N20,'28.07 Rubaga-Natete'!N20)</f>
        <v>0</v>
      </c>
      <c r="O20" s="15">
        <f t="shared" si="0"/>
        <v>74.714285714285737</v>
      </c>
      <c r="P20" s="15">
        <f t="shared" si="1"/>
        <v>223</v>
      </c>
      <c r="R20" s="1" t="s">
        <v>16</v>
      </c>
      <c r="S20" s="17">
        <f t="shared" ref="S20:AF20" si="12">SUM(C50:C53)</f>
        <v>278.71428571428567</v>
      </c>
      <c r="T20" s="17">
        <f t="shared" si="12"/>
        <v>14.571428571428571</v>
      </c>
      <c r="U20" s="17">
        <f t="shared" si="12"/>
        <v>17.142857142857146</v>
      </c>
      <c r="V20" s="17">
        <f t="shared" si="12"/>
        <v>233.28571428571428</v>
      </c>
      <c r="W20" s="17">
        <f t="shared" si="12"/>
        <v>6.4285714285714288</v>
      </c>
      <c r="X20" s="17">
        <f t="shared" si="12"/>
        <v>4.2857142857142856</v>
      </c>
      <c r="Y20" s="17">
        <f t="shared" si="12"/>
        <v>14</v>
      </c>
      <c r="Z20" s="17">
        <f t="shared" si="12"/>
        <v>7.5714285714285712</v>
      </c>
      <c r="AA20" s="17">
        <f t="shared" si="12"/>
        <v>1</v>
      </c>
      <c r="AB20" s="17">
        <f t="shared" si="12"/>
        <v>1.1428571428571428</v>
      </c>
      <c r="AC20" s="17">
        <f t="shared" si="12"/>
        <v>678</v>
      </c>
      <c r="AD20" s="17">
        <f t="shared" si="12"/>
        <v>0</v>
      </c>
      <c r="AE20" s="31">
        <f t="shared" si="12"/>
        <v>578.14285714285711</v>
      </c>
      <c r="AF20" s="31">
        <f t="shared" si="12"/>
        <v>1256.1428571428571</v>
      </c>
    </row>
    <row r="21" spans="2:32" ht="23.1" customHeight="1" x14ac:dyDescent="0.25">
      <c r="B21" s="23" t="s">
        <v>48</v>
      </c>
      <c r="C21" s="49">
        <f>AVERAGE('22.07 Rubaga-Natete'!C21,'23.07 Rubaga-Natete'!C21,'24.07 Rubaga-Natete'!C21,'25.07 Rubaga-natete'!C21,'26.07 Rubaga-Natete-24h'!C21,'27.07 Rubaga-Natete-24h'!C21,'28.07 Rubaga-Natete'!C21)</f>
        <v>29.857142857142858</v>
      </c>
      <c r="D21" s="49">
        <f>AVERAGE('22.07 Rubaga-Natete'!D21,'23.07 Rubaga-Natete'!D21,'24.07 Rubaga-Natete'!D21,'25.07 Rubaga-natete'!D21,'26.07 Rubaga-Natete-24h'!D21,'27.07 Rubaga-Natete-24h'!D21,'28.07 Rubaga-Natete'!D21)</f>
        <v>5.5714285714285712</v>
      </c>
      <c r="E21" s="49">
        <f>AVERAGE('22.07 Rubaga-Natete'!E21,'23.07 Rubaga-Natete'!E21,'24.07 Rubaga-Natete'!E21,'25.07 Rubaga-natete'!E21,'26.07 Rubaga-Natete-24h'!E21,'27.07 Rubaga-Natete-24h'!E21,'28.07 Rubaga-Natete'!E21)</f>
        <v>3.4285714285714284</v>
      </c>
      <c r="F21" s="49">
        <f>AVERAGE('22.07 Rubaga-Natete'!F21,'23.07 Rubaga-Natete'!F21,'24.07 Rubaga-Natete'!F21,'25.07 Rubaga-natete'!F21,'26.07 Rubaga-Natete-24h'!F21,'27.07 Rubaga-Natete-24h'!F21,'28.07 Rubaga-Natete'!F21)</f>
        <v>41</v>
      </c>
      <c r="G21" s="49">
        <f>AVERAGE('22.07 Rubaga-Natete'!G21,'23.07 Rubaga-Natete'!G21,'24.07 Rubaga-Natete'!G21,'25.07 Rubaga-natete'!G21,'26.07 Rubaga-Natete-24h'!G21,'27.07 Rubaga-Natete-24h'!G21,'28.07 Rubaga-Natete'!G21)</f>
        <v>1.4285714285714286</v>
      </c>
      <c r="H21" s="49">
        <f>AVERAGE('22.07 Rubaga-Natete'!H21,'23.07 Rubaga-Natete'!H21,'24.07 Rubaga-Natete'!H21,'25.07 Rubaga-natete'!H21,'26.07 Rubaga-Natete-24h'!H21,'27.07 Rubaga-Natete-24h'!H21,'28.07 Rubaga-Natete'!H21)</f>
        <v>1</v>
      </c>
      <c r="I21" s="49">
        <f>AVERAGE('22.07 Rubaga-Natete'!I21,'23.07 Rubaga-Natete'!I21,'24.07 Rubaga-Natete'!I21,'25.07 Rubaga-natete'!I21,'26.07 Rubaga-Natete-24h'!I21,'27.07 Rubaga-Natete-24h'!I21,'28.07 Rubaga-Natete'!I21)</f>
        <v>4.2857142857142856</v>
      </c>
      <c r="J21" s="49">
        <f>AVERAGE('22.07 Rubaga-Natete'!J21,'23.07 Rubaga-Natete'!J21,'24.07 Rubaga-Natete'!J21,'25.07 Rubaga-natete'!J21,'26.07 Rubaga-Natete-24h'!J21,'27.07 Rubaga-Natete-24h'!J21,'28.07 Rubaga-Natete'!J21)</f>
        <v>1.1428571428571428</v>
      </c>
      <c r="K21" s="49">
        <f>AVERAGE('22.07 Rubaga-Natete'!K21,'23.07 Rubaga-Natete'!K21,'24.07 Rubaga-Natete'!K21,'25.07 Rubaga-natete'!K21,'26.07 Rubaga-Natete-24h'!K21,'27.07 Rubaga-Natete-24h'!K21,'28.07 Rubaga-Natete'!K21)</f>
        <v>0.14285714285714285</v>
      </c>
      <c r="L21" s="49">
        <f>AVERAGE('22.07 Rubaga-Natete'!L21,'23.07 Rubaga-Natete'!L21,'24.07 Rubaga-Natete'!L21,'25.07 Rubaga-natete'!L21,'26.07 Rubaga-Natete-24h'!L21,'27.07 Rubaga-Natete-24h'!L21,'28.07 Rubaga-Natete'!L21)</f>
        <v>0</v>
      </c>
      <c r="M21" s="49">
        <f>AVERAGE('22.07 Rubaga-Natete'!M21,'23.07 Rubaga-Natete'!M21,'24.07 Rubaga-Natete'!M21,'25.07 Rubaga-natete'!M21,'26.07 Rubaga-Natete-24h'!M21,'27.07 Rubaga-Natete-24h'!M21,'28.07 Rubaga-Natete'!M21)</f>
        <v>180.85714285714286</v>
      </c>
      <c r="N21" s="49">
        <f>AVERAGE('22.07 Rubaga-Natete'!N21,'23.07 Rubaga-Natete'!N21,'24.07 Rubaga-Natete'!N21,'25.07 Rubaga-natete'!N21,'26.07 Rubaga-Natete-24h'!N21,'27.07 Rubaga-Natete-24h'!N21,'28.07 Rubaga-Natete'!N21)</f>
        <v>0</v>
      </c>
      <c r="O21" s="15">
        <f t="shared" si="0"/>
        <v>87.857142857142861</v>
      </c>
      <c r="P21" s="15">
        <f t="shared" si="1"/>
        <v>268.71428571428572</v>
      </c>
      <c r="R21" s="36" t="s">
        <v>20</v>
      </c>
      <c r="S21" s="34">
        <f t="shared" ref="S21:AF33" si="13">SUM(C54:C57)</f>
        <v>287.85714285714289</v>
      </c>
      <c r="T21" s="17">
        <f t="shared" si="13"/>
        <v>21.142857142857142</v>
      </c>
      <c r="U21" s="17">
        <f t="shared" si="13"/>
        <v>18.714285714285715</v>
      </c>
      <c r="V21" s="17">
        <f t="shared" si="13"/>
        <v>265</v>
      </c>
      <c r="W21" s="17">
        <f t="shared" si="13"/>
        <v>5.8571428571428577</v>
      </c>
      <c r="X21" s="17">
        <f t="shared" si="13"/>
        <v>4.4285714285714288</v>
      </c>
      <c r="Y21" s="17">
        <f t="shared" si="13"/>
        <v>14.142857142857142</v>
      </c>
      <c r="Z21" s="17">
        <f t="shared" si="13"/>
        <v>9</v>
      </c>
      <c r="AA21" s="17">
        <f t="shared" si="13"/>
        <v>2</v>
      </c>
      <c r="AB21" s="17">
        <f t="shared" si="13"/>
        <v>1.714285714285714</v>
      </c>
      <c r="AC21" s="17">
        <f t="shared" si="13"/>
        <v>748.14285714285711</v>
      </c>
      <c r="AD21" s="17">
        <f t="shared" si="13"/>
        <v>0</v>
      </c>
      <c r="AE21" s="31">
        <f t="shared" si="13"/>
        <v>629.85714285714278</v>
      </c>
      <c r="AF21" s="31">
        <f t="shared" si="13"/>
        <v>1378</v>
      </c>
    </row>
    <row r="22" spans="2:32" ht="23.1" customHeight="1" x14ac:dyDescent="0.25">
      <c r="B22" s="23" t="s">
        <v>49</v>
      </c>
      <c r="C22" s="49">
        <f>AVERAGE('22.07 Rubaga-Natete'!C22,'23.07 Rubaga-Natete'!C22,'24.07 Rubaga-Natete'!C22,'25.07 Rubaga-natete'!C22,'26.07 Rubaga-Natete-24h'!C22,'27.07 Rubaga-Natete-24h'!C22,'28.07 Rubaga-Natete'!C22)</f>
        <v>36.285714285714285</v>
      </c>
      <c r="D22" s="49">
        <f>AVERAGE('22.07 Rubaga-Natete'!D22,'23.07 Rubaga-Natete'!D22,'24.07 Rubaga-Natete'!D22,'25.07 Rubaga-natete'!D22,'26.07 Rubaga-Natete-24h'!D22,'27.07 Rubaga-Natete-24h'!D22,'28.07 Rubaga-Natete'!D22)</f>
        <v>4.7142857142857144</v>
      </c>
      <c r="E22" s="49">
        <f>AVERAGE('22.07 Rubaga-Natete'!E22,'23.07 Rubaga-Natete'!E22,'24.07 Rubaga-Natete'!E22,'25.07 Rubaga-natete'!E22,'26.07 Rubaga-Natete-24h'!E22,'27.07 Rubaga-Natete-24h'!E22,'28.07 Rubaga-Natete'!E22)</f>
        <v>3.4285714285714284</v>
      </c>
      <c r="F22" s="49">
        <f>AVERAGE('22.07 Rubaga-Natete'!F22,'23.07 Rubaga-Natete'!F22,'24.07 Rubaga-Natete'!F22,'25.07 Rubaga-natete'!F22,'26.07 Rubaga-Natete-24h'!F22,'27.07 Rubaga-Natete-24h'!F22,'28.07 Rubaga-Natete'!F22)</f>
        <v>43.285714285714285</v>
      </c>
      <c r="G22" s="49">
        <f>AVERAGE('22.07 Rubaga-Natete'!G22,'23.07 Rubaga-Natete'!G22,'24.07 Rubaga-Natete'!G22,'25.07 Rubaga-natete'!G22,'26.07 Rubaga-Natete-24h'!G22,'27.07 Rubaga-Natete-24h'!G22,'28.07 Rubaga-Natete'!G22)</f>
        <v>1.4285714285714286</v>
      </c>
      <c r="H22" s="49">
        <f>AVERAGE('22.07 Rubaga-Natete'!H22,'23.07 Rubaga-Natete'!H22,'24.07 Rubaga-Natete'!H22,'25.07 Rubaga-natete'!H22,'26.07 Rubaga-Natete-24h'!H22,'27.07 Rubaga-Natete-24h'!H22,'28.07 Rubaga-Natete'!H22)</f>
        <v>1.2857142857142858</v>
      </c>
      <c r="I22" s="49">
        <f>AVERAGE('22.07 Rubaga-Natete'!I22,'23.07 Rubaga-Natete'!I22,'24.07 Rubaga-Natete'!I22,'25.07 Rubaga-natete'!I22,'26.07 Rubaga-Natete-24h'!I22,'27.07 Rubaga-Natete-24h'!I22,'28.07 Rubaga-Natete'!I22)</f>
        <v>3.7142857142857144</v>
      </c>
      <c r="J22" s="49">
        <f>AVERAGE('22.07 Rubaga-Natete'!J22,'23.07 Rubaga-Natete'!J22,'24.07 Rubaga-Natete'!J22,'25.07 Rubaga-natete'!J22,'26.07 Rubaga-Natete-24h'!J22,'27.07 Rubaga-Natete-24h'!J22,'28.07 Rubaga-Natete'!J22)</f>
        <v>1.4285714285714286</v>
      </c>
      <c r="K22" s="49">
        <f>AVERAGE('22.07 Rubaga-Natete'!K22,'23.07 Rubaga-Natete'!K22,'24.07 Rubaga-Natete'!K22,'25.07 Rubaga-natete'!K22,'26.07 Rubaga-Natete-24h'!K22,'27.07 Rubaga-Natete-24h'!K22,'28.07 Rubaga-Natete'!K22)</f>
        <v>0</v>
      </c>
      <c r="L22" s="49">
        <f>AVERAGE('22.07 Rubaga-Natete'!L22,'23.07 Rubaga-Natete'!L22,'24.07 Rubaga-Natete'!L22,'25.07 Rubaga-natete'!L22,'26.07 Rubaga-Natete-24h'!L22,'27.07 Rubaga-Natete-24h'!L22,'28.07 Rubaga-Natete'!L22)</f>
        <v>0.14285714285714285</v>
      </c>
      <c r="M22" s="49">
        <f>AVERAGE('22.07 Rubaga-Natete'!M22,'23.07 Rubaga-Natete'!M22,'24.07 Rubaga-Natete'!M22,'25.07 Rubaga-natete'!M22,'26.07 Rubaga-Natete-24h'!M22,'27.07 Rubaga-Natete-24h'!M22,'28.07 Rubaga-Natete'!M22)</f>
        <v>174.28571428571428</v>
      </c>
      <c r="N22" s="49">
        <f>AVERAGE('22.07 Rubaga-Natete'!N22,'23.07 Rubaga-Natete'!N22,'24.07 Rubaga-Natete'!N22,'25.07 Rubaga-natete'!N22,'26.07 Rubaga-Natete-24h'!N22,'27.07 Rubaga-Natete-24h'!N22,'28.07 Rubaga-Natete'!N22)</f>
        <v>0</v>
      </c>
      <c r="O22" s="15">
        <f t="shared" si="0"/>
        <v>95.714285714285722</v>
      </c>
      <c r="P22" s="15">
        <f t="shared" si="1"/>
        <v>270</v>
      </c>
      <c r="R22" s="1" t="s">
        <v>146</v>
      </c>
      <c r="S22" s="34">
        <f>SUM(C58:C61)</f>
        <v>307</v>
      </c>
      <c r="T22" s="34">
        <f t="shared" ref="T22:AD22" si="14">SUM(D58:D61)</f>
        <v>20</v>
      </c>
      <c r="U22" s="34">
        <f t="shared" si="14"/>
        <v>24</v>
      </c>
      <c r="V22" s="34">
        <f t="shared" si="14"/>
        <v>170.5</v>
      </c>
      <c r="W22" s="34">
        <f t="shared" si="14"/>
        <v>4</v>
      </c>
      <c r="X22" s="34">
        <f t="shared" si="14"/>
        <v>4.5</v>
      </c>
      <c r="Y22" s="34">
        <f t="shared" si="14"/>
        <v>14.5</v>
      </c>
      <c r="Z22" s="34">
        <f t="shared" si="14"/>
        <v>8.5</v>
      </c>
      <c r="AA22" s="34">
        <f t="shared" si="14"/>
        <v>1.5</v>
      </c>
      <c r="AB22" s="34">
        <f t="shared" si="14"/>
        <v>2.5</v>
      </c>
      <c r="AC22" s="34">
        <f t="shared" si="14"/>
        <v>766</v>
      </c>
      <c r="AD22" s="34">
        <f t="shared" si="14"/>
        <v>0</v>
      </c>
      <c r="AE22" s="31">
        <f t="shared" si="13"/>
        <v>663.21428571428567</v>
      </c>
      <c r="AF22" s="31">
        <f t="shared" si="13"/>
        <v>1424.1428571428571</v>
      </c>
    </row>
    <row r="23" spans="2:32" ht="23.1" customHeight="1" x14ac:dyDescent="0.25">
      <c r="B23" s="23" t="s">
        <v>50</v>
      </c>
      <c r="C23" s="49">
        <f>AVERAGE('22.07 Rubaga-Natete'!C23,'23.07 Rubaga-Natete'!C23,'24.07 Rubaga-Natete'!C23,'25.07 Rubaga-natete'!C23,'26.07 Rubaga-Natete-24h'!C23,'27.07 Rubaga-Natete-24h'!C23,'28.07 Rubaga-Natete'!C23)</f>
        <v>27.142857142857142</v>
      </c>
      <c r="D23" s="49">
        <f>AVERAGE('22.07 Rubaga-Natete'!D23,'23.07 Rubaga-Natete'!D23,'24.07 Rubaga-Natete'!D23,'25.07 Rubaga-natete'!D23,'26.07 Rubaga-Natete-24h'!D23,'27.07 Rubaga-Natete-24h'!D23,'28.07 Rubaga-Natete'!D23)</f>
        <v>4.5714285714285712</v>
      </c>
      <c r="E23" s="49">
        <f>AVERAGE('22.07 Rubaga-Natete'!E23,'23.07 Rubaga-Natete'!E23,'24.07 Rubaga-Natete'!E23,'25.07 Rubaga-natete'!E23,'26.07 Rubaga-Natete-24h'!E23,'27.07 Rubaga-Natete-24h'!E23,'28.07 Rubaga-Natete'!E23)</f>
        <v>5.7142857142857144</v>
      </c>
      <c r="F23" s="49">
        <f>AVERAGE('22.07 Rubaga-Natete'!F23,'23.07 Rubaga-Natete'!F23,'24.07 Rubaga-Natete'!F23,'25.07 Rubaga-natete'!F23,'26.07 Rubaga-Natete-24h'!F23,'27.07 Rubaga-Natete-24h'!F23,'28.07 Rubaga-Natete'!F23)</f>
        <v>42</v>
      </c>
      <c r="G23" s="49">
        <f>AVERAGE('22.07 Rubaga-Natete'!G23,'23.07 Rubaga-Natete'!G23,'24.07 Rubaga-Natete'!G23,'25.07 Rubaga-natete'!G23,'26.07 Rubaga-Natete-24h'!G23,'27.07 Rubaga-Natete-24h'!G23,'28.07 Rubaga-Natete'!G23)</f>
        <v>1.8571428571428572</v>
      </c>
      <c r="H23" s="49">
        <f>AVERAGE('22.07 Rubaga-Natete'!H23,'23.07 Rubaga-Natete'!H23,'24.07 Rubaga-Natete'!H23,'25.07 Rubaga-natete'!H23,'26.07 Rubaga-Natete-24h'!H23,'27.07 Rubaga-Natete-24h'!H23,'28.07 Rubaga-Natete'!H23)</f>
        <v>1.8571428571428572</v>
      </c>
      <c r="I23" s="49">
        <f>AVERAGE('22.07 Rubaga-Natete'!I23,'23.07 Rubaga-Natete'!I23,'24.07 Rubaga-Natete'!I23,'25.07 Rubaga-natete'!I23,'26.07 Rubaga-Natete-24h'!I23,'27.07 Rubaga-Natete-24h'!I23,'28.07 Rubaga-Natete'!I23)</f>
        <v>3.7142857142857144</v>
      </c>
      <c r="J23" s="49">
        <f>AVERAGE('22.07 Rubaga-Natete'!J23,'23.07 Rubaga-Natete'!J23,'24.07 Rubaga-Natete'!J23,'25.07 Rubaga-natete'!J23,'26.07 Rubaga-Natete-24h'!J23,'27.07 Rubaga-Natete-24h'!J23,'28.07 Rubaga-Natete'!J23)</f>
        <v>1.8571428571428572</v>
      </c>
      <c r="K23" s="49">
        <f>AVERAGE('22.07 Rubaga-Natete'!K23,'23.07 Rubaga-Natete'!K23,'24.07 Rubaga-Natete'!K23,'25.07 Rubaga-natete'!K23,'26.07 Rubaga-Natete-24h'!K23,'27.07 Rubaga-Natete-24h'!K23,'28.07 Rubaga-Natete'!K23)</f>
        <v>0.2857142857142857</v>
      </c>
      <c r="L23" s="49">
        <f>AVERAGE('22.07 Rubaga-Natete'!L23,'23.07 Rubaga-Natete'!L23,'24.07 Rubaga-Natete'!L23,'25.07 Rubaga-natete'!L23,'26.07 Rubaga-Natete-24h'!L23,'27.07 Rubaga-Natete-24h'!L23,'28.07 Rubaga-Natete'!L23)</f>
        <v>0.14285714285714285</v>
      </c>
      <c r="M23" s="49">
        <f>AVERAGE('22.07 Rubaga-Natete'!M23,'23.07 Rubaga-Natete'!M23,'24.07 Rubaga-Natete'!M23,'25.07 Rubaga-natete'!M23,'26.07 Rubaga-Natete-24h'!M23,'27.07 Rubaga-Natete-24h'!M23,'28.07 Rubaga-Natete'!M23)</f>
        <v>142.28571428571428</v>
      </c>
      <c r="N23" s="49">
        <f>AVERAGE('22.07 Rubaga-Natete'!N23,'23.07 Rubaga-Natete'!N23,'24.07 Rubaga-Natete'!N23,'25.07 Rubaga-natete'!N23,'26.07 Rubaga-Natete-24h'!N23,'27.07 Rubaga-Natete-24h'!N23,'28.07 Rubaga-Natete'!N23)</f>
        <v>0</v>
      </c>
      <c r="O23" s="15">
        <f t="shared" si="0"/>
        <v>89.142857142857153</v>
      </c>
      <c r="P23" s="15">
        <f t="shared" si="1"/>
        <v>231.42857142857144</v>
      </c>
      <c r="R23" s="1" t="s">
        <v>147</v>
      </c>
      <c r="S23" s="34">
        <f>SUM(C62:C65)</f>
        <v>210.5</v>
      </c>
      <c r="T23" s="34">
        <f t="shared" ref="T23:AD23" si="15">SUM(D62:D65)</f>
        <v>19</v>
      </c>
      <c r="U23" s="34">
        <f t="shared" si="15"/>
        <v>24</v>
      </c>
      <c r="V23" s="34">
        <f t="shared" si="15"/>
        <v>115.5</v>
      </c>
      <c r="W23" s="34">
        <f t="shared" si="15"/>
        <v>2.5</v>
      </c>
      <c r="X23" s="34">
        <f t="shared" si="15"/>
        <v>2.5</v>
      </c>
      <c r="Y23" s="34">
        <f t="shared" si="15"/>
        <v>10.5</v>
      </c>
      <c r="Z23" s="34">
        <f t="shared" si="15"/>
        <v>8</v>
      </c>
      <c r="AA23" s="34">
        <f t="shared" si="15"/>
        <v>0.5</v>
      </c>
      <c r="AB23" s="34">
        <f t="shared" si="15"/>
        <v>0.5</v>
      </c>
      <c r="AC23" s="34">
        <f t="shared" si="15"/>
        <v>769.5</v>
      </c>
      <c r="AD23" s="34">
        <f t="shared" si="15"/>
        <v>0</v>
      </c>
      <c r="AE23" s="31">
        <f t="shared" si="13"/>
        <v>671.71428571428567</v>
      </c>
      <c r="AF23" s="31">
        <f t="shared" si="13"/>
        <v>1405.2857142857142</v>
      </c>
    </row>
    <row r="24" spans="2:32" ht="23.1" customHeight="1" x14ac:dyDescent="0.25">
      <c r="B24" s="23" t="s">
        <v>51</v>
      </c>
      <c r="C24" s="49">
        <f>AVERAGE('22.07 Rubaga-Natete'!C24,'23.07 Rubaga-Natete'!C24,'24.07 Rubaga-Natete'!C24,'25.07 Rubaga-natete'!C24,'26.07 Rubaga-Natete-24h'!C24,'27.07 Rubaga-Natete-24h'!C24,'28.07 Rubaga-Natete'!C24)</f>
        <v>35</v>
      </c>
      <c r="D24" s="49">
        <f>AVERAGE('22.07 Rubaga-Natete'!D24,'23.07 Rubaga-Natete'!D24,'24.07 Rubaga-Natete'!D24,'25.07 Rubaga-natete'!D24,'26.07 Rubaga-Natete-24h'!D24,'27.07 Rubaga-Natete-24h'!D24,'28.07 Rubaga-Natete'!D24)</f>
        <v>5.1428571428571432</v>
      </c>
      <c r="E24" s="49">
        <f>AVERAGE('22.07 Rubaga-Natete'!E24,'23.07 Rubaga-Natete'!E24,'24.07 Rubaga-Natete'!E24,'25.07 Rubaga-natete'!E24,'26.07 Rubaga-Natete-24h'!E24,'27.07 Rubaga-Natete-24h'!E24,'28.07 Rubaga-Natete'!E24)</f>
        <v>3.7142857142857144</v>
      </c>
      <c r="F24" s="49">
        <f>AVERAGE('22.07 Rubaga-Natete'!F24,'23.07 Rubaga-Natete'!F24,'24.07 Rubaga-Natete'!F24,'25.07 Rubaga-natete'!F24,'26.07 Rubaga-Natete-24h'!F24,'27.07 Rubaga-Natete-24h'!F24,'28.07 Rubaga-Natete'!F24)</f>
        <v>45.142857142857146</v>
      </c>
      <c r="G24" s="49">
        <f>AVERAGE('22.07 Rubaga-Natete'!G24,'23.07 Rubaga-Natete'!G24,'24.07 Rubaga-Natete'!G24,'25.07 Rubaga-natete'!G24,'26.07 Rubaga-Natete-24h'!G24,'27.07 Rubaga-Natete-24h'!G24,'28.07 Rubaga-Natete'!G24)</f>
        <v>2.5714285714285716</v>
      </c>
      <c r="H24" s="49">
        <f>AVERAGE('22.07 Rubaga-Natete'!H24,'23.07 Rubaga-Natete'!H24,'24.07 Rubaga-Natete'!H24,'25.07 Rubaga-natete'!H24,'26.07 Rubaga-Natete-24h'!H24,'27.07 Rubaga-Natete-24h'!H24,'28.07 Rubaga-Natete'!H24)</f>
        <v>1.7142857142857142</v>
      </c>
      <c r="I24" s="49">
        <f>AVERAGE('22.07 Rubaga-Natete'!I24,'23.07 Rubaga-Natete'!I24,'24.07 Rubaga-Natete'!I24,'25.07 Rubaga-natete'!I24,'26.07 Rubaga-Natete-24h'!I24,'27.07 Rubaga-Natete-24h'!I24,'28.07 Rubaga-Natete'!I24)</f>
        <v>4.2857142857142856</v>
      </c>
      <c r="J24" s="49">
        <f>AVERAGE('22.07 Rubaga-Natete'!J24,'23.07 Rubaga-Natete'!J24,'24.07 Rubaga-Natete'!J24,'25.07 Rubaga-natete'!J24,'26.07 Rubaga-Natete-24h'!J24,'27.07 Rubaga-Natete-24h'!J24,'28.07 Rubaga-Natete'!J24)</f>
        <v>1.8571428571428572</v>
      </c>
      <c r="K24" s="49">
        <f>AVERAGE('22.07 Rubaga-Natete'!K24,'23.07 Rubaga-Natete'!K24,'24.07 Rubaga-Natete'!K24,'25.07 Rubaga-natete'!K24,'26.07 Rubaga-Natete-24h'!K24,'27.07 Rubaga-Natete-24h'!K24,'28.07 Rubaga-Natete'!K24)</f>
        <v>0.2857142857142857</v>
      </c>
      <c r="L24" s="49">
        <f>AVERAGE('22.07 Rubaga-Natete'!L24,'23.07 Rubaga-Natete'!L24,'24.07 Rubaga-Natete'!L24,'25.07 Rubaga-natete'!L24,'26.07 Rubaga-Natete-24h'!L24,'27.07 Rubaga-Natete-24h'!L24,'28.07 Rubaga-Natete'!L24)</f>
        <v>0.2857142857142857</v>
      </c>
      <c r="M24" s="49">
        <f>AVERAGE('22.07 Rubaga-Natete'!M24,'23.07 Rubaga-Natete'!M24,'24.07 Rubaga-Natete'!M24,'25.07 Rubaga-natete'!M24,'26.07 Rubaga-Natete-24h'!M24,'27.07 Rubaga-Natete-24h'!M24,'28.07 Rubaga-Natete'!M24)</f>
        <v>179.42857142857142</v>
      </c>
      <c r="N24" s="49">
        <f>AVERAGE('22.07 Rubaga-Natete'!N24,'23.07 Rubaga-Natete'!N24,'24.07 Rubaga-Natete'!N24,'25.07 Rubaga-natete'!N24,'26.07 Rubaga-Natete-24h'!N24,'27.07 Rubaga-Natete-24h'!N24,'28.07 Rubaga-Natete'!N24)</f>
        <v>0</v>
      </c>
      <c r="O24" s="15">
        <f t="shared" si="0"/>
        <v>100.00000000000001</v>
      </c>
      <c r="P24" s="15">
        <f t="shared" si="1"/>
        <v>279.42857142857144</v>
      </c>
      <c r="R24" s="1" t="s">
        <v>148</v>
      </c>
      <c r="S24" s="34">
        <f>SUM(C66:C69)</f>
        <v>226.5</v>
      </c>
      <c r="T24" s="34">
        <f t="shared" ref="T24:AD24" si="16">SUM(D66:D69)</f>
        <v>21.5</v>
      </c>
      <c r="U24" s="34">
        <f t="shared" si="16"/>
        <v>23.5</v>
      </c>
      <c r="V24" s="34">
        <f t="shared" si="16"/>
        <v>143.5</v>
      </c>
      <c r="W24" s="34">
        <f t="shared" si="16"/>
        <v>4.5</v>
      </c>
      <c r="X24" s="34">
        <f t="shared" si="16"/>
        <v>8</v>
      </c>
      <c r="Y24" s="34">
        <f t="shared" si="16"/>
        <v>10.5</v>
      </c>
      <c r="Z24" s="34">
        <f t="shared" si="16"/>
        <v>4.5</v>
      </c>
      <c r="AA24" s="34">
        <f t="shared" si="16"/>
        <v>1.5</v>
      </c>
      <c r="AB24" s="34">
        <f t="shared" si="16"/>
        <v>1.5</v>
      </c>
      <c r="AC24" s="34">
        <f t="shared" si="16"/>
        <v>699</v>
      </c>
      <c r="AD24" s="34">
        <f t="shared" si="16"/>
        <v>0</v>
      </c>
      <c r="AE24" s="31">
        <f t="shared" si="13"/>
        <v>622.92857142857144</v>
      </c>
      <c r="AF24" s="31">
        <f t="shared" si="13"/>
        <v>1376.4285714285716</v>
      </c>
    </row>
    <row r="25" spans="2:32" ht="23.1" customHeight="1" x14ac:dyDescent="0.25">
      <c r="B25" s="23" t="s">
        <v>52</v>
      </c>
      <c r="C25" s="49">
        <f>AVERAGE('22.07 Rubaga-Natete'!C25,'23.07 Rubaga-Natete'!C25,'24.07 Rubaga-Natete'!C25,'25.07 Rubaga-natete'!C25,'26.07 Rubaga-Natete-24h'!C25,'27.07 Rubaga-Natete-24h'!C25,'28.07 Rubaga-Natete'!C25)</f>
        <v>28.857142857142858</v>
      </c>
      <c r="D25" s="49">
        <f>AVERAGE('22.07 Rubaga-Natete'!D25,'23.07 Rubaga-Natete'!D25,'24.07 Rubaga-Natete'!D25,'25.07 Rubaga-natete'!D25,'26.07 Rubaga-Natete-24h'!D25,'27.07 Rubaga-Natete-24h'!D25,'28.07 Rubaga-Natete'!D25)</f>
        <v>3.5714285714285716</v>
      </c>
      <c r="E25" s="49">
        <f>AVERAGE('22.07 Rubaga-Natete'!E25,'23.07 Rubaga-Natete'!E25,'24.07 Rubaga-Natete'!E25,'25.07 Rubaga-natete'!E25,'26.07 Rubaga-Natete-24h'!E25,'27.07 Rubaga-Natete-24h'!E25,'28.07 Rubaga-Natete'!E25)</f>
        <v>5</v>
      </c>
      <c r="F25" s="49">
        <f>AVERAGE('22.07 Rubaga-Natete'!F25,'23.07 Rubaga-Natete'!F25,'24.07 Rubaga-Natete'!F25,'25.07 Rubaga-natete'!F25,'26.07 Rubaga-Natete-24h'!F25,'27.07 Rubaga-Natete-24h'!F25,'28.07 Rubaga-Natete'!F25)</f>
        <v>38.857142857142854</v>
      </c>
      <c r="G25" s="49">
        <f>AVERAGE('22.07 Rubaga-Natete'!G25,'23.07 Rubaga-Natete'!G25,'24.07 Rubaga-Natete'!G25,'25.07 Rubaga-natete'!G25,'26.07 Rubaga-Natete-24h'!G25,'27.07 Rubaga-Natete-24h'!G25,'28.07 Rubaga-Natete'!G25)</f>
        <v>0.8571428571428571</v>
      </c>
      <c r="H25" s="49">
        <f>AVERAGE('22.07 Rubaga-Natete'!H25,'23.07 Rubaga-Natete'!H25,'24.07 Rubaga-Natete'!H25,'25.07 Rubaga-natete'!H25,'26.07 Rubaga-Natete-24h'!H25,'27.07 Rubaga-Natete-24h'!H25,'28.07 Rubaga-Natete'!H25)</f>
        <v>1.5714285714285714</v>
      </c>
      <c r="I25" s="49">
        <f>AVERAGE('22.07 Rubaga-Natete'!I25,'23.07 Rubaga-Natete'!I25,'24.07 Rubaga-Natete'!I25,'25.07 Rubaga-natete'!I25,'26.07 Rubaga-Natete-24h'!I25,'27.07 Rubaga-Natete-24h'!I25,'28.07 Rubaga-Natete'!I25)</f>
        <v>2.7142857142857144</v>
      </c>
      <c r="J25" s="49">
        <f>AVERAGE('22.07 Rubaga-Natete'!J25,'23.07 Rubaga-Natete'!J25,'24.07 Rubaga-Natete'!J25,'25.07 Rubaga-natete'!J25,'26.07 Rubaga-Natete-24h'!J25,'27.07 Rubaga-Natete-24h'!J25,'28.07 Rubaga-Natete'!J25)</f>
        <v>2</v>
      </c>
      <c r="K25" s="49">
        <f>AVERAGE('22.07 Rubaga-Natete'!K25,'23.07 Rubaga-Natete'!K25,'24.07 Rubaga-Natete'!K25,'25.07 Rubaga-natete'!K25,'26.07 Rubaga-Natete-24h'!K25,'27.07 Rubaga-Natete-24h'!K25,'28.07 Rubaga-Natete'!K25)</f>
        <v>0.2857142857142857</v>
      </c>
      <c r="L25" s="49">
        <f>AVERAGE('22.07 Rubaga-Natete'!L25,'23.07 Rubaga-Natete'!L25,'24.07 Rubaga-Natete'!L25,'25.07 Rubaga-natete'!L25,'26.07 Rubaga-Natete-24h'!L25,'27.07 Rubaga-Natete-24h'!L25,'28.07 Rubaga-Natete'!L25)</f>
        <v>0.14285714285714285</v>
      </c>
      <c r="M25" s="49">
        <f>AVERAGE('22.07 Rubaga-Natete'!M25,'23.07 Rubaga-Natete'!M25,'24.07 Rubaga-Natete'!M25,'25.07 Rubaga-natete'!M25,'26.07 Rubaga-Natete-24h'!M25,'27.07 Rubaga-Natete-24h'!M25,'28.07 Rubaga-Natete'!M25)</f>
        <v>174.42857142857142</v>
      </c>
      <c r="N25" s="49">
        <f>AVERAGE('22.07 Rubaga-Natete'!N25,'23.07 Rubaga-Natete'!N25,'24.07 Rubaga-Natete'!N25,'25.07 Rubaga-natete'!N25,'26.07 Rubaga-Natete-24h'!N25,'27.07 Rubaga-Natete-24h'!N25,'28.07 Rubaga-Natete'!N25)</f>
        <v>0</v>
      </c>
      <c r="O25" s="15">
        <f t="shared" si="0"/>
        <v>83.857142857142847</v>
      </c>
      <c r="P25" s="15">
        <f t="shared" si="1"/>
        <v>258.28571428571428</v>
      </c>
      <c r="R25" s="1" t="s">
        <v>149</v>
      </c>
      <c r="S25" s="34">
        <f>SUM(C70:C73)</f>
        <v>159</v>
      </c>
      <c r="T25" s="34">
        <f t="shared" ref="T25:AD25" si="17">SUM(D70:D73)</f>
        <v>15</v>
      </c>
      <c r="U25" s="34">
        <f t="shared" si="17"/>
        <v>10.5</v>
      </c>
      <c r="V25" s="34">
        <f t="shared" si="17"/>
        <v>220</v>
      </c>
      <c r="W25" s="34">
        <f t="shared" si="17"/>
        <v>2</v>
      </c>
      <c r="X25" s="34">
        <f t="shared" si="17"/>
        <v>5.5</v>
      </c>
      <c r="Y25" s="34">
        <f t="shared" si="17"/>
        <v>7</v>
      </c>
      <c r="Z25" s="34">
        <f t="shared" si="17"/>
        <v>5.5</v>
      </c>
      <c r="AA25" s="34">
        <f t="shared" si="17"/>
        <v>2</v>
      </c>
      <c r="AB25" s="34">
        <f t="shared" si="17"/>
        <v>0.5</v>
      </c>
      <c r="AC25" s="34">
        <f t="shared" si="17"/>
        <v>401</v>
      </c>
      <c r="AD25" s="34">
        <f t="shared" si="17"/>
        <v>0</v>
      </c>
      <c r="AE25" s="31">
        <f t="shared" si="13"/>
        <v>557</v>
      </c>
      <c r="AF25" s="31">
        <f t="shared" si="13"/>
        <v>1323</v>
      </c>
    </row>
    <row r="26" spans="2:32" ht="23.1" customHeight="1" x14ac:dyDescent="0.25">
      <c r="B26" s="23" t="s">
        <v>53</v>
      </c>
      <c r="C26" s="49">
        <f>AVERAGE('22.07 Rubaga-Natete'!C26,'23.07 Rubaga-Natete'!C26,'24.07 Rubaga-Natete'!C26,'25.07 Rubaga-natete'!C26,'26.07 Rubaga-Natete-24h'!C26,'27.07 Rubaga-Natete-24h'!C26,'28.07 Rubaga-Natete'!C26)</f>
        <v>27.428571428571427</v>
      </c>
      <c r="D26" s="49">
        <f>AVERAGE('22.07 Rubaga-Natete'!D26,'23.07 Rubaga-Natete'!D26,'24.07 Rubaga-Natete'!D26,'25.07 Rubaga-natete'!D26,'26.07 Rubaga-Natete-24h'!D26,'27.07 Rubaga-Natete-24h'!D26,'28.07 Rubaga-Natete'!D26)</f>
        <v>4.4285714285714288</v>
      </c>
      <c r="E26" s="49">
        <f>AVERAGE('22.07 Rubaga-Natete'!E26,'23.07 Rubaga-Natete'!E26,'24.07 Rubaga-Natete'!E26,'25.07 Rubaga-natete'!E26,'26.07 Rubaga-Natete-24h'!E26,'27.07 Rubaga-Natete-24h'!E26,'28.07 Rubaga-Natete'!E26)</f>
        <v>5.8571428571428568</v>
      </c>
      <c r="F26" s="49">
        <f>AVERAGE('22.07 Rubaga-Natete'!F26,'23.07 Rubaga-Natete'!F26,'24.07 Rubaga-Natete'!F26,'25.07 Rubaga-natete'!F26,'26.07 Rubaga-Natete-24h'!F26,'27.07 Rubaga-Natete-24h'!F26,'28.07 Rubaga-Natete'!F26)</f>
        <v>40</v>
      </c>
      <c r="G26" s="49">
        <f>AVERAGE('22.07 Rubaga-Natete'!G26,'23.07 Rubaga-Natete'!G26,'24.07 Rubaga-Natete'!G26,'25.07 Rubaga-natete'!G26,'26.07 Rubaga-Natete-24h'!G26,'27.07 Rubaga-Natete-24h'!G26,'28.07 Rubaga-Natete'!G26)</f>
        <v>1.4285714285714286</v>
      </c>
      <c r="H26" s="49">
        <f>AVERAGE('22.07 Rubaga-Natete'!H26,'23.07 Rubaga-Natete'!H26,'24.07 Rubaga-Natete'!H26,'25.07 Rubaga-natete'!H26,'26.07 Rubaga-Natete-24h'!H26,'27.07 Rubaga-Natete-24h'!H26,'28.07 Rubaga-Natete'!H26)</f>
        <v>3</v>
      </c>
      <c r="I26" s="49">
        <f>AVERAGE('22.07 Rubaga-Natete'!I26,'23.07 Rubaga-Natete'!I26,'24.07 Rubaga-Natete'!I26,'25.07 Rubaga-natete'!I26,'26.07 Rubaga-Natete-24h'!I26,'27.07 Rubaga-Natete-24h'!I26,'28.07 Rubaga-Natete'!I26)</f>
        <v>2.4285714285714284</v>
      </c>
      <c r="J26" s="49">
        <f>AVERAGE('22.07 Rubaga-Natete'!J26,'23.07 Rubaga-Natete'!J26,'24.07 Rubaga-Natete'!J26,'25.07 Rubaga-natete'!J26,'26.07 Rubaga-Natete-24h'!J26,'27.07 Rubaga-Natete-24h'!J26,'28.07 Rubaga-Natete'!J26)</f>
        <v>1.8571428571428572</v>
      </c>
      <c r="K26" s="49">
        <f>AVERAGE('22.07 Rubaga-Natete'!K26,'23.07 Rubaga-Natete'!K26,'24.07 Rubaga-Natete'!K26,'25.07 Rubaga-natete'!K26,'26.07 Rubaga-Natete-24h'!K26,'27.07 Rubaga-Natete-24h'!K26,'28.07 Rubaga-Natete'!K26)</f>
        <v>0.2857142857142857</v>
      </c>
      <c r="L26" s="49">
        <f>AVERAGE('22.07 Rubaga-Natete'!L26,'23.07 Rubaga-Natete'!L26,'24.07 Rubaga-Natete'!L26,'25.07 Rubaga-natete'!L26,'26.07 Rubaga-Natete-24h'!L26,'27.07 Rubaga-Natete-24h'!L26,'28.07 Rubaga-Natete'!L26)</f>
        <v>0.14285714285714285</v>
      </c>
      <c r="M26" s="49">
        <f>AVERAGE('22.07 Rubaga-Natete'!M26,'23.07 Rubaga-Natete'!M26,'24.07 Rubaga-Natete'!M26,'25.07 Rubaga-natete'!M26,'26.07 Rubaga-Natete-24h'!M26,'27.07 Rubaga-Natete-24h'!M26,'28.07 Rubaga-Natete'!M26)</f>
        <v>170.71428571428572</v>
      </c>
      <c r="N26" s="49">
        <f>AVERAGE('22.07 Rubaga-Natete'!N26,'23.07 Rubaga-Natete'!N26,'24.07 Rubaga-Natete'!N26,'25.07 Rubaga-natete'!N26,'26.07 Rubaga-Natete-24h'!N26,'27.07 Rubaga-Natete-24h'!N26,'28.07 Rubaga-Natete'!N26)</f>
        <v>0</v>
      </c>
      <c r="O26" s="15">
        <f t="shared" si="0"/>
        <v>86.857142857142861</v>
      </c>
      <c r="P26" s="15">
        <f t="shared" si="1"/>
        <v>257.57142857142856</v>
      </c>
      <c r="R26" s="1" t="s">
        <v>150</v>
      </c>
      <c r="S26" s="34">
        <f>SUM(C74:C77)</f>
        <v>147</v>
      </c>
      <c r="T26" s="34">
        <f t="shared" ref="T26:AD26" si="18">SUM(D74:D77)</f>
        <v>14</v>
      </c>
      <c r="U26" s="34">
        <f t="shared" si="18"/>
        <v>13</v>
      </c>
      <c r="V26" s="34">
        <f t="shared" si="18"/>
        <v>54.5</v>
      </c>
      <c r="W26" s="34">
        <f t="shared" si="18"/>
        <v>3.5</v>
      </c>
      <c r="X26" s="34">
        <f t="shared" si="18"/>
        <v>6</v>
      </c>
      <c r="Y26" s="34">
        <f t="shared" si="18"/>
        <v>1</v>
      </c>
      <c r="Z26" s="34">
        <f t="shared" si="18"/>
        <v>4.5</v>
      </c>
      <c r="AA26" s="34">
        <f t="shared" si="18"/>
        <v>0.5</v>
      </c>
      <c r="AB26" s="34">
        <f t="shared" si="18"/>
        <v>0</v>
      </c>
      <c r="AC26" s="34">
        <f t="shared" si="18"/>
        <v>238</v>
      </c>
      <c r="AD26" s="34">
        <f t="shared" si="18"/>
        <v>0</v>
      </c>
      <c r="AE26" s="31">
        <f t="shared" si="13"/>
        <v>451</v>
      </c>
      <c r="AF26" s="31">
        <f t="shared" si="13"/>
        <v>1187</v>
      </c>
    </row>
    <row r="27" spans="2:32" ht="23.1" customHeight="1" x14ac:dyDescent="0.25">
      <c r="B27" s="23" t="s">
        <v>54</v>
      </c>
      <c r="C27" s="49">
        <f>AVERAGE('22.07 Rubaga-Natete'!C27,'23.07 Rubaga-Natete'!C27,'24.07 Rubaga-Natete'!C27,'25.07 Rubaga-natete'!C27,'26.07 Rubaga-Natete-24h'!C27,'27.07 Rubaga-Natete-24h'!C27,'28.07 Rubaga-Natete'!C27)</f>
        <v>36.285714285714285</v>
      </c>
      <c r="D27" s="49">
        <f>AVERAGE('22.07 Rubaga-Natete'!D27,'23.07 Rubaga-Natete'!D27,'24.07 Rubaga-Natete'!D27,'25.07 Rubaga-natete'!D27,'26.07 Rubaga-Natete-24h'!D27,'27.07 Rubaga-Natete-24h'!D27,'28.07 Rubaga-Natete'!D27)</f>
        <v>3.4285714285714284</v>
      </c>
      <c r="E27" s="49">
        <f>AVERAGE('22.07 Rubaga-Natete'!E27,'23.07 Rubaga-Natete'!E27,'24.07 Rubaga-Natete'!E27,'25.07 Rubaga-natete'!E27,'26.07 Rubaga-Natete-24h'!E27,'27.07 Rubaga-Natete-24h'!E27,'28.07 Rubaga-Natete'!E27)</f>
        <v>5.7142857142857144</v>
      </c>
      <c r="F27" s="49">
        <f>AVERAGE('22.07 Rubaga-Natete'!F27,'23.07 Rubaga-Natete'!F27,'24.07 Rubaga-Natete'!F27,'25.07 Rubaga-natete'!F27,'26.07 Rubaga-Natete-24h'!F27,'27.07 Rubaga-Natete-24h'!F27,'28.07 Rubaga-Natete'!F27)</f>
        <v>46.714285714285715</v>
      </c>
      <c r="G27" s="49">
        <f>AVERAGE('22.07 Rubaga-Natete'!G27,'23.07 Rubaga-Natete'!G27,'24.07 Rubaga-Natete'!G27,'25.07 Rubaga-natete'!G27,'26.07 Rubaga-Natete-24h'!G27,'27.07 Rubaga-Natete-24h'!G27,'28.07 Rubaga-Natete'!G27)</f>
        <v>1</v>
      </c>
      <c r="H27" s="49">
        <f>AVERAGE('22.07 Rubaga-Natete'!H27,'23.07 Rubaga-Natete'!H27,'24.07 Rubaga-Natete'!H27,'25.07 Rubaga-natete'!H27,'26.07 Rubaga-Natete-24h'!H27,'27.07 Rubaga-Natete-24h'!H27,'28.07 Rubaga-Natete'!H27)</f>
        <v>2.2857142857142856</v>
      </c>
      <c r="I27" s="49">
        <f>AVERAGE('22.07 Rubaga-Natete'!I27,'23.07 Rubaga-Natete'!I27,'24.07 Rubaga-Natete'!I27,'25.07 Rubaga-natete'!I27,'26.07 Rubaga-Natete-24h'!I27,'27.07 Rubaga-Natete-24h'!I27,'28.07 Rubaga-Natete'!I27)</f>
        <v>2.5714285714285716</v>
      </c>
      <c r="J27" s="49">
        <f>AVERAGE('22.07 Rubaga-Natete'!J27,'23.07 Rubaga-Natete'!J27,'24.07 Rubaga-Natete'!J27,'25.07 Rubaga-natete'!J27,'26.07 Rubaga-Natete-24h'!J27,'27.07 Rubaga-Natete-24h'!J27,'28.07 Rubaga-Natete'!J27)</f>
        <v>2.4285714285714284</v>
      </c>
      <c r="K27" s="49">
        <f>AVERAGE('22.07 Rubaga-Natete'!K27,'23.07 Rubaga-Natete'!K27,'24.07 Rubaga-Natete'!K27,'25.07 Rubaga-natete'!K27,'26.07 Rubaga-Natete-24h'!K27,'27.07 Rubaga-Natete-24h'!K27,'28.07 Rubaga-Natete'!K27)</f>
        <v>0.14285714285714285</v>
      </c>
      <c r="L27" s="49">
        <f>AVERAGE('22.07 Rubaga-Natete'!L27,'23.07 Rubaga-Natete'!L27,'24.07 Rubaga-Natete'!L27,'25.07 Rubaga-natete'!L27,'26.07 Rubaga-Natete-24h'!L27,'27.07 Rubaga-Natete-24h'!L27,'28.07 Rubaga-Natete'!L27)</f>
        <v>0.14285714285714285</v>
      </c>
      <c r="M27" s="49">
        <f>AVERAGE('22.07 Rubaga-Natete'!M27,'23.07 Rubaga-Natete'!M27,'24.07 Rubaga-Natete'!M27,'25.07 Rubaga-natete'!M27,'26.07 Rubaga-Natete-24h'!M27,'27.07 Rubaga-Natete-24h'!M27,'28.07 Rubaga-Natete'!M27)</f>
        <v>184.57142857142858</v>
      </c>
      <c r="N27" s="49">
        <f>AVERAGE('22.07 Rubaga-Natete'!N27,'23.07 Rubaga-Natete'!N27,'24.07 Rubaga-Natete'!N27,'25.07 Rubaga-natete'!N27,'26.07 Rubaga-Natete-24h'!N27,'27.07 Rubaga-Natete-24h'!N27,'28.07 Rubaga-Natete'!N27)</f>
        <v>0</v>
      </c>
      <c r="O27" s="15">
        <f t="shared" si="0"/>
        <v>100.71428571428571</v>
      </c>
      <c r="P27" s="15">
        <f t="shared" si="1"/>
        <v>285.28571428571428</v>
      </c>
      <c r="R27" s="1" t="s">
        <v>151</v>
      </c>
      <c r="S27" s="34">
        <f>SUM(C78:C81)</f>
        <v>101</v>
      </c>
      <c r="T27" s="34">
        <f t="shared" ref="T27:AD27" si="19">SUM(D78:D81)</f>
        <v>8.5</v>
      </c>
      <c r="U27" s="34">
        <f t="shared" si="19"/>
        <v>4.5</v>
      </c>
      <c r="V27" s="34">
        <f t="shared" si="19"/>
        <v>34.5</v>
      </c>
      <c r="W27" s="34">
        <f t="shared" si="19"/>
        <v>1</v>
      </c>
      <c r="X27" s="34">
        <f t="shared" si="19"/>
        <v>2</v>
      </c>
      <c r="Y27" s="34">
        <f t="shared" si="19"/>
        <v>2.5</v>
      </c>
      <c r="Z27" s="34">
        <f t="shared" si="19"/>
        <v>2</v>
      </c>
      <c r="AA27" s="34">
        <f t="shared" si="19"/>
        <v>1</v>
      </c>
      <c r="AB27" s="34">
        <f t="shared" si="19"/>
        <v>0</v>
      </c>
      <c r="AC27" s="34">
        <f t="shared" si="19"/>
        <v>242</v>
      </c>
      <c r="AD27" s="34">
        <f t="shared" si="19"/>
        <v>0</v>
      </c>
      <c r="AE27" s="31">
        <f t="shared" si="13"/>
        <v>380</v>
      </c>
      <c r="AF27" s="31">
        <f t="shared" si="13"/>
        <v>1154.5</v>
      </c>
    </row>
    <row r="28" spans="2:32" ht="23.1" customHeight="1" x14ac:dyDescent="0.25">
      <c r="B28" s="23" t="s">
        <v>55</v>
      </c>
      <c r="C28" s="49">
        <f>AVERAGE('22.07 Rubaga-Natete'!C28,'23.07 Rubaga-Natete'!C28,'24.07 Rubaga-Natete'!C28,'25.07 Rubaga-natete'!C28,'26.07 Rubaga-Natete-24h'!C28,'27.07 Rubaga-Natete-24h'!C28,'28.07 Rubaga-Natete'!C28)</f>
        <v>29</v>
      </c>
      <c r="D28" s="49">
        <f>AVERAGE('22.07 Rubaga-Natete'!D28,'23.07 Rubaga-Natete'!D28,'24.07 Rubaga-Natete'!D28,'25.07 Rubaga-natete'!D28,'26.07 Rubaga-Natete-24h'!D28,'27.07 Rubaga-Natete-24h'!D28,'28.07 Rubaga-Natete'!D28)</f>
        <v>4.8571428571428568</v>
      </c>
      <c r="E28" s="49">
        <f>AVERAGE('22.07 Rubaga-Natete'!E28,'23.07 Rubaga-Natete'!E28,'24.07 Rubaga-Natete'!E28,'25.07 Rubaga-natete'!E28,'26.07 Rubaga-Natete-24h'!E28,'27.07 Rubaga-Natete-24h'!E28,'28.07 Rubaga-Natete'!E28)</f>
        <v>5.8571428571428568</v>
      </c>
      <c r="F28" s="49">
        <f>AVERAGE('22.07 Rubaga-Natete'!F28,'23.07 Rubaga-Natete'!F28,'24.07 Rubaga-Natete'!F28,'25.07 Rubaga-natete'!F28,'26.07 Rubaga-Natete-24h'!F28,'27.07 Rubaga-Natete-24h'!F28,'28.07 Rubaga-Natete'!F28)</f>
        <v>36.571428571428569</v>
      </c>
      <c r="G28" s="49">
        <f>AVERAGE('22.07 Rubaga-Natete'!G28,'23.07 Rubaga-Natete'!G28,'24.07 Rubaga-Natete'!G28,'25.07 Rubaga-natete'!G28,'26.07 Rubaga-Natete-24h'!G28,'27.07 Rubaga-Natete-24h'!G28,'28.07 Rubaga-Natete'!G28)</f>
        <v>1</v>
      </c>
      <c r="H28" s="49">
        <f>AVERAGE('22.07 Rubaga-Natete'!H28,'23.07 Rubaga-Natete'!H28,'24.07 Rubaga-Natete'!H28,'25.07 Rubaga-natete'!H28,'26.07 Rubaga-Natete-24h'!H28,'27.07 Rubaga-Natete-24h'!H28,'28.07 Rubaga-Natete'!H28)</f>
        <v>2.2857142857142856</v>
      </c>
      <c r="I28" s="49">
        <f>AVERAGE('22.07 Rubaga-Natete'!I28,'23.07 Rubaga-Natete'!I28,'24.07 Rubaga-Natete'!I28,'25.07 Rubaga-natete'!I28,'26.07 Rubaga-Natete-24h'!I28,'27.07 Rubaga-Natete-24h'!I28,'28.07 Rubaga-Natete'!I28)</f>
        <v>2.4285714285714284</v>
      </c>
      <c r="J28" s="49">
        <f>AVERAGE('22.07 Rubaga-Natete'!J28,'23.07 Rubaga-Natete'!J28,'24.07 Rubaga-Natete'!J28,'25.07 Rubaga-natete'!J28,'26.07 Rubaga-Natete-24h'!J28,'27.07 Rubaga-Natete-24h'!J28,'28.07 Rubaga-Natete'!J28)</f>
        <v>3.2857142857142856</v>
      </c>
      <c r="K28" s="49">
        <f>AVERAGE('22.07 Rubaga-Natete'!K28,'23.07 Rubaga-Natete'!K28,'24.07 Rubaga-Natete'!K28,'25.07 Rubaga-natete'!K28,'26.07 Rubaga-Natete-24h'!K28,'27.07 Rubaga-Natete-24h'!K28,'28.07 Rubaga-Natete'!K28)</f>
        <v>0.14285714285714285</v>
      </c>
      <c r="L28" s="49">
        <f>AVERAGE('22.07 Rubaga-Natete'!L28,'23.07 Rubaga-Natete'!L28,'24.07 Rubaga-Natete'!L28,'25.07 Rubaga-natete'!L28,'26.07 Rubaga-Natete-24h'!L28,'27.07 Rubaga-Natete-24h'!L28,'28.07 Rubaga-Natete'!L28)</f>
        <v>0.2857142857142857</v>
      </c>
      <c r="M28" s="49">
        <f>AVERAGE('22.07 Rubaga-Natete'!M28,'23.07 Rubaga-Natete'!M28,'24.07 Rubaga-Natete'!M28,'25.07 Rubaga-natete'!M28,'26.07 Rubaga-Natete-24h'!M28,'27.07 Rubaga-Natete-24h'!M28,'28.07 Rubaga-Natete'!M28)</f>
        <v>190.14285714285714</v>
      </c>
      <c r="N28" s="49">
        <f>AVERAGE('22.07 Rubaga-Natete'!N28,'23.07 Rubaga-Natete'!N28,'24.07 Rubaga-Natete'!N28,'25.07 Rubaga-natete'!N28,'26.07 Rubaga-Natete-24h'!N28,'27.07 Rubaga-Natete-24h'!N28,'28.07 Rubaga-Natete'!N28)</f>
        <v>0</v>
      </c>
      <c r="O28" s="15">
        <f t="shared" si="0"/>
        <v>85.714285714285722</v>
      </c>
      <c r="P28" s="15">
        <f t="shared" si="1"/>
        <v>275.85714285714289</v>
      </c>
      <c r="R28" s="1" t="s">
        <v>152</v>
      </c>
      <c r="S28" s="34">
        <f>SUM(C82:C85)</f>
        <v>54.5</v>
      </c>
      <c r="T28" s="34">
        <f t="shared" ref="T28:AD28" si="20">SUM(D82:D85)</f>
        <v>3.5</v>
      </c>
      <c r="U28" s="34">
        <f t="shared" si="20"/>
        <v>3.5</v>
      </c>
      <c r="V28" s="34">
        <f t="shared" si="20"/>
        <v>12</v>
      </c>
      <c r="W28" s="34">
        <f t="shared" si="20"/>
        <v>1.5</v>
      </c>
      <c r="X28" s="34">
        <f t="shared" si="20"/>
        <v>3</v>
      </c>
      <c r="Y28" s="34">
        <f t="shared" si="20"/>
        <v>1.5</v>
      </c>
      <c r="Z28" s="34">
        <f t="shared" si="20"/>
        <v>1.5</v>
      </c>
      <c r="AA28" s="34">
        <f t="shared" si="20"/>
        <v>6</v>
      </c>
      <c r="AB28" s="34">
        <f t="shared" si="20"/>
        <v>0</v>
      </c>
      <c r="AC28" s="34">
        <f t="shared" si="20"/>
        <v>104.5</v>
      </c>
      <c r="AD28" s="34">
        <f t="shared" si="20"/>
        <v>0</v>
      </c>
      <c r="AE28" s="31">
        <f t="shared" si="13"/>
        <v>379</v>
      </c>
      <c r="AF28" s="31">
        <f t="shared" si="13"/>
        <v>1167</v>
      </c>
    </row>
    <row r="29" spans="2:32" ht="23.1" customHeight="1" x14ac:dyDescent="0.25">
      <c r="B29" s="23" t="s">
        <v>56</v>
      </c>
      <c r="C29" s="49">
        <f>AVERAGE('22.07 Rubaga-Natete'!C29,'23.07 Rubaga-Natete'!C29,'24.07 Rubaga-Natete'!C29,'25.07 Rubaga-natete'!C29,'26.07 Rubaga-Natete-24h'!C29,'27.07 Rubaga-Natete-24h'!C29,'28.07 Rubaga-Natete'!C29)</f>
        <v>37.571428571428569</v>
      </c>
      <c r="D29" s="49">
        <f>AVERAGE('22.07 Rubaga-Natete'!D29,'23.07 Rubaga-Natete'!D29,'24.07 Rubaga-Natete'!D29,'25.07 Rubaga-natete'!D29,'26.07 Rubaga-Natete-24h'!D29,'27.07 Rubaga-Natete-24h'!D29,'28.07 Rubaga-Natete'!D29)</f>
        <v>4.1428571428571432</v>
      </c>
      <c r="E29" s="49">
        <f>AVERAGE('22.07 Rubaga-Natete'!E29,'23.07 Rubaga-Natete'!E29,'24.07 Rubaga-Natete'!E29,'25.07 Rubaga-natete'!E29,'26.07 Rubaga-Natete-24h'!E29,'27.07 Rubaga-Natete-24h'!E29,'28.07 Rubaga-Natete'!E29)</f>
        <v>4.7142857142857144</v>
      </c>
      <c r="F29" s="49">
        <f>AVERAGE('22.07 Rubaga-Natete'!F29,'23.07 Rubaga-Natete'!F29,'24.07 Rubaga-Natete'!F29,'25.07 Rubaga-natete'!F29,'26.07 Rubaga-Natete-24h'!F29,'27.07 Rubaga-Natete-24h'!F29,'28.07 Rubaga-Natete'!F29)</f>
        <v>39.857142857142854</v>
      </c>
      <c r="G29" s="49">
        <f>AVERAGE('22.07 Rubaga-Natete'!G29,'23.07 Rubaga-Natete'!G29,'24.07 Rubaga-Natete'!G29,'25.07 Rubaga-natete'!G29,'26.07 Rubaga-Natete-24h'!G29,'27.07 Rubaga-Natete-24h'!G29,'28.07 Rubaga-Natete'!G29)</f>
        <v>0.8571428571428571</v>
      </c>
      <c r="H29" s="49">
        <f>AVERAGE('22.07 Rubaga-Natete'!H29,'23.07 Rubaga-Natete'!H29,'24.07 Rubaga-Natete'!H29,'25.07 Rubaga-natete'!H29,'26.07 Rubaga-Natete-24h'!H29,'27.07 Rubaga-Natete-24h'!H29,'28.07 Rubaga-Natete'!H29)</f>
        <v>2.4285714285714284</v>
      </c>
      <c r="I29" s="49">
        <f>AVERAGE('22.07 Rubaga-Natete'!I29,'23.07 Rubaga-Natete'!I29,'24.07 Rubaga-Natete'!I29,'25.07 Rubaga-natete'!I29,'26.07 Rubaga-Natete-24h'!I29,'27.07 Rubaga-Natete-24h'!I29,'28.07 Rubaga-Natete'!I29)</f>
        <v>3.2857142857142856</v>
      </c>
      <c r="J29" s="49">
        <f>AVERAGE('22.07 Rubaga-Natete'!J29,'23.07 Rubaga-Natete'!J29,'24.07 Rubaga-Natete'!J29,'25.07 Rubaga-natete'!J29,'26.07 Rubaga-Natete-24h'!J29,'27.07 Rubaga-Natete-24h'!J29,'28.07 Rubaga-Natete'!J29)</f>
        <v>3.7142857142857144</v>
      </c>
      <c r="K29" s="49">
        <f>AVERAGE('22.07 Rubaga-Natete'!K29,'23.07 Rubaga-Natete'!K29,'24.07 Rubaga-Natete'!K29,'25.07 Rubaga-natete'!K29,'26.07 Rubaga-Natete-24h'!K29,'27.07 Rubaga-Natete-24h'!K29,'28.07 Rubaga-Natete'!K29)</f>
        <v>0</v>
      </c>
      <c r="L29" s="49">
        <f>AVERAGE('22.07 Rubaga-Natete'!L29,'23.07 Rubaga-Natete'!L29,'24.07 Rubaga-Natete'!L29,'25.07 Rubaga-natete'!L29,'26.07 Rubaga-Natete-24h'!L29,'27.07 Rubaga-Natete-24h'!L29,'28.07 Rubaga-Natete'!L29)</f>
        <v>0.14285714285714285</v>
      </c>
      <c r="M29" s="49">
        <f>AVERAGE('22.07 Rubaga-Natete'!M29,'23.07 Rubaga-Natete'!M29,'24.07 Rubaga-Natete'!M29,'25.07 Rubaga-natete'!M29,'26.07 Rubaga-Natete-24h'!M29,'27.07 Rubaga-Natete-24h'!M29,'28.07 Rubaga-Natete'!M29)</f>
        <v>162.14285714285714</v>
      </c>
      <c r="N29" s="49">
        <f>AVERAGE('22.07 Rubaga-Natete'!N29,'23.07 Rubaga-Natete'!N29,'24.07 Rubaga-Natete'!N29,'25.07 Rubaga-natete'!N29,'26.07 Rubaga-Natete-24h'!N29,'27.07 Rubaga-Natete-24h'!N29,'28.07 Rubaga-Natete'!N29)</f>
        <v>0</v>
      </c>
      <c r="O29" s="15">
        <f t="shared" si="0"/>
        <v>96.714285714285708</v>
      </c>
      <c r="P29" s="15">
        <f t="shared" si="1"/>
        <v>258.85714285714283</v>
      </c>
      <c r="R29" s="1" t="s">
        <v>153</v>
      </c>
      <c r="S29" s="34">
        <f>SUM(C86:C89)</f>
        <v>38.5</v>
      </c>
      <c r="T29" s="34">
        <f t="shared" ref="T29:AD29" si="21">SUM(D86:D89)</f>
        <v>2</v>
      </c>
      <c r="U29" s="34">
        <f t="shared" si="21"/>
        <v>5.5</v>
      </c>
      <c r="V29" s="34">
        <f t="shared" si="21"/>
        <v>1.5</v>
      </c>
      <c r="W29" s="34">
        <f t="shared" si="21"/>
        <v>1</v>
      </c>
      <c r="X29" s="34">
        <f t="shared" si="21"/>
        <v>0.5</v>
      </c>
      <c r="Y29" s="34">
        <f t="shared" si="21"/>
        <v>1.5</v>
      </c>
      <c r="Z29" s="34">
        <f t="shared" si="21"/>
        <v>4</v>
      </c>
      <c r="AA29" s="34">
        <f t="shared" si="21"/>
        <v>0</v>
      </c>
      <c r="AB29" s="34">
        <f t="shared" si="21"/>
        <v>0.5</v>
      </c>
      <c r="AC29" s="34">
        <f t="shared" si="21"/>
        <v>80</v>
      </c>
      <c r="AD29" s="34">
        <f t="shared" si="21"/>
        <v>0</v>
      </c>
      <c r="AE29" s="31">
        <f t="shared" si="13"/>
        <v>393.5</v>
      </c>
      <c r="AF29" s="31">
        <f t="shared" si="13"/>
        <v>1163</v>
      </c>
    </row>
    <row r="30" spans="2:32" ht="23.1" customHeight="1" x14ac:dyDescent="0.25">
      <c r="B30" s="23" t="s">
        <v>57</v>
      </c>
      <c r="C30" s="49">
        <f>AVERAGE('22.07 Rubaga-Natete'!C30,'23.07 Rubaga-Natete'!C30,'24.07 Rubaga-Natete'!C30,'25.07 Rubaga-natete'!C30,'26.07 Rubaga-Natete-24h'!C30,'27.07 Rubaga-Natete-24h'!C30,'28.07 Rubaga-Natete'!C30)</f>
        <v>43.142857142857146</v>
      </c>
      <c r="D30" s="49">
        <f>AVERAGE('22.07 Rubaga-Natete'!D30,'23.07 Rubaga-Natete'!D30,'24.07 Rubaga-Natete'!D30,'25.07 Rubaga-natete'!D30,'26.07 Rubaga-Natete-24h'!D30,'27.07 Rubaga-Natete-24h'!D30,'28.07 Rubaga-Natete'!D30)</f>
        <v>4.7142857142857144</v>
      </c>
      <c r="E30" s="49">
        <f>AVERAGE('22.07 Rubaga-Natete'!E30,'23.07 Rubaga-Natete'!E30,'24.07 Rubaga-Natete'!E30,'25.07 Rubaga-natete'!E30,'26.07 Rubaga-Natete-24h'!E30,'27.07 Rubaga-Natete-24h'!E30,'28.07 Rubaga-Natete'!E30)</f>
        <v>5.5714285714285712</v>
      </c>
      <c r="F30" s="49">
        <f>AVERAGE('22.07 Rubaga-Natete'!F30,'23.07 Rubaga-Natete'!F30,'24.07 Rubaga-Natete'!F30,'25.07 Rubaga-natete'!F30,'26.07 Rubaga-Natete-24h'!F30,'27.07 Rubaga-Natete-24h'!F30,'28.07 Rubaga-Natete'!F30)</f>
        <v>41.285714285714285</v>
      </c>
      <c r="G30" s="49">
        <f>AVERAGE('22.07 Rubaga-Natete'!G30,'23.07 Rubaga-Natete'!G30,'24.07 Rubaga-Natete'!G30,'25.07 Rubaga-natete'!G30,'26.07 Rubaga-Natete-24h'!G30,'27.07 Rubaga-Natete-24h'!G30,'28.07 Rubaga-Natete'!G30)</f>
        <v>0.5714285714285714</v>
      </c>
      <c r="H30" s="49">
        <f>AVERAGE('22.07 Rubaga-Natete'!H30,'23.07 Rubaga-Natete'!H30,'24.07 Rubaga-Natete'!H30,'25.07 Rubaga-natete'!H30,'26.07 Rubaga-Natete-24h'!H30,'27.07 Rubaga-Natete-24h'!H30,'28.07 Rubaga-Natete'!H30)</f>
        <v>1.8571428571428572</v>
      </c>
      <c r="I30" s="49">
        <f>AVERAGE('22.07 Rubaga-Natete'!I30,'23.07 Rubaga-Natete'!I30,'24.07 Rubaga-Natete'!I30,'25.07 Rubaga-natete'!I30,'26.07 Rubaga-Natete-24h'!I30,'27.07 Rubaga-Natete-24h'!I30,'28.07 Rubaga-Natete'!I30)</f>
        <v>5.1428571428571432</v>
      </c>
      <c r="J30" s="49">
        <f>AVERAGE('22.07 Rubaga-Natete'!J30,'23.07 Rubaga-Natete'!J30,'24.07 Rubaga-Natete'!J30,'25.07 Rubaga-natete'!J30,'26.07 Rubaga-Natete-24h'!J30,'27.07 Rubaga-Natete-24h'!J30,'28.07 Rubaga-Natete'!J30)</f>
        <v>3.2857142857142856</v>
      </c>
      <c r="K30" s="49">
        <f>AVERAGE('22.07 Rubaga-Natete'!K30,'23.07 Rubaga-Natete'!K30,'24.07 Rubaga-Natete'!K30,'25.07 Rubaga-natete'!K30,'26.07 Rubaga-Natete-24h'!K30,'27.07 Rubaga-Natete-24h'!K30,'28.07 Rubaga-Natete'!K30)</f>
        <v>0.14285714285714285</v>
      </c>
      <c r="L30" s="49">
        <f>AVERAGE('22.07 Rubaga-Natete'!L30,'23.07 Rubaga-Natete'!L30,'24.07 Rubaga-Natete'!L30,'25.07 Rubaga-natete'!L30,'26.07 Rubaga-Natete-24h'!L30,'27.07 Rubaga-Natete-24h'!L30,'28.07 Rubaga-Natete'!L30)</f>
        <v>0.2857142857142857</v>
      </c>
      <c r="M30" s="49">
        <f>AVERAGE('22.07 Rubaga-Natete'!M30,'23.07 Rubaga-Natete'!M30,'24.07 Rubaga-Natete'!M30,'25.07 Rubaga-natete'!M30,'26.07 Rubaga-Natete-24h'!M30,'27.07 Rubaga-Natete-24h'!M30,'28.07 Rubaga-Natete'!M30)</f>
        <v>170.57142857142858</v>
      </c>
      <c r="N30" s="49">
        <f>AVERAGE('22.07 Rubaga-Natete'!N30,'23.07 Rubaga-Natete'!N30,'24.07 Rubaga-Natete'!N30,'25.07 Rubaga-natete'!N30,'26.07 Rubaga-Natete-24h'!N30,'27.07 Rubaga-Natete-24h'!N30,'28.07 Rubaga-Natete'!N30)</f>
        <v>0</v>
      </c>
      <c r="O30" s="15">
        <f t="shared" si="0"/>
        <v>106.00000000000001</v>
      </c>
      <c r="P30" s="15">
        <f t="shared" si="1"/>
        <v>276.57142857142861</v>
      </c>
      <c r="R30" s="1" t="s">
        <v>154</v>
      </c>
      <c r="S30" s="34">
        <f>SUM(C90:C93)</f>
        <v>29</v>
      </c>
      <c r="T30" s="34">
        <f t="shared" ref="T30:AD30" si="22">SUM(D90:D93)</f>
        <v>5</v>
      </c>
      <c r="U30" s="34">
        <f t="shared" si="22"/>
        <v>4</v>
      </c>
      <c r="V30" s="34">
        <f t="shared" si="22"/>
        <v>1.5</v>
      </c>
      <c r="W30" s="34">
        <f t="shared" si="22"/>
        <v>0.5</v>
      </c>
      <c r="X30" s="34">
        <f t="shared" si="22"/>
        <v>1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0.5</v>
      </c>
      <c r="AC30" s="34">
        <f t="shared" si="22"/>
        <v>40.5</v>
      </c>
      <c r="AD30" s="34">
        <f t="shared" si="22"/>
        <v>0</v>
      </c>
      <c r="AE30" s="31">
        <f t="shared" si="13"/>
        <v>409</v>
      </c>
      <c r="AF30" s="31">
        <f t="shared" si="13"/>
        <v>1165</v>
      </c>
    </row>
    <row r="31" spans="2:32" ht="23.1" customHeight="1" x14ac:dyDescent="0.25">
      <c r="B31" s="24" t="s">
        <v>58</v>
      </c>
      <c r="C31" s="49">
        <f>AVERAGE('22.07 Rubaga-Natete'!C31,'23.07 Rubaga-Natete'!C31,'24.07 Rubaga-Natete'!C31,'25.07 Rubaga-natete'!C31,'26.07 Rubaga-Natete-24h'!C31,'27.07 Rubaga-Natete-24h'!C31,'28.07 Rubaga-Natete'!C31)</f>
        <v>43.571428571428569</v>
      </c>
      <c r="D31" s="49">
        <f>AVERAGE('22.07 Rubaga-Natete'!D31,'23.07 Rubaga-Natete'!D31,'24.07 Rubaga-Natete'!D31,'25.07 Rubaga-natete'!D31,'26.07 Rubaga-Natete-24h'!D31,'27.07 Rubaga-Natete-24h'!D31,'28.07 Rubaga-Natete'!D31)</f>
        <v>5.4285714285714288</v>
      </c>
      <c r="E31" s="49">
        <f>AVERAGE('22.07 Rubaga-Natete'!E31,'23.07 Rubaga-Natete'!E31,'24.07 Rubaga-Natete'!E31,'25.07 Rubaga-natete'!E31,'26.07 Rubaga-Natete-24h'!E31,'27.07 Rubaga-Natete-24h'!E31,'28.07 Rubaga-Natete'!E31)</f>
        <v>5.2857142857142856</v>
      </c>
      <c r="F31" s="49">
        <f>AVERAGE('22.07 Rubaga-Natete'!F31,'23.07 Rubaga-Natete'!F31,'24.07 Rubaga-Natete'!F31,'25.07 Rubaga-natete'!F31,'26.07 Rubaga-Natete-24h'!F31,'27.07 Rubaga-Natete-24h'!F31,'28.07 Rubaga-Natete'!F31)</f>
        <v>42.142857142857146</v>
      </c>
      <c r="G31" s="49">
        <f>AVERAGE('22.07 Rubaga-Natete'!G31,'23.07 Rubaga-Natete'!G31,'24.07 Rubaga-Natete'!G31,'25.07 Rubaga-natete'!G31,'26.07 Rubaga-Natete-24h'!G31,'27.07 Rubaga-Natete-24h'!G31,'28.07 Rubaga-Natete'!G31)</f>
        <v>1.7142857142857142</v>
      </c>
      <c r="H31" s="49">
        <f>AVERAGE('22.07 Rubaga-Natete'!H31,'23.07 Rubaga-Natete'!H31,'24.07 Rubaga-Natete'!H31,'25.07 Rubaga-natete'!H31,'26.07 Rubaga-Natete-24h'!H31,'27.07 Rubaga-Natete-24h'!H31,'28.07 Rubaga-Natete'!H31)</f>
        <v>2.7142857142857144</v>
      </c>
      <c r="I31" s="49">
        <f>AVERAGE('22.07 Rubaga-Natete'!I31,'23.07 Rubaga-Natete'!I31,'24.07 Rubaga-Natete'!I31,'25.07 Rubaga-natete'!I31,'26.07 Rubaga-Natete-24h'!I31,'27.07 Rubaga-Natete-24h'!I31,'28.07 Rubaga-Natete'!I31)</f>
        <v>4.1428571428571432</v>
      </c>
      <c r="J31" s="49">
        <f>AVERAGE('22.07 Rubaga-Natete'!J31,'23.07 Rubaga-Natete'!J31,'24.07 Rubaga-Natete'!J31,'25.07 Rubaga-natete'!J31,'26.07 Rubaga-Natete-24h'!J31,'27.07 Rubaga-Natete-24h'!J31,'28.07 Rubaga-Natete'!J31)</f>
        <v>5.2857142857142856</v>
      </c>
      <c r="K31" s="49">
        <f>AVERAGE('22.07 Rubaga-Natete'!K31,'23.07 Rubaga-Natete'!K31,'24.07 Rubaga-Natete'!K31,'25.07 Rubaga-natete'!K31,'26.07 Rubaga-Natete-24h'!K31,'27.07 Rubaga-Natete-24h'!K31,'28.07 Rubaga-Natete'!K31)</f>
        <v>0.8571428571428571</v>
      </c>
      <c r="L31" s="49">
        <f>AVERAGE('22.07 Rubaga-Natete'!L31,'23.07 Rubaga-Natete'!L31,'24.07 Rubaga-Natete'!L31,'25.07 Rubaga-natete'!L31,'26.07 Rubaga-Natete-24h'!L31,'27.07 Rubaga-Natete-24h'!L31,'28.07 Rubaga-Natete'!L31)</f>
        <v>0</v>
      </c>
      <c r="M31" s="49">
        <f>AVERAGE('22.07 Rubaga-Natete'!M31,'23.07 Rubaga-Natete'!M31,'24.07 Rubaga-Natete'!M31,'25.07 Rubaga-natete'!M31,'26.07 Rubaga-Natete-24h'!M31,'27.07 Rubaga-Natete-24h'!M31,'28.07 Rubaga-Natete'!M31)</f>
        <v>150.14285714285714</v>
      </c>
      <c r="N31" s="49">
        <f>AVERAGE('22.07 Rubaga-Natete'!N31,'23.07 Rubaga-Natete'!N31,'24.07 Rubaga-Natete'!N31,'25.07 Rubaga-natete'!N31,'26.07 Rubaga-Natete-24h'!N31,'27.07 Rubaga-Natete-24h'!N31,'28.07 Rubaga-Natete'!N31)</f>
        <v>0</v>
      </c>
      <c r="O31" s="15">
        <f t="shared" si="0"/>
        <v>111.14285714285714</v>
      </c>
      <c r="P31" s="15">
        <f t="shared" si="1"/>
        <v>261.28571428571428</v>
      </c>
      <c r="R31" s="1" t="s">
        <v>155</v>
      </c>
      <c r="S31" s="34">
        <f>SUM(C94:C97)</f>
        <v>32</v>
      </c>
      <c r="T31" s="34">
        <f t="shared" ref="T31:AD31" si="23">SUM(D94:D97)</f>
        <v>7</v>
      </c>
      <c r="U31" s="34">
        <f t="shared" si="23"/>
        <v>2</v>
      </c>
      <c r="V31" s="34">
        <f t="shared" si="23"/>
        <v>9.5</v>
      </c>
      <c r="W31" s="34">
        <f t="shared" si="23"/>
        <v>0</v>
      </c>
      <c r="X31" s="34">
        <f t="shared" si="23"/>
        <v>3</v>
      </c>
      <c r="Y31" s="34">
        <f t="shared" si="23"/>
        <v>3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70</v>
      </c>
      <c r="AD31" s="34">
        <f t="shared" si="23"/>
        <v>0</v>
      </c>
      <c r="AE31" s="31">
        <f t="shared" si="13"/>
        <v>433</v>
      </c>
      <c r="AF31" s="31">
        <f t="shared" si="13"/>
        <v>1178</v>
      </c>
    </row>
    <row r="32" spans="2:32" ht="23.1" customHeight="1" x14ac:dyDescent="0.25">
      <c r="B32" s="24" t="s">
        <v>59</v>
      </c>
      <c r="C32" s="49">
        <f>AVERAGE('22.07 Rubaga-Natete'!C32,'23.07 Rubaga-Natete'!C32,'24.07 Rubaga-Natete'!C32,'25.07 Rubaga-natete'!C32,'26.07 Rubaga-Natete-24h'!C32,'27.07 Rubaga-Natete-24h'!C32,'28.07 Rubaga-Natete'!C32)</f>
        <v>38</v>
      </c>
      <c r="D32" s="49">
        <f>AVERAGE('22.07 Rubaga-Natete'!D32,'23.07 Rubaga-Natete'!D32,'24.07 Rubaga-Natete'!D32,'25.07 Rubaga-natete'!D32,'26.07 Rubaga-Natete-24h'!D32,'27.07 Rubaga-Natete-24h'!D32,'28.07 Rubaga-Natete'!D32)</f>
        <v>5.2857142857142856</v>
      </c>
      <c r="E32" s="49">
        <f>AVERAGE('22.07 Rubaga-Natete'!E32,'23.07 Rubaga-Natete'!E32,'24.07 Rubaga-Natete'!E32,'25.07 Rubaga-natete'!E32,'26.07 Rubaga-Natete-24h'!E32,'27.07 Rubaga-Natete-24h'!E32,'28.07 Rubaga-Natete'!E32)</f>
        <v>5.7142857142857144</v>
      </c>
      <c r="F32" s="49">
        <f>AVERAGE('22.07 Rubaga-Natete'!F32,'23.07 Rubaga-Natete'!F32,'24.07 Rubaga-Natete'!F32,'25.07 Rubaga-natete'!F32,'26.07 Rubaga-Natete-24h'!F32,'27.07 Rubaga-Natete-24h'!F32,'28.07 Rubaga-Natete'!F32)</f>
        <v>40</v>
      </c>
      <c r="G32" s="49">
        <f>AVERAGE('22.07 Rubaga-Natete'!G32,'23.07 Rubaga-Natete'!G32,'24.07 Rubaga-Natete'!G32,'25.07 Rubaga-natete'!G32,'26.07 Rubaga-Natete-24h'!G32,'27.07 Rubaga-Natete-24h'!G32,'28.07 Rubaga-Natete'!G32)</f>
        <v>1.8571428571428572</v>
      </c>
      <c r="H32" s="49">
        <f>AVERAGE('22.07 Rubaga-Natete'!H32,'23.07 Rubaga-Natete'!H32,'24.07 Rubaga-Natete'!H32,'25.07 Rubaga-natete'!H32,'26.07 Rubaga-Natete-24h'!H32,'27.07 Rubaga-Natete-24h'!H32,'28.07 Rubaga-Natete'!H32)</f>
        <v>1.1428571428571428</v>
      </c>
      <c r="I32" s="49">
        <f>AVERAGE('22.07 Rubaga-Natete'!I32,'23.07 Rubaga-Natete'!I32,'24.07 Rubaga-Natete'!I32,'25.07 Rubaga-natete'!I32,'26.07 Rubaga-Natete-24h'!I32,'27.07 Rubaga-Natete-24h'!I32,'28.07 Rubaga-Natete'!I32)</f>
        <v>2.4285714285714284</v>
      </c>
      <c r="J32" s="49">
        <f>AVERAGE('22.07 Rubaga-Natete'!J32,'23.07 Rubaga-Natete'!J32,'24.07 Rubaga-Natete'!J32,'25.07 Rubaga-natete'!J32,'26.07 Rubaga-Natete-24h'!J32,'27.07 Rubaga-Natete-24h'!J32,'28.07 Rubaga-Natete'!J32)</f>
        <v>3</v>
      </c>
      <c r="K32" s="49">
        <f>AVERAGE('22.07 Rubaga-Natete'!K32,'23.07 Rubaga-Natete'!K32,'24.07 Rubaga-Natete'!K32,'25.07 Rubaga-natete'!K32,'26.07 Rubaga-Natete-24h'!K32,'27.07 Rubaga-Natete-24h'!K32,'28.07 Rubaga-Natete'!K32)</f>
        <v>0.14285714285714285</v>
      </c>
      <c r="L32" s="49">
        <f>AVERAGE('22.07 Rubaga-Natete'!L32,'23.07 Rubaga-Natete'!L32,'24.07 Rubaga-Natete'!L32,'25.07 Rubaga-natete'!L32,'26.07 Rubaga-Natete-24h'!L32,'27.07 Rubaga-Natete-24h'!L32,'28.07 Rubaga-Natete'!L32)</f>
        <v>0.2857142857142857</v>
      </c>
      <c r="M32" s="49">
        <f>AVERAGE('22.07 Rubaga-Natete'!M32,'23.07 Rubaga-Natete'!M32,'24.07 Rubaga-Natete'!M32,'25.07 Rubaga-natete'!M32,'26.07 Rubaga-Natete-24h'!M32,'27.07 Rubaga-Natete-24h'!M32,'28.07 Rubaga-Natete'!M32)</f>
        <v>153</v>
      </c>
      <c r="N32" s="49">
        <f>AVERAGE('22.07 Rubaga-Natete'!N32,'23.07 Rubaga-Natete'!N32,'24.07 Rubaga-Natete'!N32,'25.07 Rubaga-natete'!N32,'26.07 Rubaga-Natete-24h'!N32,'27.07 Rubaga-Natete-24h'!N32,'28.07 Rubaga-Natete'!N32)</f>
        <v>0</v>
      </c>
      <c r="O32" s="15">
        <f t="shared" si="0"/>
        <v>97.857142857142861</v>
      </c>
      <c r="P32" s="15">
        <f t="shared" si="1"/>
        <v>250.85714285714286</v>
      </c>
      <c r="R32" s="1" t="s">
        <v>156</v>
      </c>
      <c r="S32" s="34">
        <f>SUM(C98:C101)</f>
        <v>23.5</v>
      </c>
      <c r="T32" s="34">
        <f t="shared" ref="T32:AD32" si="24">SUM(D98:D101)</f>
        <v>5.5</v>
      </c>
      <c r="U32" s="34">
        <f t="shared" si="24"/>
        <v>3.5</v>
      </c>
      <c r="V32" s="34">
        <f t="shared" si="24"/>
        <v>85.5</v>
      </c>
      <c r="W32" s="34">
        <f t="shared" si="24"/>
        <v>2</v>
      </c>
      <c r="X32" s="34">
        <f t="shared" si="24"/>
        <v>4.5</v>
      </c>
      <c r="Y32" s="34">
        <f t="shared" si="24"/>
        <v>2.5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201.5</v>
      </c>
      <c r="AD32" s="34">
        <f t="shared" si="24"/>
        <v>0</v>
      </c>
      <c r="AE32" s="31">
        <f t="shared" si="13"/>
        <v>432</v>
      </c>
      <c r="AF32" s="31">
        <f t="shared" si="13"/>
        <v>1131</v>
      </c>
    </row>
    <row r="33" spans="2:32" ht="23.1" customHeight="1" x14ac:dyDescent="0.25">
      <c r="B33" s="23" t="s">
        <v>60</v>
      </c>
      <c r="C33" s="49">
        <f>AVERAGE('22.07 Rubaga-Natete'!C33,'23.07 Rubaga-Natete'!C33,'24.07 Rubaga-Natete'!C33,'25.07 Rubaga-natete'!C33,'26.07 Rubaga-Natete-24h'!C33,'27.07 Rubaga-Natete-24h'!C33,'28.07 Rubaga-Natete'!C33)</f>
        <v>36</v>
      </c>
      <c r="D33" s="49">
        <f>AVERAGE('22.07 Rubaga-Natete'!D33,'23.07 Rubaga-Natete'!D33,'24.07 Rubaga-Natete'!D33,'25.07 Rubaga-natete'!D33,'26.07 Rubaga-Natete-24h'!D33,'27.07 Rubaga-Natete-24h'!D33,'28.07 Rubaga-Natete'!D33)</f>
        <v>4.7142857142857144</v>
      </c>
      <c r="E33" s="49">
        <f>AVERAGE('22.07 Rubaga-Natete'!E33,'23.07 Rubaga-Natete'!E33,'24.07 Rubaga-Natete'!E33,'25.07 Rubaga-natete'!E33,'26.07 Rubaga-Natete-24h'!E33,'27.07 Rubaga-Natete-24h'!E33,'28.07 Rubaga-Natete'!E33)</f>
        <v>4.8571428571428568</v>
      </c>
      <c r="F33" s="49">
        <f>AVERAGE('22.07 Rubaga-Natete'!F33,'23.07 Rubaga-Natete'!F33,'24.07 Rubaga-Natete'!F33,'25.07 Rubaga-natete'!F33,'26.07 Rubaga-Natete-24h'!F33,'27.07 Rubaga-Natete-24h'!F33,'28.07 Rubaga-Natete'!F33)</f>
        <v>43.142857142857146</v>
      </c>
      <c r="G33" s="49">
        <f>AVERAGE('22.07 Rubaga-Natete'!G33,'23.07 Rubaga-Natete'!G33,'24.07 Rubaga-Natete'!G33,'25.07 Rubaga-natete'!G33,'26.07 Rubaga-Natete-24h'!G33,'27.07 Rubaga-Natete-24h'!G33,'28.07 Rubaga-Natete'!G33)</f>
        <v>0.7142857142857143</v>
      </c>
      <c r="H33" s="49">
        <f>AVERAGE('22.07 Rubaga-Natete'!H33,'23.07 Rubaga-Natete'!H33,'24.07 Rubaga-Natete'!H33,'25.07 Rubaga-natete'!H33,'26.07 Rubaga-Natete-24h'!H33,'27.07 Rubaga-Natete-24h'!H33,'28.07 Rubaga-Natete'!H33)</f>
        <v>1.1428571428571428</v>
      </c>
      <c r="I33" s="49">
        <f>AVERAGE('22.07 Rubaga-Natete'!I33,'23.07 Rubaga-Natete'!I33,'24.07 Rubaga-Natete'!I33,'25.07 Rubaga-natete'!I33,'26.07 Rubaga-Natete-24h'!I33,'27.07 Rubaga-Natete-24h'!I33,'28.07 Rubaga-Natete'!I33)</f>
        <v>3.1428571428571428</v>
      </c>
      <c r="J33" s="49">
        <f>AVERAGE('22.07 Rubaga-Natete'!J33,'23.07 Rubaga-Natete'!J33,'24.07 Rubaga-Natete'!J33,'25.07 Rubaga-natete'!J33,'26.07 Rubaga-Natete-24h'!J33,'27.07 Rubaga-Natete-24h'!J33,'28.07 Rubaga-Natete'!J33)</f>
        <v>1.7142857142857142</v>
      </c>
      <c r="K33" s="49">
        <f>AVERAGE('22.07 Rubaga-Natete'!K33,'23.07 Rubaga-Natete'!K33,'24.07 Rubaga-Natete'!K33,'25.07 Rubaga-natete'!K33,'26.07 Rubaga-Natete-24h'!K33,'27.07 Rubaga-Natete-24h'!K33,'28.07 Rubaga-Natete'!K33)</f>
        <v>0.14285714285714285</v>
      </c>
      <c r="L33" s="49">
        <f>AVERAGE('22.07 Rubaga-Natete'!L33,'23.07 Rubaga-Natete'!L33,'24.07 Rubaga-Natete'!L33,'25.07 Rubaga-natete'!L33,'26.07 Rubaga-Natete-24h'!L33,'27.07 Rubaga-Natete-24h'!L33,'28.07 Rubaga-Natete'!L33)</f>
        <v>0.2857142857142857</v>
      </c>
      <c r="M33" s="49">
        <f>AVERAGE('22.07 Rubaga-Natete'!M33,'23.07 Rubaga-Natete'!M33,'24.07 Rubaga-Natete'!M33,'25.07 Rubaga-natete'!M33,'26.07 Rubaga-Natete-24h'!M33,'27.07 Rubaga-Natete-24h'!M33,'28.07 Rubaga-Natete'!M33)</f>
        <v>130.57142857142858</v>
      </c>
      <c r="N33" s="49">
        <f>AVERAGE('22.07 Rubaga-Natete'!N33,'23.07 Rubaga-Natete'!N33,'24.07 Rubaga-Natete'!N33,'25.07 Rubaga-natete'!N33,'26.07 Rubaga-Natete-24h'!N33,'27.07 Rubaga-Natete-24h'!N33,'28.07 Rubaga-Natete'!N33)</f>
        <v>0</v>
      </c>
      <c r="O33" s="15">
        <f t="shared" si="0"/>
        <v>95.857142857142847</v>
      </c>
      <c r="P33" s="15">
        <f t="shared" si="1"/>
        <v>226.42857142857144</v>
      </c>
      <c r="R33" s="1" t="s">
        <v>157</v>
      </c>
      <c r="S33" s="34">
        <f>SUM(C102:C105)</f>
        <v>100.5</v>
      </c>
      <c r="T33" s="34">
        <f t="shared" ref="T33:AD33" si="25">SUM(D102:D105)</f>
        <v>10.5</v>
      </c>
      <c r="U33" s="34">
        <f t="shared" si="25"/>
        <v>8.5</v>
      </c>
      <c r="V33" s="34">
        <f t="shared" si="25"/>
        <v>106</v>
      </c>
      <c r="W33" s="34">
        <f t="shared" si="25"/>
        <v>5</v>
      </c>
      <c r="X33" s="34">
        <f t="shared" si="25"/>
        <v>2</v>
      </c>
      <c r="Y33" s="34">
        <f t="shared" si="25"/>
        <v>8</v>
      </c>
      <c r="Z33" s="34">
        <f t="shared" si="25"/>
        <v>2.5</v>
      </c>
      <c r="AA33" s="34">
        <f t="shared" si="25"/>
        <v>1</v>
      </c>
      <c r="AB33" s="34">
        <f t="shared" si="25"/>
        <v>0.5</v>
      </c>
      <c r="AC33" s="34">
        <f t="shared" si="25"/>
        <v>303</v>
      </c>
      <c r="AD33" s="34">
        <f t="shared" si="25"/>
        <v>0</v>
      </c>
      <c r="AE33" s="31">
        <f t="shared" si="13"/>
        <v>445.5</v>
      </c>
      <c r="AF33" s="31">
        <f t="shared" si="13"/>
        <v>1144.5</v>
      </c>
    </row>
    <row r="34" spans="2:32" ht="23.1" customHeight="1" x14ac:dyDescent="0.25">
      <c r="B34" s="24" t="s">
        <v>61</v>
      </c>
      <c r="C34" s="49">
        <f>AVERAGE('22.07 Rubaga-Natete'!C34,'23.07 Rubaga-Natete'!C34,'24.07 Rubaga-Natete'!C34,'25.07 Rubaga-natete'!C34,'26.07 Rubaga-Natete-24h'!C34,'27.07 Rubaga-Natete-24h'!C34,'28.07 Rubaga-Natete'!C34)</f>
        <v>48.285714285714285</v>
      </c>
      <c r="D34" s="49">
        <f>AVERAGE('22.07 Rubaga-Natete'!D34,'23.07 Rubaga-Natete'!D34,'24.07 Rubaga-Natete'!D34,'25.07 Rubaga-natete'!D34,'26.07 Rubaga-Natete-24h'!D34,'27.07 Rubaga-Natete-24h'!D34,'28.07 Rubaga-Natete'!D34)</f>
        <v>4.1428571428571432</v>
      </c>
      <c r="E34" s="49">
        <f>AVERAGE('22.07 Rubaga-Natete'!E34,'23.07 Rubaga-Natete'!E34,'24.07 Rubaga-Natete'!E34,'25.07 Rubaga-natete'!E34,'26.07 Rubaga-Natete-24h'!E34,'27.07 Rubaga-Natete-24h'!E34,'28.07 Rubaga-Natete'!E34)</f>
        <v>5.5714285714285712</v>
      </c>
      <c r="F34" s="49">
        <f>AVERAGE('22.07 Rubaga-Natete'!F34,'23.07 Rubaga-Natete'!F34,'24.07 Rubaga-Natete'!F34,'25.07 Rubaga-natete'!F34,'26.07 Rubaga-Natete-24h'!F34,'27.07 Rubaga-Natete-24h'!F34,'28.07 Rubaga-Natete'!F34)</f>
        <v>42.285714285714285</v>
      </c>
      <c r="G34" s="49">
        <f>AVERAGE('22.07 Rubaga-Natete'!G34,'23.07 Rubaga-Natete'!G34,'24.07 Rubaga-Natete'!G34,'25.07 Rubaga-natete'!G34,'26.07 Rubaga-Natete-24h'!G34,'27.07 Rubaga-Natete-24h'!G34,'28.07 Rubaga-Natete'!G34)</f>
        <v>2</v>
      </c>
      <c r="H34" s="49">
        <f>AVERAGE('22.07 Rubaga-Natete'!H34,'23.07 Rubaga-Natete'!H34,'24.07 Rubaga-Natete'!H34,'25.07 Rubaga-natete'!H34,'26.07 Rubaga-Natete-24h'!H34,'27.07 Rubaga-Natete-24h'!H34,'28.07 Rubaga-Natete'!H34)</f>
        <v>1.8571428571428572</v>
      </c>
      <c r="I34" s="49">
        <f>AVERAGE('22.07 Rubaga-Natete'!I34,'23.07 Rubaga-Natete'!I34,'24.07 Rubaga-Natete'!I34,'25.07 Rubaga-natete'!I34,'26.07 Rubaga-Natete-24h'!I34,'27.07 Rubaga-Natete-24h'!I34,'28.07 Rubaga-Natete'!I34)</f>
        <v>3</v>
      </c>
      <c r="J34" s="49">
        <f>AVERAGE('22.07 Rubaga-Natete'!J34,'23.07 Rubaga-Natete'!J34,'24.07 Rubaga-Natete'!J34,'25.07 Rubaga-natete'!J34,'26.07 Rubaga-Natete-24h'!J34,'27.07 Rubaga-Natete-24h'!J34,'28.07 Rubaga-Natete'!J34)</f>
        <v>2.2857142857142856</v>
      </c>
      <c r="K34" s="49">
        <f>AVERAGE('22.07 Rubaga-Natete'!K34,'23.07 Rubaga-Natete'!K34,'24.07 Rubaga-Natete'!K34,'25.07 Rubaga-natete'!K34,'26.07 Rubaga-Natete-24h'!K34,'27.07 Rubaga-Natete-24h'!K34,'28.07 Rubaga-Natete'!K34)</f>
        <v>0</v>
      </c>
      <c r="L34" s="49">
        <f>AVERAGE('22.07 Rubaga-Natete'!L34,'23.07 Rubaga-Natete'!L34,'24.07 Rubaga-Natete'!L34,'25.07 Rubaga-natete'!L34,'26.07 Rubaga-Natete-24h'!L34,'27.07 Rubaga-Natete-24h'!L34,'28.07 Rubaga-Natete'!L34)</f>
        <v>0.2857142857142857</v>
      </c>
      <c r="M34" s="49">
        <f>AVERAGE('22.07 Rubaga-Natete'!M34,'23.07 Rubaga-Natete'!M34,'24.07 Rubaga-Natete'!M34,'25.07 Rubaga-natete'!M34,'26.07 Rubaga-Natete-24h'!M34,'27.07 Rubaga-Natete-24h'!M34,'28.07 Rubaga-Natete'!M34)</f>
        <v>117.71428571428571</v>
      </c>
      <c r="N34" s="49">
        <f>AVERAGE('22.07 Rubaga-Natete'!N34,'23.07 Rubaga-Natete'!N34,'24.07 Rubaga-Natete'!N34,'25.07 Rubaga-natete'!N34,'26.07 Rubaga-Natete-24h'!N34,'27.07 Rubaga-Natete-24h'!N34,'28.07 Rubaga-Natete'!N34)</f>
        <v>0</v>
      </c>
      <c r="O34" s="15">
        <f t="shared" si="0"/>
        <v>109.71428571428572</v>
      </c>
      <c r="P34" s="15">
        <f t="shared" si="1"/>
        <v>227.42857142857144</v>
      </c>
      <c r="R34" s="38" t="s">
        <v>90</v>
      </c>
      <c r="S34" s="39">
        <f t="shared" ref="S34:AF34" si="26">MAX(S10:S12)</f>
        <v>171.57142857142858</v>
      </c>
      <c r="T34" s="39">
        <f t="shared" si="26"/>
        <v>22.571428571428569</v>
      </c>
      <c r="U34" s="39">
        <f t="shared" si="26"/>
        <v>15.285714285714288</v>
      </c>
      <c r="V34" s="39">
        <f t="shared" si="26"/>
        <v>229.42857142857144</v>
      </c>
      <c r="W34" s="39">
        <f t="shared" si="26"/>
        <v>11.142857142857144</v>
      </c>
      <c r="X34" s="39">
        <f t="shared" si="26"/>
        <v>6.7142857142857144</v>
      </c>
      <c r="Y34" s="39">
        <f t="shared" si="26"/>
        <v>14.571428571428571</v>
      </c>
      <c r="Z34" s="39">
        <f t="shared" si="26"/>
        <v>6.4285714285714288</v>
      </c>
      <c r="AA34" s="39">
        <f t="shared" si="26"/>
        <v>1.4285714285714284</v>
      </c>
      <c r="AB34" s="39">
        <f t="shared" si="26"/>
        <v>0.71428571428571419</v>
      </c>
      <c r="AC34" s="39">
        <f t="shared" si="26"/>
        <v>720.57142857142856</v>
      </c>
      <c r="AD34" s="39">
        <f t="shared" si="26"/>
        <v>0</v>
      </c>
      <c r="AE34" s="40">
        <f t="shared" si="26"/>
        <v>476.85714285714295</v>
      </c>
      <c r="AF34" s="40">
        <f t="shared" si="26"/>
        <v>1095.5714285714284</v>
      </c>
    </row>
    <row r="35" spans="2:32" ht="23.1" customHeight="1" x14ac:dyDescent="0.25">
      <c r="B35" s="24" t="s">
        <v>62</v>
      </c>
      <c r="C35" s="49">
        <f>AVERAGE('22.07 Rubaga-Natete'!C35,'23.07 Rubaga-Natete'!C35,'24.07 Rubaga-Natete'!C35,'25.07 Rubaga-natete'!C35,'26.07 Rubaga-Natete-24h'!C35,'27.07 Rubaga-Natete-24h'!C35,'28.07 Rubaga-Natete'!C35)</f>
        <v>35.142857142857146</v>
      </c>
      <c r="D35" s="49">
        <f>AVERAGE('22.07 Rubaga-Natete'!D35,'23.07 Rubaga-Natete'!D35,'24.07 Rubaga-Natete'!D35,'25.07 Rubaga-natete'!D35,'26.07 Rubaga-Natete-24h'!D35,'27.07 Rubaga-Natete-24h'!D35,'28.07 Rubaga-Natete'!D35)</f>
        <v>4.8571428571428568</v>
      </c>
      <c r="E35" s="49">
        <f>AVERAGE('22.07 Rubaga-Natete'!E35,'23.07 Rubaga-Natete'!E35,'24.07 Rubaga-Natete'!E35,'25.07 Rubaga-natete'!E35,'26.07 Rubaga-Natete-24h'!E35,'27.07 Rubaga-Natete-24h'!E35,'28.07 Rubaga-Natete'!E35)</f>
        <v>4.8571428571428568</v>
      </c>
      <c r="F35" s="49">
        <f>AVERAGE('22.07 Rubaga-Natete'!F35,'23.07 Rubaga-Natete'!F35,'24.07 Rubaga-Natete'!F35,'25.07 Rubaga-natete'!F35,'26.07 Rubaga-Natete-24h'!F35,'27.07 Rubaga-Natete-24h'!F35,'28.07 Rubaga-Natete'!F35)</f>
        <v>44.714285714285715</v>
      </c>
      <c r="G35" s="49">
        <f>AVERAGE('22.07 Rubaga-Natete'!G35,'23.07 Rubaga-Natete'!G35,'24.07 Rubaga-Natete'!G35,'25.07 Rubaga-natete'!G35,'26.07 Rubaga-Natete-24h'!G35,'27.07 Rubaga-Natete-24h'!G35,'28.07 Rubaga-Natete'!G35)</f>
        <v>1.8571428571428572</v>
      </c>
      <c r="H35" s="49">
        <f>AVERAGE('22.07 Rubaga-Natete'!H35,'23.07 Rubaga-Natete'!H35,'24.07 Rubaga-Natete'!H35,'25.07 Rubaga-natete'!H35,'26.07 Rubaga-Natete-24h'!H35,'27.07 Rubaga-Natete-24h'!H35,'28.07 Rubaga-Natete'!H35)</f>
        <v>1.1428571428571428</v>
      </c>
      <c r="I35" s="49">
        <f>AVERAGE('22.07 Rubaga-Natete'!I35,'23.07 Rubaga-Natete'!I35,'24.07 Rubaga-Natete'!I35,'25.07 Rubaga-natete'!I35,'26.07 Rubaga-Natete-24h'!I35,'27.07 Rubaga-Natete-24h'!I35,'28.07 Rubaga-Natete'!I35)</f>
        <v>3.5714285714285716</v>
      </c>
      <c r="J35" s="49">
        <f>AVERAGE('22.07 Rubaga-Natete'!J35,'23.07 Rubaga-Natete'!J35,'24.07 Rubaga-Natete'!J35,'25.07 Rubaga-natete'!J35,'26.07 Rubaga-Natete-24h'!J35,'27.07 Rubaga-Natete-24h'!J35,'28.07 Rubaga-Natete'!J35)</f>
        <v>2.8571428571428572</v>
      </c>
      <c r="K35" s="49">
        <f>AVERAGE('22.07 Rubaga-Natete'!K35,'23.07 Rubaga-Natete'!K35,'24.07 Rubaga-Natete'!K35,'25.07 Rubaga-natete'!K35,'26.07 Rubaga-Natete-24h'!K35,'27.07 Rubaga-Natete-24h'!K35,'28.07 Rubaga-Natete'!K35)</f>
        <v>0.2857142857142857</v>
      </c>
      <c r="L35" s="49">
        <f>AVERAGE('22.07 Rubaga-Natete'!L35,'23.07 Rubaga-Natete'!L35,'24.07 Rubaga-Natete'!L35,'25.07 Rubaga-natete'!L35,'26.07 Rubaga-Natete-24h'!L35,'27.07 Rubaga-Natete-24h'!L35,'28.07 Rubaga-Natete'!L35)</f>
        <v>0.2857142857142857</v>
      </c>
      <c r="M35" s="49">
        <f>AVERAGE('22.07 Rubaga-Natete'!M35,'23.07 Rubaga-Natete'!M35,'24.07 Rubaga-Natete'!M35,'25.07 Rubaga-natete'!M35,'26.07 Rubaga-Natete-24h'!M35,'27.07 Rubaga-Natete-24h'!M35,'28.07 Rubaga-Natete'!M35)</f>
        <v>126.42857142857143</v>
      </c>
      <c r="N35" s="49">
        <f>AVERAGE('22.07 Rubaga-Natete'!N35,'23.07 Rubaga-Natete'!N35,'24.07 Rubaga-Natete'!N35,'25.07 Rubaga-natete'!N35,'26.07 Rubaga-Natete-24h'!N35,'27.07 Rubaga-Natete-24h'!N35,'28.07 Rubaga-Natete'!N35)</f>
        <v>0</v>
      </c>
      <c r="O35" s="15">
        <f t="shared" si="0"/>
        <v>99.571428571428584</v>
      </c>
      <c r="P35" s="15">
        <f t="shared" si="1"/>
        <v>226</v>
      </c>
      <c r="R35" s="38" t="s">
        <v>91</v>
      </c>
      <c r="S35" s="39">
        <f t="shared" ref="S35:AF35" si="27">MAX(S13:S18)</f>
        <v>169.71428571428572</v>
      </c>
      <c r="T35" s="39">
        <f t="shared" si="27"/>
        <v>21.428571428571431</v>
      </c>
      <c r="U35" s="39">
        <f t="shared" si="27"/>
        <v>27.571428571428577</v>
      </c>
      <c r="V35" s="39">
        <f t="shared" si="27"/>
        <v>169.28571428571428</v>
      </c>
      <c r="W35" s="39">
        <f t="shared" si="27"/>
        <v>6.7142857142857144</v>
      </c>
      <c r="X35" s="39">
        <f t="shared" si="27"/>
        <v>10</v>
      </c>
      <c r="Y35" s="39">
        <f t="shared" si="27"/>
        <v>14.857142857142858</v>
      </c>
      <c r="Z35" s="39">
        <f t="shared" si="27"/>
        <v>13.285714285714285</v>
      </c>
      <c r="AA35" s="39">
        <f t="shared" si="27"/>
        <v>1.2857142857142856</v>
      </c>
      <c r="AB35" s="39">
        <f t="shared" si="27"/>
        <v>1.7142857142857142</v>
      </c>
      <c r="AC35" s="39">
        <f t="shared" si="27"/>
        <v>707.57142857142856</v>
      </c>
      <c r="AD35" s="39">
        <f t="shared" si="27"/>
        <v>0</v>
      </c>
      <c r="AE35" s="40">
        <f t="shared" si="27"/>
        <v>415.14285714285711</v>
      </c>
      <c r="AF35" s="40">
        <f t="shared" si="27"/>
        <v>1077.5714285714287</v>
      </c>
    </row>
    <row r="36" spans="2:32" ht="23.1" customHeight="1" x14ac:dyDescent="0.25">
      <c r="B36" s="24" t="s">
        <v>63</v>
      </c>
      <c r="C36" s="49">
        <f>AVERAGE('22.07 Rubaga-Natete'!C36,'23.07 Rubaga-Natete'!C36,'24.07 Rubaga-Natete'!C36,'25.07 Rubaga-natete'!C36,'26.07 Rubaga-Natete-24h'!C36,'27.07 Rubaga-Natete-24h'!C36,'28.07 Rubaga-Natete'!C36)</f>
        <v>46.285714285714285</v>
      </c>
      <c r="D36" s="49">
        <f>AVERAGE('22.07 Rubaga-Natete'!D36,'23.07 Rubaga-Natete'!D36,'24.07 Rubaga-Natete'!D36,'25.07 Rubaga-natete'!D36,'26.07 Rubaga-Natete-24h'!D36,'27.07 Rubaga-Natete-24h'!D36,'28.07 Rubaga-Natete'!D36)</f>
        <v>3.7142857142857144</v>
      </c>
      <c r="E36" s="49">
        <f>AVERAGE('22.07 Rubaga-Natete'!E36,'23.07 Rubaga-Natete'!E36,'24.07 Rubaga-Natete'!E36,'25.07 Rubaga-natete'!E36,'26.07 Rubaga-Natete-24h'!E36,'27.07 Rubaga-Natete-24h'!E36,'28.07 Rubaga-Natete'!E36)</f>
        <v>4.8571428571428568</v>
      </c>
      <c r="F36" s="49">
        <f>AVERAGE('22.07 Rubaga-Natete'!F36,'23.07 Rubaga-Natete'!F36,'24.07 Rubaga-Natete'!F36,'25.07 Rubaga-natete'!F36,'26.07 Rubaga-Natete-24h'!F36,'27.07 Rubaga-Natete-24h'!F36,'28.07 Rubaga-Natete'!F36)</f>
        <v>40.857142857142854</v>
      </c>
      <c r="G36" s="49">
        <f>AVERAGE('22.07 Rubaga-Natete'!G36,'23.07 Rubaga-Natete'!G36,'24.07 Rubaga-Natete'!G36,'25.07 Rubaga-natete'!G36,'26.07 Rubaga-Natete-24h'!G36,'27.07 Rubaga-Natete-24h'!G36,'28.07 Rubaga-Natete'!G36)</f>
        <v>1</v>
      </c>
      <c r="H36" s="49">
        <f>AVERAGE('22.07 Rubaga-Natete'!H36,'23.07 Rubaga-Natete'!H36,'24.07 Rubaga-Natete'!H36,'25.07 Rubaga-natete'!H36,'26.07 Rubaga-Natete-24h'!H36,'27.07 Rubaga-Natete-24h'!H36,'28.07 Rubaga-Natete'!H36)</f>
        <v>2</v>
      </c>
      <c r="I36" s="49">
        <f>AVERAGE('22.07 Rubaga-Natete'!I36,'23.07 Rubaga-Natete'!I36,'24.07 Rubaga-Natete'!I36,'25.07 Rubaga-natete'!I36,'26.07 Rubaga-Natete-24h'!I36,'27.07 Rubaga-Natete-24h'!I36,'28.07 Rubaga-Natete'!I36)</f>
        <v>2.7142857142857144</v>
      </c>
      <c r="J36" s="49">
        <f>AVERAGE('22.07 Rubaga-Natete'!J36,'23.07 Rubaga-Natete'!J36,'24.07 Rubaga-Natete'!J36,'25.07 Rubaga-natete'!J36,'26.07 Rubaga-Natete-24h'!J36,'27.07 Rubaga-Natete-24h'!J36,'28.07 Rubaga-Natete'!J36)</f>
        <v>3</v>
      </c>
      <c r="K36" s="49">
        <f>AVERAGE('22.07 Rubaga-Natete'!K36,'23.07 Rubaga-Natete'!K36,'24.07 Rubaga-Natete'!K36,'25.07 Rubaga-natete'!K36,'26.07 Rubaga-Natete-24h'!K36,'27.07 Rubaga-Natete-24h'!K36,'28.07 Rubaga-Natete'!K36)</f>
        <v>0.42857142857142855</v>
      </c>
      <c r="L36" s="49">
        <f>AVERAGE('22.07 Rubaga-Natete'!L36,'23.07 Rubaga-Natete'!L36,'24.07 Rubaga-Natete'!L36,'25.07 Rubaga-natete'!L36,'26.07 Rubaga-Natete-24h'!L36,'27.07 Rubaga-Natete-24h'!L36,'28.07 Rubaga-Natete'!L36)</f>
        <v>0.2857142857142857</v>
      </c>
      <c r="M36" s="49">
        <f>AVERAGE('22.07 Rubaga-Natete'!M36,'23.07 Rubaga-Natete'!M36,'24.07 Rubaga-Natete'!M36,'25.07 Rubaga-natete'!M36,'26.07 Rubaga-Natete-24h'!M36,'27.07 Rubaga-Natete-24h'!M36,'28.07 Rubaga-Natete'!M36)</f>
        <v>110.85714285714286</v>
      </c>
      <c r="N36" s="49">
        <f>AVERAGE('22.07 Rubaga-Natete'!N36,'23.07 Rubaga-Natete'!N36,'24.07 Rubaga-Natete'!N36,'25.07 Rubaga-natete'!N36,'26.07 Rubaga-Natete-24h'!N36,'27.07 Rubaga-Natete-24h'!N36,'28.07 Rubaga-Natete'!N36)</f>
        <v>0</v>
      </c>
      <c r="O36" s="15">
        <f t="shared" si="0"/>
        <v>105.14285714285714</v>
      </c>
      <c r="P36" s="15">
        <f t="shared" si="1"/>
        <v>216</v>
      </c>
      <c r="R36" s="38" t="s">
        <v>92</v>
      </c>
      <c r="S36" s="39">
        <f t="shared" ref="S36:AF36" si="28">MAX(S19:S21)</f>
        <v>287.85714285714289</v>
      </c>
      <c r="T36" s="39">
        <f t="shared" si="28"/>
        <v>21.142857142857142</v>
      </c>
      <c r="U36" s="39">
        <f t="shared" si="28"/>
        <v>18.714285714285715</v>
      </c>
      <c r="V36" s="39">
        <f t="shared" si="28"/>
        <v>265</v>
      </c>
      <c r="W36" s="39">
        <f t="shared" si="28"/>
        <v>6.4285714285714288</v>
      </c>
      <c r="X36" s="39">
        <f t="shared" si="28"/>
        <v>5</v>
      </c>
      <c r="Y36" s="39">
        <f t="shared" si="28"/>
        <v>14.142857142857142</v>
      </c>
      <c r="Z36" s="39">
        <f t="shared" si="28"/>
        <v>9</v>
      </c>
      <c r="AA36" s="39">
        <f t="shared" si="28"/>
        <v>2</v>
      </c>
      <c r="AB36" s="39">
        <f t="shared" si="28"/>
        <v>1.714285714285714</v>
      </c>
      <c r="AC36" s="39">
        <f t="shared" si="28"/>
        <v>748.14285714285711</v>
      </c>
      <c r="AD36" s="39">
        <f t="shared" si="28"/>
        <v>0</v>
      </c>
      <c r="AE36" s="40">
        <f t="shared" si="28"/>
        <v>629.85714285714278</v>
      </c>
      <c r="AF36" s="40">
        <f t="shared" si="28"/>
        <v>1378</v>
      </c>
    </row>
    <row r="37" spans="2:32" ht="23.1" customHeight="1" x14ac:dyDescent="0.25">
      <c r="B37" s="23" t="s">
        <v>64</v>
      </c>
      <c r="C37" s="49">
        <f>AVERAGE('22.07 Rubaga-Natete'!C37,'23.07 Rubaga-Natete'!C37,'24.07 Rubaga-Natete'!C37,'25.07 Rubaga-natete'!C37,'26.07 Rubaga-Natete-24h'!C37,'27.07 Rubaga-Natete-24h'!C37,'28.07 Rubaga-Natete'!C37)</f>
        <v>40</v>
      </c>
      <c r="D37" s="49">
        <f>AVERAGE('22.07 Rubaga-Natete'!D37,'23.07 Rubaga-Natete'!D37,'24.07 Rubaga-Natete'!D37,'25.07 Rubaga-natete'!D37,'26.07 Rubaga-Natete-24h'!D37,'27.07 Rubaga-Natete-24h'!D37,'28.07 Rubaga-Natete'!D37)</f>
        <v>4.7142857142857144</v>
      </c>
      <c r="E37" s="49">
        <f>AVERAGE('22.07 Rubaga-Natete'!E37,'23.07 Rubaga-Natete'!E37,'24.07 Rubaga-Natete'!E37,'25.07 Rubaga-natete'!E37,'26.07 Rubaga-Natete-24h'!E37,'27.07 Rubaga-Natete-24h'!E37,'28.07 Rubaga-Natete'!E37)</f>
        <v>6</v>
      </c>
      <c r="F37" s="49">
        <f>AVERAGE('22.07 Rubaga-Natete'!F37,'23.07 Rubaga-Natete'!F37,'24.07 Rubaga-Natete'!F37,'25.07 Rubaga-natete'!F37,'26.07 Rubaga-Natete-24h'!F37,'27.07 Rubaga-Natete-24h'!F37,'28.07 Rubaga-Natete'!F37)</f>
        <v>41.285714285714285</v>
      </c>
      <c r="G37" s="49">
        <f>AVERAGE('22.07 Rubaga-Natete'!G37,'23.07 Rubaga-Natete'!G37,'24.07 Rubaga-Natete'!G37,'25.07 Rubaga-natete'!G37,'26.07 Rubaga-Natete-24h'!G37,'27.07 Rubaga-Natete-24h'!G37,'28.07 Rubaga-Natete'!G37)</f>
        <v>1.5714285714285714</v>
      </c>
      <c r="H37" s="49">
        <f>AVERAGE('22.07 Rubaga-Natete'!H37,'23.07 Rubaga-Natete'!H37,'24.07 Rubaga-Natete'!H37,'25.07 Rubaga-natete'!H37,'26.07 Rubaga-Natete-24h'!H37,'27.07 Rubaga-Natete-24h'!H37,'28.07 Rubaga-Natete'!H37)</f>
        <v>1.7142857142857142</v>
      </c>
      <c r="I37" s="49">
        <f>AVERAGE('22.07 Rubaga-Natete'!I37,'23.07 Rubaga-Natete'!I37,'24.07 Rubaga-Natete'!I37,'25.07 Rubaga-natete'!I37,'26.07 Rubaga-Natete-24h'!I37,'27.07 Rubaga-Natete-24h'!I37,'28.07 Rubaga-Natete'!I37)</f>
        <v>3.1428571428571428</v>
      </c>
      <c r="J37" s="49">
        <f>AVERAGE('22.07 Rubaga-Natete'!J37,'23.07 Rubaga-Natete'!J37,'24.07 Rubaga-Natete'!J37,'25.07 Rubaga-natete'!J37,'26.07 Rubaga-Natete-24h'!J37,'27.07 Rubaga-Natete-24h'!J37,'28.07 Rubaga-Natete'!J37)</f>
        <v>1.7142857142857142</v>
      </c>
      <c r="K37" s="49">
        <f>AVERAGE('22.07 Rubaga-Natete'!K37,'23.07 Rubaga-Natete'!K37,'24.07 Rubaga-Natete'!K37,'25.07 Rubaga-natete'!K37,'26.07 Rubaga-Natete-24h'!K37,'27.07 Rubaga-Natete-24h'!K37,'28.07 Rubaga-Natete'!K37)</f>
        <v>0</v>
      </c>
      <c r="L37" s="49">
        <f>AVERAGE('22.07 Rubaga-Natete'!L37,'23.07 Rubaga-Natete'!L37,'24.07 Rubaga-Natete'!L37,'25.07 Rubaga-natete'!L37,'26.07 Rubaga-Natete-24h'!L37,'27.07 Rubaga-Natete-24h'!L37,'28.07 Rubaga-Natete'!L37)</f>
        <v>0.5714285714285714</v>
      </c>
      <c r="M37" s="49">
        <f>AVERAGE('22.07 Rubaga-Natete'!M37,'23.07 Rubaga-Natete'!M37,'24.07 Rubaga-Natete'!M37,'25.07 Rubaga-natete'!M37,'26.07 Rubaga-Natete-24h'!M37,'27.07 Rubaga-Natete-24h'!M37,'28.07 Rubaga-Natete'!M37)</f>
        <v>120</v>
      </c>
      <c r="N37" s="49">
        <f>AVERAGE('22.07 Rubaga-Natete'!N37,'23.07 Rubaga-Natete'!N37,'24.07 Rubaga-Natete'!N37,'25.07 Rubaga-natete'!N37,'26.07 Rubaga-Natete-24h'!N37,'27.07 Rubaga-Natete-24h'!N37,'28.07 Rubaga-Natete'!N37)</f>
        <v>0</v>
      </c>
      <c r="O37" s="15">
        <f t="shared" si="0"/>
        <v>100.71428571428569</v>
      </c>
      <c r="P37" s="15">
        <f t="shared" si="1"/>
        <v>220.71428571428569</v>
      </c>
      <c r="R37" s="37" t="s">
        <v>85</v>
      </c>
      <c r="S37" s="35">
        <f t="shared" ref="S37:AF37" si="29">SUM(S10:S12)</f>
        <v>411.57142857142856</v>
      </c>
      <c r="T37" s="16">
        <f t="shared" si="29"/>
        <v>52.714285714285715</v>
      </c>
      <c r="U37" s="16">
        <f t="shared" si="29"/>
        <v>35.714285714285715</v>
      </c>
      <c r="V37" s="16">
        <f t="shared" si="29"/>
        <v>594.14285714285711</v>
      </c>
      <c r="W37" s="16">
        <f t="shared" si="29"/>
        <v>20.714285714285715</v>
      </c>
      <c r="X37" s="16">
        <f t="shared" si="29"/>
        <v>18.285714285714285</v>
      </c>
      <c r="Y37" s="16">
        <f t="shared" si="29"/>
        <v>36.142857142857139</v>
      </c>
      <c r="Z37" s="16">
        <f t="shared" si="29"/>
        <v>16</v>
      </c>
      <c r="AA37" s="16">
        <f t="shared" si="29"/>
        <v>2.5714285714285712</v>
      </c>
      <c r="AB37" s="16">
        <f t="shared" si="29"/>
        <v>1.2857142857142856</v>
      </c>
      <c r="AC37" s="16">
        <f t="shared" si="29"/>
        <v>1977.7142857142856</v>
      </c>
      <c r="AD37" s="16">
        <f t="shared" si="29"/>
        <v>0</v>
      </c>
      <c r="AE37" s="32">
        <f t="shared" si="29"/>
        <v>1189.1428571428573</v>
      </c>
      <c r="AF37" s="32">
        <f t="shared" si="29"/>
        <v>3166.8571428571431</v>
      </c>
    </row>
    <row r="38" spans="2:32" ht="23.1" customHeight="1" x14ac:dyDescent="0.25">
      <c r="B38" s="24" t="s">
        <v>65</v>
      </c>
      <c r="C38" s="49">
        <f>AVERAGE('22.07 Rubaga-Natete'!C38,'23.07 Rubaga-Natete'!C38,'24.07 Rubaga-Natete'!C38,'25.07 Rubaga-natete'!C38,'26.07 Rubaga-Natete-24h'!C38,'27.07 Rubaga-Natete-24h'!C38,'28.07 Rubaga-Natete'!C38)</f>
        <v>29.714285714285715</v>
      </c>
      <c r="D38" s="49">
        <f>AVERAGE('22.07 Rubaga-Natete'!D38,'23.07 Rubaga-Natete'!D38,'24.07 Rubaga-Natete'!D38,'25.07 Rubaga-natete'!D38,'26.07 Rubaga-Natete-24h'!D38,'27.07 Rubaga-Natete-24h'!D38,'28.07 Rubaga-Natete'!D38)</f>
        <v>4.2857142857142856</v>
      </c>
      <c r="E38" s="49">
        <f>AVERAGE('22.07 Rubaga-Natete'!E38,'23.07 Rubaga-Natete'!E38,'24.07 Rubaga-Natete'!E38,'25.07 Rubaga-natete'!E38,'26.07 Rubaga-Natete-24h'!E38,'27.07 Rubaga-Natete-24h'!E38,'28.07 Rubaga-Natete'!E38)</f>
        <v>5.2857142857142856</v>
      </c>
      <c r="F38" s="49">
        <f>AVERAGE('22.07 Rubaga-Natete'!F38,'23.07 Rubaga-Natete'!F38,'24.07 Rubaga-Natete'!F38,'25.07 Rubaga-natete'!F38,'26.07 Rubaga-Natete-24h'!F38,'27.07 Rubaga-Natete-24h'!F38,'28.07 Rubaga-Natete'!F38)</f>
        <v>37.714285714285715</v>
      </c>
      <c r="G38" s="49">
        <f>AVERAGE('22.07 Rubaga-Natete'!G38,'23.07 Rubaga-Natete'!G38,'24.07 Rubaga-Natete'!G38,'25.07 Rubaga-natete'!G38,'26.07 Rubaga-Natete-24h'!G38,'27.07 Rubaga-Natete-24h'!G38,'28.07 Rubaga-Natete'!G38)</f>
        <v>1.4285714285714286</v>
      </c>
      <c r="H38" s="49">
        <f>AVERAGE('22.07 Rubaga-Natete'!H38,'23.07 Rubaga-Natete'!H38,'24.07 Rubaga-Natete'!H38,'25.07 Rubaga-natete'!H38,'26.07 Rubaga-Natete-24h'!H38,'27.07 Rubaga-Natete-24h'!H38,'28.07 Rubaga-Natete'!H38)</f>
        <v>1.2857142857142858</v>
      </c>
      <c r="I38" s="49">
        <f>AVERAGE('22.07 Rubaga-Natete'!I38,'23.07 Rubaga-Natete'!I38,'24.07 Rubaga-Natete'!I38,'25.07 Rubaga-natete'!I38,'26.07 Rubaga-Natete-24h'!I38,'27.07 Rubaga-Natete-24h'!I38,'28.07 Rubaga-Natete'!I38)</f>
        <v>2.1428571428571428</v>
      </c>
      <c r="J38" s="49">
        <f>AVERAGE('22.07 Rubaga-Natete'!J38,'23.07 Rubaga-Natete'!J38,'24.07 Rubaga-Natete'!J38,'25.07 Rubaga-natete'!J38,'26.07 Rubaga-Natete-24h'!J38,'27.07 Rubaga-Natete-24h'!J38,'28.07 Rubaga-Natete'!J38)</f>
        <v>1.8571428571428572</v>
      </c>
      <c r="K38" s="49">
        <f>AVERAGE('22.07 Rubaga-Natete'!K38,'23.07 Rubaga-Natete'!K38,'24.07 Rubaga-Natete'!K38,'25.07 Rubaga-natete'!K38,'26.07 Rubaga-Natete-24h'!K38,'27.07 Rubaga-Natete-24h'!K38,'28.07 Rubaga-Natete'!K38)</f>
        <v>0</v>
      </c>
      <c r="L38" s="49">
        <f>AVERAGE('22.07 Rubaga-Natete'!L38,'23.07 Rubaga-Natete'!L38,'24.07 Rubaga-Natete'!L38,'25.07 Rubaga-natete'!L38,'26.07 Rubaga-Natete-24h'!L38,'27.07 Rubaga-Natete-24h'!L38,'28.07 Rubaga-Natete'!L38)</f>
        <v>0</v>
      </c>
      <c r="M38" s="49">
        <f>AVERAGE('22.07 Rubaga-Natete'!M38,'23.07 Rubaga-Natete'!M38,'24.07 Rubaga-Natete'!M38,'25.07 Rubaga-natete'!M38,'26.07 Rubaga-Natete-24h'!M38,'27.07 Rubaga-Natete-24h'!M38,'28.07 Rubaga-Natete'!M38)</f>
        <v>106.85714285714286</v>
      </c>
      <c r="N38" s="49">
        <f>AVERAGE('22.07 Rubaga-Natete'!N38,'23.07 Rubaga-Natete'!N38,'24.07 Rubaga-Natete'!N38,'25.07 Rubaga-natete'!N38,'26.07 Rubaga-Natete-24h'!N38,'27.07 Rubaga-Natete-24h'!N38,'28.07 Rubaga-Natete'!N38)</f>
        <v>0</v>
      </c>
      <c r="O38" s="15">
        <f t="shared" si="0"/>
        <v>83.714285714285722</v>
      </c>
      <c r="P38" s="15">
        <f t="shared" si="1"/>
        <v>190.57142857142858</v>
      </c>
      <c r="R38" s="28" t="s">
        <v>86</v>
      </c>
      <c r="S38" s="16">
        <f t="shared" ref="S38:AF38" si="30">SUM(S13:S18)</f>
        <v>884.28571428571433</v>
      </c>
      <c r="T38" s="16">
        <f t="shared" si="30"/>
        <v>113.71428571428572</v>
      </c>
      <c r="U38" s="16">
        <f t="shared" si="30"/>
        <v>130.28571428571431</v>
      </c>
      <c r="V38" s="16">
        <f t="shared" si="30"/>
        <v>971.14285714285711</v>
      </c>
      <c r="W38" s="16">
        <f t="shared" si="30"/>
        <v>30.142857142857142</v>
      </c>
      <c r="X38" s="16">
        <f t="shared" si="30"/>
        <v>40.857142857142854</v>
      </c>
      <c r="Y38" s="16">
        <f t="shared" si="30"/>
        <v>79</v>
      </c>
      <c r="Z38" s="16">
        <f t="shared" si="30"/>
        <v>55.142857142857139</v>
      </c>
      <c r="AA38" s="16">
        <f t="shared" si="30"/>
        <v>4.4285714285714279</v>
      </c>
      <c r="AB38" s="16">
        <f t="shared" si="30"/>
        <v>6.8571428571428559</v>
      </c>
      <c r="AC38" s="16">
        <f t="shared" si="30"/>
        <v>3287.8571428571427</v>
      </c>
      <c r="AD38" s="16">
        <f t="shared" si="30"/>
        <v>0</v>
      </c>
      <c r="AE38" s="32">
        <f t="shared" si="30"/>
        <v>2315.8571428571431</v>
      </c>
      <c r="AF38" s="32">
        <f t="shared" si="30"/>
        <v>5603.7142857142853</v>
      </c>
    </row>
    <row r="39" spans="2:32" ht="23.1" customHeight="1" x14ac:dyDescent="0.25">
      <c r="B39" s="24" t="s">
        <v>66</v>
      </c>
      <c r="C39" s="49">
        <f>AVERAGE('22.07 Rubaga-Natete'!C39,'23.07 Rubaga-Natete'!C39,'24.07 Rubaga-Natete'!C39,'25.07 Rubaga-natete'!C39,'26.07 Rubaga-Natete-24h'!C39,'27.07 Rubaga-Natete-24h'!C39,'28.07 Rubaga-Natete'!C39)</f>
        <v>31.285714285714285</v>
      </c>
      <c r="D39" s="49">
        <f>AVERAGE('22.07 Rubaga-Natete'!D39,'23.07 Rubaga-Natete'!D39,'24.07 Rubaga-Natete'!D39,'25.07 Rubaga-natete'!D39,'26.07 Rubaga-Natete-24h'!D39,'27.07 Rubaga-Natete-24h'!D39,'28.07 Rubaga-Natete'!D39)</f>
        <v>5</v>
      </c>
      <c r="E39" s="49">
        <f>AVERAGE('22.07 Rubaga-Natete'!E39,'23.07 Rubaga-Natete'!E39,'24.07 Rubaga-Natete'!E39,'25.07 Rubaga-natete'!E39,'26.07 Rubaga-Natete-24h'!E39,'27.07 Rubaga-Natete-24h'!E39,'28.07 Rubaga-Natete'!E39)</f>
        <v>12.428571428571429</v>
      </c>
      <c r="F39" s="49">
        <f>AVERAGE('22.07 Rubaga-Natete'!F39,'23.07 Rubaga-Natete'!F39,'24.07 Rubaga-Natete'!F39,'25.07 Rubaga-natete'!F39,'26.07 Rubaga-Natete-24h'!F39,'27.07 Rubaga-Natete-24h'!F39,'28.07 Rubaga-Natete'!F39)</f>
        <v>39.714285714285715</v>
      </c>
      <c r="G39" s="49">
        <f>AVERAGE('22.07 Rubaga-Natete'!G39,'23.07 Rubaga-Natete'!G39,'24.07 Rubaga-Natete'!G39,'25.07 Rubaga-natete'!G39,'26.07 Rubaga-Natete-24h'!G39,'27.07 Rubaga-Natete-24h'!G39,'28.07 Rubaga-Natete'!G39)</f>
        <v>1.1428571428571428</v>
      </c>
      <c r="H39" s="49">
        <f>AVERAGE('22.07 Rubaga-Natete'!H39,'23.07 Rubaga-Natete'!H39,'24.07 Rubaga-Natete'!H39,'25.07 Rubaga-natete'!H39,'26.07 Rubaga-Natete-24h'!H39,'27.07 Rubaga-Natete-24h'!H39,'28.07 Rubaga-Natete'!H39)</f>
        <v>1.1428571428571428</v>
      </c>
      <c r="I39" s="49">
        <f>AVERAGE('22.07 Rubaga-Natete'!I39,'23.07 Rubaga-Natete'!I39,'24.07 Rubaga-Natete'!I39,'25.07 Rubaga-natete'!I39,'26.07 Rubaga-Natete-24h'!I39,'27.07 Rubaga-Natete-24h'!I39,'28.07 Rubaga-Natete'!I39)</f>
        <v>3.4285714285714284</v>
      </c>
      <c r="J39" s="49">
        <f>AVERAGE('22.07 Rubaga-Natete'!J39,'23.07 Rubaga-Natete'!J39,'24.07 Rubaga-Natete'!J39,'25.07 Rubaga-natete'!J39,'26.07 Rubaga-Natete-24h'!J39,'27.07 Rubaga-Natete-24h'!J39,'28.07 Rubaga-Natete'!J39)</f>
        <v>0.7142857142857143</v>
      </c>
      <c r="K39" s="49">
        <f>AVERAGE('22.07 Rubaga-Natete'!K39,'23.07 Rubaga-Natete'!K39,'24.07 Rubaga-Natete'!K39,'25.07 Rubaga-natete'!K39,'26.07 Rubaga-Natete-24h'!K39,'27.07 Rubaga-Natete-24h'!K39,'28.07 Rubaga-Natete'!K39)</f>
        <v>0</v>
      </c>
      <c r="L39" s="49">
        <f>AVERAGE('22.07 Rubaga-Natete'!L39,'23.07 Rubaga-Natete'!L39,'24.07 Rubaga-Natete'!L39,'25.07 Rubaga-natete'!L39,'26.07 Rubaga-Natete-24h'!L39,'27.07 Rubaga-Natete-24h'!L39,'28.07 Rubaga-Natete'!L39)</f>
        <v>0.5714285714285714</v>
      </c>
      <c r="M39" s="49">
        <f>AVERAGE('22.07 Rubaga-Natete'!M39,'23.07 Rubaga-Natete'!M39,'24.07 Rubaga-Natete'!M39,'25.07 Rubaga-natete'!M39,'26.07 Rubaga-Natete-24h'!M39,'27.07 Rubaga-Natete-24h'!M39,'28.07 Rubaga-Natete'!M39)</f>
        <v>95.571428571428569</v>
      </c>
      <c r="N39" s="49">
        <f>AVERAGE('22.07 Rubaga-Natete'!N39,'23.07 Rubaga-Natete'!N39,'24.07 Rubaga-Natete'!N39,'25.07 Rubaga-natete'!N39,'26.07 Rubaga-Natete-24h'!N39,'27.07 Rubaga-Natete-24h'!N39,'28.07 Rubaga-Natete'!N39)</f>
        <v>0</v>
      </c>
      <c r="O39" s="15">
        <f t="shared" si="0"/>
        <v>95.428571428571416</v>
      </c>
      <c r="P39" s="15">
        <f t="shared" si="1"/>
        <v>191</v>
      </c>
      <c r="R39" s="29" t="s">
        <v>87</v>
      </c>
      <c r="S39" s="16">
        <f t="shared" ref="S39:AF39" si="31">SUM(S19:S21)</f>
        <v>768.57142857142856</v>
      </c>
      <c r="T39" s="16">
        <f t="shared" si="31"/>
        <v>51.571428571428569</v>
      </c>
      <c r="U39" s="16">
        <f t="shared" si="31"/>
        <v>52.428571428571431</v>
      </c>
      <c r="V39" s="16">
        <f t="shared" si="31"/>
        <v>704</v>
      </c>
      <c r="W39" s="16">
        <f t="shared" si="31"/>
        <v>17.428571428571431</v>
      </c>
      <c r="X39" s="16">
        <f t="shared" si="31"/>
        <v>13.714285714285714</v>
      </c>
      <c r="Y39" s="16">
        <f t="shared" si="31"/>
        <v>38.285714285714285</v>
      </c>
      <c r="Z39" s="16">
        <f t="shared" si="31"/>
        <v>23.857142857142858</v>
      </c>
      <c r="AA39" s="16">
        <f t="shared" si="31"/>
        <v>4.5714285714285712</v>
      </c>
      <c r="AB39" s="16">
        <f t="shared" si="31"/>
        <v>4.1428571428571423</v>
      </c>
      <c r="AC39" s="16">
        <f t="shared" si="31"/>
        <v>1997</v>
      </c>
      <c r="AD39" s="16">
        <f t="shared" si="31"/>
        <v>0</v>
      </c>
      <c r="AE39" s="32">
        <f t="shared" si="31"/>
        <v>1678.5714285714284</v>
      </c>
      <c r="AF39" s="32">
        <f t="shared" si="31"/>
        <v>3675.5714285714284</v>
      </c>
    </row>
    <row r="40" spans="2:32" ht="23.1" customHeight="1" x14ac:dyDescent="0.25">
      <c r="B40" s="24" t="s">
        <v>67</v>
      </c>
      <c r="C40" s="49">
        <f>AVERAGE('22.07 Rubaga-Natete'!C40,'23.07 Rubaga-Natete'!C40,'24.07 Rubaga-Natete'!C40,'25.07 Rubaga-natete'!C40,'26.07 Rubaga-Natete-24h'!C40,'27.07 Rubaga-Natete-24h'!C40,'28.07 Rubaga-Natete'!C40)</f>
        <v>35.428571428571431</v>
      </c>
      <c r="D40" s="49">
        <f>AVERAGE('22.07 Rubaga-Natete'!D40,'23.07 Rubaga-Natete'!D40,'24.07 Rubaga-Natete'!D40,'25.07 Rubaga-natete'!D40,'26.07 Rubaga-Natete-24h'!D40,'27.07 Rubaga-Natete-24h'!D40,'28.07 Rubaga-Natete'!D40)</f>
        <v>7</v>
      </c>
      <c r="E40" s="49">
        <f>AVERAGE('22.07 Rubaga-Natete'!E40,'23.07 Rubaga-Natete'!E40,'24.07 Rubaga-Natete'!E40,'25.07 Rubaga-natete'!E40,'26.07 Rubaga-Natete-24h'!E40,'27.07 Rubaga-Natete-24h'!E40,'28.07 Rubaga-Natete'!E40)</f>
        <v>4.4285714285714288</v>
      </c>
      <c r="F40" s="49">
        <f>AVERAGE('22.07 Rubaga-Natete'!F40,'23.07 Rubaga-Natete'!F40,'24.07 Rubaga-Natete'!F40,'25.07 Rubaga-natete'!F40,'26.07 Rubaga-Natete-24h'!F40,'27.07 Rubaga-Natete-24h'!F40,'28.07 Rubaga-Natete'!F40)</f>
        <v>40.428571428571431</v>
      </c>
      <c r="G40" s="49">
        <f>AVERAGE('22.07 Rubaga-Natete'!G40,'23.07 Rubaga-Natete'!G40,'24.07 Rubaga-Natete'!G40,'25.07 Rubaga-natete'!G40,'26.07 Rubaga-Natete-24h'!G40,'27.07 Rubaga-Natete-24h'!G40,'28.07 Rubaga-Natete'!G40)</f>
        <v>0.7142857142857143</v>
      </c>
      <c r="H40" s="49">
        <f>AVERAGE('22.07 Rubaga-Natete'!H40,'23.07 Rubaga-Natete'!H40,'24.07 Rubaga-Natete'!H40,'25.07 Rubaga-natete'!H40,'26.07 Rubaga-Natete-24h'!H40,'27.07 Rubaga-Natete-24h'!H40,'28.07 Rubaga-Natete'!H40)</f>
        <v>1.5714285714285714</v>
      </c>
      <c r="I40" s="49">
        <f>AVERAGE('22.07 Rubaga-Natete'!I40,'23.07 Rubaga-Natete'!I40,'24.07 Rubaga-Natete'!I40,'25.07 Rubaga-natete'!I40,'26.07 Rubaga-Natete-24h'!I40,'27.07 Rubaga-Natete-24h'!I40,'28.07 Rubaga-Natete'!I40)</f>
        <v>4.1428571428571432</v>
      </c>
      <c r="J40" s="49">
        <f>AVERAGE('22.07 Rubaga-Natete'!J40,'23.07 Rubaga-Natete'!J40,'24.07 Rubaga-Natete'!J40,'25.07 Rubaga-natete'!J40,'26.07 Rubaga-Natete-24h'!J40,'27.07 Rubaga-Natete-24h'!J40,'28.07 Rubaga-Natete'!J40)</f>
        <v>2.2857142857142856</v>
      </c>
      <c r="K40" s="49">
        <f>AVERAGE('22.07 Rubaga-Natete'!K40,'23.07 Rubaga-Natete'!K40,'24.07 Rubaga-Natete'!K40,'25.07 Rubaga-natete'!K40,'26.07 Rubaga-Natete-24h'!K40,'27.07 Rubaga-Natete-24h'!K40,'28.07 Rubaga-Natete'!K40)</f>
        <v>0.14285714285714285</v>
      </c>
      <c r="L40" s="49">
        <f>AVERAGE('22.07 Rubaga-Natete'!L40,'23.07 Rubaga-Natete'!L40,'24.07 Rubaga-Natete'!L40,'25.07 Rubaga-natete'!L40,'26.07 Rubaga-Natete-24h'!L40,'27.07 Rubaga-Natete-24h'!L40,'28.07 Rubaga-Natete'!L40)</f>
        <v>1</v>
      </c>
      <c r="M40" s="49">
        <f>AVERAGE('22.07 Rubaga-Natete'!M40,'23.07 Rubaga-Natete'!M40,'24.07 Rubaga-Natete'!M40,'25.07 Rubaga-natete'!M40,'26.07 Rubaga-Natete-24h'!M40,'27.07 Rubaga-Natete-24h'!M40,'28.07 Rubaga-Natete'!M40)</f>
        <v>105.28571428571429</v>
      </c>
      <c r="N40" s="49">
        <f>AVERAGE('22.07 Rubaga-Natete'!N40,'23.07 Rubaga-Natete'!N40,'24.07 Rubaga-Natete'!N40,'25.07 Rubaga-natete'!N40,'26.07 Rubaga-Natete-24h'!N40,'27.07 Rubaga-Natete-24h'!N40,'28.07 Rubaga-Natete'!N40)</f>
        <v>0</v>
      </c>
      <c r="O40" s="15">
        <f t="shared" si="0"/>
        <v>97.142857142857139</v>
      </c>
      <c r="P40" s="15">
        <f t="shared" si="1"/>
        <v>202.42857142857144</v>
      </c>
      <c r="R40" s="5" t="s">
        <v>17</v>
      </c>
      <c r="S40" s="16">
        <f t="shared" ref="S40:AF40" si="32">SUM(S10:S21)</f>
        <v>2064.4285714285716</v>
      </c>
      <c r="T40" s="16">
        <f t="shared" si="32"/>
        <v>218.00000000000003</v>
      </c>
      <c r="U40" s="16">
        <f t="shared" si="32"/>
        <v>218.42857142857142</v>
      </c>
      <c r="V40" s="16">
        <f t="shared" si="32"/>
        <v>2269.2857142857142</v>
      </c>
      <c r="W40" s="16">
        <f t="shared" si="32"/>
        <v>68.285714285714292</v>
      </c>
      <c r="X40" s="16">
        <f t="shared" si="32"/>
        <v>72.857142857142861</v>
      </c>
      <c r="Y40" s="16">
        <f t="shared" si="32"/>
        <v>153.42857142857142</v>
      </c>
      <c r="Z40" s="16">
        <f t="shared" si="32"/>
        <v>95</v>
      </c>
      <c r="AA40" s="16">
        <f t="shared" si="32"/>
        <v>11.571428571428571</v>
      </c>
      <c r="AB40" s="16">
        <f t="shared" si="32"/>
        <v>12.285714285714283</v>
      </c>
      <c r="AC40" s="16">
        <f t="shared" si="32"/>
        <v>7262.5714285714294</v>
      </c>
      <c r="AD40" s="16">
        <f t="shared" si="32"/>
        <v>0</v>
      </c>
      <c r="AE40" s="32">
        <f t="shared" si="32"/>
        <v>5183.5714285714294</v>
      </c>
      <c r="AF40" s="32">
        <f t="shared" si="32"/>
        <v>12446.142857142857</v>
      </c>
    </row>
    <row r="41" spans="2:32" ht="23.1" customHeight="1" x14ac:dyDescent="0.25">
      <c r="B41" s="23" t="s">
        <v>68</v>
      </c>
      <c r="C41" s="49">
        <f>AVERAGE('22.07 Rubaga-Natete'!C41,'23.07 Rubaga-Natete'!C41,'24.07 Rubaga-Natete'!C41,'25.07 Rubaga-natete'!C41,'26.07 Rubaga-Natete-24h'!C41,'27.07 Rubaga-Natete-24h'!C41,'28.07 Rubaga-Natete'!C41)</f>
        <v>44</v>
      </c>
      <c r="D41" s="49">
        <f>AVERAGE('22.07 Rubaga-Natete'!D41,'23.07 Rubaga-Natete'!D41,'24.07 Rubaga-Natete'!D41,'25.07 Rubaga-natete'!D41,'26.07 Rubaga-Natete-24h'!D41,'27.07 Rubaga-Natete-24h'!D41,'28.07 Rubaga-Natete'!D41)</f>
        <v>3.5714285714285716</v>
      </c>
      <c r="E41" s="49">
        <f>AVERAGE('22.07 Rubaga-Natete'!E41,'23.07 Rubaga-Natete'!E41,'24.07 Rubaga-Natete'!E41,'25.07 Rubaga-natete'!E41,'26.07 Rubaga-Natete-24h'!E41,'27.07 Rubaga-Natete-24h'!E41,'28.07 Rubaga-Natete'!E41)</f>
        <v>5.4285714285714288</v>
      </c>
      <c r="F41" s="49">
        <f>AVERAGE('22.07 Rubaga-Natete'!F41,'23.07 Rubaga-Natete'!F41,'24.07 Rubaga-Natete'!F41,'25.07 Rubaga-natete'!F41,'26.07 Rubaga-Natete-24h'!F41,'27.07 Rubaga-Natete-24h'!F41,'28.07 Rubaga-Natete'!F41)</f>
        <v>41.428571428571431</v>
      </c>
      <c r="G41" s="49">
        <f>AVERAGE('22.07 Rubaga-Natete'!G41,'23.07 Rubaga-Natete'!G41,'24.07 Rubaga-Natete'!G41,'25.07 Rubaga-natete'!G41,'26.07 Rubaga-Natete-24h'!G41,'27.07 Rubaga-Natete-24h'!G41,'28.07 Rubaga-Natete'!G41)</f>
        <v>1.1428571428571428</v>
      </c>
      <c r="H41" s="49">
        <f>AVERAGE('22.07 Rubaga-Natete'!H41,'23.07 Rubaga-Natete'!H41,'24.07 Rubaga-Natete'!H41,'25.07 Rubaga-natete'!H41,'26.07 Rubaga-Natete-24h'!H41,'27.07 Rubaga-Natete-24h'!H41,'28.07 Rubaga-Natete'!H41)</f>
        <v>2</v>
      </c>
      <c r="I41" s="49">
        <f>AVERAGE('22.07 Rubaga-Natete'!I41,'23.07 Rubaga-Natete'!I41,'24.07 Rubaga-Natete'!I41,'25.07 Rubaga-natete'!I41,'26.07 Rubaga-Natete-24h'!I41,'27.07 Rubaga-Natete-24h'!I41,'28.07 Rubaga-Natete'!I41)</f>
        <v>3.5714285714285716</v>
      </c>
      <c r="J41" s="49">
        <f>AVERAGE('22.07 Rubaga-Natete'!J41,'23.07 Rubaga-Natete'!J41,'24.07 Rubaga-Natete'!J41,'25.07 Rubaga-natete'!J41,'26.07 Rubaga-Natete-24h'!J41,'27.07 Rubaga-Natete-24h'!J41,'28.07 Rubaga-Natete'!J41)</f>
        <v>2.1428571428571428</v>
      </c>
      <c r="K41" s="49">
        <f>AVERAGE('22.07 Rubaga-Natete'!K41,'23.07 Rubaga-Natete'!K41,'24.07 Rubaga-Natete'!K41,'25.07 Rubaga-natete'!K41,'26.07 Rubaga-Natete-24h'!K41,'27.07 Rubaga-Natete-24h'!K41,'28.07 Rubaga-Natete'!K41)</f>
        <v>0</v>
      </c>
      <c r="L41" s="49">
        <f>AVERAGE('22.07 Rubaga-Natete'!L41,'23.07 Rubaga-Natete'!L41,'24.07 Rubaga-Natete'!L41,'25.07 Rubaga-natete'!L41,'26.07 Rubaga-Natete-24h'!L41,'27.07 Rubaga-Natete-24h'!L41,'28.07 Rubaga-Natete'!L41)</f>
        <v>0.14285714285714285</v>
      </c>
      <c r="M41" s="49">
        <f>AVERAGE('22.07 Rubaga-Natete'!M41,'23.07 Rubaga-Natete'!M41,'24.07 Rubaga-Natete'!M41,'25.07 Rubaga-natete'!M41,'26.07 Rubaga-Natete-24h'!M41,'27.07 Rubaga-Natete-24h'!M41,'28.07 Rubaga-Natete'!M41)</f>
        <v>109.57142857142857</v>
      </c>
      <c r="N41" s="49">
        <f>AVERAGE('22.07 Rubaga-Natete'!N41,'23.07 Rubaga-Natete'!N41,'24.07 Rubaga-Natete'!N41,'25.07 Rubaga-natete'!N41,'26.07 Rubaga-Natete-24h'!N41,'27.07 Rubaga-Natete-24h'!N41,'28.07 Rubaga-Natete'!N41)</f>
        <v>0</v>
      </c>
      <c r="O41" s="15">
        <f t="shared" si="0"/>
        <v>103.42857142857142</v>
      </c>
      <c r="P41" s="15">
        <f t="shared" si="1"/>
        <v>213</v>
      </c>
      <c r="R41" s="5" t="s">
        <v>180</v>
      </c>
      <c r="S41" s="16">
        <f>SUM(S10:S33)</f>
        <v>3493.4285714285716</v>
      </c>
      <c r="T41" s="16">
        <f t="shared" ref="T41:AD41" si="33">SUM(T10:T33)</f>
        <v>349.5</v>
      </c>
      <c r="U41" s="16">
        <f t="shared" si="33"/>
        <v>344.92857142857144</v>
      </c>
      <c r="V41" s="16">
        <f t="shared" si="33"/>
        <v>3223.7857142857142</v>
      </c>
      <c r="W41" s="16">
        <f t="shared" si="33"/>
        <v>95.785714285714292</v>
      </c>
      <c r="X41" s="16">
        <f t="shared" si="33"/>
        <v>115.35714285714286</v>
      </c>
      <c r="Y41" s="16">
        <f t="shared" si="33"/>
        <v>216.92857142857142</v>
      </c>
      <c r="Z41" s="16">
        <f t="shared" si="33"/>
        <v>138</v>
      </c>
      <c r="AA41" s="16">
        <f t="shared" si="33"/>
        <v>25.571428571428569</v>
      </c>
      <c r="AB41" s="16">
        <f t="shared" si="33"/>
        <v>18.785714285714285</v>
      </c>
      <c r="AC41" s="16">
        <f t="shared" si="33"/>
        <v>11177.571428571429</v>
      </c>
      <c r="AD41" s="16">
        <f t="shared" si="33"/>
        <v>0</v>
      </c>
      <c r="AE41" s="32">
        <f>SUM(AE10:AE33)</f>
        <v>11021.428571428572</v>
      </c>
      <c r="AF41" s="32">
        <f>SUM(AF10:AF33)</f>
        <v>27265</v>
      </c>
    </row>
    <row r="42" spans="2:32" ht="23.1" customHeight="1" x14ac:dyDescent="0.25">
      <c r="B42" s="24" t="s">
        <v>69</v>
      </c>
      <c r="C42" s="49">
        <f>AVERAGE('22.07 Rubaga-Natete'!C42,'23.07 Rubaga-Natete'!C42,'24.07 Rubaga-Natete'!C42,'25.07 Rubaga-natete'!C42,'26.07 Rubaga-Natete-24h'!C42,'27.07 Rubaga-Natete-24h'!C42,'28.07 Rubaga-Natete'!C42)</f>
        <v>37.285714285714285</v>
      </c>
      <c r="D42" s="49">
        <f>AVERAGE('22.07 Rubaga-Natete'!D42,'23.07 Rubaga-Natete'!D42,'24.07 Rubaga-Natete'!D42,'25.07 Rubaga-natete'!D42,'26.07 Rubaga-Natete-24h'!D42,'27.07 Rubaga-Natete-24h'!D42,'28.07 Rubaga-Natete'!D42)</f>
        <v>4.8571428571428568</v>
      </c>
      <c r="E42" s="49">
        <f>AVERAGE('22.07 Rubaga-Natete'!E42,'23.07 Rubaga-Natete'!E42,'24.07 Rubaga-Natete'!E42,'25.07 Rubaga-natete'!E42,'26.07 Rubaga-Natete-24h'!E42,'27.07 Rubaga-Natete-24h'!E42,'28.07 Rubaga-Natete'!E42)</f>
        <v>6.7142857142857144</v>
      </c>
      <c r="F42" s="49">
        <f>AVERAGE('22.07 Rubaga-Natete'!F42,'23.07 Rubaga-Natete'!F42,'24.07 Rubaga-Natete'!F42,'25.07 Rubaga-natete'!F42,'26.07 Rubaga-Natete-24h'!F42,'27.07 Rubaga-Natete-24h'!F42,'28.07 Rubaga-Natete'!F42)</f>
        <v>37</v>
      </c>
      <c r="G42" s="49">
        <f>AVERAGE('22.07 Rubaga-Natete'!G42,'23.07 Rubaga-Natete'!G42,'24.07 Rubaga-Natete'!G42,'25.07 Rubaga-natete'!G42,'26.07 Rubaga-Natete-24h'!G42,'27.07 Rubaga-Natete-24h'!G42,'28.07 Rubaga-Natete'!G42)</f>
        <v>0.5714285714285714</v>
      </c>
      <c r="H42" s="49">
        <f>AVERAGE('22.07 Rubaga-Natete'!H42,'23.07 Rubaga-Natete'!H42,'24.07 Rubaga-Natete'!H42,'25.07 Rubaga-natete'!H42,'26.07 Rubaga-Natete-24h'!H42,'27.07 Rubaga-Natete-24h'!H42,'28.07 Rubaga-Natete'!H42)</f>
        <v>1.1428571428571428</v>
      </c>
      <c r="I42" s="49">
        <f>AVERAGE('22.07 Rubaga-Natete'!I42,'23.07 Rubaga-Natete'!I42,'24.07 Rubaga-Natete'!I42,'25.07 Rubaga-natete'!I42,'26.07 Rubaga-Natete-24h'!I42,'27.07 Rubaga-Natete-24h'!I42,'28.07 Rubaga-Natete'!I42)</f>
        <v>3.5714285714285716</v>
      </c>
      <c r="J42" s="49">
        <f>AVERAGE('22.07 Rubaga-Natete'!J42,'23.07 Rubaga-Natete'!J42,'24.07 Rubaga-Natete'!J42,'25.07 Rubaga-natete'!J42,'26.07 Rubaga-Natete-24h'!J42,'27.07 Rubaga-Natete-24h'!J42,'28.07 Rubaga-Natete'!J42)</f>
        <v>1.5714285714285714</v>
      </c>
      <c r="K42" s="49">
        <f>AVERAGE('22.07 Rubaga-Natete'!K42,'23.07 Rubaga-Natete'!K42,'24.07 Rubaga-Natete'!K42,'25.07 Rubaga-natete'!K42,'26.07 Rubaga-Natete-24h'!K42,'27.07 Rubaga-Natete-24h'!K42,'28.07 Rubaga-Natete'!K42)</f>
        <v>0.2857142857142857</v>
      </c>
      <c r="L42" s="49">
        <f>AVERAGE('22.07 Rubaga-Natete'!L42,'23.07 Rubaga-Natete'!L42,'24.07 Rubaga-Natete'!L42,'25.07 Rubaga-natete'!L42,'26.07 Rubaga-Natete-24h'!L42,'27.07 Rubaga-Natete-24h'!L42,'28.07 Rubaga-Natete'!L42)</f>
        <v>0.14285714285714285</v>
      </c>
      <c r="M42" s="49">
        <f>AVERAGE('22.07 Rubaga-Natete'!M42,'23.07 Rubaga-Natete'!M42,'24.07 Rubaga-Natete'!M42,'25.07 Rubaga-natete'!M42,'26.07 Rubaga-Natete-24h'!M42,'27.07 Rubaga-Natete-24h'!M42,'28.07 Rubaga-Natete'!M42)</f>
        <v>115.57142857142857</v>
      </c>
      <c r="N42" s="49">
        <f>AVERAGE('22.07 Rubaga-Natete'!N42,'23.07 Rubaga-Natete'!N42,'24.07 Rubaga-Natete'!N42,'25.07 Rubaga-natete'!N42,'26.07 Rubaga-Natete-24h'!N42,'27.07 Rubaga-Natete-24h'!N42,'28.07 Rubaga-Natete'!N42)</f>
        <v>0</v>
      </c>
      <c r="O42" s="15">
        <f t="shared" si="0"/>
        <v>93.142857142857139</v>
      </c>
      <c r="P42" s="15">
        <f t="shared" si="1"/>
        <v>208.71428571428572</v>
      </c>
      <c r="R42" s="5" t="s">
        <v>160</v>
      </c>
      <c r="S42" s="48">
        <f>S41/S40</f>
        <v>1.6922012317486679</v>
      </c>
      <c r="T42" s="48">
        <f t="shared" ref="T42:AF42" si="34">T41/T40</f>
        <v>1.6032110091743117</v>
      </c>
      <c r="U42" s="48">
        <f t="shared" si="34"/>
        <v>1.5791366906474822</v>
      </c>
      <c r="V42" s="48">
        <f t="shared" si="34"/>
        <v>1.4206169342146679</v>
      </c>
      <c r="W42" s="48">
        <f t="shared" si="34"/>
        <v>1.4027196652719665</v>
      </c>
      <c r="X42" s="48">
        <f t="shared" si="34"/>
        <v>1.5833333333333333</v>
      </c>
      <c r="Y42" s="48">
        <f t="shared" si="34"/>
        <v>1.4138733705772812</v>
      </c>
      <c r="Z42" s="48">
        <f t="shared" si="34"/>
        <v>1.4526315789473685</v>
      </c>
      <c r="AA42" s="48">
        <f t="shared" si="34"/>
        <v>2.2098765432098766</v>
      </c>
      <c r="AB42" s="48">
        <f t="shared" si="34"/>
        <v>1.5290697674418607</v>
      </c>
      <c r="AC42" s="48">
        <f t="shared" si="34"/>
        <v>1.5390652661395019</v>
      </c>
      <c r="AD42" s="48" t="e">
        <f t="shared" si="34"/>
        <v>#DIV/0!</v>
      </c>
      <c r="AE42" s="51">
        <f t="shared" si="34"/>
        <v>2.1262229571448255</v>
      </c>
      <c r="AF42" s="51">
        <f t="shared" si="34"/>
        <v>2.1906385225485807</v>
      </c>
    </row>
    <row r="43" spans="2:32" ht="23.1" customHeight="1" x14ac:dyDescent="0.25">
      <c r="B43" s="23" t="s">
        <v>70</v>
      </c>
      <c r="C43" s="49">
        <f>AVERAGE('22.07 Rubaga-Natete'!C43,'23.07 Rubaga-Natete'!C43,'24.07 Rubaga-Natete'!C43,'25.07 Rubaga-natete'!C43,'26.07 Rubaga-Natete-24h'!C43,'27.07 Rubaga-Natete-24h'!C43,'28.07 Rubaga-Natete'!C43)</f>
        <v>44.428571428571431</v>
      </c>
      <c r="D43" s="49">
        <f>AVERAGE('22.07 Rubaga-Natete'!D43,'23.07 Rubaga-Natete'!D43,'24.07 Rubaga-Natete'!D43,'25.07 Rubaga-natete'!D43,'26.07 Rubaga-Natete-24h'!D43,'27.07 Rubaga-Natete-24h'!D43,'28.07 Rubaga-Natete'!D43)</f>
        <v>3.5714285714285716</v>
      </c>
      <c r="E43" s="49">
        <f>AVERAGE('22.07 Rubaga-Natete'!E43,'23.07 Rubaga-Natete'!E43,'24.07 Rubaga-Natete'!E43,'25.07 Rubaga-natete'!E43,'26.07 Rubaga-Natete-24h'!E43,'27.07 Rubaga-Natete-24h'!E43,'28.07 Rubaga-Natete'!E43)</f>
        <v>5.4285714285714288</v>
      </c>
      <c r="F43" s="49">
        <f>AVERAGE('22.07 Rubaga-Natete'!F43,'23.07 Rubaga-Natete'!F43,'24.07 Rubaga-Natete'!F43,'25.07 Rubaga-natete'!F43,'26.07 Rubaga-Natete-24h'!F43,'27.07 Rubaga-Natete-24h'!F43,'28.07 Rubaga-Natete'!F43)</f>
        <v>36</v>
      </c>
      <c r="G43" s="49">
        <f>AVERAGE('22.07 Rubaga-Natete'!G43,'23.07 Rubaga-Natete'!G43,'24.07 Rubaga-Natete'!G43,'25.07 Rubaga-natete'!G43,'26.07 Rubaga-Natete-24h'!G43,'27.07 Rubaga-Natete-24h'!G43,'28.07 Rubaga-Natete'!G43)</f>
        <v>1.1428571428571428</v>
      </c>
      <c r="H43" s="49">
        <f>AVERAGE('22.07 Rubaga-Natete'!H43,'23.07 Rubaga-Natete'!H43,'24.07 Rubaga-Natete'!H43,'25.07 Rubaga-natete'!H43,'26.07 Rubaga-Natete-24h'!H43,'27.07 Rubaga-Natete-24h'!H43,'28.07 Rubaga-Natete'!H43)</f>
        <v>2</v>
      </c>
      <c r="I43" s="49">
        <f>AVERAGE('22.07 Rubaga-Natete'!I43,'23.07 Rubaga-Natete'!I43,'24.07 Rubaga-Natete'!I43,'25.07 Rubaga-natete'!I43,'26.07 Rubaga-Natete-24h'!I43,'27.07 Rubaga-Natete-24h'!I43,'28.07 Rubaga-Natete'!I43)</f>
        <v>3.5714285714285716</v>
      </c>
      <c r="J43" s="49">
        <f>AVERAGE('22.07 Rubaga-Natete'!J43,'23.07 Rubaga-Natete'!J43,'24.07 Rubaga-Natete'!J43,'25.07 Rubaga-natete'!J43,'26.07 Rubaga-Natete-24h'!J43,'27.07 Rubaga-Natete-24h'!J43,'28.07 Rubaga-Natete'!J43)</f>
        <v>1.5714285714285714</v>
      </c>
      <c r="K43" s="49">
        <f>AVERAGE('22.07 Rubaga-Natete'!K43,'23.07 Rubaga-Natete'!K43,'24.07 Rubaga-Natete'!K43,'25.07 Rubaga-natete'!K43,'26.07 Rubaga-Natete-24h'!K43,'27.07 Rubaga-Natete-24h'!K43,'28.07 Rubaga-Natete'!K43)</f>
        <v>0.14285714285714285</v>
      </c>
      <c r="L43" s="49">
        <f>AVERAGE('22.07 Rubaga-Natete'!L43,'23.07 Rubaga-Natete'!L43,'24.07 Rubaga-Natete'!L43,'25.07 Rubaga-natete'!L43,'26.07 Rubaga-Natete-24h'!L43,'27.07 Rubaga-Natete-24h'!L43,'28.07 Rubaga-Natete'!L43)</f>
        <v>0.42857142857142855</v>
      </c>
      <c r="M43" s="49">
        <f>AVERAGE('22.07 Rubaga-Natete'!M43,'23.07 Rubaga-Natete'!M43,'24.07 Rubaga-Natete'!M43,'25.07 Rubaga-natete'!M43,'26.07 Rubaga-Natete-24h'!M43,'27.07 Rubaga-Natete-24h'!M43,'28.07 Rubaga-Natete'!M43)</f>
        <v>90.285714285714292</v>
      </c>
      <c r="N43" s="49">
        <f>AVERAGE('22.07 Rubaga-Natete'!N43,'23.07 Rubaga-Natete'!N43,'24.07 Rubaga-Natete'!N43,'25.07 Rubaga-natete'!N43,'26.07 Rubaga-Natete-24h'!N43,'27.07 Rubaga-Natete-24h'!N43,'28.07 Rubaga-Natete'!N43)</f>
        <v>0</v>
      </c>
      <c r="O43" s="15">
        <f t="shared" si="0"/>
        <v>98.285714285714278</v>
      </c>
      <c r="P43" s="15">
        <f t="shared" si="1"/>
        <v>188.57142857142856</v>
      </c>
    </row>
    <row r="44" spans="2:32" ht="23.1" customHeight="1" x14ac:dyDescent="0.25">
      <c r="B44" s="25" t="s">
        <v>71</v>
      </c>
      <c r="C44" s="49">
        <f>AVERAGE('22.07 Rubaga-Natete'!C44,'23.07 Rubaga-Natete'!C44,'24.07 Rubaga-Natete'!C44,'25.07 Rubaga-natete'!C44,'26.07 Rubaga-Natete-24h'!C44,'27.07 Rubaga-Natete-24h'!C44,'28.07 Rubaga-Natete'!C44)</f>
        <v>37.142857142857146</v>
      </c>
      <c r="D44" s="49">
        <f>AVERAGE('22.07 Rubaga-Natete'!D44,'23.07 Rubaga-Natete'!D44,'24.07 Rubaga-Natete'!D44,'25.07 Rubaga-natete'!D44,'26.07 Rubaga-Natete-24h'!D44,'27.07 Rubaga-Natete-24h'!D44,'28.07 Rubaga-Natete'!D44)</f>
        <v>4.5714285714285712</v>
      </c>
      <c r="E44" s="49">
        <f>AVERAGE('22.07 Rubaga-Natete'!E44,'23.07 Rubaga-Natete'!E44,'24.07 Rubaga-Natete'!E44,'25.07 Rubaga-natete'!E44,'26.07 Rubaga-Natete-24h'!E44,'27.07 Rubaga-Natete-24h'!E44,'28.07 Rubaga-Natete'!E44)</f>
        <v>4.1428571428571432</v>
      </c>
      <c r="F44" s="49">
        <f>AVERAGE('22.07 Rubaga-Natete'!F44,'23.07 Rubaga-Natete'!F44,'24.07 Rubaga-Natete'!F44,'25.07 Rubaga-natete'!F44,'26.07 Rubaga-Natete-24h'!F44,'27.07 Rubaga-Natete-24h'!F44,'28.07 Rubaga-Natete'!F44)</f>
        <v>38.285714285714285</v>
      </c>
      <c r="G44" s="49">
        <f>AVERAGE('22.07 Rubaga-Natete'!G44,'23.07 Rubaga-Natete'!G44,'24.07 Rubaga-Natete'!G44,'25.07 Rubaga-natete'!G44,'26.07 Rubaga-Natete-24h'!G44,'27.07 Rubaga-Natete-24h'!G44,'28.07 Rubaga-Natete'!G44)</f>
        <v>0.5714285714285714</v>
      </c>
      <c r="H44" s="49">
        <f>AVERAGE('22.07 Rubaga-Natete'!H44,'23.07 Rubaga-Natete'!H44,'24.07 Rubaga-Natete'!H44,'25.07 Rubaga-natete'!H44,'26.07 Rubaga-Natete-24h'!H44,'27.07 Rubaga-Natete-24h'!H44,'28.07 Rubaga-Natete'!H44)</f>
        <v>1.1428571428571428</v>
      </c>
      <c r="I44" s="49">
        <f>AVERAGE('22.07 Rubaga-Natete'!I44,'23.07 Rubaga-Natete'!I44,'24.07 Rubaga-Natete'!I44,'25.07 Rubaga-natete'!I44,'26.07 Rubaga-Natete-24h'!I44,'27.07 Rubaga-Natete-24h'!I44,'28.07 Rubaga-Natete'!I44)</f>
        <v>3</v>
      </c>
      <c r="J44" s="49">
        <f>AVERAGE('22.07 Rubaga-Natete'!J44,'23.07 Rubaga-Natete'!J44,'24.07 Rubaga-Natete'!J44,'25.07 Rubaga-natete'!J44,'26.07 Rubaga-Natete-24h'!J44,'27.07 Rubaga-Natete-24h'!J44,'28.07 Rubaga-Natete'!J44)</f>
        <v>1.7142857142857142</v>
      </c>
      <c r="K44" s="49">
        <f>AVERAGE('22.07 Rubaga-Natete'!K44,'23.07 Rubaga-Natete'!K44,'24.07 Rubaga-Natete'!K44,'25.07 Rubaga-natete'!K44,'26.07 Rubaga-Natete-24h'!K44,'27.07 Rubaga-Natete-24h'!K44,'28.07 Rubaga-Natete'!K44)</f>
        <v>0</v>
      </c>
      <c r="L44" s="49">
        <f>AVERAGE('22.07 Rubaga-Natete'!L44,'23.07 Rubaga-Natete'!L44,'24.07 Rubaga-Natete'!L44,'25.07 Rubaga-natete'!L44,'26.07 Rubaga-Natete-24h'!L44,'27.07 Rubaga-Natete-24h'!L44,'28.07 Rubaga-Natete'!L44)</f>
        <v>0.5714285714285714</v>
      </c>
      <c r="M44" s="49">
        <f>AVERAGE('22.07 Rubaga-Natete'!M44,'23.07 Rubaga-Natete'!M44,'24.07 Rubaga-Natete'!M44,'25.07 Rubaga-natete'!M44,'26.07 Rubaga-Natete-24h'!M44,'27.07 Rubaga-Natete-24h'!M44,'28.07 Rubaga-Natete'!M44)</f>
        <v>98.857142857142861</v>
      </c>
      <c r="N44" s="49">
        <f>AVERAGE('22.07 Rubaga-Natete'!N44,'23.07 Rubaga-Natete'!N44,'24.07 Rubaga-Natete'!N44,'25.07 Rubaga-natete'!N44,'26.07 Rubaga-Natete-24h'!N44,'27.07 Rubaga-Natete-24h'!N44,'28.07 Rubaga-Natete'!N44)</f>
        <v>0</v>
      </c>
      <c r="O44" s="15">
        <f t="shared" si="0"/>
        <v>91.142857142857125</v>
      </c>
      <c r="P44" s="15">
        <f t="shared" si="1"/>
        <v>190</v>
      </c>
    </row>
    <row r="45" spans="2:32" ht="23.1" customHeight="1" x14ac:dyDescent="0.25">
      <c r="B45" s="23" t="s">
        <v>72</v>
      </c>
      <c r="C45" s="49">
        <f>AVERAGE('22.07 Rubaga-Natete'!C45,'23.07 Rubaga-Natete'!C45,'24.07 Rubaga-Natete'!C45,'25.07 Rubaga-natete'!C45,'26.07 Rubaga-Natete-24h'!C45,'27.07 Rubaga-Natete-24h'!C45,'28.07 Rubaga-Natete'!C45)</f>
        <v>37</v>
      </c>
      <c r="D45" s="49">
        <f>AVERAGE('22.07 Rubaga-Natete'!D45,'23.07 Rubaga-Natete'!D45,'24.07 Rubaga-Natete'!D45,'25.07 Rubaga-natete'!D45,'26.07 Rubaga-Natete-24h'!D45,'27.07 Rubaga-Natete-24h'!D45,'28.07 Rubaga-Natete'!D45)</f>
        <v>8.4285714285714288</v>
      </c>
      <c r="E45" s="49">
        <f>AVERAGE('22.07 Rubaga-Natete'!E45,'23.07 Rubaga-Natete'!E45,'24.07 Rubaga-Natete'!E45,'25.07 Rubaga-natete'!E45,'26.07 Rubaga-Natete-24h'!E45,'27.07 Rubaga-Natete-24h'!E45,'28.07 Rubaga-Natete'!E45)</f>
        <v>3.7142857142857144</v>
      </c>
      <c r="F45" s="49">
        <f>AVERAGE('22.07 Rubaga-Natete'!F45,'23.07 Rubaga-Natete'!F45,'24.07 Rubaga-Natete'!F45,'25.07 Rubaga-natete'!F45,'26.07 Rubaga-Natete-24h'!F45,'27.07 Rubaga-Natete-24h'!F45,'28.07 Rubaga-Natete'!F45)</f>
        <v>32.428571428571431</v>
      </c>
      <c r="G45" s="49">
        <f>AVERAGE('22.07 Rubaga-Natete'!G45,'23.07 Rubaga-Natete'!G45,'24.07 Rubaga-Natete'!G45,'25.07 Rubaga-natete'!G45,'26.07 Rubaga-Natete-24h'!G45,'27.07 Rubaga-Natete-24h'!G45,'28.07 Rubaga-Natete'!G45)</f>
        <v>1.1428571428571428</v>
      </c>
      <c r="H45" s="49">
        <f>AVERAGE('22.07 Rubaga-Natete'!H45,'23.07 Rubaga-Natete'!H45,'24.07 Rubaga-Natete'!H45,'25.07 Rubaga-natete'!H45,'26.07 Rubaga-Natete-24h'!H45,'27.07 Rubaga-Natete-24h'!H45,'28.07 Rubaga-Natete'!H45)</f>
        <v>0.5714285714285714</v>
      </c>
      <c r="I45" s="49">
        <f>AVERAGE('22.07 Rubaga-Natete'!I45,'23.07 Rubaga-Natete'!I45,'24.07 Rubaga-Natete'!I45,'25.07 Rubaga-natete'!I45,'26.07 Rubaga-Natete-24h'!I45,'27.07 Rubaga-Natete-24h'!I45,'28.07 Rubaga-Natete'!I45)</f>
        <v>3.1428571428571428</v>
      </c>
      <c r="J45" s="49">
        <f>AVERAGE('22.07 Rubaga-Natete'!J45,'23.07 Rubaga-Natete'!J45,'24.07 Rubaga-Natete'!J45,'25.07 Rubaga-natete'!J45,'26.07 Rubaga-Natete-24h'!J45,'27.07 Rubaga-Natete-24h'!J45,'28.07 Rubaga-Natete'!J45)</f>
        <v>1.7142857142857142</v>
      </c>
      <c r="K45" s="49">
        <f>AVERAGE('22.07 Rubaga-Natete'!K45,'23.07 Rubaga-Natete'!K45,'24.07 Rubaga-Natete'!K45,'25.07 Rubaga-natete'!K45,'26.07 Rubaga-Natete-24h'!K45,'27.07 Rubaga-Natete-24h'!K45,'28.07 Rubaga-Natete'!K45)</f>
        <v>0.42857142857142855</v>
      </c>
      <c r="L45" s="49">
        <f>AVERAGE('22.07 Rubaga-Natete'!L45,'23.07 Rubaga-Natete'!L45,'24.07 Rubaga-Natete'!L45,'25.07 Rubaga-natete'!L45,'26.07 Rubaga-Natete-24h'!L45,'27.07 Rubaga-Natete-24h'!L45,'28.07 Rubaga-Natete'!L45)</f>
        <v>0.2857142857142857</v>
      </c>
      <c r="M45" s="49">
        <f>AVERAGE('22.07 Rubaga-Natete'!M45,'23.07 Rubaga-Natete'!M45,'24.07 Rubaga-Natete'!M45,'25.07 Rubaga-natete'!M45,'26.07 Rubaga-Natete-24h'!M45,'27.07 Rubaga-Natete-24h'!M45,'28.07 Rubaga-Natete'!M45)</f>
        <v>108.57142857142857</v>
      </c>
      <c r="N45" s="49">
        <f>AVERAGE('22.07 Rubaga-Natete'!N45,'23.07 Rubaga-Natete'!N45,'24.07 Rubaga-Natete'!N45,'25.07 Rubaga-natete'!N45,'26.07 Rubaga-Natete-24h'!N45,'27.07 Rubaga-Natete-24h'!N45,'28.07 Rubaga-Natete'!N45)</f>
        <v>0</v>
      </c>
      <c r="O45" s="15">
        <f t="shared" si="0"/>
        <v>88.857142857142861</v>
      </c>
      <c r="P45" s="15">
        <f t="shared" si="1"/>
        <v>197.42857142857144</v>
      </c>
    </row>
    <row r="46" spans="2:32" ht="23.1" customHeight="1" x14ac:dyDescent="0.25">
      <c r="B46" s="24" t="s">
        <v>73</v>
      </c>
      <c r="C46" s="49">
        <f>AVERAGE('22.07 Rubaga-Natete'!C46,'23.07 Rubaga-Natete'!C46,'24.07 Rubaga-Natete'!C46,'25.07 Rubaga-natete'!C46,'26.07 Rubaga-Natete-24h'!C46,'27.07 Rubaga-Natete-24h'!C46,'28.07 Rubaga-Natete'!C46)</f>
        <v>48.428571428571431</v>
      </c>
      <c r="D46" s="49">
        <f>AVERAGE('22.07 Rubaga-Natete'!D46,'23.07 Rubaga-Natete'!D46,'24.07 Rubaga-Natete'!D46,'25.07 Rubaga-natete'!D46,'26.07 Rubaga-Natete-24h'!D46,'27.07 Rubaga-Natete-24h'!D46,'28.07 Rubaga-Natete'!D46)</f>
        <v>3.5714285714285716</v>
      </c>
      <c r="E46" s="49">
        <f>AVERAGE('22.07 Rubaga-Natete'!E46,'23.07 Rubaga-Natete'!E46,'24.07 Rubaga-Natete'!E46,'25.07 Rubaga-natete'!E46,'26.07 Rubaga-Natete-24h'!E46,'27.07 Rubaga-Natete-24h'!E46,'28.07 Rubaga-Natete'!E46)</f>
        <v>4.2857142857142856</v>
      </c>
      <c r="F46" s="49">
        <f>AVERAGE('22.07 Rubaga-Natete'!F46,'23.07 Rubaga-Natete'!F46,'24.07 Rubaga-Natete'!F46,'25.07 Rubaga-natete'!F46,'26.07 Rubaga-Natete-24h'!F46,'27.07 Rubaga-Natete-24h'!F46,'28.07 Rubaga-Natete'!F46)</f>
        <v>51.285714285714285</v>
      </c>
      <c r="G46" s="49">
        <f>AVERAGE('22.07 Rubaga-Natete'!G46,'23.07 Rubaga-Natete'!G46,'24.07 Rubaga-Natete'!G46,'25.07 Rubaga-natete'!G46,'26.07 Rubaga-Natete-24h'!G46,'27.07 Rubaga-Natete-24h'!G46,'28.07 Rubaga-Natete'!G46)</f>
        <v>1.1428571428571428</v>
      </c>
      <c r="H46" s="49">
        <f>AVERAGE('22.07 Rubaga-Natete'!H46,'23.07 Rubaga-Natete'!H46,'24.07 Rubaga-Natete'!H46,'25.07 Rubaga-natete'!H46,'26.07 Rubaga-Natete-24h'!H46,'27.07 Rubaga-Natete-24h'!H46,'28.07 Rubaga-Natete'!H46)</f>
        <v>1.5714285714285714</v>
      </c>
      <c r="I46" s="49">
        <f>AVERAGE('22.07 Rubaga-Natete'!I46,'23.07 Rubaga-Natete'!I46,'24.07 Rubaga-Natete'!I46,'25.07 Rubaga-natete'!I46,'26.07 Rubaga-Natete-24h'!I46,'27.07 Rubaga-Natete-24h'!I46,'28.07 Rubaga-Natete'!I46)</f>
        <v>2.2857142857142856</v>
      </c>
      <c r="J46" s="49">
        <f>AVERAGE('22.07 Rubaga-Natete'!J46,'23.07 Rubaga-Natete'!J46,'24.07 Rubaga-Natete'!J46,'25.07 Rubaga-natete'!J46,'26.07 Rubaga-Natete-24h'!J46,'27.07 Rubaga-Natete-24h'!J46,'28.07 Rubaga-Natete'!J46)</f>
        <v>2</v>
      </c>
      <c r="K46" s="49">
        <f>AVERAGE('22.07 Rubaga-Natete'!K46,'23.07 Rubaga-Natete'!K46,'24.07 Rubaga-Natete'!K46,'25.07 Rubaga-natete'!K46,'26.07 Rubaga-Natete-24h'!K46,'27.07 Rubaga-Natete-24h'!K46,'28.07 Rubaga-Natete'!K46)</f>
        <v>0.5714285714285714</v>
      </c>
      <c r="L46" s="49">
        <f>AVERAGE('22.07 Rubaga-Natete'!L46,'23.07 Rubaga-Natete'!L46,'24.07 Rubaga-Natete'!L46,'25.07 Rubaga-natete'!L46,'26.07 Rubaga-Natete-24h'!L46,'27.07 Rubaga-Natete-24h'!L46,'28.07 Rubaga-Natete'!L46)</f>
        <v>0.42857142857142855</v>
      </c>
      <c r="M46" s="49">
        <f>AVERAGE('22.07 Rubaga-Natete'!M46,'23.07 Rubaga-Natete'!M46,'24.07 Rubaga-Natete'!M46,'25.07 Rubaga-natete'!M46,'26.07 Rubaga-Natete-24h'!M46,'27.07 Rubaga-Natete-24h'!M46,'28.07 Rubaga-Natete'!M46)</f>
        <v>152.14285714285714</v>
      </c>
      <c r="N46" s="49">
        <f>AVERAGE('22.07 Rubaga-Natete'!N46,'23.07 Rubaga-Natete'!N46,'24.07 Rubaga-Natete'!N46,'25.07 Rubaga-natete'!N46,'26.07 Rubaga-Natete-24h'!N46,'27.07 Rubaga-Natete-24h'!N46,'28.07 Rubaga-Natete'!N46)</f>
        <v>0</v>
      </c>
      <c r="O46" s="15">
        <f t="shared" si="0"/>
        <v>115.57142857142857</v>
      </c>
      <c r="P46" s="15">
        <f t="shared" si="1"/>
        <v>267.71428571428572</v>
      </c>
      <c r="R46" s="8"/>
      <c r="T46"/>
    </row>
    <row r="47" spans="2:32" ht="23.1" customHeight="1" x14ac:dyDescent="0.25">
      <c r="B47" s="24" t="s">
        <v>74</v>
      </c>
      <c r="C47" s="49">
        <f>AVERAGE('22.07 Rubaga-Natete'!C47,'23.07 Rubaga-Natete'!C47,'24.07 Rubaga-Natete'!C47,'25.07 Rubaga-natete'!C47,'26.07 Rubaga-Natete-24h'!C47,'27.07 Rubaga-Natete-24h'!C47,'28.07 Rubaga-Natete'!C47)</f>
        <v>44.857142857142854</v>
      </c>
      <c r="D47" s="49">
        <f>AVERAGE('22.07 Rubaga-Natete'!D47,'23.07 Rubaga-Natete'!D47,'24.07 Rubaga-Natete'!D47,'25.07 Rubaga-natete'!D47,'26.07 Rubaga-Natete-24h'!D47,'27.07 Rubaga-Natete-24h'!D47,'28.07 Rubaga-Natete'!D47)</f>
        <v>2.8571428571428572</v>
      </c>
      <c r="E47" s="49">
        <f>AVERAGE('22.07 Rubaga-Natete'!E47,'23.07 Rubaga-Natete'!E47,'24.07 Rubaga-Natete'!E47,'25.07 Rubaga-natete'!E47,'26.07 Rubaga-Natete-24h'!E47,'27.07 Rubaga-Natete-24h'!E47,'28.07 Rubaga-Natete'!E47)</f>
        <v>4.1428571428571432</v>
      </c>
      <c r="F47" s="49">
        <f>AVERAGE('22.07 Rubaga-Natete'!F47,'23.07 Rubaga-Natete'!F47,'24.07 Rubaga-Natete'!F47,'25.07 Rubaga-natete'!F47,'26.07 Rubaga-Natete-24h'!F47,'27.07 Rubaga-Natete-24h'!F47,'28.07 Rubaga-Natete'!F47)</f>
        <v>51.714285714285715</v>
      </c>
      <c r="G47" s="49">
        <f>AVERAGE('22.07 Rubaga-Natete'!G47,'23.07 Rubaga-Natete'!G47,'24.07 Rubaga-Natete'!G47,'25.07 Rubaga-natete'!G47,'26.07 Rubaga-Natete-24h'!G47,'27.07 Rubaga-Natete-24h'!G47,'28.07 Rubaga-Natete'!G47)</f>
        <v>1.4285714285714286</v>
      </c>
      <c r="H47" s="49">
        <f>AVERAGE('22.07 Rubaga-Natete'!H47,'23.07 Rubaga-Natete'!H47,'24.07 Rubaga-Natete'!H47,'25.07 Rubaga-natete'!H47,'26.07 Rubaga-Natete-24h'!H47,'27.07 Rubaga-Natete-24h'!H47,'28.07 Rubaga-Natete'!H47)</f>
        <v>1.1428571428571428</v>
      </c>
      <c r="I47" s="49">
        <f>AVERAGE('22.07 Rubaga-Natete'!I47,'23.07 Rubaga-Natete'!I47,'24.07 Rubaga-Natete'!I47,'25.07 Rubaga-natete'!I47,'26.07 Rubaga-Natete-24h'!I47,'27.07 Rubaga-Natete-24h'!I47,'28.07 Rubaga-Natete'!I47)</f>
        <v>3.4285714285714284</v>
      </c>
      <c r="J47" s="49">
        <f>AVERAGE('22.07 Rubaga-Natete'!J47,'23.07 Rubaga-Natete'!J47,'24.07 Rubaga-Natete'!J47,'25.07 Rubaga-natete'!J47,'26.07 Rubaga-Natete-24h'!J47,'27.07 Rubaga-Natete-24h'!J47,'28.07 Rubaga-Natete'!J47)</f>
        <v>2.5714285714285716</v>
      </c>
      <c r="K47" s="49">
        <f>AVERAGE('22.07 Rubaga-Natete'!K47,'23.07 Rubaga-Natete'!K47,'24.07 Rubaga-Natete'!K47,'25.07 Rubaga-natete'!K47,'26.07 Rubaga-Natete-24h'!K47,'27.07 Rubaga-Natete-24h'!K47,'28.07 Rubaga-Natete'!K47)</f>
        <v>0.2857142857142857</v>
      </c>
      <c r="L47" s="49">
        <f>AVERAGE('22.07 Rubaga-Natete'!L47,'23.07 Rubaga-Natete'!L47,'24.07 Rubaga-Natete'!L47,'25.07 Rubaga-natete'!L47,'26.07 Rubaga-Natete-24h'!L47,'27.07 Rubaga-Natete-24h'!L47,'28.07 Rubaga-Natete'!L47)</f>
        <v>0.14285714285714285</v>
      </c>
      <c r="M47" s="49">
        <f>AVERAGE('22.07 Rubaga-Natete'!M47,'23.07 Rubaga-Natete'!M47,'24.07 Rubaga-Natete'!M47,'25.07 Rubaga-natete'!M47,'26.07 Rubaga-Natete-24h'!M47,'27.07 Rubaga-Natete-24h'!M47,'28.07 Rubaga-Natete'!M47)</f>
        <v>146.57142857142858</v>
      </c>
      <c r="N47" s="49">
        <f>AVERAGE('22.07 Rubaga-Natete'!N47,'23.07 Rubaga-Natete'!N47,'24.07 Rubaga-Natete'!N47,'25.07 Rubaga-natete'!N47,'26.07 Rubaga-Natete-24h'!N47,'27.07 Rubaga-Natete-24h'!N47,'28.07 Rubaga-Natete'!N47)</f>
        <v>0</v>
      </c>
      <c r="O47" s="15">
        <f t="shared" si="0"/>
        <v>112.57142857142857</v>
      </c>
      <c r="P47" s="15">
        <f t="shared" si="1"/>
        <v>259.14285714285717</v>
      </c>
      <c r="R47" s="8"/>
      <c r="T47"/>
    </row>
    <row r="48" spans="2:32" ht="23.1" customHeight="1" x14ac:dyDescent="0.25">
      <c r="B48" s="24" t="s">
        <v>75</v>
      </c>
      <c r="C48" s="49">
        <f>AVERAGE('22.07 Rubaga-Natete'!C48,'23.07 Rubaga-Natete'!C48,'24.07 Rubaga-Natete'!C48,'25.07 Rubaga-natete'!C48,'26.07 Rubaga-Natete-24h'!C48,'27.07 Rubaga-Natete-24h'!C48,'28.07 Rubaga-Natete'!C48)</f>
        <v>54.571428571428569</v>
      </c>
      <c r="D48" s="49">
        <f>AVERAGE('22.07 Rubaga-Natete'!D48,'23.07 Rubaga-Natete'!D48,'24.07 Rubaga-Natete'!D48,'25.07 Rubaga-natete'!D48,'26.07 Rubaga-Natete-24h'!D48,'27.07 Rubaga-Natete-24h'!D48,'28.07 Rubaga-Natete'!D48)</f>
        <v>5.2857142857142856</v>
      </c>
      <c r="E48" s="49">
        <f>AVERAGE('22.07 Rubaga-Natete'!E48,'23.07 Rubaga-Natete'!E48,'24.07 Rubaga-Natete'!E48,'25.07 Rubaga-natete'!E48,'26.07 Rubaga-Natete-24h'!E48,'27.07 Rubaga-Natete-24h'!E48,'28.07 Rubaga-Natete'!E48)</f>
        <v>4.8571428571428568</v>
      </c>
      <c r="F48" s="49">
        <f>AVERAGE('22.07 Rubaga-Natete'!F48,'23.07 Rubaga-Natete'!F48,'24.07 Rubaga-Natete'!F48,'25.07 Rubaga-natete'!F48,'26.07 Rubaga-Natete-24h'!F48,'27.07 Rubaga-Natete-24h'!F48,'28.07 Rubaga-Natete'!F48)</f>
        <v>51.285714285714285</v>
      </c>
      <c r="G48" s="49">
        <f>AVERAGE('22.07 Rubaga-Natete'!G48,'23.07 Rubaga-Natete'!G48,'24.07 Rubaga-Natete'!G48,'25.07 Rubaga-natete'!G48,'26.07 Rubaga-Natete-24h'!G48,'27.07 Rubaga-Natete-24h'!G48,'28.07 Rubaga-Natete'!G48)</f>
        <v>1.2857142857142858</v>
      </c>
      <c r="H48" s="49">
        <f>AVERAGE('22.07 Rubaga-Natete'!H48,'23.07 Rubaga-Natete'!H48,'24.07 Rubaga-Natete'!H48,'25.07 Rubaga-natete'!H48,'26.07 Rubaga-Natete-24h'!H48,'27.07 Rubaga-Natete-24h'!H48,'28.07 Rubaga-Natete'!H48)</f>
        <v>1.2857142857142858</v>
      </c>
      <c r="I48" s="49">
        <f>AVERAGE('22.07 Rubaga-Natete'!I48,'23.07 Rubaga-Natete'!I48,'24.07 Rubaga-Natete'!I48,'25.07 Rubaga-natete'!I48,'26.07 Rubaga-Natete-24h'!I48,'27.07 Rubaga-Natete-24h'!I48,'28.07 Rubaga-Natete'!I48)</f>
        <v>1.8571428571428572</v>
      </c>
      <c r="J48" s="49">
        <f>AVERAGE('22.07 Rubaga-Natete'!J48,'23.07 Rubaga-Natete'!J48,'24.07 Rubaga-Natete'!J48,'25.07 Rubaga-natete'!J48,'26.07 Rubaga-Natete-24h'!J48,'27.07 Rubaga-Natete-24h'!J48,'28.07 Rubaga-Natete'!J48)</f>
        <v>1.2857142857142858</v>
      </c>
      <c r="K48" s="49">
        <f>AVERAGE('22.07 Rubaga-Natete'!K48,'23.07 Rubaga-Natete'!K48,'24.07 Rubaga-Natete'!K48,'25.07 Rubaga-natete'!K48,'26.07 Rubaga-Natete-24h'!K48,'27.07 Rubaga-Natete-24h'!K48,'28.07 Rubaga-Natete'!K48)</f>
        <v>0.42857142857142855</v>
      </c>
      <c r="L48" s="49">
        <f>AVERAGE('22.07 Rubaga-Natete'!L48,'23.07 Rubaga-Natete'!L48,'24.07 Rubaga-Natete'!L48,'25.07 Rubaga-natete'!L48,'26.07 Rubaga-Natete-24h'!L48,'27.07 Rubaga-Natete-24h'!L48,'28.07 Rubaga-Natete'!L48)</f>
        <v>0.14285714285714285</v>
      </c>
      <c r="M48" s="49">
        <f>AVERAGE('22.07 Rubaga-Natete'!M48,'23.07 Rubaga-Natete'!M48,'24.07 Rubaga-Natete'!M48,'25.07 Rubaga-natete'!M48,'26.07 Rubaga-Natete-24h'!M48,'27.07 Rubaga-Natete-24h'!M48,'28.07 Rubaga-Natete'!M48)</f>
        <v>149</v>
      </c>
      <c r="N48" s="49">
        <f>AVERAGE('22.07 Rubaga-Natete'!N48,'23.07 Rubaga-Natete'!N48,'24.07 Rubaga-Natete'!N48,'25.07 Rubaga-natete'!N48,'26.07 Rubaga-Natete-24h'!N48,'27.07 Rubaga-Natete-24h'!N48,'28.07 Rubaga-Natete'!N48)</f>
        <v>0</v>
      </c>
      <c r="O48" s="15">
        <f t="shared" si="0"/>
        <v>122.28571428571431</v>
      </c>
      <c r="P48" s="15">
        <f t="shared" si="1"/>
        <v>271.28571428571433</v>
      </c>
      <c r="R48" s="8"/>
      <c r="T48"/>
    </row>
    <row r="49" spans="2:20" ht="23.1" customHeight="1" x14ac:dyDescent="0.25">
      <c r="B49" s="23" t="s">
        <v>76</v>
      </c>
      <c r="C49" s="49">
        <f>AVERAGE('22.07 Rubaga-Natete'!C49,'23.07 Rubaga-Natete'!C49,'24.07 Rubaga-Natete'!C49,'25.07 Rubaga-natete'!C49,'26.07 Rubaga-Natete-24h'!C49,'27.07 Rubaga-Natete-24h'!C49,'28.07 Rubaga-Natete'!C49)</f>
        <v>54.142857142857146</v>
      </c>
      <c r="D49" s="49">
        <f>AVERAGE('22.07 Rubaga-Natete'!D49,'23.07 Rubaga-Natete'!D49,'24.07 Rubaga-Natete'!D49,'25.07 Rubaga-natete'!D49,'26.07 Rubaga-Natete-24h'!D49,'27.07 Rubaga-Natete-24h'!D49,'28.07 Rubaga-Natete'!D49)</f>
        <v>4.1428571428571432</v>
      </c>
      <c r="E49" s="49">
        <f>AVERAGE('22.07 Rubaga-Natete'!E49,'23.07 Rubaga-Natete'!E49,'24.07 Rubaga-Natete'!E49,'25.07 Rubaga-natete'!E49,'26.07 Rubaga-Natete-24h'!E49,'27.07 Rubaga-Natete-24h'!E49,'28.07 Rubaga-Natete'!E49)</f>
        <v>3.2857142857142856</v>
      </c>
      <c r="F49" s="49">
        <f>AVERAGE('22.07 Rubaga-Natete'!F49,'23.07 Rubaga-Natete'!F49,'24.07 Rubaga-Natete'!F49,'25.07 Rubaga-natete'!F49,'26.07 Rubaga-Natete-24h'!F49,'27.07 Rubaga-Natete-24h'!F49,'28.07 Rubaga-Natete'!F49)</f>
        <v>51.428571428571431</v>
      </c>
      <c r="G49" s="49">
        <f>AVERAGE('22.07 Rubaga-Natete'!G49,'23.07 Rubaga-Natete'!G49,'24.07 Rubaga-Natete'!G49,'25.07 Rubaga-natete'!G49,'26.07 Rubaga-Natete-24h'!G49,'27.07 Rubaga-Natete-24h'!G49,'28.07 Rubaga-Natete'!G49)</f>
        <v>1.2857142857142858</v>
      </c>
      <c r="H49" s="49">
        <f>AVERAGE('22.07 Rubaga-Natete'!H49,'23.07 Rubaga-Natete'!H49,'24.07 Rubaga-Natete'!H49,'25.07 Rubaga-natete'!H49,'26.07 Rubaga-Natete-24h'!H49,'27.07 Rubaga-Natete-24h'!H49,'28.07 Rubaga-Natete'!H49)</f>
        <v>1</v>
      </c>
      <c r="I49" s="49">
        <f>AVERAGE('22.07 Rubaga-Natete'!I49,'23.07 Rubaga-Natete'!I49,'24.07 Rubaga-Natete'!I49,'25.07 Rubaga-natete'!I49,'26.07 Rubaga-Natete-24h'!I49,'27.07 Rubaga-Natete-24h'!I49,'28.07 Rubaga-Natete'!I49)</f>
        <v>2.5714285714285716</v>
      </c>
      <c r="J49" s="49">
        <f>AVERAGE('22.07 Rubaga-Natete'!J49,'23.07 Rubaga-Natete'!J49,'24.07 Rubaga-Natete'!J49,'25.07 Rubaga-natete'!J49,'26.07 Rubaga-Natete-24h'!J49,'27.07 Rubaga-Natete-24h'!J49,'28.07 Rubaga-Natete'!J49)</f>
        <v>1.4285714285714286</v>
      </c>
      <c r="K49" s="49">
        <f>AVERAGE('22.07 Rubaga-Natete'!K49,'23.07 Rubaga-Natete'!K49,'24.07 Rubaga-Natete'!K49,'25.07 Rubaga-natete'!K49,'26.07 Rubaga-Natete-24h'!K49,'27.07 Rubaga-Natete-24h'!K49,'28.07 Rubaga-Natete'!K49)</f>
        <v>0.2857142857142857</v>
      </c>
      <c r="L49" s="49">
        <f>AVERAGE('22.07 Rubaga-Natete'!L49,'23.07 Rubaga-Natete'!L49,'24.07 Rubaga-Natete'!L49,'25.07 Rubaga-natete'!L49,'26.07 Rubaga-Natete-24h'!L49,'27.07 Rubaga-Natete-24h'!L49,'28.07 Rubaga-Natete'!L49)</f>
        <v>0.5714285714285714</v>
      </c>
      <c r="M49" s="49">
        <f>AVERAGE('22.07 Rubaga-Natete'!M49,'23.07 Rubaga-Natete'!M49,'24.07 Rubaga-Natete'!M49,'25.07 Rubaga-natete'!M49,'26.07 Rubaga-Natete-24h'!M49,'27.07 Rubaga-Natete-24h'!M49,'28.07 Rubaga-Natete'!M49)</f>
        <v>123.14285714285714</v>
      </c>
      <c r="N49" s="49">
        <f>AVERAGE('22.07 Rubaga-Natete'!N49,'23.07 Rubaga-Natete'!N49,'24.07 Rubaga-Natete'!N49,'25.07 Rubaga-natete'!N49,'26.07 Rubaga-Natete-24h'!N49,'27.07 Rubaga-Natete-24h'!N49,'28.07 Rubaga-Natete'!N49)</f>
        <v>0</v>
      </c>
      <c r="O49" s="15">
        <f t="shared" si="0"/>
        <v>120.14285714285715</v>
      </c>
      <c r="P49" s="15">
        <f t="shared" si="1"/>
        <v>243.28571428571428</v>
      </c>
      <c r="R49" s="8"/>
      <c r="T49"/>
    </row>
    <row r="50" spans="2:20" ht="23.1" customHeight="1" x14ac:dyDescent="0.25">
      <c r="B50" s="24" t="s">
        <v>77</v>
      </c>
      <c r="C50" s="49">
        <f>AVERAGE('22.07 Rubaga-Natete'!C50,'23.07 Rubaga-Natete'!C50,'24.07 Rubaga-Natete'!C50,'25.07 Rubaga-natete'!C50,'26.07 Rubaga-Natete-24h'!C50,'27.07 Rubaga-Natete-24h'!C50,'28.07 Rubaga-Natete'!C50)</f>
        <v>63.285714285714285</v>
      </c>
      <c r="D50" s="49">
        <f>AVERAGE('22.07 Rubaga-Natete'!D50,'23.07 Rubaga-Natete'!D50,'24.07 Rubaga-Natete'!D50,'25.07 Rubaga-natete'!D50,'26.07 Rubaga-Natete-24h'!D50,'27.07 Rubaga-Natete-24h'!D50,'28.07 Rubaga-Natete'!D50)</f>
        <v>4.2857142857142856</v>
      </c>
      <c r="E50" s="49">
        <f>AVERAGE('22.07 Rubaga-Natete'!E50,'23.07 Rubaga-Natete'!E50,'24.07 Rubaga-Natete'!E50,'25.07 Rubaga-natete'!E50,'26.07 Rubaga-Natete-24h'!E50,'27.07 Rubaga-Natete-24h'!E50,'28.07 Rubaga-Natete'!E50)</f>
        <v>4</v>
      </c>
      <c r="F50" s="49">
        <f>AVERAGE('22.07 Rubaga-Natete'!F50,'23.07 Rubaga-Natete'!F50,'24.07 Rubaga-Natete'!F50,'25.07 Rubaga-natete'!F50,'26.07 Rubaga-Natete-24h'!F50,'27.07 Rubaga-Natete-24h'!F50,'28.07 Rubaga-Natete'!F50)</f>
        <v>44.142857142857146</v>
      </c>
      <c r="G50" s="49">
        <f>AVERAGE('22.07 Rubaga-Natete'!G50,'23.07 Rubaga-Natete'!G50,'24.07 Rubaga-Natete'!G50,'25.07 Rubaga-natete'!G50,'26.07 Rubaga-Natete-24h'!G50,'27.07 Rubaga-Natete-24h'!G50,'28.07 Rubaga-Natete'!G50)</f>
        <v>1</v>
      </c>
      <c r="H50" s="49">
        <f>AVERAGE('22.07 Rubaga-Natete'!H50,'23.07 Rubaga-Natete'!H50,'24.07 Rubaga-Natete'!H50,'25.07 Rubaga-natete'!H50,'26.07 Rubaga-Natete-24h'!H50,'27.07 Rubaga-Natete-24h'!H50,'28.07 Rubaga-Natete'!H50)</f>
        <v>1.4285714285714286</v>
      </c>
      <c r="I50" s="49">
        <f>AVERAGE('22.07 Rubaga-Natete'!I50,'23.07 Rubaga-Natete'!I50,'24.07 Rubaga-Natete'!I50,'25.07 Rubaga-natete'!I50,'26.07 Rubaga-Natete-24h'!I50,'27.07 Rubaga-Natete-24h'!I50,'28.07 Rubaga-Natete'!I50)</f>
        <v>2.4285714285714284</v>
      </c>
      <c r="J50" s="49">
        <f>AVERAGE('22.07 Rubaga-Natete'!J50,'23.07 Rubaga-Natete'!J50,'24.07 Rubaga-Natete'!J50,'25.07 Rubaga-natete'!J50,'26.07 Rubaga-Natete-24h'!J50,'27.07 Rubaga-Natete-24h'!J50,'28.07 Rubaga-Natete'!J50)</f>
        <v>1.8571428571428572</v>
      </c>
      <c r="K50" s="49">
        <f>AVERAGE('22.07 Rubaga-Natete'!K50,'23.07 Rubaga-Natete'!K50,'24.07 Rubaga-Natete'!K50,'25.07 Rubaga-natete'!K50,'26.07 Rubaga-Natete-24h'!K50,'27.07 Rubaga-Natete-24h'!K50,'28.07 Rubaga-Natete'!K50)</f>
        <v>0.14285714285714285</v>
      </c>
      <c r="L50" s="49">
        <f>AVERAGE('22.07 Rubaga-Natete'!L50,'23.07 Rubaga-Natete'!L50,'24.07 Rubaga-Natete'!L50,'25.07 Rubaga-natete'!L50,'26.07 Rubaga-Natete-24h'!L50,'27.07 Rubaga-Natete-24h'!L50,'28.07 Rubaga-Natete'!L50)</f>
        <v>0.7142857142857143</v>
      </c>
      <c r="M50" s="49">
        <f>AVERAGE('22.07 Rubaga-Natete'!M50,'23.07 Rubaga-Natete'!M50,'24.07 Rubaga-Natete'!M50,'25.07 Rubaga-natete'!M50,'26.07 Rubaga-Natete-24h'!M50,'27.07 Rubaga-Natete-24h'!M50,'28.07 Rubaga-Natete'!M50)</f>
        <v>163.14285714285714</v>
      </c>
      <c r="N50" s="49">
        <f>AVERAGE('22.07 Rubaga-Natete'!N50,'23.07 Rubaga-Natete'!N50,'24.07 Rubaga-Natete'!N50,'25.07 Rubaga-natete'!N50,'26.07 Rubaga-Natete-24h'!N50,'27.07 Rubaga-Natete-24h'!N50,'28.07 Rubaga-Natete'!N50)</f>
        <v>0</v>
      </c>
      <c r="O50" s="15">
        <f t="shared" si="0"/>
        <v>123.28571428571429</v>
      </c>
      <c r="P50" s="15">
        <f t="shared" si="1"/>
        <v>286.42857142857144</v>
      </c>
      <c r="R50" s="8"/>
      <c r="T50"/>
    </row>
    <row r="51" spans="2:20" ht="23.1" customHeight="1" x14ac:dyDescent="0.25">
      <c r="B51" s="24" t="s">
        <v>78</v>
      </c>
      <c r="C51" s="49">
        <f>AVERAGE('22.07 Rubaga-Natete'!C51,'23.07 Rubaga-Natete'!C51,'24.07 Rubaga-Natete'!C51,'25.07 Rubaga-natete'!C51,'26.07 Rubaga-Natete-24h'!C51,'27.07 Rubaga-Natete-24h'!C51,'28.07 Rubaga-Natete'!C51)</f>
        <v>59.571428571428569</v>
      </c>
      <c r="D51" s="49">
        <f>AVERAGE('22.07 Rubaga-Natete'!D51,'23.07 Rubaga-Natete'!D51,'24.07 Rubaga-Natete'!D51,'25.07 Rubaga-natete'!D51,'26.07 Rubaga-Natete-24h'!D51,'27.07 Rubaga-Natete-24h'!D51,'28.07 Rubaga-Natete'!D51)</f>
        <v>3.5714285714285716</v>
      </c>
      <c r="E51" s="49">
        <f>AVERAGE('22.07 Rubaga-Natete'!E51,'23.07 Rubaga-Natete'!E51,'24.07 Rubaga-Natete'!E51,'25.07 Rubaga-natete'!E51,'26.07 Rubaga-Natete-24h'!E51,'27.07 Rubaga-Natete-24h'!E51,'28.07 Rubaga-Natete'!E51)</f>
        <v>4.8571428571428568</v>
      </c>
      <c r="F51" s="49">
        <f>AVERAGE('22.07 Rubaga-Natete'!F51,'23.07 Rubaga-Natete'!F51,'24.07 Rubaga-Natete'!F51,'25.07 Rubaga-natete'!F51,'26.07 Rubaga-Natete-24h'!F51,'27.07 Rubaga-Natete-24h'!F51,'28.07 Rubaga-Natete'!F51)</f>
        <v>61.571428571428569</v>
      </c>
      <c r="G51" s="49">
        <f>AVERAGE('22.07 Rubaga-Natete'!G51,'23.07 Rubaga-Natete'!G51,'24.07 Rubaga-Natete'!G51,'25.07 Rubaga-natete'!G51,'26.07 Rubaga-Natete-24h'!G51,'27.07 Rubaga-Natete-24h'!G51,'28.07 Rubaga-Natete'!G51)</f>
        <v>2</v>
      </c>
      <c r="H51" s="49">
        <f>AVERAGE('22.07 Rubaga-Natete'!H51,'23.07 Rubaga-Natete'!H51,'24.07 Rubaga-Natete'!H51,'25.07 Rubaga-natete'!H51,'26.07 Rubaga-Natete-24h'!H51,'27.07 Rubaga-Natete-24h'!H51,'28.07 Rubaga-Natete'!H51)</f>
        <v>1.1428571428571428</v>
      </c>
      <c r="I51" s="49">
        <f>AVERAGE('22.07 Rubaga-Natete'!I51,'23.07 Rubaga-Natete'!I51,'24.07 Rubaga-Natete'!I51,'25.07 Rubaga-natete'!I51,'26.07 Rubaga-Natete-24h'!I51,'27.07 Rubaga-Natete-24h'!I51,'28.07 Rubaga-Natete'!I51)</f>
        <v>2.1428571428571428</v>
      </c>
      <c r="J51" s="49">
        <f>AVERAGE('22.07 Rubaga-Natete'!J51,'23.07 Rubaga-Natete'!J51,'24.07 Rubaga-Natete'!J51,'25.07 Rubaga-natete'!J51,'26.07 Rubaga-Natete-24h'!J51,'27.07 Rubaga-Natete-24h'!J51,'28.07 Rubaga-Natete'!J51)</f>
        <v>1.7142857142857142</v>
      </c>
      <c r="K51" s="49">
        <f>AVERAGE('22.07 Rubaga-Natete'!K51,'23.07 Rubaga-Natete'!K51,'24.07 Rubaga-Natete'!K51,'25.07 Rubaga-natete'!K51,'26.07 Rubaga-Natete-24h'!K51,'27.07 Rubaga-Natete-24h'!K51,'28.07 Rubaga-Natete'!K51)</f>
        <v>0</v>
      </c>
      <c r="L51" s="49">
        <f>AVERAGE('22.07 Rubaga-Natete'!L51,'23.07 Rubaga-Natete'!L51,'24.07 Rubaga-Natete'!L51,'25.07 Rubaga-natete'!L51,'26.07 Rubaga-Natete-24h'!L51,'27.07 Rubaga-Natete-24h'!L51,'28.07 Rubaga-Natete'!L51)</f>
        <v>0.14285714285714285</v>
      </c>
      <c r="M51" s="49">
        <f>AVERAGE('22.07 Rubaga-Natete'!M51,'23.07 Rubaga-Natete'!M51,'24.07 Rubaga-Natete'!M51,'25.07 Rubaga-natete'!M51,'26.07 Rubaga-Natete-24h'!M51,'27.07 Rubaga-Natete-24h'!M51,'28.07 Rubaga-Natete'!M51)</f>
        <v>168.71428571428572</v>
      </c>
      <c r="N51" s="49">
        <f>AVERAGE('22.07 Rubaga-Natete'!N51,'23.07 Rubaga-Natete'!N51,'24.07 Rubaga-Natete'!N51,'25.07 Rubaga-natete'!N51,'26.07 Rubaga-Natete-24h'!N51,'27.07 Rubaga-Natete-24h'!N51,'28.07 Rubaga-Natete'!N51)</f>
        <v>0</v>
      </c>
      <c r="O51" s="15">
        <f t="shared" si="0"/>
        <v>136.71428571428569</v>
      </c>
      <c r="P51" s="15">
        <f t="shared" si="1"/>
        <v>305.42857142857144</v>
      </c>
      <c r="R51" s="8"/>
      <c r="T51"/>
    </row>
    <row r="52" spans="2:20" ht="23.1" customHeight="1" x14ac:dyDescent="0.25">
      <c r="B52" s="24" t="s">
        <v>79</v>
      </c>
      <c r="C52" s="49">
        <f>AVERAGE('22.07 Rubaga-Natete'!C52,'23.07 Rubaga-Natete'!C52,'24.07 Rubaga-Natete'!C52,'25.07 Rubaga-natete'!C52,'26.07 Rubaga-Natete-24h'!C52,'27.07 Rubaga-Natete-24h'!C52,'28.07 Rubaga-Natete'!C52)</f>
        <v>74.714285714285708</v>
      </c>
      <c r="D52" s="49">
        <f>AVERAGE('22.07 Rubaga-Natete'!D52,'23.07 Rubaga-Natete'!D52,'24.07 Rubaga-Natete'!D52,'25.07 Rubaga-natete'!D52,'26.07 Rubaga-Natete-24h'!D52,'27.07 Rubaga-Natete-24h'!D52,'28.07 Rubaga-Natete'!D52)</f>
        <v>4.2857142857142856</v>
      </c>
      <c r="E52" s="49">
        <f>AVERAGE('22.07 Rubaga-Natete'!E52,'23.07 Rubaga-Natete'!E52,'24.07 Rubaga-Natete'!E52,'25.07 Rubaga-natete'!E52,'26.07 Rubaga-Natete-24h'!E52,'27.07 Rubaga-Natete-24h'!E52,'28.07 Rubaga-Natete'!E52)</f>
        <v>3.7142857142857144</v>
      </c>
      <c r="F52" s="49">
        <f>AVERAGE('22.07 Rubaga-Natete'!F52,'23.07 Rubaga-Natete'!F52,'24.07 Rubaga-Natete'!F52,'25.07 Rubaga-natete'!F52,'26.07 Rubaga-Natete-24h'!F52,'27.07 Rubaga-Natete-24h'!F52,'28.07 Rubaga-Natete'!F52)</f>
        <v>58.571428571428569</v>
      </c>
      <c r="G52" s="49">
        <f>AVERAGE('22.07 Rubaga-Natete'!G52,'23.07 Rubaga-Natete'!G52,'24.07 Rubaga-Natete'!G52,'25.07 Rubaga-natete'!G52,'26.07 Rubaga-Natete-24h'!G52,'27.07 Rubaga-Natete-24h'!G52,'28.07 Rubaga-Natete'!G52)</f>
        <v>1</v>
      </c>
      <c r="H52" s="49">
        <f>AVERAGE('22.07 Rubaga-Natete'!H52,'23.07 Rubaga-Natete'!H52,'24.07 Rubaga-Natete'!H52,'25.07 Rubaga-natete'!H52,'26.07 Rubaga-Natete-24h'!H52,'27.07 Rubaga-Natete-24h'!H52,'28.07 Rubaga-Natete'!H52)</f>
        <v>0.7142857142857143</v>
      </c>
      <c r="I52" s="49">
        <f>AVERAGE('22.07 Rubaga-Natete'!I52,'23.07 Rubaga-Natete'!I52,'24.07 Rubaga-Natete'!I52,'25.07 Rubaga-natete'!I52,'26.07 Rubaga-Natete-24h'!I52,'27.07 Rubaga-Natete-24h'!I52,'28.07 Rubaga-Natete'!I52)</f>
        <v>3.4285714285714284</v>
      </c>
      <c r="J52" s="49">
        <f>AVERAGE('22.07 Rubaga-Natete'!J52,'23.07 Rubaga-Natete'!J52,'24.07 Rubaga-Natete'!J52,'25.07 Rubaga-natete'!J52,'26.07 Rubaga-Natete-24h'!J52,'27.07 Rubaga-Natete-24h'!J52,'28.07 Rubaga-Natete'!J52)</f>
        <v>2.7142857142857144</v>
      </c>
      <c r="K52" s="49">
        <f>AVERAGE('22.07 Rubaga-Natete'!K52,'23.07 Rubaga-Natete'!K52,'24.07 Rubaga-Natete'!K52,'25.07 Rubaga-natete'!K52,'26.07 Rubaga-Natete-24h'!K52,'27.07 Rubaga-Natete-24h'!K52,'28.07 Rubaga-Natete'!K52)</f>
        <v>0.2857142857142857</v>
      </c>
      <c r="L52" s="49">
        <f>AVERAGE('22.07 Rubaga-Natete'!L52,'23.07 Rubaga-Natete'!L52,'24.07 Rubaga-Natete'!L52,'25.07 Rubaga-natete'!L52,'26.07 Rubaga-Natete-24h'!L52,'27.07 Rubaga-Natete-24h'!L52,'28.07 Rubaga-Natete'!L52)</f>
        <v>0.14285714285714285</v>
      </c>
      <c r="M52" s="49">
        <f>AVERAGE('22.07 Rubaga-Natete'!M52,'23.07 Rubaga-Natete'!M52,'24.07 Rubaga-Natete'!M52,'25.07 Rubaga-natete'!M52,'26.07 Rubaga-Natete-24h'!M52,'27.07 Rubaga-Natete-24h'!M52,'28.07 Rubaga-Natete'!M52)</f>
        <v>176.57142857142858</v>
      </c>
      <c r="N52" s="49">
        <f>AVERAGE('22.07 Rubaga-Natete'!N52,'23.07 Rubaga-Natete'!N52,'24.07 Rubaga-Natete'!N52,'25.07 Rubaga-natete'!N52,'26.07 Rubaga-Natete-24h'!N52,'27.07 Rubaga-Natete-24h'!N52,'28.07 Rubaga-Natete'!N52)</f>
        <v>0</v>
      </c>
      <c r="O52" s="15">
        <f t="shared" si="0"/>
        <v>149.57142857142856</v>
      </c>
      <c r="P52" s="15">
        <f t="shared" si="1"/>
        <v>326.14285714285711</v>
      </c>
      <c r="R52" s="8"/>
      <c r="T52"/>
    </row>
    <row r="53" spans="2:20" ht="23.1" customHeight="1" x14ac:dyDescent="0.25">
      <c r="B53" s="23" t="s">
        <v>80</v>
      </c>
      <c r="C53" s="49">
        <f>AVERAGE('22.07 Rubaga-Natete'!C53,'23.07 Rubaga-Natete'!C53,'24.07 Rubaga-Natete'!C53,'25.07 Rubaga-natete'!C53,'26.07 Rubaga-Natete-24h'!C53,'27.07 Rubaga-Natete-24h'!C53,'28.07 Rubaga-Natete'!C53)</f>
        <v>81.142857142857139</v>
      </c>
      <c r="D53" s="49">
        <f>AVERAGE('22.07 Rubaga-Natete'!D53,'23.07 Rubaga-Natete'!D53,'24.07 Rubaga-Natete'!D53,'25.07 Rubaga-natete'!D53,'26.07 Rubaga-Natete-24h'!D53,'27.07 Rubaga-Natete-24h'!D53,'28.07 Rubaga-Natete'!D53)</f>
        <v>2.4285714285714284</v>
      </c>
      <c r="E53" s="49">
        <f>AVERAGE('22.07 Rubaga-Natete'!E53,'23.07 Rubaga-Natete'!E53,'24.07 Rubaga-Natete'!E53,'25.07 Rubaga-natete'!E53,'26.07 Rubaga-Natete-24h'!E53,'27.07 Rubaga-Natete-24h'!E53,'28.07 Rubaga-Natete'!E53)</f>
        <v>4.5714285714285712</v>
      </c>
      <c r="F53" s="49">
        <f>AVERAGE('22.07 Rubaga-Natete'!F53,'23.07 Rubaga-Natete'!F53,'24.07 Rubaga-Natete'!F53,'25.07 Rubaga-natete'!F53,'26.07 Rubaga-Natete-24h'!F53,'27.07 Rubaga-Natete-24h'!F53,'28.07 Rubaga-Natete'!F53)</f>
        <v>69</v>
      </c>
      <c r="G53" s="49">
        <f>AVERAGE('22.07 Rubaga-Natete'!G53,'23.07 Rubaga-Natete'!G53,'24.07 Rubaga-Natete'!G53,'25.07 Rubaga-natete'!G53,'26.07 Rubaga-Natete-24h'!G53,'27.07 Rubaga-Natete-24h'!G53,'28.07 Rubaga-Natete'!G53)</f>
        <v>2.4285714285714284</v>
      </c>
      <c r="H53" s="49">
        <f>AVERAGE('22.07 Rubaga-Natete'!H53,'23.07 Rubaga-Natete'!H53,'24.07 Rubaga-Natete'!H53,'25.07 Rubaga-natete'!H53,'26.07 Rubaga-Natete-24h'!H53,'27.07 Rubaga-Natete-24h'!H53,'28.07 Rubaga-Natete'!H53)</f>
        <v>1</v>
      </c>
      <c r="I53" s="49">
        <f>AVERAGE('22.07 Rubaga-Natete'!I53,'23.07 Rubaga-Natete'!I53,'24.07 Rubaga-Natete'!I53,'25.07 Rubaga-natete'!I53,'26.07 Rubaga-Natete-24h'!I53,'27.07 Rubaga-Natete-24h'!I53,'28.07 Rubaga-Natete'!I53)</f>
        <v>6</v>
      </c>
      <c r="J53" s="49">
        <f>AVERAGE('22.07 Rubaga-Natete'!J53,'23.07 Rubaga-Natete'!J53,'24.07 Rubaga-Natete'!J53,'25.07 Rubaga-natete'!J53,'26.07 Rubaga-Natete-24h'!J53,'27.07 Rubaga-Natete-24h'!J53,'28.07 Rubaga-Natete'!J53)</f>
        <v>1.2857142857142858</v>
      </c>
      <c r="K53" s="49">
        <f>AVERAGE('22.07 Rubaga-Natete'!K53,'23.07 Rubaga-Natete'!K53,'24.07 Rubaga-Natete'!K53,'25.07 Rubaga-natete'!K53,'26.07 Rubaga-Natete-24h'!K53,'27.07 Rubaga-Natete-24h'!K53,'28.07 Rubaga-Natete'!K53)</f>
        <v>0.5714285714285714</v>
      </c>
      <c r="L53" s="49">
        <f>AVERAGE('22.07 Rubaga-Natete'!L53,'23.07 Rubaga-Natete'!L53,'24.07 Rubaga-Natete'!L53,'25.07 Rubaga-natete'!L53,'26.07 Rubaga-Natete-24h'!L53,'27.07 Rubaga-Natete-24h'!L53,'28.07 Rubaga-Natete'!L53)</f>
        <v>0.14285714285714285</v>
      </c>
      <c r="M53" s="49">
        <f>AVERAGE('22.07 Rubaga-Natete'!M53,'23.07 Rubaga-Natete'!M53,'24.07 Rubaga-Natete'!M53,'25.07 Rubaga-natete'!M53,'26.07 Rubaga-Natete-24h'!M53,'27.07 Rubaga-Natete-24h'!M53,'28.07 Rubaga-Natete'!M53)</f>
        <v>169.57142857142858</v>
      </c>
      <c r="N53" s="49">
        <f>AVERAGE('22.07 Rubaga-Natete'!N53,'23.07 Rubaga-Natete'!N53,'24.07 Rubaga-Natete'!N53,'25.07 Rubaga-natete'!N53,'26.07 Rubaga-Natete-24h'!N53,'27.07 Rubaga-Natete-24h'!N53,'28.07 Rubaga-Natete'!N53)</f>
        <v>0</v>
      </c>
      <c r="O53" s="15">
        <f t="shared" si="0"/>
        <v>168.57142857142856</v>
      </c>
      <c r="P53" s="15">
        <f t="shared" si="1"/>
        <v>338.14285714285711</v>
      </c>
      <c r="R53" s="8"/>
      <c r="T53"/>
    </row>
    <row r="54" spans="2:20" ht="23.1" customHeight="1" x14ac:dyDescent="0.25">
      <c r="B54" s="23" t="s">
        <v>81</v>
      </c>
      <c r="C54" s="49">
        <f>AVERAGE('22.07 Rubaga-Natete'!C54,'23.07 Rubaga-Natete'!C54,'24.07 Rubaga-Natete'!C54,'25.07 Rubaga-natete'!C54,'26.07 Rubaga-Natete-24h'!C54,'27.07 Rubaga-Natete-24h'!C54,'28.07 Rubaga-Natete'!C54)</f>
        <v>77.857142857142861</v>
      </c>
      <c r="D54" s="49">
        <f>AVERAGE('22.07 Rubaga-Natete'!D54,'23.07 Rubaga-Natete'!D54,'24.07 Rubaga-Natete'!D54,'25.07 Rubaga-natete'!D54,'26.07 Rubaga-Natete-24h'!D54,'27.07 Rubaga-Natete-24h'!D54,'28.07 Rubaga-Natete'!D54)</f>
        <v>5.8571428571428568</v>
      </c>
      <c r="E54" s="49">
        <f>AVERAGE('22.07 Rubaga-Natete'!E54,'23.07 Rubaga-Natete'!E54,'24.07 Rubaga-Natete'!E54,'25.07 Rubaga-natete'!E54,'26.07 Rubaga-Natete-24h'!E54,'27.07 Rubaga-Natete-24h'!E54,'28.07 Rubaga-Natete'!E54)</f>
        <v>5.5714285714285712</v>
      </c>
      <c r="F54" s="49">
        <f>AVERAGE('22.07 Rubaga-Natete'!F54,'23.07 Rubaga-Natete'!F54,'24.07 Rubaga-Natete'!F54,'25.07 Rubaga-natete'!F54,'26.07 Rubaga-Natete-24h'!F54,'27.07 Rubaga-Natete-24h'!F54,'28.07 Rubaga-Natete'!F54)</f>
        <v>68.285714285714292</v>
      </c>
      <c r="G54" s="49">
        <f>AVERAGE('22.07 Rubaga-Natete'!G54,'23.07 Rubaga-Natete'!G54,'24.07 Rubaga-Natete'!G54,'25.07 Rubaga-natete'!G54,'26.07 Rubaga-Natete-24h'!G54,'27.07 Rubaga-Natete-24h'!G54,'28.07 Rubaga-Natete'!G54)</f>
        <v>2</v>
      </c>
      <c r="H54" s="49">
        <f>AVERAGE('22.07 Rubaga-Natete'!H54,'23.07 Rubaga-Natete'!H54,'24.07 Rubaga-Natete'!H54,'25.07 Rubaga-natete'!H54,'26.07 Rubaga-Natete-24h'!H54,'27.07 Rubaga-Natete-24h'!H54,'28.07 Rubaga-Natete'!H54)</f>
        <v>0.42857142857142855</v>
      </c>
      <c r="I54" s="49">
        <f>AVERAGE('22.07 Rubaga-Natete'!I54,'23.07 Rubaga-Natete'!I54,'24.07 Rubaga-Natete'!I54,'25.07 Rubaga-natete'!I54,'26.07 Rubaga-Natete-24h'!I54,'27.07 Rubaga-Natete-24h'!I54,'28.07 Rubaga-Natete'!I54)</f>
        <v>3.8571428571428572</v>
      </c>
      <c r="J54" s="49">
        <f>AVERAGE('22.07 Rubaga-Natete'!J54,'23.07 Rubaga-Natete'!J54,'24.07 Rubaga-Natete'!J54,'25.07 Rubaga-natete'!J54,'26.07 Rubaga-Natete-24h'!J54,'27.07 Rubaga-Natete-24h'!J54,'28.07 Rubaga-Natete'!J54)</f>
        <v>1.5714285714285714</v>
      </c>
      <c r="K54" s="49">
        <f>AVERAGE('22.07 Rubaga-Natete'!K54,'23.07 Rubaga-Natete'!K54,'24.07 Rubaga-Natete'!K54,'25.07 Rubaga-natete'!K54,'26.07 Rubaga-Natete-24h'!K54,'27.07 Rubaga-Natete-24h'!K54,'28.07 Rubaga-Natete'!K54)</f>
        <v>0.14285714285714285</v>
      </c>
      <c r="L54" s="49">
        <f>AVERAGE('22.07 Rubaga-Natete'!L54,'23.07 Rubaga-Natete'!L54,'24.07 Rubaga-Natete'!L54,'25.07 Rubaga-natete'!L54,'26.07 Rubaga-Natete-24h'!L54,'27.07 Rubaga-Natete-24h'!L54,'28.07 Rubaga-Natete'!L54)</f>
        <v>0.5714285714285714</v>
      </c>
      <c r="M54" s="49">
        <f>AVERAGE('22.07 Rubaga-Natete'!M54,'23.07 Rubaga-Natete'!M54,'24.07 Rubaga-Natete'!M54,'25.07 Rubaga-natete'!M54,'26.07 Rubaga-Natete-24h'!M54,'27.07 Rubaga-Natete-24h'!M54,'28.07 Rubaga-Natete'!M54)</f>
        <v>209.71428571428572</v>
      </c>
      <c r="N54" s="49">
        <f>AVERAGE('22.07 Rubaga-Natete'!N54,'23.07 Rubaga-Natete'!N54,'24.07 Rubaga-Natete'!N54,'25.07 Rubaga-natete'!N54,'26.07 Rubaga-Natete-24h'!N54,'27.07 Rubaga-Natete-24h'!N54,'28.07 Rubaga-Natete'!N54)</f>
        <v>0</v>
      </c>
      <c r="O54" s="15">
        <f t="shared" si="0"/>
        <v>166.14285714285717</v>
      </c>
      <c r="P54" s="15">
        <f t="shared" si="1"/>
        <v>375.85714285714289</v>
      </c>
      <c r="R54" s="8"/>
      <c r="T54"/>
    </row>
    <row r="55" spans="2:20" ht="23.1" customHeight="1" x14ac:dyDescent="0.25">
      <c r="B55" s="23" t="s">
        <v>82</v>
      </c>
      <c r="C55" s="49">
        <f>AVERAGE('22.07 Rubaga-Natete'!C55,'23.07 Rubaga-Natete'!C55,'24.07 Rubaga-Natete'!C55,'25.07 Rubaga-natete'!C55,'26.07 Rubaga-Natete-24h'!C55,'27.07 Rubaga-Natete-24h'!C55,'28.07 Rubaga-Natete'!C55)</f>
        <v>72.571428571428569</v>
      </c>
      <c r="D55" s="49">
        <f>AVERAGE('22.07 Rubaga-Natete'!D55,'23.07 Rubaga-Natete'!D55,'24.07 Rubaga-Natete'!D55,'25.07 Rubaga-natete'!D55,'26.07 Rubaga-Natete-24h'!D55,'27.07 Rubaga-Natete-24h'!D55,'28.07 Rubaga-Natete'!D55)</f>
        <v>4.4285714285714288</v>
      </c>
      <c r="E55" s="49">
        <f>AVERAGE('22.07 Rubaga-Natete'!E55,'23.07 Rubaga-Natete'!E55,'24.07 Rubaga-Natete'!E55,'25.07 Rubaga-natete'!E55,'26.07 Rubaga-Natete-24h'!E55,'27.07 Rubaga-Natete-24h'!E55,'28.07 Rubaga-Natete'!E55)</f>
        <v>4</v>
      </c>
      <c r="F55" s="49">
        <f>AVERAGE('22.07 Rubaga-Natete'!F55,'23.07 Rubaga-Natete'!F55,'24.07 Rubaga-Natete'!F55,'25.07 Rubaga-natete'!F55,'26.07 Rubaga-Natete-24h'!F55,'27.07 Rubaga-Natete-24h'!F55,'28.07 Rubaga-Natete'!F55)</f>
        <v>61.142857142857146</v>
      </c>
      <c r="G55" s="49">
        <f>AVERAGE('22.07 Rubaga-Natete'!G55,'23.07 Rubaga-Natete'!G55,'24.07 Rubaga-Natete'!G55,'25.07 Rubaga-natete'!G55,'26.07 Rubaga-Natete-24h'!G55,'27.07 Rubaga-Natete-24h'!G55,'28.07 Rubaga-Natete'!G55)</f>
        <v>1</v>
      </c>
      <c r="H55" s="49">
        <f>AVERAGE('22.07 Rubaga-Natete'!H55,'23.07 Rubaga-Natete'!H55,'24.07 Rubaga-Natete'!H55,'25.07 Rubaga-natete'!H55,'26.07 Rubaga-Natete-24h'!H55,'27.07 Rubaga-Natete-24h'!H55,'28.07 Rubaga-Natete'!H55)</f>
        <v>1.4285714285714286</v>
      </c>
      <c r="I55" s="49">
        <f>AVERAGE('22.07 Rubaga-Natete'!I55,'23.07 Rubaga-Natete'!I55,'24.07 Rubaga-Natete'!I55,'25.07 Rubaga-natete'!I55,'26.07 Rubaga-Natete-24h'!I55,'27.07 Rubaga-Natete-24h'!I55,'28.07 Rubaga-Natete'!I55)</f>
        <v>3.1428571428571428</v>
      </c>
      <c r="J55" s="49">
        <f>AVERAGE('22.07 Rubaga-Natete'!J55,'23.07 Rubaga-Natete'!J55,'24.07 Rubaga-Natete'!J55,'25.07 Rubaga-natete'!J55,'26.07 Rubaga-Natete-24h'!J55,'27.07 Rubaga-Natete-24h'!J55,'28.07 Rubaga-Natete'!J55)</f>
        <v>2.4285714285714284</v>
      </c>
      <c r="K55" s="49">
        <f>AVERAGE('22.07 Rubaga-Natete'!K55,'23.07 Rubaga-Natete'!K55,'24.07 Rubaga-Natete'!K55,'25.07 Rubaga-natete'!K55,'26.07 Rubaga-Natete-24h'!K55,'27.07 Rubaga-Natete-24h'!K55,'28.07 Rubaga-Natete'!K55)</f>
        <v>0.2857142857142857</v>
      </c>
      <c r="L55" s="49">
        <f>AVERAGE('22.07 Rubaga-Natete'!L55,'23.07 Rubaga-Natete'!L55,'24.07 Rubaga-Natete'!L55,'25.07 Rubaga-natete'!L55,'26.07 Rubaga-Natete-24h'!L55,'27.07 Rubaga-Natete-24h'!L55,'28.07 Rubaga-Natete'!L55)</f>
        <v>0.5714285714285714</v>
      </c>
      <c r="M55" s="49">
        <f>AVERAGE('22.07 Rubaga-Natete'!M55,'23.07 Rubaga-Natete'!M55,'24.07 Rubaga-Natete'!M55,'25.07 Rubaga-natete'!M55,'26.07 Rubaga-Natete-24h'!M55,'27.07 Rubaga-Natete-24h'!M55,'28.07 Rubaga-Natete'!M55)</f>
        <v>183.85714285714286</v>
      </c>
      <c r="N55" s="49">
        <f>AVERAGE('22.07 Rubaga-Natete'!N55,'23.07 Rubaga-Natete'!N55,'24.07 Rubaga-Natete'!N55,'25.07 Rubaga-natete'!N55,'26.07 Rubaga-Natete-24h'!N55,'27.07 Rubaga-Natete-24h'!N55,'28.07 Rubaga-Natete'!N55)</f>
        <v>0</v>
      </c>
      <c r="O55" s="15">
        <f t="shared" si="0"/>
        <v>150.99999999999997</v>
      </c>
      <c r="P55" s="15">
        <f t="shared" si="1"/>
        <v>334.85714285714283</v>
      </c>
      <c r="R55" s="8"/>
      <c r="T55"/>
    </row>
    <row r="56" spans="2:20" ht="23.1" customHeight="1" x14ac:dyDescent="0.25">
      <c r="B56" s="23" t="s">
        <v>83</v>
      </c>
      <c r="C56" s="49">
        <f>AVERAGE('22.07 Rubaga-Natete'!C56,'23.07 Rubaga-Natete'!C56,'24.07 Rubaga-Natete'!C56,'25.07 Rubaga-natete'!C56,'26.07 Rubaga-Natete-24h'!C56,'27.07 Rubaga-Natete-24h'!C56,'28.07 Rubaga-Natete'!C56)</f>
        <v>71.285714285714292</v>
      </c>
      <c r="D56" s="49">
        <f>AVERAGE('22.07 Rubaga-Natete'!D56,'23.07 Rubaga-Natete'!D56,'24.07 Rubaga-Natete'!D56,'25.07 Rubaga-natete'!D56,'26.07 Rubaga-Natete-24h'!D56,'27.07 Rubaga-Natete-24h'!D56,'28.07 Rubaga-Natete'!D56)</f>
        <v>4.5714285714285712</v>
      </c>
      <c r="E56" s="49">
        <f>AVERAGE('22.07 Rubaga-Natete'!E56,'23.07 Rubaga-Natete'!E56,'24.07 Rubaga-Natete'!E56,'25.07 Rubaga-natete'!E56,'26.07 Rubaga-Natete-24h'!E56,'27.07 Rubaga-Natete-24h'!E56,'28.07 Rubaga-Natete'!E56)</f>
        <v>4.7142857142857144</v>
      </c>
      <c r="F56" s="49">
        <f>AVERAGE('22.07 Rubaga-Natete'!F56,'23.07 Rubaga-Natete'!F56,'24.07 Rubaga-Natete'!F56,'25.07 Rubaga-natete'!F56,'26.07 Rubaga-Natete-24h'!F56,'27.07 Rubaga-Natete-24h'!F56,'28.07 Rubaga-Natete'!F56)</f>
        <v>69</v>
      </c>
      <c r="G56" s="49">
        <f>AVERAGE('22.07 Rubaga-Natete'!G56,'23.07 Rubaga-Natete'!G56,'24.07 Rubaga-Natete'!G56,'25.07 Rubaga-natete'!G56,'26.07 Rubaga-Natete-24h'!G56,'27.07 Rubaga-Natete-24h'!G56,'28.07 Rubaga-Natete'!G56)</f>
        <v>1</v>
      </c>
      <c r="H56" s="49">
        <f>AVERAGE('22.07 Rubaga-Natete'!H56,'23.07 Rubaga-Natete'!H56,'24.07 Rubaga-Natete'!H56,'25.07 Rubaga-natete'!H56,'26.07 Rubaga-Natete-24h'!H56,'27.07 Rubaga-Natete-24h'!H56,'28.07 Rubaga-Natete'!H56)</f>
        <v>1.1428571428571428</v>
      </c>
      <c r="I56" s="49">
        <f>AVERAGE('22.07 Rubaga-Natete'!I56,'23.07 Rubaga-Natete'!I56,'24.07 Rubaga-Natete'!I56,'25.07 Rubaga-natete'!I56,'26.07 Rubaga-Natete-24h'!I56,'27.07 Rubaga-Natete-24h'!I56,'28.07 Rubaga-Natete'!I56)</f>
        <v>2.4285714285714284</v>
      </c>
      <c r="J56" s="49">
        <f>AVERAGE('22.07 Rubaga-Natete'!J56,'23.07 Rubaga-Natete'!J56,'24.07 Rubaga-Natete'!J56,'25.07 Rubaga-natete'!J56,'26.07 Rubaga-Natete-24h'!J56,'27.07 Rubaga-Natete-24h'!J56,'28.07 Rubaga-Natete'!J56)</f>
        <v>2.5714285714285716</v>
      </c>
      <c r="K56" s="49">
        <f>AVERAGE('22.07 Rubaga-Natete'!K56,'23.07 Rubaga-Natete'!K56,'24.07 Rubaga-Natete'!K56,'25.07 Rubaga-natete'!K56,'26.07 Rubaga-Natete-24h'!K56,'27.07 Rubaga-Natete-24h'!K56,'28.07 Rubaga-Natete'!K56)</f>
        <v>0.2857142857142857</v>
      </c>
      <c r="L56" s="49">
        <f>AVERAGE('22.07 Rubaga-Natete'!L56,'23.07 Rubaga-Natete'!L56,'24.07 Rubaga-Natete'!L56,'25.07 Rubaga-natete'!L56,'26.07 Rubaga-Natete-24h'!L56,'27.07 Rubaga-Natete-24h'!L56,'28.07 Rubaga-Natete'!L56)</f>
        <v>0.2857142857142857</v>
      </c>
      <c r="M56" s="49">
        <f>AVERAGE('22.07 Rubaga-Natete'!M56,'23.07 Rubaga-Natete'!M56,'24.07 Rubaga-Natete'!M56,'25.07 Rubaga-natete'!M56,'26.07 Rubaga-Natete-24h'!M56,'27.07 Rubaga-Natete-24h'!M56,'28.07 Rubaga-Natete'!M56)</f>
        <v>174.57142857142858</v>
      </c>
      <c r="N56" s="49">
        <f>AVERAGE('22.07 Rubaga-Natete'!N56,'23.07 Rubaga-Natete'!N56,'24.07 Rubaga-Natete'!N56,'25.07 Rubaga-natete'!N56,'26.07 Rubaga-Natete-24h'!N56,'27.07 Rubaga-Natete-24h'!N56,'28.07 Rubaga-Natete'!N56)</f>
        <v>0</v>
      </c>
      <c r="O56" s="15">
        <f t="shared" si="0"/>
        <v>157.28571428571425</v>
      </c>
      <c r="P56" s="15">
        <f t="shared" si="1"/>
        <v>331.85714285714283</v>
      </c>
      <c r="R56" s="8"/>
      <c r="T56"/>
    </row>
    <row r="57" spans="2:20" ht="23.1" customHeight="1" x14ac:dyDescent="0.25">
      <c r="B57" s="23" t="s">
        <v>84</v>
      </c>
      <c r="C57" s="49">
        <f>AVERAGE('22.07 Rubaga-Natete'!C57,'23.07 Rubaga-Natete'!C57,'24.07 Rubaga-Natete'!C57,'25.07 Rubaga-natete'!C57,'26.07 Rubaga-Natete-24h'!C57,'27.07 Rubaga-Natete-24h'!C57,'28.07 Rubaga-Natete'!C57)</f>
        <v>66.142857142857139</v>
      </c>
      <c r="D57" s="49">
        <f>AVERAGE('22.07 Rubaga-Natete'!D57,'23.07 Rubaga-Natete'!D57,'24.07 Rubaga-Natete'!D57,'25.07 Rubaga-natete'!D57,'26.07 Rubaga-Natete-24h'!D57,'27.07 Rubaga-Natete-24h'!D57,'28.07 Rubaga-Natete'!D57)</f>
        <v>6.2857142857142856</v>
      </c>
      <c r="E57" s="49">
        <f>AVERAGE('22.07 Rubaga-Natete'!E57,'23.07 Rubaga-Natete'!E57,'24.07 Rubaga-Natete'!E57,'25.07 Rubaga-natete'!E57,'26.07 Rubaga-Natete-24h'!E57,'27.07 Rubaga-Natete-24h'!E57,'28.07 Rubaga-Natete'!E57)</f>
        <v>4.4285714285714288</v>
      </c>
      <c r="F57" s="49">
        <f>AVERAGE('22.07 Rubaga-Natete'!F57,'23.07 Rubaga-Natete'!F57,'24.07 Rubaga-Natete'!F57,'25.07 Rubaga-natete'!F57,'26.07 Rubaga-Natete-24h'!F57,'27.07 Rubaga-Natete-24h'!F57,'28.07 Rubaga-Natete'!F57)</f>
        <v>66.571428571428569</v>
      </c>
      <c r="G57" s="49">
        <f>AVERAGE('22.07 Rubaga-Natete'!G57,'23.07 Rubaga-Natete'!G57,'24.07 Rubaga-Natete'!G57,'25.07 Rubaga-natete'!G57,'26.07 Rubaga-Natete-24h'!G57,'27.07 Rubaga-Natete-24h'!G57,'28.07 Rubaga-Natete'!G57)</f>
        <v>1.8571428571428572</v>
      </c>
      <c r="H57" s="49">
        <f>AVERAGE('22.07 Rubaga-Natete'!H57,'23.07 Rubaga-Natete'!H57,'24.07 Rubaga-Natete'!H57,'25.07 Rubaga-natete'!H57,'26.07 Rubaga-Natete-24h'!H57,'27.07 Rubaga-Natete-24h'!H57,'28.07 Rubaga-Natete'!H57)</f>
        <v>1.4285714285714286</v>
      </c>
      <c r="I57" s="49">
        <f>AVERAGE('22.07 Rubaga-Natete'!I57,'23.07 Rubaga-Natete'!I57,'24.07 Rubaga-Natete'!I57,'25.07 Rubaga-natete'!I57,'26.07 Rubaga-Natete-24h'!I57,'27.07 Rubaga-Natete-24h'!I57,'28.07 Rubaga-Natete'!I57)</f>
        <v>4.7142857142857144</v>
      </c>
      <c r="J57" s="49">
        <f>AVERAGE('22.07 Rubaga-Natete'!J57,'23.07 Rubaga-Natete'!J57,'24.07 Rubaga-Natete'!J57,'25.07 Rubaga-natete'!J57,'26.07 Rubaga-Natete-24h'!J57,'27.07 Rubaga-Natete-24h'!J57,'28.07 Rubaga-Natete'!J57)</f>
        <v>2.4285714285714284</v>
      </c>
      <c r="K57" s="49">
        <f>AVERAGE('22.07 Rubaga-Natete'!K57,'23.07 Rubaga-Natete'!K57,'24.07 Rubaga-Natete'!K57,'25.07 Rubaga-natete'!K57,'26.07 Rubaga-Natete-24h'!K57,'27.07 Rubaga-Natete-24h'!K57,'28.07 Rubaga-Natete'!K57)</f>
        <v>1.2857142857142858</v>
      </c>
      <c r="L57" s="49">
        <f>AVERAGE('22.07 Rubaga-Natete'!L57,'23.07 Rubaga-Natete'!L57,'24.07 Rubaga-Natete'!L57,'25.07 Rubaga-natete'!L57,'26.07 Rubaga-Natete-24h'!L57,'27.07 Rubaga-Natete-24h'!L57,'28.07 Rubaga-Natete'!L57)</f>
        <v>0.2857142857142857</v>
      </c>
      <c r="M57" s="49">
        <f>AVERAGE('22.07 Rubaga-Natete'!M57,'23.07 Rubaga-Natete'!M57,'24.07 Rubaga-Natete'!M57,'25.07 Rubaga-natete'!M57,'26.07 Rubaga-Natete-24h'!M57,'27.07 Rubaga-Natete-24h'!M57,'28.07 Rubaga-Natete'!M57)</f>
        <v>180</v>
      </c>
      <c r="N57" s="49">
        <f>AVERAGE('22.07 Rubaga-Natete'!N57,'23.07 Rubaga-Natete'!N57,'24.07 Rubaga-Natete'!N57,'25.07 Rubaga-natete'!N57,'26.07 Rubaga-Natete-24h'!N57,'27.07 Rubaga-Natete-24h'!N57,'28.07 Rubaga-Natete'!N57)</f>
        <v>0</v>
      </c>
      <c r="O57" s="15">
        <f t="shared" si="0"/>
        <v>155.42857142857142</v>
      </c>
      <c r="P57" s="15">
        <f t="shared" si="1"/>
        <v>335.42857142857144</v>
      </c>
      <c r="R57" s="8"/>
      <c r="T57"/>
    </row>
    <row r="58" spans="2:20" ht="23.1" customHeight="1" x14ac:dyDescent="0.25">
      <c r="B58" s="23" t="s">
        <v>99</v>
      </c>
      <c r="C58" s="49">
        <f>AVERAGE('26.07 Rubaga-Natete-24h'!C58,'27.07 Rubaga-Natete-24h'!C58)</f>
        <v>120</v>
      </c>
      <c r="D58" s="49">
        <f>AVERAGE('26.07 Rubaga-Natete-24h'!D58,'27.07 Rubaga-Natete-24h'!D58)</f>
        <v>6.5</v>
      </c>
      <c r="E58" s="49">
        <f>AVERAGE('26.07 Rubaga-Natete-24h'!E58,'27.07 Rubaga-Natete-24h'!E58)</f>
        <v>6.5</v>
      </c>
      <c r="F58" s="49">
        <f>AVERAGE('26.07 Rubaga-Natete-24h'!F58,'27.07 Rubaga-Natete-24h'!F58)</f>
        <v>54</v>
      </c>
      <c r="G58" s="49">
        <f>AVERAGE('26.07 Rubaga-Natete-24h'!G58,'27.07 Rubaga-Natete-24h'!G58)</f>
        <v>2</v>
      </c>
      <c r="H58" s="49">
        <f>AVERAGE('26.07 Rubaga-Natete-24h'!H58,'27.07 Rubaga-Natete-24h'!H58)</f>
        <v>0.5</v>
      </c>
      <c r="I58" s="49">
        <f>AVERAGE('26.07 Rubaga-Natete-24h'!I58,'27.07 Rubaga-Natete-24h'!I58)</f>
        <v>4.5</v>
      </c>
      <c r="J58" s="49">
        <f>AVERAGE('26.07 Rubaga-Natete-24h'!J58,'27.07 Rubaga-Natete-24h'!J58)</f>
        <v>2</v>
      </c>
      <c r="K58" s="49">
        <f>AVERAGE('26.07 Rubaga-Natete-24h'!K58,'27.07 Rubaga-Natete-24h'!K58)</f>
        <v>1.5</v>
      </c>
      <c r="L58" s="49">
        <f>AVERAGE('26.07 Rubaga-Natete-24h'!L58,'27.07 Rubaga-Natete-24h'!L58)</f>
        <v>2</v>
      </c>
      <c r="M58" s="49">
        <f>AVERAGE('26.07 Rubaga-Natete-24h'!M58,'27.07 Rubaga-Natete-24h'!M58)</f>
        <v>222.5</v>
      </c>
      <c r="N58" s="49">
        <f>AVERAGE('26.07 Rubaga-Natete-24h'!N58,'27.07 Rubaga-Natete-24h'!N58)</f>
        <v>0</v>
      </c>
      <c r="O58" s="15">
        <f t="shared" si="0"/>
        <v>199.5</v>
      </c>
      <c r="P58" s="15">
        <f t="shared" si="1"/>
        <v>422</v>
      </c>
      <c r="R58" s="8"/>
      <c r="T58"/>
    </row>
    <row r="59" spans="2:20" ht="23.1" customHeight="1" x14ac:dyDescent="0.25">
      <c r="B59" s="23" t="s">
        <v>100</v>
      </c>
      <c r="C59" s="49">
        <f>AVERAGE('26.07 Rubaga-Natete-24h'!C59,'27.07 Rubaga-Natete-24h'!C59)</f>
        <v>88.5</v>
      </c>
      <c r="D59" s="49">
        <f>AVERAGE('26.07 Rubaga-Natete-24h'!D59,'27.07 Rubaga-Natete-24h'!D59)</f>
        <v>7</v>
      </c>
      <c r="E59" s="49">
        <f>AVERAGE('26.07 Rubaga-Natete-24h'!E59,'27.07 Rubaga-Natete-24h'!E59)</f>
        <v>4.5</v>
      </c>
      <c r="F59" s="49">
        <f>AVERAGE('26.07 Rubaga-Natete-24h'!F59,'27.07 Rubaga-Natete-24h'!F59)</f>
        <v>53.5</v>
      </c>
      <c r="G59" s="49">
        <f>AVERAGE('26.07 Rubaga-Natete-24h'!G59,'27.07 Rubaga-Natete-24h'!G59)</f>
        <v>0</v>
      </c>
      <c r="H59" s="49">
        <f>AVERAGE('26.07 Rubaga-Natete-24h'!H59,'27.07 Rubaga-Natete-24h'!H59)</f>
        <v>2</v>
      </c>
      <c r="I59" s="49">
        <f>AVERAGE('26.07 Rubaga-Natete-24h'!I59,'27.07 Rubaga-Natete-24h'!I59)</f>
        <v>2.5</v>
      </c>
      <c r="J59" s="49">
        <f>AVERAGE('26.07 Rubaga-Natete-24h'!J59,'27.07 Rubaga-Natete-24h'!J59)</f>
        <v>1</v>
      </c>
      <c r="K59" s="49">
        <f>AVERAGE('26.07 Rubaga-Natete-24h'!K59,'27.07 Rubaga-Natete-24h'!K59)</f>
        <v>0</v>
      </c>
      <c r="L59" s="49">
        <f>AVERAGE('26.07 Rubaga-Natete-24h'!L59,'27.07 Rubaga-Natete-24h'!L59)</f>
        <v>0.5</v>
      </c>
      <c r="M59" s="49">
        <f>AVERAGE('26.07 Rubaga-Natete-24h'!M59,'27.07 Rubaga-Natete-24h'!M59)</f>
        <v>156.5</v>
      </c>
      <c r="N59" s="49">
        <f>AVERAGE('26.07 Rubaga-Natete-24h'!N59,'27.07 Rubaga-Natete-24h'!N59)</f>
        <v>0</v>
      </c>
      <c r="O59" s="15">
        <f t="shared" si="0"/>
        <v>159.5</v>
      </c>
      <c r="P59" s="15">
        <f t="shared" si="1"/>
        <v>316</v>
      </c>
      <c r="R59" s="8"/>
      <c r="T59"/>
    </row>
    <row r="60" spans="2:20" ht="23.1" customHeight="1" x14ac:dyDescent="0.25">
      <c r="B60" s="23" t="s">
        <v>101</v>
      </c>
      <c r="C60" s="49">
        <f>AVERAGE('26.07 Rubaga-Natete-24h'!C60,'27.07 Rubaga-Natete-24h'!C60)</f>
        <v>50</v>
      </c>
      <c r="D60" s="49">
        <f>AVERAGE('26.07 Rubaga-Natete-24h'!D60,'27.07 Rubaga-Natete-24h'!D60)</f>
        <v>2.5</v>
      </c>
      <c r="E60" s="49">
        <f>AVERAGE('26.07 Rubaga-Natete-24h'!E60,'27.07 Rubaga-Natete-24h'!E60)</f>
        <v>5.5</v>
      </c>
      <c r="F60" s="49">
        <f>AVERAGE('26.07 Rubaga-Natete-24h'!F60,'27.07 Rubaga-Natete-24h'!F60)</f>
        <v>39.5</v>
      </c>
      <c r="G60" s="49">
        <f>AVERAGE('26.07 Rubaga-Natete-24h'!G60,'27.07 Rubaga-Natete-24h'!G60)</f>
        <v>1</v>
      </c>
      <c r="H60" s="49">
        <f>AVERAGE('26.07 Rubaga-Natete-24h'!H60,'27.07 Rubaga-Natete-24h'!H60)</f>
        <v>1.5</v>
      </c>
      <c r="I60" s="49">
        <f>AVERAGE('26.07 Rubaga-Natete-24h'!I60,'27.07 Rubaga-Natete-24h'!I60)</f>
        <v>4.5</v>
      </c>
      <c r="J60" s="49">
        <f>AVERAGE('26.07 Rubaga-Natete-24h'!J60,'27.07 Rubaga-Natete-24h'!J60)</f>
        <v>4</v>
      </c>
      <c r="K60" s="49">
        <f>AVERAGE('26.07 Rubaga-Natete-24h'!K60,'27.07 Rubaga-Natete-24h'!K60)</f>
        <v>0</v>
      </c>
      <c r="L60" s="49">
        <f>AVERAGE('26.07 Rubaga-Natete-24h'!L60,'27.07 Rubaga-Natete-24h'!L60)</f>
        <v>0</v>
      </c>
      <c r="M60" s="49">
        <f>AVERAGE('26.07 Rubaga-Natete-24h'!M60,'27.07 Rubaga-Natete-24h'!M60)</f>
        <v>194.5</v>
      </c>
      <c r="N60" s="49">
        <f>AVERAGE('26.07 Rubaga-Natete-24h'!N60,'27.07 Rubaga-Natete-24h'!N60)</f>
        <v>0</v>
      </c>
      <c r="O60" s="15">
        <f t="shared" si="0"/>
        <v>108.5</v>
      </c>
      <c r="P60" s="15">
        <f t="shared" si="1"/>
        <v>303</v>
      </c>
      <c r="R60" s="8"/>
      <c r="T60"/>
    </row>
    <row r="61" spans="2:20" ht="23.1" customHeight="1" x14ac:dyDescent="0.25">
      <c r="B61" s="23" t="s">
        <v>102</v>
      </c>
      <c r="C61" s="49">
        <f>AVERAGE('26.07 Rubaga-Natete-24h'!C61,'27.07 Rubaga-Natete-24h'!C61)</f>
        <v>48.5</v>
      </c>
      <c r="D61" s="49">
        <f>AVERAGE('26.07 Rubaga-Natete-24h'!D61,'27.07 Rubaga-Natete-24h'!D61)</f>
        <v>4</v>
      </c>
      <c r="E61" s="49">
        <f>AVERAGE('26.07 Rubaga-Natete-24h'!E61,'27.07 Rubaga-Natete-24h'!E61)</f>
        <v>7.5</v>
      </c>
      <c r="F61" s="49">
        <f>AVERAGE('26.07 Rubaga-Natete-24h'!F61,'27.07 Rubaga-Natete-24h'!F61)</f>
        <v>23.5</v>
      </c>
      <c r="G61" s="49">
        <f>AVERAGE('26.07 Rubaga-Natete-24h'!G61,'27.07 Rubaga-Natete-24h'!G61)</f>
        <v>1</v>
      </c>
      <c r="H61" s="49">
        <f>AVERAGE('26.07 Rubaga-Natete-24h'!H61,'27.07 Rubaga-Natete-24h'!H61)</f>
        <v>0.5</v>
      </c>
      <c r="I61" s="49">
        <f>AVERAGE('26.07 Rubaga-Natete-24h'!I61,'27.07 Rubaga-Natete-24h'!I61)</f>
        <v>3</v>
      </c>
      <c r="J61" s="49">
        <f>AVERAGE('26.07 Rubaga-Natete-24h'!J61,'27.07 Rubaga-Natete-24h'!J61)</f>
        <v>1.5</v>
      </c>
      <c r="K61" s="49">
        <f>AVERAGE('26.07 Rubaga-Natete-24h'!K61,'27.07 Rubaga-Natete-24h'!K61)</f>
        <v>0</v>
      </c>
      <c r="L61" s="49">
        <f>AVERAGE('26.07 Rubaga-Natete-24h'!L61,'27.07 Rubaga-Natete-24h'!L61)</f>
        <v>0</v>
      </c>
      <c r="M61" s="49">
        <f>AVERAGE('26.07 Rubaga-Natete-24h'!M61,'27.07 Rubaga-Natete-24h'!M61)</f>
        <v>192.5</v>
      </c>
      <c r="N61" s="49">
        <f>AVERAGE('26.07 Rubaga-Natete-24h'!N61,'27.07 Rubaga-Natete-24h'!N61)</f>
        <v>0</v>
      </c>
      <c r="O61" s="15">
        <f t="shared" si="0"/>
        <v>89.5</v>
      </c>
      <c r="P61" s="15">
        <f t="shared" si="1"/>
        <v>282</v>
      </c>
      <c r="R61" s="8"/>
      <c r="T61"/>
    </row>
    <row r="62" spans="2:20" ht="23.1" customHeight="1" x14ac:dyDescent="0.25">
      <c r="B62" s="23" t="s">
        <v>107</v>
      </c>
      <c r="C62" s="49">
        <f>AVERAGE('26.07 Rubaga-Natete-24h'!C62,'27.07 Rubaga-Natete-24h'!C62)</f>
        <v>48</v>
      </c>
      <c r="D62" s="49">
        <f>AVERAGE('26.07 Rubaga-Natete-24h'!D62,'27.07 Rubaga-Natete-24h'!D62)</f>
        <v>3.5</v>
      </c>
      <c r="E62" s="49">
        <f>AVERAGE('26.07 Rubaga-Natete-24h'!E62,'27.07 Rubaga-Natete-24h'!E62)</f>
        <v>5.5</v>
      </c>
      <c r="F62" s="49">
        <f>AVERAGE('26.07 Rubaga-Natete-24h'!F62,'27.07 Rubaga-Natete-24h'!F62)</f>
        <v>29</v>
      </c>
      <c r="G62" s="49">
        <f>AVERAGE('26.07 Rubaga-Natete-24h'!G62,'27.07 Rubaga-Natete-24h'!G62)</f>
        <v>0.5</v>
      </c>
      <c r="H62" s="49">
        <f>AVERAGE('26.07 Rubaga-Natete-24h'!H62,'27.07 Rubaga-Natete-24h'!H62)</f>
        <v>0</v>
      </c>
      <c r="I62" s="49">
        <f>AVERAGE('26.07 Rubaga-Natete-24h'!I62,'27.07 Rubaga-Natete-24h'!I62)</f>
        <v>4</v>
      </c>
      <c r="J62" s="49">
        <f>AVERAGE('26.07 Rubaga-Natete-24h'!J62,'27.07 Rubaga-Natete-24h'!J62)</f>
        <v>3</v>
      </c>
      <c r="K62" s="49">
        <f>AVERAGE('26.07 Rubaga-Natete-24h'!K62,'27.07 Rubaga-Natete-24h'!K62)</f>
        <v>0</v>
      </c>
      <c r="L62" s="49">
        <f>AVERAGE('26.07 Rubaga-Natete-24h'!L62,'27.07 Rubaga-Natete-24h'!L62)</f>
        <v>0</v>
      </c>
      <c r="M62" s="49">
        <f>AVERAGE('26.07 Rubaga-Natete-24h'!M62,'27.07 Rubaga-Natete-24h'!M62)</f>
        <v>192.5</v>
      </c>
      <c r="N62" s="49">
        <f>AVERAGE('26.07 Rubaga-Natete-24h'!N62,'27.07 Rubaga-Natete-24h'!N62)</f>
        <v>0</v>
      </c>
      <c r="O62" s="15">
        <f t="shared" si="0"/>
        <v>93.5</v>
      </c>
      <c r="P62" s="15">
        <f t="shared" si="1"/>
        <v>286</v>
      </c>
      <c r="R62" s="8"/>
      <c r="T62"/>
    </row>
    <row r="63" spans="2:20" ht="23.1" customHeight="1" x14ac:dyDescent="0.25">
      <c r="B63" s="23" t="s">
        <v>108</v>
      </c>
      <c r="C63" s="49">
        <f>AVERAGE('26.07 Rubaga-Natete-24h'!C63,'27.07 Rubaga-Natete-24h'!C63)</f>
        <v>49.5</v>
      </c>
      <c r="D63" s="49">
        <f>AVERAGE('26.07 Rubaga-Natete-24h'!D63,'27.07 Rubaga-Natete-24h'!D63)</f>
        <v>2</v>
      </c>
      <c r="E63" s="49">
        <f>AVERAGE('26.07 Rubaga-Natete-24h'!E63,'27.07 Rubaga-Natete-24h'!E63)</f>
        <v>5.5</v>
      </c>
      <c r="F63" s="49">
        <f>AVERAGE('26.07 Rubaga-Natete-24h'!F63,'27.07 Rubaga-Natete-24h'!F63)</f>
        <v>25.5</v>
      </c>
      <c r="G63" s="49">
        <f>AVERAGE('26.07 Rubaga-Natete-24h'!G63,'27.07 Rubaga-Natete-24h'!G63)</f>
        <v>1</v>
      </c>
      <c r="H63" s="49">
        <f>AVERAGE('26.07 Rubaga-Natete-24h'!H63,'27.07 Rubaga-Natete-24h'!H63)</f>
        <v>0.5</v>
      </c>
      <c r="I63" s="49">
        <f>AVERAGE('26.07 Rubaga-Natete-24h'!I63,'27.07 Rubaga-Natete-24h'!I63)</f>
        <v>2.5</v>
      </c>
      <c r="J63" s="49">
        <f>AVERAGE('26.07 Rubaga-Natete-24h'!J63,'27.07 Rubaga-Natete-24h'!J63)</f>
        <v>1.5</v>
      </c>
      <c r="K63" s="49">
        <f>AVERAGE('26.07 Rubaga-Natete-24h'!K63,'27.07 Rubaga-Natete-24h'!K63)</f>
        <v>0.5</v>
      </c>
      <c r="L63" s="49">
        <f>AVERAGE('26.07 Rubaga-Natete-24h'!L63,'27.07 Rubaga-Natete-24h'!L63)</f>
        <v>0</v>
      </c>
      <c r="M63" s="49">
        <f>AVERAGE('26.07 Rubaga-Natete-24h'!M63,'27.07 Rubaga-Natete-24h'!M63)</f>
        <v>195</v>
      </c>
      <c r="N63" s="49">
        <f>AVERAGE('26.07 Rubaga-Natete-24h'!N63,'27.07 Rubaga-Natete-24h'!N63)</f>
        <v>0</v>
      </c>
      <c r="O63" s="15">
        <f t="shared" si="0"/>
        <v>88.5</v>
      </c>
      <c r="P63" s="15">
        <f t="shared" si="1"/>
        <v>283.5</v>
      </c>
      <c r="R63" s="8"/>
      <c r="T63"/>
    </row>
    <row r="64" spans="2:20" ht="23.1" customHeight="1" x14ac:dyDescent="0.25">
      <c r="B64" s="23" t="s">
        <v>109</v>
      </c>
      <c r="C64" s="49">
        <f>AVERAGE('26.07 Rubaga-Natete-24h'!C64,'27.07 Rubaga-Natete-24h'!C64)</f>
        <v>58.5</v>
      </c>
      <c r="D64" s="49">
        <f>AVERAGE('26.07 Rubaga-Natete-24h'!D64,'27.07 Rubaga-Natete-24h'!D64)</f>
        <v>9</v>
      </c>
      <c r="E64" s="49">
        <f>AVERAGE('26.07 Rubaga-Natete-24h'!E64,'27.07 Rubaga-Natete-24h'!E64)</f>
        <v>5.5</v>
      </c>
      <c r="F64" s="49">
        <f>AVERAGE('26.07 Rubaga-Natete-24h'!F64,'27.07 Rubaga-Natete-24h'!F64)</f>
        <v>28</v>
      </c>
      <c r="G64" s="49">
        <f>AVERAGE('26.07 Rubaga-Natete-24h'!G64,'27.07 Rubaga-Natete-24h'!G64)</f>
        <v>1</v>
      </c>
      <c r="H64" s="49">
        <f>AVERAGE('26.07 Rubaga-Natete-24h'!H64,'27.07 Rubaga-Natete-24h'!H64)</f>
        <v>1.5</v>
      </c>
      <c r="I64" s="49">
        <f>AVERAGE('26.07 Rubaga-Natete-24h'!I64,'27.07 Rubaga-Natete-24h'!I64)</f>
        <v>2</v>
      </c>
      <c r="J64" s="49">
        <f>AVERAGE('26.07 Rubaga-Natete-24h'!J64,'27.07 Rubaga-Natete-24h'!J64)</f>
        <v>2</v>
      </c>
      <c r="K64" s="49">
        <f>AVERAGE('26.07 Rubaga-Natete-24h'!K64,'27.07 Rubaga-Natete-24h'!K64)</f>
        <v>0</v>
      </c>
      <c r="L64" s="49">
        <f>AVERAGE('26.07 Rubaga-Natete-24h'!L64,'27.07 Rubaga-Natete-24h'!L64)</f>
        <v>0</v>
      </c>
      <c r="M64" s="49">
        <f>AVERAGE('26.07 Rubaga-Natete-24h'!M64,'27.07 Rubaga-Natete-24h'!M64)</f>
        <v>208</v>
      </c>
      <c r="N64" s="49">
        <f>AVERAGE('26.07 Rubaga-Natete-24h'!N64,'27.07 Rubaga-Natete-24h'!N64)</f>
        <v>0</v>
      </c>
      <c r="O64" s="15">
        <f t="shared" si="0"/>
        <v>107.5</v>
      </c>
      <c r="P64" s="15">
        <f t="shared" si="1"/>
        <v>315.5</v>
      </c>
      <c r="R64" s="8"/>
      <c r="T64"/>
    </row>
    <row r="65" spans="2:20" ht="23.1" customHeight="1" x14ac:dyDescent="0.25">
      <c r="B65" s="23" t="s">
        <v>158</v>
      </c>
      <c r="C65" s="49">
        <f>AVERAGE('26.07 Rubaga-Natete-24h'!C65,'27.07 Rubaga-Natete-24h'!C65)</f>
        <v>54.5</v>
      </c>
      <c r="D65" s="49">
        <f>AVERAGE('26.07 Rubaga-Natete-24h'!D65,'27.07 Rubaga-Natete-24h'!D65)</f>
        <v>4.5</v>
      </c>
      <c r="E65" s="49">
        <f>AVERAGE('26.07 Rubaga-Natete-24h'!E65,'27.07 Rubaga-Natete-24h'!E65)</f>
        <v>7.5</v>
      </c>
      <c r="F65" s="49">
        <f>AVERAGE('26.07 Rubaga-Natete-24h'!F65,'27.07 Rubaga-Natete-24h'!F65)</f>
        <v>33</v>
      </c>
      <c r="G65" s="49">
        <f>AVERAGE('26.07 Rubaga-Natete-24h'!G65,'27.07 Rubaga-Natete-24h'!G65)</f>
        <v>0</v>
      </c>
      <c r="H65" s="49">
        <f>AVERAGE('26.07 Rubaga-Natete-24h'!H65,'27.07 Rubaga-Natete-24h'!H65)</f>
        <v>0.5</v>
      </c>
      <c r="I65" s="49">
        <f>AVERAGE('26.07 Rubaga-Natete-24h'!I65,'27.07 Rubaga-Natete-24h'!I65)</f>
        <v>2</v>
      </c>
      <c r="J65" s="49">
        <f>AVERAGE('26.07 Rubaga-Natete-24h'!J65,'27.07 Rubaga-Natete-24h'!J65)</f>
        <v>1.5</v>
      </c>
      <c r="K65" s="49">
        <f>AVERAGE('26.07 Rubaga-Natete-24h'!K65,'27.07 Rubaga-Natete-24h'!K65)</f>
        <v>0</v>
      </c>
      <c r="L65" s="49">
        <f>AVERAGE('26.07 Rubaga-Natete-24h'!L65,'27.07 Rubaga-Natete-24h'!L65)</f>
        <v>0.5</v>
      </c>
      <c r="M65" s="49">
        <f>AVERAGE('26.07 Rubaga-Natete-24h'!M65,'27.07 Rubaga-Natete-24h'!M65)</f>
        <v>174</v>
      </c>
      <c r="N65" s="49">
        <f>AVERAGE('26.07 Rubaga-Natete-24h'!N65,'27.07 Rubaga-Natete-24h'!N65)</f>
        <v>0</v>
      </c>
      <c r="O65" s="15">
        <f t="shared" si="0"/>
        <v>104</v>
      </c>
      <c r="P65" s="15">
        <f t="shared" si="1"/>
        <v>278</v>
      </c>
      <c r="R65" s="8"/>
      <c r="T65"/>
    </row>
    <row r="66" spans="2:20" ht="23.1" customHeight="1" x14ac:dyDescent="0.25">
      <c r="B66" s="23" t="s">
        <v>103</v>
      </c>
      <c r="C66" s="49">
        <f>AVERAGE('26.07 Rubaga-Natete-24h'!C66,'27.07 Rubaga-Natete-24h'!C66)</f>
        <v>56</v>
      </c>
      <c r="D66" s="49">
        <f>AVERAGE('26.07 Rubaga-Natete-24h'!D66,'27.07 Rubaga-Natete-24h'!D66)</f>
        <v>6</v>
      </c>
      <c r="E66" s="49">
        <f>AVERAGE('26.07 Rubaga-Natete-24h'!E66,'27.07 Rubaga-Natete-24h'!E66)</f>
        <v>6</v>
      </c>
      <c r="F66" s="49">
        <f>AVERAGE('26.07 Rubaga-Natete-24h'!F66,'27.07 Rubaga-Natete-24h'!F66)</f>
        <v>32</v>
      </c>
      <c r="G66" s="49">
        <f>AVERAGE('26.07 Rubaga-Natete-24h'!G66,'27.07 Rubaga-Natete-24h'!G66)</f>
        <v>1</v>
      </c>
      <c r="H66" s="49">
        <f>AVERAGE('26.07 Rubaga-Natete-24h'!H66,'27.07 Rubaga-Natete-24h'!H66)</f>
        <v>2.5</v>
      </c>
      <c r="I66" s="49">
        <f>AVERAGE('26.07 Rubaga-Natete-24h'!I66,'27.07 Rubaga-Natete-24h'!I66)</f>
        <v>2.5</v>
      </c>
      <c r="J66" s="49">
        <f>AVERAGE('26.07 Rubaga-Natete-24h'!J66,'27.07 Rubaga-Natete-24h'!J66)</f>
        <v>2</v>
      </c>
      <c r="K66" s="49">
        <f>AVERAGE('26.07 Rubaga-Natete-24h'!K66,'27.07 Rubaga-Natete-24h'!K66)</f>
        <v>0</v>
      </c>
      <c r="L66" s="49">
        <f>AVERAGE('26.07 Rubaga-Natete-24h'!L66,'27.07 Rubaga-Natete-24h'!L66)</f>
        <v>1</v>
      </c>
      <c r="M66" s="49">
        <f>AVERAGE('26.07 Rubaga-Natete-24h'!M66,'27.07 Rubaga-Natete-24h'!M66)</f>
        <v>179</v>
      </c>
      <c r="N66" s="49">
        <f>AVERAGE('26.07 Rubaga-Natete-24h'!N66,'27.07 Rubaga-Natete-24h'!N66)</f>
        <v>0</v>
      </c>
      <c r="O66" s="15">
        <f t="shared" si="0"/>
        <v>109</v>
      </c>
      <c r="P66" s="15">
        <f t="shared" si="1"/>
        <v>288</v>
      </c>
      <c r="R66" s="8"/>
      <c r="T66"/>
    </row>
    <row r="67" spans="2:20" ht="23.1" customHeight="1" x14ac:dyDescent="0.25">
      <c r="B67" s="23" t="s">
        <v>104</v>
      </c>
      <c r="C67" s="49">
        <f>AVERAGE('26.07 Rubaga-Natete-24h'!C67,'27.07 Rubaga-Natete-24h'!C67)</f>
        <v>53</v>
      </c>
      <c r="D67" s="49">
        <f>AVERAGE('26.07 Rubaga-Natete-24h'!D67,'27.07 Rubaga-Natete-24h'!D67)</f>
        <v>6</v>
      </c>
      <c r="E67" s="49">
        <f>AVERAGE('26.07 Rubaga-Natete-24h'!E67,'27.07 Rubaga-Natete-24h'!E67)</f>
        <v>6</v>
      </c>
      <c r="F67" s="49">
        <f>AVERAGE('26.07 Rubaga-Natete-24h'!F67,'27.07 Rubaga-Natete-24h'!F67)</f>
        <v>38.5</v>
      </c>
      <c r="G67" s="49">
        <f>AVERAGE('26.07 Rubaga-Natete-24h'!G67,'27.07 Rubaga-Natete-24h'!G67)</f>
        <v>1</v>
      </c>
      <c r="H67" s="49">
        <f>AVERAGE('26.07 Rubaga-Natete-24h'!H67,'27.07 Rubaga-Natete-24h'!H67)</f>
        <v>2.5</v>
      </c>
      <c r="I67" s="49">
        <f>AVERAGE('26.07 Rubaga-Natete-24h'!I67,'27.07 Rubaga-Natete-24h'!I67)</f>
        <v>4</v>
      </c>
      <c r="J67" s="49">
        <f>AVERAGE('26.07 Rubaga-Natete-24h'!J67,'27.07 Rubaga-Natete-24h'!J67)</f>
        <v>1.5</v>
      </c>
      <c r="K67" s="49">
        <f>AVERAGE('26.07 Rubaga-Natete-24h'!K67,'27.07 Rubaga-Natete-24h'!K67)</f>
        <v>0</v>
      </c>
      <c r="L67" s="49">
        <f>AVERAGE('26.07 Rubaga-Natete-24h'!L67,'27.07 Rubaga-Natete-24h'!L67)</f>
        <v>0</v>
      </c>
      <c r="M67" s="49">
        <f>AVERAGE('26.07 Rubaga-Natete-24h'!M67,'27.07 Rubaga-Natete-24h'!M67)</f>
        <v>184</v>
      </c>
      <c r="N67" s="49">
        <f>AVERAGE('26.07 Rubaga-Natete-24h'!N67,'27.07 Rubaga-Natete-24h'!N67)</f>
        <v>0</v>
      </c>
      <c r="O67" s="15">
        <f t="shared" si="0"/>
        <v>112.5</v>
      </c>
      <c r="P67" s="15">
        <f t="shared" si="1"/>
        <v>296.5</v>
      </c>
      <c r="R67" s="8"/>
      <c r="T67"/>
    </row>
    <row r="68" spans="2:20" ht="23.1" customHeight="1" x14ac:dyDescent="0.25">
      <c r="B68" s="23" t="s">
        <v>105</v>
      </c>
      <c r="C68" s="49">
        <f>AVERAGE('26.07 Rubaga-Natete-24h'!C68,'27.07 Rubaga-Natete-24h'!C68)</f>
        <v>50.5</v>
      </c>
      <c r="D68" s="49">
        <f>AVERAGE('26.07 Rubaga-Natete-24h'!D68,'27.07 Rubaga-Natete-24h'!D68)</f>
        <v>6.5</v>
      </c>
      <c r="E68" s="49">
        <f>AVERAGE('26.07 Rubaga-Natete-24h'!E68,'27.07 Rubaga-Natete-24h'!E68)</f>
        <v>5</v>
      </c>
      <c r="F68" s="49">
        <f>AVERAGE('26.07 Rubaga-Natete-24h'!F68,'27.07 Rubaga-Natete-24h'!F68)</f>
        <v>37.5</v>
      </c>
      <c r="G68" s="49">
        <f>AVERAGE('26.07 Rubaga-Natete-24h'!G68,'27.07 Rubaga-Natete-24h'!G68)</f>
        <v>1</v>
      </c>
      <c r="H68" s="49">
        <f>AVERAGE('26.07 Rubaga-Natete-24h'!H68,'27.07 Rubaga-Natete-24h'!H68)</f>
        <v>2</v>
      </c>
      <c r="I68" s="49">
        <f>AVERAGE('26.07 Rubaga-Natete-24h'!I68,'27.07 Rubaga-Natete-24h'!I68)</f>
        <v>3</v>
      </c>
      <c r="J68" s="49">
        <f>AVERAGE('26.07 Rubaga-Natete-24h'!J68,'27.07 Rubaga-Natete-24h'!J68)</f>
        <v>0.5</v>
      </c>
      <c r="K68" s="49">
        <f>AVERAGE('26.07 Rubaga-Natete-24h'!K68,'27.07 Rubaga-Natete-24h'!K68)</f>
        <v>0.5</v>
      </c>
      <c r="L68" s="49">
        <f>AVERAGE('26.07 Rubaga-Natete-24h'!L68,'27.07 Rubaga-Natete-24h'!L68)</f>
        <v>0</v>
      </c>
      <c r="M68" s="49">
        <f>AVERAGE('26.07 Rubaga-Natete-24h'!M68,'27.07 Rubaga-Natete-24h'!M68)</f>
        <v>162</v>
      </c>
      <c r="N68" s="49">
        <f>AVERAGE('26.07 Rubaga-Natete-24h'!N68,'27.07 Rubaga-Natete-24h'!N68)</f>
        <v>0</v>
      </c>
      <c r="O68" s="15">
        <f t="shared" si="0"/>
        <v>106.5</v>
      </c>
      <c r="P68" s="15">
        <f t="shared" si="1"/>
        <v>268.5</v>
      </c>
      <c r="R68" s="8"/>
      <c r="T68"/>
    </row>
    <row r="69" spans="2:20" ht="23.1" customHeight="1" x14ac:dyDescent="0.25">
      <c r="B69" s="23" t="s">
        <v>106</v>
      </c>
      <c r="C69" s="49">
        <f>AVERAGE('26.07 Rubaga-Natete-24h'!C69,'27.07 Rubaga-Natete-24h'!C69)</f>
        <v>67</v>
      </c>
      <c r="D69" s="49">
        <f>AVERAGE('26.07 Rubaga-Natete-24h'!D69,'27.07 Rubaga-Natete-24h'!D69)</f>
        <v>3</v>
      </c>
      <c r="E69" s="49">
        <f>AVERAGE('26.07 Rubaga-Natete-24h'!E69,'27.07 Rubaga-Natete-24h'!E69)</f>
        <v>6.5</v>
      </c>
      <c r="F69" s="49">
        <f>AVERAGE('26.07 Rubaga-Natete-24h'!F69,'27.07 Rubaga-Natete-24h'!F69)</f>
        <v>35.5</v>
      </c>
      <c r="G69" s="49">
        <f>AVERAGE('26.07 Rubaga-Natete-24h'!G69,'27.07 Rubaga-Natete-24h'!G69)</f>
        <v>1.5</v>
      </c>
      <c r="H69" s="49">
        <f>AVERAGE('26.07 Rubaga-Natete-24h'!H69,'27.07 Rubaga-Natete-24h'!H69)</f>
        <v>1</v>
      </c>
      <c r="I69" s="49">
        <f>AVERAGE('26.07 Rubaga-Natete-24h'!I69,'27.07 Rubaga-Natete-24h'!I69)</f>
        <v>1</v>
      </c>
      <c r="J69" s="49">
        <f>AVERAGE('26.07 Rubaga-Natete-24h'!J69,'27.07 Rubaga-Natete-24h'!J69)</f>
        <v>0.5</v>
      </c>
      <c r="K69" s="49">
        <f>AVERAGE('26.07 Rubaga-Natete-24h'!K69,'27.07 Rubaga-Natete-24h'!K69)</f>
        <v>1</v>
      </c>
      <c r="L69" s="49">
        <f>AVERAGE('26.07 Rubaga-Natete-24h'!L69,'27.07 Rubaga-Natete-24h'!L69)</f>
        <v>0.5</v>
      </c>
      <c r="M69" s="49">
        <f>AVERAGE('26.07 Rubaga-Natete-24h'!M69,'27.07 Rubaga-Natete-24h'!M69)</f>
        <v>174</v>
      </c>
      <c r="N69" s="49">
        <f>AVERAGE('26.07 Rubaga-Natete-24h'!N69,'27.07 Rubaga-Natete-24h'!N69)</f>
        <v>0</v>
      </c>
      <c r="O69" s="15">
        <f t="shared" si="0"/>
        <v>117.5</v>
      </c>
      <c r="P69" s="15">
        <f t="shared" si="1"/>
        <v>291.5</v>
      </c>
      <c r="R69" s="8"/>
      <c r="T69"/>
    </row>
    <row r="70" spans="2:20" ht="23.1" customHeight="1" x14ac:dyDescent="0.25">
      <c r="B70" s="23" t="s">
        <v>110</v>
      </c>
      <c r="C70" s="49">
        <f>AVERAGE('26.07 Rubaga-Natete-24h'!C70,'27.07 Rubaga-Natete-24h'!C70)</f>
        <v>42</v>
      </c>
      <c r="D70" s="49">
        <f>AVERAGE('26.07 Rubaga-Natete-24h'!D70,'27.07 Rubaga-Natete-24h'!D70)</f>
        <v>4.5</v>
      </c>
      <c r="E70" s="49">
        <f>AVERAGE('26.07 Rubaga-Natete-24h'!E70,'27.07 Rubaga-Natete-24h'!E70)</f>
        <v>2.5</v>
      </c>
      <c r="F70" s="49">
        <f>AVERAGE('26.07 Rubaga-Natete-24h'!F70,'27.07 Rubaga-Natete-24h'!F70)</f>
        <v>31.5</v>
      </c>
      <c r="G70" s="49">
        <f>AVERAGE('26.07 Rubaga-Natete-24h'!G70,'27.07 Rubaga-Natete-24h'!G70)</f>
        <v>1.5</v>
      </c>
      <c r="H70" s="49">
        <f>AVERAGE('26.07 Rubaga-Natete-24h'!H70,'27.07 Rubaga-Natete-24h'!H70)</f>
        <v>1.5</v>
      </c>
      <c r="I70" s="49">
        <f>AVERAGE('26.07 Rubaga-Natete-24h'!I70,'27.07 Rubaga-Natete-24h'!I70)</f>
        <v>3</v>
      </c>
      <c r="J70" s="49">
        <f>AVERAGE('26.07 Rubaga-Natete-24h'!J70,'27.07 Rubaga-Natete-24h'!J70)</f>
        <v>1.5</v>
      </c>
      <c r="K70" s="49">
        <f>AVERAGE('26.07 Rubaga-Natete-24h'!K70,'27.07 Rubaga-Natete-24h'!K70)</f>
        <v>0</v>
      </c>
      <c r="L70" s="49">
        <f>AVERAGE('26.07 Rubaga-Natete-24h'!L70,'27.07 Rubaga-Natete-24h'!L70)</f>
        <v>0</v>
      </c>
      <c r="M70" s="49">
        <f>AVERAGE('26.07 Rubaga-Natete-24h'!M70,'27.07 Rubaga-Natete-24h'!M70)</f>
        <v>136.5</v>
      </c>
      <c r="N70" s="49">
        <f>AVERAGE('26.07 Rubaga-Natete-24h'!N70,'27.07 Rubaga-Natete-24h'!N70)</f>
        <v>0</v>
      </c>
      <c r="O70" s="15">
        <f t="shared" si="0"/>
        <v>88</v>
      </c>
      <c r="P70" s="15">
        <f t="shared" si="1"/>
        <v>224.5</v>
      </c>
      <c r="R70" s="8"/>
      <c r="T70"/>
    </row>
    <row r="71" spans="2:20" ht="23.1" customHeight="1" x14ac:dyDescent="0.25">
      <c r="B71" s="23" t="s">
        <v>111</v>
      </c>
      <c r="C71" s="49">
        <f>AVERAGE('26.07 Rubaga-Natete-24h'!C71,'27.07 Rubaga-Natete-24h'!C71)</f>
        <v>45</v>
      </c>
      <c r="D71" s="49">
        <f>AVERAGE('26.07 Rubaga-Natete-24h'!D71,'27.07 Rubaga-Natete-24h'!D71)</f>
        <v>3</v>
      </c>
      <c r="E71" s="49">
        <f>AVERAGE('26.07 Rubaga-Natete-24h'!E71,'27.07 Rubaga-Natete-24h'!E71)</f>
        <v>2</v>
      </c>
      <c r="F71" s="49">
        <f>AVERAGE('26.07 Rubaga-Natete-24h'!F71,'27.07 Rubaga-Natete-24h'!F71)</f>
        <v>27</v>
      </c>
      <c r="G71" s="49">
        <f>AVERAGE('26.07 Rubaga-Natete-24h'!G71,'27.07 Rubaga-Natete-24h'!G71)</f>
        <v>0</v>
      </c>
      <c r="H71" s="49">
        <f>AVERAGE('26.07 Rubaga-Natete-24h'!H71,'27.07 Rubaga-Natete-24h'!H71)</f>
        <v>0.5</v>
      </c>
      <c r="I71" s="49">
        <f>AVERAGE('26.07 Rubaga-Natete-24h'!I71,'27.07 Rubaga-Natete-24h'!I71)</f>
        <v>1.5</v>
      </c>
      <c r="J71" s="49">
        <f>AVERAGE('26.07 Rubaga-Natete-24h'!J71,'27.07 Rubaga-Natete-24h'!J71)</f>
        <v>2.5</v>
      </c>
      <c r="K71" s="49">
        <f>AVERAGE('26.07 Rubaga-Natete-24h'!K71,'27.07 Rubaga-Natete-24h'!K71)</f>
        <v>0</v>
      </c>
      <c r="L71" s="49">
        <f>AVERAGE('26.07 Rubaga-Natete-24h'!L71,'27.07 Rubaga-Natete-24h'!L71)</f>
        <v>0.5</v>
      </c>
      <c r="M71" s="49">
        <f>AVERAGE('26.07 Rubaga-Natete-24h'!M71,'27.07 Rubaga-Natete-24h'!M71)</f>
        <v>87.5</v>
      </c>
      <c r="N71" s="49">
        <f>AVERAGE('26.07 Rubaga-Natete-24h'!N71,'27.07 Rubaga-Natete-24h'!N71)</f>
        <v>0</v>
      </c>
      <c r="O71" s="15">
        <f t="shared" si="0"/>
        <v>82</v>
      </c>
      <c r="P71" s="15">
        <f t="shared" si="1"/>
        <v>169.5</v>
      </c>
      <c r="R71" s="8"/>
      <c r="T71"/>
    </row>
    <row r="72" spans="2:20" ht="23.1" customHeight="1" x14ac:dyDescent="0.25">
      <c r="B72" s="23" t="s">
        <v>112</v>
      </c>
      <c r="C72" s="49">
        <f>AVERAGE('26.07 Rubaga-Natete-24h'!C72,'27.07 Rubaga-Natete-24h'!C72)</f>
        <v>29.5</v>
      </c>
      <c r="D72" s="49">
        <f>AVERAGE('26.07 Rubaga-Natete-24h'!D72,'27.07 Rubaga-Natete-24h'!D72)</f>
        <v>2</v>
      </c>
      <c r="E72" s="49">
        <f>AVERAGE('26.07 Rubaga-Natete-24h'!E72,'27.07 Rubaga-Natete-24h'!E72)</f>
        <v>4</v>
      </c>
      <c r="F72" s="49">
        <f>AVERAGE('26.07 Rubaga-Natete-24h'!F72,'27.07 Rubaga-Natete-24h'!F72)</f>
        <v>21.5</v>
      </c>
      <c r="G72" s="49">
        <f>AVERAGE('26.07 Rubaga-Natete-24h'!G72,'27.07 Rubaga-Natete-24h'!G72)</f>
        <v>0.5</v>
      </c>
      <c r="H72" s="49">
        <f>AVERAGE('26.07 Rubaga-Natete-24h'!H72,'27.07 Rubaga-Natete-24h'!H72)</f>
        <v>2.5</v>
      </c>
      <c r="I72" s="49">
        <f>AVERAGE('26.07 Rubaga-Natete-24h'!I72,'27.07 Rubaga-Natete-24h'!I72)</f>
        <v>2</v>
      </c>
      <c r="J72" s="49">
        <f>AVERAGE('26.07 Rubaga-Natete-24h'!J72,'27.07 Rubaga-Natete-24h'!J72)</f>
        <v>0.5</v>
      </c>
      <c r="K72" s="49">
        <f>AVERAGE('26.07 Rubaga-Natete-24h'!K72,'27.07 Rubaga-Natete-24h'!K72)</f>
        <v>2</v>
      </c>
      <c r="L72" s="49">
        <f>AVERAGE('26.07 Rubaga-Natete-24h'!L72,'27.07 Rubaga-Natete-24h'!L72)</f>
        <v>0</v>
      </c>
      <c r="M72" s="49">
        <f>AVERAGE('26.07 Rubaga-Natete-24h'!M72,'27.07 Rubaga-Natete-24h'!M72)</f>
        <v>86.5</v>
      </c>
      <c r="N72" s="49">
        <f>AVERAGE('26.07 Rubaga-Natete-24h'!N72,'27.07 Rubaga-Natete-24h'!N72)</f>
        <v>0</v>
      </c>
      <c r="O72" s="15">
        <f t="shared" si="0"/>
        <v>64.5</v>
      </c>
      <c r="P72" s="15">
        <f t="shared" si="1"/>
        <v>151</v>
      </c>
      <c r="R72" s="8"/>
      <c r="T72"/>
    </row>
    <row r="73" spans="2:20" ht="23.1" customHeight="1" x14ac:dyDescent="0.25">
      <c r="B73" s="23" t="s">
        <v>113</v>
      </c>
      <c r="C73" s="49">
        <f>AVERAGE('26.07 Rubaga-Natete-24h'!C73,'27.07 Rubaga-Natete-24h'!C73)</f>
        <v>42.5</v>
      </c>
      <c r="D73" s="49">
        <f>AVERAGE('26.07 Rubaga-Natete-24h'!D73,'27.07 Rubaga-Natete-24h'!D73)</f>
        <v>5.5</v>
      </c>
      <c r="E73" s="49">
        <f>AVERAGE('26.07 Rubaga-Natete-24h'!E73,'27.07 Rubaga-Natete-24h'!E73)</f>
        <v>2</v>
      </c>
      <c r="F73" s="49">
        <f>AVERAGE('26.07 Rubaga-Natete-24h'!F73,'27.07 Rubaga-Natete-24h'!F73)</f>
        <v>140</v>
      </c>
      <c r="G73" s="49">
        <f>AVERAGE('26.07 Rubaga-Natete-24h'!G73,'27.07 Rubaga-Natete-24h'!G73)</f>
        <v>0</v>
      </c>
      <c r="H73" s="49">
        <f>AVERAGE('26.07 Rubaga-Natete-24h'!H73,'27.07 Rubaga-Natete-24h'!H73)</f>
        <v>1</v>
      </c>
      <c r="I73" s="49">
        <f>AVERAGE('26.07 Rubaga-Natete-24h'!I73,'27.07 Rubaga-Natete-24h'!I73)</f>
        <v>0.5</v>
      </c>
      <c r="J73" s="49">
        <f>AVERAGE('26.07 Rubaga-Natete-24h'!J73,'27.07 Rubaga-Natete-24h'!J73)</f>
        <v>1</v>
      </c>
      <c r="K73" s="49">
        <f>AVERAGE('26.07 Rubaga-Natete-24h'!K73,'27.07 Rubaga-Natete-24h'!K73)</f>
        <v>0</v>
      </c>
      <c r="L73" s="49">
        <f>AVERAGE('26.07 Rubaga-Natete-24h'!L73,'27.07 Rubaga-Natete-24h'!L73)</f>
        <v>0</v>
      </c>
      <c r="M73" s="49">
        <f>AVERAGE('26.07 Rubaga-Natete-24h'!M73,'27.07 Rubaga-Natete-24h'!M73)</f>
        <v>90.5</v>
      </c>
      <c r="N73" s="49">
        <f>AVERAGE('26.07 Rubaga-Natete-24h'!N73,'27.07 Rubaga-Natete-24h'!N73)</f>
        <v>0</v>
      </c>
      <c r="O73" s="15">
        <f t="shared" si="0"/>
        <v>192.5</v>
      </c>
      <c r="P73" s="15">
        <f t="shared" si="1"/>
        <v>283</v>
      </c>
      <c r="R73" s="8"/>
      <c r="T73"/>
    </row>
    <row r="74" spans="2:20" ht="23.1" customHeight="1" x14ac:dyDescent="0.25">
      <c r="B74" s="23" t="s">
        <v>114</v>
      </c>
      <c r="C74" s="49">
        <f>AVERAGE('26.07 Rubaga-Natete-24h'!C74,'27.07 Rubaga-Natete-24h'!C74)</f>
        <v>44</v>
      </c>
      <c r="D74" s="49">
        <f>AVERAGE('26.07 Rubaga-Natete-24h'!D74,'27.07 Rubaga-Natete-24h'!D74)</f>
        <v>7.5</v>
      </c>
      <c r="E74" s="49">
        <f>AVERAGE('26.07 Rubaga-Natete-24h'!E74,'27.07 Rubaga-Natete-24h'!E74)</f>
        <v>4.5</v>
      </c>
      <c r="F74" s="49">
        <f>AVERAGE('26.07 Rubaga-Natete-24h'!F74,'27.07 Rubaga-Natete-24h'!F74)</f>
        <v>17</v>
      </c>
      <c r="G74" s="49">
        <f>AVERAGE('26.07 Rubaga-Natete-24h'!G74,'27.07 Rubaga-Natete-24h'!G74)</f>
        <v>1.5</v>
      </c>
      <c r="H74" s="49">
        <f>AVERAGE('26.07 Rubaga-Natete-24h'!H74,'27.07 Rubaga-Natete-24h'!H74)</f>
        <v>2</v>
      </c>
      <c r="I74" s="49">
        <f>AVERAGE('26.07 Rubaga-Natete-24h'!I74,'27.07 Rubaga-Natete-24h'!I74)</f>
        <v>0</v>
      </c>
      <c r="J74" s="49">
        <f>AVERAGE('26.07 Rubaga-Natete-24h'!J74,'27.07 Rubaga-Natete-24h'!J74)</f>
        <v>2.5</v>
      </c>
      <c r="K74" s="49">
        <f>AVERAGE('26.07 Rubaga-Natete-24h'!K74,'27.07 Rubaga-Natete-24h'!K74)</f>
        <v>0.5</v>
      </c>
      <c r="L74" s="49">
        <f>AVERAGE('26.07 Rubaga-Natete-24h'!L74,'27.07 Rubaga-Natete-24h'!L74)</f>
        <v>0</v>
      </c>
      <c r="M74" s="49">
        <f>AVERAGE('26.07 Rubaga-Natete-24h'!M74,'27.07 Rubaga-Natete-24h'!M74)</f>
        <v>89.5</v>
      </c>
      <c r="N74" s="49">
        <f>AVERAGE('26.07 Rubaga-Natete-24h'!N74,'27.07 Rubaga-Natete-24h'!N74)</f>
        <v>0</v>
      </c>
      <c r="O74" s="15">
        <f t="shared" ref="O74:O105" si="35">SUM(C74:L74,N74)</f>
        <v>79.5</v>
      </c>
      <c r="P74" s="15">
        <f t="shared" ref="P74:P105" si="36">SUM(C74:N74)</f>
        <v>169</v>
      </c>
      <c r="R74" s="8"/>
      <c r="T74"/>
    </row>
    <row r="75" spans="2:20" ht="23.1" customHeight="1" x14ac:dyDescent="0.25">
      <c r="B75" s="23" t="s">
        <v>115</v>
      </c>
      <c r="C75" s="49">
        <f>AVERAGE('26.07 Rubaga-Natete-24h'!C75,'27.07 Rubaga-Natete-24h'!C75)</f>
        <v>34.5</v>
      </c>
      <c r="D75" s="49">
        <f>AVERAGE('26.07 Rubaga-Natete-24h'!D75,'27.07 Rubaga-Natete-24h'!D75)</f>
        <v>4</v>
      </c>
      <c r="E75" s="49">
        <f>AVERAGE('26.07 Rubaga-Natete-24h'!E75,'27.07 Rubaga-Natete-24h'!E75)</f>
        <v>2</v>
      </c>
      <c r="F75" s="49">
        <f>AVERAGE('26.07 Rubaga-Natete-24h'!F75,'27.07 Rubaga-Natete-24h'!F75)</f>
        <v>19.5</v>
      </c>
      <c r="G75" s="49">
        <f>AVERAGE('26.07 Rubaga-Natete-24h'!G75,'27.07 Rubaga-Natete-24h'!G75)</f>
        <v>0.5</v>
      </c>
      <c r="H75" s="49">
        <f>AVERAGE('26.07 Rubaga-Natete-24h'!H75,'27.07 Rubaga-Natete-24h'!H75)</f>
        <v>2</v>
      </c>
      <c r="I75" s="49">
        <f>AVERAGE('26.07 Rubaga-Natete-24h'!I75,'27.07 Rubaga-Natete-24h'!I75)</f>
        <v>0.5</v>
      </c>
      <c r="J75" s="49">
        <f>AVERAGE('26.07 Rubaga-Natete-24h'!J75,'27.07 Rubaga-Natete-24h'!J75)</f>
        <v>1.5</v>
      </c>
      <c r="K75" s="49">
        <f>AVERAGE('26.07 Rubaga-Natete-24h'!K75,'27.07 Rubaga-Natete-24h'!K75)</f>
        <v>0</v>
      </c>
      <c r="L75" s="49">
        <f>AVERAGE('26.07 Rubaga-Natete-24h'!L75,'27.07 Rubaga-Natete-24h'!L75)</f>
        <v>0</v>
      </c>
      <c r="M75" s="49">
        <f>AVERAGE('26.07 Rubaga-Natete-24h'!M75,'27.07 Rubaga-Natete-24h'!M75)</f>
        <v>65</v>
      </c>
      <c r="N75" s="49">
        <f>AVERAGE('26.07 Rubaga-Natete-24h'!N75,'27.07 Rubaga-Natete-24h'!N75)</f>
        <v>0</v>
      </c>
      <c r="O75" s="15">
        <f t="shared" si="35"/>
        <v>64.5</v>
      </c>
      <c r="P75" s="15">
        <f t="shared" si="36"/>
        <v>129.5</v>
      </c>
      <c r="R75" s="8"/>
      <c r="T75"/>
    </row>
    <row r="76" spans="2:20" ht="23.1" customHeight="1" x14ac:dyDescent="0.25">
      <c r="B76" s="23" t="s">
        <v>116</v>
      </c>
      <c r="C76" s="49">
        <f>AVERAGE('26.07 Rubaga-Natete-24h'!C76,'27.07 Rubaga-Natete-24h'!C76)</f>
        <v>36.5</v>
      </c>
      <c r="D76" s="49">
        <f>AVERAGE('26.07 Rubaga-Natete-24h'!D76,'27.07 Rubaga-Natete-24h'!D76)</f>
        <v>1</v>
      </c>
      <c r="E76" s="49">
        <f>AVERAGE('26.07 Rubaga-Natete-24h'!E76,'27.07 Rubaga-Natete-24h'!E76)</f>
        <v>3.5</v>
      </c>
      <c r="F76" s="49">
        <f>AVERAGE('26.07 Rubaga-Natete-24h'!F76,'27.07 Rubaga-Natete-24h'!F76)</f>
        <v>9.5</v>
      </c>
      <c r="G76" s="49">
        <f>AVERAGE('26.07 Rubaga-Natete-24h'!G76,'27.07 Rubaga-Natete-24h'!G76)</f>
        <v>1</v>
      </c>
      <c r="H76" s="49">
        <f>AVERAGE('26.07 Rubaga-Natete-24h'!H76,'27.07 Rubaga-Natete-24h'!H76)</f>
        <v>1</v>
      </c>
      <c r="I76" s="49">
        <f>AVERAGE('26.07 Rubaga-Natete-24h'!I76,'27.07 Rubaga-Natete-24h'!I76)</f>
        <v>0.5</v>
      </c>
      <c r="J76" s="49">
        <f>AVERAGE('26.07 Rubaga-Natete-24h'!J76,'27.07 Rubaga-Natete-24h'!J76)</f>
        <v>0.5</v>
      </c>
      <c r="K76" s="49">
        <f>AVERAGE('26.07 Rubaga-Natete-24h'!K76,'27.07 Rubaga-Natete-24h'!K76)</f>
        <v>0</v>
      </c>
      <c r="L76" s="49">
        <f>AVERAGE('26.07 Rubaga-Natete-24h'!L76,'27.07 Rubaga-Natete-24h'!L76)</f>
        <v>0</v>
      </c>
      <c r="M76" s="49">
        <f>AVERAGE('26.07 Rubaga-Natete-24h'!M76,'27.07 Rubaga-Natete-24h'!M76)</f>
        <v>43.5</v>
      </c>
      <c r="N76" s="49">
        <f>AVERAGE('26.07 Rubaga-Natete-24h'!N76,'27.07 Rubaga-Natete-24h'!N76)</f>
        <v>0</v>
      </c>
      <c r="O76" s="15">
        <f t="shared" si="35"/>
        <v>53.5</v>
      </c>
      <c r="P76" s="15">
        <f t="shared" si="36"/>
        <v>97</v>
      </c>
      <c r="R76" s="8"/>
      <c r="T76"/>
    </row>
    <row r="77" spans="2:20" ht="23.1" customHeight="1" x14ac:dyDescent="0.25">
      <c r="B77" s="23" t="s">
        <v>117</v>
      </c>
      <c r="C77" s="49">
        <f>AVERAGE('26.07 Rubaga-Natete-24h'!C77,'27.07 Rubaga-Natete-24h'!C77)</f>
        <v>32</v>
      </c>
      <c r="D77" s="49">
        <f>AVERAGE('26.07 Rubaga-Natete-24h'!D77,'27.07 Rubaga-Natete-24h'!D77)</f>
        <v>1.5</v>
      </c>
      <c r="E77" s="49">
        <f>AVERAGE('26.07 Rubaga-Natete-24h'!E77,'27.07 Rubaga-Natete-24h'!E77)</f>
        <v>3</v>
      </c>
      <c r="F77" s="49">
        <f>AVERAGE('26.07 Rubaga-Natete-24h'!F77,'27.07 Rubaga-Natete-24h'!F77)</f>
        <v>8.5</v>
      </c>
      <c r="G77" s="49">
        <f>AVERAGE('26.07 Rubaga-Natete-24h'!G77,'27.07 Rubaga-Natete-24h'!G77)</f>
        <v>0.5</v>
      </c>
      <c r="H77" s="49">
        <f>AVERAGE('26.07 Rubaga-Natete-24h'!H77,'27.07 Rubaga-Natete-24h'!H77)</f>
        <v>1</v>
      </c>
      <c r="I77" s="49">
        <f>AVERAGE('26.07 Rubaga-Natete-24h'!I77,'27.07 Rubaga-Natete-24h'!I77)</f>
        <v>0</v>
      </c>
      <c r="J77" s="49">
        <f>AVERAGE('26.07 Rubaga-Natete-24h'!J77,'27.07 Rubaga-Natete-24h'!J77)</f>
        <v>0</v>
      </c>
      <c r="K77" s="49">
        <f>AVERAGE('26.07 Rubaga-Natete-24h'!K77,'27.07 Rubaga-Natete-24h'!K77)</f>
        <v>0</v>
      </c>
      <c r="L77" s="49">
        <f>AVERAGE('26.07 Rubaga-Natete-24h'!L77,'27.07 Rubaga-Natete-24h'!L77)</f>
        <v>0</v>
      </c>
      <c r="M77" s="49">
        <f>AVERAGE('26.07 Rubaga-Natete-24h'!M77,'27.07 Rubaga-Natete-24h'!M77)</f>
        <v>40</v>
      </c>
      <c r="N77" s="49">
        <f>AVERAGE('26.07 Rubaga-Natete-24h'!N77,'27.07 Rubaga-Natete-24h'!N77)</f>
        <v>0</v>
      </c>
      <c r="O77" s="15">
        <f t="shared" si="35"/>
        <v>46.5</v>
      </c>
      <c r="P77" s="15">
        <f t="shared" si="36"/>
        <v>86.5</v>
      </c>
      <c r="R77" s="8"/>
      <c r="T77"/>
    </row>
    <row r="78" spans="2:20" ht="23.1" customHeight="1" x14ac:dyDescent="0.25">
      <c r="B78" s="24" t="s">
        <v>118</v>
      </c>
      <c r="C78" s="49">
        <f>AVERAGE('26.07 Rubaga-Natete-24h'!C78,'27.07 Rubaga-Natete-24h'!C78)</f>
        <v>28.5</v>
      </c>
      <c r="D78" s="49">
        <f>AVERAGE('26.07 Rubaga-Natete-24h'!D78,'27.07 Rubaga-Natete-24h'!D78)</f>
        <v>3</v>
      </c>
      <c r="E78" s="49">
        <f>AVERAGE('26.07 Rubaga-Natete-24h'!E78,'27.07 Rubaga-Natete-24h'!E78)</f>
        <v>2</v>
      </c>
      <c r="F78" s="49">
        <f>AVERAGE('26.07 Rubaga-Natete-24h'!F78,'27.07 Rubaga-Natete-24h'!F78)</f>
        <v>13.5</v>
      </c>
      <c r="G78" s="49">
        <f>AVERAGE('26.07 Rubaga-Natete-24h'!G78,'27.07 Rubaga-Natete-24h'!G78)</f>
        <v>0</v>
      </c>
      <c r="H78" s="49">
        <f>AVERAGE('26.07 Rubaga-Natete-24h'!H78,'27.07 Rubaga-Natete-24h'!H78)</f>
        <v>1</v>
      </c>
      <c r="I78" s="49">
        <f>AVERAGE('26.07 Rubaga-Natete-24h'!I78,'27.07 Rubaga-Natete-24h'!I78)</f>
        <v>1</v>
      </c>
      <c r="J78" s="49">
        <f>AVERAGE('26.07 Rubaga-Natete-24h'!J78,'27.07 Rubaga-Natete-24h'!J78)</f>
        <v>1</v>
      </c>
      <c r="K78" s="49">
        <f>AVERAGE('26.07 Rubaga-Natete-24h'!K78,'27.07 Rubaga-Natete-24h'!K78)</f>
        <v>0.5</v>
      </c>
      <c r="L78" s="49">
        <f>AVERAGE('26.07 Rubaga-Natete-24h'!L78,'27.07 Rubaga-Natete-24h'!L78)</f>
        <v>0</v>
      </c>
      <c r="M78" s="49">
        <f>AVERAGE('26.07 Rubaga-Natete-24h'!M78,'27.07 Rubaga-Natete-24h'!M78)</f>
        <v>66</v>
      </c>
      <c r="N78" s="49">
        <f>AVERAGE('26.07 Rubaga-Natete-24h'!N78,'27.07 Rubaga-Natete-24h'!N78)</f>
        <v>0</v>
      </c>
      <c r="O78" s="15">
        <f t="shared" si="35"/>
        <v>50.5</v>
      </c>
      <c r="P78" s="15">
        <f t="shared" si="36"/>
        <v>116.5</v>
      </c>
      <c r="R78" s="8"/>
      <c r="T78"/>
    </row>
    <row r="79" spans="2:20" ht="23.1" customHeight="1" x14ac:dyDescent="0.25">
      <c r="B79" s="23" t="s">
        <v>119</v>
      </c>
      <c r="C79" s="49">
        <f>AVERAGE('26.07 Rubaga-Natete-24h'!C79,'27.07 Rubaga-Natete-24h'!C79)</f>
        <v>27</v>
      </c>
      <c r="D79" s="49">
        <f>AVERAGE('26.07 Rubaga-Natete-24h'!D79,'27.07 Rubaga-Natete-24h'!D79)</f>
        <v>3</v>
      </c>
      <c r="E79" s="49">
        <f>AVERAGE('26.07 Rubaga-Natete-24h'!E79,'27.07 Rubaga-Natete-24h'!E79)</f>
        <v>1</v>
      </c>
      <c r="F79" s="49">
        <f>AVERAGE('26.07 Rubaga-Natete-24h'!F79,'27.07 Rubaga-Natete-24h'!F79)</f>
        <v>6.5</v>
      </c>
      <c r="G79" s="49">
        <f>AVERAGE('26.07 Rubaga-Natete-24h'!G79,'27.07 Rubaga-Natete-24h'!G79)</f>
        <v>0</v>
      </c>
      <c r="H79" s="49">
        <f>AVERAGE('26.07 Rubaga-Natete-24h'!H79,'27.07 Rubaga-Natete-24h'!H79)</f>
        <v>0</v>
      </c>
      <c r="I79" s="49">
        <f>AVERAGE('26.07 Rubaga-Natete-24h'!I79,'27.07 Rubaga-Natete-24h'!I79)</f>
        <v>1</v>
      </c>
      <c r="J79" s="49">
        <f>AVERAGE('26.07 Rubaga-Natete-24h'!J79,'27.07 Rubaga-Natete-24h'!J79)</f>
        <v>0</v>
      </c>
      <c r="K79" s="49">
        <f>AVERAGE('26.07 Rubaga-Natete-24h'!K79,'27.07 Rubaga-Natete-24h'!K79)</f>
        <v>0</v>
      </c>
      <c r="L79" s="49">
        <f>AVERAGE('26.07 Rubaga-Natete-24h'!L79,'27.07 Rubaga-Natete-24h'!L79)</f>
        <v>0</v>
      </c>
      <c r="M79" s="49">
        <f>AVERAGE('26.07 Rubaga-Natete-24h'!M79,'27.07 Rubaga-Natete-24h'!M79)</f>
        <v>70.5</v>
      </c>
      <c r="N79" s="49">
        <f>AVERAGE('26.07 Rubaga-Natete-24h'!N79,'27.07 Rubaga-Natete-24h'!N79)</f>
        <v>0</v>
      </c>
      <c r="O79" s="15">
        <f t="shared" si="35"/>
        <v>38.5</v>
      </c>
      <c r="P79" s="15">
        <f t="shared" si="36"/>
        <v>109</v>
      </c>
      <c r="R79" s="8"/>
      <c r="T79"/>
    </row>
    <row r="80" spans="2:20" ht="23.1" customHeight="1" x14ac:dyDescent="0.25">
      <c r="B80" s="25" t="s">
        <v>120</v>
      </c>
      <c r="C80" s="49">
        <f>AVERAGE('26.07 Rubaga-Natete-24h'!C80,'27.07 Rubaga-Natete-24h'!C80)</f>
        <v>29</v>
      </c>
      <c r="D80" s="49">
        <f>AVERAGE('26.07 Rubaga-Natete-24h'!D80,'27.07 Rubaga-Natete-24h'!D80)</f>
        <v>1</v>
      </c>
      <c r="E80" s="49">
        <f>AVERAGE('26.07 Rubaga-Natete-24h'!E80,'27.07 Rubaga-Natete-24h'!E80)</f>
        <v>0.5</v>
      </c>
      <c r="F80" s="49">
        <f>AVERAGE('26.07 Rubaga-Natete-24h'!F80,'27.07 Rubaga-Natete-24h'!F80)</f>
        <v>9.5</v>
      </c>
      <c r="G80" s="49">
        <f>AVERAGE('26.07 Rubaga-Natete-24h'!G80,'27.07 Rubaga-Natete-24h'!G80)</f>
        <v>1</v>
      </c>
      <c r="H80" s="49">
        <f>AVERAGE('26.07 Rubaga-Natete-24h'!H80,'27.07 Rubaga-Natete-24h'!H80)</f>
        <v>0</v>
      </c>
      <c r="I80" s="49">
        <f>AVERAGE('26.07 Rubaga-Natete-24h'!I80,'27.07 Rubaga-Natete-24h'!I80)</f>
        <v>0.5</v>
      </c>
      <c r="J80" s="49">
        <f>AVERAGE('26.07 Rubaga-Natete-24h'!J80,'27.07 Rubaga-Natete-24h'!J80)</f>
        <v>1</v>
      </c>
      <c r="K80" s="49">
        <f>AVERAGE('26.07 Rubaga-Natete-24h'!K80,'27.07 Rubaga-Natete-24h'!K80)</f>
        <v>0</v>
      </c>
      <c r="L80" s="49">
        <f>AVERAGE('26.07 Rubaga-Natete-24h'!L80,'27.07 Rubaga-Natete-24h'!L80)</f>
        <v>0</v>
      </c>
      <c r="M80" s="49">
        <f>AVERAGE('26.07 Rubaga-Natete-24h'!M80,'27.07 Rubaga-Natete-24h'!M80)</f>
        <v>51.5</v>
      </c>
      <c r="N80" s="49">
        <f>AVERAGE('26.07 Rubaga-Natete-24h'!N80,'27.07 Rubaga-Natete-24h'!N80)</f>
        <v>0</v>
      </c>
      <c r="O80" s="15">
        <f t="shared" si="35"/>
        <v>42.5</v>
      </c>
      <c r="P80" s="15">
        <f t="shared" si="36"/>
        <v>94</v>
      </c>
      <c r="R80" s="8"/>
      <c r="T80"/>
    </row>
    <row r="81" spans="2:20" ht="23.1" customHeight="1" x14ac:dyDescent="0.25">
      <c r="B81" s="23" t="s">
        <v>121</v>
      </c>
      <c r="C81" s="49">
        <f>AVERAGE('26.07 Rubaga-Natete-24h'!C81,'27.07 Rubaga-Natete-24h'!C81)</f>
        <v>16.5</v>
      </c>
      <c r="D81" s="49">
        <f>AVERAGE('26.07 Rubaga-Natete-24h'!D81,'27.07 Rubaga-Natete-24h'!D81)</f>
        <v>1.5</v>
      </c>
      <c r="E81" s="49">
        <f>AVERAGE('26.07 Rubaga-Natete-24h'!E81,'27.07 Rubaga-Natete-24h'!E81)</f>
        <v>1</v>
      </c>
      <c r="F81" s="49">
        <f>AVERAGE('26.07 Rubaga-Natete-24h'!F81,'27.07 Rubaga-Natete-24h'!F81)</f>
        <v>5</v>
      </c>
      <c r="G81" s="49">
        <f>AVERAGE('26.07 Rubaga-Natete-24h'!G81,'27.07 Rubaga-Natete-24h'!G81)</f>
        <v>0</v>
      </c>
      <c r="H81" s="49">
        <f>AVERAGE('26.07 Rubaga-Natete-24h'!H81,'27.07 Rubaga-Natete-24h'!H81)</f>
        <v>1</v>
      </c>
      <c r="I81" s="49">
        <f>AVERAGE('26.07 Rubaga-Natete-24h'!I81,'27.07 Rubaga-Natete-24h'!I81)</f>
        <v>0</v>
      </c>
      <c r="J81" s="49">
        <f>AVERAGE('26.07 Rubaga-Natete-24h'!J81,'27.07 Rubaga-Natete-24h'!J81)</f>
        <v>0</v>
      </c>
      <c r="K81" s="49">
        <f>AVERAGE('26.07 Rubaga-Natete-24h'!K81,'27.07 Rubaga-Natete-24h'!K81)</f>
        <v>0.5</v>
      </c>
      <c r="L81" s="49">
        <f>AVERAGE('26.07 Rubaga-Natete-24h'!L81,'27.07 Rubaga-Natete-24h'!L81)</f>
        <v>0</v>
      </c>
      <c r="M81" s="49">
        <f>AVERAGE('26.07 Rubaga-Natete-24h'!M81,'27.07 Rubaga-Natete-24h'!M81)</f>
        <v>54</v>
      </c>
      <c r="N81" s="49">
        <f>AVERAGE('26.07 Rubaga-Natete-24h'!N81,'27.07 Rubaga-Natete-24h'!N81)</f>
        <v>0</v>
      </c>
      <c r="O81" s="15">
        <f t="shared" si="35"/>
        <v>25.5</v>
      </c>
      <c r="P81" s="15">
        <f t="shared" si="36"/>
        <v>79.5</v>
      </c>
      <c r="R81" s="8"/>
      <c r="T81"/>
    </row>
    <row r="82" spans="2:20" ht="23.1" customHeight="1" x14ac:dyDescent="0.25">
      <c r="B82" s="24" t="s">
        <v>122</v>
      </c>
      <c r="C82" s="49">
        <f>AVERAGE('26.07 Rubaga-Natete-24h'!C82,'27.07 Rubaga-Natete-24h'!C82)</f>
        <v>13.5</v>
      </c>
      <c r="D82" s="49">
        <f>AVERAGE('26.07 Rubaga-Natete-24h'!D82,'27.07 Rubaga-Natete-24h'!D82)</f>
        <v>0.5</v>
      </c>
      <c r="E82" s="49">
        <f>AVERAGE('26.07 Rubaga-Natete-24h'!E82,'27.07 Rubaga-Natete-24h'!E82)</f>
        <v>0</v>
      </c>
      <c r="F82" s="49">
        <f>AVERAGE('26.07 Rubaga-Natete-24h'!F82,'27.07 Rubaga-Natete-24h'!F82)</f>
        <v>3.5</v>
      </c>
      <c r="G82" s="49">
        <f>AVERAGE('26.07 Rubaga-Natete-24h'!G82,'27.07 Rubaga-Natete-24h'!G82)</f>
        <v>0</v>
      </c>
      <c r="H82" s="49">
        <f>AVERAGE('26.07 Rubaga-Natete-24h'!H82,'27.07 Rubaga-Natete-24h'!H82)</f>
        <v>0.5</v>
      </c>
      <c r="I82" s="49">
        <f>AVERAGE('26.07 Rubaga-Natete-24h'!I82,'27.07 Rubaga-Natete-24h'!I82)</f>
        <v>1</v>
      </c>
      <c r="J82" s="49">
        <f>AVERAGE('26.07 Rubaga-Natete-24h'!J82,'27.07 Rubaga-Natete-24h'!J82)</f>
        <v>1</v>
      </c>
      <c r="K82" s="49">
        <f>AVERAGE('26.07 Rubaga-Natete-24h'!K82,'27.07 Rubaga-Natete-24h'!K82)</f>
        <v>0.5</v>
      </c>
      <c r="L82" s="49">
        <f>AVERAGE('26.07 Rubaga-Natete-24h'!L82,'27.07 Rubaga-Natete-24h'!L82)</f>
        <v>0</v>
      </c>
      <c r="M82" s="49">
        <f>AVERAGE('26.07 Rubaga-Natete-24h'!M82,'27.07 Rubaga-Natete-24h'!M82)</f>
        <v>37</v>
      </c>
      <c r="N82" s="49">
        <f>AVERAGE('26.07 Rubaga-Natete-24h'!N82,'27.07 Rubaga-Natete-24h'!N82)</f>
        <v>0</v>
      </c>
      <c r="O82" s="15">
        <f t="shared" si="35"/>
        <v>20.5</v>
      </c>
      <c r="P82" s="15">
        <f t="shared" si="36"/>
        <v>57.5</v>
      </c>
      <c r="R82" s="8"/>
      <c r="T82"/>
    </row>
    <row r="83" spans="2:20" ht="23.1" customHeight="1" x14ac:dyDescent="0.25">
      <c r="B83" s="23" t="s">
        <v>123</v>
      </c>
      <c r="C83" s="49">
        <f>AVERAGE('26.07 Rubaga-Natete-24h'!C83,'27.07 Rubaga-Natete-24h'!C83)</f>
        <v>13</v>
      </c>
      <c r="D83" s="49">
        <f>AVERAGE('26.07 Rubaga-Natete-24h'!D83,'27.07 Rubaga-Natete-24h'!D83)</f>
        <v>1</v>
      </c>
      <c r="E83" s="49">
        <f>AVERAGE('26.07 Rubaga-Natete-24h'!E83,'27.07 Rubaga-Natete-24h'!E83)</f>
        <v>1</v>
      </c>
      <c r="F83" s="49">
        <f>AVERAGE('26.07 Rubaga-Natete-24h'!F83,'27.07 Rubaga-Natete-24h'!F83)</f>
        <v>6</v>
      </c>
      <c r="G83" s="49">
        <f>AVERAGE('26.07 Rubaga-Natete-24h'!G83,'27.07 Rubaga-Natete-24h'!G83)</f>
        <v>0</v>
      </c>
      <c r="H83" s="49">
        <f>AVERAGE('26.07 Rubaga-Natete-24h'!H83,'27.07 Rubaga-Natete-24h'!H83)</f>
        <v>2.5</v>
      </c>
      <c r="I83" s="49">
        <f>AVERAGE('26.07 Rubaga-Natete-24h'!I83,'27.07 Rubaga-Natete-24h'!I83)</f>
        <v>0.5</v>
      </c>
      <c r="J83" s="49">
        <f>AVERAGE('26.07 Rubaga-Natete-24h'!J83,'27.07 Rubaga-Natete-24h'!J83)</f>
        <v>0.5</v>
      </c>
      <c r="K83" s="49">
        <f>AVERAGE('26.07 Rubaga-Natete-24h'!K83,'27.07 Rubaga-Natete-24h'!K83)</f>
        <v>0</v>
      </c>
      <c r="L83" s="49">
        <f>AVERAGE('26.07 Rubaga-Natete-24h'!L83,'27.07 Rubaga-Natete-24h'!L83)</f>
        <v>0</v>
      </c>
      <c r="M83" s="49">
        <f>AVERAGE('26.07 Rubaga-Natete-24h'!M83,'27.07 Rubaga-Natete-24h'!M83)</f>
        <v>20.5</v>
      </c>
      <c r="N83" s="49">
        <f>AVERAGE('26.07 Rubaga-Natete-24h'!N83,'27.07 Rubaga-Natete-24h'!N83)</f>
        <v>0</v>
      </c>
      <c r="O83" s="15">
        <f t="shared" si="35"/>
        <v>24.5</v>
      </c>
      <c r="P83" s="15">
        <f t="shared" si="36"/>
        <v>45</v>
      </c>
      <c r="R83" s="8"/>
      <c r="T83"/>
    </row>
    <row r="84" spans="2:20" ht="23.1" customHeight="1" x14ac:dyDescent="0.25">
      <c r="B84" s="25" t="s">
        <v>124</v>
      </c>
      <c r="C84" s="49">
        <f>AVERAGE('26.07 Rubaga-Natete-24h'!C84,'27.07 Rubaga-Natete-24h'!C84)</f>
        <v>9</v>
      </c>
      <c r="D84" s="49">
        <f>AVERAGE('26.07 Rubaga-Natete-24h'!D84,'27.07 Rubaga-Natete-24h'!D84)</f>
        <v>1.5</v>
      </c>
      <c r="E84" s="49">
        <f>AVERAGE('26.07 Rubaga-Natete-24h'!E84,'27.07 Rubaga-Natete-24h'!E84)</f>
        <v>1.5</v>
      </c>
      <c r="F84" s="49">
        <f>AVERAGE('26.07 Rubaga-Natete-24h'!F84,'27.07 Rubaga-Natete-24h'!F84)</f>
        <v>1</v>
      </c>
      <c r="G84" s="49">
        <f>AVERAGE('26.07 Rubaga-Natete-24h'!G84,'27.07 Rubaga-Natete-24h'!G84)</f>
        <v>0.5</v>
      </c>
      <c r="H84" s="49">
        <f>AVERAGE('26.07 Rubaga-Natete-24h'!H84,'27.07 Rubaga-Natete-24h'!H84)</f>
        <v>0</v>
      </c>
      <c r="I84" s="49">
        <f>AVERAGE('26.07 Rubaga-Natete-24h'!I84,'27.07 Rubaga-Natete-24h'!I84)</f>
        <v>0</v>
      </c>
      <c r="J84" s="49">
        <f>AVERAGE('26.07 Rubaga-Natete-24h'!J84,'27.07 Rubaga-Natete-24h'!J84)</f>
        <v>0</v>
      </c>
      <c r="K84" s="49">
        <f>AVERAGE('26.07 Rubaga-Natete-24h'!K84,'27.07 Rubaga-Natete-24h'!K84)</f>
        <v>5.5</v>
      </c>
      <c r="L84" s="49">
        <f>AVERAGE('26.07 Rubaga-Natete-24h'!L84,'27.07 Rubaga-Natete-24h'!L84)</f>
        <v>0</v>
      </c>
      <c r="M84" s="49">
        <f>AVERAGE('26.07 Rubaga-Natete-24h'!M84,'27.07 Rubaga-Natete-24h'!M84)</f>
        <v>24</v>
      </c>
      <c r="N84" s="49">
        <f>AVERAGE('26.07 Rubaga-Natete-24h'!N84,'27.07 Rubaga-Natete-24h'!N84)</f>
        <v>0</v>
      </c>
      <c r="O84" s="15">
        <f t="shared" si="35"/>
        <v>19</v>
      </c>
      <c r="P84" s="15">
        <f t="shared" si="36"/>
        <v>43</v>
      </c>
      <c r="R84" s="8"/>
      <c r="T84"/>
    </row>
    <row r="85" spans="2:20" ht="23.1" customHeight="1" x14ac:dyDescent="0.25">
      <c r="B85" s="23" t="s">
        <v>125</v>
      </c>
      <c r="C85" s="49">
        <f>AVERAGE('26.07 Rubaga-Natete-24h'!C85,'27.07 Rubaga-Natete-24h'!C85)</f>
        <v>19</v>
      </c>
      <c r="D85" s="49">
        <f>AVERAGE('26.07 Rubaga-Natete-24h'!D85,'27.07 Rubaga-Natete-24h'!D85)</f>
        <v>0.5</v>
      </c>
      <c r="E85" s="49">
        <f>AVERAGE('26.07 Rubaga-Natete-24h'!E85,'27.07 Rubaga-Natete-24h'!E85)</f>
        <v>1</v>
      </c>
      <c r="F85" s="49">
        <f>AVERAGE('26.07 Rubaga-Natete-24h'!F85,'27.07 Rubaga-Natete-24h'!F85)</f>
        <v>1.5</v>
      </c>
      <c r="G85" s="49">
        <f>AVERAGE('26.07 Rubaga-Natete-24h'!G85,'27.07 Rubaga-Natete-24h'!G85)</f>
        <v>1</v>
      </c>
      <c r="H85" s="49">
        <f>AVERAGE('26.07 Rubaga-Natete-24h'!H85,'27.07 Rubaga-Natete-24h'!H85)</f>
        <v>0</v>
      </c>
      <c r="I85" s="49">
        <f>AVERAGE('26.07 Rubaga-Natete-24h'!I85,'27.07 Rubaga-Natete-24h'!I85)</f>
        <v>0</v>
      </c>
      <c r="J85" s="49">
        <f>AVERAGE('26.07 Rubaga-Natete-24h'!J85,'27.07 Rubaga-Natete-24h'!J85)</f>
        <v>0</v>
      </c>
      <c r="K85" s="49">
        <f>AVERAGE('26.07 Rubaga-Natete-24h'!K85,'27.07 Rubaga-Natete-24h'!K85)</f>
        <v>0</v>
      </c>
      <c r="L85" s="49">
        <f>AVERAGE('26.07 Rubaga-Natete-24h'!L85,'27.07 Rubaga-Natete-24h'!L85)</f>
        <v>0</v>
      </c>
      <c r="M85" s="49">
        <f>AVERAGE('26.07 Rubaga-Natete-24h'!M85,'27.07 Rubaga-Natete-24h'!M85)</f>
        <v>23</v>
      </c>
      <c r="N85" s="49">
        <f>AVERAGE('26.07 Rubaga-Natete-24h'!N85,'27.07 Rubaga-Natete-24h'!N85)</f>
        <v>0</v>
      </c>
      <c r="O85" s="15">
        <f t="shared" si="35"/>
        <v>23</v>
      </c>
      <c r="P85" s="15">
        <f t="shared" si="36"/>
        <v>46</v>
      </c>
      <c r="R85" s="8"/>
      <c r="T85"/>
    </row>
    <row r="86" spans="2:20" ht="23.1" customHeight="1" x14ac:dyDescent="0.25">
      <c r="B86" s="24" t="s">
        <v>126</v>
      </c>
      <c r="C86" s="49">
        <f>AVERAGE('26.07 Rubaga-Natete-24h'!C86,'27.07 Rubaga-Natete-24h'!C86)</f>
        <v>7</v>
      </c>
      <c r="D86" s="49">
        <f>AVERAGE('26.07 Rubaga-Natete-24h'!D86,'27.07 Rubaga-Natete-24h'!D86)</f>
        <v>0</v>
      </c>
      <c r="E86" s="49">
        <f>AVERAGE('26.07 Rubaga-Natete-24h'!E86,'27.07 Rubaga-Natete-24h'!E86)</f>
        <v>1.5</v>
      </c>
      <c r="F86" s="49">
        <f>AVERAGE('26.07 Rubaga-Natete-24h'!F86,'27.07 Rubaga-Natete-24h'!F86)</f>
        <v>0.5</v>
      </c>
      <c r="G86" s="49">
        <f>AVERAGE('26.07 Rubaga-Natete-24h'!G86,'27.07 Rubaga-Natete-24h'!G86)</f>
        <v>0.5</v>
      </c>
      <c r="H86" s="49">
        <f>AVERAGE('26.07 Rubaga-Natete-24h'!H86,'27.07 Rubaga-Natete-24h'!H86)</f>
        <v>0</v>
      </c>
      <c r="I86" s="49">
        <f>AVERAGE('26.07 Rubaga-Natete-24h'!I86,'27.07 Rubaga-Natete-24h'!I86)</f>
        <v>0.5</v>
      </c>
      <c r="J86" s="49">
        <f>AVERAGE('26.07 Rubaga-Natete-24h'!J86,'27.07 Rubaga-Natete-24h'!J86)</f>
        <v>1.5</v>
      </c>
      <c r="K86" s="49">
        <f>AVERAGE('26.07 Rubaga-Natete-24h'!K86,'27.07 Rubaga-Natete-24h'!K86)</f>
        <v>0</v>
      </c>
      <c r="L86" s="49">
        <f>AVERAGE('26.07 Rubaga-Natete-24h'!L86,'27.07 Rubaga-Natete-24h'!L86)</f>
        <v>0</v>
      </c>
      <c r="M86" s="49">
        <f>AVERAGE('26.07 Rubaga-Natete-24h'!M86,'27.07 Rubaga-Natete-24h'!M86)</f>
        <v>19</v>
      </c>
      <c r="N86" s="49">
        <f>AVERAGE('26.07 Rubaga-Natete-24h'!N86,'27.07 Rubaga-Natete-24h'!N86)</f>
        <v>0</v>
      </c>
      <c r="O86" s="15">
        <f t="shared" si="35"/>
        <v>11.5</v>
      </c>
      <c r="P86" s="15">
        <f t="shared" si="36"/>
        <v>30.5</v>
      </c>
      <c r="R86" s="8"/>
      <c r="T86"/>
    </row>
    <row r="87" spans="2:20" ht="23.1" customHeight="1" x14ac:dyDescent="0.25">
      <c r="B87" s="23" t="s">
        <v>127</v>
      </c>
      <c r="C87" s="49">
        <f>AVERAGE('26.07 Rubaga-Natete-24h'!C87,'27.07 Rubaga-Natete-24h'!C87)</f>
        <v>10.5</v>
      </c>
      <c r="D87" s="49">
        <f>AVERAGE('26.07 Rubaga-Natete-24h'!D87,'27.07 Rubaga-Natete-24h'!D87)</f>
        <v>1</v>
      </c>
      <c r="E87" s="49">
        <f>AVERAGE('26.07 Rubaga-Natete-24h'!E87,'27.07 Rubaga-Natete-24h'!E87)</f>
        <v>0</v>
      </c>
      <c r="F87" s="49">
        <f>AVERAGE('26.07 Rubaga-Natete-24h'!F87,'27.07 Rubaga-Natete-24h'!F87)</f>
        <v>0</v>
      </c>
      <c r="G87" s="49">
        <f>AVERAGE('26.07 Rubaga-Natete-24h'!G87,'27.07 Rubaga-Natete-24h'!G87)</f>
        <v>0.5</v>
      </c>
      <c r="H87" s="49">
        <f>AVERAGE('26.07 Rubaga-Natete-24h'!H87,'27.07 Rubaga-Natete-24h'!H87)</f>
        <v>0.5</v>
      </c>
      <c r="I87" s="49">
        <f>AVERAGE('26.07 Rubaga-Natete-24h'!I87,'27.07 Rubaga-Natete-24h'!I87)</f>
        <v>0.5</v>
      </c>
      <c r="J87" s="49">
        <f>AVERAGE('26.07 Rubaga-Natete-24h'!J87,'27.07 Rubaga-Natete-24h'!J87)</f>
        <v>1.5</v>
      </c>
      <c r="K87" s="49">
        <f>AVERAGE('26.07 Rubaga-Natete-24h'!K87,'27.07 Rubaga-Natete-24h'!K87)</f>
        <v>0</v>
      </c>
      <c r="L87" s="49">
        <f>AVERAGE('26.07 Rubaga-Natete-24h'!L87,'27.07 Rubaga-Natete-24h'!L87)</f>
        <v>0.5</v>
      </c>
      <c r="M87" s="49">
        <f>AVERAGE('26.07 Rubaga-Natete-24h'!M87,'27.07 Rubaga-Natete-24h'!M87)</f>
        <v>21</v>
      </c>
      <c r="N87" s="49">
        <f>AVERAGE('26.07 Rubaga-Natete-24h'!N87,'27.07 Rubaga-Natete-24h'!N87)</f>
        <v>0</v>
      </c>
      <c r="O87" s="15">
        <f t="shared" si="35"/>
        <v>15</v>
      </c>
      <c r="P87" s="15">
        <f t="shared" si="36"/>
        <v>36</v>
      </c>
      <c r="R87" s="8"/>
      <c r="T87"/>
    </row>
    <row r="88" spans="2:20" ht="23.1" customHeight="1" x14ac:dyDescent="0.25">
      <c r="B88" s="25" t="s">
        <v>128</v>
      </c>
      <c r="C88" s="49">
        <f>AVERAGE('26.07 Rubaga-Natete-24h'!C88,'27.07 Rubaga-Natete-24h'!C88)</f>
        <v>10</v>
      </c>
      <c r="D88" s="49">
        <f>AVERAGE('26.07 Rubaga-Natete-24h'!D88,'27.07 Rubaga-Natete-24h'!D88)</f>
        <v>0.5</v>
      </c>
      <c r="E88" s="49">
        <f>AVERAGE('26.07 Rubaga-Natete-24h'!E88,'27.07 Rubaga-Natete-24h'!E88)</f>
        <v>2.5</v>
      </c>
      <c r="F88" s="49">
        <f>AVERAGE('26.07 Rubaga-Natete-24h'!F88,'27.07 Rubaga-Natete-24h'!F88)</f>
        <v>0</v>
      </c>
      <c r="G88" s="49">
        <f>AVERAGE('26.07 Rubaga-Natete-24h'!G88,'27.07 Rubaga-Natete-24h'!G88)</f>
        <v>0</v>
      </c>
      <c r="H88" s="49">
        <f>AVERAGE('26.07 Rubaga-Natete-24h'!H88,'27.07 Rubaga-Natete-24h'!H88)</f>
        <v>0</v>
      </c>
      <c r="I88" s="49">
        <f>AVERAGE('26.07 Rubaga-Natete-24h'!I88,'27.07 Rubaga-Natete-24h'!I88)</f>
        <v>0.5</v>
      </c>
      <c r="J88" s="49">
        <f>AVERAGE('26.07 Rubaga-Natete-24h'!J88,'27.07 Rubaga-Natete-24h'!J88)</f>
        <v>0.5</v>
      </c>
      <c r="K88" s="49">
        <f>AVERAGE('26.07 Rubaga-Natete-24h'!K88,'27.07 Rubaga-Natete-24h'!K88)</f>
        <v>0</v>
      </c>
      <c r="L88" s="49">
        <f>AVERAGE('26.07 Rubaga-Natete-24h'!L88,'27.07 Rubaga-Natete-24h'!L88)</f>
        <v>0</v>
      </c>
      <c r="M88" s="49">
        <f>AVERAGE('26.07 Rubaga-Natete-24h'!M88,'27.07 Rubaga-Natete-24h'!M88)</f>
        <v>17.5</v>
      </c>
      <c r="N88" s="49">
        <f>AVERAGE('26.07 Rubaga-Natete-24h'!N88,'27.07 Rubaga-Natete-24h'!N88)</f>
        <v>0</v>
      </c>
      <c r="O88" s="15">
        <f t="shared" si="35"/>
        <v>14</v>
      </c>
      <c r="P88" s="15">
        <f t="shared" si="36"/>
        <v>31.5</v>
      </c>
      <c r="R88" s="8"/>
      <c r="T88"/>
    </row>
    <row r="89" spans="2:20" ht="23.1" customHeight="1" x14ac:dyDescent="0.25">
      <c r="B89" s="23" t="s">
        <v>129</v>
      </c>
      <c r="C89" s="49">
        <f>AVERAGE('26.07 Rubaga-Natete-24h'!C89,'27.07 Rubaga-Natete-24h'!C89)</f>
        <v>11</v>
      </c>
      <c r="D89" s="49">
        <f>AVERAGE('26.07 Rubaga-Natete-24h'!D89,'27.07 Rubaga-Natete-24h'!D89)</f>
        <v>0.5</v>
      </c>
      <c r="E89" s="49">
        <f>AVERAGE('26.07 Rubaga-Natete-24h'!E89,'27.07 Rubaga-Natete-24h'!E89)</f>
        <v>1.5</v>
      </c>
      <c r="F89" s="49">
        <f>AVERAGE('26.07 Rubaga-Natete-24h'!F89,'27.07 Rubaga-Natete-24h'!F89)</f>
        <v>1</v>
      </c>
      <c r="G89" s="49">
        <f>AVERAGE('26.07 Rubaga-Natete-24h'!G89,'27.07 Rubaga-Natete-24h'!G89)</f>
        <v>0</v>
      </c>
      <c r="H89" s="49">
        <f>AVERAGE('26.07 Rubaga-Natete-24h'!H89,'27.07 Rubaga-Natete-24h'!H89)</f>
        <v>0</v>
      </c>
      <c r="I89" s="49">
        <f>AVERAGE('26.07 Rubaga-Natete-24h'!I89,'27.07 Rubaga-Natete-24h'!I89)</f>
        <v>0</v>
      </c>
      <c r="J89" s="49">
        <f>AVERAGE('26.07 Rubaga-Natete-24h'!J89,'27.07 Rubaga-Natete-24h'!J89)</f>
        <v>0.5</v>
      </c>
      <c r="K89" s="49">
        <f>AVERAGE('26.07 Rubaga-Natete-24h'!K89,'27.07 Rubaga-Natete-24h'!K89)</f>
        <v>0</v>
      </c>
      <c r="L89" s="49">
        <f>AVERAGE('26.07 Rubaga-Natete-24h'!L89,'27.07 Rubaga-Natete-24h'!L89)</f>
        <v>0</v>
      </c>
      <c r="M89" s="49">
        <f>AVERAGE('26.07 Rubaga-Natete-24h'!M89,'27.07 Rubaga-Natete-24h'!M89)</f>
        <v>22.5</v>
      </c>
      <c r="N89" s="49">
        <f>AVERAGE('26.07 Rubaga-Natete-24h'!N89,'27.07 Rubaga-Natete-24h'!N89)</f>
        <v>0</v>
      </c>
      <c r="O89" s="15">
        <f t="shared" si="35"/>
        <v>14.5</v>
      </c>
      <c r="P89" s="15">
        <f t="shared" si="36"/>
        <v>37</v>
      </c>
      <c r="R89" s="8"/>
      <c r="T89"/>
    </row>
    <row r="90" spans="2:20" ht="23.1" customHeight="1" x14ac:dyDescent="0.25">
      <c r="B90" s="24" t="s">
        <v>130</v>
      </c>
      <c r="C90" s="49">
        <f>AVERAGE('26.07 Rubaga-Natete-24h'!C90,'27.07 Rubaga-Natete-24h'!C90)</f>
        <v>12</v>
      </c>
      <c r="D90" s="49">
        <f>AVERAGE('26.07 Rubaga-Natete-24h'!D90,'27.07 Rubaga-Natete-24h'!D90)</f>
        <v>0.5</v>
      </c>
      <c r="E90" s="49">
        <f>AVERAGE('26.07 Rubaga-Natete-24h'!E90,'27.07 Rubaga-Natete-24h'!E90)</f>
        <v>0.5</v>
      </c>
      <c r="F90" s="49">
        <f>AVERAGE('26.07 Rubaga-Natete-24h'!F90,'27.07 Rubaga-Natete-24h'!F90)</f>
        <v>0</v>
      </c>
      <c r="G90" s="49">
        <f>AVERAGE('26.07 Rubaga-Natete-24h'!G90,'27.07 Rubaga-Natete-24h'!G90)</f>
        <v>0</v>
      </c>
      <c r="H90" s="49">
        <f>AVERAGE('26.07 Rubaga-Natete-24h'!H90,'27.07 Rubaga-Natete-24h'!H90)</f>
        <v>0.5</v>
      </c>
      <c r="I90" s="49">
        <f>AVERAGE('26.07 Rubaga-Natete-24h'!I90,'27.07 Rubaga-Natete-24h'!I90)</f>
        <v>0</v>
      </c>
      <c r="J90" s="49">
        <f>AVERAGE('26.07 Rubaga-Natete-24h'!J90,'27.07 Rubaga-Natete-24h'!J90)</f>
        <v>0</v>
      </c>
      <c r="K90" s="49">
        <f>AVERAGE('26.07 Rubaga-Natete-24h'!K90,'27.07 Rubaga-Natete-24h'!K90)</f>
        <v>0</v>
      </c>
      <c r="L90" s="49">
        <f>AVERAGE('26.07 Rubaga-Natete-24h'!L90,'27.07 Rubaga-Natete-24h'!L90)</f>
        <v>0</v>
      </c>
      <c r="M90" s="49">
        <f>AVERAGE('26.07 Rubaga-Natete-24h'!M90,'27.07 Rubaga-Natete-24h'!M90)</f>
        <v>10.5</v>
      </c>
      <c r="N90" s="49">
        <f>AVERAGE('26.07 Rubaga-Natete-24h'!N90,'27.07 Rubaga-Natete-24h'!N90)</f>
        <v>0</v>
      </c>
      <c r="O90" s="15">
        <f t="shared" si="35"/>
        <v>13.5</v>
      </c>
      <c r="P90" s="15">
        <f t="shared" si="36"/>
        <v>24</v>
      </c>
      <c r="R90" s="8"/>
      <c r="T90"/>
    </row>
    <row r="91" spans="2:20" ht="23.1" customHeight="1" x14ac:dyDescent="0.25">
      <c r="B91" s="23" t="s">
        <v>131</v>
      </c>
      <c r="C91" s="49">
        <f>AVERAGE('26.07 Rubaga-Natete-24h'!C91,'27.07 Rubaga-Natete-24h'!C91)</f>
        <v>8.5</v>
      </c>
      <c r="D91" s="49">
        <f>AVERAGE('26.07 Rubaga-Natete-24h'!D91,'27.07 Rubaga-Natete-24h'!D91)</f>
        <v>2</v>
      </c>
      <c r="E91" s="49">
        <f>AVERAGE('26.07 Rubaga-Natete-24h'!E91,'27.07 Rubaga-Natete-24h'!E91)</f>
        <v>1.5</v>
      </c>
      <c r="F91" s="49">
        <f>AVERAGE('26.07 Rubaga-Natete-24h'!F91,'27.07 Rubaga-Natete-24h'!F91)</f>
        <v>0.5</v>
      </c>
      <c r="G91" s="49">
        <f>AVERAGE('26.07 Rubaga-Natete-24h'!G91,'27.07 Rubaga-Natete-24h'!G91)</f>
        <v>0</v>
      </c>
      <c r="H91" s="49">
        <f>AVERAGE('26.07 Rubaga-Natete-24h'!H91,'27.07 Rubaga-Natete-24h'!H91)</f>
        <v>0.5</v>
      </c>
      <c r="I91" s="49">
        <f>AVERAGE('26.07 Rubaga-Natete-24h'!I91,'27.07 Rubaga-Natete-24h'!I91)</f>
        <v>1</v>
      </c>
      <c r="J91" s="49">
        <f>AVERAGE('26.07 Rubaga-Natete-24h'!J91,'27.07 Rubaga-Natete-24h'!J91)</f>
        <v>0</v>
      </c>
      <c r="K91" s="49">
        <f>AVERAGE('26.07 Rubaga-Natete-24h'!K91,'27.07 Rubaga-Natete-24h'!K91)</f>
        <v>0</v>
      </c>
      <c r="L91" s="49">
        <f>AVERAGE('26.07 Rubaga-Natete-24h'!L91,'27.07 Rubaga-Natete-24h'!L91)</f>
        <v>0</v>
      </c>
      <c r="M91" s="49">
        <f>AVERAGE('26.07 Rubaga-Natete-24h'!M91,'27.07 Rubaga-Natete-24h'!M91)</f>
        <v>10.5</v>
      </c>
      <c r="N91" s="49">
        <f>AVERAGE('26.07 Rubaga-Natete-24h'!N91,'27.07 Rubaga-Natete-24h'!N91)</f>
        <v>0</v>
      </c>
      <c r="O91" s="15">
        <f t="shared" si="35"/>
        <v>14</v>
      </c>
      <c r="P91" s="15">
        <f t="shared" si="36"/>
        <v>24.5</v>
      </c>
      <c r="R91" s="8"/>
      <c r="T91"/>
    </row>
    <row r="92" spans="2:20" ht="23.1" customHeight="1" x14ac:dyDescent="0.25">
      <c r="B92" s="25" t="s">
        <v>132</v>
      </c>
      <c r="C92" s="49">
        <f>AVERAGE('26.07 Rubaga-Natete-24h'!C92,'27.07 Rubaga-Natete-24h'!C92)</f>
        <v>3.5</v>
      </c>
      <c r="D92" s="49">
        <f>AVERAGE('26.07 Rubaga-Natete-24h'!D92,'27.07 Rubaga-Natete-24h'!D92)</f>
        <v>1.5</v>
      </c>
      <c r="E92" s="49">
        <f>AVERAGE('26.07 Rubaga-Natete-24h'!E92,'27.07 Rubaga-Natete-24h'!E92)</f>
        <v>0.5</v>
      </c>
      <c r="F92" s="49">
        <f>AVERAGE('26.07 Rubaga-Natete-24h'!F92,'27.07 Rubaga-Natete-24h'!F92)</f>
        <v>0.5</v>
      </c>
      <c r="G92" s="49">
        <f>AVERAGE('26.07 Rubaga-Natete-24h'!G92,'27.07 Rubaga-Natete-24h'!G92)</f>
        <v>0.5</v>
      </c>
      <c r="H92" s="49">
        <f>AVERAGE('26.07 Rubaga-Natete-24h'!H92,'27.07 Rubaga-Natete-24h'!H92)</f>
        <v>0</v>
      </c>
      <c r="I92" s="49">
        <f>AVERAGE('26.07 Rubaga-Natete-24h'!I92,'27.07 Rubaga-Natete-24h'!I92)</f>
        <v>0</v>
      </c>
      <c r="J92" s="49">
        <f>AVERAGE('26.07 Rubaga-Natete-24h'!J92,'27.07 Rubaga-Natete-24h'!J92)</f>
        <v>0</v>
      </c>
      <c r="K92" s="49">
        <f>AVERAGE('26.07 Rubaga-Natete-24h'!K92,'27.07 Rubaga-Natete-24h'!K92)</f>
        <v>0</v>
      </c>
      <c r="L92" s="49">
        <f>AVERAGE('26.07 Rubaga-Natete-24h'!L92,'27.07 Rubaga-Natete-24h'!L92)</f>
        <v>0</v>
      </c>
      <c r="M92" s="49">
        <f>AVERAGE('26.07 Rubaga-Natete-24h'!M92,'27.07 Rubaga-Natete-24h'!M92)</f>
        <v>9</v>
      </c>
      <c r="N92" s="49">
        <f>AVERAGE('26.07 Rubaga-Natete-24h'!N92,'27.07 Rubaga-Natete-24h'!N92)</f>
        <v>0</v>
      </c>
      <c r="O92" s="15">
        <f t="shared" si="35"/>
        <v>6.5</v>
      </c>
      <c r="P92" s="15">
        <f t="shared" si="36"/>
        <v>15.5</v>
      </c>
      <c r="R92" s="8"/>
      <c r="T92"/>
    </row>
    <row r="93" spans="2:20" ht="23.1" customHeight="1" x14ac:dyDescent="0.25">
      <c r="B93" s="23" t="s">
        <v>133</v>
      </c>
      <c r="C93" s="49">
        <f>AVERAGE('26.07 Rubaga-Natete-24h'!C93,'27.07 Rubaga-Natete-24h'!C93)</f>
        <v>5</v>
      </c>
      <c r="D93" s="49">
        <f>AVERAGE('26.07 Rubaga-Natete-24h'!D93,'27.07 Rubaga-Natete-24h'!D93)</f>
        <v>1</v>
      </c>
      <c r="E93" s="49">
        <f>AVERAGE('26.07 Rubaga-Natete-24h'!E93,'27.07 Rubaga-Natete-24h'!E93)</f>
        <v>1.5</v>
      </c>
      <c r="F93" s="49">
        <f>AVERAGE('26.07 Rubaga-Natete-24h'!F93,'27.07 Rubaga-Natete-24h'!F93)</f>
        <v>0.5</v>
      </c>
      <c r="G93" s="49">
        <f>AVERAGE('26.07 Rubaga-Natete-24h'!G93,'27.07 Rubaga-Natete-24h'!G93)</f>
        <v>0</v>
      </c>
      <c r="H93" s="49">
        <f>AVERAGE('26.07 Rubaga-Natete-24h'!H93,'27.07 Rubaga-Natete-24h'!H93)</f>
        <v>0</v>
      </c>
      <c r="I93" s="49">
        <f>AVERAGE('26.07 Rubaga-Natete-24h'!I93,'27.07 Rubaga-Natete-24h'!I93)</f>
        <v>0</v>
      </c>
      <c r="J93" s="49">
        <f>AVERAGE('26.07 Rubaga-Natete-24h'!J93,'27.07 Rubaga-Natete-24h'!J93)</f>
        <v>0</v>
      </c>
      <c r="K93" s="49">
        <f>AVERAGE('26.07 Rubaga-Natete-24h'!K93,'27.07 Rubaga-Natete-24h'!K93)</f>
        <v>0</v>
      </c>
      <c r="L93" s="49">
        <f>AVERAGE('26.07 Rubaga-Natete-24h'!L93,'27.07 Rubaga-Natete-24h'!L93)</f>
        <v>0.5</v>
      </c>
      <c r="M93" s="49">
        <f>AVERAGE('26.07 Rubaga-Natete-24h'!M93,'27.07 Rubaga-Natete-24h'!M93)</f>
        <v>10.5</v>
      </c>
      <c r="N93" s="49">
        <f>AVERAGE('26.07 Rubaga-Natete-24h'!N93,'27.07 Rubaga-Natete-24h'!N93)</f>
        <v>0</v>
      </c>
      <c r="O93" s="15">
        <f t="shared" si="35"/>
        <v>8.5</v>
      </c>
      <c r="P93" s="15">
        <f t="shared" si="36"/>
        <v>19</v>
      </c>
      <c r="R93" s="8"/>
      <c r="T93"/>
    </row>
    <row r="94" spans="2:20" ht="23.1" customHeight="1" x14ac:dyDescent="0.25">
      <c r="B94" s="24" t="s">
        <v>134</v>
      </c>
      <c r="C94" s="49">
        <f>AVERAGE('26.07 Rubaga-Natete-24h'!C94,'27.07 Rubaga-Natete-24h'!C94)</f>
        <v>7.5</v>
      </c>
      <c r="D94" s="49">
        <f>AVERAGE('26.07 Rubaga-Natete-24h'!D94,'27.07 Rubaga-Natete-24h'!D94)</f>
        <v>1</v>
      </c>
      <c r="E94" s="49">
        <f>AVERAGE('26.07 Rubaga-Natete-24h'!E94,'27.07 Rubaga-Natete-24h'!E94)</f>
        <v>0.5</v>
      </c>
      <c r="F94" s="49">
        <f>AVERAGE('26.07 Rubaga-Natete-24h'!F94,'27.07 Rubaga-Natete-24h'!F94)</f>
        <v>0.5</v>
      </c>
      <c r="G94" s="49">
        <f>AVERAGE('26.07 Rubaga-Natete-24h'!G94,'27.07 Rubaga-Natete-24h'!G94)</f>
        <v>0</v>
      </c>
      <c r="H94" s="49">
        <f>AVERAGE('26.07 Rubaga-Natete-24h'!H94,'27.07 Rubaga-Natete-24h'!H94)</f>
        <v>1</v>
      </c>
      <c r="I94" s="49">
        <f>AVERAGE('26.07 Rubaga-Natete-24h'!I94,'27.07 Rubaga-Natete-24h'!I94)</f>
        <v>0</v>
      </c>
      <c r="J94" s="49">
        <f>AVERAGE('26.07 Rubaga-Natete-24h'!J94,'27.07 Rubaga-Natete-24h'!J94)</f>
        <v>0</v>
      </c>
      <c r="K94" s="49">
        <f>AVERAGE('26.07 Rubaga-Natete-24h'!K94,'27.07 Rubaga-Natete-24h'!K94)</f>
        <v>0</v>
      </c>
      <c r="L94" s="49">
        <f>AVERAGE('26.07 Rubaga-Natete-24h'!L94,'27.07 Rubaga-Natete-24h'!L94)</f>
        <v>0</v>
      </c>
      <c r="M94" s="49">
        <f>AVERAGE('26.07 Rubaga-Natete-24h'!M94,'27.07 Rubaga-Natete-24h'!M94)</f>
        <v>15</v>
      </c>
      <c r="N94" s="49">
        <f>AVERAGE('26.07 Rubaga-Natete-24h'!N94,'27.07 Rubaga-Natete-24h'!N94)</f>
        <v>0</v>
      </c>
      <c r="O94" s="15">
        <f t="shared" si="35"/>
        <v>10.5</v>
      </c>
      <c r="P94" s="15">
        <f t="shared" si="36"/>
        <v>25.5</v>
      </c>
      <c r="R94" s="8"/>
      <c r="T94"/>
    </row>
    <row r="95" spans="2:20" ht="23.1" customHeight="1" x14ac:dyDescent="0.25">
      <c r="B95" s="23" t="s">
        <v>135</v>
      </c>
      <c r="C95" s="49">
        <f>AVERAGE('26.07 Rubaga-Natete-24h'!C95,'27.07 Rubaga-Natete-24h'!C95)</f>
        <v>7</v>
      </c>
      <c r="D95" s="49">
        <f>AVERAGE('26.07 Rubaga-Natete-24h'!D95,'27.07 Rubaga-Natete-24h'!D95)</f>
        <v>1</v>
      </c>
      <c r="E95" s="49">
        <f>AVERAGE('26.07 Rubaga-Natete-24h'!E95,'27.07 Rubaga-Natete-24h'!E95)</f>
        <v>0.5</v>
      </c>
      <c r="F95" s="49">
        <f>AVERAGE('26.07 Rubaga-Natete-24h'!F95,'27.07 Rubaga-Natete-24h'!F95)</f>
        <v>4</v>
      </c>
      <c r="G95" s="49">
        <f>AVERAGE('26.07 Rubaga-Natete-24h'!G95,'27.07 Rubaga-Natete-24h'!G95)</f>
        <v>0</v>
      </c>
      <c r="H95" s="49">
        <f>AVERAGE('26.07 Rubaga-Natete-24h'!H95,'27.07 Rubaga-Natete-24h'!H95)</f>
        <v>1</v>
      </c>
      <c r="I95" s="49">
        <f>AVERAGE('26.07 Rubaga-Natete-24h'!I95,'27.07 Rubaga-Natete-24h'!I95)</f>
        <v>0.5</v>
      </c>
      <c r="J95" s="49">
        <f>AVERAGE('26.07 Rubaga-Natete-24h'!J95,'27.07 Rubaga-Natete-24h'!J95)</f>
        <v>0</v>
      </c>
      <c r="K95" s="49">
        <f>AVERAGE('26.07 Rubaga-Natete-24h'!K95,'27.07 Rubaga-Natete-24h'!K95)</f>
        <v>0</v>
      </c>
      <c r="L95" s="49">
        <f>AVERAGE('26.07 Rubaga-Natete-24h'!L95,'27.07 Rubaga-Natete-24h'!L95)</f>
        <v>0</v>
      </c>
      <c r="M95" s="49">
        <f>AVERAGE('26.07 Rubaga-Natete-24h'!M95,'27.07 Rubaga-Natete-24h'!M95)</f>
        <v>15.5</v>
      </c>
      <c r="N95" s="49">
        <f>AVERAGE('26.07 Rubaga-Natete-24h'!N95,'27.07 Rubaga-Natete-24h'!N95)</f>
        <v>0</v>
      </c>
      <c r="O95" s="15">
        <f t="shared" si="35"/>
        <v>14</v>
      </c>
      <c r="P95" s="15">
        <f t="shared" si="36"/>
        <v>29.5</v>
      </c>
      <c r="R95" s="8"/>
      <c r="T95"/>
    </row>
    <row r="96" spans="2:20" ht="23.1" customHeight="1" x14ac:dyDescent="0.25">
      <c r="B96" s="25" t="s">
        <v>136</v>
      </c>
      <c r="C96" s="49">
        <f>AVERAGE('26.07 Rubaga-Natete-24h'!C96,'27.07 Rubaga-Natete-24h'!C96)</f>
        <v>4</v>
      </c>
      <c r="D96" s="49">
        <f>AVERAGE('26.07 Rubaga-Natete-24h'!D96,'27.07 Rubaga-Natete-24h'!D96)</f>
        <v>2.5</v>
      </c>
      <c r="E96" s="49">
        <f>AVERAGE('26.07 Rubaga-Natete-24h'!E96,'27.07 Rubaga-Natete-24h'!E96)</f>
        <v>0.5</v>
      </c>
      <c r="F96" s="49">
        <f>AVERAGE('26.07 Rubaga-Natete-24h'!F96,'27.07 Rubaga-Natete-24h'!F96)</f>
        <v>3</v>
      </c>
      <c r="G96" s="49">
        <f>AVERAGE('26.07 Rubaga-Natete-24h'!G96,'27.07 Rubaga-Natete-24h'!G96)</f>
        <v>0</v>
      </c>
      <c r="H96" s="49">
        <f>AVERAGE('26.07 Rubaga-Natete-24h'!H96,'27.07 Rubaga-Natete-24h'!H96)</f>
        <v>0.5</v>
      </c>
      <c r="I96" s="49">
        <f>AVERAGE('26.07 Rubaga-Natete-24h'!I96,'27.07 Rubaga-Natete-24h'!I96)</f>
        <v>0.5</v>
      </c>
      <c r="J96" s="49">
        <f>AVERAGE('26.07 Rubaga-Natete-24h'!J96,'27.07 Rubaga-Natete-24h'!J96)</f>
        <v>1</v>
      </c>
      <c r="K96" s="49">
        <f>AVERAGE('26.07 Rubaga-Natete-24h'!K96,'27.07 Rubaga-Natete-24h'!K96)</f>
        <v>0</v>
      </c>
      <c r="L96" s="49">
        <f>AVERAGE('26.07 Rubaga-Natete-24h'!L96,'27.07 Rubaga-Natete-24h'!L96)</f>
        <v>0</v>
      </c>
      <c r="M96" s="49">
        <f>AVERAGE('26.07 Rubaga-Natete-24h'!M96,'27.07 Rubaga-Natete-24h'!M96)</f>
        <v>21.5</v>
      </c>
      <c r="N96" s="49">
        <f>AVERAGE('26.07 Rubaga-Natete-24h'!N96,'27.07 Rubaga-Natete-24h'!N96)</f>
        <v>0</v>
      </c>
      <c r="O96" s="15">
        <f t="shared" si="35"/>
        <v>12</v>
      </c>
      <c r="P96" s="15">
        <f t="shared" si="36"/>
        <v>33.5</v>
      </c>
      <c r="R96" s="8"/>
      <c r="T96"/>
    </row>
    <row r="97" spans="2:20" ht="23.1" customHeight="1" x14ac:dyDescent="0.25">
      <c r="B97" s="23" t="s">
        <v>137</v>
      </c>
      <c r="C97" s="49">
        <f>AVERAGE('26.07 Rubaga-Natete-24h'!C97,'27.07 Rubaga-Natete-24h'!C97)</f>
        <v>13.5</v>
      </c>
      <c r="D97" s="49">
        <f>AVERAGE('26.07 Rubaga-Natete-24h'!D97,'27.07 Rubaga-Natete-24h'!D97)</f>
        <v>2.5</v>
      </c>
      <c r="E97" s="49">
        <f>AVERAGE('26.07 Rubaga-Natete-24h'!E97,'27.07 Rubaga-Natete-24h'!E97)</f>
        <v>0.5</v>
      </c>
      <c r="F97" s="49">
        <f>AVERAGE('26.07 Rubaga-Natete-24h'!F97,'27.07 Rubaga-Natete-24h'!F97)</f>
        <v>2</v>
      </c>
      <c r="G97" s="49">
        <f>AVERAGE('26.07 Rubaga-Natete-24h'!G97,'27.07 Rubaga-Natete-24h'!G97)</f>
        <v>0</v>
      </c>
      <c r="H97" s="49">
        <f>AVERAGE('26.07 Rubaga-Natete-24h'!H97,'27.07 Rubaga-Natete-24h'!H97)</f>
        <v>0.5</v>
      </c>
      <c r="I97" s="49">
        <f>AVERAGE('26.07 Rubaga-Natete-24h'!I97,'27.07 Rubaga-Natete-24h'!I97)</f>
        <v>2</v>
      </c>
      <c r="J97" s="49">
        <f>AVERAGE('26.07 Rubaga-Natete-24h'!J97,'27.07 Rubaga-Natete-24h'!J97)</f>
        <v>0</v>
      </c>
      <c r="K97" s="49">
        <f>AVERAGE('26.07 Rubaga-Natete-24h'!K97,'27.07 Rubaga-Natete-24h'!K97)</f>
        <v>0</v>
      </c>
      <c r="L97" s="49">
        <f>AVERAGE('26.07 Rubaga-Natete-24h'!L97,'27.07 Rubaga-Natete-24h'!L97)</f>
        <v>0</v>
      </c>
      <c r="M97" s="49">
        <f>AVERAGE('26.07 Rubaga-Natete-24h'!M97,'27.07 Rubaga-Natete-24h'!M97)</f>
        <v>18</v>
      </c>
      <c r="N97" s="49">
        <f>AVERAGE('26.07 Rubaga-Natete-24h'!N97,'27.07 Rubaga-Natete-24h'!N97)</f>
        <v>0</v>
      </c>
      <c r="O97" s="15">
        <f t="shared" si="35"/>
        <v>21</v>
      </c>
      <c r="P97" s="15">
        <f t="shared" si="36"/>
        <v>39</v>
      </c>
      <c r="R97" s="8"/>
      <c r="T97"/>
    </row>
    <row r="98" spans="2:20" ht="23.1" customHeight="1" x14ac:dyDescent="0.25">
      <c r="B98" s="24" t="s">
        <v>138</v>
      </c>
      <c r="C98" s="49">
        <f>AVERAGE('26.07 Rubaga-Natete-24h'!C98,'27.07 Rubaga-Natete-24h'!C98)</f>
        <v>1.5</v>
      </c>
      <c r="D98" s="49">
        <f>AVERAGE('26.07 Rubaga-Natete-24h'!D98,'27.07 Rubaga-Natete-24h'!D98)</f>
        <v>2</v>
      </c>
      <c r="E98" s="49">
        <f>AVERAGE('26.07 Rubaga-Natete-24h'!E98,'27.07 Rubaga-Natete-24h'!E98)</f>
        <v>1</v>
      </c>
      <c r="F98" s="49">
        <f>AVERAGE('26.07 Rubaga-Natete-24h'!F98,'27.07 Rubaga-Natete-24h'!F98)</f>
        <v>1.5</v>
      </c>
      <c r="G98" s="49">
        <f>AVERAGE('26.07 Rubaga-Natete-24h'!G98,'27.07 Rubaga-Natete-24h'!G98)</f>
        <v>1</v>
      </c>
      <c r="H98" s="49">
        <f>AVERAGE('26.07 Rubaga-Natete-24h'!H98,'27.07 Rubaga-Natete-24h'!H98)</f>
        <v>1.5</v>
      </c>
      <c r="I98" s="49">
        <f>AVERAGE('26.07 Rubaga-Natete-24h'!I98,'27.07 Rubaga-Natete-24h'!I98)</f>
        <v>0</v>
      </c>
      <c r="J98" s="49">
        <f>AVERAGE('26.07 Rubaga-Natete-24h'!J98,'27.07 Rubaga-Natete-24h'!J98)</f>
        <v>0</v>
      </c>
      <c r="K98" s="49">
        <f>AVERAGE('26.07 Rubaga-Natete-24h'!K98,'27.07 Rubaga-Natete-24h'!K98)</f>
        <v>0</v>
      </c>
      <c r="L98" s="49">
        <f>AVERAGE('26.07 Rubaga-Natete-24h'!L98,'27.07 Rubaga-Natete-24h'!L98)</f>
        <v>0</v>
      </c>
      <c r="M98" s="49">
        <f>AVERAGE('26.07 Rubaga-Natete-24h'!M98,'27.07 Rubaga-Natete-24h'!M98)</f>
        <v>47.5</v>
      </c>
      <c r="N98" s="49">
        <f>AVERAGE('26.07 Rubaga-Natete-24h'!N98,'27.07 Rubaga-Natete-24h'!N98)</f>
        <v>0</v>
      </c>
      <c r="O98" s="15">
        <f t="shared" si="35"/>
        <v>8.5</v>
      </c>
      <c r="P98" s="15">
        <f t="shared" si="36"/>
        <v>56</v>
      </c>
      <c r="R98" s="8"/>
      <c r="T98"/>
    </row>
    <row r="99" spans="2:20" ht="23.1" customHeight="1" x14ac:dyDescent="0.25">
      <c r="B99" s="23" t="s">
        <v>139</v>
      </c>
      <c r="C99" s="49">
        <f>AVERAGE('26.07 Rubaga-Natete-24h'!C99,'27.07 Rubaga-Natete-24h'!C99)</f>
        <v>6</v>
      </c>
      <c r="D99" s="49">
        <f>AVERAGE('26.07 Rubaga-Natete-24h'!D99,'27.07 Rubaga-Natete-24h'!D99)</f>
        <v>2</v>
      </c>
      <c r="E99" s="49">
        <f>AVERAGE('26.07 Rubaga-Natete-24h'!E99,'27.07 Rubaga-Natete-24h'!E99)</f>
        <v>1</v>
      </c>
      <c r="F99" s="49">
        <f>AVERAGE('26.07 Rubaga-Natete-24h'!F99,'27.07 Rubaga-Natete-24h'!F99)</f>
        <v>30.5</v>
      </c>
      <c r="G99" s="49">
        <f>AVERAGE('26.07 Rubaga-Natete-24h'!G99,'27.07 Rubaga-Natete-24h'!G99)</f>
        <v>0</v>
      </c>
      <c r="H99" s="49">
        <f>AVERAGE('26.07 Rubaga-Natete-24h'!H99,'27.07 Rubaga-Natete-24h'!H99)</f>
        <v>1</v>
      </c>
      <c r="I99" s="49">
        <f>AVERAGE('26.07 Rubaga-Natete-24h'!I99,'27.07 Rubaga-Natete-24h'!I99)</f>
        <v>1</v>
      </c>
      <c r="J99" s="49">
        <f>AVERAGE('26.07 Rubaga-Natete-24h'!J99,'27.07 Rubaga-Natete-24h'!J99)</f>
        <v>0</v>
      </c>
      <c r="K99" s="49">
        <f>AVERAGE('26.07 Rubaga-Natete-24h'!K99,'27.07 Rubaga-Natete-24h'!K99)</f>
        <v>0</v>
      </c>
      <c r="L99" s="49">
        <f>AVERAGE('26.07 Rubaga-Natete-24h'!L99,'27.07 Rubaga-Natete-24h'!L99)</f>
        <v>0</v>
      </c>
      <c r="M99" s="49">
        <f>AVERAGE('26.07 Rubaga-Natete-24h'!M99,'27.07 Rubaga-Natete-24h'!M99)</f>
        <v>42</v>
      </c>
      <c r="N99" s="49">
        <f>AVERAGE('26.07 Rubaga-Natete-24h'!N99,'27.07 Rubaga-Natete-24h'!N99)</f>
        <v>0</v>
      </c>
      <c r="O99" s="15">
        <f t="shared" si="35"/>
        <v>41.5</v>
      </c>
      <c r="P99" s="15">
        <f t="shared" si="36"/>
        <v>83.5</v>
      </c>
      <c r="R99" s="8"/>
      <c r="T99"/>
    </row>
    <row r="100" spans="2:20" ht="23.1" customHeight="1" x14ac:dyDescent="0.25">
      <c r="B100" s="25" t="s">
        <v>140</v>
      </c>
      <c r="C100" s="49">
        <f>AVERAGE('26.07 Rubaga-Natete-24h'!C100,'27.07 Rubaga-Natete-24h'!C100)</f>
        <v>5</v>
      </c>
      <c r="D100" s="49">
        <f>AVERAGE('26.07 Rubaga-Natete-24h'!D100,'27.07 Rubaga-Natete-24h'!D100)</f>
        <v>0.5</v>
      </c>
      <c r="E100" s="49">
        <f>AVERAGE('26.07 Rubaga-Natete-24h'!E100,'27.07 Rubaga-Natete-24h'!E100)</f>
        <v>1.5</v>
      </c>
      <c r="F100" s="49">
        <f>AVERAGE('26.07 Rubaga-Natete-24h'!F100,'27.07 Rubaga-Natete-24h'!F100)</f>
        <v>25</v>
      </c>
      <c r="G100" s="49">
        <f>AVERAGE('26.07 Rubaga-Natete-24h'!G100,'27.07 Rubaga-Natete-24h'!G100)</f>
        <v>0</v>
      </c>
      <c r="H100" s="49">
        <f>AVERAGE('26.07 Rubaga-Natete-24h'!H100,'27.07 Rubaga-Natete-24h'!H100)</f>
        <v>0.5</v>
      </c>
      <c r="I100" s="49">
        <f>AVERAGE('26.07 Rubaga-Natete-24h'!I100,'27.07 Rubaga-Natete-24h'!I100)</f>
        <v>0.5</v>
      </c>
      <c r="J100" s="49">
        <f>AVERAGE('26.07 Rubaga-Natete-24h'!J100,'27.07 Rubaga-Natete-24h'!J100)</f>
        <v>0</v>
      </c>
      <c r="K100" s="49">
        <f>AVERAGE('26.07 Rubaga-Natete-24h'!K100,'27.07 Rubaga-Natete-24h'!K100)</f>
        <v>0</v>
      </c>
      <c r="L100" s="49">
        <f>AVERAGE('26.07 Rubaga-Natete-24h'!L100,'27.07 Rubaga-Natete-24h'!L100)</f>
        <v>0</v>
      </c>
      <c r="M100" s="49">
        <f>AVERAGE('26.07 Rubaga-Natete-24h'!M100,'27.07 Rubaga-Natete-24h'!M100)</f>
        <v>55</v>
      </c>
      <c r="N100" s="49">
        <f>AVERAGE('26.07 Rubaga-Natete-24h'!N100,'27.07 Rubaga-Natete-24h'!N100)</f>
        <v>0</v>
      </c>
      <c r="O100" s="15">
        <f t="shared" si="35"/>
        <v>33</v>
      </c>
      <c r="P100" s="15">
        <f t="shared" si="36"/>
        <v>88</v>
      </c>
      <c r="R100" s="8"/>
      <c r="T100"/>
    </row>
    <row r="101" spans="2:20" ht="23.1" customHeight="1" x14ac:dyDescent="0.25">
      <c r="B101" s="23" t="s">
        <v>141</v>
      </c>
      <c r="C101" s="49">
        <f>AVERAGE('26.07 Rubaga-Natete-24h'!C101,'27.07 Rubaga-Natete-24h'!C101)</f>
        <v>11</v>
      </c>
      <c r="D101" s="49">
        <f>AVERAGE('26.07 Rubaga-Natete-24h'!D101,'27.07 Rubaga-Natete-24h'!D101)</f>
        <v>1</v>
      </c>
      <c r="E101" s="49">
        <f>AVERAGE('26.07 Rubaga-Natete-24h'!E101,'27.07 Rubaga-Natete-24h'!E101)</f>
        <v>0</v>
      </c>
      <c r="F101" s="49">
        <f>AVERAGE('26.07 Rubaga-Natete-24h'!F101,'27.07 Rubaga-Natete-24h'!F101)</f>
        <v>28.5</v>
      </c>
      <c r="G101" s="49">
        <f>AVERAGE('26.07 Rubaga-Natete-24h'!G101,'27.07 Rubaga-Natete-24h'!G101)</f>
        <v>1</v>
      </c>
      <c r="H101" s="49">
        <f>AVERAGE('26.07 Rubaga-Natete-24h'!H101,'27.07 Rubaga-Natete-24h'!H101)</f>
        <v>1.5</v>
      </c>
      <c r="I101" s="49">
        <f>AVERAGE('26.07 Rubaga-Natete-24h'!I101,'27.07 Rubaga-Natete-24h'!I101)</f>
        <v>1</v>
      </c>
      <c r="J101" s="49">
        <f>AVERAGE('26.07 Rubaga-Natete-24h'!J101,'27.07 Rubaga-Natete-24h'!J101)</f>
        <v>1</v>
      </c>
      <c r="K101" s="49">
        <f>AVERAGE('26.07 Rubaga-Natete-24h'!K101,'27.07 Rubaga-Natete-24h'!K101)</f>
        <v>0</v>
      </c>
      <c r="L101" s="49">
        <f>AVERAGE('26.07 Rubaga-Natete-24h'!L101,'27.07 Rubaga-Natete-24h'!L101)</f>
        <v>0</v>
      </c>
      <c r="M101" s="49">
        <f>AVERAGE('26.07 Rubaga-Natete-24h'!M101,'27.07 Rubaga-Natete-24h'!M101)</f>
        <v>57</v>
      </c>
      <c r="N101" s="49">
        <f>AVERAGE('26.07 Rubaga-Natete-24h'!N101,'27.07 Rubaga-Natete-24h'!N101)</f>
        <v>0</v>
      </c>
      <c r="O101" s="15">
        <f t="shared" si="35"/>
        <v>45</v>
      </c>
      <c r="P101" s="15">
        <f t="shared" si="36"/>
        <v>102</v>
      </c>
      <c r="R101" s="8"/>
      <c r="T101"/>
    </row>
    <row r="102" spans="2:20" ht="23.1" customHeight="1" x14ac:dyDescent="0.25">
      <c r="B102" s="24" t="s">
        <v>142</v>
      </c>
      <c r="C102" s="49">
        <f>AVERAGE('26.07 Rubaga-Natete-24h'!C102,'27.07 Rubaga-Natete-24h'!C102)</f>
        <v>17.5</v>
      </c>
      <c r="D102" s="49">
        <f>AVERAGE('26.07 Rubaga-Natete-24h'!D102,'27.07 Rubaga-Natete-24h'!D102)</f>
        <v>3</v>
      </c>
      <c r="E102" s="49">
        <f>AVERAGE('26.07 Rubaga-Natete-24h'!E102,'27.07 Rubaga-Natete-24h'!E102)</f>
        <v>4</v>
      </c>
      <c r="F102" s="49">
        <f>AVERAGE('26.07 Rubaga-Natete-24h'!F102,'27.07 Rubaga-Natete-24h'!F102)</f>
        <v>19.5</v>
      </c>
      <c r="G102" s="49">
        <f>AVERAGE('26.07 Rubaga-Natete-24h'!G102,'27.07 Rubaga-Natete-24h'!G102)</f>
        <v>1.5</v>
      </c>
      <c r="H102" s="49">
        <f>AVERAGE('26.07 Rubaga-Natete-24h'!H102,'27.07 Rubaga-Natete-24h'!H102)</f>
        <v>0.5</v>
      </c>
      <c r="I102" s="49">
        <f>AVERAGE('26.07 Rubaga-Natete-24h'!I102,'27.07 Rubaga-Natete-24h'!I102)</f>
        <v>3</v>
      </c>
      <c r="J102" s="49">
        <f>AVERAGE('26.07 Rubaga-Natete-24h'!J102,'27.07 Rubaga-Natete-24h'!J102)</f>
        <v>0.5</v>
      </c>
      <c r="K102" s="49">
        <f>AVERAGE('26.07 Rubaga-Natete-24h'!K102,'27.07 Rubaga-Natete-24h'!K102)</f>
        <v>0</v>
      </c>
      <c r="L102" s="49">
        <f>AVERAGE('26.07 Rubaga-Natete-24h'!L102,'27.07 Rubaga-Natete-24h'!L102)</f>
        <v>0.5</v>
      </c>
      <c r="M102" s="49">
        <f>AVERAGE('26.07 Rubaga-Natete-24h'!M102,'27.07 Rubaga-Natete-24h'!M102)</f>
        <v>80</v>
      </c>
      <c r="N102" s="49">
        <f>AVERAGE('26.07 Rubaga-Natete-24h'!N102,'27.07 Rubaga-Natete-24h'!N102)</f>
        <v>0</v>
      </c>
      <c r="O102" s="15">
        <f t="shared" si="35"/>
        <v>50</v>
      </c>
      <c r="P102" s="15">
        <f t="shared" si="36"/>
        <v>130</v>
      </c>
      <c r="R102" s="8"/>
      <c r="T102"/>
    </row>
    <row r="103" spans="2:20" ht="23.1" customHeight="1" x14ac:dyDescent="0.25">
      <c r="B103" s="23" t="s">
        <v>143</v>
      </c>
      <c r="C103" s="49">
        <f>AVERAGE('26.07 Rubaga-Natete-24h'!C103,'27.07 Rubaga-Natete-24h'!C103)</f>
        <v>26</v>
      </c>
      <c r="D103" s="49">
        <f>AVERAGE('26.07 Rubaga-Natete-24h'!D103,'27.07 Rubaga-Natete-24h'!D103)</f>
        <v>1.5</v>
      </c>
      <c r="E103" s="49">
        <f>AVERAGE('26.07 Rubaga-Natete-24h'!E103,'27.07 Rubaga-Natete-24h'!E103)</f>
        <v>2</v>
      </c>
      <c r="F103" s="49">
        <f>AVERAGE('26.07 Rubaga-Natete-24h'!F103,'27.07 Rubaga-Natete-24h'!F103)</f>
        <v>19</v>
      </c>
      <c r="G103" s="49">
        <f>AVERAGE('26.07 Rubaga-Natete-24h'!G103,'27.07 Rubaga-Natete-24h'!G103)</f>
        <v>2</v>
      </c>
      <c r="H103" s="49">
        <f>AVERAGE('26.07 Rubaga-Natete-24h'!H103,'27.07 Rubaga-Natete-24h'!H103)</f>
        <v>1</v>
      </c>
      <c r="I103" s="49">
        <f>AVERAGE('26.07 Rubaga-Natete-24h'!I103,'27.07 Rubaga-Natete-24h'!I103)</f>
        <v>0.5</v>
      </c>
      <c r="J103" s="49">
        <f>AVERAGE('26.07 Rubaga-Natete-24h'!J103,'27.07 Rubaga-Natete-24h'!J103)</f>
        <v>0</v>
      </c>
      <c r="K103" s="49">
        <f>AVERAGE('26.07 Rubaga-Natete-24h'!K103,'27.07 Rubaga-Natete-24h'!K103)</f>
        <v>0.5</v>
      </c>
      <c r="L103" s="49">
        <f>AVERAGE('26.07 Rubaga-Natete-24h'!L103,'27.07 Rubaga-Natete-24h'!L103)</f>
        <v>0</v>
      </c>
      <c r="M103" s="49">
        <f>AVERAGE('26.07 Rubaga-Natete-24h'!M103,'27.07 Rubaga-Natete-24h'!M103)</f>
        <v>68</v>
      </c>
      <c r="N103" s="49">
        <f>AVERAGE('26.07 Rubaga-Natete-24h'!N103,'27.07 Rubaga-Natete-24h'!N103)</f>
        <v>0</v>
      </c>
      <c r="O103" s="15">
        <f t="shared" si="35"/>
        <v>52.5</v>
      </c>
      <c r="P103" s="15">
        <f t="shared" si="36"/>
        <v>120.5</v>
      </c>
      <c r="R103" s="8"/>
      <c r="T103"/>
    </row>
    <row r="104" spans="2:20" ht="23.1" customHeight="1" x14ac:dyDescent="0.25">
      <c r="B104" s="25" t="s">
        <v>144</v>
      </c>
      <c r="C104" s="49">
        <f>AVERAGE('26.07 Rubaga-Natete-24h'!C104,'27.07 Rubaga-Natete-24h'!C104)</f>
        <v>19</v>
      </c>
      <c r="D104" s="49">
        <f>AVERAGE('26.07 Rubaga-Natete-24h'!D104,'27.07 Rubaga-Natete-24h'!D104)</f>
        <v>4</v>
      </c>
      <c r="E104" s="49">
        <f>AVERAGE('26.07 Rubaga-Natete-24h'!E104,'27.07 Rubaga-Natete-24h'!E104)</f>
        <v>1</v>
      </c>
      <c r="F104" s="49">
        <f>AVERAGE('26.07 Rubaga-Natete-24h'!F104,'27.07 Rubaga-Natete-24h'!F104)</f>
        <v>30</v>
      </c>
      <c r="G104" s="49">
        <f>AVERAGE('26.07 Rubaga-Natete-24h'!G104,'27.07 Rubaga-Natete-24h'!G104)</f>
        <v>0</v>
      </c>
      <c r="H104" s="49">
        <f>AVERAGE('26.07 Rubaga-Natete-24h'!H104,'27.07 Rubaga-Natete-24h'!H104)</f>
        <v>0.5</v>
      </c>
      <c r="I104" s="49">
        <f>AVERAGE('26.07 Rubaga-Natete-24h'!I104,'27.07 Rubaga-Natete-24h'!I104)</f>
        <v>1</v>
      </c>
      <c r="J104" s="49">
        <f>AVERAGE('26.07 Rubaga-Natete-24h'!J104,'27.07 Rubaga-Natete-24h'!J104)</f>
        <v>1</v>
      </c>
      <c r="K104" s="49">
        <f>AVERAGE('26.07 Rubaga-Natete-24h'!K104,'27.07 Rubaga-Natete-24h'!K104)</f>
        <v>0.5</v>
      </c>
      <c r="L104" s="49">
        <f>AVERAGE('26.07 Rubaga-Natete-24h'!L104,'27.07 Rubaga-Natete-24h'!L104)</f>
        <v>0</v>
      </c>
      <c r="M104" s="49">
        <f>AVERAGE('26.07 Rubaga-Natete-24h'!M104,'27.07 Rubaga-Natete-24h'!M104)</f>
        <v>83</v>
      </c>
      <c r="N104" s="49">
        <f>AVERAGE('26.07 Rubaga-Natete-24h'!N104,'27.07 Rubaga-Natete-24h'!N104)</f>
        <v>0</v>
      </c>
      <c r="O104" s="15">
        <f t="shared" si="35"/>
        <v>57</v>
      </c>
      <c r="P104" s="15">
        <f t="shared" si="36"/>
        <v>140</v>
      </c>
      <c r="R104" s="8"/>
      <c r="T104"/>
    </row>
    <row r="105" spans="2:20" ht="23.1" customHeight="1" x14ac:dyDescent="0.25">
      <c r="B105" s="23" t="s">
        <v>145</v>
      </c>
      <c r="C105" s="49">
        <f>AVERAGE('26.07 Rubaga-Natete-24h'!C105,'27.07 Rubaga-Natete-24h'!C105)</f>
        <v>38</v>
      </c>
      <c r="D105" s="49">
        <f>AVERAGE('26.07 Rubaga-Natete-24h'!D105,'27.07 Rubaga-Natete-24h'!D105)</f>
        <v>2</v>
      </c>
      <c r="E105" s="49">
        <f>AVERAGE('26.07 Rubaga-Natete-24h'!E105,'27.07 Rubaga-Natete-24h'!E105)</f>
        <v>1.5</v>
      </c>
      <c r="F105" s="49">
        <f>AVERAGE('26.07 Rubaga-Natete-24h'!F105,'27.07 Rubaga-Natete-24h'!F105)</f>
        <v>37.5</v>
      </c>
      <c r="G105" s="49">
        <f>AVERAGE('26.07 Rubaga-Natete-24h'!G105,'27.07 Rubaga-Natete-24h'!G105)</f>
        <v>1.5</v>
      </c>
      <c r="H105" s="49">
        <f>AVERAGE('26.07 Rubaga-Natete-24h'!H105,'27.07 Rubaga-Natete-24h'!H105)</f>
        <v>0</v>
      </c>
      <c r="I105" s="49">
        <f>AVERAGE('26.07 Rubaga-Natete-24h'!I105,'27.07 Rubaga-Natete-24h'!I105)</f>
        <v>3.5</v>
      </c>
      <c r="J105" s="49">
        <f>AVERAGE('26.07 Rubaga-Natete-24h'!J105,'27.07 Rubaga-Natete-24h'!J105)</f>
        <v>1</v>
      </c>
      <c r="K105" s="49">
        <f>AVERAGE('26.07 Rubaga-Natete-24h'!K105,'27.07 Rubaga-Natete-24h'!K105)</f>
        <v>0</v>
      </c>
      <c r="L105" s="49">
        <f>AVERAGE('26.07 Rubaga-Natete-24h'!L105,'27.07 Rubaga-Natete-24h'!L105)</f>
        <v>0</v>
      </c>
      <c r="M105" s="49">
        <f>AVERAGE('26.07 Rubaga-Natete-24h'!M105,'27.07 Rubaga-Natete-24h'!M105)</f>
        <v>72</v>
      </c>
      <c r="N105" s="49">
        <f>AVERAGE('26.07 Rubaga-Natete-24h'!N105,'27.07 Rubaga-Natete-24h'!N105)</f>
        <v>0</v>
      </c>
      <c r="O105" s="15">
        <f t="shared" si="35"/>
        <v>85</v>
      </c>
      <c r="P105" s="15">
        <f t="shared" si="36"/>
        <v>157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3493.4285714285716</v>
      </c>
      <c r="D106" s="16">
        <f t="shared" ref="D106:M106" si="37">SUM(D10:D105)</f>
        <v>349.5</v>
      </c>
      <c r="E106" s="16">
        <f t="shared" si="37"/>
        <v>344.92857142857144</v>
      </c>
      <c r="F106" s="16">
        <f t="shared" si="37"/>
        <v>3223.7857142857142</v>
      </c>
      <c r="G106" s="16">
        <f t="shared" si="37"/>
        <v>95.785714285714306</v>
      </c>
      <c r="H106" s="16">
        <f t="shared" si="37"/>
        <v>115.35714285714286</v>
      </c>
      <c r="I106" s="16">
        <f t="shared" si="37"/>
        <v>216.92857142857139</v>
      </c>
      <c r="J106" s="16">
        <f t="shared" si="37"/>
        <v>137.99999999999997</v>
      </c>
      <c r="K106" s="16">
        <f t="shared" si="37"/>
        <v>25.571428571428577</v>
      </c>
      <c r="L106" s="16">
        <f t="shared" si="37"/>
        <v>18.785714285714285</v>
      </c>
      <c r="M106" s="16">
        <f t="shared" si="37"/>
        <v>11177.571428571428</v>
      </c>
      <c r="N106" s="16">
        <f>SUM(N10:N105)</f>
        <v>0</v>
      </c>
      <c r="O106" s="16">
        <f>SUM(O10:O105)</f>
        <v>8022.0714285714294</v>
      </c>
      <c r="P106" s="16">
        <f>SUM(P10:P105)</f>
        <v>19199.642857142855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0.18195278930039624</v>
      </c>
      <c r="D107" s="43">
        <f t="shared" si="38"/>
        <v>1.8203463606093866E-2</v>
      </c>
      <c r="E107" s="43">
        <f t="shared" si="38"/>
        <v>1.7965363939061368E-2</v>
      </c>
      <c r="F107" s="43">
        <f t="shared" si="38"/>
        <v>0.1679086292527763</v>
      </c>
      <c r="G107" s="43">
        <f t="shared" si="38"/>
        <v>4.9889320857902878E-3</v>
      </c>
      <c r="H107" s="43">
        <f t="shared" si="38"/>
        <v>6.0082962852731642E-3</v>
      </c>
      <c r="I107" s="43">
        <f t="shared" si="38"/>
        <v>1.1298573262151453E-2</v>
      </c>
      <c r="J107" s="43">
        <f t="shared" si="38"/>
        <v>7.1876336985434988E-3</v>
      </c>
      <c r="K107" s="43">
        <f t="shared" si="38"/>
        <v>1.3318700124630299E-3</v>
      </c>
      <c r="L107" s="43">
        <f t="shared" si="38"/>
        <v>9.7844081921166694E-4</v>
      </c>
      <c r="M107" s="43">
        <f t="shared" si="38"/>
        <v>0.58217600773823919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0.43547712115680842</v>
      </c>
      <c r="D108" s="44">
        <f t="shared" ref="D108:N108" si="39">D106/$O$106</f>
        <v>4.356730092868781E-2</v>
      </c>
      <c r="E108" s="44">
        <f t="shared" si="39"/>
        <v>4.2997444550303181E-2</v>
      </c>
      <c r="F108" s="44">
        <f t="shared" si="39"/>
        <v>0.40186449883802716</v>
      </c>
      <c r="G108" s="44">
        <f t="shared" si="39"/>
        <v>1.1940271928340561E-2</v>
      </c>
      <c r="H108" s="44">
        <f t="shared" si="39"/>
        <v>1.437996954829978E-2</v>
      </c>
      <c r="I108" s="44">
        <f t="shared" si="39"/>
        <v>2.7041465955533386E-2</v>
      </c>
      <c r="J108" s="44">
        <f t="shared" si="39"/>
        <v>1.720253942248617E-2</v>
      </c>
      <c r="K108" s="44">
        <f t="shared" si="39"/>
        <v>3.1876341165890539E-3</v>
      </c>
      <c r="L108" s="44">
        <f t="shared" si="39"/>
        <v>2.3417535549243602E-3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A34" zoomScale="45" zoomScaleSheetLayoutView="45" workbookViewId="0">
      <selection activeCell="H40" sqref="H4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2" t="str">
        <f>'28.07 Rubaga-Natete'!C3:G3</f>
        <v>MCC-CI-STN08-WAKALIGA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0" t="s">
        <v>169</v>
      </c>
      <c r="E5" s="61"/>
      <c r="F5" s="41" t="s">
        <v>1</v>
      </c>
      <c r="G5" s="58" t="str">
        <f>'Avg Week Rubaga-Nateete'!G5:H5</f>
        <v>Total Wakaliga</v>
      </c>
      <c r="H5" s="59"/>
      <c r="I5" s="14"/>
      <c r="J5" s="2" t="s">
        <v>5</v>
      </c>
      <c r="K5" s="58" t="str">
        <f>'Avg Week Rubaga-Nateete'!K5:L5</f>
        <v>Mujuni Peter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161</v>
      </c>
      <c r="E6" s="64"/>
      <c r="F6" s="2" t="s">
        <v>2</v>
      </c>
      <c r="G6" s="63" t="s">
        <v>161</v>
      </c>
      <c r="H6" s="64"/>
      <c r="J6" s="2" t="s">
        <v>21</v>
      </c>
      <c r="K6" s="58" t="str">
        <f>'Avg Week Rubaga-Nateete'!K6:L6</f>
        <v>oloya Felix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Nateete-Rubaga'!C10+'Avg Week Rubaga-Nateete'!C10</f>
        <v>88.428571428571431</v>
      </c>
      <c r="D10" s="49">
        <f>'Avg Week Nateete-Rubaga'!D10+'Avg Week Rubaga-Nateete'!D10</f>
        <v>17.142857142857142</v>
      </c>
      <c r="E10" s="49">
        <f>'Avg Week Nateete-Rubaga'!E10+'Avg Week Rubaga-Nateete'!E10</f>
        <v>12.857142857142858</v>
      </c>
      <c r="F10" s="49">
        <f>'Avg Week Nateete-Rubaga'!F10+'Avg Week Rubaga-Nateete'!F10</f>
        <v>119.28571428571428</v>
      </c>
      <c r="G10" s="49">
        <f>'Avg Week Nateete-Rubaga'!G10+'Avg Week Rubaga-Nateete'!G10</f>
        <v>5.4285714285714288</v>
      </c>
      <c r="H10" s="49">
        <f>'Avg Week Nateete-Rubaga'!H10+'Avg Week Rubaga-Nateete'!H10</f>
        <v>2.2857142857142856</v>
      </c>
      <c r="I10" s="49">
        <f>'Avg Week Nateete-Rubaga'!I10+'Avg Week Rubaga-Nateete'!I10</f>
        <v>9</v>
      </c>
      <c r="J10" s="49">
        <f>'Avg Week Nateete-Rubaga'!J10+'Avg Week Rubaga-Nateete'!J10</f>
        <v>3</v>
      </c>
      <c r="K10" s="49">
        <f>'Avg Week Nateete-Rubaga'!K10+'Avg Week Rubaga-Nateete'!K10</f>
        <v>0.2857142857142857</v>
      </c>
      <c r="L10" s="49">
        <f>'Avg Week Nateete-Rubaga'!L10+'Avg Week Rubaga-Nateete'!L10</f>
        <v>0</v>
      </c>
      <c r="M10" s="49">
        <f>'Avg Week Nateete-Rubaga'!M10+'Avg Week Rubaga-Nateete'!M10</f>
        <v>409.42857142857144</v>
      </c>
      <c r="N10" s="49">
        <f>'Avg Week Nateete-Rubaga'!N10+'Avg Week Rubaga-Nateete'!N10</f>
        <v>0</v>
      </c>
      <c r="O10" s="15">
        <f t="shared" ref="O10:O56" si="0">SUM(C10:L10,N10)</f>
        <v>257.71428571428572</v>
      </c>
      <c r="P10" s="15">
        <f t="shared" ref="P10:P73" si="1">SUM(C10:N10)</f>
        <v>667.14285714285711</v>
      </c>
      <c r="R10" s="1" t="s">
        <v>6</v>
      </c>
      <c r="S10" s="17">
        <f t="shared" ref="S10:AF10" si="2">SUM(C10:C13)</f>
        <v>311.71428571428567</v>
      </c>
      <c r="T10" s="17">
        <f t="shared" si="2"/>
        <v>62.285714285714292</v>
      </c>
      <c r="U10" s="17">
        <f t="shared" si="2"/>
        <v>47.714285714285722</v>
      </c>
      <c r="V10" s="17">
        <f t="shared" si="2"/>
        <v>415.42857142857144</v>
      </c>
      <c r="W10" s="17">
        <f t="shared" si="2"/>
        <v>33.285714285714292</v>
      </c>
      <c r="X10" s="17">
        <f t="shared" si="2"/>
        <v>8.2857142857142847</v>
      </c>
      <c r="Y10" s="17">
        <f t="shared" si="2"/>
        <v>25.428571428571427</v>
      </c>
      <c r="Z10" s="17">
        <f t="shared" si="2"/>
        <v>11.428571428571427</v>
      </c>
      <c r="AA10" s="17">
        <f t="shared" si="2"/>
        <v>1.7142857142857142</v>
      </c>
      <c r="AB10" s="17">
        <f t="shared" si="2"/>
        <v>0.5714285714285714</v>
      </c>
      <c r="AC10" s="17">
        <f t="shared" si="2"/>
        <v>1723.7142857142858</v>
      </c>
      <c r="AD10" s="17">
        <f t="shared" si="2"/>
        <v>0</v>
      </c>
      <c r="AE10" s="31">
        <f t="shared" si="2"/>
        <v>917.85714285714289</v>
      </c>
      <c r="AF10" s="31">
        <f t="shared" si="2"/>
        <v>2641.5714285714284</v>
      </c>
    </row>
    <row r="11" spans="2:32" s="6" customFormat="1" ht="23.1" customHeight="1" x14ac:dyDescent="0.25">
      <c r="B11" s="23" t="s">
        <v>38</v>
      </c>
      <c r="C11" s="49">
        <f>'Avg Week Nateete-Rubaga'!C11+'Avg Week Rubaga-Nateete'!C11</f>
        <v>82.142857142857139</v>
      </c>
      <c r="D11" s="49">
        <f>'Avg Week Nateete-Rubaga'!D11+'Avg Week Rubaga-Nateete'!D11</f>
        <v>14.428571428571431</v>
      </c>
      <c r="E11" s="49">
        <f>'Avg Week Nateete-Rubaga'!E11+'Avg Week Rubaga-Nateete'!E11</f>
        <v>15.857142857142858</v>
      </c>
      <c r="F11" s="49">
        <f>'Avg Week Nateete-Rubaga'!F11+'Avg Week Rubaga-Nateete'!F11</f>
        <v>99.857142857142861</v>
      </c>
      <c r="G11" s="49">
        <f>'Avg Week Nateete-Rubaga'!G11+'Avg Week Rubaga-Nateete'!G11</f>
        <v>17.714285714285715</v>
      </c>
      <c r="H11" s="49">
        <f>'Avg Week Nateete-Rubaga'!H11+'Avg Week Rubaga-Nateete'!H11</f>
        <v>2</v>
      </c>
      <c r="I11" s="49">
        <f>'Avg Week Nateete-Rubaga'!I11+'Avg Week Rubaga-Nateete'!I11</f>
        <v>5.5714285714285712</v>
      </c>
      <c r="J11" s="49">
        <f>'Avg Week Nateete-Rubaga'!J11+'Avg Week Rubaga-Nateete'!J11</f>
        <v>2.5714285714285716</v>
      </c>
      <c r="K11" s="49">
        <f>'Avg Week Nateete-Rubaga'!K11+'Avg Week Rubaga-Nateete'!K11</f>
        <v>0.5714285714285714</v>
      </c>
      <c r="L11" s="49">
        <f>'Avg Week Nateete-Rubaga'!L11+'Avg Week Rubaga-Nateete'!L11</f>
        <v>0</v>
      </c>
      <c r="M11" s="49">
        <f>'Avg Week Nateete-Rubaga'!M11+'Avg Week Rubaga-Nateete'!M11</f>
        <v>357</v>
      </c>
      <c r="N11" s="49">
        <f>'Avg Week Nateete-Rubaga'!N11+'Avg Week Rubaga-Nateete'!N11</f>
        <v>0</v>
      </c>
      <c r="O11" s="15">
        <f t="shared" si="0"/>
        <v>240.71428571428575</v>
      </c>
      <c r="P11" s="15">
        <f t="shared" si="1"/>
        <v>597.71428571428578</v>
      </c>
      <c r="R11" s="1" t="s">
        <v>7</v>
      </c>
      <c r="S11" s="17">
        <f t="shared" ref="S11:AF11" si="3">SUM(C14:C17)</f>
        <v>272.57142857142856</v>
      </c>
      <c r="T11" s="17">
        <f t="shared" si="3"/>
        <v>55.857142857142861</v>
      </c>
      <c r="U11" s="17">
        <f t="shared" si="3"/>
        <v>31.285714285714285</v>
      </c>
      <c r="V11" s="17">
        <f t="shared" si="3"/>
        <v>422.85714285714283</v>
      </c>
      <c r="W11" s="17">
        <f t="shared" si="3"/>
        <v>12.142857142857142</v>
      </c>
      <c r="X11" s="17">
        <f t="shared" si="3"/>
        <v>8.2857142857142847</v>
      </c>
      <c r="Y11" s="17">
        <f t="shared" si="3"/>
        <v>18.857142857142854</v>
      </c>
      <c r="Z11" s="17">
        <f t="shared" si="3"/>
        <v>11.714285714285715</v>
      </c>
      <c r="AA11" s="17">
        <f t="shared" si="3"/>
        <v>1.2857142857142856</v>
      </c>
      <c r="AB11" s="17">
        <f t="shared" si="3"/>
        <v>1.1428571428571428</v>
      </c>
      <c r="AC11" s="17">
        <f t="shared" si="3"/>
        <v>2193.2857142857142</v>
      </c>
      <c r="AD11" s="17">
        <f t="shared" si="3"/>
        <v>0</v>
      </c>
      <c r="AE11" s="31">
        <f t="shared" si="3"/>
        <v>836</v>
      </c>
      <c r="AF11" s="31">
        <f t="shared" si="3"/>
        <v>3029.2857142857142</v>
      </c>
    </row>
    <row r="12" spans="2:32" ht="23.1" customHeight="1" x14ac:dyDescent="0.25">
      <c r="B12" s="23" t="s">
        <v>39</v>
      </c>
      <c r="C12" s="49">
        <f>'Avg Week Nateete-Rubaga'!C12+'Avg Week Rubaga-Nateete'!C12</f>
        <v>74.857142857142861</v>
      </c>
      <c r="D12" s="49">
        <f>'Avg Week Nateete-Rubaga'!D12+'Avg Week Rubaga-Nateete'!D12</f>
        <v>16.285714285714285</v>
      </c>
      <c r="E12" s="49">
        <f>'Avg Week Nateete-Rubaga'!E12+'Avg Week Rubaga-Nateete'!E12</f>
        <v>12.142857142857142</v>
      </c>
      <c r="F12" s="49">
        <f>'Avg Week Nateete-Rubaga'!F12+'Avg Week Rubaga-Nateete'!F12</f>
        <v>103.57142857142858</v>
      </c>
      <c r="G12" s="49">
        <f>'Avg Week Nateete-Rubaga'!G12+'Avg Week Rubaga-Nateete'!G12</f>
        <v>6.7142857142857144</v>
      </c>
      <c r="H12" s="49">
        <f>'Avg Week Nateete-Rubaga'!H12+'Avg Week Rubaga-Nateete'!H12</f>
        <v>2</v>
      </c>
      <c r="I12" s="49">
        <f>'Avg Week Nateete-Rubaga'!I12+'Avg Week Rubaga-Nateete'!I12</f>
        <v>4.5714285714285712</v>
      </c>
      <c r="J12" s="49">
        <f>'Avg Week Nateete-Rubaga'!J12+'Avg Week Rubaga-Nateete'!J12</f>
        <v>3.5714285714285712</v>
      </c>
      <c r="K12" s="49">
        <f>'Avg Week Nateete-Rubaga'!K12+'Avg Week Rubaga-Nateete'!K12</f>
        <v>0.2857142857142857</v>
      </c>
      <c r="L12" s="49">
        <f>'Avg Week Nateete-Rubaga'!L12+'Avg Week Rubaga-Nateete'!L12</f>
        <v>0.42857142857142855</v>
      </c>
      <c r="M12" s="49">
        <f>'Avg Week Nateete-Rubaga'!M12+'Avg Week Rubaga-Nateete'!M12</f>
        <v>462.71428571428567</v>
      </c>
      <c r="N12" s="49">
        <f>'Avg Week Nateete-Rubaga'!N12+'Avg Week Rubaga-Nateete'!N12</f>
        <v>0</v>
      </c>
      <c r="O12" s="15">
        <f t="shared" si="0"/>
        <v>224.42857142857144</v>
      </c>
      <c r="P12" s="15">
        <f t="shared" si="1"/>
        <v>687.14285714285711</v>
      </c>
      <c r="R12" s="1" t="s">
        <v>8</v>
      </c>
      <c r="S12" s="17">
        <f t="shared" ref="S12:AF12" si="4">SUM(C18:C21)</f>
        <v>270.85714285714289</v>
      </c>
      <c r="T12" s="17">
        <f t="shared" si="4"/>
        <v>55.142857142857139</v>
      </c>
      <c r="U12" s="17">
        <f t="shared" si="4"/>
        <v>29.571428571428573</v>
      </c>
      <c r="V12" s="17">
        <f t="shared" si="4"/>
        <v>413.28571428571428</v>
      </c>
      <c r="W12" s="17">
        <f t="shared" si="4"/>
        <v>10.714285714285715</v>
      </c>
      <c r="X12" s="17">
        <f t="shared" si="4"/>
        <v>9.5714285714285712</v>
      </c>
      <c r="Y12" s="17">
        <f t="shared" si="4"/>
        <v>21</v>
      </c>
      <c r="Z12" s="17">
        <f t="shared" si="4"/>
        <v>12.714285714285712</v>
      </c>
      <c r="AA12" s="17">
        <f t="shared" si="4"/>
        <v>1.2857142857142856</v>
      </c>
      <c r="AB12" s="17">
        <f t="shared" si="4"/>
        <v>0.42857142857142855</v>
      </c>
      <c r="AC12" s="17">
        <f t="shared" si="4"/>
        <v>1878.5714285714284</v>
      </c>
      <c r="AD12" s="17">
        <f t="shared" si="4"/>
        <v>0</v>
      </c>
      <c r="AE12" s="31">
        <f t="shared" si="4"/>
        <v>824.57142857142867</v>
      </c>
      <c r="AF12" s="31">
        <f t="shared" si="4"/>
        <v>2703.1428571428569</v>
      </c>
    </row>
    <row r="13" spans="2:32" ht="23.1" customHeight="1" x14ac:dyDescent="0.25">
      <c r="B13" s="23" t="s">
        <v>40</v>
      </c>
      <c r="C13" s="49">
        <f>'Avg Week Nateete-Rubaga'!C13+'Avg Week Rubaga-Nateete'!C13</f>
        <v>66.285714285714278</v>
      </c>
      <c r="D13" s="49">
        <f>'Avg Week Nateete-Rubaga'!D13+'Avg Week Rubaga-Nateete'!D13</f>
        <v>14.428571428571429</v>
      </c>
      <c r="E13" s="49">
        <f>'Avg Week Nateete-Rubaga'!E13+'Avg Week Rubaga-Nateete'!E13</f>
        <v>6.8571428571428577</v>
      </c>
      <c r="F13" s="49">
        <f>'Avg Week Nateete-Rubaga'!F13+'Avg Week Rubaga-Nateete'!F13</f>
        <v>92.714285714285722</v>
      </c>
      <c r="G13" s="49">
        <f>'Avg Week Nateete-Rubaga'!G13+'Avg Week Rubaga-Nateete'!G13</f>
        <v>3.4285714285714288</v>
      </c>
      <c r="H13" s="49">
        <f>'Avg Week Nateete-Rubaga'!H13+'Avg Week Rubaga-Nateete'!H13</f>
        <v>2</v>
      </c>
      <c r="I13" s="49">
        <f>'Avg Week Nateete-Rubaga'!I13+'Avg Week Rubaga-Nateete'!I13</f>
        <v>6.2857142857142856</v>
      </c>
      <c r="J13" s="49">
        <f>'Avg Week Nateete-Rubaga'!J13+'Avg Week Rubaga-Nateete'!J13</f>
        <v>2.2857142857142856</v>
      </c>
      <c r="K13" s="49">
        <f>'Avg Week Nateete-Rubaga'!K13+'Avg Week Rubaga-Nateete'!K13</f>
        <v>0.5714285714285714</v>
      </c>
      <c r="L13" s="49">
        <f>'Avg Week Nateete-Rubaga'!L13+'Avg Week Rubaga-Nateete'!L13</f>
        <v>0.14285714285714285</v>
      </c>
      <c r="M13" s="49">
        <f>'Avg Week Nateete-Rubaga'!M13+'Avg Week Rubaga-Nateete'!M13</f>
        <v>494.57142857142856</v>
      </c>
      <c r="N13" s="49">
        <f>'Avg Week Nateete-Rubaga'!N13+'Avg Week Rubaga-Nateete'!N13</f>
        <v>0</v>
      </c>
      <c r="O13" s="15">
        <f t="shared" si="0"/>
        <v>194.99999999999997</v>
      </c>
      <c r="P13" s="15">
        <f t="shared" si="1"/>
        <v>689.57142857142856</v>
      </c>
      <c r="R13" s="1" t="s">
        <v>9</v>
      </c>
      <c r="S13" s="17">
        <f t="shared" ref="S13:AF13" si="5">SUM(C22:C25)</f>
        <v>272.28571428571428</v>
      </c>
      <c r="T13" s="17">
        <f t="shared" si="5"/>
        <v>53</v>
      </c>
      <c r="U13" s="17">
        <f t="shared" si="5"/>
        <v>36.857142857142861</v>
      </c>
      <c r="V13" s="17">
        <f t="shared" si="5"/>
        <v>356.71428571428572</v>
      </c>
      <c r="W13" s="17">
        <f t="shared" si="5"/>
        <v>12.285714285714285</v>
      </c>
      <c r="X13" s="17">
        <f t="shared" si="5"/>
        <v>8.4285714285714288</v>
      </c>
      <c r="Y13" s="17">
        <f t="shared" si="5"/>
        <v>25.571428571428569</v>
      </c>
      <c r="Z13" s="17">
        <f t="shared" si="5"/>
        <v>14.428571428571431</v>
      </c>
      <c r="AA13" s="17">
        <f t="shared" si="5"/>
        <v>2.1428571428571428</v>
      </c>
      <c r="AB13" s="17">
        <f t="shared" si="5"/>
        <v>1.2857142857142856</v>
      </c>
      <c r="AC13" s="17">
        <f t="shared" si="5"/>
        <v>1475.8571428571427</v>
      </c>
      <c r="AD13" s="17">
        <f t="shared" si="5"/>
        <v>0</v>
      </c>
      <c r="AE13" s="31">
        <f t="shared" si="5"/>
        <v>783</v>
      </c>
      <c r="AF13" s="31">
        <f t="shared" si="5"/>
        <v>2258.8571428571427</v>
      </c>
    </row>
    <row r="14" spans="2:32" ht="23.1" customHeight="1" x14ac:dyDescent="0.25">
      <c r="B14" s="23" t="s">
        <v>41</v>
      </c>
      <c r="C14" s="49">
        <f>'Avg Week Nateete-Rubaga'!C14+'Avg Week Rubaga-Nateete'!C14</f>
        <v>69.428571428571431</v>
      </c>
      <c r="D14" s="49">
        <f>'Avg Week Nateete-Rubaga'!D14+'Avg Week Rubaga-Nateete'!D14</f>
        <v>13.428571428571429</v>
      </c>
      <c r="E14" s="49">
        <f>'Avg Week Nateete-Rubaga'!E14+'Avg Week Rubaga-Nateete'!E14</f>
        <v>7.8571428571428577</v>
      </c>
      <c r="F14" s="49">
        <f>'Avg Week Nateete-Rubaga'!F14+'Avg Week Rubaga-Nateete'!F14</f>
        <v>100.42857142857143</v>
      </c>
      <c r="G14" s="49">
        <f>'Avg Week Nateete-Rubaga'!G14+'Avg Week Rubaga-Nateete'!G14</f>
        <v>2.8571428571428572</v>
      </c>
      <c r="H14" s="49">
        <f>'Avg Week Nateete-Rubaga'!H14+'Avg Week Rubaga-Nateete'!H14</f>
        <v>3</v>
      </c>
      <c r="I14" s="49">
        <f>'Avg Week Nateete-Rubaga'!I14+'Avg Week Rubaga-Nateete'!I14</f>
        <v>5.5714285714285712</v>
      </c>
      <c r="J14" s="49">
        <f>'Avg Week Nateete-Rubaga'!J14+'Avg Week Rubaga-Nateete'!J14</f>
        <v>2.8571428571428572</v>
      </c>
      <c r="K14" s="49">
        <f>'Avg Week Nateete-Rubaga'!K14+'Avg Week Rubaga-Nateete'!K14</f>
        <v>0.14285714285714285</v>
      </c>
      <c r="L14" s="49">
        <f>'Avg Week Nateete-Rubaga'!L14+'Avg Week Rubaga-Nateete'!L14</f>
        <v>0.42857142857142855</v>
      </c>
      <c r="M14" s="49">
        <f>'Avg Week Nateete-Rubaga'!M14+'Avg Week Rubaga-Nateete'!M14</f>
        <v>507.85714285714289</v>
      </c>
      <c r="N14" s="49">
        <f>'Avg Week Nateete-Rubaga'!N14+'Avg Week Rubaga-Nateete'!N14</f>
        <v>0</v>
      </c>
      <c r="O14" s="15">
        <f t="shared" si="0"/>
        <v>206.00000000000003</v>
      </c>
      <c r="P14" s="15">
        <f t="shared" si="1"/>
        <v>713.85714285714289</v>
      </c>
      <c r="R14" s="1" t="s">
        <v>10</v>
      </c>
      <c r="S14" s="17">
        <f t="shared" ref="S14:AF14" si="6">SUM(C26:C29)</f>
        <v>261</v>
      </c>
      <c r="T14" s="17">
        <f t="shared" si="6"/>
        <v>55.714285714285708</v>
      </c>
      <c r="U14" s="17">
        <f t="shared" si="6"/>
        <v>41.714285714285708</v>
      </c>
      <c r="V14" s="17">
        <f t="shared" si="6"/>
        <v>313.71428571428567</v>
      </c>
      <c r="W14" s="17">
        <f t="shared" si="6"/>
        <v>12.714285714285715</v>
      </c>
      <c r="X14" s="17">
        <f t="shared" si="6"/>
        <v>12.285714285714285</v>
      </c>
      <c r="Y14" s="17">
        <f t="shared" si="6"/>
        <v>23</v>
      </c>
      <c r="Z14" s="17">
        <f t="shared" si="6"/>
        <v>19.714285714285715</v>
      </c>
      <c r="AA14" s="17">
        <f t="shared" si="6"/>
        <v>1.1428571428571428</v>
      </c>
      <c r="AB14" s="17">
        <f t="shared" si="6"/>
        <v>1.4285714285714284</v>
      </c>
      <c r="AC14" s="17">
        <f t="shared" si="6"/>
        <v>1442.2857142857144</v>
      </c>
      <c r="AD14" s="17">
        <f t="shared" si="6"/>
        <v>1.4285714285714286</v>
      </c>
      <c r="AE14" s="31">
        <f t="shared" si="6"/>
        <v>743.85714285714278</v>
      </c>
      <c r="AF14" s="31">
        <f t="shared" si="6"/>
        <v>2186.1428571428569</v>
      </c>
    </row>
    <row r="15" spans="2:32" ht="23.1" customHeight="1" x14ac:dyDescent="0.25">
      <c r="B15" s="23" t="s">
        <v>42</v>
      </c>
      <c r="C15" s="49">
        <f>'Avg Week Nateete-Rubaga'!C15+'Avg Week Rubaga-Nateete'!C15</f>
        <v>59.142857142857139</v>
      </c>
      <c r="D15" s="49">
        <f>'Avg Week Nateete-Rubaga'!D15+'Avg Week Rubaga-Nateete'!D15</f>
        <v>13.285714285714286</v>
      </c>
      <c r="E15" s="49">
        <f>'Avg Week Nateete-Rubaga'!E15+'Avg Week Rubaga-Nateete'!E15</f>
        <v>7.2857142857142847</v>
      </c>
      <c r="F15" s="49">
        <f>'Avg Week Nateete-Rubaga'!F15+'Avg Week Rubaga-Nateete'!F15</f>
        <v>112.85714285714286</v>
      </c>
      <c r="G15" s="49">
        <f>'Avg Week Nateete-Rubaga'!G15+'Avg Week Rubaga-Nateete'!G15</f>
        <v>3</v>
      </c>
      <c r="H15" s="49">
        <f>'Avg Week Nateete-Rubaga'!H15+'Avg Week Rubaga-Nateete'!H15</f>
        <v>2.1428571428571428</v>
      </c>
      <c r="I15" s="49">
        <f>'Avg Week Nateete-Rubaga'!I15+'Avg Week Rubaga-Nateete'!I15</f>
        <v>3.7142857142857144</v>
      </c>
      <c r="J15" s="49">
        <f>'Avg Week Nateete-Rubaga'!J15+'Avg Week Rubaga-Nateete'!J15</f>
        <v>3.7142857142857144</v>
      </c>
      <c r="K15" s="49">
        <f>'Avg Week Nateete-Rubaga'!K15+'Avg Week Rubaga-Nateete'!K15</f>
        <v>0.8571428571428571</v>
      </c>
      <c r="L15" s="49">
        <f>'Avg Week Nateete-Rubaga'!L15+'Avg Week Rubaga-Nateete'!L15</f>
        <v>0.42857142857142855</v>
      </c>
      <c r="M15" s="49">
        <f>'Avg Week Nateete-Rubaga'!M15+'Avg Week Rubaga-Nateete'!M15</f>
        <v>558.28571428571422</v>
      </c>
      <c r="N15" s="49">
        <f>'Avg Week Nateete-Rubaga'!N15+'Avg Week Rubaga-Nateete'!N15</f>
        <v>0</v>
      </c>
      <c r="O15" s="15">
        <f t="shared" si="0"/>
        <v>206.42857142857144</v>
      </c>
      <c r="P15" s="15">
        <f t="shared" si="1"/>
        <v>764.71428571428567</v>
      </c>
      <c r="R15" s="1" t="s">
        <v>11</v>
      </c>
      <c r="S15" s="17">
        <f t="shared" ref="S15:AF15" si="7">SUM(C30:C33)</f>
        <v>274.28571428571428</v>
      </c>
      <c r="T15" s="17">
        <f t="shared" si="7"/>
        <v>51.142857142857146</v>
      </c>
      <c r="U15" s="17">
        <f t="shared" si="7"/>
        <v>43.285714285714285</v>
      </c>
      <c r="V15" s="17">
        <f t="shared" si="7"/>
        <v>317.85714285714289</v>
      </c>
      <c r="W15" s="17">
        <f t="shared" si="7"/>
        <v>7.4285714285714288</v>
      </c>
      <c r="X15" s="17">
        <f t="shared" si="7"/>
        <v>9.7142857142857135</v>
      </c>
      <c r="Y15" s="17">
        <f t="shared" si="7"/>
        <v>24.714285714285715</v>
      </c>
      <c r="Z15" s="17">
        <f t="shared" si="7"/>
        <v>22.142857142857139</v>
      </c>
      <c r="AA15" s="17">
        <f t="shared" si="7"/>
        <v>1.714285714285714</v>
      </c>
      <c r="AB15" s="17">
        <f t="shared" si="7"/>
        <v>2.2857142857142856</v>
      </c>
      <c r="AC15" s="17">
        <f t="shared" si="7"/>
        <v>1210.4285714285716</v>
      </c>
      <c r="AD15" s="17">
        <f t="shared" si="7"/>
        <v>0</v>
      </c>
      <c r="AE15" s="31">
        <f t="shared" si="7"/>
        <v>754.57142857142844</v>
      </c>
      <c r="AF15" s="31">
        <f t="shared" si="7"/>
        <v>1964.9999999999998</v>
      </c>
    </row>
    <row r="16" spans="2:32" ht="23.1" customHeight="1" x14ac:dyDescent="0.25">
      <c r="B16" s="23" t="s">
        <v>43</v>
      </c>
      <c r="C16" s="49">
        <f>'Avg Week Nateete-Rubaga'!C16+'Avg Week Rubaga-Nateete'!C16</f>
        <v>76.857142857142861</v>
      </c>
      <c r="D16" s="49">
        <f>'Avg Week Nateete-Rubaga'!D16+'Avg Week Rubaga-Nateete'!D16</f>
        <v>13.714285714285715</v>
      </c>
      <c r="E16" s="49">
        <f>'Avg Week Nateete-Rubaga'!E16+'Avg Week Rubaga-Nateete'!E16</f>
        <v>8.7142857142857153</v>
      </c>
      <c r="F16" s="49">
        <f>'Avg Week Nateete-Rubaga'!F16+'Avg Week Rubaga-Nateete'!F16</f>
        <v>110</v>
      </c>
      <c r="G16" s="49">
        <f>'Avg Week Nateete-Rubaga'!G16+'Avg Week Rubaga-Nateete'!G16</f>
        <v>4</v>
      </c>
      <c r="H16" s="49">
        <f>'Avg Week Nateete-Rubaga'!H16+'Avg Week Rubaga-Nateete'!H16</f>
        <v>1.5714285714285714</v>
      </c>
      <c r="I16" s="49">
        <f>'Avg Week Nateete-Rubaga'!I16+'Avg Week Rubaga-Nateete'!I16</f>
        <v>4.1428571428571432</v>
      </c>
      <c r="J16" s="49">
        <f>'Avg Week Nateete-Rubaga'!J16+'Avg Week Rubaga-Nateete'!J16</f>
        <v>2.4285714285714284</v>
      </c>
      <c r="K16" s="49">
        <f>'Avg Week Nateete-Rubaga'!K16+'Avg Week Rubaga-Nateete'!K16</f>
        <v>0.14285714285714285</v>
      </c>
      <c r="L16" s="49">
        <f>'Avg Week Nateete-Rubaga'!L16+'Avg Week Rubaga-Nateete'!L16</f>
        <v>0.2857142857142857</v>
      </c>
      <c r="M16" s="49">
        <f>'Avg Week Nateete-Rubaga'!M16+'Avg Week Rubaga-Nateete'!M16</f>
        <v>584.57142857142856</v>
      </c>
      <c r="N16" s="49">
        <f>'Avg Week Nateete-Rubaga'!N16+'Avg Week Rubaga-Nateete'!N16</f>
        <v>0</v>
      </c>
      <c r="O16" s="15">
        <f t="shared" si="0"/>
        <v>221.85714285714286</v>
      </c>
      <c r="P16" s="15">
        <f t="shared" si="1"/>
        <v>806.42857142857144</v>
      </c>
      <c r="R16" s="1" t="s">
        <v>12</v>
      </c>
      <c r="S16" s="17">
        <f t="shared" ref="S16:AF16" si="8">SUM(C34:C37)</f>
        <v>272.28571428571428</v>
      </c>
      <c r="T16" s="17">
        <f t="shared" si="8"/>
        <v>46</v>
      </c>
      <c r="U16" s="17">
        <f t="shared" si="8"/>
        <v>39.428571428571423</v>
      </c>
      <c r="V16" s="17">
        <f t="shared" si="8"/>
        <v>309.42857142857144</v>
      </c>
      <c r="W16" s="17">
        <f t="shared" si="8"/>
        <v>8.1428571428571423</v>
      </c>
      <c r="X16" s="17">
        <f t="shared" si="8"/>
        <v>12</v>
      </c>
      <c r="Y16" s="17">
        <f t="shared" si="8"/>
        <v>24.714285714285715</v>
      </c>
      <c r="Z16" s="17">
        <f t="shared" si="8"/>
        <v>16</v>
      </c>
      <c r="AA16" s="17">
        <f t="shared" si="8"/>
        <v>2.2857142857142856</v>
      </c>
      <c r="AB16" s="17">
        <f t="shared" si="8"/>
        <v>2.7142857142857144</v>
      </c>
      <c r="AC16" s="17">
        <f t="shared" si="8"/>
        <v>1002.5714285714286</v>
      </c>
      <c r="AD16" s="17">
        <f t="shared" si="8"/>
        <v>0</v>
      </c>
      <c r="AE16" s="31">
        <f t="shared" si="8"/>
        <v>733.00000000000011</v>
      </c>
      <c r="AF16" s="31">
        <f t="shared" si="8"/>
        <v>1735.5714285714284</v>
      </c>
    </row>
    <row r="17" spans="2:32" ht="23.1" customHeight="1" x14ac:dyDescent="0.25">
      <c r="B17" s="23" t="s">
        <v>44</v>
      </c>
      <c r="C17" s="49">
        <f>'Avg Week Nateete-Rubaga'!C17+'Avg Week Rubaga-Nateete'!C17</f>
        <v>67.142857142857139</v>
      </c>
      <c r="D17" s="49">
        <f>'Avg Week Nateete-Rubaga'!D17+'Avg Week Rubaga-Nateete'!D17</f>
        <v>15.428571428571429</v>
      </c>
      <c r="E17" s="49">
        <f>'Avg Week Nateete-Rubaga'!E17+'Avg Week Rubaga-Nateete'!E17</f>
        <v>7.4285714285714288</v>
      </c>
      <c r="F17" s="49">
        <f>'Avg Week Nateete-Rubaga'!F17+'Avg Week Rubaga-Nateete'!F17</f>
        <v>99.571428571428569</v>
      </c>
      <c r="G17" s="49">
        <f>'Avg Week Nateete-Rubaga'!G17+'Avg Week Rubaga-Nateete'!G17</f>
        <v>2.2857142857142856</v>
      </c>
      <c r="H17" s="49">
        <f>'Avg Week Nateete-Rubaga'!H17+'Avg Week Rubaga-Nateete'!H17</f>
        <v>1.5714285714285714</v>
      </c>
      <c r="I17" s="49">
        <f>'Avg Week Nateete-Rubaga'!I17+'Avg Week Rubaga-Nateete'!I17</f>
        <v>5.4285714285714288</v>
      </c>
      <c r="J17" s="49">
        <f>'Avg Week Nateete-Rubaga'!J17+'Avg Week Rubaga-Nateete'!J17</f>
        <v>2.7142857142857144</v>
      </c>
      <c r="K17" s="49">
        <f>'Avg Week Nateete-Rubaga'!K17+'Avg Week Rubaga-Nateete'!K17</f>
        <v>0.14285714285714285</v>
      </c>
      <c r="L17" s="49">
        <f>'Avg Week Nateete-Rubaga'!L17+'Avg Week Rubaga-Nateete'!L17</f>
        <v>0</v>
      </c>
      <c r="M17" s="49">
        <f>'Avg Week Nateete-Rubaga'!M17+'Avg Week Rubaga-Nateete'!M17</f>
        <v>542.57142857142856</v>
      </c>
      <c r="N17" s="49">
        <f>'Avg Week Nateete-Rubaga'!N17+'Avg Week Rubaga-Nateete'!N17</f>
        <v>0</v>
      </c>
      <c r="O17" s="15">
        <f t="shared" si="0"/>
        <v>201.71428571428569</v>
      </c>
      <c r="P17" s="15">
        <f t="shared" si="1"/>
        <v>744.28571428571422</v>
      </c>
      <c r="R17" s="1" t="s">
        <v>13</v>
      </c>
      <c r="S17" s="17">
        <f t="shared" ref="S17:AF17" si="9">SUM(C38:C41)</f>
        <v>246.42857142857142</v>
      </c>
      <c r="T17" s="17">
        <f t="shared" si="9"/>
        <v>44.714285714285715</v>
      </c>
      <c r="U17" s="17">
        <f t="shared" si="9"/>
        <v>47.142857142857146</v>
      </c>
      <c r="V17" s="17">
        <f t="shared" si="9"/>
        <v>298.57142857142856</v>
      </c>
      <c r="W17" s="17">
        <f t="shared" si="9"/>
        <v>8</v>
      </c>
      <c r="X17" s="17">
        <f t="shared" si="9"/>
        <v>11</v>
      </c>
      <c r="Y17" s="17">
        <f t="shared" si="9"/>
        <v>26.428571428571431</v>
      </c>
      <c r="Z17" s="17">
        <f t="shared" si="9"/>
        <v>15.428571428571429</v>
      </c>
      <c r="AA17" s="17">
        <f t="shared" si="9"/>
        <v>1.2857142857142856</v>
      </c>
      <c r="AB17" s="17">
        <f t="shared" si="9"/>
        <v>2</v>
      </c>
      <c r="AC17" s="17">
        <f t="shared" si="9"/>
        <v>892.14285714285711</v>
      </c>
      <c r="AD17" s="17">
        <f t="shared" si="9"/>
        <v>0</v>
      </c>
      <c r="AE17" s="31">
        <f t="shared" si="9"/>
        <v>700.99999999999989</v>
      </c>
      <c r="AF17" s="31">
        <f t="shared" si="9"/>
        <v>1593.1428571428569</v>
      </c>
    </row>
    <row r="18" spans="2:32" ht="23.1" customHeight="1" x14ac:dyDescent="0.25">
      <c r="B18" s="23" t="s">
        <v>45</v>
      </c>
      <c r="C18" s="49">
        <f>'Avg Week Nateete-Rubaga'!C18+'Avg Week Rubaga-Nateete'!C18</f>
        <v>68.428571428571431</v>
      </c>
      <c r="D18" s="49">
        <f>'Avg Week Nateete-Rubaga'!D18+'Avg Week Rubaga-Nateete'!D18</f>
        <v>12.857142857142858</v>
      </c>
      <c r="E18" s="49">
        <f>'Avg Week Nateete-Rubaga'!E18+'Avg Week Rubaga-Nateete'!E18</f>
        <v>6.1428571428571423</v>
      </c>
      <c r="F18" s="49">
        <f>'Avg Week Nateete-Rubaga'!F18+'Avg Week Rubaga-Nateete'!F18</f>
        <v>111.14285714285714</v>
      </c>
      <c r="G18" s="49">
        <f>'Avg Week Nateete-Rubaga'!G18+'Avg Week Rubaga-Nateete'!G18</f>
        <v>2.2857142857142856</v>
      </c>
      <c r="H18" s="49">
        <f>'Avg Week Nateete-Rubaga'!H18+'Avg Week Rubaga-Nateete'!H18</f>
        <v>2.5714285714285712</v>
      </c>
      <c r="I18" s="49">
        <f>'Avg Week Nateete-Rubaga'!I18+'Avg Week Rubaga-Nateete'!I18</f>
        <v>4.4285714285714288</v>
      </c>
      <c r="J18" s="49">
        <f>'Avg Week Nateete-Rubaga'!J18+'Avg Week Rubaga-Nateete'!J18</f>
        <v>2.7142857142857144</v>
      </c>
      <c r="K18" s="49">
        <f>'Avg Week Nateete-Rubaga'!K18+'Avg Week Rubaga-Nateete'!K18</f>
        <v>0.5714285714285714</v>
      </c>
      <c r="L18" s="49">
        <f>'Avg Week Nateete-Rubaga'!L18+'Avg Week Rubaga-Nateete'!L18</f>
        <v>0</v>
      </c>
      <c r="M18" s="49">
        <f>'Avg Week Nateete-Rubaga'!M18+'Avg Week Rubaga-Nateete'!M18</f>
        <v>520.28571428571422</v>
      </c>
      <c r="N18" s="49">
        <f>'Avg Week Nateete-Rubaga'!N18+'Avg Week Rubaga-Nateete'!N18</f>
        <v>0</v>
      </c>
      <c r="O18" s="15">
        <f t="shared" si="0"/>
        <v>211.14285714285714</v>
      </c>
      <c r="P18" s="15">
        <f t="shared" si="1"/>
        <v>731.42857142857133</v>
      </c>
      <c r="R18" s="1" t="s">
        <v>14</v>
      </c>
      <c r="S18" s="17">
        <f t="shared" ref="S18:AF18" si="10">SUM(C42:C45)</f>
        <v>256</v>
      </c>
      <c r="T18" s="17">
        <f t="shared" si="10"/>
        <v>52.142857142857139</v>
      </c>
      <c r="U18" s="17">
        <f t="shared" si="10"/>
        <v>38.142857142857146</v>
      </c>
      <c r="V18" s="17">
        <f t="shared" si="10"/>
        <v>260.14285714285717</v>
      </c>
      <c r="W18" s="17">
        <f t="shared" si="10"/>
        <v>6.4285714285714279</v>
      </c>
      <c r="X18" s="17">
        <f t="shared" si="10"/>
        <v>9.7142857142857153</v>
      </c>
      <c r="Y18" s="17">
        <f t="shared" si="10"/>
        <v>23.285714285714288</v>
      </c>
      <c r="Z18" s="17">
        <f t="shared" si="10"/>
        <v>14</v>
      </c>
      <c r="AA18" s="17">
        <f t="shared" si="10"/>
        <v>1.2857142857142856</v>
      </c>
      <c r="AB18" s="17">
        <f t="shared" si="10"/>
        <v>1.9999999999999998</v>
      </c>
      <c r="AC18" s="17">
        <f t="shared" si="10"/>
        <v>860.57142857142867</v>
      </c>
      <c r="AD18" s="17">
        <f t="shared" si="10"/>
        <v>0</v>
      </c>
      <c r="AE18" s="31">
        <f t="shared" si="10"/>
        <v>663.14285714285711</v>
      </c>
      <c r="AF18" s="31">
        <f t="shared" si="10"/>
        <v>1523.7142857142858</v>
      </c>
    </row>
    <row r="19" spans="2:32" ht="23.1" customHeight="1" x14ac:dyDescent="0.25">
      <c r="B19" s="23" t="s">
        <v>46</v>
      </c>
      <c r="C19" s="49">
        <f>'Avg Week Nateete-Rubaga'!C19+'Avg Week Rubaga-Nateete'!C19</f>
        <v>70</v>
      </c>
      <c r="D19" s="49">
        <f>'Avg Week Nateete-Rubaga'!D19+'Avg Week Rubaga-Nateete'!D19</f>
        <v>13.714285714285715</v>
      </c>
      <c r="E19" s="49">
        <f>'Avg Week Nateete-Rubaga'!E19+'Avg Week Rubaga-Nateete'!E19</f>
        <v>6.8571428571428568</v>
      </c>
      <c r="F19" s="49">
        <f>'Avg Week Nateete-Rubaga'!F19+'Avg Week Rubaga-Nateete'!F19</f>
        <v>101.85714285714286</v>
      </c>
      <c r="G19" s="49">
        <f>'Avg Week Nateete-Rubaga'!G19+'Avg Week Rubaga-Nateete'!G19</f>
        <v>3.2857142857142856</v>
      </c>
      <c r="H19" s="49">
        <f>'Avg Week Nateete-Rubaga'!H19+'Avg Week Rubaga-Nateete'!H19</f>
        <v>3.4285714285714284</v>
      </c>
      <c r="I19" s="49">
        <f>'Avg Week Nateete-Rubaga'!I19+'Avg Week Rubaga-Nateete'!I19</f>
        <v>3.7142857142857144</v>
      </c>
      <c r="J19" s="49">
        <f>'Avg Week Nateete-Rubaga'!J19+'Avg Week Rubaga-Nateete'!J19</f>
        <v>3.8571428571428572</v>
      </c>
      <c r="K19" s="49">
        <f>'Avg Week Nateete-Rubaga'!K19+'Avg Week Rubaga-Nateete'!K19</f>
        <v>0.2857142857142857</v>
      </c>
      <c r="L19" s="49">
        <f>'Avg Week Nateete-Rubaga'!L19+'Avg Week Rubaga-Nateete'!L19</f>
        <v>0.14285714285714285</v>
      </c>
      <c r="M19" s="49">
        <f>'Avg Week Nateete-Rubaga'!M19+'Avg Week Rubaga-Nateete'!M19</f>
        <v>493.28571428571428</v>
      </c>
      <c r="N19" s="49">
        <f>'Avg Week Nateete-Rubaga'!N19+'Avg Week Rubaga-Nateete'!N19</f>
        <v>0</v>
      </c>
      <c r="O19" s="15">
        <f t="shared" si="0"/>
        <v>207.14285714285714</v>
      </c>
      <c r="P19" s="15">
        <f t="shared" si="1"/>
        <v>700.42857142857144</v>
      </c>
      <c r="R19" s="1" t="s">
        <v>15</v>
      </c>
      <c r="S19" s="17">
        <f t="shared" ref="S19:AF19" si="11">SUM(C46:C49)</f>
        <v>308.57142857142856</v>
      </c>
      <c r="T19" s="17">
        <f t="shared" si="11"/>
        <v>49.857142857142861</v>
      </c>
      <c r="U19" s="17">
        <f t="shared" si="11"/>
        <v>33.714285714285708</v>
      </c>
      <c r="V19" s="17">
        <f t="shared" si="11"/>
        <v>339.28571428571433</v>
      </c>
      <c r="W19" s="17">
        <f t="shared" si="11"/>
        <v>7.5714285714285712</v>
      </c>
      <c r="X19" s="17">
        <f t="shared" si="11"/>
        <v>12.714285714285712</v>
      </c>
      <c r="Y19" s="17">
        <f t="shared" si="11"/>
        <v>24.428571428571431</v>
      </c>
      <c r="Z19" s="17">
        <f t="shared" si="11"/>
        <v>14.714285714285715</v>
      </c>
      <c r="AA19" s="17">
        <f t="shared" si="11"/>
        <v>2.5714285714285712</v>
      </c>
      <c r="AB19" s="17">
        <f t="shared" si="11"/>
        <v>2.1428571428571428</v>
      </c>
      <c r="AC19" s="17">
        <f t="shared" si="11"/>
        <v>1037</v>
      </c>
      <c r="AD19" s="17">
        <f t="shared" si="11"/>
        <v>0</v>
      </c>
      <c r="AE19" s="31">
        <f t="shared" si="11"/>
        <v>795.57142857142856</v>
      </c>
      <c r="AF19" s="31">
        <f t="shared" si="11"/>
        <v>1832.5714285714287</v>
      </c>
    </row>
    <row r="20" spans="2:32" ht="23.1" customHeight="1" x14ac:dyDescent="0.25">
      <c r="B20" s="23" t="s">
        <v>47</v>
      </c>
      <c r="C20" s="49">
        <f>'Avg Week Nateete-Rubaga'!C20+'Avg Week Rubaga-Nateete'!C20</f>
        <v>68</v>
      </c>
      <c r="D20" s="49">
        <f>'Avg Week Nateete-Rubaga'!D20+'Avg Week Rubaga-Nateete'!D20</f>
        <v>14.428571428571429</v>
      </c>
      <c r="E20" s="49">
        <f>'Avg Week Nateete-Rubaga'!E20+'Avg Week Rubaga-Nateete'!E20</f>
        <v>7.7142857142857135</v>
      </c>
      <c r="F20" s="49">
        <f>'Avg Week Nateete-Rubaga'!F20+'Avg Week Rubaga-Nateete'!F20</f>
        <v>100.57142857142857</v>
      </c>
      <c r="G20" s="49">
        <f>'Avg Week Nateete-Rubaga'!G20+'Avg Week Rubaga-Nateete'!G20</f>
        <v>3.4285714285714288</v>
      </c>
      <c r="H20" s="49">
        <f>'Avg Week Nateete-Rubaga'!H20+'Avg Week Rubaga-Nateete'!H20</f>
        <v>2</v>
      </c>
      <c r="I20" s="49">
        <f>'Avg Week Nateete-Rubaga'!I20+'Avg Week Rubaga-Nateete'!I20</f>
        <v>6.4285714285714288</v>
      </c>
      <c r="J20" s="49">
        <f>'Avg Week Nateete-Rubaga'!J20+'Avg Week Rubaga-Nateete'!J20</f>
        <v>3.8571428571428568</v>
      </c>
      <c r="K20" s="49">
        <f>'Avg Week Nateete-Rubaga'!K20+'Avg Week Rubaga-Nateete'!K20</f>
        <v>0</v>
      </c>
      <c r="L20" s="49">
        <f>'Avg Week Nateete-Rubaga'!L20+'Avg Week Rubaga-Nateete'!L20</f>
        <v>0.14285714285714285</v>
      </c>
      <c r="M20" s="49">
        <f>'Avg Week Nateete-Rubaga'!M20+'Avg Week Rubaga-Nateete'!M20</f>
        <v>425.14285714285711</v>
      </c>
      <c r="N20" s="49">
        <f>'Avg Week Nateete-Rubaga'!N20+'Avg Week Rubaga-Nateete'!N20</f>
        <v>0</v>
      </c>
      <c r="O20" s="15">
        <f t="shared" si="0"/>
        <v>206.57142857142856</v>
      </c>
      <c r="P20" s="15">
        <f t="shared" si="1"/>
        <v>631.71428571428567</v>
      </c>
      <c r="R20" s="1" t="s">
        <v>16</v>
      </c>
      <c r="S20" s="17">
        <f t="shared" ref="S20:AF20" si="12">SUM(C50:C53)</f>
        <v>398.71428571428567</v>
      </c>
      <c r="T20" s="17">
        <f t="shared" si="12"/>
        <v>50.428571428571423</v>
      </c>
      <c r="U20" s="17">
        <f t="shared" si="12"/>
        <v>34.857142857142854</v>
      </c>
      <c r="V20" s="17">
        <f t="shared" si="12"/>
        <v>384.85714285714289</v>
      </c>
      <c r="W20" s="17">
        <f t="shared" si="12"/>
        <v>9.7142857142857153</v>
      </c>
      <c r="X20" s="17">
        <f t="shared" si="12"/>
        <v>13</v>
      </c>
      <c r="Y20" s="17">
        <f t="shared" si="12"/>
        <v>29.571428571428569</v>
      </c>
      <c r="Z20" s="17">
        <f t="shared" si="12"/>
        <v>16.285714285714285</v>
      </c>
      <c r="AA20" s="17">
        <f t="shared" si="12"/>
        <v>2.2857142857142856</v>
      </c>
      <c r="AB20" s="17">
        <f t="shared" si="12"/>
        <v>1.7142857142857142</v>
      </c>
      <c r="AC20" s="17">
        <f t="shared" si="12"/>
        <v>1165.2857142857142</v>
      </c>
      <c r="AD20" s="17">
        <f t="shared" si="12"/>
        <v>0</v>
      </c>
      <c r="AE20" s="31">
        <f t="shared" si="12"/>
        <v>941.42857142857144</v>
      </c>
      <c r="AF20" s="31">
        <f t="shared" si="12"/>
        <v>2106.7142857142858</v>
      </c>
    </row>
    <row r="21" spans="2:32" ht="23.1" customHeight="1" x14ac:dyDescent="0.25">
      <c r="B21" s="23" t="s">
        <v>48</v>
      </c>
      <c r="C21" s="49">
        <f>'Avg Week Nateete-Rubaga'!C21+'Avg Week Rubaga-Nateete'!C21</f>
        <v>64.428571428571431</v>
      </c>
      <c r="D21" s="49">
        <f>'Avg Week Nateete-Rubaga'!D21+'Avg Week Rubaga-Nateete'!D21</f>
        <v>14.142857142857142</v>
      </c>
      <c r="E21" s="49">
        <f>'Avg Week Nateete-Rubaga'!E21+'Avg Week Rubaga-Nateete'!E21</f>
        <v>8.8571428571428577</v>
      </c>
      <c r="F21" s="49">
        <f>'Avg Week Nateete-Rubaga'!F21+'Avg Week Rubaga-Nateete'!F21</f>
        <v>99.714285714285722</v>
      </c>
      <c r="G21" s="49">
        <f>'Avg Week Nateete-Rubaga'!G21+'Avg Week Rubaga-Nateete'!G21</f>
        <v>1.7142857142857144</v>
      </c>
      <c r="H21" s="49">
        <f>'Avg Week Nateete-Rubaga'!H21+'Avg Week Rubaga-Nateete'!H21</f>
        <v>1.5714285714285714</v>
      </c>
      <c r="I21" s="49">
        <f>'Avg Week Nateete-Rubaga'!I21+'Avg Week Rubaga-Nateete'!I21</f>
        <v>6.4285714285714288</v>
      </c>
      <c r="J21" s="49">
        <f>'Avg Week Nateete-Rubaga'!J21+'Avg Week Rubaga-Nateete'!J21</f>
        <v>2.2857142857142856</v>
      </c>
      <c r="K21" s="49">
        <f>'Avg Week Nateete-Rubaga'!K21+'Avg Week Rubaga-Nateete'!K21</f>
        <v>0.42857142857142855</v>
      </c>
      <c r="L21" s="49">
        <f>'Avg Week Nateete-Rubaga'!L21+'Avg Week Rubaga-Nateete'!L21</f>
        <v>0.14285714285714285</v>
      </c>
      <c r="M21" s="49">
        <f>'Avg Week Nateete-Rubaga'!M21+'Avg Week Rubaga-Nateete'!M21</f>
        <v>439.85714285714289</v>
      </c>
      <c r="N21" s="49">
        <f>'Avg Week Nateete-Rubaga'!N21+'Avg Week Rubaga-Nateete'!N21</f>
        <v>0</v>
      </c>
      <c r="O21" s="15">
        <f t="shared" si="0"/>
        <v>199.71428571428572</v>
      </c>
      <c r="P21" s="15">
        <f t="shared" si="1"/>
        <v>639.57142857142867</v>
      </c>
      <c r="R21" s="36" t="s">
        <v>20</v>
      </c>
      <c r="S21" s="34">
        <f>SUM(C54:C57)</f>
        <v>393.85714285714289</v>
      </c>
      <c r="T21" s="17">
        <f t="shared" ref="T21:AF33" si="13">SUM(D54:D57)</f>
        <v>59.428571428571431</v>
      </c>
      <c r="U21" s="17">
        <f t="shared" si="13"/>
        <v>34.857142857142861</v>
      </c>
      <c r="V21" s="17">
        <f t="shared" si="13"/>
        <v>410.85714285714283</v>
      </c>
      <c r="W21" s="17">
        <f t="shared" si="13"/>
        <v>7.4285714285714288</v>
      </c>
      <c r="X21" s="17">
        <f t="shared" si="13"/>
        <v>10.857142857142858</v>
      </c>
      <c r="Y21" s="17">
        <f t="shared" si="13"/>
        <v>24</v>
      </c>
      <c r="Z21" s="17">
        <f t="shared" si="13"/>
        <v>13.714285714285714</v>
      </c>
      <c r="AA21" s="17">
        <f t="shared" si="13"/>
        <v>3.1428571428571428</v>
      </c>
      <c r="AB21" s="17">
        <f t="shared" si="13"/>
        <v>2</v>
      </c>
      <c r="AC21" s="17">
        <f t="shared" si="13"/>
        <v>1154.4285714285716</v>
      </c>
      <c r="AD21" s="17">
        <f t="shared" si="13"/>
        <v>0</v>
      </c>
      <c r="AE21" s="31">
        <f t="shared" si="13"/>
        <v>960.14285714285711</v>
      </c>
      <c r="AF21" s="31">
        <f t="shared" si="13"/>
        <v>2114.5714285714284</v>
      </c>
    </row>
    <row r="22" spans="2:32" ht="23.1" customHeight="1" x14ac:dyDescent="0.25">
      <c r="B22" s="23" t="s">
        <v>49</v>
      </c>
      <c r="C22" s="49">
        <f>'Avg Week Nateete-Rubaga'!C22+'Avg Week Rubaga-Nateete'!C22</f>
        <v>74.285714285714278</v>
      </c>
      <c r="D22" s="49">
        <f>'Avg Week Nateete-Rubaga'!D22+'Avg Week Rubaga-Nateete'!D22</f>
        <v>15</v>
      </c>
      <c r="E22" s="49">
        <f>'Avg Week Nateete-Rubaga'!E22+'Avg Week Rubaga-Nateete'!E22</f>
        <v>7.8571428571428577</v>
      </c>
      <c r="F22" s="49">
        <f>'Avg Week Nateete-Rubaga'!F22+'Avg Week Rubaga-Nateete'!F22</f>
        <v>88.714285714285722</v>
      </c>
      <c r="G22" s="49">
        <f>'Avg Week Nateete-Rubaga'!G22+'Avg Week Rubaga-Nateete'!G22</f>
        <v>2.5714285714285712</v>
      </c>
      <c r="H22" s="49">
        <f>'Avg Week Nateete-Rubaga'!H22+'Avg Week Rubaga-Nateete'!H22</f>
        <v>1.8571428571428572</v>
      </c>
      <c r="I22" s="49">
        <f>'Avg Week Nateete-Rubaga'!I22+'Avg Week Rubaga-Nateete'!I22</f>
        <v>5.2857142857142856</v>
      </c>
      <c r="J22" s="49">
        <f>'Avg Week Nateete-Rubaga'!J22+'Avg Week Rubaga-Nateete'!J22</f>
        <v>3</v>
      </c>
      <c r="K22" s="49">
        <f>'Avg Week Nateete-Rubaga'!K22+'Avg Week Rubaga-Nateete'!K22</f>
        <v>0.14285714285714285</v>
      </c>
      <c r="L22" s="49">
        <f>'Avg Week Nateete-Rubaga'!L22+'Avg Week Rubaga-Nateete'!L22</f>
        <v>0.2857142857142857</v>
      </c>
      <c r="M22" s="49">
        <f>'Avg Week Nateete-Rubaga'!M22+'Avg Week Rubaga-Nateete'!M22</f>
        <v>388.28571428571428</v>
      </c>
      <c r="N22" s="49">
        <f>'Avg Week Nateete-Rubaga'!N22+'Avg Week Rubaga-Nateete'!N22</f>
        <v>0</v>
      </c>
      <c r="O22" s="15">
        <f t="shared" si="0"/>
        <v>199</v>
      </c>
      <c r="P22" s="15">
        <f t="shared" si="1"/>
        <v>587.28571428571422</v>
      </c>
      <c r="R22" s="1" t="s">
        <v>146</v>
      </c>
      <c r="S22" s="34">
        <f>SUM(C58:C61)</f>
        <v>664.5</v>
      </c>
      <c r="T22" s="34">
        <f t="shared" ref="T22:AD22" si="14">SUM(D58:D61)</f>
        <v>161.5</v>
      </c>
      <c r="U22" s="34">
        <f t="shared" si="14"/>
        <v>138.5</v>
      </c>
      <c r="V22" s="34">
        <f t="shared" si="14"/>
        <v>482</v>
      </c>
      <c r="W22" s="34">
        <f t="shared" si="14"/>
        <v>34.5</v>
      </c>
      <c r="X22" s="34">
        <f t="shared" si="14"/>
        <v>47.5</v>
      </c>
      <c r="Y22" s="34">
        <f t="shared" si="14"/>
        <v>48</v>
      </c>
      <c r="Z22" s="34">
        <f t="shared" si="14"/>
        <v>57</v>
      </c>
      <c r="AA22" s="34">
        <f t="shared" si="14"/>
        <v>34</v>
      </c>
      <c r="AB22" s="34">
        <f t="shared" si="14"/>
        <v>45</v>
      </c>
      <c r="AC22" s="34">
        <f t="shared" si="14"/>
        <v>1553.5</v>
      </c>
      <c r="AD22" s="34">
        <f t="shared" si="14"/>
        <v>0</v>
      </c>
      <c r="AE22" s="31">
        <f>SUM(O58:O61)</f>
        <v>1712.5</v>
      </c>
      <c r="AF22" s="31">
        <f>SUM(P58:P61)</f>
        <v>3266</v>
      </c>
    </row>
    <row r="23" spans="2:32" ht="23.1" customHeight="1" x14ac:dyDescent="0.25">
      <c r="B23" s="23" t="s">
        <v>50</v>
      </c>
      <c r="C23" s="49">
        <f>'Avg Week Nateete-Rubaga'!C23+'Avg Week Rubaga-Nateete'!C23</f>
        <v>63</v>
      </c>
      <c r="D23" s="49">
        <f>'Avg Week Nateete-Rubaga'!D23+'Avg Week Rubaga-Nateete'!D23</f>
        <v>13.142857142857142</v>
      </c>
      <c r="E23" s="49">
        <f>'Avg Week Nateete-Rubaga'!E23+'Avg Week Rubaga-Nateete'!E23</f>
        <v>9.1428571428571423</v>
      </c>
      <c r="F23" s="49">
        <f>'Avg Week Nateete-Rubaga'!F23+'Avg Week Rubaga-Nateete'!F23</f>
        <v>89.428571428571431</v>
      </c>
      <c r="G23" s="49">
        <f>'Avg Week Nateete-Rubaga'!G23+'Avg Week Rubaga-Nateete'!G23</f>
        <v>3.7142857142857144</v>
      </c>
      <c r="H23" s="49">
        <f>'Avg Week Nateete-Rubaga'!H23+'Avg Week Rubaga-Nateete'!H23</f>
        <v>2.2857142857142856</v>
      </c>
      <c r="I23" s="49">
        <f>'Avg Week Nateete-Rubaga'!I23+'Avg Week Rubaga-Nateete'!I23</f>
        <v>7.4285714285714288</v>
      </c>
      <c r="J23" s="49">
        <f>'Avg Week Nateete-Rubaga'!J23+'Avg Week Rubaga-Nateete'!J23</f>
        <v>3</v>
      </c>
      <c r="K23" s="49">
        <f>'Avg Week Nateete-Rubaga'!K23+'Avg Week Rubaga-Nateete'!K23</f>
        <v>0.42857142857142855</v>
      </c>
      <c r="L23" s="49">
        <f>'Avg Week Nateete-Rubaga'!L23+'Avg Week Rubaga-Nateete'!L23</f>
        <v>0.14285714285714285</v>
      </c>
      <c r="M23" s="49">
        <f>'Avg Week Nateete-Rubaga'!M23+'Avg Week Rubaga-Nateete'!M23</f>
        <v>341.71428571428567</v>
      </c>
      <c r="N23" s="49">
        <f>'Avg Week Nateete-Rubaga'!N23+'Avg Week Rubaga-Nateete'!N23</f>
        <v>0</v>
      </c>
      <c r="O23" s="15">
        <f t="shared" si="0"/>
        <v>191.71428571428569</v>
      </c>
      <c r="P23" s="15">
        <f t="shared" si="1"/>
        <v>533.42857142857133</v>
      </c>
      <c r="R23" s="1" t="s">
        <v>147</v>
      </c>
      <c r="S23" s="34">
        <f>SUM(C62:C65)</f>
        <v>511.5</v>
      </c>
      <c r="T23" s="34">
        <f t="shared" ref="T23:AD23" si="15">SUM(D62:D65)</f>
        <v>58.5</v>
      </c>
      <c r="U23" s="34">
        <f t="shared" si="15"/>
        <v>57.5</v>
      </c>
      <c r="V23" s="34">
        <f t="shared" si="15"/>
        <v>348</v>
      </c>
      <c r="W23" s="34">
        <f t="shared" si="15"/>
        <v>21</v>
      </c>
      <c r="X23" s="34">
        <f t="shared" si="15"/>
        <v>11.5</v>
      </c>
      <c r="Y23" s="34">
        <f t="shared" si="15"/>
        <v>24.5</v>
      </c>
      <c r="Z23" s="34">
        <f t="shared" si="15"/>
        <v>19</v>
      </c>
      <c r="AA23" s="34">
        <f t="shared" si="15"/>
        <v>7</v>
      </c>
      <c r="AB23" s="34">
        <f t="shared" si="15"/>
        <v>8</v>
      </c>
      <c r="AC23" s="34">
        <f t="shared" si="15"/>
        <v>1669.5</v>
      </c>
      <c r="AD23" s="34">
        <f t="shared" si="15"/>
        <v>0</v>
      </c>
      <c r="AE23" s="31">
        <f>SUM(O62:O65)</f>
        <v>1066.5</v>
      </c>
      <c r="AF23" s="31">
        <f>SUM(P62:P65)</f>
        <v>2736</v>
      </c>
    </row>
    <row r="24" spans="2:32" ht="23.1" customHeight="1" x14ac:dyDescent="0.25">
      <c r="B24" s="23" t="s">
        <v>51</v>
      </c>
      <c r="C24" s="49">
        <f>'Avg Week Nateete-Rubaga'!C24+'Avg Week Rubaga-Nateete'!C24</f>
        <v>72.714285714285722</v>
      </c>
      <c r="D24" s="49">
        <f>'Avg Week Nateete-Rubaga'!D24+'Avg Week Rubaga-Nateete'!D24</f>
        <v>14</v>
      </c>
      <c r="E24" s="49">
        <f>'Avg Week Nateete-Rubaga'!E24+'Avg Week Rubaga-Nateete'!E24</f>
        <v>9.4285714285714288</v>
      </c>
      <c r="F24" s="49">
        <f>'Avg Week Nateete-Rubaga'!F24+'Avg Week Rubaga-Nateete'!F24</f>
        <v>93.857142857142861</v>
      </c>
      <c r="G24" s="49">
        <f>'Avg Week Nateete-Rubaga'!G24+'Avg Week Rubaga-Nateete'!G24</f>
        <v>4</v>
      </c>
      <c r="H24" s="49">
        <f>'Avg Week Nateete-Rubaga'!H24+'Avg Week Rubaga-Nateete'!H24</f>
        <v>2.4285714285714284</v>
      </c>
      <c r="I24" s="49">
        <f>'Avg Week Nateete-Rubaga'!I24+'Avg Week Rubaga-Nateete'!I24</f>
        <v>7.2857142857142856</v>
      </c>
      <c r="J24" s="49">
        <f>'Avg Week Nateete-Rubaga'!J24+'Avg Week Rubaga-Nateete'!J24</f>
        <v>4.7142857142857144</v>
      </c>
      <c r="K24" s="49">
        <f>'Avg Week Nateete-Rubaga'!K24+'Avg Week Rubaga-Nateete'!K24</f>
        <v>1.1428571428571428</v>
      </c>
      <c r="L24" s="49">
        <f>'Avg Week Nateete-Rubaga'!L24+'Avg Week Rubaga-Nateete'!L24</f>
        <v>0.42857142857142855</v>
      </c>
      <c r="M24" s="49">
        <f>'Avg Week Nateete-Rubaga'!M24+'Avg Week Rubaga-Nateete'!M24</f>
        <v>381.14285714285711</v>
      </c>
      <c r="N24" s="49">
        <f>'Avg Week Nateete-Rubaga'!N24+'Avg Week Rubaga-Nateete'!N24</f>
        <v>0</v>
      </c>
      <c r="O24" s="15">
        <f t="shared" si="0"/>
        <v>209.99999999999997</v>
      </c>
      <c r="P24" s="15">
        <f t="shared" si="1"/>
        <v>591.14285714285711</v>
      </c>
      <c r="R24" s="1" t="s">
        <v>148</v>
      </c>
      <c r="S24" s="34">
        <f>SUM(C66:C69)</f>
        <v>475.5</v>
      </c>
      <c r="T24" s="34">
        <f t="shared" ref="T24:AD24" si="16">SUM(D66:D69)</f>
        <v>45</v>
      </c>
      <c r="U24" s="34">
        <f t="shared" si="16"/>
        <v>38</v>
      </c>
      <c r="V24" s="34">
        <f t="shared" si="16"/>
        <v>265</v>
      </c>
      <c r="W24" s="34">
        <f t="shared" si="16"/>
        <v>13.5</v>
      </c>
      <c r="X24" s="34">
        <f t="shared" si="16"/>
        <v>22</v>
      </c>
      <c r="Y24" s="34">
        <f t="shared" si="16"/>
        <v>31.5</v>
      </c>
      <c r="Z24" s="34">
        <f t="shared" si="16"/>
        <v>20.5</v>
      </c>
      <c r="AA24" s="34">
        <f t="shared" si="16"/>
        <v>5</v>
      </c>
      <c r="AB24" s="34">
        <f t="shared" si="16"/>
        <v>16.5</v>
      </c>
      <c r="AC24" s="34">
        <f t="shared" si="16"/>
        <v>1346.5</v>
      </c>
      <c r="AD24" s="34">
        <f t="shared" si="16"/>
        <v>0</v>
      </c>
      <c r="AE24" s="31">
        <f>SUM(O66:O69)</f>
        <v>932.5</v>
      </c>
      <c r="AF24" s="31">
        <f>SUM(P66:P69)</f>
        <v>2279</v>
      </c>
    </row>
    <row r="25" spans="2:32" ht="23.1" customHeight="1" x14ac:dyDescent="0.25">
      <c r="B25" s="23" t="s">
        <v>52</v>
      </c>
      <c r="C25" s="49">
        <f>'Avg Week Nateete-Rubaga'!C25+'Avg Week Rubaga-Nateete'!C25</f>
        <v>62.285714285714292</v>
      </c>
      <c r="D25" s="49">
        <f>'Avg Week Nateete-Rubaga'!D25+'Avg Week Rubaga-Nateete'!D25</f>
        <v>10.857142857142858</v>
      </c>
      <c r="E25" s="49">
        <f>'Avg Week Nateete-Rubaga'!E25+'Avg Week Rubaga-Nateete'!E25</f>
        <v>10.428571428571429</v>
      </c>
      <c r="F25" s="49">
        <f>'Avg Week Nateete-Rubaga'!F25+'Avg Week Rubaga-Nateete'!F25</f>
        <v>84.714285714285708</v>
      </c>
      <c r="G25" s="49">
        <f>'Avg Week Nateete-Rubaga'!G25+'Avg Week Rubaga-Nateete'!G25</f>
        <v>2</v>
      </c>
      <c r="H25" s="49">
        <f>'Avg Week Nateete-Rubaga'!H25+'Avg Week Rubaga-Nateete'!H25</f>
        <v>1.8571428571428572</v>
      </c>
      <c r="I25" s="49">
        <f>'Avg Week Nateete-Rubaga'!I25+'Avg Week Rubaga-Nateete'!I25</f>
        <v>5.5714285714285712</v>
      </c>
      <c r="J25" s="49">
        <f>'Avg Week Nateete-Rubaga'!J25+'Avg Week Rubaga-Nateete'!J25</f>
        <v>3.7142857142857144</v>
      </c>
      <c r="K25" s="49">
        <f>'Avg Week Nateete-Rubaga'!K25+'Avg Week Rubaga-Nateete'!K25</f>
        <v>0.42857142857142855</v>
      </c>
      <c r="L25" s="49">
        <f>'Avg Week Nateete-Rubaga'!L25+'Avg Week Rubaga-Nateete'!L25</f>
        <v>0.42857142857142855</v>
      </c>
      <c r="M25" s="49">
        <f>'Avg Week Nateete-Rubaga'!M25+'Avg Week Rubaga-Nateete'!M25</f>
        <v>364.71428571428567</v>
      </c>
      <c r="N25" s="49">
        <f>'Avg Week Nateete-Rubaga'!N25+'Avg Week Rubaga-Nateete'!N25</f>
        <v>0</v>
      </c>
      <c r="O25" s="15">
        <f t="shared" si="0"/>
        <v>182.28571428571428</v>
      </c>
      <c r="P25" s="15">
        <f t="shared" si="1"/>
        <v>547</v>
      </c>
      <c r="R25" s="1" t="s">
        <v>149</v>
      </c>
      <c r="S25" s="34">
        <f>SUM(C70:C73)</f>
        <v>320</v>
      </c>
      <c r="T25" s="34">
        <f t="shared" ref="T25:AD25" si="17">SUM(D70:D73)</f>
        <v>64.5</v>
      </c>
      <c r="U25" s="34">
        <f t="shared" si="17"/>
        <v>62</v>
      </c>
      <c r="V25" s="34">
        <f t="shared" si="17"/>
        <v>364.5</v>
      </c>
      <c r="W25" s="34">
        <f t="shared" si="17"/>
        <v>10.5</v>
      </c>
      <c r="X25" s="34">
        <f t="shared" si="17"/>
        <v>17.5</v>
      </c>
      <c r="Y25" s="34">
        <f t="shared" si="17"/>
        <v>22.5</v>
      </c>
      <c r="Z25" s="34">
        <f t="shared" si="17"/>
        <v>19</v>
      </c>
      <c r="AA25" s="34">
        <f t="shared" si="17"/>
        <v>21.5</v>
      </c>
      <c r="AB25" s="34">
        <f t="shared" si="17"/>
        <v>20.5</v>
      </c>
      <c r="AC25" s="34">
        <f t="shared" si="17"/>
        <v>811</v>
      </c>
      <c r="AD25" s="34">
        <f t="shared" si="17"/>
        <v>0</v>
      </c>
      <c r="AE25" s="31">
        <f>SUM(O70:O73)</f>
        <v>922.5</v>
      </c>
      <c r="AF25" s="31">
        <f>SUM(P70:P73)</f>
        <v>1733.5</v>
      </c>
    </row>
    <row r="26" spans="2:32" ht="23.1" customHeight="1" x14ac:dyDescent="0.25">
      <c r="B26" s="23" t="s">
        <v>53</v>
      </c>
      <c r="C26" s="49">
        <f>'Avg Week Nateete-Rubaga'!C26+'Avg Week Rubaga-Nateete'!C26</f>
        <v>62.142857142857139</v>
      </c>
      <c r="D26" s="49">
        <f>'Avg Week Nateete-Rubaga'!D26+'Avg Week Rubaga-Nateete'!D26</f>
        <v>14.285714285714286</v>
      </c>
      <c r="E26" s="49">
        <f>'Avg Week Nateete-Rubaga'!E26+'Avg Week Rubaga-Nateete'!E26</f>
        <v>11.428571428571427</v>
      </c>
      <c r="F26" s="49">
        <f>'Avg Week Nateete-Rubaga'!F26+'Avg Week Rubaga-Nateete'!F26</f>
        <v>81.571428571428569</v>
      </c>
      <c r="G26" s="49">
        <f>'Avg Week Nateete-Rubaga'!G26+'Avg Week Rubaga-Nateete'!G26</f>
        <v>2.2857142857142856</v>
      </c>
      <c r="H26" s="49">
        <f>'Avg Week Nateete-Rubaga'!H26+'Avg Week Rubaga-Nateete'!H26</f>
        <v>3.4285714285714284</v>
      </c>
      <c r="I26" s="49">
        <f>'Avg Week Nateete-Rubaga'!I26+'Avg Week Rubaga-Nateete'!I26</f>
        <v>5.4285714285714288</v>
      </c>
      <c r="J26" s="49">
        <f>'Avg Week Nateete-Rubaga'!J26+'Avg Week Rubaga-Nateete'!J26</f>
        <v>3.4285714285714288</v>
      </c>
      <c r="K26" s="49">
        <f>'Avg Week Nateete-Rubaga'!K26+'Avg Week Rubaga-Nateete'!K26</f>
        <v>0.2857142857142857</v>
      </c>
      <c r="L26" s="49">
        <f>'Avg Week Nateete-Rubaga'!L26+'Avg Week Rubaga-Nateete'!L26</f>
        <v>0.42857142857142855</v>
      </c>
      <c r="M26" s="49">
        <f>'Avg Week Nateete-Rubaga'!M26+'Avg Week Rubaga-Nateete'!M26</f>
        <v>383.85714285714289</v>
      </c>
      <c r="N26" s="49">
        <f>'Avg Week Nateete-Rubaga'!N26+'Avg Week Rubaga-Nateete'!N26</f>
        <v>1.4285714285714286</v>
      </c>
      <c r="O26" s="15">
        <f t="shared" si="0"/>
        <v>186.14285714285708</v>
      </c>
      <c r="P26" s="15">
        <f t="shared" si="1"/>
        <v>570</v>
      </c>
      <c r="R26" s="1" t="s">
        <v>150</v>
      </c>
      <c r="S26" s="34">
        <f>SUM(C74:C77)</f>
        <v>271</v>
      </c>
      <c r="T26" s="34">
        <f t="shared" ref="T26:AD26" si="18">SUM(D74:D77)</f>
        <v>85</v>
      </c>
      <c r="U26" s="34">
        <f t="shared" si="18"/>
        <v>26</v>
      </c>
      <c r="V26" s="34">
        <f t="shared" si="18"/>
        <v>109</v>
      </c>
      <c r="W26" s="34">
        <f t="shared" si="18"/>
        <v>3.5</v>
      </c>
      <c r="X26" s="34">
        <f t="shared" si="18"/>
        <v>9.5</v>
      </c>
      <c r="Y26" s="34">
        <f t="shared" si="18"/>
        <v>4.5</v>
      </c>
      <c r="Z26" s="34">
        <f t="shared" si="18"/>
        <v>6</v>
      </c>
      <c r="AA26" s="34">
        <f t="shared" si="18"/>
        <v>0.5</v>
      </c>
      <c r="AB26" s="34">
        <f t="shared" si="18"/>
        <v>0</v>
      </c>
      <c r="AC26" s="34">
        <f t="shared" si="18"/>
        <v>535.5</v>
      </c>
      <c r="AD26" s="34">
        <f t="shared" si="18"/>
        <v>0</v>
      </c>
      <c r="AE26" s="31">
        <f>SUM(O74:O77)</f>
        <v>515</v>
      </c>
      <c r="AF26" s="31">
        <f>SUM(P74:P77)</f>
        <v>1050.5</v>
      </c>
    </row>
    <row r="27" spans="2:32" ht="23.1" customHeight="1" x14ac:dyDescent="0.25">
      <c r="B27" s="23" t="s">
        <v>54</v>
      </c>
      <c r="C27" s="49">
        <f>'Avg Week Nateete-Rubaga'!C27+'Avg Week Rubaga-Nateete'!C27</f>
        <v>71.571428571428569</v>
      </c>
      <c r="D27" s="49">
        <f>'Avg Week Nateete-Rubaga'!D27+'Avg Week Rubaga-Nateete'!D27</f>
        <v>13.142857142857142</v>
      </c>
      <c r="E27" s="49">
        <f>'Avg Week Nateete-Rubaga'!E27+'Avg Week Rubaga-Nateete'!E27</f>
        <v>10.428571428571429</v>
      </c>
      <c r="F27" s="49">
        <f>'Avg Week Nateete-Rubaga'!F27+'Avg Week Rubaga-Nateete'!F27</f>
        <v>88</v>
      </c>
      <c r="G27" s="49">
        <f>'Avg Week Nateete-Rubaga'!G27+'Avg Week Rubaga-Nateete'!G27</f>
        <v>1.4285714285714286</v>
      </c>
      <c r="H27" s="49">
        <f>'Avg Week Nateete-Rubaga'!H27+'Avg Week Rubaga-Nateete'!H27</f>
        <v>2.8571428571428568</v>
      </c>
      <c r="I27" s="49">
        <f>'Avg Week Nateete-Rubaga'!I27+'Avg Week Rubaga-Nateete'!I27</f>
        <v>5.4285714285714288</v>
      </c>
      <c r="J27" s="49">
        <f>'Avg Week Nateete-Rubaga'!J27+'Avg Week Rubaga-Nateete'!J27</f>
        <v>5.1428571428571423</v>
      </c>
      <c r="K27" s="49">
        <f>'Avg Week Nateete-Rubaga'!K27+'Avg Week Rubaga-Nateete'!K27</f>
        <v>0.71428571428571419</v>
      </c>
      <c r="L27" s="49">
        <f>'Avg Week Nateete-Rubaga'!L27+'Avg Week Rubaga-Nateete'!L27</f>
        <v>0.14285714285714285</v>
      </c>
      <c r="M27" s="49">
        <f>'Avg Week Nateete-Rubaga'!M27+'Avg Week Rubaga-Nateete'!M27</f>
        <v>369.71428571428572</v>
      </c>
      <c r="N27" s="49">
        <f>'Avg Week Nateete-Rubaga'!N27+'Avg Week Rubaga-Nateete'!N27</f>
        <v>0</v>
      </c>
      <c r="O27" s="15">
        <f t="shared" si="0"/>
        <v>198.85714285714283</v>
      </c>
      <c r="P27" s="15">
        <f t="shared" si="1"/>
        <v>568.57142857142856</v>
      </c>
      <c r="R27" s="1" t="s">
        <v>151</v>
      </c>
      <c r="S27" s="34">
        <f>SUM(C78:C81)</f>
        <v>162</v>
      </c>
      <c r="T27" s="34">
        <f t="shared" ref="T27:AD27" si="19">SUM(D78:D81)</f>
        <v>23</v>
      </c>
      <c r="U27" s="34">
        <f t="shared" si="19"/>
        <v>13.5</v>
      </c>
      <c r="V27" s="34">
        <f t="shared" si="19"/>
        <v>55.5</v>
      </c>
      <c r="W27" s="34">
        <f t="shared" si="19"/>
        <v>1.5</v>
      </c>
      <c r="X27" s="34">
        <f t="shared" si="19"/>
        <v>7</v>
      </c>
      <c r="Y27" s="34">
        <f t="shared" si="19"/>
        <v>5</v>
      </c>
      <c r="Z27" s="34">
        <f t="shared" si="19"/>
        <v>3.5</v>
      </c>
      <c r="AA27" s="34">
        <f t="shared" si="19"/>
        <v>2</v>
      </c>
      <c r="AB27" s="34">
        <f t="shared" si="19"/>
        <v>0</v>
      </c>
      <c r="AC27" s="34">
        <f t="shared" si="19"/>
        <v>449</v>
      </c>
      <c r="AD27" s="34">
        <f t="shared" si="19"/>
        <v>0</v>
      </c>
      <c r="AE27" s="31">
        <f>SUM(O78:O81)</f>
        <v>273</v>
      </c>
      <c r="AF27" s="31">
        <f>SUM(P78:P81)</f>
        <v>722</v>
      </c>
    </row>
    <row r="28" spans="2:32" ht="23.1" customHeight="1" x14ac:dyDescent="0.25">
      <c r="B28" s="23" t="s">
        <v>55</v>
      </c>
      <c r="C28" s="49">
        <f>'Avg Week Nateete-Rubaga'!C28+'Avg Week Rubaga-Nateete'!C28</f>
        <v>61</v>
      </c>
      <c r="D28" s="49">
        <f>'Avg Week Nateete-Rubaga'!D28+'Avg Week Rubaga-Nateete'!D28</f>
        <v>14.142857142857142</v>
      </c>
      <c r="E28" s="49">
        <f>'Avg Week Nateete-Rubaga'!E28+'Avg Week Rubaga-Nateete'!E28</f>
        <v>10.714285714285714</v>
      </c>
      <c r="F28" s="49">
        <f>'Avg Week Nateete-Rubaga'!F28+'Avg Week Rubaga-Nateete'!F28</f>
        <v>70.142857142857139</v>
      </c>
      <c r="G28" s="49">
        <f>'Avg Week Nateete-Rubaga'!G28+'Avg Week Rubaga-Nateete'!G28</f>
        <v>8</v>
      </c>
      <c r="H28" s="49">
        <f>'Avg Week Nateete-Rubaga'!H28+'Avg Week Rubaga-Nateete'!H28</f>
        <v>2.8571428571428568</v>
      </c>
      <c r="I28" s="49">
        <f>'Avg Week Nateete-Rubaga'!I28+'Avg Week Rubaga-Nateete'!I28</f>
        <v>4.8571428571428568</v>
      </c>
      <c r="J28" s="49">
        <f>'Avg Week Nateete-Rubaga'!J28+'Avg Week Rubaga-Nateete'!J28</f>
        <v>4.7142857142857144</v>
      </c>
      <c r="K28" s="49">
        <f>'Avg Week Nateete-Rubaga'!K28+'Avg Week Rubaga-Nateete'!K28</f>
        <v>0.14285714285714285</v>
      </c>
      <c r="L28" s="49">
        <f>'Avg Week Nateete-Rubaga'!L28+'Avg Week Rubaga-Nateete'!L28</f>
        <v>0.5714285714285714</v>
      </c>
      <c r="M28" s="49">
        <f>'Avg Week Nateete-Rubaga'!M28+'Avg Week Rubaga-Nateete'!M28</f>
        <v>369.71428571428572</v>
      </c>
      <c r="N28" s="49">
        <f>'Avg Week Nateete-Rubaga'!N28+'Avg Week Rubaga-Nateete'!N28</f>
        <v>0</v>
      </c>
      <c r="O28" s="15">
        <f t="shared" si="0"/>
        <v>177.14285714285717</v>
      </c>
      <c r="P28" s="15">
        <f t="shared" si="1"/>
        <v>546.85714285714289</v>
      </c>
      <c r="R28" s="1" t="s">
        <v>152</v>
      </c>
      <c r="S28" s="34">
        <f>SUM(C82:C85)</f>
        <v>96</v>
      </c>
      <c r="T28" s="34">
        <f t="shared" ref="T28:AD28" si="20">SUM(D82:D85)</f>
        <v>13</v>
      </c>
      <c r="U28" s="34">
        <f t="shared" si="20"/>
        <v>8</v>
      </c>
      <c r="V28" s="34">
        <f t="shared" si="20"/>
        <v>17.5</v>
      </c>
      <c r="W28" s="34">
        <f t="shared" si="20"/>
        <v>2.5</v>
      </c>
      <c r="X28" s="34">
        <f t="shared" si="20"/>
        <v>5.5</v>
      </c>
      <c r="Y28" s="34">
        <f t="shared" si="20"/>
        <v>2.5</v>
      </c>
      <c r="Z28" s="34">
        <f t="shared" si="20"/>
        <v>3.5</v>
      </c>
      <c r="AA28" s="34">
        <f t="shared" si="20"/>
        <v>6</v>
      </c>
      <c r="AB28" s="34">
        <f t="shared" si="20"/>
        <v>0</v>
      </c>
      <c r="AC28" s="34">
        <f t="shared" si="20"/>
        <v>215.5</v>
      </c>
      <c r="AD28" s="34">
        <f t="shared" si="20"/>
        <v>0</v>
      </c>
      <c r="AE28" s="31">
        <f>SUM(O82:O85)</f>
        <v>154.5</v>
      </c>
      <c r="AF28" s="31">
        <f>SUM(P82:P85)</f>
        <v>370</v>
      </c>
    </row>
    <row r="29" spans="2:32" ht="23.1" customHeight="1" x14ac:dyDescent="0.25">
      <c r="B29" s="23" t="s">
        <v>56</v>
      </c>
      <c r="C29" s="49">
        <f>'Avg Week Nateete-Rubaga'!C29+'Avg Week Rubaga-Nateete'!C29</f>
        <v>66.285714285714278</v>
      </c>
      <c r="D29" s="49">
        <f>'Avg Week Nateete-Rubaga'!D29+'Avg Week Rubaga-Nateete'!D29</f>
        <v>14.142857142857142</v>
      </c>
      <c r="E29" s="49">
        <f>'Avg Week Nateete-Rubaga'!E29+'Avg Week Rubaga-Nateete'!E29</f>
        <v>9.1428571428571423</v>
      </c>
      <c r="F29" s="49">
        <f>'Avg Week Nateete-Rubaga'!F29+'Avg Week Rubaga-Nateete'!F29</f>
        <v>74</v>
      </c>
      <c r="G29" s="49">
        <f>'Avg Week Nateete-Rubaga'!G29+'Avg Week Rubaga-Nateete'!G29</f>
        <v>1</v>
      </c>
      <c r="H29" s="49">
        <f>'Avg Week Nateete-Rubaga'!H29+'Avg Week Rubaga-Nateete'!H29</f>
        <v>3.1428571428571428</v>
      </c>
      <c r="I29" s="49">
        <f>'Avg Week Nateete-Rubaga'!I29+'Avg Week Rubaga-Nateete'!I29</f>
        <v>7.2857142857142856</v>
      </c>
      <c r="J29" s="49">
        <f>'Avg Week Nateete-Rubaga'!J29+'Avg Week Rubaga-Nateete'!J29</f>
        <v>6.4285714285714288</v>
      </c>
      <c r="K29" s="49">
        <f>'Avg Week Nateete-Rubaga'!K29+'Avg Week Rubaga-Nateete'!K29</f>
        <v>0</v>
      </c>
      <c r="L29" s="49">
        <f>'Avg Week Nateete-Rubaga'!L29+'Avg Week Rubaga-Nateete'!L29</f>
        <v>0.2857142857142857</v>
      </c>
      <c r="M29" s="49">
        <f>'Avg Week Nateete-Rubaga'!M29+'Avg Week Rubaga-Nateete'!M29</f>
        <v>319</v>
      </c>
      <c r="N29" s="49">
        <f>'Avg Week Nateete-Rubaga'!N29+'Avg Week Rubaga-Nateete'!N29</f>
        <v>0</v>
      </c>
      <c r="O29" s="15">
        <f t="shared" si="0"/>
        <v>181.71428571428567</v>
      </c>
      <c r="P29" s="15">
        <f t="shared" si="1"/>
        <v>500.71428571428567</v>
      </c>
      <c r="R29" s="1" t="s">
        <v>153</v>
      </c>
      <c r="S29" s="34">
        <f>SUM(C86:C89)</f>
        <v>63.5</v>
      </c>
      <c r="T29" s="34">
        <f t="shared" ref="T29:AD29" si="21">SUM(D86:D89)</f>
        <v>7.5</v>
      </c>
      <c r="U29" s="34">
        <f t="shared" si="21"/>
        <v>8</v>
      </c>
      <c r="V29" s="34">
        <f t="shared" si="21"/>
        <v>5</v>
      </c>
      <c r="W29" s="34">
        <f t="shared" si="21"/>
        <v>1.5</v>
      </c>
      <c r="X29" s="34">
        <f t="shared" si="21"/>
        <v>4</v>
      </c>
      <c r="Y29" s="34">
        <f t="shared" si="21"/>
        <v>3.5</v>
      </c>
      <c r="Z29" s="34">
        <f t="shared" si="21"/>
        <v>5</v>
      </c>
      <c r="AA29" s="34">
        <f t="shared" si="21"/>
        <v>0.5</v>
      </c>
      <c r="AB29" s="34">
        <f t="shared" si="21"/>
        <v>0.5</v>
      </c>
      <c r="AC29" s="34">
        <f t="shared" si="21"/>
        <v>141.5</v>
      </c>
      <c r="AD29" s="34">
        <f t="shared" si="21"/>
        <v>0</v>
      </c>
      <c r="AE29" s="31">
        <f>SUM(O86:O89)</f>
        <v>99</v>
      </c>
      <c r="AF29" s="31">
        <f>SUM(P86:P89)</f>
        <v>240.5</v>
      </c>
    </row>
    <row r="30" spans="2:32" ht="23.1" customHeight="1" x14ac:dyDescent="0.25">
      <c r="B30" s="23" t="s">
        <v>57</v>
      </c>
      <c r="C30" s="49">
        <f>'Avg Week Nateete-Rubaga'!C30+'Avg Week Rubaga-Nateete'!C30</f>
        <v>73.714285714285722</v>
      </c>
      <c r="D30" s="49">
        <f>'Avg Week Nateete-Rubaga'!D30+'Avg Week Rubaga-Nateete'!D30</f>
        <v>14.714285714285715</v>
      </c>
      <c r="E30" s="49">
        <f>'Avg Week Nateete-Rubaga'!E30+'Avg Week Rubaga-Nateete'!E30</f>
        <v>12.428571428571427</v>
      </c>
      <c r="F30" s="49">
        <f>'Avg Week Nateete-Rubaga'!F30+'Avg Week Rubaga-Nateete'!F30</f>
        <v>78.428571428571431</v>
      </c>
      <c r="G30" s="49">
        <f>'Avg Week Nateete-Rubaga'!G30+'Avg Week Rubaga-Nateete'!G30</f>
        <v>1.2857142857142856</v>
      </c>
      <c r="H30" s="49">
        <f>'Avg Week Nateete-Rubaga'!H30+'Avg Week Rubaga-Nateete'!H30</f>
        <v>2.5714285714285716</v>
      </c>
      <c r="I30" s="49">
        <f>'Avg Week Nateete-Rubaga'!I30+'Avg Week Rubaga-Nateete'!I30</f>
        <v>7.2857142857142865</v>
      </c>
      <c r="J30" s="49">
        <f>'Avg Week Nateete-Rubaga'!J30+'Avg Week Rubaga-Nateete'!J30</f>
        <v>6.2857142857142856</v>
      </c>
      <c r="K30" s="49">
        <f>'Avg Week Nateete-Rubaga'!K30+'Avg Week Rubaga-Nateete'!K30</f>
        <v>0.42857142857142855</v>
      </c>
      <c r="L30" s="49">
        <f>'Avg Week Nateete-Rubaga'!L30+'Avg Week Rubaga-Nateete'!L30</f>
        <v>1</v>
      </c>
      <c r="M30" s="49">
        <f>'Avg Week Nateete-Rubaga'!M30+'Avg Week Rubaga-Nateete'!M30</f>
        <v>320</v>
      </c>
      <c r="N30" s="49">
        <f>'Avg Week Nateete-Rubaga'!N30+'Avg Week Rubaga-Nateete'!N30</f>
        <v>0</v>
      </c>
      <c r="O30" s="15">
        <f t="shared" si="0"/>
        <v>198.14285714285714</v>
      </c>
      <c r="P30" s="15">
        <f t="shared" si="1"/>
        <v>518.14285714285711</v>
      </c>
      <c r="R30" s="1" t="s">
        <v>154</v>
      </c>
      <c r="S30" s="34">
        <f>SUM(C90:C93)</f>
        <v>46</v>
      </c>
      <c r="T30" s="34">
        <f t="shared" ref="T30:AD30" si="22">SUM(D90:D93)</f>
        <v>8</v>
      </c>
      <c r="U30" s="34">
        <f t="shared" si="22"/>
        <v>6</v>
      </c>
      <c r="V30" s="34">
        <f t="shared" si="22"/>
        <v>7</v>
      </c>
      <c r="W30" s="34">
        <f t="shared" si="22"/>
        <v>1.5</v>
      </c>
      <c r="X30" s="34">
        <f t="shared" si="22"/>
        <v>5</v>
      </c>
      <c r="Y30" s="34">
        <f t="shared" si="22"/>
        <v>5</v>
      </c>
      <c r="Z30" s="34">
        <f t="shared" si="22"/>
        <v>1.5</v>
      </c>
      <c r="AA30" s="34">
        <f t="shared" si="22"/>
        <v>0</v>
      </c>
      <c r="AB30" s="34">
        <f t="shared" si="22"/>
        <v>0.5</v>
      </c>
      <c r="AC30" s="34">
        <f t="shared" si="22"/>
        <v>98.5</v>
      </c>
      <c r="AD30" s="34">
        <f t="shared" si="22"/>
        <v>0</v>
      </c>
      <c r="AE30" s="31">
        <f>SUM(O90:O93)</f>
        <v>80.5</v>
      </c>
      <c r="AF30" s="31">
        <f>SUM(P90:P93)</f>
        <v>179</v>
      </c>
    </row>
    <row r="31" spans="2:32" ht="23.1" customHeight="1" x14ac:dyDescent="0.25">
      <c r="B31" s="24" t="s">
        <v>58</v>
      </c>
      <c r="C31" s="49">
        <f>'Avg Week Nateete-Rubaga'!C31+'Avg Week Rubaga-Nateete'!C31</f>
        <v>72.285714285714278</v>
      </c>
      <c r="D31" s="49">
        <f>'Avg Week Nateete-Rubaga'!D31+'Avg Week Rubaga-Nateete'!D31</f>
        <v>12.857142857142858</v>
      </c>
      <c r="E31" s="49">
        <f>'Avg Week Nateete-Rubaga'!E31+'Avg Week Rubaga-Nateete'!E31</f>
        <v>9.4285714285714288</v>
      </c>
      <c r="F31" s="49">
        <f>'Avg Week Nateete-Rubaga'!F31+'Avg Week Rubaga-Nateete'!F31</f>
        <v>78</v>
      </c>
      <c r="G31" s="49">
        <f>'Avg Week Nateete-Rubaga'!G31+'Avg Week Rubaga-Nateete'!G31</f>
        <v>2.7142857142857144</v>
      </c>
      <c r="H31" s="49">
        <f>'Avg Week Nateete-Rubaga'!H31+'Avg Week Rubaga-Nateete'!H31</f>
        <v>3</v>
      </c>
      <c r="I31" s="49">
        <f>'Avg Week Nateete-Rubaga'!I31+'Avg Week Rubaga-Nateete'!I31</f>
        <v>8.1428571428571423</v>
      </c>
      <c r="J31" s="49">
        <f>'Avg Week Nateete-Rubaga'!J31+'Avg Week Rubaga-Nateete'!J31</f>
        <v>7.7142857142857135</v>
      </c>
      <c r="K31" s="49">
        <f>'Avg Week Nateete-Rubaga'!K31+'Avg Week Rubaga-Nateete'!K31</f>
        <v>0.8571428571428571</v>
      </c>
      <c r="L31" s="49">
        <f>'Avg Week Nateete-Rubaga'!L31+'Avg Week Rubaga-Nateete'!L31</f>
        <v>0.42857142857142855</v>
      </c>
      <c r="M31" s="49">
        <f>'Avg Week Nateete-Rubaga'!M31+'Avg Week Rubaga-Nateete'!M31</f>
        <v>296.71428571428572</v>
      </c>
      <c r="N31" s="49">
        <f>'Avg Week Nateete-Rubaga'!N31+'Avg Week Rubaga-Nateete'!N31</f>
        <v>0</v>
      </c>
      <c r="O31" s="15">
        <f t="shared" si="0"/>
        <v>195.42857142857142</v>
      </c>
      <c r="P31" s="15">
        <f t="shared" si="1"/>
        <v>492.14285714285711</v>
      </c>
      <c r="R31" s="1" t="s">
        <v>155</v>
      </c>
      <c r="S31" s="34">
        <f>SUM(C94:C97)</f>
        <v>54</v>
      </c>
      <c r="T31" s="34">
        <f t="shared" ref="T31:AD31" si="23">SUM(D94:D97)</f>
        <v>17</v>
      </c>
      <c r="U31" s="34">
        <f t="shared" si="23"/>
        <v>4.5</v>
      </c>
      <c r="V31" s="34">
        <f t="shared" si="23"/>
        <v>33</v>
      </c>
      <c r="W31" s="34">
        <f t="shared" si="23"/>
        <v>1</v>
      </c>
      <c r="X31" s="34">
        <f t="shared" si="23"/>
        <v>13.5</v>
      </c>
      <c r="Y31" s="34">
        <f t="shared" si="23"/>
        <v>7.5</v>
      </c>
      <c r="Z31" s="34">
        <f t="shared" si="23"/>
        <v>3.5</v>
      </c>
      <c r="AA31" s="34">
        <f t="shared" si="23"/>
        <v>0</v>
      </c>
      <c r="AB31" s="34">
        <f t="shared" si="23"/>
        <v>0</v>
      </c>
      <c r="AC31" s="34">
        <f t="shared" si="23"/>
        <v>153</v>
      </c>
      <c r="AD31" s="34">
        <f t="shared" si="23"/>
        <v>0</v>
      </c>
      <c r="AE31" s="31">
        <f>SUM(O94:O97)</f>
        <v>134</v>
      </c>
      <c r="AF31" s="31">
        <f>SUM(P94:P97)</f>
        <v>287</v>
      </c>
    </row>
    <row r="32" spans="2:32" ht="23.1" customHeight="1" x14ac:dyDescent="0.25">
      <c r="B32" s="24" t="s">
        <v>59</v>
      </c>
      <c r="C32" s="49">
        <f>'Avg Week Nateete-Rubaga'!C32+'Avg Week Rubaga-Nateete'!C32</f>
        <v>64</v>
      </c>
      <c r="D32" s="49">
        <f>'Avg Week Nateete-Rubaga'!D32+'Avg Week Rubaga-Nateete'!D32</f>
        <v>12.571428571428571</v>
      </c>
      <c r="E32" s="49">
        <f>'Avg Week Nateete-Rubaga'!E32+'Avg Week Rubaga-Nateete'!E32</f>
        <v>11.142857142857142</v>
      </c>
      <c r="F32" s="49">
        <f>'Avg Week Nateete-Rubaga'!F32+'Avg Week Rubaga-Nateete'!F32</f>
        <v>77.285714285714278</v>
      </c>
      <c r="G32" s="49">
        <f>'Avg Week Nateete-Rubaga'!G32+'Avg Week Rubaga-Nateete'!G32</f>
        <v>2.5714285714285716</v>
      </c>
      <c r="H32" s="49">
        <f>'Avg Week Nateete-Rubaga'!H32+'Avg Week Rubaga-Nateete'!H32</f>
        <v>2.1428571428571428</v>
      </c>
      <c r="I32" s="49">
        <f>'Avg Week Nateete-Rubaga'!I32+'Avg Week Rubaga-Nateete'!I32</f>
        <v>5.2857142857142856</v>
      </c>
      <c r="J32" s="49">
        <f>'Avg Week Nateete-Rubaga'!J32+'Avg Week Rubaga-Nateete'!J32</f>
        <v>4.5714285714285712</v>
      </c>
      <c r="K32" s="49">
        <f>'Avg Week Nateete-Rubaga'!K32+'Avg Week Rubaga-Nateete'!K32</f>
        <v>0.14285714285714285</v>
      </c>
      <c r="L32" s="49">
        <f>'Avg Week Nateete-Rubaga'!L32+'Avg Week Rubaga-Nateete'!L32</f>
        <v>0.42857142857142855</v>
      </c>
      <c r="M32" s="49">
        <f>'Avg Week Nateete-Rubaga'!M32+'Avg Week Rubaga-Nateete'!M32</f>
        <v>310.14285714285711</v>
      </c>
      <c r="N32" s="49">
        <f>'Avg Week Nateete-Rubaga'!N32+'Avg Week Rubaga-Nateete'!N32</f>
        <v>0</v>
      </c>
      <c r="O32" s="15">
        <f t="shared" si="0"/>
        <v>180.14285714285714</v>
      </c>
      <c r="P32" s="15">
        <f t="shared" si="1"/>
        <v>490.28571428571422</v>
      </c>
      <c r="R32" s="1" t="s">
        <v>156</v>
      </c>
      <c r="S32" s="34">
        <f>SUM(C98:C101)</f>
        <v>42</v>
      </c>
      <c r="T32" s="34">
        <f t="shared" ref="T32:AD32" si="24">SUM(D98:D101)</f>
        <v>28</v>
      </c>
      <c r="U32" s="34">
        <f t="shared" si="24"/>
        <v>9</v>
      </c>
      <c r="V32" s="34">
        <f t="shared" si="24"/>
        <v>222</v>
      </c>
      <c r="W32" s="34">
        <f t="shared" si="24"/>
        <v>4</v>
      </c>
      <c r="X32" s="34">
        <f t="shared" si="24"/>
        <v>12</v>
      </c>
      <c r="Y32" s="34">
        <f t="shared" si="24"/>
        <v>5</v>
      </c>
      <c r="Z32" s="34">
        <f t="shared" si="24"/>
        <v>3.5</v>
      </c>
      <c r="AA32" s="34">
        <f t="shared" si="24"/>
        <v>0</v>
      </c>
      <c r="AB32" s="34">
        <f t="shared" si="24"/>
        <v>0</v>
      </c>
      <c r="AC32" s="34">
        <f t="shared" si="24"/>
        <v>422</v>
      </c>
      <c r="AD32" s="34">
        <f t="shared" si="24"/>
        <v>0</v>
      </c>
      <c r="AE32" s="31">
        <f>SUM(O98:O101)</f>
        <v>325.5</v>
      </c>
      <c r="AF32" s="31">
        <f>SUM(P98:P101)</f>
        <v>747.5</v>
      </c>
    </row>
    <row r="33" spans="2:32" ht="23.1" customHeight="1" x14ac:dyDescent="0.25">
      <c r="B33" s="23" t="s">
        <v>60</v>
      </c>
      <c r="C33" s="49">
        <f>'Avg Week Nateete-Rubaga'!C33+'Avg Week Rubaga-Nateete'!C33</f>
        <v>64.285714285714278</v>
      </c>
      <c r="D33" s="49">
        <f>'Avg Week Nateete-Rubaga'!D33+'Avg Week Rubaga-Nateete'!D33</f>
        <v>11</v>
      </c>
      <c r="E33" s="49">
        <f>'Avg Week Nateete-Rubaga'!E33+'Avg Week Rubaga-Nateete'!E33</f>
        <v>10.285714285714285</v>
      </c>
      <c r="F33" s="49">
        <f>'Avg Week Nateete-Rubaga'!F33+'Avg Week Rubaga-Nateete'!F33</f>
        <v>84.142857142857139</v>
      </c>
      <c r="G33" s="49">
        <f>'Avg Week Nateete-Rubaga'!G33+'Avg Week Rubaga-Nateete'!G33</f>
        <v>0.85714285714285721</v>
      </c>
      <c r="H33" s="49">
        <f>'Avg Week Nateete-Rubaga'!H33+'Avg Week Rubaga-Nateete'!H33</f>
        <v>2</v>
      </c>
      <c r="I33" s="49">
        <f>'Avg Week Nateete-Rubaga'!I33+'Avg Week Rubaga-Nateete'!I33</f>
        <v>4</v>
      </c>
      <c r="J33" s="49">
        <f>'Avg Week Nateete-Rubaga'!J33+'Avg Week Rubaga-Nateete'!J33</f>
        <v>3.5714285714285712</v>
      </c>
      <c r="K33" s="49">
        <f>'Avg Week Nateete-Rubaga'!K33+'Avg Week Rubaga-Nateete'!K33</f>
        <v>0.2857142857142857</v>
      </c>
      <c r="L33" s="49">
        <f>'Avg Week Nateete-Rubaga'!L33+'Avg Week Rubaga-Nateete'!L33</f>
        <v>0.42857142857142855</v>
      </c>
      <c r="M33" s="49">
        <f>'Avg Week Nateete-Rubaga'!M33+'Avg Week Rubaga-Nateete'!M33</f>
        <v>283.57142857142856</v>
      </c>
      <c r="N33" s="49">
        <f>'Avg Week Nateete-Rubaga'!N33+'Avg Week Rubaga-Nateete'!N33</f>
        <v>0</v>
      </c>
      <c r="O33" s="15">
        <f t="shared" si="0"/>
        <v>180.85714285714283</v>
      </c>
      <c r="P33" s="15">
        <f t="shared" si="1"/>
        <v>464.42857142857139</v>
      </c>
      <c r="R33" s="1" t="s">
        <v>157</v>
      </c>
      <c r="S33" s="34">
        <f>SUM(C102:C105)</f>
        <v>127.5</v>
      </c>
      <c r="T33" s="34">
        <f t="shared" ref="T33:AD33" si="25">SUM(D102:D105)</f>
        <v>60</v>
      </c>
      <c r="U33" s="34">
        <f t="shared" si="25"/>
        <v>17</v>
      </c>
      <c r="V33" s="34">
        <f t="shared" si="25"/>
        <v>265</v>
      </c>
      <c r="W33" s="34">
        <f t="shared" si="25"/>
        <v>8.5</v>
      </c>
      <c r="X33" s="34">
        <f t="shared" si="25"/>
        <v>7</v>
      </c>
      <c r="Y33" s="34">
        <f t="shared" si="25"/>
        <v>24.5</v>
      </c>
      <c r="Z33" s="34">
        <f t="shared" si="25"/>
        <v>6.5</v>
      </c>
      <c r="AA33" s="34">
        <f t="shared" si="25"/>
        <v>1</v>
      </c>
      <c r="AB33" s="34">
        <f t="shared" si="25"/>
        <v>1</v>
      </c>
      <c r="AC33" s="34">
        <f t="shared" si="25"/>
        <v>591</v>
      </c>
      <c r="AD33" s="34">
        <f t="shared" si="25"/>
        <v>0</v>
      </c>
      <c r="AE33" s="31">
        <f>SUM(O102:O105)</f>
        <v>518</v>
      </c>
      <c r="AF33" s="31">
        <f>SUM(P102:P105)</f>
        <v>1109</v>
      </c>
    </row>
    <row r="34" spans="2:32" ht="23.1" customHeight="1" x14ac:dyDescent="0.25">
      <c r="B34" s="24" t="s">
        <v>61</v>
      </c>
      <c r="C34" s="49">
        <f>'Avg Week Nateete-Rubaga'!C34+'Avg Week Rubaga-Nateete'!C34</f>
        <v>72.285714285714278</v>
      </c>
      <c r="D34" s="49">
        <f>'Avg Week Nateete-Rubaga'!D34+'Avg Week Rubaga-Nateete'!D34</f>
        <v>11</v>
      </c>
      <c r="E34" s="49">
        <f>'Avg Week Nateete-Rubaga'!E34+'Avg Week Rubaga-Nateete'!E34</f>
        <v>10.428571428571427</v>
      </c>
      <c r="F34" s="49">
        <f>'Avg Week Nateete-Rubaga'!F34+'Avg Week Rubaga-Nateete'!F34</f>
        <v>76</v>
      </c>
      <c r="G34" s="49">
        <f>'Avg Week Nateete-Rubaga'!G34+'Avg Week Rubaga-Nateete'!G34</f>
        <v>2.4285714285714284</v>
      </c>
      <c r="H34" s="49">
        <f>'Avg Week Nateete-Rubaga'!H34+'Avg Week Rubaga-Nateete'!H34</f>
        <v>3.2857142857142856</v>
      </c>
      <c r="I34" s="49">
        <f>'Avg Week Nateete-Rubaga'!I34+'Avg Week Rubaga-Nateete'!I34</f>
        <v>5.8571428571428577</v>
      </c>
      <c r="J34" s="49">
        <f>'Avg Week Nateete-Rubaga'!J34+'Avg Week Rubaga-Nateete'!J34</f>
        <v>3.5714285714285712</v>
      </c>
      <c r="K34" s="49">
        <f>'Avg Week Nateete-Rubaga'!K34+'Avg Week Rubaga-Nateete'!K34</f>
        <v>0.7142857142857143</v>
      </c>
      <c r="L34" s="49">
        <f>'Avg Week Nateete-Rubaga'!L34+'Avg Week Rubaga-Nateete'!L34</f>
        <v>0.2857142857142857</v>
      </c>
      <c r="M34" s="49">
        <f>'Avg Week Nateete-Rubaga'!M34+'Avg Week Rubaga-Nateete'!M34</f>
        <v>247.85714285714283</v>
      </c>
      <c r="N34" s="49">
        <f>'Avg Week Nateete-Rubaga'!N34+'Avg Week Rubaga-Nateete'!N34</f>
        <v>0</v>
      </c>
      <c r="O34" s="15">
        <f t="shared" si="0"/>
        <v>185.85714285714286</v>
      </c>
      <c r="P34" s="15">
        <f t="shared" si="1"/>
        <v>433.71428571428567</v>
      </c>
      <c r="R34" s="38" t="s">
        <v>90</v>
      </c>
      <c r="S34" s="39">
        <f t="shared" ref="S34:AF34" si="26">MAX(S10:S12)</f>
        <v>311.71428571428567</v>
      </c>
      <c r="T34" s="39">
        <f t="shared" si="26"/>
        <v>62.285714285714292</v>
      </c>
      <c r="U34" s="39">
        <f t="shared" si="26"/>
        <v>47.714285714285722</v>
      </c>
      <c r="V34" s="39">
        <f t="shared" si="26"/>
        <v>422.85714285714283</v>
      </c>
      <c r="W34" s="39">
        <f t="shared" si="26"/>
        <v>33.285714285714292</v>
      </c>
      <c r="X34" s="39">
        <f t="shared" si="26"/>
        <v>9.5714285714285712</v>
      </c>
      <c r="Y34" s="39">
        <f t="shared" si="26"/>
        <v>25.428571428571427</v>
      </c>
      <c r="Z34" s="39">
        <f t="shared" si="26"/>
        <v>12.714285714285712</v>
      </c>
      <c r="AA34" s="39">
        <f t="shared" si="26"/>
        <v>1.7142857142857142</v>
      </c>
      <c r="AB34" s="39">
        <f t="shared" si="26"/>
        <v>1.1428571428571428</v>
      </c>
      <c r="AC34" s="39">
        <f t="shared" si="26"/>
        <v>2193.2857142857142</v>
      </c>
      <c r="AD34" s="39">
        <f t="shared" si="26"/>
        <v>0</v>
      </c>
      <c r="AE34" s="40">
        <f t="shared" si="26"/>
        <v>917.85714285714289</v>
      </c>
      <c r="AF34" s="40">
        <f t="shared" ref="AF34" si="27">MAX(AF10:AF12)</f>
        <v>3029.2857142857142</v>
      </c>
    </row>
    <row r="35" spans="2:32" ht="23.1" customHeight="1" x14ac:dyDescent="0.25">
      <c r="B35" s="24" t="s">
        <v>62</v>
      </c>
      <c r="C35" s="49">
        <f>'Avg Week Nateete-Rubaga'!C35+'Avg Week Rubaga-Nateete'!C35</f>
        <v>60.428571428571431</v>
      </c>
      <c r="D35" s="49">
        <f>'Avg Week Nateete-Rubaga'!D35+'Avg Week Rubaga-Nateete'!D35</f>
        <v>11.857142857142858</v>
      </c>
      <c r="E35" s="49">
        <f>'Avg Week Nateete-Rubaga'!E35+'Avg Week Rubaga-Nateete'!E35</f>
        <v>8.2857142857142847</v>
      </c>
      <c r="F35" s="49">
        <f>'Avg Week Nateete-Rubaga'!F35+'Avg Week Rubaga-Nateete'!F35</f>
        <v>79.142857142857139</v>
      </c>
      <c r="G35" s="49">
        <f>'Avg Week Nateete-Rubaga'!G35+'Avg Week Rubaga-Nateete'!G35</f>
        <v>2.2857142857142856</v>
      </c>
      <c r="H35" s="49">
        <f>'Avg Week Nateete-Rubaga'!H35+'Avg Week Rubaga-Nateete'!H35</f>
        <v>1.7142857142857142</v>
      </c>
      <c r="I35" s="49">
        <f>'Avg Week Nateete-Rubaga'!I35+'Avg Week Rubaga-Nateete'!I35</f>
        <v>6</v>
      </c>
      <c r="J35" s="49">
        <f>'Avg Week Nateete-Rubaga'!J35+'Avg Week Rubaga-Nateete'!J35</f>
        <v>4.2857142857142856</v>
      </c>
      <c r="K35" s="49">
        <f>'Avg Week Nateete-Rubaga'!K35+'Avg Week Rubaga-Nateete'!K35</f>
        <v>0.42857142857142855</v>
      </c>
      <c r="L35" s="49">
        <f>'Avg Week Nateete-Rubaga'!L35+'Avg Week Rubaga-Nateete'!L35</f>
        <v>0.5714285714285714</v>
      </c>
      <c r="M35" s="49">
        <f>'Avg Week Nateete-Rubaga'!M35+'Avg Week Rubaga-Nateete'!M35</f>
        <v>260.42857142857144</v>
      </c>
      <c r="N35" s="49">
        <f>'Avg Week Nateete-Rubaga'!N35+'Avg Week Rubaga-Nateete'!N35</f>
        <v>0</v>
      </c>
      <c r="O35" s="15">
        <f t="shared" si="0"/>
        <v>175</v>
      </c>
      <c r="P35" s="15">
        <f t="shared" si="1"/>
        <v>435.42857142857144</v>
      </c>
      <c r="R35" s="38" t="s">
        <v>91</v>
      </c>
      <c r="S35" s="39">
        <f t="shared" ref="S35:AF35" si="28">MAX(S13:S18)</f>
        <v>274.28571428571428</v>
      </c>
      <c r="T35" s="39">
        <f t="shared" si="28"/>
        <v>55.714285714285708</v>
      </c>
      <c r="U35" s="39">
        <f t="shared" si="28"/>
        <v>47.142857142857146</v>
      </c>
      <c r="V35" s="39">
        <f t="shared" si="28"/>
        <v>356.71428571428572</v>
      </c>
      <c r="W35" s="39">
        <f t="shared" si="28"/>
        <v>12.714285714285715</v>
      </c>
      <c r="X35" s="39">
        <f t="shared" si="28"/>
        <v>12.285714285714285</v>
      </c>
      <c r="Y35" s="39">
        <f t="shared" si="28"/>
        <v>26.428571428571431</v>
      </c>
      <c r="Z35" s="39">
        <f t="shared" si="28"/>
        <v>22.142857142857139</v>
      </c>
      <c r="AA35" s="39">
        <f t="shared" si="28"/>
        <v>2.2857142857142856</v>
      </c>
      <c r="AB35" s="39">
        <f t="shared" si="28"/>
        <v>2.7142857142857144</v>
      </c>
      <c r="AC35" s="39">
        <f t="shared" si="28"/>
        <v>1475.8571428571427</v>
      </c>
      <c r="AD35" s="39">
        <f t="shared" si="28"/>
        <v>1.4285714285714286</v>
      </c>
      <c r="AE35" s="40">
        <f t="shared" si="28"/>
        <v>783</v>
      </c>
      <c r="AF35" s="40">
        <f t="shared" ref="AF35" si="29">MAX(AF13:AF18)</f>
        <v>2258.8571428571427</v>
      </c>
    </row>
    <row r="36" spans="2:32" ht="23.1" customHeight="1" x14ac:dyDescent="0.25">
      <c r="B36" s="24" t="s">
        <v>63</v>
      </c>
      <c r="C36" s="49">
        <f>'Avg Week Nateete-Rubaga'!C36+'Avg Week Rubaga-Nateete'!C36</f>
        <v>71.142857142857139</v>
      </c>
      <c r="D36" s="49">
        <f>'Avg Week Nateete-Rubaga'!D36+'Avg Week Rubaga-Nateete'!D36</f>
        <v>11.857142857142858</v>
      </c>
      <c r="E36" s="49">
        <f>'Avg Week Nateete-Rubaga'!E36+'Avg Week Rubaga-Nateete'!E36</f>
        <v>9.428571428571427</v>
      </c>
      <c r="F36" s="49">
        <f>'Avg Week Nateete-Rubaga'!F36+'Avg Week Rubaga-Nateete'!F36</f>
        <v>74.571428571428569</v>
      </c>
      <c r="G36" s="49">
        <f>'Avg Week Nateete-Rubaga'!G36+'Avg Week Rubaga-Nateete'!G36</f>
        <v>1.5714285714285714</v>
      </c>
      <c r="H36" s="49">
        <f>'Avg Week Nateete-Rubaga'!H36+'Avg Week Rubaga-Nateete'!H36</f>
        <v>3</v>
      </c>
      <c r="I36" s="49">
        <f>'Avg Week Nateete-Rubaga'!I36+'Avg Week Rubaga-Nateete'!I36</f>
        <v>5.7142857142857144</v>
      </c>
      <c r="J36" s="49">
        <f>'Avg Week Nateete-Rubaga'!J36+'Avg Week Rubaga-Nateete'!J36</f>
        <v>5.1428571428571423</v>
      </c>
      <c r="K36" s="49">
        <f>'Avg Week Nateete-Rubaga'!K36+'Avg Week Rubaga-Nateete'!K36</f>
        <v>0.71428571428571419</v>
      </c>
      <c r="L36" s="49">
        <f>'Avg Week Nateete-Rubaga'!L36+'Avg Week Rubaga-Nateete'!L36</f>
        <v>1.1428571428571428</v>
      </c>
      <c r="M36" s="49">
        <f>'Avg Week Nateete-Rubaga'!M36+'Avg Week Rubaga-Nateete'!M36</f>
        <v>233.14285714285717</v>
      </c>
      <c r="N36" s="49">
        <f>'Avg Week Nateete-Rubaga'!N36+'Avg Week Rubaga-Nateete'!N36</f>
        <v>0</v>
      </c>
      <c r="O36" s="15">
        <f t="shared" si="0"/>
        <v>184.28571428571431</v>
      </c>
      <c r="P36" s="15">
        <f t="shared" si="1"/>
        <v>417.42857142857144</v>
      </c>
      <c r="R36" s="38" t="s">
        <v>92</v>
      </c>
      <c r="S36" s="39">
        <f t="shared" ref="S36:AF36" si="30">MAX(S19:S21)</f>
        <v>398.71428571428567</v>
      </c>
      <c r="T36" s="39">
        <f t="shared" si="30"/>
        <v>59.428571428571431</v>
      </c>
      <c r="U36" s="39">
        <f t="shared" si="30"/>
        <v>34.857142857142861</v>
      </c>
      <c r="V36" s="39">
        <f t="shared" si="30"/>
        <v>410.85714285714283</v>
      </c>
      <c r="W36" s="39">
        <f t="shared" si="30"/>
        <v>9.7142857142857153</v>
      </c>
      <c r="X36" s="39">
        <f t="shared" si="30"/>
        <v>13</v>
      </c>
      <c r="Y36" s="39">
        <f t="shared" si="30"/>
        <v>29.571428571428569</v>
      </c>
      <c r="Z36" s="39">
        <f t="shared" si="30"/>
        <v>16.285714285714285</v>
      </c>
      <c r="AA36" s="39">
        <f t="shared" si="30"/>
        <v>3.1428571428571428</v>
      </c>
      <c r="AB36" s="39">
        <f t="shared" si="30"/>
        <v>2.1428571428571428</v>
      </c>
      <c r="AC36" s="39">
        <f t="shared" si="30"/>
        <v>1165.2857142857142</v>
      </c>
      <c r="AD36" s="39">
        <f t="shared" si="30"/>
        <v>0</v>
      </c>
      <c r="AE36" s="40">
        <f t="shared" si="30"/>
        <v>960.14285714285711</v>
      </c>
      <c r="AF36" s="40">
        <f t="shared" ref="AF36" si="31">MAX(AF19:AF21)</f>
        <v>2114.5714285714284</v>
      </c>
    </row>
    <row r="37" spans="2:32" ht="23.1" customHeight="1" x14ac:dyDescent="0.25">
      <c r="B37" s="23" t="s">
        <v>64</v>
      </c>
      <c r="C37" s="49">
        <f>'Avg Week Nateete-Rubaga'!C37+'Avg Week Rubaga-Nateete'!C37</f>
        <v>68.428571428571431</v>
      </c>
      <c r="D37" s="49">
        <f>'Avg Week Nateete-Rubaga'!D37+'Avg Week Rubaga-Nateete'!D37</f>
        <v>11.285714285714285</v>
      </c>
      <c r="E37" s="49">
        <f>'Avg Week Nateete-Rubaga'!E37+'Avg Week Rubaga-Nateete'!E37</f>
        <v>11.285714285714285</v>
      </c>
      <c r="F37" s="49">
        <f>'Avg Week Nateete-Rubaga'!F37+'Avg Week Rubaga-Nateete'!F37</f>
        <v>79.714285714285722</v>
      </c>
      <c r="G37" s="49">
        <f>'Avg Week Nateete-Rubaga'!G37+'Avg Week Rubaga-Nateete'!G37</f>
        <v>1.8571428571428572</v>
      </c>
      <c r="H37" s="49">
        <f>'Avg Week Nateete-Rubaga'!H37+'Avg Week Rubaga-Nateete'!H37</f>
        <v>4</v>
      </c>
      <c r="I37" s="49">
        <f>'Avg Week Nateete-Rubaga'!I37+'Avg Week Rubaga-Nateete'!I37</f>
        <v>7.1428571428571423</v>
      </c>
      <c r="J37" s="49">
        <f>'Avg Week Nateete-Rubaga'!J37+'Avg Week Rubaga-Nateete'!J37</f>
        <v>3</v>
      </c>
      <c r="K37" s="49">
        <f>'Avg Week Nateete-Rubaga'!K37+'Avg Week Rubaga-Nateete'!K37</f>
        <v>0.42857142857142855</v>
      </c>
      <c r="L37" s="49">
        <f>'Avg Week Nateete-Rubaga'!L37+'Avg Week Rubaga-Nateete'!L37</f>
        <v>0.71428571428571419</v>
      </c>
      <c r="M37" s="49">
        <f>'Avg Week Nateete-Rubaga'!M37+'Avg Week Rubaga-Nateete'!M37</f>
        <v>261.14285714285711</v>
      </c>
      <c r="N37" s="49">
        <f>'Avg Week Nateete-Rubaga'!N37+'Avg Week Rubaga-Nateete'!N37</f>
        <v>0</v>
      </c>
      <c r="O37" s="15">
        <f t="shared" si="0"/>
        <v>187.85714285714286</v>
      </c>
      <c r="P37" s="15">
        <f t="shared" si="1"/>
        <v>449</v>
      </c>
      <c r="R37" s="37" t="s">
        <v>85</v>
      </c>
      <c r="S37" s="35">
        <f t="shared" ref="S37:AF37" si="32">SUM(S10:S12)</f>
        <v>855.14285714285711</v>
      </c>
      <c r="T37" s="16">
        <f t="shared" si="32"/>
        <v>173.28571428571428</v>
      </c>
      <c r="U37" s="16">
        <f t="shared" si="32"/>
        <v>108.57142857142857</v>
      </c>
      <c r="V37" s="16">
        <f t="shared" si="32"/>
        <v>1251.5714285714284</v>
      </c>
      <c r="W37" s="16">
        <f t="shared" si="32"/>
        <v>56.142857142857146</v>
      </c>
      <c r="X37" s="16">
        <f t="shared" si="32"/>
        <v>26.142857142857139</v>
      </c>
      <c r="Y37" s="16">
        <f t="shared" si="32"/>
        <v>65.285714285714278</v>
      </c>
      <c r="Z37" s="16">
        <f t="shared" si="32"/>
        <v>35.857142857142854</v>
      </c>
      <c r="AA37" s="16">
        <f t="shared" si="32"/>
        <v>4.2857142857142856</v>
      </c>
      <c r="AB37" s="16">
        <f t="shared" si="32"/>
        <v>2.1428571428571428</v>
      </c>
      <c r="AC37" s="16">
        <f t="shared" si="32"/>
        <v>5795.5714285714284</v>
      </c>
      <c r="AD37" s="16">
        <f t="shared" si="32"/>
        <v>0</v>
      </c>
      <c r="AE37" s="32">
        <f t="shared" si="32"/>
        <v>2578.4285714285716</v>
      </c>
      <c r="AF37" s="32">
        <f t="shared" ref="AF37" si="33">SUM(AF10:AF12)</f>
        <v>8374</v>
      </c>
    </row>
    <row r="38" spans="2:32" ht="23.1" customHeight="1" x14ac:dyDescent="0.25">
      <c r="B38" s="24" t="s">
        <v>65</v>
      </c>
      <c r="C38" s="49">
        <f>'Avg Week Nateete-Rubaga'!C38+'Avg Week Rubaga-Nateete'!C38</f>
        <v>55.285714285714292</v>
      </c>
      <c r="D38" s="49">
        <f>'Avg Week Nateete-Rubaga'!D38+'Avg Week Rubaga-Nateete'!D38</f>
        <v>10.285714285714285</v>
      </c>
      <c r="E38" s="49">
        <f>'Avg Week Nateete-Rubaga'!E38+'Avg Week Rubaga-Nateete'!E38</f>
        <v>10.857142857142858</v>
      </c>
      <c r="F38" s="49">
        <f>'Avg Week Nateete-Rubaga'!F38+'Avg Week Rubaga-Nateete'!F38</f>
        <v>72.857142857142861</v>
      </c>
      <c r="G38" s="49">
        <f>'Avg Week Nateete-Rubaga'!G38+'Avg Week Rubaga-Nateete'!G38</f>
        <v>2.2857142857142856</v>
      </c>
      <c r="H38" s="49">
        <f>'Avg Week Nateete-Rubaga'!H38+'Avg Week Rubaga-Nateete'!H38</f>
        <v>2.4285714285714288</v>
      </c>
      <c r="I38" s="49">
        <f>'Avg Week Nateete-Rubaga'!I38+'Avg Week Rubaga-Nateete'!I38</f>
        <v>5.4285714285714288</v>
      </c>
      <c r="J38" s="49">
        <f>'Avg Week Nateete-Rubaga'!J38+'Avg Week Rubaga-Nateete'!J38</f>
        <v>3.7142857142857144</v>
      </c>
      <c r="K38" s="49">
        <f>'Avg Week Nateete-Rubaga'!K38+'Avg Week Rubaga-Nateete'!K38</f>
        <v>0.2857142857142857</v>
      </c>
      <c r="L38" s="49">
        <f>'Avg Week Nateete-Rubaga'!L38+'Avg Week Rubaga-Nateete'!L38</f>
        <v>0</v>
      </c>
      <c r="M38" s="49">
        <f>'Avg Week Nateete-Rubaga'!M38+'Avg Week Rubaga-Nateete'!M38</f>
        <v>235.42857142857144</v>
      </c>
      <c r="N38" s="49">
        <f>'Avg Week Nateete-Rubaga'!N38+'Avg Week Rubaga-Nateete'!N38</f>
        <v>0</v>
      </c>
      <c r="O38" s="15">
        <f t="shared" si="0"/>
        <v>163.42857142857142</v>
      </c>
      <c r="P38" s="15">
        <f t="shared" si="1"/>
        <v>398.85714285714289</v>
      </c>
      <c r="R38" s="28" t="s">
        <v>86</v>
      </c>
      <c r="S38" s="16">
        <f t="shared" ref="S38:AF38" si="34">SUM(S13:S18)</f>
        <v>1582.285714285714</v>
      </c>
      <c r="T38" s="16">
        <f t="shared" si="34"/>
        <v>302.71428571428572</v>
      </c>
      <c r="U38" s="16">
        <f t="shared" si="34"/>
        <v>246.57142857142856</v>
      </c>
      <c r="V38" s="16">
        <f t="shared" si="34"/>
        <v>1856.4285714285713</v>
      </c>
      <c r="W38" s="16">
        <f t="shared" si="34"/>
        <v>55</v>
      </c>
      <c r="X38" s="16">
        <f t="shared" si="34"/>
        <v>63.142857142857146</v>
      </c>
      <c r="Y38" s="16">
        <f t="shared" si="34"/>
        <v>147.71428571428572</v>
      </c>
      <c r="Z38" s="16">
        <f t="shared" si="34"/>
        <v>101.71428571428571</v>
      </c>
      <c r="AA38" s="16">
        <f t="shared" si="34"/>
        <v>9.8571428571428577</v>
      </c>
      <c r="AB38" s="16">
        <f t="shared" si="34"/>
        <v>11.714285714285715</v>
      </c>
      <c r="AC38" s="16">
        <f t="shared" si="34"/>
        <v>6883.8571428571422</v>
      </c>
      <c r="AD38" s="16">
        <f t="shared" si="34"/>
        <v>1.4285714285714286</v>
      </c>
      <c r="AE38" s="32">
        <f t="shared" si="34"/>
        <v>4378.5714285714284</v>
      </c>
      <c r="AF38" s="32">
        <f t="shared" ref="AF38" si="35">SUM(AF13:AF18)</f>
        <v>11262.428571428572</v>
      </c>
    </row>
    <row r="39" spans="2:32" ht="23.1" customHeight="1" x14ac:dyDescent="0.25">
      <c r="B39" s="24" t="s">
        <v>66</v>
      </c>
      <c r="C39" s="49">
        <f>'Avg Week Nateete-Rubaga'!C39+'Avg Week Rubaga-Nateete'!C39</f>
        <v>61.142857142857139</v>
      </c>
      <c r="D39" s="49">
        <f>'Avg Week Nateete-Rubaga'!D39+'Avg Week Rubaga-Nateete'!D39</f>
        <v>10.857142857142858</v>
      </c>
      <c r="E39" s="49">
        <f>'Avg Week Nateete-Rubaga'!E39+'Avg Week Rubaga-Nateete'!E39</f>
        <v>17.142857142857142</v>
      </c>
      <c r="F39" s="49">
        <f>'Avg Week Nateete-Rubaga'!F39+'Avg Week Rubaga-Nateete'!F39</f>
        <v>74.142857142857139</v>
      </c>
      <c r="G39" s="49">
        <f>'Avg Week Nateete-Rubaga'!G39+'Avg Week Rubaga-Nateete'!G39</f>
        <v>2</v>
      </c>
      <c r="H39" s="49">
        <f>'Avg Week Nateete-Rubaga'!H39+'Avg Week Rubaga-Nateete'!H39</f>
        <v>2.1428571428571428</v>
      </c>
      <c r="I39" s="49">
        <f>'Avg Week Nateete-Rubaga'!I39+'Avg Week Rubaga-Nateete'!I39</f>
        <v>7.7142857142857135</v>
      </c>
      <c r="J39" s="49">
        <f>'Avg Week Nateete-Rubaga'!J39+'Avg Week Rubaga-Nateete'!J39</f>
        <v>3.1428571428571428</v>
      </c>
      <c r="K39" s="49">
        <f>'Avg Week Nateete-Rubaga'!K39+'Avg Week Rubaga-Nateete'!K39</f>
        <v>0.14285714285714285</v>
      </c>
      <c r="L39" s="49">
        <f>'Avg Week Nateete-Rubaga'!L39+'Avg Week Rubaga-Nateete'!L39</f>
        <v>0.8571428571428571</v>
      </c>
      <c r="M39" s="49">
        <f>'Avg Week Nateete-Rubaga'!M39+'Avg Week Rubaga-Nateete'!M39</f>
        <v>189.85714285714286</v>
      </c>
      <c r="N39" s="49">
        <f>'Avg Week Nateete-Rubaga'!N39+'Avg Week Rubaga-Nateete'!N39</f>
        <v>0</v>
      </c>
      <c r="O39" s="15">
        <f t="shared" si="0"/>
        <v>179.28571428571428</v>
      </c>
      <c r="P39" s="15">
        <f t="shared" si="1"/>
        <v>369.14285714285711</v>
      </c>
      <c r="R39" s="29" t="s">
        <v>87</v>
      </c>
      <c r="S39" s="16">
        <f t="shared" ref="S39:AF39" si="36">SUM(S19:S21)</f>
        <v>1101.1428571428571</v>
      </c>
      <c r="T39" s="16">
        <f t="shared" si="36"/>
        <v>159.71428571428572</v>
      </c>
      <c r="U39" s="16">
        <f t="shared" si="36"/>
        <v>103.42857142857142</v>
      </c>
      <c r="V39" s="16">
        <f t="shared" si="36"/>
        <v>1135</v>
      </c>
      <c r="W39" s="16">
        <f t="shared" si="36"/>
        <v>24.714285714285715</v>
      </c>
      <c r="X39" s="16">
        <f t="shared" si="36"/>
        <v>36.571428571428569</v>
      </c>
      <c r="Y39" s="16">
        <f t="shared" si="36"/>
        <v>78</v>
      </c>
      <c r="Z39" s="16">
        <f t="shared" si="36"/>
        <v>44.714285714285715</v>
      </c>
      <c r="AA39" s="16">
        <f t="shared" si="36"/>
        <v>8</v>
      </c>
      <c r="AB39" s="16">
        <f t="shared" si="36"/>
        <v>5.8571428571428568</v>
      </c>
      <c r="AC39" s="16">
        <f t="shared" si="36"/>
        <v>3356.7142857142858</v>
      </c>
      <c r="AD39" s="16">
        <f t="shared" si="36"/>
        <v>0</v>
      </c>
      <c r="AE39" s="32">
        <f t="shared" si="36"/>
        <v>2697.1428571428569</v>
      </c>
      <c r="AF39" s="32">
        <f t="shared" ref="AF39" si="37">SUM(AF19:AF21)</f>
        <v>6053.8571428571431</v>
      </c>
    </row>
    <row r="40" spans="2:32" ht="23.1" customHeight="1" x14ac:dyDescent="0.25">
      <c r="B40" s="24" t="s">
        <v>67</v>
      </c>
      <c r="C40" s="49">
        <f>'Avg Week Nateete-Rubaga'!C40+'Avg Week Rubaga-Nateete'!C40</f>
        <v>62.714285714285715</v>
      </c>
      <c r="D40" s="49">
        <f>'Avg Week Nateete-Rubaga'!D40+'Avg Week Rubaga-Nateete'!D40</f>
        <v>13.142857142857142</v>
      </c>
      <c r="E40" s="49">
        <f>'Avg Week Nateete-Rubaga'!E40+'Avg Week Rubaga-Nateete'!E40</f>
        <v>8.4285714285714288</v>
      </c>
      <c r="F40" s="49">
        <f>'Avg Week Nateete-Rubaga'!F40+'Avg Week Rubaga-Nateete'!F40</f>
        <v>76.285714285714278</v>
      </c>
      <c r="G40" s="49">
        <f>'Avg Week Nateete-Rubaga'!G40+'Avg Week Rubaga-Nateete'!G40</f>
        <v>1.5714285714285714</v>
      </c>
      <c r="H40" s="49">
        <f>'Avg Week Nateete-Rubaga'!H40+'Avg Week Rubaga-Nateete'!H40</f>
        <v>3.7142857142857144</v>
      </c>
      <c r="I40" s="49">
        <f>'Avg Week Nateete-Rubaga'!I40+'Avg Week Rubaga-Nateete'!I40</f>
        <v>6.2857142857142865</v>
      </c>
      <c r="J40" s="49">
        <f>'Avg Week Nateete-Rubaga'!J40+'Avg Week Rubaga-Nateete'!J40</f>
        <v>4.4285714285714288</v>
      </c>
      <c r="K40" s="49">
        <f>'Avg Week Nateete-Rubaga'!K40+'Avg Week Rubaga-Nateete'!K40</f>
        <v>0.42857142857142855</v>
      </c>
      <c r="L40" s="49">
        <f>'Avg Week Nateete-Rubaga'!L40+'Avg Week Rubaga-Nateete'!L40</f>
        <v>1</v>
      </c>
      <c r="M40" s="49">
        <f>'Avg Week Nateete-Rubaga'!M40+'Avg Week Rubaga-Nateete'!M40</f>
        <v>226.57142857142858</v>
      </c>
      <c r="N40" s="49">
        <f>'Avg Week Nateete-Rubaga'!N40+'Avg Week Rubaga-Nateete'!N40</f>
        <v>0</v>
      </c>
      <c r="O40" s="15">
        <f t="shared" si="0"/>
        <v>177.99999999999997</v>
      </c>
      <c r="P40" s="15">
        <f t="shared" si="1"/>
        <v>404.57142857142856</v>
      </c>
      <c r="R40" s="5" t="s">
        <v>17</v>
      </c>
      <c r="S40" s="16">
        <f t="shared" ref="S40:AF40" si="38">SUM(S10:S21)</f>
        <v>3538.5714285714284</v>
      </c>
      <c r="T40" s="16">
        <f t="shared" si="38"/>
        <v>635.71428571428578</v>
      </c>
      <c r="U40" s="16">
        <f t="shared" si="38"/>
        <v>458.57142857142867</v>
      </c>
      <c r="V40" s="16">
        <f t="shared" si="38"/>
        <v>4243.0000000000009</v>
      </c>
      <c r="W40" s="16">
        <f t="shared" si="38"/>
        <v>135.85714285714283</v>
      </c>
      <c r="X40" s="16">
        <f t="shared" si="38"/>
        <v>125.85714285714285</v>
      </c>
      <c r="Y40" s="16">
        <f t="shared" si="38"/>
        <v>291</v>
      </c>
      <c r="Z40" s="16">
        <f t="shared" si="38"/>
        <v>182.28571428571428</v>
      </c>
      <c r="AA40" s="16">
        <f t="shared" si="38"/>
        <v>22.142857142857135</v>
      </c>
      <c r="AB40" s="16">
        <f t="shared" si="38"/>
        <v>19.714285714285715</v>
      </c>
      <c r="AC40" s="16">
        <f t="shared" si="38"/>
        <v>16036.142857142855</v>
      </c>
      <c r="AD40" s="16">
        <f t="shared" si="38"/>
        <v>1.4285714285714286</v>
      </c>
      <c r="AE40" s="32">
        <f t="shared" si="38"/>
        <v>9654.1428571428569</v>
      </c>
      <c r="AF40" s="32">
        <f t="shared" ref="AF40" si="39">SUM(AF10:AF21)</f>
        <v>25690.28571428571</v>
      </c>
    </row>
    <row r="41" spans="2:32" ht="23.1" customHeight="1" x14ac:dyDescent="0.25">
      <c r="B41" s="23" t="s">
        <v>68</v>
      </c>
      <c r="C41" s="49">
        <f>'Avg Week Nateete-Rubaga'!C41+'Avg Week Rubaga-Nateete'!C41</f>
        <v>67.285714285714278</v>
      </c>
      <c r="D41" s="49">
        <f>'Avg Week Nateete-Rubaga'!D41+'Avg Week Rubaga-Nateete'!D41</f>
        <v>10.428571428571429</v>
      </c>
      <c r="E41" s="49">
        <f>'Avg Week Nateete-Rubaga'!E41+'Avg Week Rubaga-Nateete'!E41</f>
        <v>10.714285714285715</v>
      </c>
      <c r="F41" s="49">
        <f>'Avg Week Nateete-Rubaga'!F41+'Avg Week Rubaga-Nateete'!F41</f>
        <v>75.285714285714278</v>
      </c>
      <c r="G41" s="49">
        <f>'Avg Week Nateete-Rubaga'!G41+'Avg Week Rubaga-Nateete'!G41</f>
        <v>2.1428571428571428</v>
      </c>
      <c r="H41" s="49">
        <f>'Avg Week Nateete-Rubaga'!H41+'Avg Week Rubaga-Nateete'!H41</f>
        <v>2.7142857142857144</v>
      </c>
      <c r="I41" s="49">
        <f>'Avg Week Nateete-Rubaga'!I41+'Avg Week Rubaga-Nateete'!I41</f>
        <v>7</v>
      </c>
      <c r="J41" s="49">
        <f>'Avg Week Nateete-Rubaga'!J41+'Avg Week Rubaga-Nateete'!J41</f>
        <v>4.1428571428571423</v>
      </c>
      <c r="K41" s="49">
        <f>'Avg Week Nateete-Rubaga'!K41+'Avg Week Rubaga-Nateete'!K41</f>
        <v>0.42857142857142855</v>
      </c>
      <c r="L41" s="49">
        <f>'Avg Week Nateete-Rubaga'!L41+'Avg Week Rubaga-Nateete'!L41</f>
        <v>0.14285714285714285</v>
      </c>
      <c r="M41" s="49">
        <f>'Avg Week Nateete-Rubaga'!M41+'Avg Week Rubaga-Nateete'!M41</f>
        <v>240.28571428571428</v>
      </c>
      <c r="N41" s="49">
        <f>'Avg Week Nateete-Rubaga'!N41+'Avg Week Rubaga-Nateete'!N41</f>
        <v>0</v>
      </c>
      <c r="O41" s="15">
        <f t="shared" si="0"/>
        <v>180.28571428571425</v>
      </c>
      <c r="P41" s="15">
        <f t="shared" si="1"/>
        <v>420.57142857142856</v>
      </c>
      <c r="R41" s="5" t="s">
        <v>180</v>
      </c>
      <c r="S41" s="16">
        <f>SUM(S10:S33)</f>
        <v>6372.0714285714284</v>
      </c>
      <c r="T41" s="16">
        <f t="shared" ref="T41:AD41" si="40">SUM(T10:T33)</f>
        <v>1206.7142857142858</v>
      </c>
      <c r="U41" s="16">
        <f t="shared" si="40"/>
        <v>846.57142857142867</v>
      </c>
      <c r="V41" s="16">
        <f t="shared" si="40"/>
        <v>6416.5000000000009</v>
      </c>
      <c r="W41" s="16">
        <f t="shared" si="40"/>
        <v>239.35714285714283</v>
      </c>
      <c r="X41" s="16">
        <f t="shared" si="40"/>
        <v>287.85714285714283</v>
      </c>
      <c r="Y41" s="16">
        <f t="shared" si="40"/>
        <v>475</v>
      </c>
      <c r="Z41" s="16">
        <f t="shared" si="40"/>
        <v>330.78571428571428</v>
      </c>
      <c r="AA41" s="16">
        <f t="shared" si="40"/>
        <v>99.642857142857139</v>
      </c>
      <c r="AB41" s="16">
        <f t="shared" si="40"/>
        <v>111.71428571428572</v>
      </c>
      <c r="AC41" s="16">
        <f t="shared" si="40"/>
        <v>24022.642857142855</v>
      </c>
      <c r="AD41" s="16">
        <f t="shared" si="40"/>
        <v>1.4285714285714286</v>
      </c>
      <c r="AE41" s="32">
        <f>SUM(AE10:AE33)</f>
        <v>16387.642857142855</v>
      </c>
      <c r="AF41" s="32">
        <f>SUM(AF10:AF33)</f>
        <v>40410.28571428571</v>
      </c>
    </row>
    <row r="42" spans="2:32" ht="23.1" customHeight="1" x14ac:dyDescent="0.25">
      <c r="B42" s="24" t="s">
        <v>69</v>
      </c>
      <c r="C42" s="49">
        <f>'Avg Week Nateete-Rubaga'!C42+'Avg Week Rubaga-Nateete'!C42</f>
        <v>61</v>
      </c>
      <c r="D42" s="49">
        <f>'Avg Week Nateete-Rubaga'!D42+'Avg Week Rubaga-Nateete'!D42</f>
        <v>10.857142857142858</v>
      </c>
      <c r="E42" s="49">
        <f>'Avg Week Nateete-Rubaga'!E42+'Avg Week Rubaga-Nateete'!E42</f>
        <v>11.571428571428571</v>
      </c>
      <c r="F42" s="49">
        <f>'Avg Week Nateete-Rubaga'!F42+'Avg Week Rubaga-Nateete'!F42</f>
        <v>66.857142857142861</v>
      </c>
      <c r="G42" s="49">
        <f>'Avg Week Nateete-Rubaga'!G42+'Avg Week Rubaga-Nateete'!G42</f>
        <v>1.7142857142857142</v>
      </c>
      <c r="H42" s="49">
        <f>'Avg Week Nateete-Rubaga'!H42+'Avg Week Rubaga-Nateete'!H42</f>
        <v>2.4285714285714288</v>
      </c>
      <c r="I42" s="49">
        <f>'Avg Week Nateete-Rubaga'!I42+'Avg Week Rubaga-Nateete'!I42</f>
        <v>7</v>
      </c>
      <c r="J42" s="49">
        <f>'Avg Week Nateete-Rubaga'!J42+'Avg Week Rubaga-Nateete'!J42</f>
        <v>3.2857142857142856</v>
      </c>
      <c r="K42" s="49">
        <f>'Avg Week Nateete-Rubaga'!K42+'Avg Week Rubaga-Nateete'!K42</f>
        <v>0.5714285714285714</v>
      </c>
      <c r="L42" s="49">
        <f>'Avg Week Nateete-Rubaga'!L42+'Avg Week Rubaga-Nateete'!L42</f>
        <v>0.14285714285714285</v>
      </c>
      <c r="M42" s="49">
        <f>'Avg Week Nateete-Rubaga'!M42+'Avg Week Rubaga-Nateete'!M42</f>
        <v>232.14285714285714</v>
      </c>
      <c r="N42" s="49">
        <f>'Avg Week Nateete-Rubaga'!N42+'Avg Week Rubaga-Nateete'!N42</f>
        <v>0</v>
      </c>
      <c r="O42" s="15">
        <f t="shared" si="0"/>
        <v>165.42857142857142</v>
      </c>
      <c r="P42" s="15">
        <f t="shared" si="1"/>
        <v>397.57142857142856</v>
      </c>
      <c r="R42" s="5" t="s">
        <v>160</v>
      </c>
      <c r="S42" s="48">
        <f>S41/S40</f>
        <v>1.8007468712151797</v>
      </c>
      <c r="T42" s="48">
        <f t="shared" ref="T42:AF42" si="41">T41/T40</f>
        <v>1.8982022471910112</v>
      </c>
      <c r="U42" s="48">
        <f t="shared" si="41"/>
        <v>1.846105919003115</v>
      </c>
      <c r="V42" s="48">
        <f t="shared" si="41"/>
        <v>1.5122554796134808</v>
      </c>
      <c r="W42" s="48">
        <f t="shared" si="41"/>
        <v>1.7618296529968456</v>
      </c>
      <c r="X42" s="48">
        <f t="shared" si="41"/>
        <v>2.2871736662883086</v>
      </c>
      <c r="Y42" s="48">
        <f t="shared" si="41"/>
        <v>1.6323024054982818</v>
      </c>
      <c r="Z42" s="48">
        <f t="shared" si="41"/>
        <v>1.8146551724137931</v>
      </c>
      <c r="AA42" s="48">
        <f t="shared" si="41"/>
        <v>4.5000000000000018</v>
      </c>
      <c r="AB42" s="48">
        <f t="shared" si="41"/>
        <v>5.666666666666667</v>
      </c>
      <c r="AC42" s="48">
        <f t="shared" si="41"/>
        <v>1.4980312330182712</v>
      </c>
      <c r="AD42" s="48">
        <f t="shared" si="41"/>
        <v>1</v>
      </c>
      <c r="AE42" s="51">
        <f t="shared" si="41"/>
        <v>1.6974725876381715</v>
      </c>
      <c r="AF42" s="51">
        <f t="shared" si="41"/>
        <v>1.5729792250544954</v>
      </c>
    </row>
    <row r="43" spans="2:32" ht="23.1" customHeight="1" x14ac:dyDescent="0.25">
      <c r="B43" s="23" t="s">
        <v>70</v>
      </c>
      <c r="C43" s="49">
        <f>'Avg Week Nateete-Rubaga'!C43+'Avg Week Rubaga-Nateete'!C43</f>
        <v>72</v>
      </c>
      <c r="D43" s="49">
        <f>'Avg Week Nateete-Rubaga'!D43+'Avg Week Rubaga-Nateete'!D43</f>
        <v>10.428571428571429</v>
      </c>
      <c r="E43" s="49">
        <f>'Avg Week Nateete-Rubaga'!E43+'Avg Week Rubaga-Nateete'!E43</f>
        <v>10.142857142857142</v>
      </c>
      <c r="F43" s="49">
        <f>'Avg Week Nateete-Rubaga'!F43+'Avg Week Rubaga-Nateete'!F43</f>
        <v>67.714285714285722</v>
      </c>
      <c r="G43" s="49">
        <f>'Avg Week Nateete-Rubaga'!G43+'Avg Week Rubaga-Nateete'!G43</f>
        <v>1.8571428571428572</v>
      </c>
      <c r="H43" s="49">
        <f>'Avg Week Nateete-Rubaga'!H43+'Avg Week Rubaga-Nateete'!H43</f>
        <v>2.7142857142857144</v>
      </c>
      <c r="I43" s="49">
        <f>'Avg Week Nateete-Rubaga'!I43+'Avg Week Rubaga-Nateete'!I43</f>
        <v>5.4285714285714288</v>
      </c>
      <c r="J43" s="49">
        <f>'Avg Week Nateete-Rubaga'!J43+'Avg Week Rubaga-Nateete'!J43</f>
        <v>4</v>
      </c>
      <c r="K43" s="49">
        <f>'Avg Week Nateete-Rubaga'!K43+'Avg Week Rubaga-Nateete'!K43</f>
        <v>0.14285714285714285</v>
      </c>
      <c r="L43" s="49">
        <f>'Avg Week Nateete-Rubaga'!L43+'Avg Week Rubaga-Nateete'!L43</f>
        <v>0.42857142857142855</v>
      </c>
      <c r="M43" s="49">
        <f>'Avg Week Nateete-Rubaga'!M43+'Avg Week Rubaga-Nateete'!M43</f>
        <v>190.42857142857144</v>
      </c>
      <c r="N43" s="49">
        <f>'Avg Week Nateete-Rubaga'!N43+'Avg Week Rubaga-Nateete'!N43</f>
        <v>0</v>
      </c>
      <c r="O43" s="15">
        <f t="shared" si="0"/>
        <v>174.85714285714283</v>
      </c>
      <c r="P43" s="15">
        <f t="shared" si="1"/>
        <v>365.28571428571428</v>
      </c>
    </row>
    <row r="44" spans="2:32" ht="23.1" customHeight="1" x14ac:dyDescent="0.25">
      <c r="B44" s="25" t="s">
        <v>71</v>
      </c>
      <c r="C44" s="49">
        <f>'Avg Week Nateete-Rubaga'!C44+'Avg Week Rubaga-Nateete'!C44</f>
        <v>61.142857142857146</v>
      </c>
      <c r="D44" s="49">
        <f>'Avg Week Nateete-Rubaga'!D44+'Avg Week Rubaga-Nateete'!D44</f>
        <v>13.285714285714285</v>
      </c>
      <c r="E44" s="49">
        <f>'Avg Week Nateete-Rubaga'!E44+'Avg Week Rubaga-Nateete'!E44</f>
        <v>7.4285714285714288</v>
      </c>
      <c r="F44" s="49">
        <f>'Avg Week Nateete-Rubaga'!F44+'Avg Week Rubaga-Nateete'!F44</f>
        <v>64.428571428571431</v>
      </c>
      <c r="G44" s="49">
        <f>'Avg Week Nateete-Rubaga'!G44+'Avg Week Rubaga-Nateete'!G44</f>
        <v>1.2857142857142856</v>
      </c>
      <c r="H44" s="49">
        <f>'Avg Week Nateete-Rubaga'!H44+'Avg Week Rubaga-Nateete'!H44</f>
        <v>2.2857142857142856</v>
      </c>
      <c r="I44" s="49">
        <f>'Avg Week Nateete-Rubaga'!I44+'Avg Week Rubaga-Nateete'!I44</f>
        <v>6</v>
      </c>
      <c r="J44" s="49">
        <f>'Avg Week Nateete-Rubaga'!J44+'Avg Week Rubaga-Nateete'!J44</f>
        <v>3</v>
      </c>
      <c r="K44" s="49">
        <f>'Avg Week Nateete-Rubaga'!K44+'Avg Week Rubaga-Nateete'!K44</f>
        <v>0</v>
      </c>
      <c r="L44" s="49">
        <f>'Avg Week Nateete-Rubaga'!L44+'Avg Week Rubaga-Nateete'!L44</f>
        <v>0.71428571428571419</v>
      </c>
      <c r="M44" s="49">
        <f>'Avg Week Nateete-Rubaga'!M44+'Avg Week Rubaga-Nateete'!M44</f>
        <v>213.14285714285717</v>
      </c>
      <c r="N44" s="49">
        <f>'Avg Week Nateete-Rubaga'!N44+'Avg Week Rubaga-Nateete'!N44</f>
        <v>0</v>
      </c>
      <c r="O44" s="15">
        <f t="shared" si="0"/>
        <v>159.57142857142856</v>
      </c>
      <c r="P44" s="15">
        <f t="shared" si="1"/>
        <v>372.71428571428572</v>
      </c>
    </row>
    <row r="45" spans="2:32" ht="23.1" customHeight="1" x14ac:dyDescent="0.25">
      <c r="B45" s="23" t="s">
        <v>72</v>
      </c>
      <c r="C45" s="49">
        <f>'Avg Week Nateete-Rubaga'!C45+'Avg Week Rubaga-Nateete'!C45</f>
        <v>61.857142857142861</v>
      </c>
      <c r="D45" s="49">
        <f>'Avg Week Nateete-Rubaga'!D45+'Avg Week Rubaga-Nateete'!D45</f>
        <v>17.571428571428569</v>
      </c>
      <c r="E45" s="49">
        <f>'Avg Week Nateete-Rubaga'!E45+'Avg Week Rubaga-Nateete'!E45</f>
        <v>9</v>
      </c>
      <c r="F45" s="49">
        <f>'Avg Week Nateete-Rubaga'!F45+'Avg Week Rubaga-Nateete'!F45</f>
        <v>61.142857142857146</v>
      </c>
      <c r="G45" s="49">
        <f>'Avg Week Nateete-Rubaga'!G45+'Avg Week Rubaga-Nateete'!G45</f>
        <v>1.5714285714285714</v>
      </c>
      <c r="H45" s="49">
        <f>'Avg Week Nateete-Rubaga'!H45+'Avg Week Rubaga-Nateete'!H45</f>
        <v>2.2857142857142856</v>
      </c>
      <c r="I45" s="49">
        <f>'Avg Week Nateete-Rubaga'!I45+'Avg Week Rubaga-Nateete'!I45</f>
        <v>4.8571428571428568</v>
      </c>
      <c r="J45" s="49">
        <f>'Avg Week Nateete-Rubaga'!J45+'Avg Week Rubaga-Nateete'!J45</f>
        <v>3.7142857142857144</v>
      </c>
      <c r="K45" s="49">
        <f>'Avg Week Nateete-Rubaga'!K45+'Avg Week Rubaga-Nateete'!K45</f>
        <v>0.5714285714285714</v>
      </c>
      <c r="L45" s="49">
        <f>'Avg Week Nateete-Rubaga'!L45+'Avg Week Rubaga-Nateete'!L45</f>
        <v>0.71428571428571419</v>
      </c>
      <c r="M45" s="49">
        <f>'Avg Week Nateete-Rubaga'!M45+'Avg Week Rubaga-Nateete'!M45</f>
        <v>224.85714285714286</v>
      </c>
      <c r="N45" s="49">
        <f>'Avg Week Nateete-Rubaga'!N45+'Avg Week Rubaga-Nateete'!N45</f>
        <v>0</v>
      </c>
      <c r="O45" s="15">
        <f t="shared" si="0"/>
        <v>163.28571428571433</v>
      </c>
      <c r="P45" s="15">
        <f t="shared" si="1"/>
        <v>388.14285714285722</v>
      </c>
    </row>
    <row r="46" spans="2:32" ht="23.1" customHeight="1" x14ac:dyDescent="0.25">
      <c r="B46" s="24" t="s">
        <v>73</v>
      </c>
      <c r="C46" s="49">
        <f>'Avg Week Nateete-Rubaga'!C46+'Avg Week Rubaga-Nateete'!C46</f>
        <v>73.857142857142861</v>
      </c>
      <c r="D46" s="49">
        <f>'Avg Week Nateete-Rubaga'!D46+'Avg Week Rubaga-Nateete'!D46</f>
        <v>12.714285714285714</v>
      </c>
      <c r="E46" s="49">
        <f>'Avg Week Nateete-Rubaga'!E46+'Avg Week Rubaga-Nateete'!E46</f>
        <v>9.1428571428571423</v>
      </c>
      <c r="F46" s="49">
        <f>'Avg Week Nateete-Rubaga'!F46+'Avg Week Rubaga-Nateete'!F46</f>
        <v>86.857142857142861</v>
      </c>
      <c r="G46" s="49">
        <f>'Avg Week Nateete-Rubaga'!G46+'Avg Week Rubaga-Nateete'!G46</f>
        <v>2</v>
      </c>
      <c r="H46" s="49">
        <f>'Avg Week Nateete-Rubaga'!H46+'Avg Week Rubaga-Nateete'!H46</f>
        <v>3.5714285714285712</v>
      </c>
      <c r="I46" s="49">
        <f>'Avg Week Nateete-Rubaga'!I46+'Avg Week Rubaga-Nateete'!I46</f>
        <v>5.7142857142857135</v>
      </c>
      <c r="J46" s="49">
        <f>'Avg Week Nateete-Rubaga'!J46+'Avg Week Rubaga-Nateete'!J46</f>
        <v>3.8571428571428572</v>
      </c>
      <c r="K46" s="49">
        <f>'Avg Week Nateete-Rubaga'!K46+'Avg Week Rubaga-Nateete'!K46</f>
        <v>1</v>
      </c>
      <c r="L46" s="49">
        <f>'Avg Week Nateete-Rubaga'!L46+'Avg Week Rubaga-Nateete'!L46</f>
        <v>0.5714285714285714</v>
      </c>
      <c r="M46" s="49">
        <f>'Avg Week Nateete-Rubaga'!M46+'Avg Week Rubaga-Nateete'!M46</f>
        <v>264.71428571428572</v>
      </c>
      <c r="N46" s="49">
        <f>'Avg Week Nateete-Rubaga'!N46+'Avg Week Rubaga-Nateete'!N46</f>
        <v>0</v>
      </c>
      <c r="O46" s="15">
        <f t="shared" si="0"/>
        <v>199.28571428571431</v>
      </c>
      <c r="P46" s="15">
        <f t="shared" si="1"/>
        <v>464</v>
      </c>
      <c r="R46" s="8"/>
      <c r="T46"/>
    </row>
    <row r="47" spans="2:32" ht="23.1" customHeight="1" x14ac:dyDescent="0.25">
      <c r="B47" s="24" t="s">
        <v>74</v>
      </c>
      <c r="C47" s="49">
        <f>'Avg Week Nateete-Rubaga'!C47+'Avg Week Rubaga-Nateete'!C47</f>
        <v>67.714285714285708</v>
      </c>
      <c r="D47" s="49">
        <f>'Avg Week Nateete-Rubaga'!D47+'Avg Week Rubaga-Nateete'!D47</f>
        <v>10</v>
      </c>
      <c r="E47" s="49">
        <f>'Avg Week Nateete-Rubaga'!E47+'Avg Week Rubaga-Nateete'!E47</f>
        <v>6.2857142857142865</v>
      </c>
      <c r="F47" s="49">
        <f>'Avg Week Nateete-Rubaga'!F47+'Avg Week Rubaga-Nateete'!F47</f>
        <v>79.285714285714292</v>
      </c>
      <c r="G47" s="49">
        <f>'Avg Week Nateete-Rubaga'!G47+'Avg Week Rubaga-Nateete'!G47</f>
        <v>1.5714285714285714</v>
      </c>
      <c r="H47" s="49">
        <f>'Avg Week Nateete-Rubaga'!H47+'Avg Week Rubaga-Nateete'!H47</f>
        <v>2.2857142857142856</v>
      </c>
      <c r="I47" s="49">
        <f>'Avg Week Nateete-Rubaga'!I47+'Avg Week Rubaga-Nateete'!I47</f>
        <v>6.7142857142857135</v>
      </c>
      <c r="J47" s="49">
        <f>'Avg Week Nateete-Rubaga'!J47+'Avg Week Rubaga-Nateete'!J47</f>
        <v>4.2857142857142856</v>
      </c>
      <c r="K47" s="49">
        <f>'Avg Week Nateete-Rubaga'!K47+'Avg Week Rubaga-Nateete'!K47</f>
        <v>0.42857142857142855</v>
      </c>
      <c r="L47" s="49">
        <f>'Avg Week Nateete-Rubaga'!L47+'Avg Week Rubaga-Nateete'!L47</f>
        <v>0.14285714285714285</v>
      </c>
      <c r="M47" s="49">
        <f>'Avg Week Nateete-Rubaga'!M47+'Avg Week Rubaga-Nateete'!M47</f>
        <v>251.14285714285717</v>
      </c>
      <c r="N47" s="49">
        <f>'Avg Week Nateete-Rubaga'!N47+'Avg Week Rubaga-Nateete'!N47</f>
        <v>0</v>
      </c>
      <c r="O47" s="15">
        <f t="shared" si="0"/>
        <v>178.71428571428569</v>
      </c>
      <c r="P47" s="15">
        <f t="shared" si="1"/>
        <v>429.85714285714289</v>
      </c>
      <c r="R47" s="8"/>
      <c r="T47"/>
    </row>
    <row r="48" spans="2:32" ht="23.1" customHeight="1" x14ac:dyDescent="0.25">
      <c r="B48" s="24" t="s">
        <v>75</v>
      </c>
      <c r="C48" s="49">
        <f>'Avg Week Nateete-Rubaga'!C48+'Avg Week Rubaga-Nateete'!C48</f>
        <v>83.142857142857139</v>
      </c>
      <c r="D48" s="49">
        <f>'Avg Week Nateete-Rubaga'!D48+'Avg Week Rubaga-Nateete'!D48</f>
        <v>14.285714285714285</v>
      </c>
      <c r="E48" s="49">
        <f>'Avg Week Nateete-Rubaga'!E48+'Avg Week Rubaga-Nateete'!E48</f>
        <v>9.428571428571427</v>
      </c>
      <c r="F48" s="49">
        <f>'Avg Week Nateete-Rubaga'!F48+'Avg Week Rubaga-Nateete'!F48</f>
        <v>85.285714285714278</v>
      </c>
      <c r="G48" s="49">
        <f>'Avg Week Nateete-Rubaga'!G48+'Avg Week Rubaga-Nateete'!G48</f>
        <v>2.2857142857142856</v>
      </c>
      <c r="H48" s="49">
        <f>'Avg Week Nateete-Rubaga'!H48+'Avg Week Rubaga-Nateete'!H48</f>
        <v>3.5714285714285712</v>
      </c>
      <c r="I48" s="49">
        <f>'Avg Week Nateete-Rubaga'!I48+'Avg Week Rubaga-Nateete'!I48</f>
        <v>5.5714285714285712</v>
      </c>
      <c r="J48" s="49">
        <f>'Avg Week Nateete-Rubaga'!J48+'Avg Week Rubaga-Nateete'!J48</f>
        <v>3.8571428571428577</v>
      </c>
      <c r="K48" s="49">
        <f>'Avg Week Nateete-Rubaga'!K48+'Avg Week Rubaga-Nateete'!K48</f>
        <v>0.71428571428571419</v>
      </c>
      <c r="L48" s="49">
        <f>'Avg Week Nateete-Rubaga'!L48+'Avg Week Rubaga-Nateete'!L48</f>
        <v>0.42857142857142855</v>
      </c>
      <c r="M48" s="49">
        <f>'Avg Week Nateete-Rubaga'!M48+'Avg Week Rubaga-Nateete'!M48</f>
        <v>269.28571428571428</v>
      </c>
      <c r="N48" s="49">
        <f>'Avg Week Nateete-Rubaga'!N48+'Avg Week Rubaga-Nateete'!N48</f>
        <v>0</v>
      </c>
      <c r="O48" s="15">
        <f t="shared" si="0"/>
        <v>208.57142857142856</v>
      </c>
      <c r="P48" s="15">
        <f t="shared" si="1"/>
        <v>477.85714285714283</v>
      </c>
      <c r="R48" s="8"/>
      <c r="T48"/>
    </row>
    <row r="49" spans="2:20" ht="23.1" customHeight="1" x14ac:dyDescent="0.25">
      <c r="B49" s="23" t="s">
        <v>76</v>
      </c>
      <c r="C49" s="49">
        <f>'Avg Week Nateete-Rubaga'!C49+'Avg Week Rubaga-Nateete'!C49</f>
        <v>83.857142857142861</v>
      </c>
      <c r="D49" s="49">
        <f>'Avg Week Nateete-Rubaga'!D49+'Avg Week Rubaga-Nateete'!D49</f>
        <v>12.857142857142858</v>
      </c>
      <c r="E49" s="49">
        <f>'Avg Week Nateete-Rubaga'!E49+'Avg Week Rubaga-Nateete'!E49</f>
        <v>8.8571428571428577</v>
      </c>
      <c r="F49" s="49">
        <f>'Avg Week Nateete-Rubaga'!F49+'Avg Week Rubaga-Nateete'!F49</f>
        <v>87.857142857142861</v>
      </c>
      <c r="G49" s="49">
        <f>'Avg Week Nateete-Rubaga'!G49+'Avg Week Rubaga-Nateete'!G49</f>
        <v>1.7142857142857144</v>
      </c>
      <c r="H49" s="49">
        <f>'Avg Week Nateete-Rubaga'!H49+'Avg Week Rubaga-Nateete'!H49</f>
        <v>3.2857142857142856</v>
      </c>
      <c r="I49" s="49">
        <f>'Avg Week Nateete-Rubaga'!I49+'Avg Week Rubaga-Nateete'!I49</f>
        <v>6.4285714285714288</v>
      </c>
      <c r="J49" s="49">
        <f>'Avg Week Nateete-Rubaga'!J49+'Avg Week Rubaga-Nateete'!J49</f>
        <v>2.7142857142857144</v>
      </c>
      <c r="K49" s="49">
        <f>'Avg Week Nateete-Rubaga'!K49+'Avg Week Rubaga-Nateete'!K49</f>
        <v>0.42857142857142855</v>
      </c>
      <c r="L49" s="49">
        <f>'Avg Week Nateete-Rubaga'!L49+'Avg Week Rubaga-Nateete'!L49</f>
        <v>1</v>
      </c>
      <c r="M49" s="49">
        <f>'Avg Week Nateete-Rubaga'!M49+'Avg Week Rubaga-Nateete'!M49</f>
        <v>251.85714285714286</v>
      </c>
      <c r="N49" s="49">
        <f>'Avg Week Nateete-Rubaga'!N49+'Avg Week Rubaga-Nateete'!N49</f>
        <v>0</v>
      </c>
      <c r="O49" s="15">
        <f t="shared" si="0"/>
        <v>209</v>
      </c>
      <c r="P49" s="15">
        <f t="shared" si="1"/>
        <v>460.85714285714289</v>
      </c>
      <c r="R49" s="8"/>
      <c r="T49"/>
    </row>
    <row r="50" spans="2:20" ht="23.1" customHeight="1" x14ac:dyDescent="0.25">
      <c r="B50" s="24" t="s">
        <v>77</v>
      </c>
      <c r="C50" s="49">
        <f>'Avg Week Nateete-Rubaga'!C50+'Avg Week Rubaga-Nateete'!C50</f>
        <v>90.142857142857139</v>
      </c>
      <c r="D50" s="49">
        <f>'Avg Week Nateete-Rubaga'!D50+'Avg Week Rubaga-Nateete'!D50</f>
        <v>13.142857142857142</v>
      </c>
      <c r="E50" s="49">
        <f>'Avg Week Nateete-Rubaga'!E50+'Avg Week Rubaga-Nateete'!E50</f>
        <v>9.2857142857142847</v>
      </c>
      <c r="F50" s="49">
        <f>'Avg Week Nateete-Rubaga'!F50+'Avg Week Rubaga-Nateete'!F50</f>
        <v>82.714285714285722</v>
      </c>
      <c r="G50" s="49">
        <f>'Avg Week Nateete-Rubaga'!G50+'Avg Week Rubaga-Nateete'!G50</f>
        <v>2.5714285714285712</v>
      </c>
      <c r="H50" s="49">
        <f>'Avg Week Nateete-Rubaga'!H50+'Avg Week Rubaga-Nateete'!H50</f>
        <v>3.2857142857142856</v>
      </c>
      <c r="I50" s="49">
        <f>'Avg Week Nateete-Rubaga'!I50+'Avg Week Rubaga-Nateete'!I50</f>
        <v>8.1428571428571423</v>
      </c>
      <c r="J50" s="49">
        <f>'Avg Week Nateete-Rubaga'!J50+'Avg Week Rubaga-Nateete'!J50</f>
        <v>3.2857142857142856</v>
      </c>
      <c r="K50" s="49">
        <f>'Avg Week Nateete-Rubaga'!K50+'Avg Week Rubaga-Nateete'!K50</f>
        <v>0.5714285714285714</v>
      </c>
      <c r="L50" s="49">
        <f>'Avg Week Nateete-Rubaga'!L50+'Avg Week Rubaga-Nateete'!L50</f>
        <v>0.7142857142857143</v>
      </c>
      <c r="M50" s="49">
        <f>'Avg Week Nateete-Rubaga'!M50+'Avg Week Rubaga-Nateete'!M50</f>
        <v>287.71428571428572</v>
      </c>
      <c r="N50" s="49">
        <f>'Avg Week Nateete-Rubaga'!N50+'Avg Week Rubaga-Nateete'!N50</f>
        <v>0</v>
      </c>
      <c r="O50" s="15">
        <f t="shared" si="0"/>
        <v>213.85714285714286</v>
      </c>
      <c r="P50" s="15">
        <f t="shared" si="1"/>
        <v>501.57142857142856</v>
      </c>
      <c r="R50" s="8"/>
      <c r="T50"/>
    </row>
    <row r="51" spans="2:20" ht="23.1" customHeight="1" x14ac:dyDescent="0.25">
      <c r="B51" s="24" t="s">
        <v>78</v>
      </c>
      <c r="C51" s="49">
        <f>'Avg Week Nateete-Rubaga'!C51+'Avg Week Rubaga-Nateete'!C51</f>
        <v>85.714285714285708</v>
      </c>
      <c r="D51" s="49">
        <f>'Avg Week Nateete-Rubaga'!D51+'Avg Week Rubaga-Nateete'!D51</f>
        <v>13.428571428571429</v>
      </c>
      <c r="E51" s="49">
        <f>'Avg Week Nateete-Rubaga'!E51+'Avg Week Rubaga-Nateete'!E51</f>
        <v>10</v>
      </c>
      <c r="F51" s="49">
        <f>'Avg Week Nateete-Rubaga'!F51+'Avg Week Rubaga-Nateete'!F51</f>
        <v>96.857142857142861</v>
      </c>
      <c r="G51" s="49">
        <f>'Avg Week Nateete-Rubaga'!G51+'Avg Week Rubaga-Nateete'!G51</f>
        <v>2.7142857142857144</v>
      </c>
      <c r="H51" s="49">
        <f>'Avg Week Nateete-Rubaga'!H51+'Avg Week Rubaga-Nateete'!H51</f>
        <v>3.4285714285714284</v>
      </c>
      <c r="I51" s="49">
        <f>'Avg Week Nateete-Rubaga'!I51+'Avg Week Rubaga-Nateete'!I51</f>
        <v>6</v>
      </c>
      <c r="J51" s="49">
        <f>'Avg Week Nateete-Rubaga'!J51+'Avg Week Rubaga-Nateete'!J51</f>
        <v>3.4285714285714284</v>
      </c>
      <c r="K51" s="49">
        <f>'Avg Week Nateete-Rubaga'!K51+'Avg Week Rubaga-Nateete'!K51</f>
        <v>0.14285714285714285</v>
      </c>
      <c r="L51" s="49">
        <f>'Avg Week Nateete-Rubaga'!L51+'Avg Week Rubaga-Nateete'!L51</f>
        <v>0.42857142857142855</v>
      </c>
      <c r="M51" s="49">
        <f>'Avg Week Nateete-Rubaga'!M51+'Avg Week Rubaga-Nateete'!M51</f>
        <v>284.14285714285717</v>
      </c>
      <c r="N51" s="49">
        <f>'Avg Week Nateete-Rubaga'!N51+'Avg Week Rubaga-Nateete'!N51</f>
        <v>0</v>
      </c>
      <c r="O51" s="15">
        <f t="shared" si="0"/>
        <v>222.14285714285711</v>
      </c>
      <c r="P51" s="15">
        <f t="shared" si="1"/>
        <v>506.28571428571428</v>
      </c>
      <c r="R51" s="8"/>
      <c r="T51"/>
    </row>
    <row r="52" spans="2:20" ht="23.1" customHeight="1" x14ac:dyDescent="0.25">
      <c r="B52" s="24" t="s">
        <v>79</v>
      </c>
      <c r="C52" s="49">
        <f>'Avg Week Nateete-Rubaga'!C52+'Avg Week Rubaga-Nateete'!C52</f>
        <v>104.85714285714285</v>
      </c>
      <c r="D52" s="49">
        <f>'Avg Week Nateete-Rubaga'!D52+'Avg Week Rubaga-Nateete'!D52</f>
        <v>14.142857142857142</v>
      </c>
      <c r="E52" s="49">
        <f>'Avg Week Nateete-Rubaga'!E52+'Avg Week Rubaga-Nateete'!E52</f>
        <v>8.5714285714285712</v>
      </c>
      <c r="F52" s="49">
        <f>'Avg Week Nateete-Rubaga'!F52+'Avg Week Rubaga-Nateete'!F52</f>
        <v>99.142857142857139</v>
      </c>
      <c r="G52" s="49">
        <f>'Avg Week Nateete-Rubaga'!G52+'Avg Week Rubaga-Nateete'!G52</f>
        <v>1.1428571428571428</v>
      </c>
      <c r="H52" s="49">
        <f>'Avg Week Nateete-Rubaga'!H52+'Avg Week Rubaga-Nateete'!H52</f>
        <v>3.5714285714285716</v>
      </c>
      <c r="I52" s="49">
        <f>'Avg Week Nateete-Rubaga'!I52+'Avg Week Rubaga-Nateete'!I52</f>
        <v>5.4285714285714288</v>
      </c>
      <c r="J52" s="49">
        <f>'Avg Week Nateete-Rubaga'!J52+'Avg Week Rubaga-Nateete'!J52</f>
        <v>5.2857142857142865</v>
      </c>
      <c r="K52" s="49">
        <f>'Avg Week Nateete-Rubaga'!K52+'Avg Week Rubaga-Nateete'!K52</f>
        <v>0.8571428571428571</v>
      </c>
      <c r="L52" s="49">
        <f>'Avg Week Nateete-Rubaga'!L52+'Avg Week Rubaga-Nateete'!L52</f>
        <v>0.14285714285714285</v>
      </c>
      <c r="M52" s="49">
        <f>'Avg Week Nateete-Rubaga'!M52+'Avg Week Rubaga-Nateete'!M52</f>
        <v>292.42857142857144</v>
      </c>
      <c r="N52" s="49">
        <f>'Avg Week Nateete-Rubaga'!N52+'Avg Week Rubaga-Nateete'!N52</f>
        <v>0</v>
      </c>
      <c r="O52" s="15">
        <f t="shared" si="0"/>
        <v>243.14285714285711</v>
      </c>
      <c r="P52" s="15">
        <f t="shared" si="1"/>
        <v>535.57142857142856</v>
      </c>
      <c r="R52" s="8"/>
      <c r="T52"/>
    </row>
    <row r="53" spans="2:20" ht="23.1" customHeight="1" x14ac:dyDescent="0.25">
      <c r="B53" s="23" t="s">
        <v>80</v>
      </c>
      <c r="C53" s="49">
        <f>'Avg Week Nateete-Rubaga'!C53+'Avg Week Rubaga-Nateete'!C53</f>
        <v>118</v>
      </c>
      <c r="D53" s="49">
        <f>'Avg Week Nateete-Rubaga'!D53+'Avg Week Rubaga-Nateete'!D53</f>
        <v>9.7142857142857135</v>
      </c>
      <c r="E53" s="49">
        <f>'Avg Week Nateete-Rubaga'!E53+'Avg Week Rubaga-Nateete'!E53</f>
        <v>7</v>
      </c>
      <c r="F53" s="49">
        <f>'Avg Week Nateete-Rubaga'!F53+'Avg Week Rubaga-Nateete'!F53</f>
        <v>106.14285714285714</v>
      </c>
      <c r="G53" s="49">
        <f>'Avg Week Nateete-Rubaga'!G53+'Avg Week Rubaga-Nateete'!G53</f>
        <v>3.2857142857142856</v>
      </c>
      <c r="H53" s="49">
        <f>'Avg Week Nateete-Rubaga'!H53+'Avg Week Rubaga-Nateete'!H53</f>
        <v>2.7142857142857144</v>
      </c>
      <c r="I53" s="49">
        <f>'Avg Week Nateete-Rubaga'!I53+'Avg Week Rubaga-Nateete'!I53</f>
        <v>10</v>
      </c>
      <c r="J53" s="49">
        <f>'Avg Week Nateete-Rubaga'!J53+'Avg Week Rubaga-Nateete'!J53</f>
        <v>4.2857142857142856</v>
      </c>
      <c r="K53" s="49">
        <f>'Avg Week Nateete-Rubaga'!K53+'Avg Week Rubaga-Nateete'!K53</f>
        <v>0.71428571428571419</v>
      </c>
      <c r="L53" s="49">
        <f>'Avg Week Nateete-Rubaga'!L53+'Avg Week Rubaga-Nateete'!L53</f>
        <v>0.42857142857142855</v>
      </c>
      <c r="M53" s="49">
        <f>'Avg Week Nateete-Rubaga'!M53+'Avg Week Rubaga-Nateete'!M53</f>
        <v>301</v>
      </c>
      <c r="N53" s="49">
        <f>'Avg Week Nateete-Rubaga'!N53+'Avg Week Rubaga-Nateete'!N53</f>
        <v>0</v>
      </c>
      <c r="O53" s="15">
        <f t="shared" si="0"/>
        <v>262.28571428571433</v>
      </c>
      <c r="P53" s="15">
        <f t="shared" si="1"/>
        <v>563.28571428571433</v>
      </c>
      <c r="R53" s="8"/>
      <c r="T53"/>
    </row>
    <row r="54" spans="2:20" ht="23.1" customHeight="1" x14ac:dyDescent="0.25">
      <c r="B54" s="23" t="s">
        <v>81</v>
      </c>
      <c r="C54" s="49">
        <f>'Avg Week Nateete-Rubaga'!C54+'Avg Week Rubaga-Nateete'!C54</f>
        <v>107.71428571428572</v>
      </c>
      <c r="D54" s="49">
        <f>'Avg Week Nateete-Rubaga'!D54+'Avg Week Rubaga-Nateete'!D54</f>
        <v>15.714285714285715</v>
      </c>
      <c r="E54" s="49">
        <f>'Avg Week Nateete-Rubaga'!E54+'Avg Week Rubaga-Nateete'!E54</f>
        <v>9.5714285714285712</v>
      </c>
      <c r="F54" s="49">
        <f>'Avg Week Nateete-Rubaga'!F54+'Avg Week Rubaga-Nateete'!F54</f>
        <v>106.85714285714286</v>
      </c>
      <c r="G54" s="49">
        <f>'Avg Week Nateete-Rubaga'!G54+'Avg Week Rubaga-Nateete'!G54</f>
        <v>3.1428571428571428</v>
      </c>
      <c r="H54" s="49">
        <f>'Avg Week Nateete-Rubaga'!H54+'Avg Week Rubaga-Nateete'!H54</f>
        <v>2.4285714285714284</v>
      </c>
      <c r="I54" s="49">
        <f>'Avg Week Nateete-Rubaga'!I54+'Avg Week Rubaga-Nateete'!I54</f>
        <v>7.2857142857142856</v>
      </c>
      <c r="J54" s="49">
        <f>'Avg Week Nateete-Rubaga'!J54+'Avg Week Rubaga-Nateete'!J54</f>
        <v>3.4285714285714288</v>
      </c>
      <c r="K54" s="49">
        <f>'Avg Week Nateete-Rubaga'!K54+'Avg Week Rubaga-Nateete'!K54</f>
        <v>0.42857142857142855</v>
      </c>
      <c r="L54" s="49">
        <f>'Avg Week Nateete-Rubaga'!L54+'Avg Week Rubaga-Nateete'!L54</f>
        <v>0.71428571428571419</v>
      </c>
      <c r="M54" s="49">
        <f>'Avg Week Nateete-Rubaga'!M54+'Avg Week Rubaga-Nateete'!M54</f>
        <v>324.28571428571428</v>
      </c>
      <c r="N54" s="49">
        <f>'Avg Week Nateete-Rubaga'!N54+'Avg Week Rubaga-Nateete'!N54</f>
        <v>0</v>
      </c>
      <c r="O54" s="15">
        <f t="shared" si="0"/>
        <v>257.28571428571433</v>
      </c>
      <c r="P54" s="15">
        <f t="shared" si="1"/>
        <v>581.57142857142867</v>
      </c>
      <c r="R54" s="8"/>
      <c r="T54"/>
    </row>
    <row r="55" spans="2:20" ht="23.1" customHeight="1" x14ac:dyDescent="0.25">
      <c r="B55" s="23" t="s">
        <v>82</v>
      </c>
      <c r="C55" s="49">
        <f>'Avg Week Nateete-Rubaga'!C55+'Avg Week Rubaga-Nateete'!C55</f>
        <v>93.285714285714278</v>
      </c>
      <c r="D55" s="49">
        <f>'Avg Week Nateete-Rubaga'!D55+'Avg Week Rubaga-Nateete'!D55</f>
        <v>13.714285714285715</v>
      </c>
      <c r="E55" s="49">
        <f>'Avg Week Nateete-Rubaga'!E55+'Avg Week Rubaga-Nateete'!E55</f>
        <v>8.2857142857142847</v>
      </c>
      <c r="F55" s="49">
        <f>'Avg Week Nateete-Rubaga'!F55+'Avg Week Rubaga-Nateete'!F55</f>
        <v>97</v>
      </c>
      <c r="G55" s="49">
        <f>'Avg Week Nateete-Rubaga'!G55+'Avg Week Rubaga-Nateete'!G55</f>
        <v>1.1428571428571428</v>
      </c>
      <c r="H55" s="49">
        <f>'Avg Week Nateete-Rubaga'!H55+'Avg Week Rubaga-Nateete'!H55</f>
        <v>2.7142857142857144</v>
      </c>
      <c r="I55" s="49">
        <f>'Avg Week Nateete-Rubaga'!I55+'Avg Week Rubaga-Nateete'!I55</f>
        <v>4.2857142857142856</v>
      </c>
      <c r="J55" s="49">
        <f>'Avg Week Nateete-Rubaga'!J55+'Avg Week Rubaga-Nateete'!J55</f>
        <v>3.2857142857142856</v>
      </c>
      <c r="K55" s="49">
        <f>'Avg Week Nateete-Rubaga'!K55+'Avg Week Rubaga-Nateete'!K55</f>
        <v>0.2857142857142857</v>
      </c>
      <c r="L55" s="49">
        <f>'Avg Week Nateete-Rubaga'!L55+'Avg Week Rubaga-Nateete'!L55</f>
        <v>0.5714285714285714</v>
      </c>
      <c r="M55" s="49">
        <f>'Avg Week Nateete-Rubaga'!M55+'Avg Week Rubaga-Nateete'!M55</f>
        <v>282.42857142857144</v>
      </c>
      <c r="N55" s="49">
        <f>'Avg Week Nateete-Rubaga'!N55+'Avg Week Rubaga-Nateete'!N55</f>
        <v>0</v>
      </c>
      <c r="O55" s="15">
        <f t="shared" si="0"/>
        <v>224.57142857142856</v>
      </c>
      <c r="P55" s="15">
        <f t="shared" si="1"/>
        <v>507</v>
      </c>
      <c r="R55" s="8"/>
      <c r="T55"/>
    </row>
    <row r="56" spans="2:20" ht="23.1" customHeight="1" x14ac:dyDescent="0.25">
      <c r="B56" s="23" t="s">
        <v>83</v>
      </c>
      <c r="C56" s="49">
        <f>'Avg Week Nateete-Rubaga'!C56+'Avg Week Rubaga-Nateete'!C56</f>
        <v>97.857142857142861</v>
      </c>
      <c r="D56" s="49">
        <f>'Avg Week Nateete-Rubaga'!D56+'Avg Week Rubaga-Nateete'!D56</f>
        <v>14</v>
      </c>
      <c r="E56" s="49">
        <f>'Avg Week Nateete-Rubaga'!E56+'Avg Week Rubaga-Nateete'!E56</f>
        <v>8.4285714285714288</v>
      </c>
      <c r="F56" s="49">
        <f>'Avg Week Nateete-Rubaga'!F56+'Avg Week Rubaga-Nateete'!F56</f>
        <v>107.28571428571428</v>
      </c>
      <c r="G56" s="49">
        <f>'Avg Week Nateete-Rubaga'!G56+'Avg Week Rubaga-Nateete'!G56</f>
        <v>1.1428571428571428</v>
      </c>
      <c r="H56" s="49">
        <f>'Avg Week Nateete-Rubaga'!H56+'Avg Week Rubaga-Nateete'!H56</f>
        <v>2.2857142857142856</v>
      </c>
      <c r="I56" s="49">
        <f>'Avg Week Nateete-Rubaga'!I56+'Avg Week Rubaga-Nateete'!I56</f>
        <v>6</v>
      </c>
      <c r="J56" s="49">
        <f>'Avg Week Nateete-Rubaga'!J56+'Avg Week Rubaga-Nateete'!J56</f>
        <v>3.4285714285714288</v>
      </c>
      <c r="K56" s="49">
        <f>'Avg Week Nateete-Rubaga'!K56+'Avg Week Rubaga-Nateete'!K56</f>
        <v>0.71428571428571419</v>
      </c>
      <c r="L56" s="49">
        <f>'Avg Week Nateete-Rubaga'!L56+'Avg Week Rubaga-Nateete'!L56</f>
        <v>0.42857142857142855</v>
      </c>
      <c r="M56" s="49">
        <f>'Avg Week Nateete-Rubaga'!M56+'Avg Week Rubaga-Nateete'!M56</f>
        <v>279.14285714285717</v>
      </c>
      <c r="N56" s="49">
        <f>'Avg Week Nateete-Rubaga'!N56+'Avg Week Rubaga-Nateete'!N56</f>
        <v>0</v>
      </c>
      <c r="O56" s="15">
        <f t="shared" si="0"/>
        <v>241.57142857142853</v>
      </c>
      <c r="P56" s="15">
        <f t="shared" si="1"/>
        <v>520.71428571428567</v>
      </c>
      <c r="R56" s="8"/>
      <c r="T56"/>
    </row>
    <row r="57" spans="2:20" ht="23.1" customHeight="1" x14ac:dyDescent="0.25">
      <c r="B57" s="23" t="s">
        <v>84</v>
      </c>
      <c r="C57" s="49">
        <f>'Avg Week Nateete-Rubaga'!C57+'Avg Week Rubaga-Nateete'!C57</f>
        <v>95</v>
      </c>
      <c r="D57" s="49">
        <f>'Avg Week Nateete-Rubaga'!D57+'Avg Week Rubaga-Nateete'!D57</f>
        <v>16</v>
      </c>
      <c r="E57" s="49">
        <f>'Avg Week Nateete-Rubaga'!E57+'Avg Week Rubaga-Nateete'!E57</f>
        <v>8.571428571428573</v>
      </c>
      <c r="F57" s="49">
        <f>'Avg Week Nateete-Rubaga'!F57+'Avg Week Rubaga-Nateete'!F57</f>
        <v>99.714285714285722</v>
      </c>
      <c r="G57" s="49">
        <f>'Avg Week Nateete-Rubaga'!G57+'Avg Week Rubaga-Nateete'!G57</f>
        <v>2</v>
      </c>
      <c r="H57" s="49">
        <f>'Avg Week Nateete-Rubaga'!H57+'Avg Week Rubaga-Nateete'!H57</f>
        <v>3.4285714285714288</v>
      </c>
      <c r="I57" s="49">
        <f>'Avg Week Nateete-Rubaga'!I57+'Avg Week Rubaga-Nateete'!I57</f>
        <v>6.4285714285714288</v>
      </c>
      <c r="J57" s="49">
        <f>'Avg Week Nateete-Rubaga'!J57+'Avg Week Rubaga-Nateete'!J57</f>
        <v>3.5714285714285712</v>
      </c>
      <c r="K57" s="49">
        <f>'Avg Week Nateete-Rubaga'!K57+'Avg Week Rubaga-Nateete'!K57</f>
        <v>1.7142857142857144</v>
      </c>
      <c r="L57" s="49">
        <f>'Avg Week Nateete-Rubaga'!L57+'Avg Week Rubaga-Nateete'!L57</f>
        <v>0.2857142857142857</v>
      </c>
      <c r="M57" s="49">
        <f>'Avg Week Nateete-Rubaga'!M57+'Avg Week Rubaga-Nateete'!M57</f>
        <v>268.57142857142856</v>
      </c>
      <c r="N57" s="49">
        <f>'Avg Week Nateete-Rubaga'!N57+'Avg Week Rubaga-Nateete'!N57</f>
        <v>0</v>
      </c>
      <c r="O57" s="15">
        <f>SUM(C57:L57,N57)</f>
        <v>236.71428571428569</v>
      </c>
      <c r="P57" s="15">
        <f t="shared" si="1"/>
        <v>505.28571428571422</v>
      </c>
      <c r="R57" s="8"/>
      <c r="T57"/>
    </row>
    <row r="58" spans="2:20" ht="23.1" customHeight="1" x14ac:dyDescent="0.25">
      <c r="B58" s="23" t="s">
        <v>99</v>
      </c>
      <c r="C58" s="49">
        <f>'Avg Week Nateete-Rubaga'!C58+'Avg Week Rubaga-Nateete'!C58</f>
        <v>220</v>
      </c>
      <c r="D58" s="49">
        <f>'Avg Week Nateete-Rubaga'!D58+'Avg Week Rubaga-Nateete'!D58</f>
        <v>46</v>
      </c>
      <c r="E58" s="49">
        <f>'Avg Week Nateete-Rubaga'!E58+'Avg Week Rubaga-Nateete'!E58</f>
        <v>30.5</v>
      </c>
      <c r="F58" s="49">
        <f>'Avg Week Nateete-Rubaga'!F58+'Avg Week Rubaga-Nateete'!F58</f>
        <v>94</v>
      </c>
      <c r="G58" s="49">
        <f>'Avg Week Nateete-Rubaga'!G58+'Avg Week Rubaga-Nateete'!G58</f>
        <v>9</v>
      </c>
      <c r="H58" s="49">
        <f>'Avg Week Nateete-Rubaga'!H58+'Avg Week Rubaga-Nateete'!H58</f>
        <v>17</v>
      </c>
      <c r="I58" s="49">
        <f>'Avg Week Nateete-Rubaga'!I58+'Avg Week Rubaga-Nateete'!I58</f>
        <v>16</v>
      </c>
      <c r="J58" s="49">
        <f>'Avg Week Nateete-Rubaga'!J58+'Avg Week Rubaga-Nateete'!J58</f>
        <v>10.5</v>
      </c>
      <c r="K58" s="49">
        <f>'Avg Week Nateete-Rubaga'!K58+'Avg Week Rubaga-Nateete'!K58</f>
        <v>6.5</v>
      </c>
      <c r="L58" s="49">
        <f>'Avg Week Nateete-Rubaga'!L58+'Avg Week Rubaga-Nateete'!L58</f>
        <v>7</v>
      </c>
      <c r="M58" s="49">
        <f>'Avg Week Nateete-Rubaga'!M58+'Avg Week Rubaga-Nateete'!M58</f>
        <v>405</v>
      </c>
      <c r="N58" s="49">
        <f>'Avg Week Nateete-Rubaga'!N58+'Avg Week Rubaga-Nateete'!N58</f>
        <v>0</v>
      </c>
      <c r="O58" s="15">
        <f t="shared" ref="O58:O105" si="42">SUM(C58:L58,N58)</f>
        <v>456.5</v>
      </c>
      <c r="P58" s="15">
        <f t="shared" si="1"/>
        <v>861.5</v>
      </c>
      <c r="R58" s="8"/>
      <c r="T58"/>
    </row>
    <row r="59" spans="2:20" ht="23.1" customHeight="1" x14ac:dyDescent="0.25">
      <c r="B59" s="23" t="s">
        <v>100</v>
      </c>
      <c r="C59" s="49">
        <f>'Avg Week Nateete-Rubaga'!C59+'Avg Week Rubaga-Nateete'!C59</f>
        <v>153.5</v>
      </c>
      <c r="D59" s="49">
        <f>'Avg Week Nateete-Rubaga'!D59+'Avg Week Rubaga-Nateete'!D59</f>
        <v>15</v>
      </c>
      <c r="E59" s="49">
        <f>'Avg Week Nateete-Rubaga'!E59+'Avg Week Rubaga-Nateete'!E59</f>
        <v>16</v>
      </c>
      <c r="F59" s="49">
        <f>'Avg Week Nateete-Rubaga'!F59+'Avg Week Rubaga-Nateete'!F59</f>
        <v>140</v>
      </c>
      <c r="G59" s="49">
        <f>'Avg Week Nateete-Rubaga'!G59+'Avg Week Rubaga-Nateete'!G59</f>
        <v>2.5</v>
      </c>
      <c r="H59" s="49">
        <f>'Avg Week Nateete-Rubaga'!H59+'Avg Week Rubaga-Nateete'!H59</f>
        <v>15</v>
      </c>
      <c r="I59" s="49">
        <f>'Avg Week Nateete-Rubaga'!I59+'Avg Week Rubaga-Nateete'!I59</f>
        <v>8.5</v>
      </c>
      <c r="J59" s="49">
        <f>'Avg Week Nateete-Rubaga'!J59+'Avg Week Rubaga-Nateete'!J59</f>
        <v>4</v>
      </c>
      <c r="K59" s="49">
        <f>'Avg Week Nateete-Rubaga'!K59+'Avg Week Rubaga-Nateete'!K59</f>
        <v>2.5</v>
      </c>
      <c r="L59" s="49">
        <f>'Avg Week Nateete-Rubaga'!L59+'Avg Week Rubaga-Nateete'!L59</f>
        <v>10.5</v>
      </c>
      <c r="M59" s="49">
        <f>'Avg Week Nateete-Rubaga'!M59+'Avg Week Rubaga-Nateete'!M59</f>
        <v>351.5</v>
      </c>
      <c r="N59" s="49">
        <f>'Avg Week Nateete-Rubaga'!N59+'Avg Week Rubaga-Nateete'!N59</f>
        <v>0</v>
      </c>
      <c r="O59" s="15">
        <f t="shared" si="42"/>
        <v>367.5</v>
      </c>
      <c r="P59" s="15">
        <f t="shared" si="1"/>
        <v>719</v>
      </c>
      <c r="R59" s="8"/>
      <c r="T59"/>
    </row>
    <row r="60" spans="2:20" ht="23.1" customHeight="1" x14ac:dyDescent="0.25">
      <c r="B60" s="23" t="s">
        <v>101</v>
      </c>
      <c r="C60" s="49">
        <f>'Avg Week Nateete-Rubaga'!C60+'Avg Week Rubaga-Nateete'!C60</f>
        <v>147.5</v>
      </c>
      <c r="D60" s="49">
        <f>'Avg Week Nateete-Rubaga'!D60+'Avg Week Rubaga-Nateete'!D60</f>
        <v>50</v>
      </c>
      <c r="E60" s="49">
        <f>'Avg Week Nateete-Rubaga'!E60+'Avg Week Rubaga-Nateete'!E60</f>
        <v>51</v>
      </c>
      <c r="F60" s="49">
        <f>'Avg Week Nateete-Rubaga'!F60+'Avg Week Rubaga-Nateete'!F60</f>
        <v>132</v>
      </c>
      <c r="G60" s="49">
        <f>'Avg Week Nateete-Rubaga'!G60+'Avg Week Rubaga-Nateete'!G60</f>
        <v>9</v>
      </c>
      <c r="H60" s="49">
        <f>'Avg Week Nateete-Rubaga'!H60+'Avg Week Rubaga-Nateete'!H60</f>
        <v>7.5</v>
      </c>
      <c r="I60" s="49">
        <f>'Avg Week Nateete-Rubaga'!I60+'Avg Week Rubaga-Nateete'!I60</f>
        <v>17.5</v>
      </c>
      <c r="J60" s="49">
        <f>'Avg Week Nateete-Rubaga'!J60+'Avg Week Rubaga-Nateete'!J60</f>
        <v>22.5</v>
      </c>
      <c r="K60" s="49">
        <f>'Avg Week Nateete-Rubaga'!K60+'Avg Week Rubaga-Nateete'!K60</f>
        <v>10</v>
      </c>
      <c r="L60" s="49">
        <f>'Avg Week Nateete-Rubaga'!L60+'Avg Week Rubaga-Nateete'!L60</f>
        <v>20</v>
      </c>
      <c r="M60" s="49">
        <f>'Avg Week Nateete-Rubaga'!M60+'Avg Week Rubaga-Nateete'!M60</f>
        <v>382</v>
      </c>
      <c r="N60" s="49">
        <f>'Avg Week Nateete-Rubaga'!N60+'Avg Week Rubaga-Nateete'!N60</f>
        <v>0</v>
      </c>
      <c r="O60" s="15">
        <f t="shared" si="42"/>
        <v>467</v>
      </c>
      <c r="P60" s="15">
        <f t="shared" si="1"/>
        <v>849</v>
      </c>
      <c r="R60" s="8"/>
      <c r="T60"/>
    </row>
    <row r="61" spans="2:20" ht="23.1" customHeight="1" x14ac:dyDescent="0.25">
      <c r="B61" s="23" t="s">
        <v>102</v>
      </c>
      <c r="C61" s="49">
        <f>'Avg Week Nateete-Rubaga'!C61+'Avg Week Rubaga-Nateete'!C61</f>
        <v>143.5</v>
      </c>
      <c r="D61" s="49">
        <f>'Avg Week Nateete-Rubaga'!D61+'Avg Week Rubaga-Nateete'!D61</f>
        <v>50.5</v>
      </c>
      <c r="E61" s="49">
        <f>'Avg Week Nateete-Rubaga'!E61+'Avg Week Rubaga-Nateete'!E61</f>
        <v>41</v>
      </c>
      <c r="F61" s="49">
        <f>'Avg Week Nateete-Rubaga'!F61+'Avg Week Rubaga-Nateete'!F61</f>
        <v>116</v>
      </c>
      <c r="G61" s="49">
        <f>'Avg Week Nateete-Rubaga'!G61+'Avg Week Rubaga-Nateete'!G61</f>
        <v>14</v>
      </c>
      <c r="H61" s="49">
        <f>'Avg Week Nateete-Rubaga'!H61+'Avg Week Rubaga-Nateete'!H61</f>
        <v>8</v>
      </c>
      <c r="I61" s="49">
        <f>'Avg Week Nateete-Rubaga'!I61+'Avg Week Rubaga-Nateete'!I61</f>
        <v>6</v>
      </c>
      <c r="J61" s="49">
        <f>'Avg Week Nateete-Rubaga'!J61+'Avg Week Rubaga-Nateete'!J61</f>
        <v>20</v>
      </c>
      <c r="K61" s="49">
        <f>'Avg Week Nateete-Rubaga'!K61+'Avg Week Rubaga-Nateete'!K61</f>
        <v>15</v>
      </c>
      <c r="L61" s="49">
        <f>'Avg Week Nateete-Rubaga'!L61+'Avg Week Rubaga-Nateete'!L61</f>
        <v>7.5</v>
      </c>
      <c r="M61" s="49">
        <f>'Avg Week Nateete-Rubaga'!M61+'Avg Week Rubaga-Nateete'!M61</f>
        <v>415</v>
      </c>
      <c r="N61" s="49">
        <f>'Avg Week Nateete-Rubaga'!N61+'Avg Week Rubaga-Nateete'!N61</f>
        <v>0</v>
      </c>
      <c r="O61" s="15">
        <f t="shared" si="42"/>
        <v>421.5</v>
      </c>
      <c r="P61" s="15">
        <f t="shared" si="1"/>
        <v>836.5</v>
      </c>
      <c r="R61" s="8"/>
      <c r="T61"/>
    </row>
    <row r="62" spans="2:20" ht="23.1" customHeight="1" x14ac:dyDescent="0.25">
      <c r="B62" s="23" t="s">
        <v>107</v>
      </c>
      <c r="C62" s="49">
        <f>'Avg Week Nateete-Rubaga'!C62+'Avg Week Rubaga-Nateete'!C62</f>
        <v>110.5</v>
      </c>
      <c r="D62" s="49">
        <f>'Avg Week Nateete-Rubaga'!D62+'Avg Week Rubaga-Nateete'!D62</f>
        <v>14</v>
      </c>
      <c r="E62" s="49">
        <f>'Avg Week Nateete-Rubaga'!E62+'Avg Week Rubaga-Nateete'!E62</f>
        <v>16</v>
      </c>
      <c r="F62" s="49">
        <f>'Avg Week Nateete-Rubaga'!F62+'Avg Week Rubaga-Nateete'!F62</f>
        <v>101.5</v>
      </c>
      <c r="G62" s="49">
        <f>'Avg Week Nateete-Rubaga'!G62+'Avg Week Rubaga-Nateete'!G62</f>
        <v>3.5</v>
      </c>
      <c r="H62" s="49">
        <f>'Avg Week Nateete-Rubaga'!H62+'Avg Week Rubaga-Nateete'!H62</f>
        <v>2</v>
      </c>
      <c r="I62" s="49">
        <f>'Avg Week Nateete-Rubaga'!I62+'Avg Week Rubaga-Nateete'!I62</f>
        <v>8</v>
      </c>
      <c r="J62" s="49">
        <f>'Avg Week Nateete-Rubaga'!J62+'Avg Week Rubaga-Nateete'!J62</f>
        <v>5</v>
      </c>
      <c r="K62" s="49">
        <f>'Avg Week Nateete-Rubaga'!K62+'Avg Week Rubaga-Nateete'!K62</f>
        <v>3.5</v>
      </c>
      <c r="L62" s="49">
        <f>'Avg Week Nateete-Rubaga'!L62+'Avg Week Rubaga-Nateete'!L62</f>
        <v>4</v>
      </c>
      <c r="M62" s="49">
        <f>'Avg Week Nateete-Rubaga'!M62+'Avg Week Rubaga-Nateete'!M62</f>
        <v>417.5</v>
      </c>
      <c r="N62" s="49">
        <f>'Avg Week Nateete-Rubaga'!N62+'Avg Week Rubaga-Nateete'!N62</f>
        <v>0</v>
      </c>
      <c r="O62" s="15">
        <f t="shared" si="42"/>
        <v>268</v>
      </c>
      <c r="P62" s="15">
        <f t="shared" si="1"/>
        <v>685.5</v>
      </c>
      <c r="R62" s="8"/>
      <c r="T62"/>
    </row>
    <row r="63" spans="2:20" ht="23.1" customHeight="1" x14ac:dyDescent="0.25">
      <c r="B63" s="23" t="s">
        <v>108</v>
      </c>
      <c r="C63" s="49">
        <f>'Avg Week Nateete-Rubaga'!C63+'Avg Week Rubaga-Nateete'!C63</f>
        <v>122</v>
      </c>
      <c r="D63" s="49">
        <f>'Avg Week Nateete-Rubaga'!D63+'Avg Week Rubaga-Nateete'!D63</f>
        <v>6.5</v>
      </c>
      <c r="E63" s="49">
        <f>'Avg Week Nateete-Rubaga'!E63+'Avg Week Rubaga-Nateete'!E63</f>
        <v>10.5</v>
      </c>
      <c r="F63" s="49">
        <f>'Avg Week Nateete-Rubaga'!F63+'Avg Week Rubaga-Nateete'!F63</f>
        <v>93</v>
      </c>
      <c r="G63" s="49">
        <f>'Avg Week Nateete-Rubaga'!G63+'Avg Week Rubaga-Nateete'!G63</f>
        <v>1.5</v>
      </c>
      <c r="H63" s="49">
        <f>'Avg Week Nateete-Rubaga'!H63+'Avg Week Rubaga-Nateete'!H63</f>
        <v>3</v>
      </c>
      <c r="I63" s="49">
        <f>'Avg Week Nateete-Rubaga'!I63+'Avg Week Rubaga-Nateete'!I63</f>
        <v>4</v>
      </c>
      <c r="J63" s="49">
        <f>'Avg Week Nateete-Rubaga'!J63+'Avg Week Rubaga-Nateete'!J63</f>
        <v>4.5</v>
      </c>
      <c r="K63" s="49">
        <f>'Avg Week Nateete-Rubaga'!K63+'Avg Week Rubaga-Nateete'!K63</f>
        <v>1.5</v>
      </c>
      <c r="L63" s="49">
        <f>'Avg Week Nateete-Rubaga'!L63+'Avg Week Rubaga-Nateete'!L63</f>
        <v>0.5</v>
      </c>
      <c r="M63" s="49">
        <f>'Avg Week Nateete-Rubaga'!M63+'Avg Week Rubaga-Nateete'!M63</f>
        <v>440</v>
      </c>
      <c r="N63" s="49">
        <f>'Avg Week Nateete-Rubaga'!N63+'Avg Week Rubaga-Nateete'!N63</f>
        <v>0</v>
      </c>
      <c r="O63" s="15">
        <f t="shared" si="42"/>
        <v>247</v>
      </c>
      <c r="P63" s="15">
        <f t="shared" si="1"/>
        <v>687</v>
      </c>
      <c r="R63" s="8"/>
      <c r="T63"/>
    </row>
    <row r="64" spans="2:20" ht="23.1" customHeight="1" x14ac:dyDescent="0.25">
      <c r="B64" s="23" t="s">
        <v>109</v>
      </c>
      <c r="C64" s="49">
        <f>'Avg Week Nateete-Rubaga'!C64+'Avg Week Rubaga-Nateete'!C64</f>
        <v>148.5</v>
      </c>
      <c r="D64" s="49">
        <f>'Avg Week Nateete-Rubaga'!D64+'Avg Week Rubaga-Nateete'!D64</f>
        <v>23.5</v>
      </c>
      <c r="E64" s="49">
        <f>'Avg Week Nateete-Rubaga'!E64+'Avg Week Rubaga-Nateete'!E64</f>
        <v>17</v>
      </c>
      <c r="F64" s="49">
        <f>'Avg Week Nateete-Rubaga'!F64+'Avg Week Rubaga-Nateete'!F64</f>
        <v>70.5</v>
      </c>
      <c r="G64" s="49">
        <f>'Avg Week Nateete-Rubaga'!G64+'Avg Week Rubaga-Nateete'!G64</f>
        <v>11.5</v>
      </c>
      <c r="H64" s="49">
        <f>'Avg Week Nateete-Rubaga'!H64+'Avg Week Rubaga-Nateete'!H64</f>
        <v>4</v>
      </c>
      <c r="I64" s="49">
        <f>'Avg Week Nateete-Rubaga'!I64+'Avg Week Rubaga-Nateete'!I64</f>
        <v>6.5</v>
      </c>
      <c r="J64" s="49">
        <f>'Avg Week Nateete-Rubaga'!J64+'Avg Week Rubaga-Nateete'!J64</f>
        <v>7.5</v>
      </c>
      <c r="K64" s="49">
        <f>'Avg Week Nateete-Rubaga'!K64+'Avg Week Rubaga-Nateete'!K64</f>
        <v>0.5</v>
      </c>
      <c r="L64" s="49">
        <f>'Avg Week Nateete-Rubaga'!L64+'Avg Week Rubaga-Nateete'!L64</f>
        <v>2.5</v>
      </c>
      <c r="M64" s="49">
        <f>'Avg Week Nateete-Rubaga'!M64+'Avg Week Rubaga-Nateete'!M64</f>
        <v>393</v>
      </c>
      <c r="N64" s="49">
        <f>'Avg Week Nateete-Rubaga'!N64+'Avg Week Rubaga-Nateete'!N64</f>
        <v>0</v>
      </c>
      <c r="O64" s="15">
        <f t="shared" si="42"/>
        <v>292</v>
      </c>
      <c r="P64" s="15">
        <f t="shared" si="1"/>
        <v>685</v>
      </c>
      <c r="R64" s="8"/>
      <c r="T64"/>
    </row>
    <row r="65" spans="2:20" ht="23.1" customHeight="1" x14ac:dyDescent="0.25">
      <c r="B65" s="23" t="s">
        <v>158</v>
      </c>
      <c r="C65" s="49">
        <f>'Avg Week Nateete-Rubaga'!C65+'Avg Week Rubaga-Nateete'!C65</f>
        <v>130.5</v>
      </c>
      <c r="D65" s="49">
        <f>'Avg Week Nateete-Rubaga'!D65+'Avg Week Rubaga-Nateete'!D65</f>
        <v>14.5</v>
      </c>
      <c r="E65" s="49">
        <f>'Avg Week Nateete-Rubaga'!E65+'Avg Week Rubaga-Nateete'!E65</f>
        <v>14</v>
      </c>
      <c r="F65" s="49">
        <f>'Avg Week Nateete-Rubaga'!F65+'Avg Week Rubaga-Nateete'!F65</f>
        <v>83</v>
      </c>
      <c r="G65" s="49">
        <f>'Avg Week Nateete-Rubaga'!G65+'Avg Week Rubaga-Nateete'!G65</f>
        <v>4.5</v>
      </c>
      <c r="H65" s="49">
        <f>'Avg Week Nateete-Rubaga'!H65+'Avg Week Rubaga-Nateete'!H65</f>
        <v>2.5</v>
      </c>
      <c r="I65" s="49">
        <f>'Avg Week Nateete-Rubaga'!I65+'Avg Week Rubaga-Nateete'!I65</f>
        <v>6</v>
      </c>
      <c r="J65" s="49">
        <f>'Avg Week Nateete-Rubaga'!J65+'Avg Week Rubaga-Nateete'!J65</f>
        <v>2</v>
      </c>
      <c r="K65" s="49">
        <f>'Avg Week Nateete-Rubaga'!K65+'Avg Week Rubaga-Nateete'!K65</f>
        <v>1.5</v>
      </c>
      <c r="L65" s="49">
        <f>'Avg Week Nateete-Rubaga'!L65+'Avg Week Rubaga-Nateete'!L65</f>
        <v>1</v>
      </c>
      <c r="M65" s="49">
        <f>'Avg Week Nateete-Rubaga'!M65+'Avg Week Rubaga-Nateete'!M65</f>
        <v>419</v>
      </c>
      <c r="N65" s="49">
        <f>'Avg Week Nateete-Rubaga'!N65+'Avg Week Rubaga-Nateete'!N65</f>
        <v>0</v>
      </c>
      <c r="O65" s="15">
        <f t="shared" si="42"/>
        <v>259.5</v>
      </c>
      <c r="P65" s="15">
        <f t="shared" si="1"/>
        <v>678.5</v>
      </c>
      <c r="R65" s="8"/>
      <c r="T65"/>
    </row>
    <row r="66" spans="2:20" ht="23.1" customHeight="1" x14ac:dyDescent="0.25">
      <c r="B66" s="23" t="s">
        <v>103</v>
      </c>
      <c r="C66" s="49">
        <f>'Avg Week Nateete-Rubaga'!C66+'Avg Week Rubaga-Nateete'!C66</f>
        <v>143.5</v>
      </c>
      <c r="D66" s="49">
        <f>'Avg Week Nateete-Rubaga'!D66+'Avg Week Rubaga-Nateete'!D66</f>
        <v>10.5</v>
      </c>
      <c r="E66" s="49">
        <f>'Avg Week Nateete-Rubaga'!E66+'Avg Week Rubaga-Nateete'!E66</f>
        <v>9</v>
      </c>
      <c r="F66" s="49">
        <f>'Avg Week Nateete-Rubaga'!F66+'Avg Week Rubaga-Nateete'!F66</f>
        <v>97</v>
      </c>
      <c r="G66" s="49">
        <f>'Avg Week Nateete-Rubaga'!G66+'Avg Week Rubaga-Nateete'!G66</f>
        <v>3.5</v>
      </c>
      <c r="H66" s="49">
        <f>'Avg Week Nateete-Rubaga'!H66+'Avg Week Rubaga-Nateete'!H66</f>
        <v>5.5</v>
      </c>
      <c r="I66" s="49">
        <f>'Avg Week Nateete-Rubaga'!I66+'Avg Week Rubaga-Nateete'!I66</f>
        <v>6</v>
      </c>
      <c r="J66" s="49">
        <f>'Avg Week Nateete-Rubaga'!J66+'Avg Week Rubaga-Nateete'!J66</f>
        <v>5</v>
      </c>
      <c r="K66" s="49">
        <f>'Avg Week Nateete-Rubaga'!K66+'Avg Week Rubaga-Nateete'!K66</f>
        <v>0.5</v>
      </c>
      <c r="L66" s="49">
        <f>'Avg Week Nateete-Rubaga'!L66+'Avg Week Rubaga-Nateete'!L66</f>
        <v>3.5</v>
      </c>
      <c r="M66" s="49">
        <f>'Avg Week Nateete-Rubaga'!M66+'Avg Week Rubaga-Nateete'!M66</f>
        <v>379</v>
      </c>
      <c r="N66" s="49">
        <f>'Avg Week Nateete-Rubaga'!N66+'Avg Week Rubaga-Nateete'!N66</f>
        <v>0</v>
      </c>
      <c r="O66" s="15">
        <f t="shared" si="42"/>
        <v>284</v>
      </c>
      <c r="P66" s="15">
        <f t="shared" si="1"/>
        <v>663</v>
      </c>
      <c r="R66" s="8"/>
      <c r="T66"/>
    </row>
    <row r="67" spans="2:20" ht="23.1" customHeight="1" x14ac:dyDescent="0.25">
      <c r="B67" s="23" t="s">
        <v>104</v>
      </c>
      <c r="C67" s="49">
        <f>'Avg Week Nateete-Rubaga'!C67+'Avg Week Rubaga-Nateete'!C67</f>
        <v>90</v>
      </c>
      <c r="D67" s="49">
        <f>'Avg Week Nateete-Rubaga'!D67+'Avg Week Rubaga-Nateete'!D67</f>
        <v>9</v>
      </c>
      <c r="E67" s="49">
        <f>'Avg Week Nateete-Rubaga'!E67+'Avg Week Rubaga-Nateete'!E67</f>
        <v>9</v>
      </c>
      <c r="F67" s="49">
        <f>'Avg Week Nateete-Rubaga'!F67+'Avg Week Rubaga-Nateete'!F67</f>
        <v>59</v>
      </c>
      <c r="G67" s="49">
        <f>'Avg Week Nateete-Rubaga'!G67+'Avg Week Rubaga-Nateete'!G67</f>
        <v>3.5</v>
      </c>
      <c r="H67" s="49">
        <f>'Avg Week Nateete-Rubaga'!H67+'Avg Week Rubaga-Nateete'!H67</f>
        <v>8.5</v>
      </c>
      <c r="I67" s="49">
        <f>'Avg Week Nateete-Rubaga'!I67+'Avg Week Rubaga-Nateete'!I67</f>
        <v>12</v>
      </c>
      <c r="J67" s="49">
        <f>'Avg Week Nateete-Rubaga'!J67+'Avg Week Rubaga-Nateete'!J67</f>
        <v>5</v>
      </c>
      <c r="K67" s="49">
        <f>'Avg Week Nateete-Rubaga'!K67+'Avg Week Rubaga-Nateete'!K67</f>
        <v>1.5</v>
      </c>
      <c r="L67" s="49">
        <f>'Avg Week Nateete-Rubaga'!L67+'Avg Week Rubaga-Nateete'!L67</f>
        <v>3.5</v>
      </c>
      <c r="M67" s="49">
        <f>'Avg Week Nateete-Rubaga'!M67+'Avg Week Rubaga-Nateete'!M67</f>
        <v>364</v>
      </c>
      <c r="N67" s="49">
        <f>'Avg Week Nateete-Rubaga'!N67+'Avg Week Rubaga-Nateete'!N67</f>
        <v>0</v>
      </c>
      <c r="O67" s="15">
        <f t="shared" si="42"/>
        <v>201</v>
      </c>
      <c r="P67" s="15">
        <f t="shared" si="1"/>
        <v>565</v>
      </c>
      <c r="R67" s="8"/>
      <c r="T67"/>
    </row>
    <row r="68" spans="2:20" ht="23.1" customHeight="1" x14ac:dyDescent="0.25">
      <c r="B68" s="23" t="s">
        <v>105</v>
      </c>
      <c r="C68" s="49">
        <f>'Avg Week Nateete-Rubaga'!C68+'Avg Week Rubaga-Nateete'!C68</f>
        <v>120.5</v>
      </c>
      <c r="D68" s="49">
        <f>'Avg Week Nateete-Rubaga'!D68+'Avg Week Rubaga-Nateete'!D68</f>
        <v>10.5</v>
      </c>
      <c r="E68" s="49">
        <f>'Avg Week Nateete-Rubaga'!E68+'Avg Week Rubaga-Nateete'!E68</f>
        <v>7</v>
      </c>
      <c r="F68" s="49">
        <f>'Avg Week Nateete-Rubaga'!F68+'Avg Week Rubaga-Nateete'!F68</f>
        <v>41</v>
      </c>
      <c r="G68" s="49">
        <f>'Avg Week Nateete-Rubaga'!G68+'Avg Week Rubaga-Nateete'!G68</f>
        <v>1.5</v>
      </c>
      <c r="H68" s="49">
        <f>'Avg Week Nateete-Rubaga'!H68+'Avg Week Rubaga-Nateete'!H68</f>
        <v>4.5</v>
      </c>
      <c r="I68" s="49">
        <f>'Avg Week Nateete-Rubaga'!I68+'Avg Week Rubaga-Nateete'!I68</f>
        <v>5.5</v>
      </c>
      <c r="J68" s="49">
        <f>'Avg Week Nateete-Rubaga'!J68+'Avg Week Rubaga-Nateete'!J68</f>
        <v>4.5</v>
      </c>
      <c r="K68" s="49">
        <f>'Avg Week Nateete-Rubaga'!K68+'Avg Week Rubaga-Nateete'!K68</f>
        <v>1.5</v>
      </c>
      <c r="L68" s="49">
        <f>'Avg Week Nateete-Rubaga'!L68+'Avg Week Rubaga-Nateete'!L68</f>
        <v>3.5</v>
      </c>
      <c r="M68" s="49">
        <f>'Avg Week Nateete-Rubaga'!M68+'Avg Week Rubaga-Nateete'!M68</f>
        <v>307</v>
      </c>
      <c r="N68" s="49">
        <f>'Avg Week Nateete-Rubaga'!N68+'Avg Week Rubaga-Nateete'!N68</f>
        <v>0</v>
      </c>
      <c r="O68" s="15">
        <f t="shared" si="42"/>
        <v>200</v>
      </c>
      <c r="P68" s="15">
        <f t="shared" si="1"/>
        <v>507</v>
      </c>
      <c r="R68" s="8"/>
      <c r="T68"/>
    </row>
    <row r="69" spans="2:20" ht="23.1" customHeight="1" x14ac:dyDescent="0.25">
      <c r="B69" s="23" t="s">
        <v>106</v>
      </c>
      <c r="C69" s="49">
        <f>'Avg Week Nateete-Rubaga'!C69+'Avg Week Rubaga-Nateete'!C69</f>
        <v>121.5</v>
      </c>
      <c r="D69" s="49">
        <f>'Avg Week Nateete-Rubaga'!D69+'Avg Week Rubaga-Nateete'!D69</f>
        <v>15</v>
      </c>
      <c r="E69" s="49">
        <f>'Avg Week Nateete-Rubaga'!E69+'Avg Week Rubaga-Nateete'!E69</f>
        <v>13</v>
      </c>
      <c r="F69" s="49">
        <f>'Avg Week Nateete-Rubaga'!F69+'Avg Week Rubaga-Nateete'!F69</f>
        <v>68</v>
      </c>
      <c r="G69" s="49">
        <f>'Avg Week Nateete-Rubaga'!G69+'Avg Week Rubaga-Nateete'!G69</f>
        <v>5</v>
      </c>
      <c r="H69" s="49">
        <f>'Avg Week Nateete-Rubaga'!H69+'Avg Week Rubaga-Nateete'!H69</f>
        <v>3.5</v>
      </c>
      <c r="I69" s="49">
        <f>'Avg Week Nateete-Rubaga'!I69+'Avg Week Rubaga-Nateete'!I69</f>
        <v>8</v>
      </c>
      <c r="J69" s="49">
        <f>'Avg Week Nateete-Rubaga'!J69+'Avg Week Rubaga-Nateete'!J69</f>
        <v>6</v>
      </c>
      <c r="K69" s="49">
        <f>'Avg Week Nateete-Rubaga'!K69+'Avg Week Rubaga-Nateete'!K69</f>
        <v>1.5</v>
      </c>
      <c r="L69" s="49">
        <f>'Avg Week Nateete-Rubaga'!L69+'Avg Week Rubaga-Nateete'!L69</f>
        <v>6</v>
      </c>
      <c r="M69" s="49">
        <f>'Avg Week Nateete-Rubaga'!M69+'Avg Week Rubaga-Nateete'!M69</f>
        <v>296.5</v>
      </c>
      <c r="N69" s="49">
        <f>'Avg Week Nateete-Rubaga'!N69+'Avg Week Rubaga-Nateete'!N69</f>
        <v>0</v>
      </c>
      <c r="O69" s="15">
        <f t="shared" si="42"/>
        <v>247.5</v>
      </c>
      <c r="P69" s="15">
        <f t="shared" si="1"/>
        <v>544</v>
      </c>
      <c r="R69" s="8"/>
      <c r="T69"/>
    </row>
    <row r="70" spans="2:20" ht="23.1" customHeight="1" x14ac:dyDescent="0.25">
      <c r="B70" s="23" t="s">
        <v>110</v>
      </c>
      <c r="C70" s="49">
        <f>'Avg Week Nateete-Rubaga'!C70+'Avg Week Rubaga-Nateete'!C70</f>
        <v>83</v>
      </c>
      <c r="D70" s="49">
        <f>'Avg Week Nateete-Rubaga'!D70+'Avg Week Rubaga-Nateete'!D70</f>
        <v>15</v>
      </c>
      <c r="E70" s="49">
        <f>'Avg Week Nateete-Rubaga'!E70+'Avg Week Rubaga-Nateete'!E70</f>
        <v>8.5</v>
      </c>
      <c r="F70" s="49">
        <f>'Avg Week Nateete-Rubaga'!F70+'Avg Week Rubaga-Nateete'!F70</f>
        <v>73.5</v>
      </c>
      <c r="G70" s="49">
        <f>'Avg Week Nateete-Rubaga'!G70+'Avg Week Rubaga-Nateete'!G70</f>
        <v>3.5</v>
      </c>
      <c r="H70" s="49">
        <f>'Avg Week Nateete-Rubaga'!H70+'Avg Week Rubaga-Nateete'!H70</f>
        <v>5</v>
      </c>
      <c r="I70" s="49">
        <f>'Avg Week Nateete-Rubaga'!I70+'Avg Week Rubaga-Nateete'!I70</f>
        <v>5.5</v>
      </c>
      <c r="J70" s="49">
        <f>'Avg Week Nateete-Rubaga'!J70+'Avg Week Rubaga-Nateete'!J70</f>
        <v>3.5</v>
      </c>
      <c r="K70" s="49">
        <f>'Avg Week Nateete-Rubaga'!K70+'Avg Week Rubaga-Nateete'!K70</f>
        <v>3.5</v>
      </c>
      <c r="L70" s="49">
        <f>'Avg Week Nateete-Rubaga'!L70+'Avg Week Rubaga-Nateete'!L70</f>
        <v>4</v>
      </c>
      <c r="M70" s="49">
        <f>'Avg Week Nateete-Rubaga'!M70+'Avg Week Rubaga-Nateete'!M70</f>
        <v>249</v>
      </c>
      <c r="N70" s="49">
        <f>'Avg Week Nateete-Rubaga'!N70+'Avg Week Rubaga-Nateete'!N70</f>
        <v>0</v>
      </c>
      <c r="O70" s="15">
        <f t="shared" si="42"/>
        <v>205</v>
      </c>
      <c r="P70" s="15">
        <f t="shared" si="1"/>
        <v>454</v>
      </c>
      <c r="R70" s="8"/>
      <c r="T70"/>
    </row>
    <row r="71" spans="2:20" ht="23.1" customHeight="1" x14ac:dyDescent="0.25">
      <c r="B71" s="23" t="s">
        <v>111</v>
      </c>
      <c r="C71" s="49">
        <f>'Avg Week Nateete-Rubaga'!C71+'Avg Week Rubaga-Nateete'!C71</f>
        <v>100</v>
      </c>
      <c r="D71" s="49">
        <f>'Avg Week Nateete-Rubaga'!D71+'Avg Week Rubaga-Nateete'!D71</f>
        <v>20</v>
      </c>
      <c r="E71" s="49">
        <f>'Avg Week Nateete-Rubaga'!E71+'Avg Week Rubaga-Nateete'!E71</f>
        <v>18.5</v>
      </c>
      <c r="F71" s="49">
        <f>'Avg Week Nateete-Rubaga'!F71+'Avg Week Rubaga-Nateete'!F71</f>
        <v>72.5</v>
      </c>
      <c r="G71" s="49">
        <f>'Avg Week Nateete-Rubaga'!G71+'Avg Week Rubaga-Nateete'!G71</f>
        <v>3.5</v>
      </c>
      <c r="H71" s="49">
        <f>'Avg Week Nateete-Rubaga'!H71+'Avg Week Rubaga-Nateete'!H71</f>
        <v>2</v>
      </c>
      <c r="I71" s="49">
        <f>'Avg Week Nateete-Rubaga'!I71+'Avg Week Rubaga-Nateete'!I71</f>
        <v>5</v>
      </c>
      <c r="J71" s="49">
        <f>'Avg Week Nateete-Rubaga'!J71+'Avg Week Rubaga-Nateete'!J71</f>
        <v>4.5</v>
      </c>
      <c r="K71" s="49">
        <f>'Avg Week Nateete-Rubaga'!K71+'Avg Week Rubaga-Nateete'!K71</f>
        <v>4</v>
      </c>
      <c r="L71" s="49">
        <f>'Avg Week Nateete-Rubaga'!L71+'Avg Week Rubaga-Nateete'!L71</f>
        <v>6</v>
      </c>
      <c r="M71" s="49">
        <f>'Avg Week Nateete-Rubaga'!M71+'Avg Week Rubaga-Nateete'!M71</f>
        <v>172.5</v>
      </c>
      <c r="N71" s="49">
        <f>'Avg Week Nateete-Rubaga'!N71+'Avg Week Rubaga-Nateete'!N71</f>
        <v>0</v>
      </c>
      <c r="O71" s="15">
        <f t="shared" si="42"/>
        <v>236</v>
      </c>
      <c r="P71" s="15">
        <f t="shared" si="1"/>
        <v>408.5</v>
      </c>
      <c r="R71" s="8"/>
      <c r="T71"/>
    </row>
    <row r="72" spans="2:20" ht="23.1" customHeight="1" x14ac:dyDescent="0.25">
      <c r="B72" s="23" t="s">
        <v>112</v>
      </c>
      <c r="C72" s="49">
        <f>'Avg Week Nateete-Rubaga'!C72+'Avg Week Rubaga-Nateete'!C72</f>
        <v>62</v>
      </c>
      <c r="D72" s="49">
        <f>'Avg Week Nateete-Rubaga'!D72+'Avg Week Rubaga-Nateete'!D72</f>
        <v>9.5</v>
      </c>
      <c r="E72" s="49">
        <f>'Avg Week Nateete-Rubaga'!E72+'Avg Week Rubaga-Nateete'!E72</f>
        <v>13</v>
      </c>
      <c r="F72" s="49">
        <f>'Avg Week Nateete-Rubaga'!F72+'Avg Week Rubaga-Nateete'!F72</f>
        <v>53</v>
      </c>
      <c r="G72" s="49">
        <f>'Avg Week Nateete-Rubaga'!G72+'Avg Week Rubaga-Nateete'!G72</f>
        <v>2</v>
      </c>
      <c r="H72" s="49">
        <f>'Avg Week Nateete-Rubaga'!H72+'Avg Week Rubaga-Nateete'!H72</f>
        <v>6</v>
      </c>
      <c r="I72" s="49">
        <f>'Avg Week Nateete-Rubaga'!I72+'Avg Week Rubaga-Nateete'!I72</f>
        <v>3.5</v>
      </c>
      <c r="J72" s="49">
        <f>'Avg Week Nateete-Rubaga'!J72+'Avg Week Rubaga-Nateete'!J72</f>
        <v>5</v>
      </c>
      <c r="K72" s="49">
        <f>'Avg Week Nateete-Rubaga'!K72+'Avg Week Rubaga-Nateete'!K72</f>
        <v>10.5</v>
      </c>
      <c r="L72" s="49">
        <f>'Avg Week Nateete-Rubaga'!L72+'Avg Week Rubaga-Nateete'!L72</f>
        <v>8.5</v>
      </c>
      <c r="M72" s="49">
        <f>'Avg Week Nateete-Rubaga'!M72+'Avg Week Rubaga-Nateete'!M72</f>
        <v>189</v>
      </c>
      <c r="N72" s="49">
        <f>'Avg Week Nateete-Rubaga'!N72+'Avg Week Rubaga-Nateete'!N72</f>
        <v>0</v>
      </c>
      <c r="O72" s="15">
        <f t="shared" si="42"/>
        <v>173</v>
      </c>
      <c r="P72" s="15">
        <f t="shared" si="1"/>
        <v>362</v>
      </c>
      <c r="R72" s="8"/>
      <c r="T72"/>
    </row>
    <row r="73" spans="2:20" ht="23.1" customHeight="1" x14ac:dyDescent="0.25">
      <c r="B73" s="23" t="s">
        <v>113</v>
      </c>
      <c r="C73" s="49">
        <f>'Avg Week Nateete-Rubaga'!C73+'Avg Week Rubaga-Nateete'!C73</f>
        <v>75</v>
      </c>
      <c r="D73" s="49">
        <f>'Avg Week Nateete-Rubaga'!D73+'Avg Week Rubaga-Nateete'!D73</f>
        <v>20</v>
      </c>
      <c r="E73" s="49">
        <f>'Avg Week Nateete-Rubaga'!E73+'Avg Week Rubaga-Nateete'!E73</f>
        <v>22</v>
      </c>
      <c r="F73" s="49">
        <f>'Avg Week Nateete-Rubaga'!F73+'Avg Week Rubaga-Nateete'!F73</f>
        <v>165.5</v>
      </c>
      <c r="G73" s="49">
        <f>'Avg Week Nateete-Rubaga'!G73+'Avg Week Rubaga-Nateete'!G73</f>
        <v>1.5</v>
      </c>
      <c r="H73" s="49">
        <f>'Avg Week Nateete-Rubaga'!H73+'Avg Week Rubaga-Nateete'!H73</f>
        <v>4.5</v>
      </c>
      <c r="I73" s="49">
        <f>'Avg Week Nateete-Rubaga'!I73+'Avg Week Rubaga-Nateete'!I73</f>
        <v>8.5</v>
      </c>
      <c r="J73" s="49">
        <f>'Avg Week Nateete-Rubaga'!J73+'Avg Week Rubaga-Nateete'!J73</f>
        <v>6</v>
      </c>
      <c r="K73" s="49">
        <f>'Avg Week Nateete-Rubaga'!K73+'Avg Week Rubaga-Nateete'!K73</f>
        <v>3.5</v>
      </c>
      <c r="L73" s="49">
        <f>'Avg Week Nateete-Rubaga'!L73+'Avg Week Rubaga-Nateete'!L73</f>
        <v>2</v>
      </c>
      <c r="M73" s="49">
        <f>'Avg Week Nateete-Rubaga'!M73+'Avg Week Rubaga-Nateete'!M73</f>
        <v>200.5</v>
      </c>
      <c r="N73" s="49">
        <f>'Avg Week Nateete-Rubaga'!N73+'Avg Week Rubaga-Nateete'!N73</f>
        <v>0</v>
      </c>
      <c r="O73" s="15">
        <f t="shared" si="42"/>
        <v>308.5</v>
      </c>
      <c r="P73" s="15">
        <f t="shared" si="1"/>
        <v>509</v>
      </c>
      <c r="R73" s="8"/>
      <c r="T73"/>
    </row>
    <row r="74" spans="2:20" ht="23.1" customHeight="1" x14ac:dyDescent="0.25">
      <c r="B74" s="23" t="s">
        <v>114</v>
      </c>
      <c r="C74" s="49">
        <f>'Avg Week Nateete-Rubaga'!C74+'Avg Week Rubaga-Nateete'!C74</f>
        <v>66.5</v>
      </c>
      <c r="D74" s="49">
        <f>'Avg Week Nateete-Rubaga'!D74+'Avg Week Rubaga-Nateete'!D74</f>
        <v>25</v>
      </c>
      <c r="E74" s="49">
        <f>'Avg Week Nateete-Rubaga'!E74+'Avg Week Rubaga-Nateete'!E74</f>
        <v>5.5</v>
      </c>
      <c r="F74" s="49">
        <f>'Avg Week Nateete-Rubaga'!F74+'Avg Week Rubaga-Nateete'!F74</f>
        <v>35</v>
      </c>
      <c r="G74" s="49">
        <f>'Avg Week Nateete-Rubaga'!G74+'Avg Week Rubaga-Nateete'!G74</f>
        <v>1.5</v>
      </c>
      <c r="H74" s="49">
        <f>'Avg Week Nateete-Rubaga'!H74+'Avg Week Rubaga-Nateete'!H74</f>
        <v>4.5</v>
      </c>
      <c r="I74" s="49">
        <f>'Avg Week Nateete-Rubaga'!I74+'Avg Week Rubaga-Nateete'!I74</f>
        <v>3</v>
      </c>
      <c r="J74" s="49">
        <f>'Avg Week Nateete-Rubaga'!J74+'Avg Week Rubaga-Nateete'!J74</f>
        <v>3.5</v>
      </c>
      <c r="K74" s="49">
        <f>'Avg Week Nateete-Rubaga'!K74+'Avg Week Rubaga-Nateete'!K74</f>
        <v>0.5</v>
      </c>
      <c r="L74" s="49">
        <f>'Avg Week Nateete-Rubaga'!L74+'Avg Week Rubaga-Nateete'!L74</f>
        <v>0</v>
      </c>
      <c r="M74" s="49">
        <f>'Avg Week Nateete-Rubaga'!M74+'Avg Week Rubaga-Nateete'!M74</f>
        <v>172</v>
      </c>
      <c r="N74" s="49">
        <f>'Avg Week Nateete-Rubaga'!N74+'Avg Week Rubaga-Nateete'!N74</f>
        <v>0</v>
      </c>
      <c r="O74" s="15">
        <f t="shared" si="42"/>
        <v>145</v>
      </c>
      <c r="P74" s="15">
        <f t="shared" ref="P74:P105" si="43">SUM(C74:N74)</f>
        <v>317</v>
      </c>
      <c r="R74" s="8"/>
      <c r="T74"/>
    </row>
    <row r="75" spans="2:20" ht="23.1" customHeight="1" x14ac:dyDescent="0.25">
      <c r="B75" s="23" t="s">
        <v>115</v>
      </c>
      <c r="C75" s="49">
        <f>'Avg Week Nateete-Rubaga'!C75+'Avg Week Rubaga-Nateete'!C75</f>
        <v>68.5</v>
      </c>
      <c r="D75" s="49">
        <f>'Avg Week Nateete-Rubaga'!D75+'Avg Week Rubaga-Nateete'!D75</f>
        <v>38</v>
      </c>
      <c r="E75" s="49">
        <f>'Avg Week Nateete-Rubaga'!E75+'Avg Week Rubaga-Nateete'!E75</f>
        <v>3.5</v>
      </c>
      <c r="F75" s="49">
        <f>'Avg Week Nateete-Rubaga'!F75+'Avg Week Rubaga-Nateete'!F75</f>
        <v>48</v>
      </c>
      <c r="G75" s="49">
        <f>'Avg Week Nateete-Rubaga'!G75+'Avg Week Rubaga-Nateete'!G75</f>
        <v>0.5</v>
      </c>
      <c r="H75" s="49">
        <f>'Avg Week Nateete-Rubaga'!H75+'Avg Week Rubaga-Nateete'!H75</f>
        <v>3</v>
      </c>
      <c r="I75" s="49">
        <f>'Avg Week Nateete-Rubaga'!I75+'Avg Week Rubaga-Nateete'!I75</f>
        <v>0.5</v>
      </c>
      <c r="J75" s="49">
        <f>'Avg Week Nateete-Rubaga'!J75+'Avg Week Rubaga-Nateete'!J75</f>
        <v>1.5</v>
      </c>
      <c r="K75" s="49">
        <f>'Avg Week Nateete-Rubaga'!K75+'Avg Week Rubaga-Nateete'!K75</f>
        <v>0</v>
      </c>
      <c r="L75" s="49">
        <f>'Avg Week Nateete-Rubaga'!L75+'Avg Week Rubaga-Nateete'!L75</f>
        <v>0</v>
      </c>
      <c r="M75" s="49">
        <f>'Avg Week Nateete-Rubaga'!M75+'Avg Week Rubaga-Nateete'!M75</f>
        <v>157.5</v>
      </c>
      <c r="N75" s="49">
        <f>'Avg Week Nateete-Rubaga'!N75+'Avg Week Rubaga-Nateete'!N75</f>
        <v>0</v>
      </c>
      <c r="O75" s="15">
        <f t="shared" si="42"/>
        <v>163.5</v>
      </c>
      <c r="P75" s="15">
        <f t="shared" si="43"/>
        <v>321</v>
      </c>
      <c r="R75" s="8"/>
      <c r="T75"/>
    </row>
    <row r="76" spans="2:20" ht="23.1" customHeight="1" x14ac:dyDescent="0.25">
      <c r="B76" s="23" t="s">
        <v>116</v>
      </c>
      <c r="C76" s="49">
        <f>'Avg Week Nateete-Rubaga'!C76+'Avg Week Rubaga-Nateete'!C76</f>
        <v>69</v>
      </c>
      <c r="D76" s="49">
        <f>'Avg Week Nateete-Rubaga'!D76+'Avg Week Rubaga-Nateete'!D76</f>
        <v>8.5</v>
      </c>
      <c r="E76" s="49">
        <f>'Avg Week Nateete-Rubaga'!E76+'Avg Week Rubaga-Nateete'!E76</f>
        <v>5.5</v>
      </c>
      <c r="F76" s="49">
        <f>'Avg Week Nateete-Rubaga'!F76+'Avg Week Rubaga-Nateete'!F76</f>
        <v>10.5</v>
      </c>
      <c r="G76" s="49">
        <f>'Avg Week Nateete-Rubaga'!G76+'Avg Week Rubaga-Nateete'!G76</f>
        <v>1</v>
      </c>
      <c r="H76" s="49">
        <f>'Avg Week Nateete-Rubaga'!H76+'Avg Week Rubaga-Nateete'!H76</f>
        <v>1</v>
      </c>
      <c r="I76" s="49">
        <f>'Avg Week Nateete-Rubaga'!I76+'Avg Week Rubaga-Nateete'!I76</f>
        <v>0.5</v>
      </c>
      <c r="J76" s="49">
        <f>'Avg Week Nateete-Rubaga'!J76+'Avg Week Rubaga-Nateete'!J76</f>
        <v>0.5</v>
      </c>
      <c r="K76" s="49">
        <f>'Avg Week Nateete-Rubaga'!K76+'Avg Week Rubaga-Nateete'!K76</f>
        <v>0</v>
      </c>
      <c r="L76" s="49">
        <f>'Avg Week Nateete-Rubaga'!L76+'Avg Week Rubaga-Nateete'!L76</f>
        <v>0</v>
      </c>
      <c r="M76" s="49">
        <f>'Avg Week Nateete-Rubaga'!M76+'Avg Week Rubaga-Nateete'!M76</f>
        <v>106</v>
      </c>
      <c r="N76" s="49">
        <f>'Avg Week Nateete-Rubaga'!N76+'Avg Week Rubaga-Nateete'!N76</f>
        <v>0</v>
      </c>
      <c r="O76" s="15">
        <f t="shared" si="42"/>
        <v>96.5</v>
      </c>
      <c r="P76" s="15">
        <f t="shared" si="43"/>
        <v>202.5</v>
      </c>
      <c r="R76" s="8"/>
      <c r="T76"/>
    </row>
    <row r="77" spans="2:20" ht="23.1" customHeight="1" x14ac:dyDescent="0.25">
      <c r="B77" s="23" t="s">
        <v>117</v>
      </c>
      <c r="C77" s="49">
        <f>'Avg Week Nateete-Rubaga'!C77+'Avg Week Rubaga-Nateete'!C77</f>
        <v>67</v>
      </c>
      <c r="D77" s="49">
        <f>'Avg Week Nateete-Rubaga'!D77+'Avg Week Rubaga-Nateete'!D77</f>
        <v>13.5</v>
      </c>
      <c r="E77" s="49">
        <f>'Avg Week Nateete-Rubaga'!E77+'Avg Week Rubaga-Nateete'!E77</f>
        <v>11.5</v>
      </c>
      <c r="F77" s="49">
        <f>'Avg Week Nateete-Rubaga'!F77+'Avg Week Rubaga-Nateete'!F77</f>
        <v>15.5</v>
      </c>
      <c r="G77" s="49">
        <f>'Avg Week Nateete-Rubaga'!G77+'Avg Week Rubaga-Nateete'!G77</f>
        <v>0.5</v>
      </c>
      <c r="H77" s="49">
        <f>'Avg Week Nateete-Rubaga'!H77+'Avg Week Rubaga-Nateete'!H77</f>
        <v>1</v>
      </c>
      <c r="I77" s="49">
        <f>'Avg Week Nateete-Rubaga'!I77+'Avg Week Rubaga-Nateete'!I77</f>
        <v>0.5</v>
      </c>
      <c r="J77" s="49">
        <f>'Avg Week Nateete-Rubaga'!J77+'Avg Week Rubaga-Nateete'!J77</f>
        <v>0.5</v>
      </c>
      <c r="K77" s="49">
        <f>'Avg Week Nateete-Rubaga'!K77+'Avg Week Rubaga-Nateete'!K77</f>
        <v>0</v>
      </c>
      <c r="L77" s="49">
        <f>'Avg Week Nateete-Rubaga'!L77+'Avg Week Rubaga-Nateete'!L77</f>
        <v>0</v>
      </c>
      <c r="M77" s="49">
        <f>'Avg Week Nateete-Rubaga'!M77+'Avg Week Rubaga-Nateete'!M77</f>
        <v>100</v>
      </c>
      <c r="N77" s="49">
        <f>'Avg Week Nateete-Rubaga'!N77+'Avg Week Rubaga-Nateete'!N77</f>
        <v>0</v>
      </c>
      <c r="O77" s="15">
        <f t="shared" si="42"/>
        <v>110</v>
      </c>
      <c r="P77" s="15">
        <f t="shared" si="43"/>
        <v>210</v>
      </c>
      <c r="R77" s="8"/>
      <c r="T77"/>
    </row>
    <row r="78" spans="2:20" ht="23.1" customHeight="1" x14ac:dyDescent="0.25">
      <c r="B78" s="24" t="s">
        <v>118</v>
      </c>
      <c r="C78" s="49">
        <f>'Avg Week Nateete-Rubaga'!C78+'Avg Week Rubaga-Nateete'!C78</f>
        <v>44</v>
      </c>
      <c r="D78" s="49">
        <f>'Avg Week Nateete-Rubaga'!D78+'Avg Week Rubaga-Nateete'!D78</f>
        <v>8</v>
      </c>
      <c r="E78" s="49">
        <f>'Avg Week Nateete-Rubaga'!E78+'Avg Week Rubaga-Nateete'!E78</f>
        <v>4</v>
      </c>
      <c r="F78" s="49">
        <f>'Avg Week Nateete-Rubaga'!F78+'Avg Week Rubaga-Nateete'!F78</f>
        <v>20.5</v>
      </c>
      <c r="G78" s="49">
        <f>'Avg Week Nateete-Rubaga'!G78+'Avg Week Rubaga-Nateete'!G78</f>
        <v>0</v>
      </c>
      <c r="H78" s="49">
        <f>'Avg Week Nateete-Rubaga'!H78+'Avg Week Rubaga-Nateete'!H78</f>
        <v>1.5</v>
      </c>
      <c r="I78" s="49">
        <f>'Avg Week Nateete-Rubaga'!I78+'Avg Week Rubaga-Nateete'!I78</f>
        <v>2.5</v>
      </c>
      <c r="J78" s="49">
        <f>'Avg Week Nateete-Rubaga'!J78+'Avg Week Rubaga-Nateete'!J78</f>
        <v>2</v>
      </c>
      <c r="K78" s="49">
        <f>'Avg Week Nateete-Rubaga'!K78+'Avg Week Rubaga-Nateete'!K78</f>
        <v>1</v>
      </c>
      <c r="L78" s="49">
        <f>'Avg Week Nateete-Rubaga'!L78+'Avg Week Rubaga-Nateete'!L78</f>
        <v>0</v>
      </c>
      <c r="M78" s="49">
        <f>'Avg Week Nateete-Rubaga'!M78+'Avg Week Rubaga-Nateete'!M78</f>
        <v>115.5</v>
      </c>
      <c r="N78" s="49">
        <f>'Avg Week Nateete-Rubaga'!N78+'Avg Week Rubaga-Nateete'!N78</f>
        <v>0</v>
      </c>
      <c r="O78" s="15">
        <f t="shared" si="42"/>
        <v>83.5</v>
      </c>
      <c r="P78" s="15">
        <f t="shared" si="43"/>
        <v>199</v>
      </c>
      <c r="R78" s="8"/>
      <c r="T78"/>
    </row>
    <row r="79" spans="2:20" ht="23.1" customHeight="1" x14ac:dyDescent="0.25">
      <c r="B79" s="23" t="s">
        <v>119</v>
      </c>
      <c r="C79" s="49">
        <f>'Avg Week Nateete-Rubaga'!C79+'Avg Week Rubaga-Nateete'!C79</f>
        <v>46.5</v>
      </c>
      <c r="D79" s="49">
        <f>'Avg Week Nateete-Rubaga'!D79+'Avg Week Rubaga-Nateete'!D79</f>
        <v>7</v>
      </c>
      <c r="E79" s="49">
        <f>'Avg Week Nateete-Rubaga'!E79+'Avg Week Rubaga-Nateete'!E79</f>
        <v>1.5</v>
      </c>
      <c r="F79" s="49">
        <f>'Avg Week Nateete-Rubaga'!F79+'Avg Week Rubaga-Nateete'!F79</f>
        <v>9.5</v>
      </c>
      <c r="G79" s="49">
        <f>'Avg Week Nateete-Rubaga'!G79+'Avg Week Rubaga-Nateete'!G79</f>
        <v>0.5</v>
      </c>
      <c r="H79" s="49">
        <f>'Avg Week Nateete-Rubaga'!H79+'Avg Week Rubaga-Nateete'!H79</f>
        <v>1</v>
      </c>
      <c r="I79" s="49">
        <f>'Avg Week Nateete-Rubaga'!I79+'Avg Week Rubaga-Nateete'!I79</f>
        <v>1</v>
      </c>
      <c r="J79" s="49">
        <f>'Avg Week Nateete-Rubaga'!J79+'Avg Week Rubaga-Nateete'!J79</f>
        <v>0</v>
      </c>
      <c r="K79" s="49">
        <f>'Avg Week Nateete-Rubaga'!K79+'Avg Week Rubaga-Nateete'!K79</f>
        <v>0</v>
      </c>
      <c r="L79" s="49">
        <f>'Avg Week Nateete-Rubaga'!L79+'Avg Week Rubaga-Nateete'!L79</f>
        <v>0</v>
      </c>
      <c r="M79" s="49">
        <f>'Avg Week Nateete-Rubaga'!M79+'Avg Week Rubaga-Nateete'!M79</f>
        <v>128.5</v>
      </c>
      <c r="N79" s="49">
        <f>'Avg Week Nateete-Rubaga'!N79+'Avg Week Rubaga-Nateete'!N79</f>
        <v>0</v>
      </c>
      <c r="O79" s="15">
        <f t="shared" si="42"/>
        <v>67</v>
      </c>
      <c r="P79" s="15">
        <f t="shared" si="43"/>
        <v>195.5</v>
      </c>
      <c r="R79" s="8"/>
      <c r="T79"/>
    </row>
    <row r="80" spans="2:20" ht="23.1" customHeight="1" x14ac:dyDescent="0.25">
      <c r="B80" s="25" t="s">
        <v>120</v>
      </c>
      <c r="C80" s="49">
        <f>'Avg Week Nateete-Rubaga'!C80+'Avg Week Rubaga-Nateete'!C80</f>
        <v>36.5</v>
      </c>
      <c r="D80" s="49">
        <f>'Avg Week Nateete-Rubaga'!D80+'Avg Week Rubaga-Nateete'!D80</f>
        <v>2.5</v>
      </c>
      <c r="E80" s="49">
        <f>'Avg Week Nateete-Rubaga'!E80+'Avg Week Rubaga-Nateete'!E80</f>
        <v>2.5</v>
      </c>
      <c r="F80" s="49">
        <f>'Avg Week Nateete-Rubaga'!F80+'Avg Week Rubaga-Nateete'!F80</f>
        <v>10.5</v>
      </c>
      <c r="G80" s="49">
        <f>'Avg Week Nateete-Rubaga'!G80+'Avg Week Rubaga-Nateete'!G80</f>
        <v>1</v>
      </c>
      <c r="H80" s="49">
        <f>'Avg Week Nateete-Rubaga'!H80+'Avg Week Rubaga-Nateete'!H80</f>
        <v>1</v>
      </c>
      <c r="I80" s="49">
        <f>'Avg Week Nateete-Rubaga'!I80+'Avg Week Rubaga-Nateete'!I80</f>
        <v>1.5</v>
      </c>
      <c r="J80" s="49">
        <f>'Avg Week Nateete-Rubaga'!J80+'Avg Week Rubaga-Nateete'!J80</f>
        <v>1</v>
      </c>
      <c r="K80" s="49">
        <f>'Avg Week Nateete-Rubaga'!K80+'Avg Week Rubaga-Nateete'!K80</f>
        <v>0.5</v>
      </c>
      <c r="L80" s="49">
        <f>'Avg Week Nateete-Rubaga'!L80+'Avg Week Rubaga-Nateete'!L80</f>
        <v>0</v>
      </c>
      <c r="M80" s="49">
        <f>'Avg Week Nateete-Rubaga'!M80+'Avg Week Rubaga-Nateete'!M80</f>
        <v>103.5</v>
      </c>
      <c r="N80" s="49">
        <f>'Avg Week Nateete-Rubaga'!N80+'Avg Week Rubaga-Nateete'!N80</f>
        <v>0</v>
      </c>
      <c r="O80" s="15">
        <f t="shared" si="42"/>
        <v>57</v>
      </c>
      <c r="P80" s="15">
        <f t="shared" si="43"/>
        <v>160.5</v>
      </c>
      <c r="R80" s="8"/>
      <c r="T80"/>
    </row>
    <row r="81" spans="2:20" ht="23.1" customHeight="1" x14ac:dyDescent="0.25">
      <c r="B81" s="23" t="s">
        <v>121</v>
      </c>
      <c r="C81" s="49">
        <f>'Avg Week Nateete-Rubaga'!C81+'Avg Week Rubaga-Nateete'!C81</f>
        <v>35</v>
      </c>
      <c r="D81" s="49">
        <f>'Avg Week Nateete-Rubaga'!D81+'Avg Week Rubaga-Nateete'!D81</f>
        <v>5.5</v>
      </c>
      <c r="E81" s="49">
        <f>'Avg Week Nateete-Rubaga'!E81+'Avg Week Rubaga-Nateete'!E81</f>
        <v>5.5</v>
      </c>
      <c r="F81" s="49">
        <f>'Avg Week Nateete-Rubaga'!F81+'Avg Week Rubaga-Nateete'!F81</f>
        <v>15</v>
      </c>
      <c r="G81" s="49">
        <f>'Avg Week Nateete-Rubaga'!G81+'Avg Week Rubaga-Nateete'!G81</f>
        <v>0</v>
      </c>
      <c r="H81" s="49">
        <f>'Avg Week Nateete-Rubaga'!H81+'Avg Week Rubaga-Nateete'!H81</f>
        <v>3.5</v>
      </c>
      <c r="I81" s="49">
        <f>'Avg Week Nateete-Rubaga'!I81+'Avg Week Rubaga-Nateete'!I81</f>
        <v>0</v>
      </c>
      <c r="J81" s="49">
        <f>'Avg Week Nateete-Rubaga'!J81+'Avg Week Rubaga-Nateete'!J81</f>
        <v>0.5</v>
      </c>
      <c r="K81" s="49">
        <f>'Avg Week Nateete-Rubaga'!K81+'Avg Week Rubaga-Nateete'!K81</f>
        <v>0.5</v>
      </c>
      <c r="L81" s="49">
        <f>'Avg Week Nateete-Rubaga'!L81+'Avg Week Rubaga-Nateete'!L81</f>
        <v>0</v>
      </c>
      <c r="M81" s="49">
        <f>'Avg Week Nateete-Rubaga'!M81+'Avg Week Rubaga-Nateete'!M81</f>
        <v>101.5</v>
      </c>
      <c r="N81" s="49">
        <f>'Avg Week Nateete-Rubaga'!N81+'Avg Week Rubaga-Nateete'!N81</f>
        <v>0</v>
      </c>
      <c r="O81" s="15">
        <f t="shared" si="42"/>
        <v>65.5</v>
      </c>
      <c r="P81" s="15">
        <f t="shared" si="43"/>
        <v>167</v>
      </c>
      <c r="R81" s="8"/>
      <c r="T81"/>
    </row>
    <row r="82" spans="2:20" ht="23.1" customHeight="1" x14ac:dyDescent="0.25">
      <c r="B82" s="24" t="s">
        <v>122</v>
      </c>
      <c r="C82" s="49">
        <f>'Avg Week Nateete-Rubaga'!C82+'Avg Week Rubaga-Nateete'!C82</f>
        <v>18.5</v>
      </c>
      <c r="D82" s="49">
        <f>'Avg Week Nateete-Rubaga'!D82+'Avg Week Rubaga-Nateete'!D82</f>
        <v>5.5</v>
      </c>
      <c r="E82" s="49">
        <f>'Avg Week Nateete-Rubaga'!E82+'Avg Week Rubaga-Nateete'!E82</f>
        <v>1.5</v>
      </c>
      <c r="F82" s="49">
        <f>'Avg Week Nateete-Rubaga'!F82+'Avg Week Rubaga-Nateete'!F82</f>
        <v>4</v>
      </c>
      <c r="G82" s="49">
        <f>'Avg Week Nateete-Rubaga'!G82+'Avg Week Rubaga-Nateete'!G82</f>
        <v>0</v>
      </c>
      <c r="H82" s="49">
        <f>'Avg Week Nateete-Rubaga'!H82+'Avg Week Rubaga-Nateete'!H82</f>
        <v>2</v>
      </c>
      <c r="I82" s="49">
        <f>'Avg Week Nateete-Rubaga'!I82+'Avg Week Rubaga-Nateete'!I82</f>
        <v>2</v>
      </c>
      <c r="J82" s="49">
        <f>'Avg Week Nateete-Rubaga'!J82+'Avg Week Rubaga-Nateete'!J82</f>
        <v>2</v>
      </c>
      <c r="K82" s="49">
        <f>'Avg Week Nateete-Rubaga'!K82+'Avg Week Rubaga-Nateete'!K82</f>
        <v>0.5</v>
      </c>
      <c r="L82" s="49">
        <f>'Avg Week Nateete-Rubaga'!L82+'Avg Week Rubaga-Nateete'!L82</f>
        <v>0</v>
      </c>
      <c r="M82" s="49">
        <f>'Avg Week Nateete-Rubaga'!M82+'Avg Week Rubaga-Nateete'!M82</f>
        <v>67.5</v>
      </c>
      <c r="N82" s="49">
        <f>'Avg Week Nateete-Rubaga'!N82+'Avg Week Rubaga-Nateete'!N82</f>
        <v>0</v>
      </c>
      <c r="O82" s="15">
        <f t="shared" si="42"/>
        <v>36</v>
      </c>
      <c r="P82" s="15">
        <f t="shared" si="43"/>
        <v>103.5</v>
      </c>
      <c r="R82" s="8"/>
      <c r="T82"/>
    </row>
    <row r="83" spans="2:20" ht="23.1" customHeight="1" x14ac:dyDescent="0.25">
      <c r="B83" s="23" t="s">
        <v>123</v>
      </c>
      <c r="C83" s="49">
        <f>'Avg Week Nateete-Rubaga'!C83+'Avg Week Rubaga-Nateete'!C83</f>
        <v>19</v>
      </c>
      <c r="D83" s="49">
        <f>'Avg Week Nateete-Rubaga'!D83+'Avg Week Rubaga-Nateete'!D83</f>
        <v>1.5</v>
      </c>
      <c r="E83" s="49">
        <f>'Avg Week Nateete-Rubaga'!E83+'Avg Week Rubaga-Nateete'!E83</f>
        <v>2</v>
      </c>
      <c r="F83" s="49">
        <f>'Avg Week Nateete-Rubaga'!F83+'Avg Week Rubaga-Nateete'!F83</f>
        <v>7.5</v>
      </c>
      <c r="G83" s="49">
        <f>'Avg Week Nateete-Rubaga'!G83+'Avg Week Rubaga-Nateete'!G83</f>
        <v>1</v>
      </c>
      <c r="H83" s="49">
        <f>'Avg Week Nateete-Rubaga'!H83+'Avg Week Rubaga-Nateete'!H83</f>
        <v>3</v>
      </c>
      <c r="I83" s="49">
        <f>'Avg Week Nateete-Rubaga'!I83+'Avg Week Rubaga-Nateete'!I83</f>
        <v>0.5</v>
      </c>
      <c r="J83" s="49">
        <f>'Avg Week Nateete-Rubaga'!J83+'Avg Week Rubaga-Nateete'!J83</f>
        <v>0.5</v>
      </c>
      <c r="K83" s="49">
        <f>'Avg Week Nateete-Rubaga'!K83+'Avg Week Rubaga-Nateete'!K83</f>
        <v>0</v>
      </c>
      <c r="L83" s="49">
        <f>'Avg Week Nateete-Rubaga'!L83+'Avg Week Rubaga-Nateete'!L83</f>
        <v>0</v>
      </c>
      <c r="M83" s="49">
        <f>'Avg Week Nateete-Rubaga'!M83+'Avg Week Rubaga-Nateete'!M83</f>
        <v>52.5</v>
      </c>
      <c r="N83" s="49">
        <f>'Avg Week Nateete-Rubaga'!N83+'Avg Week Rubaga-Nateete'!N83</f>
        <v>0</v>
      </c>
      <c r="O83" s="15">
        <f t="shared" si="42"/>
        <v>35</v>
      </c>
      <c r="P83" s="15">
        <f t="shared" si="43"/>
        <v>87.5</v>
      </c>
      <c r="R83" s="8"/>
      <c r="T83"/>
    </row>
    <row r="84" spans="2:20" ht="23.1" customHeight="1" x14ac:dyDescent="0.25">
      <c r="B84" s="25" t="s">
        <v>124</v>
      </c>
      <c r="C84" s="49">
        <f>'Avg Week Nateete-Rubaga'!C84+'Avg Week Rubaga-Nateete'!C84</f>
        <v>20.5</v>
      </c>
      <c r="D84" s="49">
        <f>'Avg Week Nateete-Rubaga'!D84+'Avg Week Rubaga-Nateete'!D84</f>
        <v>3.5</v>
      </c>
      <c r="E84" s="49">
        <f>'Avg Week Nateete-Rubaga'!E84+'Avg Week Rubaga-Nateete'!E84</f>
        <v>2.5</v>
      </c>
      <c r="F84" s="49">
        <f>'Avg Week Nateete-Rubaga'!F84+'Avg Week Rubaga-Nateete'!F84</f>
        <v>3</v>
      </c>
      <c r="G84" s="49">
        <f>'Avg Week Nateete-Rubaga'!G84+'Avg Week Rubaga-Nateete'!G84</f>
        <v>0.5</v>
      </c>
      <c r="H84" s="49">
        <f>'Avg Week Nateete-Rubaga'!H84+'Avg Week Rubaga-Nateete'!H84</f>
        <v>0.5</v>
      </c>
      <c r="I84" s="49">
        <f>'Avg Week Nateete-Rubaga'!I84+'Avg Week Rubaga-Nateete'!I84</f>
        <v>0</v>
      </c>
      <c r="J84" s="49">
        <f>'Avg Week Nateete-Rubaga'!J84+'Avg Week Rubaga-Nateete'!J84</f>
        <v>1</v>
      </c>
      <c r="K84" s="49">
        <f>'Avg Week Nateete-Rubaga'!K84+'Avg Week Rubaga-Nateete'!K84</f>
        <v>5.5</v>
      </c>
      <c r="L84" s="49">
        <f>'Avg Week Nateete-Rubaga'!L84+'Avg Week Rubaga-Nateete'!L84</f>
        <v>0</v>
      </c>
      <c r="M84" s="49">
        <f>'Avg Week Nateete-Rubaga'!M84+'Avg Week Rubaga-Nateete'!M84</f>
        <v>44.5</v>
      </c>
      <c r="N84" s="49">
        <f>'Avg Week Nateete-Rubaga'!N84+'Avg Week Rubaga-Nateete'!N84</f>
        <v>0</v>
      </c>
      <c r="O84" s="15">
        <f t="shared" si="42"/>
        <v>37</v>
      </c>
      <c r="P84" s="15">
        <f t="shared" si="43"/>
        <v>81.5</v>
      </c>
      <c r="R84" s="8"/>
      <c r="T84"/>
    </row>
    <row r="85" spans="2:20" ht="23.1" customHeight="1" x14ac:dyDescent="0.25">
      <c r="B85" s="23" t="s">
        <v>125</v>
      </c>
      <c r="C85" s="49">
        <f>'Avg Week Nateete-Rubaga'!C85+'Avg Week Rubaga-Nateete'!C85</f>
        <v>38</v>
      </c>
      <c r="D85" s="49">
        <f>'Avg Week Nateete-Rubaga'!D85+'Avg Week Rubaga-Nateete'!D85</f>
        <v>2.5</v>
      </c>
      <c r="E85" s="49">
        <f>'Avg Week Nateete-Rubaga'!E85+'Avg Week Rubaga-Nateete'!E85</f>
        <v>2</v>
      </c>
      <c r="F85" s="49">
        <f>'Avg Week Nateete-Rubaga'!F85+'Avg Week Rubaga-Nateete'!F85</f>
        <v>3</v>
      </c>
      <c r="G85" s="49">
        <f>'Avg Week Nateete-Rubaga'!G85+'Avg Week Rubaga-Nateete'!G85</f>
        <v>1</v>
      </c>
      <c r="H85" s="49">
        <f>'Avg Week Nateete-Rubaga'!H85+'Avg Week Rubaga-Nateete'!H85</f>
        <v>0</v>
      </c>
      <c r="I85" s="49">
        <f>'Avg Week Nateete-Rubaga'!I85+'Avg Week Rubaga-Nateete'!I85</f>
        <v>0</v>
      </c>
      <c r="J85" s="49">
        <f>'Avg Week Nateete-Rubaga'!J85+'Avg Week Rubaga-Nateete'!J85</f>
        <v>0</v>
      </c>
      <c r="K85" s="49">
        <f>'Avg Week Nateete-Rubaga'!K85+'Avg Week Rubaga-Nateete'!K85</f>
        <v>0</v>
      </c>
      <c r="L85" s="49">
        <f>'Avg Week Nateete-Rubaga'!L85+'Avg Week Rubaga-Nateete'!L85</f>
        <v>0</v>
      </c>
      <c r="M85" s="49">
        <f>'Avg Week Nateete-Rubaga'!M85+'Avg Week Rubaga-Nateete'!M85</f>
        <v>51</v>
      </c>
      <c r="N85" s="49">
        <f>'Avg Week Nateete-Rubaga'!N85+'Avg Week Rubaga-Nateete'!N85</f>
        <v>0</v>
      </c>
      <c r="O85" s="15">
        <f t="shared" si="42"/>
        <v>46.5</v>
      </c>
      <c r="P85" s="15">
        <f t="shared" si="43"/>
        <v>97.5</v>
      </c>
      <c r="R85" s="8"/>
      <c r="T85"/>
    </row>
    <row r="86" spans="2:20" ht="23.1" customHeight="1" x14ac:dyDescent="0.25">
      <c r="B86" s="24" t="s">
        <v>126</v>
      </c>
      <c r="C86" s="49">
        <f>'Avg Week Nateete-Rubaga'!C86+'Avg Week Rubaga-Nateete'!C86</f>
        <v>13.5</v>
      </c>
      <c r="D86" s="49">
        <f>'Avg Week Nateete-Rubaga'!D86+'Avg Week Rubaga-Nateete'!D86</f>
        <v>2.5</v>
      </c>
      <c r="E86" s="49">
        <f>'Avg Week Nateete-Rubaga'!E86+'Avg Week Rubaga-Nateete'!E86</f>
        <v>2</v>
      </c>
      <c r="F86" s="49">
        <f>'Avg Week Nateete-Rubaga'!F86+'Avg Week Rubaga-Nateete'!F86</f>
        <v>0.5</v>
      </c>
      <c r="G86" s="49">
        <f>'Avg Week Nateete-Rubaga'!G86+'Avg Week Rubaga-Nateete'!G86</f>
        <v>1</v>
      </c>
      <c r="H86" s="49">
        <f>'Avg Week Nateete-Rubaga'!H86+'Avg Week Rubaga-Nateete'!H86</f>
        <v>1</v>
      </c>
      <c r="I86" s="49">
        <f>'Avg Week Nateete-Rubaga'!I86+'Avg Week Rubaga-Nateete'!I86</f>
        <v>1</v>
      </c>
      <c r="J86" s="49">
        <f>'Avg Week Nateete-Rubaga'!J86+'Avg Week Rubaga-Nateete'!J86</f>
        <v>1.5</v>
      </c>
      <c r="K86" s="49">
        <f>'Avg Week Nateete-Rubaga'!K86+'Avg Week Rubaga-Nateete'!K86</f>
        <v>0</v>
      </c>
      <c r="L86" s="49">
        <f>'Avg Week Nateete-Rubaga'!L86+'Avg Week Rubaga-Nateete'!L86</f>
        <v>0</v>
      </c>
      <c r="M86" s="49">
        <f>'Avg Week Nateete-Rubaga'!M86+'Avg Week Rubaga-Nateete'!M86</f>
        <v>35</v>
      </c>
      <c r="N86" s="49">
        <f>'Avg Week Nateete-Rubaga'!N86+'Avg Week Rubaga-Nateete'!N86</f>
        <v>0</v>
      </c>
      <c r="O86" s="15">
        <f t="shared" si="42"/>
        <v>23</v>
      </c>
      <c r="P86" s="15">
        <f t="shared" si="43"/>
        <v>58</v>
      </c>
      <c r="R86" s="8"/>
      <c r="T86"/>
    </row>
    <row r="87" spans="2:20" ht="23.1" customHeight="1" x14ac:dyDescent="0.25">
      <c r="B87" s="23" t="s">
        <v>127</v>
      </c>
      <c r="C87" s="49">
        <f>'Avg Week Nateete-Rubaga'!C87+'Avg Week Rubaga-Nateete'!C87</f>
        <v>14</v>
      </c>
      <c r="D87" s="49">
        <f>'Avg Week Nateete-Rubaga'!D87+'Avg Week Rubaga-Nateete'!D87</f>
        <v>3</v>
      </c>
      <c r="E87" s="49">
        <f>'Avg Week Nateete-Rubaga'!E87+'Avg Week Rubaga-Nateete'!E87</f>
        <v>0</v>
      </c>
      <c r="F87" s="49">
        <f>'Avg Week Nateete-Rubaga'!F87+'Avg Week Rubaga-Nateete'!F87</f>
        <v>0.5</v>
      </c>
      <c r="G87" s="49">
        <f>'Avg Week Nateete-Rubaga'!G87+'Avg Week Rubaga-Nateete'!G87</f>
        <v>0.5</v>
      </c>
      <c r="H87" s="49">
        <f>'Avg Week Nateete-Rubaga'!H87+'Avg Week Rubaga-Nateete'!H87</f>
        <v>2</v>
      </c>
      <c r="I87" s="49">
        <f>'Avg Week Nateete-Rubaga'!I87+'Avg Week Rubaga-Nateete'!I87</f>
        <v>1.5</v>
      </c>
      <c r="J87" s="49">
        <f>'Avg Week Nateete-Rubaga'!J87+'Avg Week Rubaga-Nateete'!J87</f>
        <v>2.5</v>
      </c>
      <c r="K87" s="49">
        <f>'Avg Week Nateete-Rubaga'!K87+'Avg Week Rubaga-Nateete'!K87</f>
        <v>0</v>
      </c>
      <c r="L87" s="49">
        <f>'Avg Week Nateete-Rubaga'!L87+'Avg Week Rubaga-Nateete'!L87</f>
        <v>0.5</v>
      </c>
      <c r="M87" s="49">
        <f>'Avg Week Nateete-Rubaga'!M87+'Avg Week Rubaga-Nateete'!M87</f>
        <v>40.5</v>
      </c>
      <c r="N87" s="49">
        <f>'Avg Week Nateete-Rubaga'!N87+'Avg Week Rubaga-Nateete'!N87</f>
        <v>0</v>
      </c>
      <c r="O87" s="15">
        <f t="shared" si="42"/>
        <v>24.5</v>
      </c>
      <c r="P87" s="15">
        <f t="shared" si="43"/>
        <v>65</v>
      </c>
      <c r="R87" s="8"/>
      <c r="T87"/>
    </row>
    <row r="88" spans="2:20" ht="23.1" customHeight="1" x14ac:dyDescent="0.25">
      <c r="B88" s="25" t="s">
        <v>128</v>
      </c>
      <c r="C88" s="49">
        <f>'Avg Week Nateete-Rubaga'!C88+'Avg Week Rubaga-Nateete'!C88</f>
        <v>16</v>
      </c>
      <c r="D88" s="49">
        <f>'Avg Week Nateete-Rubaga'!D88+'Avg Week Rubaga-Nateete'!D88</f>
        <v>1</v>
      </c>
      <c r="E88" s="49">
        <f>'Avg Week Nateete-Rubaga'!E88+'Avg Week Rubaga-Nateete'!E88</f>
        <v>3</v>
      </c>
      <c r="F88" s="49">
        <f>'Avg Week Nateete-Rubaga'!F88+'Avg Week Rubaga-Nateete'!F88</f>
        <v>1.5</v>
      </c>
      <c r="G88" s="49">
        <f>'Avg Week Nateete-Rubaga'!G88+'Avg Week Rubaga-Nateete'!G88</f>
        <v>0</v>
      </c>
      <c r="H88" s="49">
        <f>'Avg Week Nateete-Rubaga'!H88+'Avg Week Rubaga-Nateete'!H88</f>
        <v>0.5</v>
      </c>
      <c r="I88" s="49">
        <f>'Avg Week Nateete-Rubaga'!I88+'Avg Week Rubaga-Nateete'!I88</f>
        <v>0.5</v>
      </c>
      <c r="J88" s="49">
        <f>'Avg Week Nateete-Rubaga'!J88+'Avg Week Rubaga-Nateete'!J88</f>
        <v>0.5</v>
      </c>
      <c r="K88" s="49">
        <f>'Avg Week Nateete-Rubaga'!K88+'Avg Week Rubaga-Nateete'!K88</f>
        <v>0</v>
      </c>
      <c r="L88" s="49">
        <f>'Avg Week Nateete-Rubaga'!L88+'Avg Week Rubaga-Nateete'!L88</f>
        <v>0</v>
      </c>
      <c r="M88" s="49">
        <f>'Avg Week Nateete-Rubaga'!M88+'Avg Week Rubaga-Nateete'!M88</f>
        <v>25</v>
      </c>
      <c r="N88" s="49">
        <f>'Avg Week Nateete-Rubaga'!N88+'Avg Week Rubaga-Nateete'!N88</f>
        <v>0</v>
      </c>
      <c r="O88" s="15">
        <f t="shared" si="42"/>
        <v>23</v>
      </c>
      <c r="P88" s="15">
        <f t="shared" si="43"/>
        <v>48</v>
      </c>
      <c r="R88" s="8"/>
      <c r="T88"/>
    </row>
    <row r="89" spans="2:20" ht="23.1" customHeight="1" x14ac:dyDescent="0.25">
      <c r="B89" s="23" t="s">
        <v>129</v>
      </c>
      <c r="C89" s="49">
        <f>'Avg Week Nateete-Rubaga'!C89+'Avg Week Rubaga-Nateete'!C89</f>
        <v>20</v>
      </c>
      <c r="D89" s="49">
        <f>'Avg Week Nateete-Rubaga'!D89+'Avg Week Rubaga-Nateete'!D89</f>
        <v>1</v>
      </c>
      <c r="E89" s="49">
        <f>'Avg Week Nateete-Rubaga'!E89+'Avg Week Rubaga-Nateete'!E89</f>
        <v>3</v>
      </c>
      <c r="F89" s="49">
        <f>'Avg Week Nateete-Rubaga'!F89+'Avg Week Rubaga-Nateete'!F89</f>
        <v>2.5</v>
      </c>
      <c r="G89" s="49">
        <f>'Avg Week Nateete-Rubaga'!G89+'Avg Week Rubaga-Nateete'!G89</f>
        <v>0</v>
      </c>
      <c r="H89" s="49">
        <f>'Avg Week Nateete-Rubaga'!H89+'Avg Week Rubaga-Nateete'!H89</f>
        <v>0.5</v>
      </c>
      <c r="I89" s="49">
        <f>'Avg Week Nateete-Rubaga'!I89+'Avg Week Rubaga-Nateete'!I89</f>
        <v>0.5</v>
      </c>
      <c r="J89" s="49">
        <f>'Avg Week Nateete-Rubaga'!J89+'Avg Week Rubaga-Nateete'!J89</f>
        <v>0.5</v>
      </c>
      <c r="K89" s="49">
        <f>'Avg Week Nateete-Rubaga'!K89+'Avg Week Rubaga-Nateete'!K89</f>
        <v>0.5</v>
      </c>
      <c r="L89" s="49">
        <f>'Avg Week Nateete-Rubaga'!L89+'Avg Week Rubaga-Nateete'!L89</f>
        <v>0</v>
      </c>
      <c r="M89" s="49">
        <f>'Avg Week Nateete-Rubaga'!M89+'Avg Week Rubaga-Nateete'!M89</f>
        <v>41</v>
      </c>
      <c r="N89" s="49">
        <f>'Avg Week Nateete-Rubaga'!N89+'Avg Week Rubaga-Nateete'!N89</f>
        <v>0</v>
      </c>
      <c r="O89" s="15">
        <f t="shared" si="42"/>
        <v>28.5</v>
      </c>
      <c r="P89" s="15">
        <f t="shared" si="43"/>
        <v>69.5</v>
      </c>
      <c r="R89" s="8"/>
      <c r="T89"/>
    </row>
    <row r="90" spans="2:20" ht="23.1" customHeight="1" x14ac:dyDescent="0.25">
      <c r="B90" s="24" t="s">
        <v>130</v>
      </c>
      <c r="C90" s="49">
        <f>'Avg Week Nateete-Rubaga'!C90+'Avg Week Rubaga-Nateete'!C90</f>
        <v>14</v>
      </c>
      <c r="D90" s="49">
        <f>'Avg Week Nateete-Rubaga'!D90+'Avg Week Rubaga-Nateete'!D90</f>
        <v>0.5</v>
      </c>
      <c r="E90" s="49">
        <f>'Avg Week Nateete-Rubaga'!E90+'Avg Week Rubaga-Nateete'!E90</f>
        <v>2</v>
      </c>
      <c r="F90" s="49">
        <f>'Avg Week Nateete-Rubaga'!F90+'Avg Week Rubaga-Nateete'!F90</f>
        <v>2.5</v>
      </c>
      <c r="G90" s="49">
        <f>'Avg Week Nateete-Rubaga'!G90+'Avg Week Rubaga-Nateete'!G90</f>
        <v>0</v>
      </c>
      <c r="H90" s="49">
        <f>'Avg Week Nateete-Rubaga'!H90+'Avg Week Rubaga-Nateete'!H90</f>
        <v>1.5</v>
      </c>
      <c r="I90" s="49">
        <f>'Avg Week Nateete-Rubaga'!I90+'Avg Week Rubaga-Nateete'!I90</f>
        <v>0</v>
      </c>
      <c r="J90" s="49">
        <f>'Avg Week Nateete-Rubaga'!J90+'Avg Week Rubaga-Nateete'!J90</f>
        <v>0.5</v>
      </c>
      <c r="K90" s="49">
        <f>'Avg Week Nateete-Rubaga'!K90+'Avg Week Rubaga-Nateete'!K90</f>
        <v>0</v>
      </c>
      <c r="L90" s="49">
        <f>'Avg Week Nateete-Rubaga'!L90+'Avg Week Rubaga-Nateete'!L90</f>
        <v>0</v>
      </c>
      <c r="M90" s="49">
        <f>'Avg Week Nateete-Rubaga'!M90+'Avg Week Rubaga-Nateete'!M90</f>
        <v>24.5</v>
      </c>
      <c r="N90" s="49">
        <f>'Avg Week Nateete-Rubaga'!N90+'Avg Week Rubaga-Nateete'!N90</f>
        <v>0</v>
      </c>
      <c r="O90" s="15">
        <f t="shared" si="42"/>
        <v>21</v>
      </c>
      <c r="P90" s="15">
        <f t="shared" si="43"/>
        <v>45.5</v>
      </c>
      <c r="R90" s="8"/>
      <c r="T90"/>
    </row>
    <row r="91" spans="2:20" ht="23.1" customHeight="1" x14ac:dyDescent="0.25">
      <c r="B91" s="23" t="s">
        <v>131</v>
      </c>
      <c r="C91" s="49">
        <f>'Avg Week Nateete-Rubaga'!C91+'Avg Week Rubaga-Nateete'!C91</f>
        <v>16</v>
      </c>
      <c r="D91" s="49">
        <f>'Avg Week Nateete-Rubaga'!D91+'Avg Week Rubaga-Nateete'!D91</f>
        <v>2.5</v>
      </c>
      <c r="E91" s="49">
        <f>'Avg Week Nateete-Rubaga'!E91+'Avg Week Rubaga-Nateete'!E91</f>
        <v>1.5</v>
      </c>
      <c r="F91" s="49">
        <f>'Avg Week Nateete-Rubaga'!F91+'Avg Week Rubaga-Nateete'!F91</f>
        <v>1</v>
      </c>
      <c r="G91" s="49">
        <f>'Avg Week Nateete-Rubaga'!G91+'Avg Week Rubaga-Nateete'!G91</f>
        <v>0</v>
      </c>
      <c r="H91" s="49">
        <f>'Avg Week Nateete-Rubaga'!H91+'Avg Week Rubaga-Nateete'!H91</f>
        <v>2.5</v>
      </c>
      <c r="I91" s="49">
        <f>'Avg Week Nateete-Rubaga'!I91+'Avg Week Rubaga-Nateete'!I91</f>
        <v>1</v>
      </c>
      <c r="J91" s="49">
        <f>'Avg Week Nateete-Rubaga'!J91+'Avg Week Rubaga-Nateete'!J91</f>
        <v>0.5</v>
      </c>
      <c r="K91" s="49">
        <f>'Avg Week Nateete-Rubaga'!K91+'Avg Week Rubaga-Nateete'!K91</f>
        <v>0</v>
      </c>
      <c r="L91" s="49">
        <f>'Avg Week Nateete-Rubaga'!L91+'Avg Week Rubaga-Nateete'!L91</f>
        <v>0</v>
      </c>
      <c r="M91" s="49">
        <f>'Avg Week Nateete-Rubaga'!M91+'Avg Week Rubaga-Nateete'!M91</f>
        <v>24.5</v>
      </c>
      <c r="N91" s="49">
        <f>'Avg Week Nateete-Rubaga'!N91+'Avg Week Rubaga-Nateete'!N91</f>
        <v>0</v>
      </c>
      <c r="O91" s="15">
        <f t="shared" si="42"/>
        <v>25</v>
      </c>
      <c r="P91" s="15">
        <f t="shared" si="43"/>
        <v>49.5</v>
      </c>
      <c r="R91" s="8"/>
      <c r="T91"/>
    </row>
    <row r="92" spans="2:20" ht="23.1" customHeight="1" x14ac:dyDescent="0.25">
      <c r="B92" s="25" t="s">
        <v>132</v>
      </c>
      <c r="C92" s="49">
        <f>'Avg Week Nateete-Rubaga'!C92+'Avg Week Rubaga-Nateete'!C92</f>
        <v>6</v>
      </c>
      <c r="D92" s="49">
        <f>'Avg Week Nateete-Rubaga'!D92+'Avg Week Rubaga-Nateete'!D92</f>
        <v>2</v>
      </c>
      <c r="E92" s="49">
        <f>'Avg Week Nateete-Rubaga'!E92+'Avg Week Rubaga-Nateete'!E92</f>
        <v>0.5</v>
      </c>
      <c r="F92" s="49">
        <f>'Avg Week Nateete-Rubaga'!F92+'Avg Week Rubaga-Nateete'!F92</f>
        <v>1</v>
      </c>
      <c r="G92" s="49">
        <f>'Avg Week Nateete-Rubaga'!G92+'Avg Week Rubaga-Nateete'!G92</f>
        <v>1.5</v>
      </c>
      <c r="H92" s="49">
        <f>'Avg Week Nateete-Rubaga'!H92+'Avg Week Rubaga-Nateete'!H92</f>
        <v>0.5</v>
      </c>
      <c r="I92" s="49">
        <f>'Avg Week Nateete-Rubaga'!I92+'Avg Week Rubaga-Nateete'!I92</f>
        <v>3</v>
      </c>
      <c r="J92" s="49">
        <f>'Avg Week Nateete-Rubaga'!J92+'Avg Week Rubaga-Nateete'!J92</f>
        <v>0</v>
      </c>
      <c r="K92" s="49">
        <f>'Avg Week Nateete-Rubaga'!K92+'Avg Week Rubaga-Nateete'!K92</f>
        <v>0</v>
      </c>
      <c r="L92" s="49">
        <f>'Avg Week Nateete-Rubaga'!L92+'Avg Week Rubaga-Nateete'!L92</f>
        <v>0</v>
      </c>
      <c r="M92" s="49">
        <f>'Avg Week Nateete-Rubaga'!M92+'Avg Week Rubaga-Nateete'!M92</f>
        <v>21</v>
      </c>
      <c r="N92" s="49">
        <f>'Avg Week Nateete-Rubaga'!N92+'Avg Week Rubaga-Nateete'!N92</f>
        <v>0</v>
      </c>
      <c r="O92" s="15">
        <f t="shared" si="42"/>
        <v>14.5</v>
      </c>
      <c r="P92" s="15">
        <f t="shared" si="43"/>
        <v>35.5</v>
      </c>
      <c r="R92" s="8"/>
      <c r="T92"/>
    </row>
    <row r="93" spans="2:20" ht="23.1" customHeight="1" x14ac:dyDescent="0.25">
      <c r="B93" s="23" t="s">
        <v>133</v>
      </c>
      <c r="C93" s="49">
        <f>'Avg Week Nateete-Rubaga'!C93+'Avg Week Rubaga-Nateete'!C93</f>
        <v>10</v>
      </c>
      <c r="D93" s="49">
        <f>'Avg Week Nateete-Rubaga'!D93+'Avg Week Rubaga-Nateete'!D93</f>
        <v>3</v>
      </c>
      <c r="E93" s="49">
        <f>'Avg Week Nateete-Rubaga'!E93+'Avg Week Rubaga-Nateete'!E93</f>
        <v>2</v>
      </c>
      <c r="F93" s="49">
        <f>'Avg Week Nateete-Rubaga'!F93+'Avg Week Rubaga-Nateete'!F93</f>
        <v>2.5</v>
      </c>
      <c r="G93" s="49">
        <f>'Avg Week Nateete-Rubaga'!G93+'Avg Week Rubaga-Nateete'!G93</f>
        <v>0</v>
      </c>
      <c r="H93" s="49">
        <f>'Avg Week Nateete-Rubaga'!H93+'Avg Week Rubaga-Nateete'!H93</f>
        <v>0.5</v>
      </c>
      <c r="I93" s="49">
        <f>'Avg Week Nateete-Rubaga'!I93+'Avg Week Rubaga-Nateete'!I93</f>
        <v>1</v>
      </c>
      <c r="J93" s="49">
        <f>'Avg Week Nateete-Rubaga'!J93+'Avg Week Rubaga-Nateete'!J93</f>
        <v>0.5</v>
      </c>
      <c r="K93" s="49">
        <f>'Avg Week Nateete-Rubaga'!K93+'Avg Week Rubaga-Nateete'!K93</f>
        <v>0</v>
      </c>
      <c r="L93" s="49">
        <f>'Avg Week Nateete-Rubaga'!L93+'Avg Week Rubaga-Nateete'!L93</f>
        <v>0.5</v>
      </c>
      <c r="M93" s="49">
        <f>'Avg Week Nateete-Rubaga'!M93+'Avg Week Rubaga-Nateete'!M93</f>
        <v>28.5</v>
      </c>
      <c r="N93" s="49">
        <f>'Avg Week Nateete-Rubaga'!N93+'Avg Week Rubaga-Nateete'!N93</f>
        <v>0</v>
      </c>
      <c r="O93" s="15">
        <f t="shared" si="42"/>
        <v>20</v>
      </c>
      <c r="P93" s="15">
        <f t="shared" si="43"/>
        <v>48.5</v>
      </c>
      <c r="R93" s="8"/>
      <c r="T93"/>
    </row>
    <row r="94" spans="2:20" ht="23.1" customHeight="1" x14ac:dyDescent="0.25">
      <c r="B94" s="24" t="s">
        <v>134</v>
      </c>
      <c r="C94" s="49">
        <f>'Avg Week Nateete-Rubaga'!C94+'Avg Week Rubaga-Nateete'!C94</f>
        <v>13.5</v>
      </c>
      <c r="D94" s="49">
        <f>'Avg Week Nateete-Rubaga'!D94+'Avg Week Rubaga-Nateete'!D94</f>
        <v>1</v>
      </c>
      <c r="E94" s="49">
        <f>'Avg Week Nateete-Rubaga'!E94+'Avg Week Rubaga-Nateete'!E94</f>
        <v>1.5</v>
      </c>
      <c r="F94" s="49">
        <f>'Avg Week Nateete-Rubaga'!F94+'Avg Week Rubaga-Nateete'!F94</f>
        <v>2</v>
      </c>
      <c r="G94" s="49">
        <f>'Avg Week Nateete-Rubaga'!G94+'Avg Week Rubaga-Nateete'!G94</f>
        <v>0</v>
      </c>
      <c r="H94" s="49">
        <f>'Avg Week Nateete-Rubaga'!H94+'Avg Week Rubaga-Nateete'!H94</f>
        <v>3</v>
      </c>
      <c r="I94" s="49">
        <f>'Avg Week Nateete-Rubaga'!I94+'Avg Week Rubaga-Nateete'!I94</f>
        <v>1</v>
      </c>
      <c r="J94" s="49">
        <f>'Avg Week Nateete-Rubaga'!J94+'Avg Week Rubaga-Nateete'!J94</f>
        <v>0</v>
      </c>
      <c r="K94" s="49">
        <f>'Avg Week Nateete-Rubaga'!K94+'Avg Week Rubaga-Nateete'!K94</f>
        <v>0</v>
      </c>
      <c r="L94" s="49">
        <f>'Avg Week Nateete-Rubaga'!L94+'Avg Week Rubaga-Nateete'!L94</f>
        <v>0</v>
      </c>
      <c r="M94" s="49">
        <f>'Avg Week Nateete-Rubaga'!M94+'Avg Week Rubaga-Nateete'!M94</f>
        <v>29.5</v>
      </c>
      <c r="N94" s="49">
        <f>'Avg Week Nateete-Rubaga'!N94+'Avg Week Rubaga-Nateete'!N94</f>
        <v>0</v>
      </c>
      <c r="O94" s="15">
        <f t="shared" si="42"/>
        <v>22</v>
      </c>
      <c r="P94" s="15">
        <f t="shared" si="43"/>
        <v>51.5</v>
      </c>
      <c r="R94" s="8"/>
      <c r="T94"/>
    </row>
    <row r="95" spans="2:20" ht="23.1" customHeight="1" x14ac:dyDescent="0.25">
      <c r="B95" s="23" t="s">
        <v>135</v>
      </c>
      <c r="C95" s="49">
        <f>'Avg Week Nateete-Rubaga'!C95+'Avg Week Rubaga-Nateete'!C95</f>
        <v>10.5</v>
      </c>
      <c r="D95" s="49">
        <f>'Avg Week Nateete-Rubaga'!D95+'Avg Week Rubaga-Nateete'!D95</f>
        <v>2</v>
      </c>
      <c r="E95" s="49">
        <f>'Avg Week Nateete-Rubaga'!E95+'Avg Week Rubaga-Nateete'!E95</f>
        <v>0.5</v>
      </c>
      <c r="F95" s="49">
        <f>'Avg Week Nateete-Rubaga'!F95+'Avg Week Rubaga-Nateete'!F95</f>
        <v>9</v>
      </c>
      <c r="G95" s="49">
        <f>'Avg Week Nateete-Rubaga'!G95+'Avg Week Rubaga-Nateete'!G95</f>
        <v>0</v>
      </c>
      <c r="H95" s="49">
        <f>'Avg Week Nateete-Rubaga'!H95+'Avg Week Rubaga-Nateete'!H95</f>
        <v>2.5</v>
      </c>
      <c r="I95" s="49">
        <f>'Avg Week Nateete-Rubaga'!I95+'Avg Week Rubaga-Nateete'!I95</f>
        <v>0.5</v>
      </c>
      <c r="J95" s="49">
        <f>'Avg Week Nateete-Rubaga'!J95+'Avg Week Rubaga-Nateete'!J95</f>
        <v>1.5</v>
      </c>
      <c r="K95" s="49">
        <f>'Avg Week Nateete-Rubaga'!K95+'Avg Week Rubaga-Nateete'!K95</f>
        <v>0</v>
      </c>
      <c r="L95" s="49">
        <f>'Avg Week Nateete-Rubaga'!L95+'Avg Week Rubaga-Nateete'!L95</f>
        <v>0</v>
      </c>
      <c r="M95" s="49">
        <f>'Avg Week Nateete-Rubaga'!M95+'Avg Week Rubaga-Nateete'!M95</f>
        <v>29.5</v>
      </c>
      <c r="N95" s="49">
        <f>'Avg Week Nateete-Rubaga'!N95+'Avg Week Rubaga-Nateete'!N95</f>
        <v>0</v>
      </c>
      <c r="O95" s="15">
        <f t="shared" si="42"/>
        <v>26.5</v>
      </c>
      <c r="P95" s="15">
        <f t="shared" si="43"/>
        <v>56</v>
      </c>
      <c r="R95" s="8"/>
      <c r="T95"/>
    </row>
    <row r="96" spans="2:20" ht="23.1" customHeight="1" x14ac:dyDescent="0.25">
      <c r="B96" s="25" t="s">
        <v>136</v>
      </c>
      <c r="C96" s="49">
        <f>'Avg Week Nateete-Rubaga'!C96+'Avg Week Rubaga-Nateete'!C96</f>
        <v>11</v>
      </c>
      <c r="D96" s="49">
        <f>'Avg Week Nateete-Rubaga'!D96+'Avg Week Rubaga-Nateete'!D96</f>
        <v>7.5</v>
      </c>
      <c r="E96" s="49">
        <f>'Avg Week Nateete-Rubaga'!E96+'Avg Week Rubaga-Nateete'!E96</f>
        <v>1</v>
      </c>
      <c r="F96" s="49">
        <f>'Avg Week Nateete-Rubaga'!F96+'Avg Week Rubaga-Nateete'!F96</f>
        <v>11</v>
      </c>
      <c r="G96" s="49">
        <f>'Avg Week Nateete-Rubaga'!G96+'Avg Week Rubaga-Nateete'!G96</f>
        <v>1</v>
      </c>
      <c r="H96" s="49">
        <f>'Avg Week Nateete-Rubaga'!H96+'Avg Week Rubaga-Nateete'!H96</f>
        <v>4.5</v>
      </c>
      <c r="I96" s="49">
        <f>'Avg Week Nateete-Rubaga'!I96+'Avg Week Rubaga-Nateete'!I96</f>
        <v>2</v>
      </c>
      <c r="J96" s="49">
        <f>'Avg Week Nateete-Rubaga'!J96+'Avg Week Rubaga-Nateete'!J96</f>
        <v>2</v>
      </c>
      <c r="K96" s="49">
        <f>'Avg Week Nateete-Rubaga'!K96+'Avg Week Rubaga-Nateete'!K96</f>
        <v>0</v>
      </c>
      <c r="L96" s="49">
        <f>'Avg Week Nateete-Rubaga'!L96+'Avg Week Rubaga-Nateete'!L96</f>
        <v>0</v>
      </c>
      <c r="M96" s="49">
        <f>'Avg Week Nateete-Rubaga'!M96+'Avg Week Rubaga-Nateete'!M96</f>
        <v>58</v>
      </c>
      <c r="N96" s="49">
        <f>'Avg Week Nateete-Rubaga'!N96+'Avg Week Rubaga-Nateete'!N96</f>
        <v>0</v>
      </c>
      <c r="O96" s="15">
        <f t="shared" si="42"/>
        <v>40</v>
      </c>
      <c r="P96" s="15">
        <f t="shared" si="43"/>
        <v>98</v>
      </c>
      <c r="R96" s="8"/>
      <c r="T96"/>
    </row>
    <row r="97" spans="2:20" ht="23.1" customHeight="1" x14ac:dyDescent="0.25">
      <c r="B97" s="23" t="s">
        <v>137</v>
      </c>
      <c r="C97" s="49">
        <f>'Avg Week Nateete-Rubaga'!C97+'Avg Week Rubaga-Nateete'!C97</f>
        <v>19</v>
      </c>
      <c r="D97" s="49">
        <f>'Avg Week Nateete-Rubaga'!D97+'Avg Week Rubaga-Nateete'!D97</f>
        <v>6.5</v>
      </c>
      <c r="E97" s="49">
        <f>'Avg Week Nateete-Rubaga'!E97+'Avg Week Rubaga-Nateete'!E97</f>
        <v>1.5</v>
      </c>
      <c r="F97" s="49">
        <f>'Avg Week Nateete-Rubaga'!F97+'Avg Week Rubaga-Nateete'!F97</f>
        <v>11</v>
      </c>
      <c r="G97" s="49">
        <f>'Avg Week Nateete-Rubaga'!G97+'Avg Week Rubaga-Nateete'!G97</f>
        <v>0</v>
      </c>
      <c r="H97" s="49">
        <f>'Avg Week Nateete-Rubaga'!H97+'Avg Week Rubaga-Nateete'!H97</f>
        <v>3.5</v>
      </c>
      <c r="I97" s="49">
        <f>'Avg Week Nateete-Rubaga'!I97+'Avg Week Rubaga-Nateete'!I97</f>
        <v>4</v>
      </c>
      <c r="J97" s="49">
        <f>'Avg Week Nateete-Rubaga'!J97+'Avg Week Rubaga-Nateete'!J97</f>
        <v>0</v>
      </c>
      <c r="K97" s="49">
        <f>'Avg Week Nateete-Rubaga'!K97+'Avg Week Rubaga-Nateete'!K97</f>
        <v>0</v>
      </c>
      <c r="L97" s="49">
        <f>'Avg Week Nateete-Rubaga'!L97+'Avg Week Rubaga-Nateete'!L97</f>
        <v>0</v>
      </c>
      <c r="M97" s="49">
        <f>'Avg Week Nateete-Rubaga'!M97+'Avg Week Rubaga-Nateete'!M97</f>
        <v>36</v>
      </c>
      <c r="N97" s="49">
        <f>'Avg Week Nateete-Rubaga'!N97+'Avg Week Rubaga-Nateete'!N97</f>
        <v>0</v>
      </c>
      <c r="O97" s="15">
        <f t="shared" si="42"/>
        <v>45.5</v>
      </c>
      <c r="P97" s="15">
        <f t="shared" si="43"/>
        <v>81.5</v>
      </c>
      <c r="R97" s="8"/>
      <c r="T97"/>
    </row>
    <row r="98" spans="2:20" ht="23.1" customHeight="1" x14ac:dyDescent="0.25">
      <c r="B98" s="24" t="s">
        <v>138</v>
      </c>
      <c r="C98" s="49">
        <f>'Avg Week Nateete-Rubaga'!C98+'Avg Week Rubaga-Nateete'!C98</f>
        <v>4.5</v>
      </c>
      <c r="D98" s="49">
        <f>'Avg Week Nateete-Rubaga'!D98+'Avg Week Rubaga-Nateete'!D98</f>
        <v>4.5</v>
      </c>
      <c r="E98" s="49">
        <f>'Avg Week Nateete-Rubaga'!E98+'Avg Week Rubaga-Nateete'!E98</f>
        <v>2</v>
      </c>
      <c r="F98" s="49">
        <f>'Avg Week Nateete-Rubaga'!F98+'Avg Week Rubaga-Nateete'!F98</f>
        <v>12.5</v>
      </c>
      <c r="G98" s="49">
        <f>'Avg Week Nateete-Rubaga'!G98+'Avg Week Rubaga-Nateete'!G98</f>
        <v>1</v>
      </c>
      <c r="H98" s="49">
        <f>'Avg Week Nateete-Rubaga'!H98+'Avg Week Rubaga-Nateete'!H98</f>
        <v>3</v>
      </c>
      <c r="I98" s="49">
        <f>'Avg Week Nateete-Rubaga'!I98+'Avg Week Rubaga-Nateete'!I98</f>
        <v>1</v>
      </c>
      <c r="J98" s="49">
        <f>'Avg Week Nateete-Rubaga'!J98+'Avg Week Rubaga-Nateete'!J98</f>
        <v>0.5</v>
      </c>
      <c r="K98" s="49">
        <f>'Avg Week Nateete-Rubaga'!K98+'Avg Week Rubaga-Nateete'!K98</f>
        <v>0</v>
      </c>
      <c r="L98" s="49">
        <f>'Avg Week Nateete-Rubaga'!L98+'Avg Week Rubaga-Nateete'!L98</f>
        <v>0</v>
      </c>
      <c r="M98" s="49">
        <f>'Avg Week Nateete-Rubaga'!M98+'Avg Week Rubaga-Nateete'!M98</f>
        <v>96.5</v>
      </c>
      <c r="N98" s="49">
        <f>'Avg Week Nateete-Rubaga'!N98+'Avg Week Rubaga-Nateete'!N98</f>
        <v>0</v>
      </c>
      <c r="O98" s="15">
        <f t="shared" si="42"/>
        <v>29</v>
      </c>
      <c r="P98" s="15">
        <f t="shared" si="43"/>
        <v>125.5</v>
      </c>
      <c r="R98" s="8"/>
      <c r="T98"/>
    </row>
    <row r="99" spans="2:20" ht="23.1" customHeight="1" x14ac:dyDescent="0.25">
      <c r="B99" s="23" t="s">
        <v>139</v>
      </c>
      <c r="C99" s="49">
        <f>'Avg Week Nateete-Rubaga'!C99+'Avg Week Rubaga-Nateete'!C99</f>
        <v>10.5</v>
      </c>
      <c r="D99" s="49">
        <f>'Avg Week Nateete-Rubaga'!D99+'Avg Week Rubaga-Nateete'!D99</f>
        <v>10</v>
      </c>
      <c r="E99" s="49">
        <f>'Avg Week Nateete-Rubaga'!E99+'Avg Week Rubaga-Nateete'!E99</f>
        <v>1</v>
      </c>
      <c r="F99" s="49">
        <f>'Avg Week Nateete-Rubaga'!F99+'Avg Week Rubaga-Nateete'!F99</f>
        <v>72.5</v>
      </c>
      <c r="G99" s="49">
        <f>'Avg Week Nateete-Rubaga'!G99+'Avg Week Rubaga-Nateete'!G99</f>
        <v>0</v>
      </c>
      <c r="H99" s="49">
        <f>'Avg Week Nateete-Rubaga'!H99+'Avg Week Rubaga-Nateete'!H99</f>
        <v>1</v>
      </c>
      <c r="I99" s="49">
        <f>'Avg Week Nateete-Rubaga'!I99+'Avg Week Rubaga-Nateete'!I99</f>
        <v>1</v>
      </c>
      <c r="J99" s="49">
        <f>'Avg Week Nateete-Rubaga'!J99+'Avg Week Rubaga-Nateete'!J99</f>
        <v>1</v>
      </c>
      <c r="K99" s="49">
        <f>'Avg Week Nateete-Rubaga'!K99+'Avg Week Rubaga-Nateete'!K99</f>
        <v>0</v>
      </c>
      <c r="L99" s="49">
        <f>'Avg Week Nateete-Rubaga'!L99+'Avg Week Rubaga-Nateete'!L99</f>
        <v>0</v>
      </c>
      <c r="M99" s="49">
        <f>'Avg Week Nateete-Rubaga'!M99+'Avg Week Rubaga-Nateete'!M99</f>
        <v>96.5</v>
      </c>
      <c r="N99" s="49">
        <f>'Avg Week Nateete-Rubaga'!N99+'Avg Week Rubaga-Nateete'!N99</f>
        <v>0</v>
      </c>
      <c r="O99" s="15">
        <f t="shared" si="42"/>
        <v>97</v>
      </c>
      <c r="P99" s="15">
        <f t="shared" si="43"/>
        <v>193.5</v>
      </c>
      <c r="R99" s="8"/>
      <c r="T99"/>
    </row>
    <row r="100" spans="2:20" ht="23.1" customHeight="1" x14ac:dyDescent="0.25">
      <c r="B100" s="25" t="s">
        <v>140</v>
      </c>
      <c r="C100" s="49">
        <f>'Avg Week Nateete-Rubaga'!C100+'Avg Week Rubaga-Nateete'!C100</f>
        <v>10</v>
      </c>
      <c r="D100" s="49">
        <f>'Avg Week Nateete-Rubaga'!D100+'Avg Week Rubaga-Nateete'!D100</f>
        <v>5.5</v>
      </c>
      <c r="E100" s="49">
        <f>'Avg Week Nateete-Rubaga'!E100+'Avg Week Rubaga-Nateete'!E100</f>
        <v>2</v>
      </c>
      <c r="F100" s="49">
        <f>'Avg Week Nateete-Rubaga'!F100+'Avg Week Rubaga-Nateete'!F100</f>
        <v>63.5</v>
      </c>
      <c r="G100" s="49">
        <f>'Avg Week Nateete-Rubaga'!G100+'Avg Week Rubaga-Nateete'!G100</f>
        <v>0</v>
      </c>
      <c r="H100" s="49">
        <f>'Avg Week Nateete-Rubaga'!H100+'Avg Week Rubaga-Nateete'!H100</f>
        <v>4</v>
      </c>
      <c r="I100" s="49">
        <f>'Avg Week Nateete-Rubaga'!I100+'Avg Week Rubaga-Nateete'!I100</f>
        <v>1.5</v>
      </c>
      <c r="J100" s="49">
        <f>'Avg Week Nateete-Rubaga'!J100+'Avg Week Rubaga-Nateete'!J100</f>
        <v>0</v>
      </c>
      <c r="K100" s="49">
        <f>'Avg Week Nateete-Rubaga'!K100+'Avg Week Rubaga-Nateete'!K100</f>
        <v>0</v>
      </c>
      <c r="L100" s="49">
        <f>'Avg Week Nateete-Rubaga'!L100+'Avg Week Rubaga-Nateete'!L100</f>
        <v>0</v>
      </c>
      <c r="M100" s="49">
        <f>'Avg Week Nateete-Rubaga'!M100+'Avg Week Rubaga-Nateete'!M100</f>
        <v>108</v>
      </c>
      <c r="N100" s="49">
        <f>'Avg Week Nateete-Rubaga'!N100+'Avg Week Rubaga-Nateete'!N100</f>
        <v>0</v>
      </c>
      <c r="O100" s="15">
        <f t="shared" si="42"/>
        <v>86.5</v>
      </c>
      <c r="P100" s="15">
        <f t="shared" si="43"/>
        <v>194.5</v>
      </c>
      <c r="R100" s="8"/>
      <c r="T100"/>
    </row>
    <row r="101" spans="2:20" ht="23.1" customHeight="1" x14ac:dyDescent="0.25">
      <c r="B101" s="23" t="s">
        <v>141</v>
      </c>
      <c r="C101" s="49">
        <f>'Avg Week Nateete-Rubaga'!C101+'Avg Week Rubaga-Nateete'!C101</f>
        <v>17</v>
      </c>
      <c r="D101" s="49">
        <f>'Avg Week Nateete-Rubaga'!D101+'Avg Week Rubaga-Nateete'!D101</f>
        <v>8</v>
      </c>
      <c r="E101" s="49">
        <f>'Avg Week Nateete-Rubaga'!E101+'Avg Week Rubaga-Nateete'!E101</f>
        <v>4</v>
      </c>
      <c r="F101" s="49">
        <f>'Avg Week Nateete-Rubaga'!F101+'Avg Week Rubaga-Nateete'!F101</f>
        <v>73.5</v>
      </c>
      <c r="G101" s="49">
        <f>'Avg Week Nateete-Rubaga'!G101+'Avg Week Rubaga-Nateete'!G101</f>
        <v>3</v>
      </c>
      <c r="H101" s="49">
        <f>'Avg Week Nateete-Rubaga'!H101+'Avg Week Rubaga-Nateete'!H101</f>
        <v>4</v>
      </c>
      <c r="I101" s="49">
        <f>'Avg Week Nateete-Rubaga'!I101+'Avg Week Rubaga-Nateete'!I101</f>
        <v>1.5</v>
      </c>
      <c r="J101" s="49">
        <f>'Avg Week Nateete-Rubaga'!J101+'Avg Week Rubaga-Nateete'!J101</f>
        <v>2</v>
      </c>
      <c r="K101" s="49">
        <f>'Avg Week Nateete-Rubaga'!K101+'Avg Week Rubaga-Nateete'!K101</f>
        <v>0</v>
      </c>
      <c r="L101" s="49">
        <f>'Avg Week Nateete-Rubaga'!L101+'Avg Week Rubaga-Nateete'!L101</f>
        <v>0</v>
      </c>
      <c r="M101" s="49">
        <f>'Avg Week Nateete-Rubaga'!M101+'Avg Week Rubaga-Nateete'!M101</f>
        <v>121</v>
      </c>
      <c r="N101" s="49">
        <f>'Avg Week Nateete-Rubaga'!N101+'Avg Week Rubaga-Nateete'!N101</f>
        <v>0</v>
      </c>
      <c r="O101" s="15">
        <f t="shared" si="42"/>
        <v>113</v>
      </c>
      <c r="P101" s="15">
        <f t="shared" si="43"/>
        <v>234</v>
      </c>
      <c r="R101" s="8"/>
      <c r="T101"/>
    </row>
    <row r="102" spans="2:20" ht="23.1" customHeight="1" x14ac:dyDescent="0.25">
      <c r="B102" s="24" t="s">
        <v>142</v>
      </c>
      <c r="C102" s="49">
        <f>'Avg Week Nateete-Rubaga'!C102+'Avg Week Rubaga-Nateete'!C102</f>
        <v>20.5</v>
      </c>
      <c r="D102" s="49">
        <f>'Avg Week Nateete-Rubaga'!D102+'Avg Week Rubaga-Nateete'!D102</f>
        <v>8</v>
      </c>
      <c r="E102" s="49">
        <f>'Avg Week Nateete-Rubaga'!E102+'Avg Week Rubaga-Nateete'!E102</f>
        <v>4</v>
      </c>
      <c r="F102" s="49">
        <f>'Avg Week Nateete-Rubaga'!F102+'Avg Week Rubaga-Nateete'!F102</f>
        <v>38.5</v>
      </c>
      <c r="G102" s="49">
        <f>'Avg Week Nateete-Rubaga'!G102+'Avg Week Rubaga-Nateete'!G102</f>
        <v>2</v>
      </c>
      <c r="H102" s="49">
        <f>'Avg Week Nateete-Rubaga'!H102+'Avg Week Rubaga-Nateete'!H102</f>
        <v>2.5</v>
      </c>
      <c r="I102" s="49">
        <f>'Avg Week Nateete-Rubaga'!I102+'Avg Week Rubaga-Nateete'!I102</f>
        <v>6</v>
      </c>
      <c r="J102" s="49">
        <f>'Avg Week Nateete-Rubaga'!J102+'Avg Week Rubaga-Nateete'!J102</f>
        <v>0.5</v>
      </c>
      <c r="K102" s="49">
        <f>'Avg Week Nateete-Rubaga'!K102+'Avg Week Rubaga-Nateete'!K102</f>
        <v>0</v>
      </c>
      <c r="L102" s="49">
        <f>'Avg Week Nateete-Rubaga'!L102+'Avg Week Rubaga-Nateete'!L102</f>
        <v>1</v>
      </c>
      <c r="M102" s="49">
        <f>'Avg Week Nateete-Rubaga'!M102+'Avg Week Rubaga-Nateete'!M102</f>
        <v>123</v>
      </c>
      <c r="N102" s="49">
        <f>'Avg Week Nateete-Rubaga'!N102+'Avg Week Rubaga-Nateete'!N102</f>
        <v>0</v>
      </c>
      <c r="O102" s="15">
        <f t="shared" si="42"/>
        <v>83</v>
      </c>
      <c r="P102" s="15">
        <f t="shared" si="43"/>
        <v>206</v>
      </c>
      <c r="R102" s="8"/>
      <c r="T102"/>
    </row>
    <row r="103" spans="2:20" ht="23.1" customHeight="1" x14ac:dyDescent="0.25">
      <c r="B103" s="23" t="s">
        <v>143</v>
      </c>
      <c r="C103" s="49">
        <f>'Avg Week Nateete-Rubaga'!C103+'Avg Week Rubaga-Nateete'!C103</f>
        <v>31.5</v>
      </c>
      <c r="D103" s="49">
        <f>'Avg Week Nateete-Rubaga'!D103+'Avg Week Rubaga-Nateete'!D103</f>
        <v>10.5</v>
      </c>
      <c r="E103" s="49">
        <f>'Avg Week Nateete-Rubaga'!E103+'Avg Week Rubaga-Nateete'!E103</f>
        <v>3.5</v>
      </c>
      <c r="F103" s="49">
        <f>'Avg Week Nateete-Rubaga'!F103+'Avg Week Rubaga-Nateete'!F103</f>
        <v>59</v>
      </c>
      <c r="G103" s="49">
        <f>'Avg Week Nateete-Rubaga'!G103+'Avg Week Rubaga-Nateete'!G103</f>
        <v>3</v>
      </c>
      <c r="H103" s="49">
        <f>'Avg Week Nateete-Rubaga'!H103+'Avg Week Rubaga-Nateete'!H103</f>
        <v>2.5</v>
      </c>
      <c r="I103" s="49">
        <f>'Avg Week Nateete-Rubaga'!I103+'Avg Week Rubaga-Nateete'!I103</f>
        <v>3.5</v>
      </c>
      <c r="J103" s="49">
        <f>'Avg Week Nateete-Rubaga'!J103+'Avg Week Rubaga-Nateete'!J103</f>
        <v>0.5</v>
      </c>
      <c r="K103" s="49">
        <f>'Avg Week Nateete-Rubaga'!K103+'Avg Week Rubaga-Nateete'!K103</f>
        <v>0.5</v>
      </c>
      <c r="L103" s="49">
        <f>'Avg Week Nateete-Rubaga'!L103+'Avg Week Rubaga-Nateete'!L103</f>
        <v>0</v>
      </c>
      <c r="M103" s="49">
        <f>'Avg Week Nateete-Rubaga'!M103+'Avg Week Rubaga-Nateete'!M103</f>
        <v>153</v>
      </c>
      <c r="N103" s="49">
        <f>'Avg Week Nateete-Rubaga'!N103+'Avg Week Rubaga-Nateete'!N103</f>
        <v>0</v>
      </c>
      <c r="O103" s="15">
        <f t="shared" si="42"/>
        <v>114.5</v>
      </c>
      <c r="P103" s="15">
        <f t="shared" si="43"/>
        <v>267.5</v>
      </c>
      <c r="R103" s="8"/>
      <c r="T103"/>
    </row>
    <row r="104" spans="2:20" ht="23.1" customHeight="1" x14ac:dyDescent="0.25">
      <c r="B104" s="25" t="s">
        <v>144</v>
      </c>
      <c r="C104" s="49">
        <f>'Avg Week Nateete-Rubaga'!C104+'Avg Week Rubaga-Nateete'!C104</f>
        <v>25.5</v>
      </c>
      <c r="D104" s="49">
        <f>'Avg Week Nateete-Rubaga'!D104+'Avg Week Rubaga-Nateete'!D104</f>
        <v>28.5</v>
      </c>
      <c r="E104" s="49">
        <f>'Avg Week Nateete-Rubaga'!E104+'Avg Week Rubaga-Nateete'!E104</f>
        <v>4</v>
      </c>
      <c r="F104" s="49">
        <f>'Avg Week Nateete-Rubaga'!F104+'Avg Week Rubaga-Nateete'!F104</f>
        <v>82.5</v>
      </c>
      <c r="G104" s="49">
        <f>'Avg Week Nateete-Rubaga'!G104+'Avg Week Rubaga-Nateete'!G104</f>
        <v>2</v>
      </c>
      <c r="H104" s="49">
        <f>'Avg Week Nateete-Rubaga'!H104+'Avg Week Rubaga-Nateete'!H104</f>
        <v>1.5</v>
      </c>
      <c r="I104" s="49">
        <f>'Avg Week Nateete-Rubaga'!I104+'Avg Week Rubaga-Nateete'!I104</f>
        <v>4</v>
      </c>
      <c r="J104" s="49">
        <f>'Avg Week Nateete-Rubaga'!J104+'Avg Week Rubaga-Nateete'!J104</f>
        <v>2</v>
      </c>
      <c r="K104" s="49">
        <f>'Avg Week Nateete-Rubaga'!K104+'Avg Week Rubaga-Nateete'!K104</f>
        <v>0.5</v>
      </c>
      <c r="L104" s="49">
        <f>'Avg Week Nateete-Rubaga'!L104+'Avg Week Rubaga-Nateete'!L104</f>
        <v>0</v>
      </c>
      <c r="M104" s="49">
        <f>'Avg Week Nateete-Rubaga'!M104+'Avg Week Rubaga-Nateete'!M104</f>
        <v>185.5</v>
      </c>
      <c r="N104" s="49">
        <f>'Avg Week Nateete-Rubaga'!N104+'Avg Week Rubaga-Nateete'!N104</f>
        <v>0</v>
      </c>
      <c r="O104" s="15">
        <f t="shared" si="42"/>
        <v>150.5</v>
      </c>
      <c r="P104" s="15">
        <f t="shared" si="43"/>
        <v>336</v>
      </c>
      <c r="R104" s="8"/>
      <c r="T104"/>
    </row>
    <row r="105" spans="2:20" ht="23.1" customHeight="1" x14ac:dyDescent="0.25">
      <c r="B105" s="23" t="s">
        <v>145</v>
      </c>
      <c r="C105" s="49">
        <f>'Avg Week Nateete-Rubaga'!C105+'Avg Week Rubaga-Nateete'!C105</f>
        <v>50</v>
      </c>
      <c r="D105" s="49">
        <f>'Avg Week Nateete-Rubaga'!D105+'Avg Week Rubaga-Nateete'!D105</f>
        <v>13</v>
      </c>
      <c r="E105" s="49">
        <f>'Avg Week Nateete-Rubaga'!E105+'Avg Week Rubaga-Nateete'!E105</f>
        <v>5.5</v>
      </c>
      <c r="F105" s="49">
        <f>'Avg Week Nateete-Rubaga'!F105+'Avg Week Rubaga-Nateete'!F105</f>
        <v>85</v>
      </c>
      <c r="G105" s="49">
        <f>'Avg Week Nateete-Rubaga'!G105+'Avg Week Rubaga-Nateete'!G105</f>
        <v>1.5</v>
      </c>
      <c r="H105" s="49">
        <f>'Avg Week Nateete-Rubaga'!H105+'Avg Week Rubaga-Nateete'!H105</f>
        <v>0.5</v>
      </c>
      <c r="I105" s="49">
        <f>'Avg Week Nateete-Rubaga'!I105+'Avg Week Rubaga-Nateete'!I105</f>
        <v>11</v>
      </c>
      <c r="J105" s="49">
        <f>'Avg Week Nateete-Rubaga'!J105+'Avg Week Rubaga-Nateete'!J105</f>
        <v>3.5</v>
      </c>
      <c r="K105" s="49">
        <f>'Avg Week Nateete-Rubaga'!K105+'Avg Week Rubaga-Nateete'!K105</f>
        <v>0</v>
      </c>
      <c r="L105" s="49">
        <f>'Avg Week Nateete-Rubaga'!L105+'Avg Week Rubaga-Nateete'!L105</f>
        <v>0</v>
      </c>
      <c r="M105" s="49">
        <f>'Avg Week Nateete-Rubaga'!M105+'Avg Week Rubaga-Nateete'!M105</f>
        <v>129.5</v>
      </c>
      <c r="N105" s="49">
        <f>'Avg Week Nateete-Rubaga'!N105+'Avg Week Rubaga-Nateete'!N105</f>
        <v>0</v>
      </c>
      <c r="O105" s="15">
        <f t="shared" si="42"/>
        <v>170</v>
      </c>
      <c r="P105" s="15">
        <f t="shared" si="43"/>
        <v>299.5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6372.0714285714275</v>
      </c>
      <c r="D106" s="16">
        <f t="shared" ref="D106:N106" si="44">SUM(D10:D105)</f>
        <v>1206.7142857142853</v>
      </c>
      <c r="E106" s="16">
        <f t="shared" si="44"/>
        <v>846.57142857142844</v>
      </c>
      <c r="F106" s="16">
        <f t="shared" si="44"/>
        <v>6416.5</v>
      </c>
      <c r="G106" s="16">
        <f t="shared" si="44"/>
        <v>239.35714285714286</v>
      </c>
      <c r="H106" s="16">
        <f t="shared" si="44"/>
        <v>287.85714285714283</v>
      </c>
      <c r="I106" s="16">
        <f t="shared" si="44"/>
        <v>475.00000000000006</v>
      </c>
      <c r="J106" s="16">
        <f t="shared" si="44"/>
        <v>330.78571428571422</v>
      </c>
      <c r="K106" s="16">
        <f t="shared" si="44"/>
        <v>99.642857142857139</v>
      </c>
      <c r="L106" s="16">
        <f t="shared" si="44"/>
        <v>111.71428571428571</v>
      </c>
      <c r="M106" s="16">
        <f t="shared" si="44"/>
        <v>24022.642857142855</v>
      </c>
      <c r="N106" s="16">
        <f t="shared" si="44"/>
        <v>1.4285714285714286</v>
      </c>
      <c r="O106" s="16">
        <f>SUM(O10:O57)</f>
        <v>9654.1428571428605</v>
      </c>
      <c r="P106" s="16">
        <f>SUM(P10:P57)</f>
        <v>25690.285714285703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5">C106/$P$106</f>
        <v>0.24803427643578457</v>
      </c>
      <c r="D107" s="43">
        <f t="shared" si="45"/>
        <v>4.6971617954535347E-2</v>
      </c>
      <c r="E107" s="43">
        <f t="shared" si="45"/>
        <v>3.2952978335335212E-2</v>
      </c>
      <c r="F107" s="43">
        <f t="shared" si="45"/>
        <v>0.24976366831264746</v>
      </c>
      <c r="G107" s="43">
        <f t="shared" si="45"/>
        <v>9.3170292272787975E-3</v>
      </c>
      <c r="H107" s="43">
        <f t="shared" si="45"/>
        <v>1.1204902353307535E-2</v>
      </c>
      <c r="I107" s="43">
        <f t="shared" si="45"/>
        <v>1.848947906935363E-2</v>
      </c>
      <c r="J107" s="43">
        <f t="shared" si="45"/>
        <v>1.2875906401530321E-2</v>
      </c>
      <c r="K107" s="43">
        <f t="shared" si="45"/>
        <v>3.8786200453756856E-3</v>
      </c>
      <c r="L107" s="43">
        <f t="shared" si="45"/>
        <v>4.348503047288582E-3</v>
      </c>
      <c r="M107" s="43">
        <f t="shared" si="45"/>
        <v>0.93508663641621104</v>
      </c>
      <c r="N107" s="43">
        <f t="shared" si="45"/>
        <v>5.5607455847680083E-5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0.66003492209118186</v>
      </c>
      <c r="D108" s="44">
        <f t="shared" ref="D108:N108" si="46">D106/$O$106</f>
        <v>0.12499445093890105</v>
      </c>
      <c r="E108" s="44">
        <f t="shared" si="46"/>
        <v>8.7689962858284329E-2</v>
      </c>
      <c r="F108" s="44">
        <f t="shared" si="46"/>
        <v>0.66463694342917157</v>
      </c>
      <c r="G108" s="44">
        <f t="shared" si="46"/>
        <v>2.4793204989715732E-2</v>
      </c>
      <c r="H108" s="44">
        <f t="shared" si="46"/>
        <v>2.9816954971218858E-2</v>
      </c>
      <c r="I108" s="44">
        <f t="shared" si="46"/>
        <v>4.920167507657703E-2</v>
      </c>
      <c r="J108" s="44">
        <f t="shared" si="46"/>
        <v>3.4263602598440322E-2</v>
      </c>
      <c r="K108" s="44">
        <f t="shared" si="46"/>
        <v>1.0321253643883451E-2</v>
      </c>
      <c r="L108" s="44">
        <f t="shared" si="46"/>
        <v>1.1571642078160371E-2</v>
      </c>
      <c r="M108" s="44"/>
      <c r="N108" s="44">
        <f t="shared" si="46"/>
        <v>1.4797496263632188E-4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Natete-Rubaga</vt:lpstr>
      <vt:lpstr>22.07 Rubaga-Natete</vt:lpstr>
      <vt:lpstr>23.07 Natete-Rubaga</vt:lpstr>
      <vt:lpstr>23.07 Rubaga-Natete</vt:lpstr>
      <vt:lpstr>24.07 Natete-Rubaga</vt:lpstr>
      <vt:lpstr>24.07 Rubaga-Natete</vt:lpstr>
      <vt:lpstr>25.07 Natete-Rubaga</vt:lpstr>
      <vt:lpstr>25.07 Rubaga-natete</vt:lpstr>
      <vt:lpstr>26.07 Natete-Rubaga-24h</vt:lpstr>
      <vt:lpstr>26.07 Rubaga-Natete-24h</vt:lpstr>
      <vt:lpstr>27.07 Natete-Rubaga-24h</vt:lpstr>
      <vt:lpstr>27.07 Rubaga-Natete-24h</vt:lpstr>
      <vt:lpstr>28.07 Natete-Rubaga</vt:lpstr>
      <vt:lpstr>28.07 Rubaga-Natete</vt:lpstr>
      <vt:lpstr>Avg Week Nateete-Rubaga</vt:lpstr>
      <vt:lpstr>Avg Week Rubaga-Nateete</vt:lpstr>
      <vt:lpstr>Avg Week Nateete-Rubaga-2Dir</vt:lpstr>
      <vt:lpstr>'22.07 Natete-Rubaga'!Print_Area</vt:lpstr>
      <vt:lpstr>'22.07 Rubaga-Natete'!Print_Area</vt:lpstr>
      <vt:lpstr>'23.07 Natete-Rubaga'!Print_Area</vt:lpstr>
      <vt:lpstr>'23.07 Rubaga-Natete'!Print_Area</vt:lpstr>
      <vt:lpstr>'24.07 Natete-Rubaga'!Print_Area</vt:lpstr>
      <vt:lpstr>'24.07 Rubaga-Natete'!Print_Area</vt:lpstr>
      <vt:lpstr>'25.07 Natete-Rubaga'!Print_Area</vt:lpstr>
      <vt:lpstr>'25.07 Rubaga-natete'!Print_Area</vt:lpstr>
      <vt:lpstr>'26.07 Natete-Rubaga-24h'!Print_Area</vt:lpstr>
      <vt:lpstr>'26.07 Rubaga-Natete-24h'!Print_Area</vt:lpstr>
      <vt:lpstr>'27.07 Natete-Rubaga-24h'!Print_Area</vt:lpstr>
      <vt:lpstr>'27.07 Rubaga-Natete-24h'!Print_Area</vt:lpstr>
      <vt:lpstr>'28.07 Natete-Rubaga'!Print_Area</vt:lpstr>
      <vt:lpstr>'28.07 Rubaga-Natete'!Print_Area</vt:lpstr>
      <vt:lpstr>'Avg Week Nateete-Rubaga'!Print_Area</vt:lpstr>
      <vt:lpstr>'Avg Week Nateete-Rubaga-2Dir'!Print_Area</vt:lpstr>
      <vt:lpstr>'Avg Week Rubaga-Nateete'!Print_Area</vt:lpstr>
      <vt:lpstr>'22.07 Natete-Rubaga'!Print_Titles</vt:lpstr>
      <vt:lpstr>'22.07 Rubaga-Natete'!Print_Titles</vt:lpstr>
      <vt:lpstr>'23.07 Natete-Rubaga'!Print_Titles</vt:lpstr>
      <vt:lpstr>'23.07 Rubaga-Natete'!Print_Titles</vt:lpstr>
      <vt:lpstr>'24.07 Natete-Rubaga'!Print_Titles</vt:lpstr>
      <vt:lpstr>'24.07 Rubaga-Natete'!Print_Titles</vt:lpstr>
      <vt:lpstr>'25.07 Natete-Rubaga'!Print_Titles</vt:lpstr>
      <vt:lpstr>'25.07 Rubaga-natete'!Print_Titles</vt:lpstr>
      <vt:lpstr>'26.07 Natete-Rubaga-24h'!Print_Titles</vt:lpstr>
      <vt:lpstr>'26.07 Rubaga-Natete-24h'!Print_Titles</vt:lpstr>
      <vt:lpstr>'27.07 Natete-Rubaga-24h'!Print_Titles</vt:lpstr>
      <vt:lpstr>'27.07 Rubaga-Natete-24h'!Print_Titles</vt:lpstr>
      <vt:lpstr>'28.07 Natete-Rubaga'!Print_Titles</vt:lpstr>
      <vt:lpstr>'28.07 Rubaga-Natete'!Print_Titles</vt:lpstr>
      <vt:lpstr>'Avg Week Nateete-Rubaga'!Print_Titles</vt:lpstr>
      <vt:lpstr>'Avg Week Nateete-Rubaga-2Dir'!Print_Titles</vt:lpstr>
      <vt:lpstr>'Avg Week Rubaga-Nateete'!Print_Titles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2020-04-06T14:07:51Z</dcterms:modified>
</cp:coreProperties>
</file>