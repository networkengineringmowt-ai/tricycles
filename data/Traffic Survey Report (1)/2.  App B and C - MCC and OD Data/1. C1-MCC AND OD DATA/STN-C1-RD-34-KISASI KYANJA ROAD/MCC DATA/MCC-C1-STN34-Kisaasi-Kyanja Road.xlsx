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34-KISASI KYANJA ROAD\MCC DATA\"/>
    </mc:Choice>
  </mc:AlternateContent>
  <bookViews>
    <workbookView xWindow="-120" yWindow="-120" windowWidth="15600" windowHeight="11160" tabRatio="940" firstSheet="12" activeTab="16"/>
  </bookViews>
  <sheets>
    <sheet name="29.07 Kyanja -Kisaasi" sheetId="93" r:id="rId1"/>
    <sheet name="29.07 Kisaasi-Kyanja" sheetId="94" r:id="rId2"/>
    <sheet name="30.07 Kyanja-Kisaasi" sheetId="95" r:id="rId3"/>
    <sheet name="30.07 Kisaasi-Kyanja" sheetId="96" r:id="rId4"/>
    <sheet name="31.07 Kyanja-Kisaasi" sheetId="97" r:id="rId5"/>
    <sheet name="31.07 Kisaasi-Kyanja" sheetId="98" r:id="rId6"/>
    <sheet name="01.08 Kyanja-Kisaasi-24h" sheetId="101" r:id="rId7"/>
    <sheet name="01.08 Kisaasi-Kyanja-24h" sheetId="109" r:id="rId8"/>
    <sheet name="02.08 Kyanja-Kisaasi" sheetId="99" r:id="rId9"/>
    <sheet name="02.08 Kisaasi-Kyanja" sheetId="100" r:id="rId10"/>
    <sheet name="03.08 Kyanja-Kisaasi-24h" sheetId="105" r:id="rId11"/>
    <sheet name="03.08 Kisaasi-Kyanja-24h" sheetId="110" r:id="rId12"/>
    <sheet name="04.08 Kyanja-Kisaasi" sheetId="103" r:id="rId13"/>
    <sheet name="04.08 Kisaasi-Kyanja" sheetId="104" r:id="rId14"/>
    <sheet name="Avg Week Kyanja-Kisaasi" sheetId="107" r:id="rId15"/>
    <sheet name="Avg Week Kisaasi-Kyanja" sheetId="108" r:id="rId16"/>
    <sheet name="Avg Week Kyanja-Kisaasi-2Dir" sheetId="111" r:id="rId17"/>
  </sheets>
  <definedNames>
    <definedName name="_xlnm.Print_Area" localSheetId="7">'01.08 Kisaasi-Kyanja-24h'!$A$1:$AF$108</definedName>
    <definedName name="_xlnm.Print_Area" localSheetId="6">'01.08 Kyanja-Kisaasi-24h'!$A$1:$AF$108</definedName>
    <definedName name="_xlnm.Print_Area" localSheetId="9">'02.08 Kisaasi-Kyanja'!$A$1:$AF$60</definedName>
    <definedName name="_xlnm.Print_Area" localSheetId="8">'02.08 Kyanja-Kisaasi'!$A$1:$AF$60</definedName>
    <definedName name="_xlnm.Print_Area" localSheetId="11">'03.08 Kisaasi-Kyanja-24h'!$A$1:$AF$108</definedName>
    <definedName name="_xlnm.Print_Area" localSheetId="10">'03.08 Kyanja-Kisaasi-24h'!$A$1:$AF$108</definedName>
    <definedName name="_xlnm.Print_Area" localSheetId="13">'04.08 Kisaasi-Kyanja'!$A$1:$AF$60</definedName>
    <definedName name="_xlnm.Print_Area" localSheetId="12">'04.08 Kyanja-Kisaasi'!$A$1:$AF$60</definedName>
    <definedName name="_xlnm.Print_Area" localSheetId="1">'29.07 Kisaasi-Kyanja'!$A$1:$AF$60</definedName>
    <definedName name="_xlnm.Print_Area" localSheetId="0">'29.07 Kyanja -Kisaasi'!$A$1:$AF$60</definedName>
    <definedName name="_xlnm.Print_Area" localSheetId="3">'30.07 Kisaasi-Kyanja'!$A$1:$AF$60</definedName>
    <definedName name="_xlnm.Print_Area" localSheetId="2">'30.07 Kyanja-Kisaasi'!$A$1:$AF$60</definedName>
    <definedName name="_xlnm.Print_Area" localSheetId="5">'31.07 Kisaasi-Kyanja'!$A$1:$AF$60</definedName>
    <definedName name="_xlnm.Print_Area" localSheetId="4">'31.07 Kyanja-Kisaasi'!$A$1:$AF$60</definedName>
    <definedName name="_xlnm.Print_Area" localSheetId="15">'Avg Week Kisaasi-Kyanja'!$A$1:$AF$108</definedName>
    <definedName name="_xlnm.Print_Area" localSheetId="14">'Avg Week Kyanja-Kisaasi'!$A$1:$AF$108</definedName>
    <definedName name="_xlnm.Print_Area" localSheetId="16">'Avg Week Kyanja-Kisaasi-2Dir'!$A$1:$AF$108</definedName>
    <definedName name="_xlnm.Print_Titles" localSheetId="7">'01.08 Kisaasi-Kyanja-24h'!$1:$8</definedName>
    <definedName name="_xlnm.Print_Titles" localSheetId="6">'01.08 Kyanja-Kisaasi-24h'!$1:$8</definedName>
    <definedName name="_xlnm.Print_Titles" localSheetId="9">'02.08 Kisaasi-Kyanja'!$1:$8</definedName>
    <definedName name="_xlnm.Print_Titles" localSheetId="8">'02.08 Kyanja-Kisaasi'!$1:$8</definedName>
    <definedName name="_xlnm.Print_Titles" localSheetId="11">'03.08 Kisaasi-Kyanja-24h'!$1:$8</definedName>
    <definedName name="_xlnm.Print_Titles" localSheetId="10">'03.08 Kyanja-Kisaasi-24h'!$1:$8</definedName>
    <definedName name="_xlnm.Print_Titles" localSheetId="13">'04.08 Kisaasi-Kyanja'!$1:$8</definedName>
    <definedName name="_xlnm.Print_Titles" localSheetId="12">'04.08 Kyanja-Kisaasi'!$1:$8</definedName>
    <definedName name="_xlnm.Print_Titles" localSheetId="1">'29.07 Kisaasi-Kyanja'!$1:$8</definedName>
    <definedName name="_xlnm.Print_Titles" localSheetId="0">'29.07 Kyanja -Kisaasi'!$1:$8</definedName>
    <definedName name="_xlnm.Print_Titles" localSheetId="3">'30.07 Kisaasi-Kyanja'!$1:$8</definedName>
    <definedName name="_xlnm.Print_Titles" localSheetId="2">'30.07 Kyanja-Kisaasi'!$1:$8</definedName>
    <definedName name="_xlnm.Print_Titles" localSheetId="5">'31.07 Kisaasi-Kyanja'!$1:$8</definedName>
    <definedName name="_xlnm.Print_Titles" localSheetId="4">'31.07 Kyanja-Kisaasi'!$1:$8</definedName>
    <definedName name="_xlnm.Print_Titles" localSheetId="15">'Avg Week Kisaasi-Kyanja'!$1:$8</definedName>
    <definedName name="_xlnm.Print_Titles" localSheetId="14">'Avg Week Kyanja-Kisaasi'!$1:$8</definedName>
    <definedName name="_xlnm.Print_Titles" localSheetId="16">'Avg Week Kyanja-Kisaasi-2Dir'!$1:$8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33" i="108" l="1"/>
  <c r="W33" i="108"/>
  <c r="V32" i="108"/>
  <c r="AC31" i="108"/>
  <c r="W31" i="108"/>
  <c r="V31" i="108"/>
  <c r="Y30" i="108"/>
  <c r="Y29" i="108"/>
  <c r="Y28" i="108"/>
  <c r="U28" i="108"/>
  <c r="AB27" i="108"/>
  <c r="AB26" i="108"/>
  <c r="Y25" i="108"/>
  <c r="Y24" i="108"/>
  <c r="AA23" i="108"/>
  <c r="AA22" i="108"/>
  <c r="U22" i="108"/>
  <c r="T22" i="108"/>
  <c r="D58" i="108"/>
  <c r="E58" i="108"/>
  <c r="F58" i="108"/>
  <c r="G58" i="108"/>
  <c r="H58" i="108"/>
  <c r="I58" i="108"/>
  <c r="Y22" i="108" s="1"/>
  <c r="J58" i="108"/>
  <c r="Z22" i="108" s="1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AB22" i="108" s="1"/>
  <c r="M61" i="108"/>
  <c r="N61" i="108"/>
  <c r="D62" i="108"/>
  <c r="E62" i="108"/>
  <c r="U23" i="108" s="1"/>
  <c r="F62" i="108"/>
  <c r="V23" i="108" s="1"/>
  <c r="G62" i="108"/>
  <c r="W23" i="108" s="1"/>
  <c r="H62" i="108"/>
  <c r="I62" i="108"/>
  <c r="J62" i="108"/>
  <c r="Z23" i="108" s="1"/>
  <c r="K62" i="108"/>
  <c r="L62" i="108"/>
  <c r="M62" i="108"/>
  <c r="AC23" i="108" s="1"/>
  <c r="N62" i="108"/>
  <c r="AD23" i="108" s="1"/>
  <c r="D63" i="108"/>
  <c r="E63" i="108"/>
  <c r="F63" i="108"/>
  <c r="G63" i="108"/>
  <c r="H63" i="108"/>
  <c r="I63" i="108"/>
  <c r="J63" i="108"/>
  <c r="K63" i="108"/>
  <c r="L63" i="108"/>
  <c r="AB23" i="108" s="1"/>
  <c r="M63" i="108"/>
  <c r="N63" i="108"/>
  <c r="D64" i="108"/>
  <c r="T23" i="108" s="1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U24" i="108" s="1"/>
  <c r="F67" i="108"/>
  <c r="V24" i="108" s="1"/>
  <c r="G67" i="108"/>
  <c r="H67" i="108"/>
  <c r="I67" i="108"/>
  <c r="J67" i="108"/>
  <c r="K67" i="108"/>
  <c r="L67" i="108"/>
  <c r="M67" i="108"/>
  <c r="N67" i="108"/>
  <c r="AD24" i="108" s="1"/>
  <c r="D68" i="108"/>
  <c r="E68" i="108"/>
  <c r="F68" i="108"/>
  <c r="G68" i="108"/>
  <c r="H68" i="108"/>
  <c r="X24" i="108" s="1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T25" i="108" s="1"/>
  <c r="E70" i="108"/>
  <c r="F70" i="108"/>
  <c r="G70" i="108"/>
  <c r="H70" i="108"/>
  <c r="X25" i="108" s="1"/>
  <c r="I70" i="108"/>
  <c r="J70" i="108"/>
  <c r="K70" i="108"/>
  <c r="L70" i="108"/>
  <c r="AB25" i="108" s="1"/>
  <c r="M70" i="108"/>
  <c r="N70" i="108"/>
  <c r="D71" i="108"/>
  <c r="E71" i="108"/>
  <c r="F71" i="108"/>
  <c r="G71" i="108"/>
  <c r="H71" i="108"/>
  <c r="I71" i="108"/>
  <c r="J71" i="108"/>
  <c r="K71" i="108"/>
  <c r="AA25" i="108" s="1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U26" i="108" s="1"/>
  <c r="F74" i="108"/>
  <c r="G74" i="108"/>
  <c r="H74" i="108"/>
  <c r="I74" i="108"/>
  <c r="Y26" i="108" s="1"/>
  <c r="J74" i="108"/>
  <c r="K74" i="108"/>
  <c r="AA26" i="108" s="1"/>
  <c r="L74" i="108"/>
  <c r="M74" i="108"/>
  <c r="AC26" i="108" s="1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U27" i="108" s="1"/>
  <c r="F78" i="108"/>
  <c r="V27" i="108" s="1"/>
  <c r="G78" i="108"/>
  <c r="W27" i="108" s="1"/>
  <c r="H78" i="108"/>
  <c r="I78" i="108"/>
  <c r="J78" i="108"/>
  <c r="Z27" i="108" s="1"/>
  <c r="K78" i="108"/>
  <c r="L78" i="108"/>
  <c r="M78" i="108"/>
  <c r="N78" i="108"/>
  <c r="AD27" i="108" s="1"/>
  <c r="D79" i="108"/>
  <c r="E79" i="108"/>
  <c r="F79" i="108"/>
  <c r="G79" i="108"/>
  <c r="H79" i="108"/>
  <c r="I79" i="108"/>
  <c r="J79" i="108"/>
  <c r="K79" i="108"/>
  <c r="AA27" i="108" s="1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AC27" i="108" s="1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AC28" i="108" s="1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V28" i="108" s="1"/>
  <c r="G85" i="108"/>
  <c r="H85" i="108"/>
  <c r="I85" i="108"/>
  <c r="J85" i="108"/>
  <c r="K85" i="108"/>
  <c r="L85" i="108"/>
  <c r="M85" i="108"/>
  <c r="N85" i="108"/>
  <c r="D86" i="108"/>
  <c r="T29" i="108" s="1"/>
  <c r="E86" i="108"/>
  <c r="U29" i="108" s="1"/>
  <c r="F86" i="108"/>
  <c r="G86" i="108"/>
  <c r="H86" i="108"/>
  <c r="X29" i="108" s="1"/>
  <c r="I86" i="108"/>
  <c r="J86" i="108"/>
  <c r="K86" i="108"/>
  <c r="L86" i="108"/>
  <c r="AB29" i="108" s="1"/>
  <c r="M86" i="108"/>
  <c r="AC29" i="108" s="1"/>
  <c r="N86" i="108"/>
  <c r="D87" i="108"/>
  <c r="E87" i="108"/>
  <c r="F87" i="108"/>
  <c r="G87" i="108"/>
  <c r="H87" i="108"/>
  <c r="I87" i="108"/>
  <c r="J87" i="108"/>
  <c r="Z29" i="108" s="1"/>
  <c r="K87" i="108"/>
  <c r="AA29" i="108" s="1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V30" i="108" s="1"/>
  <c r="G90" i="108"/>
  <c r="H90" i="108"/>
  <c r="I90" i="108"/>
  <c r="J90" i="108"/>
  <c r="Z30" i="108" s="1"/>
  <c r="K90" i="108"/>
  <c r="AA30" i="108" s="1"/>
  <c r="L90" i="108"/>
  <c r="M90" i="108"/>
  <c r="N90" i="108"/>
  <c r="AD30" i="108" s="1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U31" i="108" s="1"/>
  <c r="F94" i="108"/>
  <c r="G94" i="108"/>
  <c r="H94" i="108"/>
  <c r="I94" i="108"/>
  <c r="J94" i="108"/>
  <c r="Z31" i="108" s="1"/>
  <c r="K94" i="108"/>
  <c r="L94" i="108"/>
  <c r="M94" i="108"/>
  <c r="N94" i="108"/>
  <c r="AD31" i="108" s="1"/>
  <c r="D95" i="108"/>
  <c r="E95" i="108"/>
  <c r="F95" i="108"/>
  <c r="G95" i="108"/>
  <c r="H95" i="108"/>
  <c r="I95" i="108"/>
  <c r="J95" i="108"/>
  <c r="K95" i="108"/>
  <c r="AA31" i="108" s="1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T32" i="108" s="1"/>
  <c r="E98" i="108"/>
  <c r="U32" i="108" s="1"/>
  <c r="F98" i="108"/>
  <c r="G98" i="108"/>
  <c r="H98" i="108"/>
  <c r="I98" i="108"/>
  <c r="Y32" i="108" s="1"/>
  <c r="J98" i="108"/>
  <c r="K98" i="108"/>
  <c r="AA32" i="108" s="1"/>
  <c r="L98" i="108"/>
  <c r="AB32" i="108" s="1"/>
  <c r="M98" i="108"/>
  <c r="N98" i="108"/>
  <c r="D99" i="108"/>
  <c r="E99" i="108"/>
  <c r="F99" i="108"/>
  <c r="G99" i="108"/>
  <c r="H99" i="108"/>
  <c r="X32" i="108" s="1"/>
  <c r="I99" i="108"/>
  <c r="J99" i="108"/>
  <c r="K99" i="108"/>
  <c r="L99" i="108"/>
  <c r="M99" i="108"/>
  <c r="AC32" i="108" s="1"/>
  <c r="N99" i="108"/>
  <c r="D100" i="108"/>
  <c r="E100" i="108"/>
  <c r="F100" i="108"/>
  <c r="G100" i="108"/>
  <c r="W32" i="108" s="1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AD32" i="108" s="1"/>
  <c r="D102" i="108"/>
  <c r="T33" i="108" s="1"/>
  <c r="E102" i="108"/>
  <c r="U33" i="108" s="1"/>
  <c r="F102" i="108"/>
  <c r="G102" i="108"/>
  <c r="H102" i="108"/>
  <c r="X33" i="108" s="1"/>
  <c r="I102" i="108"/>
  <c r="Y33" i="108" s="1"/>
  <c r="J102" i="108"/>
  <c r="K102" i="108"/>
  <c r="L102" i="108"/>
  <c r="AB33" i="108" s="1"/>
  <c r="M102" i="108"/>
  <c r="AC33" i="108" s="1"/>
  <c r="N102" i="108"/>
  <c r="D103" i="108"/>
  <c r="E103" i="108"/>
  <c r="F103" i="108"/>
  <c r="G103" i="108"/>
  <c r="H103" i="108"/>
  <c r="I103" i="108"/>
  <c r="J103" i="108"/>
  <c r="K103" i="108"/>
  <c r="AA33" i="108" s="1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61" i="108"/>
  <c r="C62" i="108"/>
  <c r="S23" i="108" s="1"/>
  <c r="C63" i="108"/>
  <c r="C64" i="108"/>
  <c r="C65" i="108"/>
  <c r="C66" i="108"/>
  <c r="S24" i="108" s="1"/>
  <c r="C67" i="108"/>
  <c r="C68" i="108"/>
  <c r="C69" i="108"/>
  <c r="C70" i="108"/>
  <c r="S25" i="108" s="1"/>
  <c r="C71" i="108"/>
  <c r="C72" i="108"/>
  <c r="C73" i="108"/>
  <c r="C74" i="108"/>
  <c r="S26" i="108" s="1"/>
  <c r="C75" i="108"/>
  <c r="C76" i="108"/>
  <c r="C77" i="108"/>
  <c r="C78" i="108"/>
  <c r="S27" i="108" s="1"/>
  <c r="C79" i="108"/>
  <c r="C80" i="108"/>
  <c r="C81" i="108"/>
  <c r="C82" i="108"/>
  <c r="S28" i="108" s="1"/>
  <c r="C83" i="108"/>
  <c r="C84" i="108"/>
  <c r="C85" i="108"/>
  <c r="C86" i="108"/>
  <c r="S29" i="108" s="1"/>
  <c r="C87" i="108"/>
  <c r="C88" i="108"/>
  <c r="C89" i="108"/>
  <c r="C90" i="108"/>
  <c r="S30" i="108" s="1"/>
  <c r="C91" i="108"/>
  <c r="C92" i="108"/>
  <c r="C93" i="108"/>
  <c r="C94" i="108"/>
  <c r="S31" i="108" s="1"/>
  <c r="C95" i="108"/>
  <c r="C96" i="108"/>
  <c r="C97" i="108"/>
  <c r="C98" i="108"/>
  <c r="S32" i="108" s="1"/>
  <c r="C99" i="108"/>
  <c r="C100" i="108"/>
  <c r="C101" i="108"/>
  <c r="C102" i="108"/>
  <c r="S33" i="108" s="1"/>
  <c r="C103" i="108"/>
  <c r="C104" i="108"/>
  <c r="C105" i="108"/>
  <c r="C59" i="108"/>
  <c r="C60" i="108"/>
  <c r="C58" i="108"/>
  <c r="S22" i="108" s="1"/>
  <c r="U24" i="107"/>
  <c r="V24" i="107"/>
  <c r="T26" i="107"/>
  <c r="U26" i="107"/>
  <c r="Y27" i="107"/>
  <c r="T28" i="107"/>
  <c r="T29" i="107"/>
  <c r="AA29" i="107"/>
  <c r="AB29" i="107"/>
  <c r="V30" i="107"/>
  <c r="T31" i="107"/>
  <c r="AA31" i="107"/>
  <c r="U32" i="107"/>
  <c r="D58" i="107"/>
  <c r="E58" i="107"/>
  <c r="F58" i="107"/>
  <c r="G58" i="107"/>
  <c r="G58" i="111" s="1"/>
  <c r="H58" i="107"/>
  <c r="I58" i="107"/>
  <c r="J58" i="107"/>
  <c r="K58" i="107"/>
  <c r="L58" i="107"/>
  <c r="M58" i="107"/>
  <c r="N58" i="107"/>
  <c r="D59" i="107"/>
  <c r="D59" i="111" s="1"/>
  <c r="E59" i="107"/>
  <c r="F59" i="107"/>
  <c r="G59" i="107"/>
  <c r="H59" i="107"/>
  <c r="I59" i="107"/>
  <c r="J59" i="107"/>
  <c r="Z25" i="107" s="1"/>
  <c r="K59" i="107"/>
  <c r="L59" i="107"/>
  <c r="L59" i="111" s="1"/>
  <c r="M59" i="107"/>
  <c r="N59" i="107"/>
  <c r="D60" i="107"/>
  <c r="E60" i="107"/>
  <c r="E60" i="111" s="1"/>
  <c r="F60" i="107"/>
  <c r="F60" i="111" s="1"/>
  <c r="G60" i="107"/>
  <c r="H60" i="107"/>
  <c r="I60" i="107"/>
  <c r="J60" i="107"/>
  <c r="K60" i="107"/>
  <c r="L60" i="107"/>
  <c r="M60" i="107"/>
  <c r="M60" i="111" s="1"/>
  <c r="N60" i="107"/>
  <c r="N60" i="111" s="1"/>
  <c r="D61" i="107"/>
  <c r="E61" i="107"/>
  <c r="F61" i="107"/>
  <c r="G61" i="107"/>
  <c r="H61" i="107"/>
  <c r="H61" i="111" s="1"/>
  <c r="I61" i="107"/>
  <c r="I61" i="111" s="1"/>
  <c r="J61" i="107"/>
  <c r="J61" i="111" s="1"/>
  <c r="K61" i="107"/>
  <c r="L61" i="107"/>
  <c r="M61" i="107"/>
  <c r="N61" i="107"/>
  <c r="D62" i="107"/>
  <c r="D62" i="111" s="1"/>
  <c r="E62" i="107"/>
  <c r="F62" i="107"/>
  <c r="G62" i="107"/>
  <c r="H62" i="107"/>
  <c r="I62" i="107"/>
  <c r="J62" i="107"/>
  <c r="K62" i="107"/>
  <c r="K62" i="111" s="1"/>
  <c r="L62" i="107"/>
  <c r="L62" i="111" s="1"/>
  <c r="M62" i="107"/>
  <c r="N62" i="107"/>
  <c r="D63" i="107"/>
  <c r="E63" i="107"/>
  <c r="F63" i="107"/>
  <c r="F63" i="111" s="1"/>
  <c r="G63" i="107"/>
  <c r="H63" i="107"/>
  <c r="X30" i="107" s="1"/>
  <c r="I63" i="107"/>
  <c r="J63" i="107"/>
  <c r="K63" i="107"/>
  <c r="L63" i="107"/>
  <c r="M63" i="107"/>
  <c r="N63" i="107"/>
  <c r="D64" i="107"/>
  <c r="E64" i="107"/>
  <c r="F64" i="107"/>
  <c r="F64" i="111" s="1"/>
  <c r="G64" i="107"/>
  <c r="H64" i="107"/>
  <c r="I64" i="107"/>
  <c r="J64" i="107"/>
  <c r="J64" i="111" s="1"/>
  <c r="K64" i="107"/>
  <c r="K64" i="111" s="1"/>
  <c r="L64" i="107"/>
  <c r="AB28" i="107" s="1"/>
  <c r="M64" i="107"/>
  <c r="N64" i="107"/>
  <c r="D65" i="107"/>
  <c r="D65" i="111" s="1"/>
  <c r="E65" i="107"/>
  <c r="F65" i="107"/>
  <c r="G65" i="107"/>
  <c r="G65" i="111" s="1"/>
  <c r="H65" i="107"/>
  <c r="I65" i="107"/>
  <c r="J65" i="107"/>
  <c r="K65" i="107"/>
  <c r="L65" i="107"/>
  <c r="L65" i="111" s="1"/>
  <c r="M65" i="107"/>
  <c r="N65" i="107"/>
  <c r="D66" i="107"/>
  <c r="E66" i="107"/>
  <c r="F66" i="107"/>
  <c r="G66" i="107"/>
  <c r="G66" i="111" s="1"/>
  <c r="H66" i="107"/>
  <c r="H66" i="111" s="1"/>
  <c r="I66" i="107"/>
  <c r="I66" i="111" s="1"/>
  <c r="Y30" i="111" s="1"/>
  <c r="J66" i="107"/>
  <c r="K66" i="107"/>
  <c r="L66" i="107"/>
  <c r="M66" i="107"/>
  <c r="N66" i="107"/>
  <c r="D67" i="107"/>
  <c r="E67" i="107"/>
  <c r="F67" i="107"/>
  <c r="F67" i="111" s="1"/>
  <c r="G67" i="107"/>
  <c r="G67" i="111" s="1"/>
  <c r="H67" i="107"/>
  <c r="I67" i="107"/>
  <c r="I67" i="111" s="1"/>
  <c r="J67" i="107"/>
  <c r="J67" i="111" s="1"/>
  <c r="K67" i="107"/>
  <c r="K67" i="111" s="1"/>
  <c r="L67" i="107"/>
  <c r="M67" i="107"/>
  <c r="N67" i="107"/>
  <c r="N67" i="111" s="1"/>
  <c r="D68" i="107"/>
  <c r="E68" i="107"/>
  <c r="E68" i="111" s="1"/>
  <c r="F68" i="107"/>
  <c r="F68" i="111" s="1"/>
  <c r="G68" i="107"/>
  <c r="H68" i="107"/>
  <c r="H68" i="111" s="1"/>
  <c r="I68" i="107"/>
  <c r="I68" i="111" s="1"/>
  <c r="J68" i="107"/>
  <c r="J68" i="111" s="1"/>
  <c r="K68" i="107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G69" i="107"/>
  <c r="H69" i="107"/>
  <c r="H69" i="111" s="1"/>
  <c r="I69" i="107"/>
  <c r="I69" i="111" s="1"/>
  <c r="J69" i="107"/>
  <c r="K69" i="107"/>
  <c r="L69" i="107"/>
  <c r="L69" i="111" s="1"/>
  <c r="M69" i="107"/>
  <c r="M69" i="111" s="1"/>
  <c r="N69" i="107"/>
  <c r="D70" i="107"/>
  <c r="D70" i="111" s="1"/>
  <c r="E70" i="107"/>
  <c r="E70" i="111" s="1"/>
  <c r="F70" i="107"/>
  <c r="F70" i="111" s="1"/>
  <c r="G70" i="107"/>
  <c r="G70" i="111" s="1"/>
  <c r="H70" i="107"/>
  <c r="I70" i="107"/>
  <c r="J70" i="107"/>
  <c r="J70" i="111" s="1"/>
  <c r="K70" i="107"/>
  <c r="K70" i="111" s="1"/>
  <c r="L70" i="107"/>
  <c r="L70" i="111" s="1"/>
  <c r="M70" i="107"/>
  <c r="M70" i="111" s="1"/>
  <c r="N70" i="107"/>
  <c r="N70" i="111" s="1"/>
  <c r="D71" i="107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L71" i="107"/>
  <c r="M71" i="107"/>
  <c r="M71" i="111" s="1"/>
  <c r="N71" i="107"/>
  <c r="N71" i="111" s="1"/>
  <c r="D72" i="107"/>
  <c r="D72" i="111" s="1"/>
  <c r="E72" i="107"/>
  <c r="E72" i="111" s="1"/>
  <c r="F72" i="107"/>
  <c r="G72" i="107"/>
  <c r="H72" i="107"/>
  <c r="H72" i="111" s="1"/>
  <c r="I72" i="107"/>
  <c r="I72" i="111" s="1"/>
  <c r="J72" i="107"/>
  <c r="J72" i="111" s="1"/>
  <c r="K72" i="107"/>
  <c r="L72" i="107"/>
  <c r="L72" i="111" s="1"/>
  <c r="M72" i="107"/>
  <c r="M72" i="111" s="1"/>
  <c r="N72" i="107"/>
  <c r="D73" i="107"/>
  <c r="D73" i="111" s="1"/>
  <c r="E73" i="107"/>
  <c r="E73" i="111" s="1"/>
  <c r="F73" i="107"/>
  <c r="G73" i="107"/>
  <c r="H73" i="107"/>
  <c r="H73" i="111" s="1"/>
  <c r="I73" i="107"/>
  <c r="I73" i="111" s="1"/>
  <c r="J73" i="107"/>
  <c r="K73" i="107"/>
  <c r="K73" i="111" s="1"/>
  <c r="L73" i="107"/>
  <c r="L73" i="111" s="1"/>
  <c r="M73" i="107"/>
  <c r="M73" i="111" s="1"/>
  <c r="N73" i="107"/>
  <c r="D74" i="107"/>
  <c r="D74" i="111" s="1"/>
  <c r="E74" i="107"/>
  <c r="F74" i="107"/>
  <c r="F74" i="111" s="1"/>
  <c r="G74" i="107"/>
  <c r="G74" i="111" s="1"/>
  <c r="H74" i="107"/>
  <c r="H74" i="111" s="1"/>
  <c r="I74" i="107"/>
  <c r="J74" i="107"/>
  <c r="K74" i="107"/>
  <c r="K74" i="111" s="1"/>
  <c r="L74" i="107"/>
  <c r="L74" i="111" s="1"/>
  <c r="M74" i="107"/>
  <c r="N74" i="107"/>
  <c r="N74" i="111" s="1"/>
  <c r="D75" i="107"/>
  <c r="D75" i="111" s="1"/>
  <c r="E75" i="107"/>
  <c r="E75" i="111" s="1"/>
  <c r="F75" i="107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J76" i="107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D78" i="111" s="1"/>
  <c r="E78" i="107"/>
  <c r="F78" i="107"/>
  <c r="G78" i="107"/>
  <c r="G78" i="111" s="1"/>
  <c r="H78" i="107"/>
  <c r="H78" i="111" s="1"/>
  <c r="I78" i="107"/>
  <c r="I78" i="111" s="1"/>
  <c r="J78" i="107"/>
  <c r="J78" i="111" s="1"/>
  <c r="K78" i="107"/>
  <c r="K78" i="111" s="1"/>
  <c r="L78" i="107"/>
  <c r="L78" i="111" s="1"/>
  <c r="M78" i="107"/>
  <c r="N78" i="107"/>
  <c r="D79" i="107"/>
  <c r="D79" i="111" s="1"/>
  <c r="E79" i="107"/>
  <c r="E79" i="111" s="1"/>
  <c r="F79" i="107"/>
  <c r="F79" i="111" s="1"/>
  <c r="G79" i="107"/>
  <c r="G79" i="111" s="1"/>
  <c r="H79" i="107"/>
  <c r="I79" i="107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E80" i="107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M80" i="107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D82" i="111" s="1"/>
  <c r="E82" i="107"/>
  <c r="E82" i="111" s="1"/>
  <c r="F82" i="107"/>
  <c r="F82" i="111" s="1"/>
  <c r="G82" i="107"/>
  <c r="G82" i="111" s="1"/>
  <c r="H82" i="107"/>
  <c r="H82" i="111" s="1"/>
  <c r="I82" i="107"/>
  <c r="I82" i="111" s="1"/>
  <c r="J82" i="107"/>
  <c r="J82" i="111" s="1"/>
  <c r="K82" i="107"/>
  <c r="K82" i="111" s="1"/>
  <c r="L82" i="107"/>
  <c r="L82" i="111" s="1"/>
  <c r="M82" i="107"/>
  <c r="M82" i="111" s="1"/>
  <c r="N82" i="107"/>
  <c r="N82" i="111" s="1"/>
  <c r="D83" i="107"/>
  <c r="E83" i="107"/>
  <c r="F83" i="107"/>
  <c r="F83" i="111" s="1"/>
  <c r="G83" i="107"/>
  <c r="G83" i="111" s="1"/>
  <c r="H83" i="107"/>
  <c r="I83" i="107"/>
  <c r="I83" i="111" s="1"/>
  <c r="J83" i="107"/>
  <c r="J83" i="111" s="1"/>
  <c r="K83" i="107"/>
  <c r="K83" i="111" s="1"/>
  <c r="L83" i="107"/>
  <c r="M83" i="107"/>
  <c r="N83" i="107"/>
  <c r="N83" i="111" s="1"/>
  <c r="D84" i="107"/>
  <c r="D84" i="111" s="1"/>
  <c r="E84" i="107"/>
  <c r="E84" i="111" s="1"/>
  <c r="F84" i="107"/>
  <c r="F84" i="111" s="1"/>
  <c r="G84" i="107"/>
  <c r="H84" i="107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K85" i="107"/>
  <c r="L85" i="107"/>
  <c r="L85" i="111" s="1"/>
  <c r="M85" i="107"/>
  <c r="M85" i="111" s="1"/>
  <c r="N85" i="107"/>
  <c r="N85" i="111" s="1"/>
  <c r="D86" i="107"/>
  <c r="D86" i="111" s="1"/>
  <c r="E86" i="107"/>
  <c r="E86" i="111" s="1"/>
  <c r="F86" i="107"/>
  <c r="F86" i="111" s="1"/>
  <c r="G86" i="107"/>
  <c r="H86" i="107"/>
  <c r="I86" i="107"/>
  <c r="I86" i="111" s="1"/>
  <c r="J86" i="107"/>
  <c r="J86" i="111" s="1"/>
  <c r="K86" i="107"/>
  <c r="K86" i="111" s="1"/>
  <c r="L86" i="107"/>
  <c r="L86" i="111" s="1"/>
  <c r="M86" i="107"/>
  <c r="M86" i="111" s="1"/>
  <c r="N86" i="107"/>
  <c r="N86" i="111" s="1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K87" i="107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G88" i="107"/>
  <c r="H88" i="107"/>
  <c r="H88" i="111" s="1"/>
  <c r="I88" i="107"/>
  <c r="I88" i="111" s="1"/>
  <c r="J88" i="107"/>
  <c r="J88" i="111" s="1"/>
  <c r="K88" i="107"/>
  <c r="L88" i="107"/>
  <c r="L88" i="111" s="1"/>
  <c r="M88" i="107"/>
  <c r="M88" i="111" s="1"/>
  <c r="N88" i="107"/>
  <c r="D89" i="107"/>
  <c r="D89" i="111" s="1"/>
  <c r="E89" i="107"/>
  <c r="E89" i="111" s="1"/>
  <c r="F89" i="107"/>
  <c r="G89" i="107"/>
  <c r="H89" i="107"/>
  <c r="H89" i="111" s="1"/>
  <c r="I89" i="107"/>
  <c r="I89" i="111" s="1"/>
  <c r="J89" i="107"/>
  <c r="K89" i="107"/>
  <c r="K89" i="111" s="1"/>
  <c r="L89" i="107"/>
  <c r="L89" i="111" s="1"/>
  <c r="M89" i="107"/>
  <c r="M89" i="111" s="1"/>
  <c r="N89" i="107"/>
  <c r="D90" i="107"/>
  <c r="D90" i="111" s="1"/>
  <c r="E90" i="107"/>
  <c r="F90" i="107"/>
  <c r="F90" i="111" s="1"/>
  <c r="G90" i="107"/>
  <c r="G90" i="111" s="1"/>
  <c r="H90" i="107"/>
  <c r="H90" i="111" s="1"/>
  <c r="I90" i="107"/>
  <c r="J90" i="107"/>
  <c r="K90" i="107"/>
  <c r="K90" i="111" s="1"/>
  <c r="L90" i="107"/>
  <c r="L90" i="111" s="1"/>
  <c r="M90" i="107"/>
  <c r="N90" i="107"/>
  <c r="N90" i="111" s="1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D94" i="111" s="1"/>
  <c r="E94" i="107"/>
  <c r="F94" i="107"/>
  <c r="G94" i="107"/>
  <c r="G94" i="111" s="1"/>
  <c r="H94" i="107"/>
  <c r="H94" i="111" s="1"/>
  <c r="I94" i="107"/>
  <c r="I94" i="111" s="1"/>
  <c r="J94" i="107"/>
  <c r="J94" i="111" s="1"/>
  <c r="K94" i="107"/>
  <c r="K94" i="111" s="1"/>
  <c r="L94" i="107"/>
  <c r="L94" i="111" s="1"/>
  <c r="M94" i="107"/>
  <c r="N94" i="107"/>
  <c r="D95" i="107"/>
  <c r="D95" i="111" s="1"/>
  <c r="E95" i="107"/>
  <c r="E95" i="111" s="1"/>
  <c r="F95" i="107"/>
  <c r="F95" i="111" s="1"/>
  <c r="G95" i="107"/>
  <c r="G95" i="111" s="1"/>
  <c r="H95" i="107"/>
  <c r="I95" i="107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I97" i="107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E98" i="111" s="1"/>
  <c r="F98" i="107"/>
  <c r="F98" i="111" s="1"/>
  <c r="G98" i="107"/>
  <c r="G98" i="111" s="1"/>
  <c r="H98" i="107"/>
  <c r="H98" i="111" s="1"/>
  <c r="I98" i="107"/>
  <c r="I98" i="111" s="1"/>
  <c r="J98" i="107"/>
  <c r="J98" i="111" s="1"/>
  <c r="K98" i="107"/>
  <c r="K98" i="111" s="1"/>
  <c r="L98" i="107"/>
  <c r="M98" i="107"/>
  <c r="M98" i="111" s="1"/>
  <c r="N98" i="107"/>
  <c r="N98" i="111" s="1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D102" i="111" s="1"/>
  <c r="E102" i="107"/>
  <c r="E102" i="111" s="1"/>
  <c r="F102" i="107"/>
  <c r="F102" i="111" s="1"/>
  <c r="G102" i="107"/>
  <c r="G102" i="111" s="1"/>
  <c r="H102" i="107"/>
  <c r="H102" i="111" s="1"/>
  <c r="I102" i="107"/>
  <c r="I102" i="111" s="1"/>
  <c r="J102" i="107"/>
  <c r="J102" i="111" s="1"/>
  <c r="K102" i="107"/>
  <c r="K102" i="111" s="1"/>
  <c r="L102" i="107"/>
  <c r="L102" i="111" s="1"/>
  <c r="M102" i="107"/>
  <c r="M102" i="111" s="1"/>
  <c r="N102" i="107"/>
  <c r="N102" i="111" s="1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60" i="107"/>
  <c r="C61" i="107"/>
  <c r="C61" i="111" s="1"/>
  <c r="C62" i="107"/>
  <c r="C63" i="107"/>
  <c r="C64" i="107"/>
  <c r="C65" i="107"/>
  <c r="C65" i="111" s="1"/>
  <c r="C66" i="107"/>
  <c r="C67" i="107"/>
  <c r="C67" i="111" s="1"/>
  <c r="C68" i="107"/>
  <c r="C68" i="111" s="1"/>
  <c r="C69" i="107"/>
  <c r="C69" i="111" s="1"/>
  <c r="C70" i="107"/>
  <c r="C71" i="107"/>
  <c r="C71" i="111" s="1"/>
  <c r="C72" i="107"/>
  <c r="C72" i="111" s="1"/>
  <c r="C73" i="107"/>
  <c r="C73" i="111" s="1"/>
  <c r="C74" i="107"/>
  <c r="C75" i="107"/>
  <c r="C75" i="111" s="1"/>
  <c r="C76" i="107"/>
  <c r="C76" i="111" s="1"/>
  <c r="C77" i="107"/>
  <c r="C77" i="111" s="1"/>
  <c r="C78" i="107"/>
  <c r="C79" i="107"/>
  <c r="C79" i="111" s="1"/>
  <c r="C80" i="107"/>
  <c r="C80" i="111" s="1"/>
  <c r="C81" i="107"/>
  <c r="C81" i="111" s="1"/>
  <c r="C82" i="107"/>
  <c r="C83" i="107"/>
  <c r="C83" i="111" s="1"/>
  <c r="C84" i="107"/>
  <c r="C84" i="111" s="1"/>
  <c r="C85" i="107"/>
  <c r="C85" i="111" s="1"/>
  <c r="C86" i="107"/>
  <c r="C87" i="107"/>
  <c r="C87" i="111" s="1"/>
  <c r="C88" i="107"/>
  <c r="C88" i="111" s="1"/>
  <c r="C89" i="107"/>
  <c r="C89" i="111" s="1"/>
  <c r="C90" i="107"/>
  <c r="C91" i="107"/>
  <c r="C91" i="111" s="1"/>
  <c r="C92" i="107"/>
  <c r="C92" i="111" s="1"/>
  <c r="C93" i="107"/>
  <c r="C93" i="111" s="1"/>
  <c r="C94" i="107"/>
  <c r="C95" i="107"/>
  <c r="C95" i="111" s="1"/>
  <c r="C96" i="107"/>
  <c r="C96" i="111" s="1"/>
  <c r="C97" i="107"/>
  <c r="C97" i="111" s="1"/>
  <c r="C98" i="107"/>
  <c r="C99" i="107"/>
  <c r="C99" i="111" s="1"/>
  <c r="C100" i="107"/>
  <c r="C100" i="111" s="1"/>
  <c r="C101" i="107"/>
  <c r="C101" i="111" s="1"/>
  <c r="C102" i="107"/>
  <c r="C103" i="107"/>
  <c r="C103" i="111" s="1"/>
  <c r="C104" i="107"/>
  <c r="C104" i="111" s="1"/>
  <c r="C105" i="107"/>
  <c r="C105" i="111" s="1"/>
  <c r="C59" i="107"/>
  <c r="C58" i="107"/>
  <c r="D57" i="107"/>
  <c r="E57" i="107"/>
  <c r="F57" i="107"/>
  <c r="G57" i="107"/>
  <c r="W24" i="107" s="1"/>
  <c r="H57" i="107"/>
  <c r="I57" i="107"/>
  <c r="Y24" i="107" s="1"/>
  <c r="J57" i="107"/>
  <c r="K57" i="107"/>
  <c r="L57" i="107"/>
  <c r="AB24" i="107" s="1"/>
  <c r="M57" i="107"/>
  <c r="AC24" i="107" s="1"/>
  <c r="N57" i="107"/>
  <c r="AD24" i="107" s="1"/>
  <c r="H60" i="111" l="1"/>
  <c r="X26" i="107"/>
  <c r="X27" i="107"/>
  <c r="C63" i="111"/>
  <c r="S30" i="107"/>
  <c r="AC30" i="108"/>
  <c r="K61" i="111"/>
  <c r="AA25" i="111" s="1"/>
  <c r="AA27" i="107"/>
  <c r="AA28" i="107"/>
  <c r="D68" i="111"/>
  <c r="T32" i="107"/>
  <c r="J66" i="111"/>
  <c r="Z31" i="107"/>
  <c r="Z33" i="107"/>
  <c r="M65" i="111"/>
  <c r="AC29" i="111" s="1"/>
  <c r="AC32" i="107"/>
  <c r="AC31" i="107"/>
  <c r="E65" i="111"/>
  <c r="U31" i="107"/>
  <c r="K59" i="111"/>
  <c r="AA26" i="107"/>
  <c r="AA25" i="107"/>
  <c r="H58" i="111"/>
  <c r="X25" i="107"/>
  <c r="C102" i="111"/>
  <c r="C78" i="111"/>
  <c r="N62" i="111"/>
  <c r="AD28" i="107"/>
  <c r="AD27" i="107"/>
  <c r="AD26" i="107"/>
  <c r="AD29" i="107"/>
  <c r="J76" i="111"/>
  <c r="N75" i="111"/>
  <c r="F75" i="111"/>
  <c r="M67" i="111"/>
  <c r="AC31" i="111" s="1"/>
  <c r="E67" i="111"/>
  <c r="U31" i="111" s="1"/>
  <c r="N64" i="111"/>
  <c r="AD28" i="111" s="1"/>
  <c r="AD31" i="107"/>
  <c r="M62" i="111"/>
  <c r="AC29" i="107"/>
  <c r="E62" i="111"/>
  <c r="AC27" i="107"/>
  <c r="U30" i="108"/>
  <c r="T24" i="107"/>
  <c r="C60" i="111"/>
  <c r="S27" i="107"/>
  <c r="L98" i="111"/>
  <c r="D98" i="111"/>
  <c r="I97" i="111"/>
  <c r="G88" i="111"/>
  <c r="K87" i="111"/>
  <c r="H86" i="111"/>
  <c r="I76" i="111"/>
  <c r="Y32" i="111"/>
  <c r="L67" i="111"/>
  <c r="AB31" i="111" s="1"/>
  <c r="D67" i="111"/>
  <c r="Y33" i="107"/>
  <c r="AB31" i="108"/>
  <c r="T31" i="108"/>
  <c r="AB30" i="108"/>
  <c r="T30" i="108"/>
  <c r="AB28" i="108"/>
  <c r="T28" i="108"/>
  <c r="Y27" i="108"/>
  <c r="AD26" i="108"/>
  <c r="V26" i="108"/>
  <c r="Z25" i="108"/>
  <c r="W25" i="108"/>
  <c r="C94" i="111"/>
  <c r="C62" i="111"/>
  <c r="G60" i="111"/>
  <c r="W24" i="111" s="1"/>
  <c r="W27" i="107"/>
  <c r="C58" i="111"/>
  <c r="S22" i="111" s="1"/>
  <c r="S25" i="107"/>
  <c r="J89" i="111"/>
  <c r="J87" i="111"/>
  <c r="N66" i="111"/>
  <c r="AD30" i="111" s="1"/>
  <c r="AD33" i="107"/>
  <c r="G61" i="111"/>
  <c r="W28" i="107"/>
  <c r="X28" i="108"/>
  <c r="C90" i="111"/>
  <c r="G105" i="111"/>
  <c r="M90" i="111"/>
  <c r="E90" i="111"/>
  <c r="K69" i="111"/>
  <c r="G63" i="111"/>
  <c r="W27" i="111" s="1"/>
  <c r="W30" i="107"/>
  <c r="W29" i="107"/>
  <c r="J62" i="111"/>
  <c r="Z29" i="107"/>
  <c r="S32" i="107"/>
  <c r="U27" i="107"/>
  <c r="W28" i="108"/>
  <c r="T27" i="108"/>
  <c r="T26" i="108"/>
  <c r="AB24" i="108"/>
  <c r="T24" i="108"/>
  <c r="Y23" i="108"/>
  <c r="AD22" i="108"/>
  <c r="V22" i="108"/>
  <c r="J59" i="111"/>
  <c r="Z26" i="107"/>
  <c r="W29" i="108"/>
  <c r="F88" i="111"/>
  <c r="G86" i="111"/>
  <c r="I65" i="111"/>
  <c r="Y29" i="111" s="1"/>
  <c r="Y32" i="107"/>
  <c r="L60" i="111"/>
  <c r="AB27" i="107"/>
  <c r="U29" i="107"/>
  <c r="W25" i="107"/>
  <c r="AA28" i="108"/>
  <c r="C59" i="111"/>
  <c r="S23" i="111" s="1"/>
  <c r="S26" i="107"/>
  <c r="C82" i="111"/>
  <c r="C66" i="111"/>
  <c r="S30" i="111" s="1"/>
  <c r="S33" i="107"/>
  <c r="S29" i="111"/>
  <c r="K104" i="111"/>
  <c r="N63" i="111"/>
  <c r="AD30" i="107"/>
  <c r="V27" i="111"/>
  <c r="S29" i="107"/>
  <c r="AB32" i="107"/>
  <c r="Z30" i="107"/>
  <c r="AB26" i="107"/>
  <c r="AD28" i="108"/>
  <c r="AA24" i="108"/>
  <c r="AC22" i="108"/>
  <c r="C86" i="111"/>
  <c r="C70" i="111"/>
  <c r="S32" i="111" s="1"/>
  <c r="G69" i="111"/>
  <c r="W33" i="111" s="1"/>
  <c r="W33" i="107"/>
  <c r="F62" i="111"/>
  <c r="V28" i="107"/>
  <c r="V26" i="107"/>
  <c r="V29" i="107"/>
  <c r="Y31" i="108"/>
  <c r="AA24" i="107"/>
  <c r="H97" i="111"/>
  <c r="N88" i="111"/>
  <c r="F66" i="111"/>
  <c r="V33" i="107"/>
  <c r="D60" i="111"/>
  <c r="T27" i="107"/>
  <c r="V27" i="107"/>
  <c r="AC24" i="108"/>
  <c r="Z24" i="107"/>
  <c r="C98" i="111"/>
  <c r="C74" i="111"/>
  <c r="X24" i="107"/>
  <c r="C64" i="111"/>
  <c r="S28" i="111" s="1"/>
  <c r="S31" i="107"/>
  <c r="H83" i="111"/>
  <c r="I81" i="111"/>
  <c r="M80" i="111"/>
  <c r="E80" i="111"/>
  <c r="AC32" i="111"/>
  <c r="U32" i="111"/>
  <c r="N65" i="111"/>
  <c r="AD29" i="111" s="1"/>
  <c r="AD32" i="107"/>
  <c r="F65" i="111"/>
  <c r="V28" i="111" s="1"/>
  <c r="V32" i="107"/>
  <c r="I64" i="111"/>
  <c r="Y31" i="107"/>
  <c r="S28" i="107"/>
  <c r="X32" i="107"/>
  <c r="Y30" i="107"/>
  <c r="Z28" i="107"/>
  <c r="Z26" i="108"/>
  <c r="W24" i="108"/>
  <c r="L96" i="111"/>
  <c r="D96" i="111"/>
  <c r="I95" i="111"/>
  <c r="N94" i="111"/>
  <c r="F94" i="111"/>
  <c r="J90" i="111"/>
  <c r="G89" i="111"/>
  <c r="K85" i="111"/>
  <c r="H84" i="111"/>
  <c r="M83" i="111"/>
  <c r="E83" i="111"/>
  <c r="L80" i="111"/>
  <c r="D80" i="111"/>
  <c r="I79" i="111"/>
  <c r="N78" i="111"/>
  <c r="F78" i="111"/>
  <c r="J74" i="111"/>
  <c r="G73" i="111"/>
  <c r="K72" i="111"/>
  <c r="J69" i="111"/>
  <c r="Z33" i="111" s="1"/>
  <c r="G68" i="111"/>
  <c r="AA31" i="111"/>
  <c r="T29" i="111"/>
  <c r="H64" i="111"/>
  <c r="X28" i="111" s="1"/>
  <c r="X31" i="107"/>
  <c r="M63" i="111"/>
  <c r="AC30" i="107"/>
  <c r="E63" i="111"/>
  <c r="U27" i="111" s="1"/>
  <c r="U30" i="107"/>
  <c r="M59" i="111"/>
  <c r="AC25" i="107"/>
  <c r="E59" i="111"/>
  <c r="U23" i="111" s="1"/>
  <c r="U25" i="107"/>
  <c r="J58" i="111"/>
  <c r="AD33" i="108"/>
  <c r="V33" i="108"/>
  <c r="X31" i="108"/>
  <c r="X30" i="108"/>
  <c r="Z28" i="108"/>
  <c r="AD25" i="108"/>
  <c r="V25" i="108"/>
  <c r="X23" i="108"/>
  <c r="X22" i="108"/>
  <c r="H95" i="111"/>
  <c r="M94" i="111"/>
  <c r="E94" i="111"/>
  <c r="I90" i="111"/>
  <c r="N89" i="111"/>
  <c r="F89" i="111"/>
  <c r="K88" i="111"/>
  <c r="J85" i="111"/>
  <c r="G84" i="111"/>
  <c r="L83" i="111"/>
  <c r="D83" i="111"/>
  <c r="H79" i="111"/>
  <c r="M78" i="111"/>
  <c r="E78" i="111"/>
  <c r="I74" i="111"/>
  <c r="N73" i="111"/>
  <c r="F73" i="111"/>
  <c r="Z31" i="111"/>
  <c r="K65" i="111"/>
  <c r="AA32" i="107"/>
  <c r="AB23" i="111"/>
  <c r="I58" i="111"/>
  <c r="AA33" i="107"/>
  <c r="AB31" i="107"/>
  <c r="AC26" i="107"/>
  <c r="W30" i="108"/>
  <c r="AC25" i="108"/>
  <c r="U25" i="108"/>
  <c r="W22" i="108"/>
  <c r="L66" i="111"/>
  <c r="AB29" i="111" s="1"/>
  <c r="AB33" i="107"/>
  <c r="D66" i="111"/>
  <c r="T33" i="107"/>
  <c r="L64" i="111"/>
  <c r="AB28" i="111" s="1"/>
  <c r="D64" i="111"/>
  <c r="T28" i="111" s="1"/>
  <c r="T30" i="107"/>
  <c r="I63" i="111"/>
  <c r="Y29" i="107"/>
  <c r="AB26" i="111"/>
  <c r="AD24" i="111"/>
  <c r="V24" i="111"/>
  <c r="I59" i="111"/>
  <c r="Y26" i="107"/>
  <c r="N58" i="111"/>
  <c r="AD22" i="111" s="1"/>
  <c r="AD25" i="107"/>
  <c r="F58" i="111"/>
  <c r="V25" i="107"/>
  <c r="X33" i="107"/>
  <c r="W32" i="107"/>
  <c r="Y28" i="107"/>
  <c r="Y25" i="107"/>
  <c r="Z32" i="108"/>
  <c r="AD29" i="108"/>
  <c r="V29" i="108"/>
  <c r="X27" i="108"/>
  <c r="X26" i="108"/>
  <c r="Z24" i="108"/>
  <c r="M74" i="111"/>
  <c r="E74" i="111"/>
  <c r="N72" i="111"/>
  <c r="F72" i="111"/>
  <c r="K71" i="111"/>
  <c r="H70" i="111"/>
  <c r="X32" i="111" s="1"/>
  <c r="AC33" i="111"/>
  <c r="U33" i="111"/>
  <c r="W29" i="111"/>
  <c r="H63" i="111"/>
  <c r="AA26" i="111"/>
  <c r="X25" i="111"/>
  <c r="X28" i="107"/>
  <c r="W26" i="108"/>
  <c r="J73" i="111"/>
  <c r="G72" i="111"/>
  <c r="L71" i="111"/>
  <c r="AB32" i="111" s="1"/>
  <c r="D71" i="111"/>
  <c r="T33" i="111" s="1"/>
  <c r="I70" i="111"/>
  <c r="Y33" i="111" s="1"/>
  <c r="N69" i="111"/>
  <c r="F69" i="111"/>
  <c r="K68" i="111"/>
  <c r="AA32" i="111" s="1"/>
  <c r="H67" i="111"/>
  <c r="M66" i="111"/>
  <c r="AC30" i="111" s="1"/>
  <c r="E66" i="111"/>
  <c r="U30" i="111" s="1"/>
  <c r="J65" i="111"/>
  <c r="Z29" i="111" s="1"/>
  <c r="G64" i="111"/>
  <c r="W28" i="111" s="1"/>
  <c r="L63" i="111"/>
  <c r="D63" i="111"/>
  <c r="T26" i="111" s="1"/>
  <c r="I62" i="111"/>
  <c r="Y26" i="111" s="1"/>
  <c r="N61" i="111"/>
  <c r="F61" i="111"/>
  <c r="V25" i="111" s="1"/>
  <c r="K60" i="111"/>
  <c r="AA24" i="111" s="1"/>
  <c r="H59" i="111"/>
  <c r="X23" i="111" s="1"/>
  <c r="M58" i="111"/>
  <c r="E58" i="111"/>
  <c r="K63" i="111"/>
  <c r="H62" i="111"/>
  <c r="X26" i="111" s="1"/>
  <c r="M61" i="111"/>
  <c r="E61" i="111"/>
  <c r="J60" i="111"/>
  <c r="G59" i="111"/>
  <c r="W23" i="111" s="1"/>
  <c r="L58" i="111"/>
  <c r="D58" i="111"/>
  <c r="AC33" i="107"/>
  <c r="U33" i="107"/>
  <c r="Z32" i="107"/>
  <c r="W31" i="107"/>
  <c r="AB30" i="107"/>
  <c r="K66" i="111"/>
  <c r="AA30" i="111" s="1"/>
  <c r="H65" i="111"/>
  <c r="X29" i="111" s="1"/>
  <c r="M64" i="111"/>
  <c r="E64" i="111"/>
  <c r="J63" i="111"/>
  <c r="Z25" i="111" s="1"/>
  <c r="G62" i="111"/>
  <c r="W26" i="111" s="1"/>
  <c r="L61" i="111"/>
  <c r="D61" i="111"/>
  <c r="I60" i="111"/>
  <c r="Y24" i="111" s="1"/>
  <c r="N59" i="111"/>
  <c r="AD23" i="111" s="1"/>
  <c r="F59" i="111"/>
  <c r="K58" i="111"/>
  <c r="V31" i="107"/>
  <c r="AA30" i="107"/>
  <c r="X29" i="107"/>
  <c r="AC28" i="107"/>
  <c r="U28" i="107"/>
  <c r="Z27" i="107"/>
  <c r="W26" i="107"/>
  <c r="AB25" i="107"/>
  <c r="T25" i="107"/>
  <c r="C58" i="99"/>
  <c r="D5" i="110"/>
  <c r="C3" i="94"/>
  <c r="Z24" i="111" l="1"/>
  <c r="W32" i="111"/>
  <c r="AC27" i="111"/>
  <c r="W22" i="111"/>
  <c r="AB24" i="111"/>
  <c r="Z23" i="111"/>
  <c r="W25" i="111"/>
  <c r="S33" i="111"/>
  <c r="AA23" i="111"/>
  <c r="T25" i="111"/>
  <c r="T24" i="111"/>
  <c r="AB25" i="111"/>
  <c r="U25" i="111"/>
  <c r="X27" i="111"/>
  <c r="Y25" i="111"/>
  <c r="AA29" i="111"/>
  <c r="Z22" i="111"/>
  <c r="AC25" i="111"/>
  <c r="AD25" i="111"/>
  <c r="X31" i="111"/>
  <c r="AA28" i="111"/>
  <c r="V22" i="111"/>
  <c r="T30" i="111"/>
  <c r="W30" i="111"/>
  <c r="V30" i="111"/>
  <c r="AA33" i="111"/>
  <c r="T31" i="111"/>
  <c r="U26" i="111"/>
  <c r="AD26" i="111"/>
  <c r="X33" i="111"/>
  <c r="Z30" i="111"/>
  <c r="U28" i="111"/>
  <c r="AA27" i="111"/>
  <c r="V33" i="111"/>
  <c r="V31" i="111"/>
  <c r="V32" i="111"/>
  <c r="Y28" i="111"/>
  <c r="AB33" i="111"/>
  <c r="S26" i="111"/>
  <c r="AC26" i="111"/>
  <c r="U29" i="111"/>
  <c r="T32" i="111"/>
  <c r="V23" i="111"/>
  <c r="AC28" i="111"/>
  <c r="T22" i="111"/>
  <c r="U22" i="111"/>
  <c r="AB27" i="111"/>
  <c r="AD33" i="111"/>
  <c r="U24" i="111"/>
  <c r="AD31" i="111"/>
  <c r="Y27" i="111"/>
  <c r="W31" i="111"/>
  <c r="Y22" i="111"/>
  <c r="AD32" i="111"/>
  <c r="AC23" i="111"/>
  <c r="V26" i="111"/>
  <c r="Y31" i="111"/>
  <c r="S24" i="111"/>
  <c r="S25" i="111"/>
  <c r="Z27" i="111"/>
  <c r="AD27" i="111"/>
  <c r="S27" i="111"/>
  <c r="AA22" i="111"/>
  <c r="T27" i="111"/>
  <c r="AB30" i="111"/>
  <c r="Z28" i="111"/>
  <c r="AB22" i="111"/>
  <c r="AC22" i="111"/>
  <c r="AC24" i="111"/>
  <c r="Z32" i="111"/>
  <c r="Y23" i="111"/>
  <c r="T23" i="111"/>
  <c r="X30" i="111"/>
  <c r="V29" i="111"/>
  <c r="S31" i="111"/>
  <c r="Z26" i="111"/>
  <c r="X22" i="111"/>
  <c r="X24" i="111"/>
  <c r="K6" i="98"/>
  <c r="K6" i="99" s="1"/>
  <c r="K6" i="100" s="1"/>
  <c r="K6" i="101" s="1"/>
  <c r="K6" i="109" s="1"/>
  <c r="K6" i="110" s="1"/>
  <c r="G5" i="98"/>
  <c r="G5" i="99" s="1"/>
  <c r="G5" i="100" s="1"/>
  <c r="G5" i="101" s="1"/>
  <c r="G5" i="109" s="1"/>
  <c r="G5" i="105" s="1"/>
  <c r="G5" i="110" s="1"/>
  <c r="G5" i="103" s="1"/>
  <c r="K6" i="97"/>
  <c r="G5" i="97"/>
  <c r="K6" i="96"/>
  <c r="G5" i="96"/>
  <c r="K6" i="95"/>
  <c r="G5" i="95"/>
  <c r="G5" i="94"/>
  <c r="G6" i="108"/>
  <c r="G6" i="103"/>
  <c r="G6" i="107" s="1"/>
  <c r="G6" i="105"/>
  <c r="G6" i="101"/>
  <c r="G6" i="99"/>
  <c r="G6" i="97"/>
  <c r="G6" i="95"/>
  <c r="D6" i="108"/>
  <c r="D6" i="103"/>
  <c r="D6" i="107" s="1"/>
  <c r="D6" i="105"/>
  <c r="D6" i="101"/>
  <c r="D6" i="99"/>
  <c r="D6" i="97"/>
  <c r="D6" i="95"/>
  <c r="D5" i="109"/>
  <c r="D5" i="100"/>
  <c r="D5" i="98"/>
  <c r="D5" i="96"/>
  <c r="D5" i="94"/>
  <c r="K6" i="104" l="1"/>
  <c r="K6" i="108" s="1"/>
  <c r="K6" i="111" s="1"/>
  <c r="K6" i="107"/>
  <c r="K5" i="107"/>
  <c r="K5" i="108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Y19" i="105"/>
  <c r="X19" i="105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A19" i="103"/>
  <c r="AA27" i="103" s="1"/>
  <c r="Z19" i="103"/>
  <c r="Z27" i="103" s="1"/>
  <c r="Y19" i="103"/>
  <c r="Y27" i="103" s="1"/>
  <c r="X19" i="103"/>
  <c r="X27" i="103" s="1"/>
  <c r="W19" i="103"/>
  <c r="V19" i="103"/>
  <c r="V27" i="103" s="1"/>
  <c r="U19" i="103"/>
  <c r="T19" i="103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Z19" i="99"/>
  <c r="Y19" i="99"/>
  <c r="X19" i="99"/>
  <c r="W19" i="99"/>
  <c r="W27" i="99" s="1"/>
  <c r="V19" i="99"/>
  <c r="U19" i="99"/>
  <c r="T19" i="99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C19" i="97"/>
  <c r="AB19" i="97"/>
  <c r="AB27" i="97" s="1"/>
  <c r="AA19" i="97"/>
  <c r="Z19" i="97"/>
  <c r="Y19" i="97"/>
  <c r="X19" i="97"/>
  <c r="W19" i="97"/>
  <c r="V19" i="97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V39" i="105" l="1"/>
  <c r="AD39" i="105"/>
  <c r="S27" i="99"/>
  <c r="S39" i="101"/>
  <c r="V27" i="97"/>
  <c r="AD27" i="97"/>
  <c r="T27" i="99"/>
  <c r="U24" i="103"/>
  <c r="AA27" i="99"/>
  <c r="AB27" i="103"/>
  <c r="Z39" i="105"/>
  <c r="U39" i="109"/>
  <c r="T27" i="103"/>
  <c r="X39" i="105"/>
  <c r="X27" i="97"/>
  <c r="V27" i="99"/>
  <c r="AD27" i="99"/>
  <c r="V39" i="101"/>
  <c r="W27" i="103"/>
  <c r="Y39" i="109"/>
  <c r="W39" i="105"/>
  <c r="AA39" i="105"/>
  <c r="Z27" i="97"/>
  <c r="X26" i="98"/>
  <c r="AA39" i="101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U38" i="110" s="1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S38" i="110" s="1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W38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58" i="108" s="1"/>
  <c r="O62" i="109"/>
  <c r="O66" i="109"/>
  <c r="O70" i="109"/>
  <c r="O70" i="108" s="1"/>
  <c r="O74" i="109"/>
  <c r="O74" i="108" s="1"/>
  <c r="O78" i="109"/>
  <c r="O78" i="108" s="1"/>
  <c r="O82" i="109"/>
  <c r="O82" i="108" s="1"/>
  <c r="O86" i="109"/>
  <c r="O86" i="108" s="1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59" i="108" s="1"/>
  <c r="P63" i="109"/>
  <c r="P63" i="108" s="1"/>
  <c r="P67" i="109"/>
  <c r="P67" i="108" s="1"/>
  <c r="P71" i="109"/>
  <c r="P71" i="108" s="1"/>
  <c r="P75" i="109"/>
  <c r="P75" i="108" s="1"/>
  <c r="P79" i="109"/>
  <c r="P83" i="109"/>
  <c r="P87" i="109"/>
  <c r="P91" i="109"/>
  <c r="P91" i="108" s="1"/>
  <c r="P44" i="109"/>
  <c r="P48" i="109"/>
  <c r="V19" i="109"/>
  <c r="X19" i="109"/>
  <c r="Z19" i="109"/>
  <c r="AB19" i="109"/>
  <c r="AD19" i="109"/>
  <c r="P52" i="109"/>
  <c r="V20" i="109"/>
  <c r="V39" i="109" s="1"/>
  <c r="X20" i="109"/>
  <c r="Z20" i="109"/>
  <c r="AB20" i="109"/>
  <c r="AD20" i="109"/>
  <c r="P56" i="109"/>
  <c r="P62" i="109"/>
  <c r="P70" i="109"/>
  <c r="P78" i="109"/>
  <c r="P78" i="108" s="1"/>
  <c r="P86" i="109"/>
  <c r="P86" i="108" s="1"/>
  <c r="P94" i="109"/>
  <c r="P102" i="109"/>
  <c r="P102" i="108" s="1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58" i="108" s="1"/>
  <c r="AF22" i="108" s="1"/>
  <c r="P66" i="109"/>
  <c r="P66" i="108" s="1"/>
  <c r="P74" i="109"/>
  <c r="P74" i="108" s="1"/>
  <c r="P82" i="109"/>
  <c r="P82" i="108" s="1"/>
  <c r="P90" i="109"/>
  <c r="P90" i="108" s="1"/>
  <c r="P98" i="109"/>
  <c r="P98" i="108" s="1"/>
  <c r="P57" i="109"/>
  <c r="V21" i="109"/>
  <c r="X21" i="109"/>
  <c r="Z21" i="109"/>
  <c r="AB21" i="109"/>
  <c r="AD21" i="109"/>
  <c r="O60" i="109"/>
  <c r="O60" i="108" s="1"/>
  <c r="P60" i="109"/>
  <c r="P60" i="108" s="1"/>
  <c r="P61" i="109"/>
  <c r="P61" i="108" s="1"/>
  <c r="V22" i="109"/>
  <c r="X22" i="109"/>
  <c r="Z22" i="109"/>
  <c r="AB22" i="109"/>
  <c r="AD22" i="109"/>
  <c r="O64" i="109"/>
  <c r="O64" i="108" s="1"/>
  <c r="P64" i="109"/>
  <c r="P64" i="108" s="1"/>
  <c r="P65" i="109"/>
  <c r="P65" i="108" s="1"/>
  <c r="V23" i="109"/>
  <c r="X23" i="109"/>
  <c r="Z23" i="109"/>
  <c r="AB23" i="109"/>
  <c r="AD23" i="109"/>
  <c r="O68" i="109"/>
  <c r="O68" i="108" s="1"/>
  <c r="P68" i="109"/>
  <c r="P68" i="108" s="1"/>
  <c r="P69" i="109"/>
  <c r="P69" i="108" s="1"/>
  <c r="V24" i="109"/>
  <c r="X24" i="109"/>
  <c r="Z24" i="109"/>
  <c r="AB24" i="109"/>
  <c r="AD24" i="109"/>
  <c r="O72" i="109"/>
  <c r="O72" i="108" s="1"/>
  <c r="P72" i="109"/>
  <c r="P72" i="108" s="1"/>
  <c r="P73" i="109"/>
  <c r="P73" i="108" s="1"/>
  <c r="V25" i="109"/>
  <c r="X25" i="109"/>
  <c r="Z25" i="109"/>
  <c r="AB25" i="109"/>
  <c r="AD25" i="109"/>
  <c r="O76" i="109"/>
  <c r="O76" i="108" s="1"/>
  <c r="P76" i="109"/>
  <c r="P76" i="108" s="1"/>
  <c r="P77" i="109"/>
  <c r="P77" i="108" s="1"/>
  <c r="V26" i="109"/>
  <c r="X26" i="109"/>
  <c r="Z26" i="109"/>
  <c r="AB26" i="109"/>
  <c r="AD26" i="109"/>
  <c r="O80" i="109"/>
  <c r="O80" i="108" s="1"/>
  <c r="P80" i="109"/>
  <c r="P80" i="108" s="1"/>
  <c r="P81" i="109"/>
  <c r="P81" i="108" s="1"/>
  <c r="V27" i="109"/>
  <c r="X27" i="109"/>
  <c r="Z27" i="109"/>
  <c r="AB27" i="109"/>
  <c r="AD27" i="109"/>
  <c r="O84" i="109"/>
  <c r="O84" i="108" s="1"/>
  <c r="P84" i="109"/>
  <c r="P84" i="108" s="1"/>
  <c r="P85" i="109"/>
  <c r="P85" i="108" s="1"/>
  <c r="V28" i="109"/>
  <c r="X28" i="109"/>
  <c r="Z28" i="109"/>
  <c r="AB28" i="109"/>
  <c r="AD28" i="109"/>
  <c r="O88" i="109"/>
  <c r="O88" i="108" s="1"/>
  <c r="P88" i="109"/>
  <c r="P88" i="108" s="1"/>
  <c r="P89" i="109"/>
  <c r="P89" i="108" s="1"/>
  <c r="V29" i="109"/>
  <c r="X29" i="109"/>
  <c r="Z29" i="109"/>
  <c r="AB29" i="109"/>
  <c r="AD29" i="109"/>
  <c r="O92" i="109"/>
  <c r="O92" i="108" s="1"/>
  <c r="P92" i="109"/>
  <c r="P92" i="108" s="1"/>
  <c r="P93" i="109"/>
  <c r="P93" i="108" s="1"/>
  <c r="V30" i="109"/>
  <c r="X30" i="109"/>
  <c r="Z30" i="109"/>
  <c r="O96" i="109"/>
  <c r="O96" i="108" s="1"/>
  <c r="P96" i="109"/>
  <c r="P96" i="108" s="1"/>
  <c r="P97" i="109"/>
  <c r="P97" i="108" s="1"/>
  <c r="O100" i="109"/>
  <c r="O100" i="108" s="1"/>
  <c r="P100" i="109"/>
  <c r="P100" i="108" s="1"/>
  <c r="P101" i="109"/>
  <c r="P101" i="108" s="1"/>
  <c r="O104" i="109"/>
  <c r="O104" i="108" s="1"/>
  <c r="P104" i="109"/>
  <c r="P104" i="108" s="1"/>
  <c r="P105" i="109"/>
  <c r="P105" i="108" s="1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P99" i="108" s="1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3" i="108" s="1"/>
  <c r="O65" i="109"/>
  <c r="O67" i="109"/>
  <c r="O69" i="109"/>
  <c r="O69" i="108" s="1"/>
  <c r="O71" i="109"/>
  <c r="O71" i="108" s="1"/>
  <c r="O73" i="109"/>
  <c r="O73" i="108" s="1"/>
  <c r="O75" i="109"/>
  <c r="O77" i="109"/>
  <c r="O79" i="109"/>
  <c r="O79" i="108" s="1"/>
  <c r="O81" i="109"/>
  <c r="O83" i="109"/>
  <c r="O85" i="109"/>
  <c r="O85" i="108" s="1"/>
  <c r="O87" i="109"/>
  <c r="O87" i="108" s="1"/>
  <c r="O89" i="109"/>
  <c r="O89" i="108" s="1"/>
  <c r="O91" i="109"/>
  <c r="O93" i="109"/>
  <c r="O95" i="109"/>
  <c r="O95" i="108" s="1"/>
  <c r="O97" i="109"/>
  <c r="O99" i="109"/>
  <c r="O101" i="109"/>
  <c r="O101" i="108" s="1"/>
  <c r="O103" i="109"/>
  <c r="O103" i="108" s="1"/>
  <c r="O105" i="109"/>
  <c r="O105" i="108" s="1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P105" i="107" s="1"/>
  <c r="P105" i="111" s="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69" i="107" s="1"/>
  <c r="P91" i="101"/>
  <c r="P91" i="107" s="1"/>
  <c r="P91" i="111" s="1"/>
  <c r="U15" i="94"/>
  <c r="W17" i="96"/>
  <c r="Z19" i="98"/>
  <c r="AC24" i="103"/>
  <c r="P81" i="101"/>
  <c r="P63" i="101"/>
  <c r="P97" i="101"/>
  <c r="P97" i="107" s="1"/>
  <c r="P97" i="111" s="1"/>
  <c r="P73" i="101"/>
  <c r="Y19" i="94"/>
  <c r="P95" i="101"/>
  <c r="P95" i="107" s="1"/>
  <c r="P79" i="101"/>
  <c r="P79" i="107" s="1"/>
  <c r="P71" i="101"/>
  <c r="P59" i="101"/>
  <c r="P59" i="107" s="1"/>
  <c r="P101" i="101"/>
  <c r="P88" i="101"/>
  <c r="P83" i="101"/>
  <c r="P75" i="101"/>
  <c r="P75" i="107" s="1"/>
  <c r="P75" i="111" s="1"/>
  <c r="P67" i="101"/>
  <c r="P67" i="107" s="1"/>
  <c r="P67" i="111" s="1"/>
  <c r="Y14" i="100"/>
  <c r="P99" i="101"/>
  <c r="P99" i="107" s="1"/>
  <c r="P93" i="101"/>
  <c r="P85" i="101"/>
  <c r="P85" i="107" s="1"/>
  <c r="P65" i="101"/>
  <c r="P65" i="107" s="1"/>
  <c r="P103" i="101"/>
  <c r="P61" i="101"/>
  <c r="P61" i="107" s="1"/>
  <c r="O104" i="101"/>
  <c r="O104" i="107" s="1"/>
  <c r="O104" i="111" s="1"/>
  <c r="O102" i="101"/>
  <c r="O100" i="101"/>
  <c r="O98" i="101"/>
  <c r="O98" i="107" s="1"/>
  <c r="O96" i="101"/>
  <c r="O96" i="107" s="1"/>
  <c r="O96" i="111" s="1"/>
  <c r="O94" i="101"/>
  <c r="O92" i="101"/>
  <c r="O92" i="107" s="1"/>
  <c r="O92" i="111" s="1"/>
  <c r="O89" i="101"/>
  <c r="O89" i="107" s="1"/>
  <c r="O86" i="101"/>
  <c r="O86" i="107" s="1"/>
  <c r="O86" i="111" s="1"/>
  <c r="O84" i="101"/>
  <c r="O84" i="107" s="1"/>
  <c r="O84" i="111" s="1"/>
  <c r="O82" i="101"/>
  <c r="O82" i="107" s="1"/>
  <c r="O82" i="111" s="1"/>
  <c r="O80" i="101"/>
  <c r="O78" i="101"/>
  <c r="O76" i="101"/>
  <c r="O76" i="107" s="1"/>
  <c r="O76" i="111" s="1"/>
  <c r="O74" i="101"/>
  <c r="O74" i="107" s="1"/>
  <c r="O72" i="101"/>
  <c r="O70" i="101"/>
  <c r="O70" i="107" s="1"/>
  <c r="O70" i="111" s="1"/>
  <c r="O68" i="101"/>
  <c r="O68" i="107" s="1"/>
  <c r="O68" i="111" s="1"/>
  <c r="O66" i="101"/>
  <c r="O66" i="107" s="1"/>
  <c r="O64" i="101"/>
  <c r="O62" i="101"/>
  <c r="O60" i="101"/>
  <c r="O60" i="107" s="1"/>
  <c r="O58" i="101"/>
  <c r="O58" i="107" s="1"/>
  <c r="O105" i="101"/>
  <c r="O105" i="107" s="1"/>
  <c r="P104" i="101"/>
  <c r="P104" i="107" s="1"/>
  <c r="P104" i="111" s="1"/>
  <c r="O103" i="101"/>
  <c r="P102" i="101"/>
  <c r="O101" i="101"/>
  <c r="P100" i="101"/>
  <c r="O99" i="101"/>
  <c r="O99" i="107" s="1"/>
  <c r="P98" i="101"/>
  <c r="P98" i="107" s="1"/>
  <c r="P98" i="111" s="1"/>
  <c r="O97" i="101"/>
  <c r="O97" i="107" s="1"/>
  <c r="P96" i="101"/>
  <c r="P96" i="107" s="1"/>
  <c r="P96" i="111" s="1"/>
  <c r="O95" i="101"/>
  <c r="P94" i="101"/>
  <c r="O93" i="101"/>
  <c r="P92" i="101"/>
  <c r="O91" i="101"/>
  <c r="O91" i="107" s="1"/>
  <c r="P90" i="101"/>
  <c r="O90" i="101"/>
  <c r="O90" i="107" s="1"/>
  <c r="P89" i="101"/>
  <c r="P89" i="107" s="1"/>
  <c r="P89" i="111" s="1"/>
  <c r="O88" i="101"/>
  <c r="O88" i="107" s="1"/>
  <c r="O88" i="111" s="1"/>
  <c r="P87" i="101"/>
  <c r="P87" i="107" s="1"/>
  <c r="O87" i="101"/>
  <c r="P86" i="101"/>
  <c r="O85" i="101"/>
  <c r="P84" i="101"/>
  <c r="O83" i="101"/>
  <c r="O83" i="107" s="1"/>
  <c r="P82" i="101"/>
  <c r="O81" i="101"/>
  <c r="O81" i="107" s="1"/>
  <c r="P80" i="101"/>
  <c r="O79" i="101"/>
  <c r="P78" i="101"/>
  <c r="O77" i="101"/>
  <c r="O77" i="107" s="1"/>
  <c r="P76" i="101"/>
  <c r="P76" i="107" s="1"/>
  <c r="P76" i="111" s="1"/>
  <c r="O75" i="101"/>
  <c r="O75" i="107" s="1"/>
  <c r="P74" i="101"/>
  <c r="P74" i="107" s="1"/>
  <c r="P74" i="111" s="1"/>
  <c r="O73" i="101"/>
  <c r="O73" i="107" s="1"/>
  <c r="P72" i="101"/>
  <c r="O71" i="101"/>
  <c r="P70" i="101"/>
  <c r="O69" i="101"/>
  <c r="O69" i="107" s="1"/>
  <c r="P68" i="101"/>
  <c r="P68" i="107" s="1"/>
  <c r="P68" i="111" s="1"/>
  <c r="O67" i="101"/>
  <c r="O67" i="107" s="1"/>
  <c r="P66" i="101"/>
  <c r="P66" i="107" s="1"/>
  <c r="O65" i="101"/>
  <c r="O65" i="107" s="1"/>
  <c r="P64" i="101"/>
  <c r="P64" i="107" s="1"/>
  <c r="O63" i="101"/>
  <c r="P62" i="101"/>
  <c r="O61" i="101"/>
  <c r="O61" i="107" s="1"/>
  <c r="P60" i="101"/>
  <c r="P60" i="107" s="1"/>
  <c r="O59" i="101"/>
  <c r="O59" i="107" s="1"/>
  <c r="P58" i="101"/>
  <c r="P58" i="107" s="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X26" i="103" s="1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AB13" i="103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W22" i="107" s="1"/>
  <c r="H55" i="107"/>
  <c r="X22" i="107" s="1"/>
  <c r="I55" i="107"/>
  <c r="Y22" i="107" s="1"/>
  <c r="J55" i="107"/>
  <c r="Z22" i="107" s="1"/>
  <c r="K55" i="107"/>
  <c r="L55" i="107"/>
  <c r="M55" i="107"/>
  <c r="N55" i="107"/>
  <c r="C56" i="107"/>
  <c r="S23" i="107" s="1"/>
  <c r="D56" i="107"/>
  <c r="T23" i="107" s="1"/>
  <c r="E56" i="107"/>
  <c r="U23" i="107" s="1"/>
  <c r="F56" i="107"/>
  <c r="V23" i="107" s="1"/>
  <c r="G56" i="107"/>
  <c r="W23" i="107" s="1"/>
  <c r="H56" i="107"/>
  <c r="X23" i="107" s="1"/>
  <c r="I56" i="107"/>
  <c r="Y23" i="107" s="1"/>
  <c r="J56" i="107"/>
  <c r="Z23" i="107" s="1"/>
  <c r="K56" i="107"/>
  <c r="AA23" i="107" s="1"/>
  <c r="L56" i="107"/>
  <c r="AB23" i="107" s="1"/>
  <c r="M56" i="107"/>
  <c r="AC23" i="107" s="1"/>
  <c r="N56" i="107"/>
  <c r="AD23" i="107" s="1"/>
  <c r="C57" i="107"/>
  <c r="S24" i="107" s="1"/>
  <c r="D10" i="107"/>
  <c r="E10" i="107"/>
  <c r="F10" i="107"/>
  <c r="G10" i="107"/>
  <c r="G106" i="107" s="1"/>
  <c r="H10" i="107"/>
  <c r="H106" i="107" s="1"/>
  <c r="I10" i="107"/>
  <c r="I106" i="107" s="1"/>
  <c r="J10" i="107"/>
  <c r="J106" i="107" s="1"/>
  <c r="K10" i="107"/>
  <c r="L10" i="107"/>
  <c r="M10" i="107"/>
  <c r="N10" i="107"/>
  <c r="C10" i="107"/>
  <c r="C106" i="107" s="1"/>
  <c r="V21" i="107" l="1"/>
  <c r="P66" i="111"/>
  <c r="AF33" i="107"/>
  <c r="U21" i="107"/>
  <c r="AE26" i="107"/>
  <c r="O105" i="111"/>
  <c r="O74" i="111"/>
  <c r="AE25" i="108"/>
  <c r="AF28" i="101"/>
  <c r="P82" i="107"/>
  <c r="P82" i="111" s="1"/>
  <c r="O72" i="107"/>
  <c r="O72" i="111" s="1"/>
  <c r="P90" i="107"/>
  <c r="P90" i="111" s="1"/>
  <c r="P83" i="107"/>
  <c r="P83" i="111" s="1"/>
  <c r="O102" i="108"/>
  <c r="AE33" i="108" s="1"/>
  <c r="AA21" i="107"/>
  <c r="O69" i="111"/>
  <c r="O85" i="107"/>
  <c r="O85" i="111" s="1"/>
  <c r="O91" i="111"/>
  <c r="O60" i="111"/>
  <c r="O94" i="107"/>
  <c r="P65" i="111"/>
  <c r="AF29" i="111" s="1"/>
  <c r="AF32" i="107"/>
  <c r="P88" i="107"/>
  <c r="P88" i="111" s="1"/>
  <c r="P69" i="111"/>
  <c r="O99" i="108"/>
  <c r="O99" i="111" s="1"/>
  <c r="O83" i="108"/>
  <c r="O83" i="111" s="1"/>
  <c r="O67" i="108"/>
  <c r="AF32" i="108"/>
  <c r="P62" i="108"/>
  <c r="AF23" i="108" s="1"/>
  <c r="P87" i="108"/>
  <c r="P87" i="111" s="1"/>
  <c r="O98" i="108"/>
  <c r="AE32" i="108" s="1"/>
  <c r="O66" i="108"/>
  <c r="AE24" i="108" s="1"/>
  <c r="S35" i="110"/>
  <c r="F106" i="108"/>
  <c r="M106" i="108"/>
  <c r="AC21" i="107"/>
  <c r="O97" i="111"/>
  <c r="P60" i="111"/>
  <c r="P84" i="107"/>
  <c r="P84" i="111" s="1"/>
  <c r="O58" i="111"/>
  <c r="AE25" i="107"/>
  <c r="P103" i="107"/>
  <c r="P73" i="107"/>
  <c r="P73" i="111" s="1"/>
  <c r="P70" i="108"/>
  <c r="AF25" i="108" s="1"/>
  <c r="J106" i="108"/>
  <c r="N106" i="107"/>
  <c r="F106" i="107"/>
  <c r="AD22" i="107"/>
  <c r="V22" i="107"/>
  <c r="Z21" i="107"/>
  <c r="P62" i="107"/>
  <c r="AF25" i="101"/>
  <c r="P70" i="107"/>
  <c r="P78" i="107"/>
  <c r="P78" i="111" s="1"/>
  <c r="P86" i="107"/>
  <c r="P86" i="111" s="1"/>
  <c r="P92" i="107"/>
  <c r="P92" i="111" s="1"/>
  <c r="P100" i="107"/>
  <c r="P100" i="111" s="1"/>
  <c r="O62" i="107"/>
  <c r="O78" i="107"/>
  <c r="O78" i="111" s="1"/>
  <c r="P85" i="111"/>
  <c r="P101" i="107"/>
  <c r="P101" i="111" s="1"/>
  <c r="P63" i="107"/>
  <c r="AF27" i="107" s="1"/>
  <c r="O97" i="108"/>
  <c r="O81" i="108"/>
  <c r="AE27" i="108" s="1"/>
  <c r="O65" i="108"/>
  <c r="P95" i="108"/>
  <c r="P95" i="111" s="1"/>
  <c r="AF30" i="108"/>
  <c r="P83" i="108"/>
  <c r="AF28" i="108" s="1"/>
  <c r="O94" i="108"/>
  <c r="AE31" i="108" s="1"/>
  <c r="O62" i="108"/>
  <c r="AE23" i="108" s="1"/>
  <c r="D106" i="108"/>
  <c r="V19" i="108"/>
  <c r="K106" i="108"/>
  <c r="AD21" i="107"/>
  <c r="O67" i="111"/>
  <c r="AE31" i="111" s="1"/>
  <c r="O89" i="111"/>
  <c r="AF27" i="108"/>
  <c r="N106" i="108"/>
  <c r="I106" i="108"/>
  <c r="P58" i="111"/>
  <c r="AF25" i="107"/>
  <c r="AF29" i="108"/>
  <c r="P61" i="111"/>
  <c r="AB21" i="107"/>
  <c r="M106" i="107"/>
  <c r="Y21" i="107"/>
  <c r="AB26" i="103"/>
  <c r="O71" i="107"/>
  <c r="O71" i="111" s="1"/>
  <c r="AE32" i="111" s="1"/>
  <c r="O87" i="107"/>
  <c r="O87" i="111" s="1"/>
  <c r="O101" i="107"/>
  <c r="O101" i="111" s="1"/>
  <c r="O80" i="107"/>
  <c r="O80" i="111" s="1"/>
  <c r="P93" i="107"/>
  <c r="P93" i="111" s="1"/>
  <c r="P81" i="107"/>
  <c r="P81" i="111" s="1"/>
  <c r="L106" i="107"/>
  <c r="T22" i="107"/>
  <c r="X23" i="103"/>
  <c r="P64" i="111"/>
  <c r="AF28" i="111" s="1"/>
  <c r="AF31" i="107"/>
  <c r="P72" i="107"/>
  <c r="P72" i="111" s="1"/>
  <c r="P80" i="107"/>
  <c r="P80" i="111" s="1"/>
  <c r="P94" i="107"/>
  <c r="P102" i="107"/>
  <c r="P102" i="111" s="1"/>
  <c r="AE33" i="107"/>
  <c r="O100" i="107"/>
  <c r="O100" i="111" s="1"/>
  <c r="P99" i="111"/>
  <c r="P71" i="107"/>
  <c r="P71" i="111" s="1"/>
  <c r="P77" i="107"/>
  <c r="P77" i="111" s="1"/>
  <c r="O93" i="108"/>
  <c r="O77" i="108"/>
  <c r="O77" i="111" s="1"/>
  <c r="O61" i="108"/>
  <c r="O61" i="111" s="1"/>
  <c r="P103" i="108"/>
  <c r="AF33" i="108" s="1"/>
  <c r="AF26" i="108"/>
  <c r="AE29" i="108"/>
  <c r="L106" i="108"/>
  <c r="G106" i="108"/>
  <c r="O75" i="111"/>
  <c r="T21" i="107"/>
  <c r="E106" i="107"/>
  <c r="AC22" i="107"/>
  <c r="U22" i="107"/>
  <c r="O63" i="107"/>
  <c r="O79" i="107"/>
  <c r="O79" i="111" s="1"/>
  <c r="O93" i="107"/>
  <c r="O93" i="111" s="1"/>
  <c r="O64" i="107"/>
  <c r="O98" i="111"/>
  <c r="P59" i="111"/>
  <c r="AF26" i="107"/>
  <c r="P79" i="108"/>
  <c r="O90" i="108"/>
  <c r="O90" i="111" s="1"/>
  <c r="H106" i="108"/>
  <c r="T19" i="108"/>
  <c r="D106" i="107"/>
  <c r="AB22" i="107"/>
  <c r="X21" i="107"/>
  <c r="K106" i="107"/>
  <c r="AA22" i="107"/>
  <c r="S22" i="107"/>
  <c r="W21" i="107"/>
  <c r="T26" i="103"/>
  <c r="Z26" i="95"/>
  <c r="O65" i="111"/>
  <c r="AE32" i="107"/>
  <c r="O73" i="111"/>
  <c r="O81" i="111"/>
  <c r="O95" i="107"/>
  <c r="O95" i="111" s="1"/>
  <c r="O103" i="107"/>
  <c r="O103" i="111" s="1"/>
  <c r="O102" i="107"/>
  <c r="O102" i="111" s="1"/>
  <c r="P79" i="111"/>
  <c r="T36" i="105"/>
  <c r="O91" i="108"/>
  <c r="O75" i="108"/>
  <c r="O59" i="108"/>
  <c r="AE22" i="108" s="1"/>
  <c r="AF24" i="108"/>
  <c r="P94" i="108"/>
  <c r="AF31" i="108" s="1"/>
  <c r="AE28" i="108"/>
  <c r="C106" i="108"/>
  <c r="E106" i="108"/>
  <c r="O57" i="107"/>
  <c r="AE24" i="107" s="1"/>
  <c r="P57" i="107"/>
  <c r="AF24" i="107" s="1"/>
  <c r="Y38" i="105"/>
  <c r="U38" i="109"/>
  <c r="AF32" i="101"/>
  <c r="AF33" i="101"/>
  <c r="AD26" i="97"/>
  <c r="X26" i="96"/>
  <c r="X36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N106" i="111" s="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41" i="108" s="1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Y15" i="107"/>
  <c r="Z11" i="107"/>
  <c r="AC35" i="105"/>
  <c r="U38" i="105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6" i="107"/>
  <c r="AF23" i="107" s="1"/>
  <c r="O56" i="107"/>
  <c r="AE23" i="107" s="1"/>
  <c r="P55" i="107"/>
  <c r="AF22" i="107" s="1"/>
  <c r="O55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Y41" i="107" s="1"/>
  <c r="AB38" i="105"/>
  <c r="T38" i="105"/>
  <c r="AD10" i="107"/>
  <c r="V10" i="107"/>
  <c r="AA10" i="107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E106" i="111" l="1"/>
  <c r="AE24" i="98"/>
  <c r="S36" i="107"/>
  <c r="S41" i="108"/>
  <c r="AA41" i="108"/>
  <c r="G106" i="111"/>
  <c r="I106" i="111"/>
  <c r="O64" i="111"/>
  <c r="AE28" i="111" s="1"/>
  <c r="AE31" i="107"/>
  <c r="AE26" i="108"/>
  <c r="O66" i="111"/>
  <c r="AE30" i="111" s="1"/>
  <c r="P70" i="111"/>
  <c r="AF32" i="111" s="1"/>
  <c r="AC41" i="108"/>
  <c r="AC42" i="108" s="1"/>
  <c r="V41" i="108"/>
  <c r="S41" i="107"/>
  <c r="AE21" i="107"/>
  <c r="X41" i="107"/>
  <c r="X42" i="107" s="1"/>
  <c r="X42" i="109"/>
  <c r="AB41" i="108"/>
  <c r="T12" i="111"/>
  <c r="C106" i="111"/>
  <c r="J106" i="111"/>
  <c r="AE30" i="108"/>
  <c r="P94" i="111"/>
  <c r="P62" i="111"/>
  <c r="AF26" i="111" s="1"/>
  <c r="AF29" i="107"/>
  <c r="AE33" i="111"/>
  <c r="O59" i="111"/>
  <c r="P106" i="107"/>
  <c r="AF21" i="107"/>
  <c r="Z41" i="107"/>
  <c r="U41" i="107"/>
  <c r="U41" i="108"/>
  <c r="U42" i="108" s="1"/>
  <c r="T41" i="108"/>
  <c r="L106" i="111"/>
  <c r="O63" i="111"/>
  <c r="AE27" i="111" s="1"/>
  <c r="AE30" i="107"/>
  <c r="O62" i="111"/>
  <c r="AE26" i="111" s="1"/>
  <c r="AE29" i="107"/>
  <c r="P103" i="111"/>
  <c r="AF31" i="111"/>
  <c r="O94" i="111"/>
  <c r="AE28" i="107"/>
  <c r="P63" i="111"/>
  <c r="AF27" i="111" s="1"/>
  <c r="AF30" i="107"/>
  <c r="Y41" i="108"/>
  <c r="K106" i="111"/>
  <c r="AA41" i="107"/>
  <c r="AA42" i="107" s="1"/>
  <c r="AB41" i="107"/>
  <c r="W41" i="107"/>
  <c r="W42" i="107" s="1"/>
  <c r="AF22" i="111"/>
  <c r="AE27" i="107"/>
  <c r="D106" i="111"/>
  <c r="V41" i="107"/>
  <c r="AE22" i="107"/>
  <c r="AC41" i="107"/>
  <c r="AC42" i="107" s="1"/>
  <c r="AA42" i="110"/>
  <c r="Z41" i="108"/>
  <c r="F106" i="111"/>
  <c r="AE22" i="111"/>
  <c r="AE24" i="111"/>
  <c r="AF30" i="111"/>
  <c r="O106" i="107"/>
  <c r="T41" i="107"/>
  <c r="T42" i="107" s="1"/>
  <c r="W41" i="108"/>
  <c r="M106" i="111"/>
  <c r="AD41" i="107"/>
  <c r="AF10" i="108"/>
  <c r="P106" i="108"/>
  <c r="O106" i="108"/>
  <c r="X41" i="108"/>
  <c r="H106" i="111"/>
  <c r="AE29" i="111"/>
  <c r="AF23" i="111"/>
  <c r="AF28" i="107"/>
  <c r="U36" i="107"/>
  <c r="Y34" i="108"/>
  <c r="S42" i="110"/>
  <c r="AD39" i="107"/>
  <c r="AD12" i="111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X41" i="111" s="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AD41" i="111" s="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D42" i="108" s="1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Y42" i="107" s="1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O106" i="111" l="1"/>
  <c r="Z42" i="108"/>
  <c r="AB42" i="108"/>
  <c r="W42" i="108"/>
  <c r="AB42" i="107"/>
  <c r="T42" i="108"/>
  <c r="AF24" i="111"/>
  <c r="AA42" i="108"/>
  <c r="W41" i="111"/>
  <c r="AE41" i="107"/>
  <c r="X42" i="108"/>
  <c r="U42" i="107"/>
  <c r="S42" i="108"/>
  <c r="AA41" i="111"/>
  <c r="AA42" i="111" s="1"/>
  <c r="AB41" i="111"/>
  <c r="P106" i="111"/>
  <c r="Z41" i="111"/>
  <c r="V42" i="107"/>
  <c r="Y42" i="108"/>
  <c r="Z42" i="107"/>
  <c r="S42" i="107"/>
  <c r="AF41" i="107"/>
  <c r="AF42" i="107" s="1"/>
  <c r="AC41" i="111"/>
  <c r="T41" i="111"/>
  <c r="V42" i="108"/>
  <c r="AF33" i="111"/>
  <c r="Y41" i="111"/>
  <c r="U41" i="111"/>
  <c r="V41" i="111"/>
  <c r="V42" i="111" s="1"/>
  <c r="AF41" i="108"/>
  <c r="AF42" i="108" s="1"/>
  <c r="AF25" i="111"/>
  <c r="AE41" i="108"/>
  <c r="S41" i="111"/>
  <c r="AD42" i="107"/>
  <c r="AE23" i="111"/>
  <c r="AE25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AD42" i="111" s="1"/>
  <c r="X40" i="111"/>
  <c r="X42" i="111" s="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U42" i="111" l="1"/>
  <c r="Y42" i="111"/>
  <c r="AE41" i="111"/>
  <c r="AE42" i="107"/>
  <c r="S42" i="111"/>
  <c r="Z42" i="111"/>
  <c r="W42" i="111"/>
  <c r="AE42" i="108"/>
  <c r="T42" i="111"/>
  <c r="AF34" i="111"/>
  <c r="AF41" i="111"/>
  <c r="AC42" i="111"/>
  <c r="AB42" i="11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F42" i="111" l="1"/>
  <c r="AE42" i="111"/>
</calcChain>
</file>

<file path=xl/sharedStrings.xml><?xml version="1.0" encoding="utf-8"?>
<sst xmlns="http://schemas.openxmlformats.org/spreadsheetml/2006/main" count="2355" uniqueCount="187">
  <si>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</si>
  <si>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</si>
  <si>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</si>
  <si>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</si>
  <si>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</si>
  <si>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</si>
  <si>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</si>
  <si>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</si>
  <si>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</si>
  <si>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</si>
  <si>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</si>
  <si>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</si>
  <si>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</si>
  <si>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</si>
  <si>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</si>
  <si>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</si>
  <si>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</si>
  <si>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</si>
  <si>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</si>
  <si>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</si>
  <si>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</si>
  <si>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</si>
  <si>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</si>
  <si>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</si>
  <si>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</si>
  <si>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</si>
  <si>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</si>
  <si>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</si>
  <si>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</si>
  <si>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</si>
  <si>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</si>
  <si>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</si>
  <si>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</si>
  <si>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</si>
  <si>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</si>
  <si>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</si>
  <si>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</si>
  <si>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</si>
  <si>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</si>
  <si>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</si>
  <si>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</si>
  <si>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</si>
  <si>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</si>
  <si>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</si>
  <si>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</si>
  <si>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</si>
  <si>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</si>
  <si>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</si>
  <si>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</si>
  <si>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</si>
  <si>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</si>
  <si>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</si>
  <si>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</si>
  <si>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</si>
  <si>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</si>
  <si>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</si>
  <si>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</si>
  <si>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</si>
  <si>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</si>
  <si>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</si>
  <si>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</si>
  <si>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</si>
  <si>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</si>
  <si>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</si>
  <si>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</si>
  <si>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</si>
  <si>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</si>
  <si>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</si>
  <si>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</si>
  <si>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</si>
  <si>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</si>
  <si>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</si>
  <si>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</si>
  <si>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</si>
  <si>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</si>
  <si>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</si>
  <si>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</si>
  <si>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</si>
  <si>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</si>
  <si>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</si>
  <si>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</si>
  <si>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</si>
  <si>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</si>
  <si>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</si>
  <si>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</si>
  <si>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</si>
  <si>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</si>
  <si>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</si>
  <si>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</si>
  <si>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</si>
  <si>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</si>
  <si>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</si>
  <si>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</si>
  <si>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</si>
  <si>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</si>
  <si>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</si>
  <si>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</si>
  <si>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</si>
  <si>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</si>
  <si>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</si>
  <si>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</si>
  <si>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</si>
  <si>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</si>
  <si>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</si>
  <si>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</si>
  <si>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</si>
  <si>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</si>
  <si>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</si>
  <si>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</si>
  <si>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</si>
  <si>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</si>
  <si>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</si>
  <si>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</si>
  <si>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</si>
  <si>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</si>
  <si>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</si>
  <si>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</si>
  <si>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</si>
  <si>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</si>
  <si>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</si>
  <si>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</si>
  <si>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</si>
  <si>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</si>
  <si>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</si>
  <si>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</si>
  <si>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</si>
  <si>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</si>
  <si>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</si>
  <si>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</si>
  <si>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</si>
  <si>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</si>
  <si>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</si>
  <si>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</si>
  <si>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</si>
  <si>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</si>
  <si>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</si>
  <si>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</si>
  <si>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</si>
  <si>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</si>
  <si>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</si>
  <si>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</si>
  <si>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</si>
  <si>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</si>
  <si>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</si>
  <si>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</si>
  <si>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</si>
  <si>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</si>
  <si>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</si>
  <si>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</si>
  <si>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</si>
  <si>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</si>
  <si>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</si>
  <si>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</si>
  <si>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</si>
  <si>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</si>
  <si>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</si>
  <si>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</si>
  <si>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</si>
  <si>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</si>
  <si>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</si>
  <si>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</si>
  <si>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</si>
  <si>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</si>
  <si>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CI - STN03 - KALINDA ROAD</t>
  </si>
  <si>
    <t>Denis</t>
  </si>
  <si>
    <t>Kizito Geofrey</t>
  </si>
  <si>
    <t>MCC - C1 - STN34- KISAASI-KYANJA ROAD</t>
  </si>
  <si>
    <t>Kyanja</t>
  </si>
  <si>
    <t>Kisaasi</t>
  </si>
  <si>
    <t>Yiga Elly</t>
  </si>
  <si>
    <t>Steven</t>
  </si>
  <si>
    <t>01.08.19</t>
  </si>
  <si>
    <t>04.08.19</t>
  </si>
  <si>
    <t>Laira</t>
  </si>
  <si>
    <t>Shamim &amp; Elly</t>
  </si>
  <si>
    <t>03.08.19</t>
  </si>
  <si>
    <t>Babirye &amp; Kayondo</t>
  </si>
  <si>
    <t xml:space="preserve"> </t>
  </si>
  <si>
    <t>02.08.19</t>
  </si>
  <si>
    <t>Babirye Phiona</t>
  </si>
  <si>
    <t>31.07.19</t>
  </si>
  <si>
    <t xml:space="preserve">Nsamba Catherine &amp; Yiga Elly </t>
  </si>
  <si>
    <t>30.07.19</t>
  </si>
  <si>
    <t>Malcom Health center</t>
  </si>
  <si>
    <t>Nansamba Catherine &amp; Yiga Elly</t>
  </si>
  <si>
    <t>29.07.19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</si>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</sst>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0.0%"/>
    <numFmt numFmtId="165" formatCode="0.000"/>
    <numFmt numFmtId="166" formatCode="_-* #,##0_-;\-* #,##0_-;_-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66" fontId="1" fillId="0" borderId="1" xfId="2" applyNumberFormat="1" applyFont="1" applyBorder="1" applyAlignment="1">
      <alignment horizontal="center"/>
    </xf>
    <xf numFmtId="166" fontId="1" fillId="3" borderId="1" xfId="2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Kyanja 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Kyanja 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Kyanja -Kisaasi'!$AE$10:$AE$21</c:f>
              <c:numCache>
                <c:formatCode>0</c:formatCode>
                <c:ptCount val="12"/>
                <c:pt idx="0">
                  <c:v>334</c:v>
                </c:pt>
                <c:pt idx="1">
                  <c:v>509</c:v>
                </c:pt>
                <c:pt idx="2">
                  <c:v>340</c:v>
                </c:pt>
                <c:pt idx="3">
                  <c:v>310</c:v>
                </c:pt>
                <c:pt idx="4">
                  <c:v>304</c:v>
                </c:pt>
                <c:pt idx="5">
                  <c:v>159</c:v>
                </c:pt>
                <c:pt idx="6">
                  <c:v>342</c:v>
                </c:pt>
                <c:pt idx="7">
                  <c:v>330</c:v>
                </c:pt>
                <c:pt idx="8">
                  <c:v>367</c:v>
                </c:pt>
                <c:pt idx="9">
                  <c:v>457</c:v>
                </c:pt>
                <c:pt idx="10">
                  <c:v>625</c:v>
                </c:pt>
                <c:pt idx="11">
                  <c:v>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Kyanja 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Kyanja 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Kyanja -Kisaasi'!$AF$10:$AF$21</c:f>
              <c:numCache>
                <c:formatCode>0</c:formatCode>
                <c:ptCount val="12"/>
                <c:pt idx="0">
                  <c:v>656</c:v>
                </c:pt>
                <c:pt idx="1">
                  <c:v>579</c:v>
                </c:pt>
                <c:pt idx="2">
                  <c:v>700</c:v>
                </c:pt>
                <c:pt idx="3">
                  <c:v>373</c:v>
                </c:pt>
                <c:pt idx="4">
                  <c:v>378</c:v>
                </c:pt>
                <c:pt idx="5">
                  <c:v>308</c:v>
                </c:pt>
                <c:pt idx="6">
                  <c:v>654</c:v>
                </c:pt>
                <c:pt idx="7">
                  <c:v>655</c:v>
                </c:pt>
                <c:pt idx="8">
                  <c:v>678</c:v>
                </c:pt>
                <c:pt idx="9">
                  <c:v>781</c:v>
                </c:pt>
                <c:pt idx="10">
                  <c:v>1130</c:v>
                </c:pt>
                <c:pt idx="11">
                  <c:v>1493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58848"/>
        <c:axId val="88961024"/>
      </c:lineChart>
      <c:catAx>
        <c:axId val="8895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961024"/>
        <c:crosses val="autoZero"/>
        <c:auto val="1"/>
        <c:lblAlgn val="ctr"/>
        <c:lblOffset val="100"/>
        <c:noMultiLvlLbl val="0"/>
      </c:catAx>
      <c:valAx>
        <c:axId val="88961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95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Kyanja 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Kyanja -Kisaasi'!$C$59:$N$59</c:f>
              <c:numCache>
                <c:formatCode>0.0%</c:formatCode>
                <c:ptCount val="12"/>
                <c:pt idx="0">
                  <c:v>0.19499105545617174</c:v>
                </c:pt>
                <c:pt idx="1">
                  <c:v>0.17984496124031008</c:v>
                </c:pt>
                <c:pt idx="2">
                  <c:v>3.8878950506857482E-2</c:v>
                </c:pt>
                <c:pt idx="3">
                  <c:v>0.13583780560524747</c:v>
                </c:pt>
                <c:pt idx="4">
                  <c:v>1.1926058437686344E-3</c:v>
                </c:pt>
                <c:pt idx="5">
                  <c:v>3.5778175313059033E-4</c:v>
                </c:pt>
                <c:pt idx="6">
                  <c:v>1.8485390578413835E-2</c:v>
                </c:pt>
                <c:pt idx="7">
                  <c:v>1.1449016100178891E-2</c:v>
                </c:pt>
                <c:pt idx="8">
                  <c:v>1.1568276684555755E-2</c:v>
                </c:pt>
                <c:pt idx="9">
                  <c:v>4.8896839594514017E-3</c:v>
                </c:pt>
                <c:pt idx="10">
                  <c:v>0.40250447227191416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Kyanja 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Kyanja -Kisaasi'!$C$60:$N$60</c:f>
              <c:numCache>
                <c:formatCode>0.00%</c:formatCode>
                <c:ptCount val="12"/>
                <c:pt idx="0">
                  <c:v>0.32634730538922158</c:v>
                </c:pt>
                <c:pt idx="1">
                  <c:v>0.30099800399201598</c:v>
                </c:pt>
                <c:pt idx="2">
                  <c:v>6.5069860279441116E-2</c:v>
                </c:pt>
                <c:pt idx="3">
                  <c:v>0.22734530938123754</c:v>
                </c:pt>
                <c:pt idx="4">
                  <c:v>1.996007984031936E-3</c:v>
                </c:pt>
                <c:pt idx="5">
                  <c:v>5.9880239520958083E-4</c:v>
                </c:pt>
                <c:pt idx="6">
                  <c:v>3.0938123752495009E-2</c:v>
                </c:pt>
                <c:pt idx="7">
                  <c:v>1.9161676646706587E-2</c:v>
                </c:pt>
                <c:pt idx="8">
                  <c:v>1.9361277445109782E-2</c:v>
                </c:pt>
                <c:pt idx="9">
                  <c:v>8.1836327345309375E-3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Kisaasi-Kyanja'!$AE$9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Kisaasi-Kyanja'!$AE$10:$AE$21</c:f>
              <c:numCache>
                <c:formatCode>0</c:formatCode>
                <c:ptCount val="12"/>
                <c:pt idx="0">
                  <c:v>636</c:v>
                </c:pt>
                <c:pt idx="1">
                  <c:v>790</c:v>
                </c:pt>
                <c:pt idx="2">
                  <c:v>686</c:v>
                </c:pt>
                <c:pt idx="3">
                  <c:v>550</c:v>
                </c:pt>
                <c:pt idx="4">
                  <c:v>455</c:v>
                </c:pt>
                <c:pt idx="5">
                  <c:v>369</c:v>
                </c:pt>
                <c:pt idx="6">
                  <c:v>331</c:v>
                </c:pt>
                <c:pt idx="7">
                  <c:v>367</c:v>
                </c:pt>
                <c:pt idx="8">
                  <c:v>444</c:v>
                </c:pt>
                <c:pt idx="9">
                  <c:v>510</c:v>
                </c:pt>
                <c:pt idx="10">
                  <c:v>584</c:v>
                </c:pt>
                <c:pt idx="11">
                  <c:v>530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Kisaasi-Kyanja'!$AF$9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Kisaasi-Kyanja'!$AF$10:$AF$21</c:f>
              <c:numCache>
                <c:formatCode>0</c:formatCode>
                <c:ptCount val="12"/>
                <c:pt idx="0">
                  <c:v>1114</c:v>
                </c:pt>
                <c:pt idx="1">
                  <c:v>1531</c:v>
                </c:pt>
                <c:pt idx="2">
                  <c:v>1430</c:v>
                </c:pt>
                <c:pt idx="3">
                  <c:v>1088</c:v>
                </c:pt>
                <c:pt idx="4">
                  <c:v>1158</c:v>
                </c:pt>
                <c:pt idx="5">
                  <c:v>937</c:v>
                </c:pt>
                <c:pt idx="6">
                  <c:v>919</c:v>
                </c:pt>
                <c:pt idx="7">
                  <c:v>840</c:v>
                </c:pt>
                <c:pt idx="8">
                  <c:v>882</c:v>
                </c:pt>
                <c:pt idx="9">
                  <c:v>1035</c:v>
                </c:pt>
                <c:pt idx="10">
                  <c:v>1326</c:v>
                </c:pt>
                <c:pt idx="11">
                  <c:v>1367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08544"/>
        <c:axId val="89339392"/>
      </c:lineChart>
      <c:catAx>
        <c:axId val="89308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339392"/>
        <c:crosses val="autoZero"/>
        <c:auto val="1"/>
        <c:lblAlgn val="ctr"/>
        <c:lblOffset val="100"/>
        <c:noMultiLvlLbl val="0"/>
      </c:catAx>
      <c:valAx>
        <c:axId val="89339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3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Kisaasi-Kyanja'!$C$59:$N$59</c:f>
              <c:numCache>
                <c:formatCode>0.0%</c:formatCode>
                <c:ptCount val="12"/>
                <c:pt idx="0">
                  <c:v>0.24833052029059954</c:v>
                </c:pt>
                <c:pt idx="1">
                  <c:v>0.10024216628751743</c:v>
                </c:pt>
                <c:pt idx="2">
                  <c:v>3.0821163865854553E-2</c:v>
                </c:pt>
                <c:pt idx="3">
                  <c:v>4.8653408673956115E-2</c:v>
                </c:pt>
                <c:pt idx="4">
                  <c:v>1.1007558523519483E-3</c:v>
                </c:pt>
                <c:pt idx="5">
                  <c:v>0</c:v>
                </c:pt>
                <c:pt idx="6">
                  <c:v>1.8199163425552212E-2</c:v>
                </c:pt>
                <c:pt idx="7">
                  <c:v>5.1368606443090922E-3</c:v>
                </c:pt>
                <c:pt idx="8">
                  <c:v>5.3570118147794818E-3</c:v>
                </c:pt>
                <c:pt idx="9">
                  <c:v>8.0722095839142881E-4</c:v>
                </c:pt>
                <c:pt idx="10">
                  <c:v>0.54120496073970792</c:v>
                </c:pt>
                <c:pt idx="11">
                  <c:v>1.4676744698025978E-4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15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Kisaasi-Kyanja'!$S$9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Kisaasi-Kyanja'!$S$10:$S$21</c:f>
              <c:numCache>
                <c:formatCode>0</c:formatCode>
                <c:ptCount val="12"/>
                <c:pt idx="0">
                  <c:v>389</c:v>
                </c:pt>
                <c:pt idx="1">
                  <c:v>454</c:v>
                </c:pt>
                <c:pt idx="2">
                  <c:v>394</c:v>
                </c:pt>
                <c:pt idx="3">
                  <c:v>325</c:v>
                </c:pt>
                <c:pt idx="4">
                  <c:v>265</c:v>
                </c:pt>
                <c:pt idx="5">
                  <c:v>189</c:v>
                </c:pt>
                <c:pt idx="6">
                  <c:v>171</c:v>
                </c:pt>
                <c:pt idx="7">
                  <c:v>171</c:v>
                </c:pt>
                <c:pt idx="8">
                  <c:v>219</c:v>
                </c:pt>
                <c:pt idx="9">
                  <c:v>272</c:v>
                </c:pt>
                <c:pt idx="10">
                  <c:v>286</c:v>
                </c:pt>
                <c:pt idx="11">
                  <c:v>249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Kisaasi-Kyanja'!$T$9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Kisaasi-Kyanja'!$T$10:$T$21</c:f>
              <c:numCache>
                <c:formatCode>0</c:formatCode>
                <c:ptCount val="12"/>
                <c:pt idx="0">
                  <c:v>139</c:v>
                </c:pt>
                <c:pt idx="1">
                  <c:v>173</c:v>
                </c:pt>
                <c:pt idx="2">
                  <c:v>140</c:v>
                </c:pt>
                <c:pt idx="3">
                  <c:v>123</c:v>
                </c:pt>
                <c:pt idx="4">
                  <c:v>71</c:v>
                </c:pt>
                <c:pt idx="5">
                  <c:v>94</c:v>
                </c:pt>
                <c:pt idx="6">
                  <c:v>61</c:v>
                </c:pt>
                <c:pt idx="7">
                  <c:v>73</c:v>
                </c:pt>
                <c:pt idx="8">
                  <c:v>93</c:v>
                </c:pt>
                <c:pt idx="9">
                  <c:v>112</c:v>
                </c:pt>
                <c:pt idx="10">
                  <c:v>142</c:v>
                </c:pt>
                <c:pt idx="11">
                  <c:v>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Kisaasi-Kyanja'!$U$9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Kisaasi-Kyanja'!$U$10:$U$21</c:f>
              <c:numCache>
                <c:formatCode>0</c:formatCode>
                <c:ptCount val="12"/>
                <c:pt idx="0">
                  <c:v>36</c:v>
                </c:pt>
                <c:pt idx="1">
                  <c:v>49</c:v>
                </c:pt>
                <c:pt idx="2">
                  <c:v>50</c:v>
                </c:pt>
                <c:pt idx="3">
                  <c:v>32</c:v>
                </c:pt>
                <c:pt idx="4">
                  <c:v>33</c:v>
                </c:pt>
                <c:pt idx="5">
                  <c:v>22</c:v>
                </c:pt>
                <c:pt idx="6">
                  <c:v>17</c:v>
                </c:pt>
                <c:pt idx="7">
                  <c:v>31</c:v>
                </c:pt>
                <c:pt idx="8">
                  <c:v>43</c:v>
                </c:pt>
                <c:pt idx="9">
                  <c:v>31</c:v>
                </c:pt>
                <c:pt idx="10">
                  <c:v>40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Kisaasi-Kyanja'!$V$9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Kisaasi-Kyanja'!$V$10:$V$21</c:f>
              <c:numCache>
                <c:formatCode>0</c:formatCode>
                <c:ptCount val="12"/>
                <c:pt idx="0">
                  <c:v>62</c:v>
                </c:pt>
                <c:pt idx="1">
                  <c:v>64</c:v>
                </c:pt>
                <c:pt idx="2">
                  <c:v>57</c:v>
                </c:pt>
                <c:pt idx="3">
                  <c:v>49</c:v>
                </c:pt>
                <c:pt idx="4">
                  <c:v>53</c:v>
                </c:pt>
                <c:pt idx="5">
                  <c:v>43</c:v>
                </c:pt>
                <c:pt idx="6">
                  <c:v>44</c:v>
                </c:pt>
                <c:pt idx="7">
                  <c:v>46</c:v>
                </c:pt>
                <c:pt idx="8">
                  <c:v>40</c:v>
                </c:pt>
                <c:pt idx="9">
                  <c:v>47</c:v>
                </c:pt>
                <c:pt idx="10">
                  <c:v>93</c:v>
                </c:pt>
                <c:pt idx="1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Kisaasi-Kyanja'!$W$9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Kisaasi-Kyanja'!$W$10:$W$21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Kisaasi-Kyanja'!$X$9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Kisaasi-Kyanja'!$Y$9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Kisaasi-Kyanja'!$Y$10:$Y$21</c:f>
              <c:numCache>
                <c:formatCode>0</c:formatCode>
                <c:ptCount val="12"/>
                <c:pt idx="0">
                  <c:v>9</c:v>
                </c:pt>
                <c:pt idx="1">
                  <c:v>28</c:v>
                </c:pt>
                <c:pt idx="2">
                  <c:v>32</c:v>
                </c:pt>
                <c:pt idx="3">
                  <c:v>15</c:v>
                </c:pt>
                <c:pt idx="4">
                  <c:v>22</c:v>
                </c:pt>
                <c:pt idx="5">
                  <c:v>10</c:v>
                </c:pt>
                <c:pt idx="6">
                  <c:v>26</c:v>
                </c:pt>
                <c:pt idx="7">
                  <c:v>21</c:v>
                </c:pt>
                <c:pt idx="8">
                  <c:v>32</c:v>
                </c:pt>
                <c:pt idx="9">
                  <c:v>26</c:v>
                </c:pt>
                <c:pt idx="10">
                  <c:v>9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Kisaasi-Kyanja'!$Z$9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Kisaasi-Kyanja'!$Z$10:$Z$21</c:f>
              <c:numCache>
                <c:formatCode>0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4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Kisaasi-Kyanja'!$AA$9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Kisaasi-Kyanja'!$AA$10:$AA$21</c:f>
              <c:numCache>
                <c:formatCode>0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10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Kisaasi-Kyanja'!$AB$9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Kisaasi-Kyanja'!$AC$9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Kisaasi-Kyanja'!$AC$10:$AC$21</c:f>
              <c:numCache>
                <c:formatCode>0</c:formatCode>
                <c:ptCount val="12"/>
                <c:pt idx="0">
                  <c:v>478</c:v>
                </c:pt>
                <c:pt idx="1">
                  <c:v>741</c:v>
                </c:pt>
                <c:pt idx="2">
                  <c:v>744</c:v>
                </c:pt>
                <c:pt idx="3">
                  <c:v>538</c:v>
                </c:pt>
                <c:pt idx="4">
                  <c:v>703</c:v>
                </c:pt>
                <c:pt idx="5">
                  <c:v>568</c:v>
                </c:pt>
                <c:pt idx="6">
                  <c:v>588</c:v>
                </c:pt>
                <c:pt idx="7">
                  <c:v>473</c:v>
                </c:pt>
                <c:pt idx="8">
                  <c:v>438</c:v>
                </c:pt>
                <c:pt idx="9">
                  <c:v>525</c:v>
                </c:pt>
                <c:pt idx="10">
                  <c:v>742</c:v>
                </c:pt>
                <c:pt idx="11">
                  <c:v>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Kisaasi-Kyanja'!$AD$9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Kisaasi-Kyanja'!$AD$10:$AD$21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52128"/>
        <c:axId val="90753664"/>
      </c:lineChart>
      <c:catAx>
        <c:axId val="9075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753664"/>
        <c:crosses val="autoZero"/>
        <c:auto val="1"/>
        <c:lblAlgn val="ctr"/>
        <c:lblOffset val="100"/>
        <c:noMultiLvlLbl val="0"/>
      </c:catAx>
      <c:valAx>
        <c:axId val="9075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75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Kisaasi-Kyanja'!$C$60:$N$60</c:f>
              <c:numCache>
                <c:formatCode>0.00%</c:formatCode>
                <c:ptCount val="12"/>
                <c:pt idx="0">
                  <c:v>0.5412667946257198</c:v>
                </c:pt>
                <c:pt idx="1">
                  <c:v>0.21849008317338453</c:v>
                </c:pt>
                <c:pt idx="2">
                  <c:v>6.71785028790787E-2</c:v>
                </c:pt>
                <c:pt idx="3">
                  <c:v>0.10604606525911708</c:v>
                </c:pt>
                <c:pt idx="4">
                  <c:v>2.3992322456813818E-3</c:v>
                </c:pt>
                <c:pt idx="5">
                  <c:v>0</c:v>
                </c:pt>
                <c:pt idx="6">
                  <c:v>3.9667306461932179E-2</c:v>
                </c:pt>
                <c:pt idx="7">
                  <c:v>1.1196417146513116E-2</c:v>
                </c:pt>
                <c:pt idx="8">
                  <c:v>1.1676263595649392E-2</c:v>
                </c:pt>
                <c:pt idx="9">
                  <c:v>1.7594369801663468E-3</c:v>
                </c:pt>
                <c:pt idx="11">
                  <c:v>3.1989763275751758E-4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Kyanja-Kisaasi'!$AE$9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Kyanja-Kisaasi'!$AE$10:$AE$21</c:f>
              <c:numCache>
                <c:formatCode>0</c:formatCode>
                <c:ptCount val="12"/>
                <c:pt idx="0">
                  <c:v>329</c:v>
                </c:pt>
                <c:pt idx="1">
                  <c:v>351</c:v>
                </c:pt>
                <c:pt idx="2">
                  <c:v>343</c:v>
                </c:pt>
                <c:pt idx="3">
                  <c:v>314</c:v>
                </c:pt>
                <c:pt idx="4">
                  <c:v>330</c:v>
                </c:pt>
                <c:pt idx="5">
                  <c:v>334</c:v>
                </c:pt>
                <c:pt idx="6">
                  <c:v>334</c:v>
                </c:pt>
                <c:pt idx="7">
                  <c:v>350</c:v>
                </c:pt>
                <c:pt idx="8">
                  <c:v>308</c:v>
                </c:pt>
                <c:pt idx="9">
                  <c:v>530</c:v>
                </c:pt>
                <c:pt idx="10">
                  <c:v>818</c:v>
                </c:pt>
                <c:pt idx="11">
                  <c:v>1060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Kyanja-Kisaasi'!$AF$9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Kyanja-Kisaasi'!$AF$10:$AF$21</c:f>
              <c:numCache>
                <c:formatCode>0</c:formatCode>
                <c:ptCount val="12"/>
                <c:pt idx="0">
                  <c:v>812</c:v>
                </c:pt>
                <c:pt idx="1">
                  <c:v>946</c:v>
                </c:pt>
                <c:pt idx="2">
                  <c:v>911</c:v>
                </c:pt>
                <c:pt idx="3">
                  <c:v>859</c:v>
                </c:pt>
                <c:pt idx="4">
                  <c:v>820</c:v>
                </c:pt>
                <c:pt idx="5">
                  <c:v>811</c:v>
                </c:pt>
                <c:pt idx="6">
                  <c:v>844</c:v>
                </c:pt>
                <c:pt idx="7">
                  <c:v>837</c:v>
                </c:pt>
                <c:pt idx="8">
                  <c:v>761</c:v>
                </c:pt>
                <c:pt idx="9">
                  <c:v>1150</c:v>
                </c:pt>
                <c:pt idx="10">
                  <c:v>1463</c:v>
                </c:pt>
                <c:pt idx="11">
                  <c:v>1740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65728"/>
        <c:axId val="91067904"/>
      </c:lineChart>
      <c:catAx>
        <c:axId val="910657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67904"/>
        <c:crosses val="autoZero"/>
        <c:auto val="1"/>
        <c:lblAlgn val="ctr"/>
        <c:lblOffset val="100"/>
        <c:noMultiLvlLbl val="0"/>
      </c:catAx>
      <c:valAx>
        <c:axId val="91067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6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Kyanja-Kisaasi'!$C$59:$N$59</c:f>
              <c:numCache>
                <c:formatCode>0.0%</c:formatCode>
                <c:ptCount val="12"/>
                <c:pt idx="0">
                  <c:v>0.24125815626568511</c:v>
                </c:pt>
                <c:pt idx="1">
                  <c:v>7.1356867993976905E-2</c:v>
                </c:pt>
                <c:pt idx="2">
                  <c:v>2.6601974234565836E-2</c:v>
                </c:pt>
                <c:pt idx="3">
                  <c:v>7.077128994478836E-2</c:v>
                </c:pt>
                <c:pt idx="4">
                  <c:v>6.6923205621549273E-4</c:v>
                </c:pt>
                <c:pt idx="5">
                  <c:v>8.3654007026936591E-5</c:v>
                </c:pt>
                <c:pt idx="6">
                  <c:v>1.890580558808767E-2</c:v>
                </c:pt>
                <c:pt idx="7">
                  <c:v>1.0038480843232391E-2</c:v>
                </c:pt>
                <c:pt idx="8">
                  <c:v>1.2129831018905806E-2</c:v>
                </c:pt>
                <c:pt idx="9">
                  <c:v>0</c:v>
                </c:pt>
                <c:pt idx="10">
                  <c:v>0.54818470804751551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15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Kyanja-Kisaasi'!$S$9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Kyanja-Kisaasi'!$S$10:$S$21</c:f>
              <c:numCache>
                <c:formatCode>0</c:formatCode>
                <c:ptCount val="12"/>
                <c:pt idx="0">
                  <c:v>157</c:v>
                </c:pt>
                <c:pt idx="1">
                  <c:v>169</c:v>
                </c:pt>
                <c:pt idx="2">
                  <c:v>143</c:v>
                </c:pt>
                <c:pt idx="3">
                  <c:v>149</c:v>
                </c:pt>
                <c:pt idx="4">
                  <c:v>164</c:v>
                </c:pt>
                <c:pt idx="5">
                  <c:v>175</c:v>
                </c:pt>
                <c:pt idx="6">
                  <c:v>194</c:v>
                </c:pt>
                <c:pt idx="7">
                  <c:v>186</c:v>
                </c:pt>
                <c:pt idx="8">
                  <c:v>166</c:v>
                </c:pt>
                <c:pt idx="9">
                  <c:v>336</c:v>
                </c:pt>
                <c:pt idx="10">
                  <c:v>495</c:v>
                </c:pt>
                <c:pt idx="11">
                  <c:v>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Kyanja-Kisaasi'!$T$9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Kyanja-Kisaasi'!$T$10:$T$21</c:f>
              <c:numCache>
                <c:formatCode>0</c:formatCode>
                <c:ptCount val="12"/>
                <c:pt idx="0">
                  <c:v>70</c:v>
                </c:pt>
                <c:pt idx="1">
                  <c:v>27</c:v>
                </c:pt>
                <c:pt idx="2">
                  <c:v>28</c:v>
                </c:pt>
                <c:pt idx="3">
                  <c:v>31</c:v>
                </c:pt>
                <c:pt idx="4">
                  <c:v>18</c:v>
                </c:pt>
                <c:pt idx="5">
                  <c:v>35</c:v>
                </c:pt>
                <c:pt idx="6">
                  <c:v>23</c:v>
                </c:pt>
                <c:pt idx="7">
                  <c:v>35</c:v>
                </c:pt>
                <c:pt idx="8">
                  <c:v>25</c:v>
                </c:pt>
                <c:pt idx="9">
                  <c:v>51</c:v>
                </c:pt>
                <c:pt idx="10">
                  <c:v>210</c:v>
                </c:pt>
                <c:pt idx="11">
                  <c:v>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Kyanja-Kisaasi'!$U$9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Kyanja-Kisaasi'!$U$10:$U$21</c:f>
              <c:numCache>
                <c:formatCode>0</c:formatCode>
                <c:ptCount val="12"/>
                <c:pt idx="0">
                  <c:v>15</c:v>
                </c:pt>
                <c:pt idx="1">
                  <c:v>17</c:v>
                </c:pt>
                <c:pt idx="2">
                  <c:v>20</c:v>
                </c:pt>
                <c:pt idx="3">
                  <c:v>23</c:v>
                </c:pt>
                <c:pt idx="4">
                  <c:v>22</c:v>
                </c:pt>
                <c:pt idx="5">
                  <c:v>20</c:v>
                </c:pt>
                <c:pt idx="6">
                  <c:v>14</c:v>
                </c:pt>
                <c:pt idx="7">
                  <c:v>27</c:v>
                </c:pt>
                <c:pt idx="8">
                  <c:v>30</c:v>
                </c:pt>
                <c:pt idx="9">
                  <c:v>36</c:v>
                </c:pt>
                <c:pt idx="10">
                  <c:v>45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Kyanja-Kisaasi'!$V$9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Kyanja-Kisaasi'!$V$10:$V$21</c:f>
              <c:numCache>
                <c:formatCode>0</c:formatCode>
                <c:ptCount val="12"/>
                <c:pt idx="0">
                  <c:v>61</c:v>
                </c:pt>
                <c:pt idx="1">
                  <c:v>113</c:v>
                </c:pt>
                <c:pt idx="2">
                  <c:v>98</c:v>
                </c:pt>
                <c:pt idx="3">
                  <c:v>66</c:v>
                </c:pt>
                <c:pt idx="4">
                  <c:v>63</c:v>
                </c:pt>
                <c:pt idx="5">
                  <c:v>45</c:v>
                </c:pt>
                <c:pt idx="6">
                  <c:v>55</c:v>
                </c:pt>
                <c:pt idx="7">
                  <c:v>59</c:v>
                </c:pt>
                <c:pt idx="8">
                  <c:v>45</c:v>
                </c:pt>
                <c:pt idx="9">
                  <c:v>55</c:v>
                </c:pt>
                <c:pt idx="10">
                  <c:v>52</c:v>
                </c:pt>
                <c:pt idx="11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Kyanja-Kisaasi'!$W$9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Kyanja-Kisaasi'!$X$9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Kyanja-Kisaasi'!$Y$9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Kyanja-Kisaasi'!$Y$10:$Y$21</c:f>
              <c:numCache>
                <c:formatCode>0</c:formatCode>
                <c:ptCount val="12"/>
                <c:pt idx="0">
                  <c:v>17</c:v>
                </c:pt>
                <c:pt idx="1">
                  <c:v>14</c:v>
                </c:pt>
                <c:pt idx="2">
                  <c:v>27</c:v>
                </c:pt>
                <c:pt idx="3">
                  <c:v>29</c:v>
                </c:pt>
                <c:pt idx="4">
                  <c:v>26</c:v>
                </c:pt>
                <c:pt idx="5">
                  <c:v>23</c:v>
                </c:pt>
                <c:pt idx="6">
                  <c:v>18</c:v>
                </c:pt>
                <c:pt idx="7">
                  <c:v>21</c:v>
                </c:pt>
                <c:pt idx="8">
                  <c:v>17</c:v>
                </c:pt>
                <c:pt idx="9">
                  <c:v>20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Kyanja-Kisaasi'!$Z$9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Kyanja-Kisaasi'!$Z$10:$Z$21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16</c:v>
                </c:pt>
                <c:pt idx="5">
                  <c:v>15</c:v>
                </c:pt>
                <c:pt idx="6">
                  <c:v>17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4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Kyanja-Kisaasi'!$AA$9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Kyanja-Kisaasi'!$AA$10:$AA$21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18</c:v>
                </c:pt>
                <c:pt idx="3">
                  <c:v>11</c:v>
                </c:pt>
                <c:pt idx="4">
                  <c:v>21</c:v>
                </c:pt>
                <c:pt idx="5">
                  <c:v>21</c:v>
                </c:pt>
                <c:pt idx="6">
                  <c:v>12</c:v>
                </c:pt>
                <c:pt idx="7">
                  <c:v>10</c:v>
                </c:pt>
                <c:pt idx="8">
                  <c:v>13</c:v>
                </c:pt>
                <c:pt idx="9">
                  <c:v>22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Kyanja-Kisaasi'!$AB$9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Kyanja-Kisaasi'!$AC$9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Kyanja-Kisaasi'!$AC$10:$AC$21</c:f>
              <c:numCache>
                <c:formatCode>0</c:formatCode>
                <c:ptCount val="12"/>
                <c:pt idx="0">
                  <c:v>483</c:v>
                </c:pt>
                <c:pt idx="1">
                  <c:v>595</c:v>
                </c:pt>
                <c:pt idx="2">
                  <c:v>568</c:v>
                </c:pt>
                <c:pt idx="3">
                  <c:v>545</c:v>
                </c:pt>
                <c:pt idx="4">
                  <c:v>490</c:v>
                </c:pt>
                <c:pt idx="5">
                  <c:v>477</c:v>
                </c:pt>
                <c:pt idx="6">
                  <c:v>510</c:v>
                </c:pt>
                <c:pt idx="7">
                  <c:v>487</c:v>
                </c:pt>
                <c:pt idx="8">
                  <c:v>453</c:v>
                </c:pt>
                <c:pt idx="9">
                  <c:v>620</c:v>
                </c:pt>
                <c:pt idx="10">
                  <c:v>645</c:v>
                </c:pt>
                <c:pt idx="11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Kyanja-Kisaasi'!$AD$9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Kyanja-Kisaasi'!$AD$10:$AD$21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86720"/>
        <c:axId val="91888256"/>
      </c:lineChart>
      <c:catAx>
        <c:axId val="9188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888256"/>
        <c:crosses val="autoZero"/>
        <c:auto val="1"/>
        <c:lblAlgn val="ctr"/>
        <c:lblOffset val="100"/>
        <c:noMultiLvlLbl val="0"/>
      </c:catAx>
      <c:valAx>
        <c:axId val="918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88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Kyanja-Kisaasi'!$C$60:$N$60</c:f>
              <c:numCache>
                <c:formatCode>0.00%</c:formatCode>
                <c:ptCount val="12"/>
                <c:pt idx="0">
                  <c:v>0.5339751897796704</c:v>
                </c:pt>
                <c:pt idx="1">
                  <c:v>0.15793371597852249</c:v>
                </c:pt>
                <c:pt idx="2">
                  <c:v>5.8877985558229956E-2</c:v>
                </c:pt>
                <c:pt idx="3">
                  <c:v>0.15663765969264951</c:v>
                </c:pt>
                <c:pt idx="4">
                  <c:v>1.4812071838548417E-3</c:v>
                </c:pt>
                <c:pt idx="5">
                  <c:v>1.8515089798185522E-4</c:v>
                </c:pt>
                <c:pt idx="6">
                  <c:v>4.1844102943899279E-2</c:v>
                </c:pt>
                <c:pt idx="7">
                  <c:v>2.2218107757822625E-2</c:v>
                </c:pt>
                <c:pt idx="8">
                  <c:v>2.6846880207369007E-2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Kisaasi-Kyanja'!$AE$9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Kisaasi-Kyanja'!$AE$10:$AE$21</c:f>
              <c:numCache>
                <c:formatCode>0</c:formatCode>
                <c:ptCount val="12"/>
                <c:pt idx="0">
                  <c:v>843</c:v>
                </c:pt>
                <c:pt idx="1">
                  <c:v>759</c:v>
                </c:pt>
                <c:pt idx="2">
                  <c:v>628</c:v>
                </c:pt>
                <c:pt idx="3">
                  <c:v>506</c:v>
                </c:pt>
                <c:pt idx="4">
                  <c:v>422</c:v>
                </c:pt>
                <c:pt idx="5">
                  <c:v>411</c:v>
                </c:pt>
                <c:pt idx="6">
                  <c:v>353</c:v>
                </c:pt>
                <c:pt idx="7">
                  <c:v>327</c:v>
                </c:pt>
                <c:pt idx="8">
                  <c:v>349</c:v>
                </c:pt>
                <c:pt idx="9">
                  <c:v>387</c:v>
                </c:pt>
                <c:pt idx="10">
                  <c:v>434</c:v>
                </c:pt>
                <c:pt idx="11">
                  <c:v>378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Kisaasi-Kyanja'!$AF$9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Kisaasi-Kyanja'!$AF$10:$AF$21</c:f>
              <c:numCache>
                <c:formatCode>0</c:formatCode>
                <c:ptCount val="12"/>
                <c:pt idx="0">
                  <c:v>1871</c:v>
                </c:pt>
                <c:pt idx="1">
                  <c:v>1851</c:v>
                </c:pt>
                <c:pt idx="2">
                  <c:v>1488</c:v>
                </c:pt>
                <c:pt idx="3">
                  <c:v>1234</c:v>
                </c:pt>
                <c:pt idx="4">
                  <c:v>986</c:v>
                </c:pt>
                <c:pt idx="5">
                  <c:v>906</c:v>
                </c:pt>
                <c:pt idx="6">
                  <c:v>919</c:v>
                </c:pt>
                <c:pt idx="7">
                  <c:v>1009</c:v>
                </c:pt>
                <c:pt idx="8">
                  <c:v>1127</c:v>
                </c:pt>
                <c:pt idx="9">
                  <c:v>1192</c:v>
                </c:pt>
                <c:pt idx="10">
                  <c:v>1175</c:v>
                </c:pt>
                <c:pt idx="11">
                  <c:v>1149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28000"/>
        <c:axId val="92853760"/>
      </c:lineChart>
      <c:catAx>
        <c:axId val="92528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853760"/>
        <c:crosses val="autoZero"/>
        <c:auto val="1"/>
        <c:lblAlgn val="ctr"/>
        <c:lblOffset val="100"/>
        <c:noMultiLvlLbl val="0"/>
      </c:catAx>
      <c:valAx>
        <c:axId val="92853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52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Kisaasi-Kyanja'!$C$59:$N$59</c:f>
              <c:numCache>
                <c:formatCode>0.0%</c:formatCode>
                <c:ptCount val="12"/>
                <c:pt idx="0">
                  <c:v>0.22405581270544039</c:v>
                </c:pt>
                <c:pt idx="1">
                  <c:v>6.2185550412557862E-2</c:v>
                </c:pt>
                <c:pt idx="2">
                  <c:v>3.2602133226001209E-2</c:v>
                </c:pt>
                <c:pt idx="3">
                  <c:v>4.2865767760112701E-2</c:v>
                </c:pt>
                <c:pt idx="4">
                  <c:v>8.0499094385188164E-4</c:v>
                </c:pt>
                <c:pt idx="5">
                  <c:v>0</c:v>
                </c:pt>
                <c:pt idx="6">
                  <c:v>1.294693768028443E-2</c:v>
                </c:pt>
                <c:pt idx="7">
                  <c:v>7.9157442812101703E-3</c:v>
                </c:pt>
                <c:pt idx="8">
                  <c:v>4.5616153484939964E-3</c:v>
                </c:pt>
                <c:pt idx="9">
                  <c:v>8.7207352250620509E-4</c:v>
                </c:pt>
                <c:pt idx="10">
                  <c:v>0.61112229154088682</c:v>
                </c:pt>
                <c:pt idx="11">
                  <c:v>6.7082578654323479E-5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15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Kisaasi-Kyanja'!$S$9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Kisaasi-Kyanja'!$S$10:$S$21</c:f>
              <c:numCache>
                <c:formatCode>0</c:formatCode>
                <c:ptCount val="12"/>
                <c:pt idx="0">
                  <c:v>498</c:v>
                </c:pt>
                <c:pt idx="1">
                  <c:v>495</c:v>
                </c:pt>
                <c:pt idx="2">
                  <c:v>384</c:v>
                </c:pt>
                <c:pt idx="3">
                  <c:v>286</c:v>
                </c:pt>
                <c:pt idx="4">
                  <c:v>244</c:v>
                </c:pt>
                <c:pt idx="5">
                  <c:v>231</c:v>
                </c:pt>
                <c:pt idx="6">
                  <c:v>185</c:v>
                </c:pt>
                <c:pt idx="7">
                  <c:v>165</c:v>
                </c:pt>
                <c:pt idx="8">
                  <c:v>189</c:v>
                </c:pt>
                <c:pt idx="9">
                  <c:v>209</c:v>
                </c:pt>
                <c:pt idx="10">
                  <c:v>239</c:v>
                </c:pt>
                <c:pt idx="11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Kisaasi-Kyanja'!$T$9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Kisaasi-Kyanja'!$T$10:$T$21</c:f>
              <c:numCache>
                <c:formatCode>0</c:formatCode>
                <c:ptCount val="12"/>
                <c:pt idx="0">
                  <c:v>158</c:v>
                </c:pt>
                <c:pt idx="1">
                  <c:v>106</c:v>
                </c:pt>
                <c:pt idx="2">
                  <c:v>95</c:v>
                </c:pt>
                <c:pt idx="3">
                  <c:v>106</c:v>
                </c:pt>
                <c:pt idx="4">
                  <c:v>62</c:v>
                </c:pt>
                <c:pt idx="5">
                  <c:v>69</c:v>
                </c:pt>
                <c:pt idx="6">
                  <c:v>47</c:v>
                </c:pt>
                <c:pt idx="7">
                  <c:v>43</c:v>
                </c:pt>
                <c:pt idx="8">
                  <c:v>55</c:v>
                </c:pt>
                <c:pt idx="9">
                  <c:v>59</c:v>
                </c:pt>
                <c:pt idx="10">
                  <c:v>70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Kisaasi-Kyanja'!$U$9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Kisaasi-Kyanja'!$U$10:$U$21</c:f>
              <c:numCache>
                <c:formatCode>0</c:formatCode>
                <c:ptCount val="12"/>
                <c:pt idx="0">
                  <c:v>87</c:v>
                </c:pt>
                <c:pt idx="1">
                  <c:v>56</c:v>
                </c:pt>
                <c:pt idx="2">
                  <c:v>49</c:v>
                </c:pt>
                <c:pt idx="3">
                  <c:v>36</c:v>
                </c:pt>
                <c:pt idx="4">
                  <c:v>32</c:v>
                </c:pt>
                <c:pt idx="5">
                  <c:v>44</c:v>
                </c:pt>
                <c:pt idx="6">
                  <c:v>29</c:v>
                </c:pt>
                <c:pt idx="7">
                  <c:v>31</c:v>
                </c:pt>
                <c:pt idx="8">
                  <c:v>26</c:v>
                </c:pt>
                <c:pt idx="9">
                  <c:v>36</c:v>
                </c:pt>
                <c:pt idx="10">
                  <c:v>35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Kisaasi-Kyanja'!$V$9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Kisaasi-Kyanja'!$V$10:$V$21</c:f>
              <c:numCache>
                <c:formatCode>0</c:formatCode>
                <c:ptCount val="12"/>
                <c:pt idx="0">
                  <c:v>86</c:v>
                </c:pt>
                <c:pt idx="1">
                  <c:v>70</c:v>
                </c:pt>
                <c:pt idx="2">
                  <c:v>57</c:v>
                </c:pt>
                <c:pt idx="3">
                  <c:v>48</c:v>
                </c:pt>
                <c:pt idx="4">
                  <c:v>44</c:v>
                </c:pt>
                <c:pt idx="5">
                  <c:v>36</c:v>
                </c:pt>
                <c:pt idx="6">
                  <c:v>52</c:v>
                </c:pt>
                <c:pt idx="7">
                  <c:v>40</c:v>
                </c:pt>
                <c:pt idx="8">
                  <c:v>45</c:v>
                </c:pt>
                <c:pt idx="9">
                  <c:v>48</c:v>
                </c:pt>
                <c:pt idx="10">
                  <c:v>53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Kisaasi-Kyanja'!$W$9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Kisaasi-Kyanja'!$X$9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Kisaasi-Kyanja'!$Y$9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Kisaasi-Kyanja'!$Y$10:$Y$21</c:f>
              <c:numCache>
                <c:formatCode>0</c:formatCode>
                <c:ptCount val="12"/>
                <c:pt idx="0">
                  <c:v>9</c:v>
                </c:pt>
                <c:pt idx="1">
                  <c:v>20</c:v>
                </c:pt>
                <c:pt idx="2">
                  <c:v>23</c:v>
                </c:pt>
                <c:pt idx="3">
                  <c:v>14</c:v>
                </c:pt>
                <c:pt idx="4">
                  <c:v>17</c:v>
                </c:pt>
                <c:pt idx="5">
                  <c:v>16</c:v>
                </c:pt>
                <c:pt idx="6">
                  <c:v>14</c:v>
                </c:pt>
                <c:pt idx="7">
                  <c:v>23</c:v>
                </c:pt>
                <c:pt idx="8">
                  <c:v>16</c:v>
                </c:pt>
                <c:pt idx="9">
                  <c:v>17</c:v>
                </c:pt>
                <c:pt idx="10">
                  <c:v>16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Kisaasi-Kyanja'!$Z$9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Kisaasi-Kyanja'!$Z$10:$Z$21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11</c:v>
                </c:pt>
                <c:pt idx="3">
                  <c:v>6</c:v>
                </c:pt>
                <c:pt idx="4">
                  <c:v>15</c:v>
                </c:pt>
                <c:pt idx="5">
                  <c:v>12</c:v>
                </c:pt>
                <c:pt idx="6">
                  <c:v>15</c:v>
                </c:pt>
                <c:pt idx="7">
                  <c:v>11</c:v>
                </c:pt>
                <c:pt idx="8">
                  <c:v>9</c:v>
                </c:pt>
                <c:pt idx="9">
                  <c:v>6</c:v>
                </c:pt>
                <c:pt idx="10">
                  <c:v>17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Kisaasi-Kyanja'!$AA$9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Kisaasi-Kyanja'!$AA$10:$AA$21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1</c:v>
                </c:pt>
                <c:pt idx="6">
                  <c:v>6</c:v>
                </c:pt>
                <c:pt idx="7">
                  <c:v>9</c:v>
                </c:pt>
                <c:pt idx="8">
                  <c:v>6</c:v>
                </c:pt>
                <c:pt idx="9">
                  <c:v>7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Kisaasi-Kyanja'!$AB$9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Kisaasi-Kyanja'!$AC$9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Kisaasi-Kyanja'!$AC$10:$AC$21</c:f>
              <c:numCache>
                <c:formatCode>0</c:formatCode>
                <c:ptCount val="12"/>
                <c:pt idx="0">
                  <c:v>1028</c:v>
                </c:pt>
                <c:pt idx="1">
                  <c:v>1092</c:v>
                </c:pt>
                <c:pt idx="2">
                  <c:v>860</c:v>
                </c:pt>
                <c:pt idx="3">
                  <c:v>728</c:v>
                </c:pt>
                <c:pt idx="4">
                  <c:v>564</c:v>
                </c:pt>
                <c:pt idx="5">
                  <c:v>495</c:v>
                </c:pt>
                <c:pt idx="6">
                  <c:v>566</c:v>
                </c:pt>
                <c:pt idx="7">
                  <c:v>682</c:v>
                </c:pt>
                <c:pt idx="8">
                  <c:v>778</c:v>
                </c:pt>
                <c:pt idx="9">
                  <c:v>805</c:v>
                </c:pt>
                <c:pt idx="10">
                  <c:v>741</c:v>
                </c:pt>
                <c:pt idx="11">
                  <c:v>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Kisaasi-Kyanja'!$AD$9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Kisaasi-Kyanja'!$AD$10:$AD$21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19616"/>
        <c:axId val="93121152"/>
      </c:lineChart>
      <c:catAx>
        <c:axId val="9311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121152"/>
        <c:crosses val="autoZero"/>
        <c:auto val="1"/>
        <c:lblAlgn val="ctr"/>
        <c:lblOffset val="100"/>
        <c:noMultiLvlLbl val="0"/>
      </c:catAx>
      <c:valAx>
        <c:axId val="931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11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Kisaasi-Kyanja'!$C$60:$N$60</c:f>
              <c:numCache>
                <c:formatCode>0.00%</c:formatCode>
                <c:ptCount val="12"/>
                <c:pt idx="0">
                  <c:v>0.57616008280144904</c:v>
                </c:pt>
                <c:pt idx="1">
                  <c:v>0.15991029843022253</c:v>
                </c:pt>
                <c:pt idx="2">
                  <c:v>8.3836467138174914E-2</c:v>
                </c:pt>
                <c:pt idx="3">
                  <c:v>0.11022942901500776</c:v>
                </c:pt>
                <c:pt idx="4">
                  <c:v>2.0700362256339485E-3</c:v>
                </c:pt>
                <c:pt idx="5">
                  <c:v>0</c:v>
                </c:pt>
                <c:pt idx="6">
                  <c:v>3.3293082628946008E-2</c:v>
                </c:pt>
                <c:pt idx="7">
                  <c:v>2.0355356218733828E-2</c:v>
                </c:pt>
                <c:pt idx="8">
                  <c:v>1.1730205278592375E-2</c:v>
                </c:pt>
                <c:pt idx="9">
                  <c:v>2.2425392444367777E-3</c:v>
                </c:pt>
                <c:pt idx="11">
                  <c:v>1.7250301880282904E-4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Kyanja-Kisaasi'!$AE$9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Kyanja-Kisaasi'!$AE$10:$AE$21</c:f>
              <c:numCache>
                <c:formatCode>0</c:formatCode>
                <c:ptCount val="12"/>
                <c:pt idx="0">
                  <c:v>337</c:v>
                </c:pt>
                <c:pt idx="1">
                  <c:v>363</c:v>
                </c:pt>
                <c:pt idx="2">
                  <c:v>329</c:v>
                </c:pt>
                <c:pt idx="3">
                  <c:v>332</c:v>
                </c:pt>
                <c:pt idx="4">
                  <c:v>390</c:v>
                </c:pt>
                <c:pt idx="5">
                  <c:v>299</c:v>
                </c:pt>
                <c:pt idx="6">
                  <c:v>395</c:v>
                </c:pt>
                <c:pt idx="7">
                  <c:v>397</c:v>
                </c:pt>
                <c:pt idx="8">
                  <c:v>405</c:v>
                </c:pt>
                <c:pt idx="9">
                  <c:v>507</c:v>
                </c:pt>
                <c:pt idx="10">
                  <c:v>709</c:v>
                </c:pt>
                <c:pt idx="11">
                  <c:v>718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Kyanja-Kisaasi'!$AF$9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Kyanja-Kisaasi'!$AF$10:$AF$21</c:f>
              <c:numCache>
                <c:formatCode>0</c:formatCode>
                <c:ptCount val="12"/>
                <c:pt idx="0">
                  <c:v>922</c:v>
                </c:pt>
                <c:pt idx="1">
                  <c:v>1123</c:v>
                </c:pt>
                <c:pt idx="2">
                  <c:v>936</c:v>
                </c:pt>
                <c:pt idx="3">
                  <c:v>930</c:v>
                </c:pt>
                <c:pt idx="4">
                  <c:v>846</c:v>
                </c:pt>
                <c:pt idx="5">
                  <c:v>714</c:v>
                </c:pt>
                <c:pt idx="6">
                  <c:v>711</c:v>
                </c:pt>
                <c:pt idx="7">
                  <c:v>857</c:v>
                </c:pt>
                <c:pt idx="8">
                  <c:v>805</c:v>
                </c:pt>
                <c:pt idx="9">
                  <c:v>907</c:v>
                </c:pt>
                <c:pt idx="10">
                  <c:v>1199</c:v>
                </c:pt>
                <c:pt idx="11">
                  <c:v>1228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84064"/>
        <c:axId val="93419008"/>
      </c:lineChart>
      <c:catAx>
        <c:axId val="93384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19008"/>
        <c:crosses val="autoZero"/>
        <c:auto val="1"/>
        <c:lblAlgn val="ctr"/>
        <c:lblOffset val="100"/>
        <c:noMultiLvlLbl val="0"/>
      </c:catAx>
      <c:valAx>
        <c:axId val="93419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38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Kyanja-Kisaasi'!$C$59:$N$59</c:f>
              <c:numCache>
                <c:formatCode>0.0%</c:formatCode>
                <c:ptCount val="12"/>
                <c:pt idx="0">
                  <c:v>0.19923063159778134</c:v>
                </c:pt>
                <c:pt idx="1">
                  <c:v>0.11057434245840043</c:v>
                </c:pt>
                <c:pt idx="2">
                  <c:v>2.871712292002147E-2</c:v>
                </c:pt>
                <c:pt idx="3">
                  <c:v>8.1409912327786729E-2</c:v>
                </c:pt>
                <c:pt idx="4">
                  <c:v>6.2623009482912868E-4</c:v>
                </c:pt>
                <c:pt idx="5">
                  <c:v>3.5784576847378778E-4</c:v>
                </c:pt>
                <c:pt idx="6">
                  <c:v>2.2096976203256395E-2</c:v>
                </c:pt>
                <c:pt idx="7">
                  <c:v>8.3199141170155668E-3</c:v>
                </c:pt>
                <c:pt idx="8">
                  <c:v>1.1719448917516551E-2</c:v>
                </c:pt>
                <c:pt idx="9">
                  <c:v>3.5784576847378778E-4</c:v>
                </c:pt>
                <c:pt idx="10">
                  <c:v>0.53650026838432641</c:v>
                </c:pt>
                <c:pt idx="11">
                  <c:v>8.9461442118446945E-5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15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Kyanja-Kisaasi'!$S$9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Kyanja-Kisaasi'!$S$10:$S$21</c:f>
              <c:numCache>
                <c:formatCode>0</c:formatCode>
                <c:ptCount val="12"/>
                <c:pt idx="0">
                  <c:v>187</c:v>
                </c:pt>
                <c:pt idx="1">
                  <c:v>164</c:v>
                </c:pt>
                <c:pt idx="2">
                  <c:v>143</c:v>
                </c:pt>
                <c:pt idx="3">
                  <c:v>168</c:v>
                </c:pt>
                <c:pt idx="4">
                  <c:v>150</c:v>
                </c:pt>
                <c:pt idx="5">
                  <c:v>165</c:v>
                </c:pt>
                <c:pt idx="6">
                  <c:v>82</c:v>
                </c:pt>
                <c:pt idx="7">
                  <c:v>150</c:v>
                </c:pt>
                <c:pt idx="8">
                  <c:v>132</c:v>
                </c:pt>
                <c:pt idx="9">
                  <c:v>226</c:v>
                </c:pt>
                <c:pt idx="10">
                  <c:v>365</c:v>
                </c:pt>
                <c:pt idx="11">
                  <c:v>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Kyanja-Kisaasi'!$T$9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Kyanja-Kisaasi'!$T$10:$T$21</c:f>
              <c:numCache>
                <c:formatCode>0</c:formatCode>
                <c:ptCount val="12"/>
                <c:pt idx="0">
                  <c:v>35</c:v>
                </c:pt>
                <c:pt idx="1">
                  <c:v>18</c:v>
                </c:pt>
                <c:pt idx="2">
                  <c:v>38</c:v>
                </c:pt>
                <c:pt idx="3">
                  <c:v>25</c:v>
                </c:pt>
                <c:pt idx="4">
                  <c:v>69</c:v>
                </c:pt>
                <c:pt idx="5">
                  <c:v>21</c:v>
                </c:pt>
                <c:pt idx="6">
                  <c:v>148</c:v>
                </c:pt>
                <c:pt idx="7">
                  <c:v>132</c:v>
                </c:pt>
                <c:pt idx="8">
                  <c:v>134</c:v>
                </c:pt>
                <c:pt idx="9">
                  <c:v>145</c:v>
                </c:pt>
                <c:pt idx="10">
                  <c:v>201</c:v>
                </c:pt>
                <c:pt idx="11">
                  <c:v>270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Kyanja-Kisaasi'!$U$9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Kyanja-Kisaasi'!$U$10:$U$21</c:f>
              <c:numCache>
                <c:formatCode>0</c:formatCode>
                <c:ptCount val="12"/>
                <c:pt idx="0">
                  <c:v>22</c:v>
                </c:pt>
                <c:pt idx="1">
                  <c:v>22</c:v>
                </c:pt>
                <c:pt idx="2">
                  <c:v>28</c:v>
                </c:pt>
                <c:pt idx="3">
                  <c:v>21</c:v>
                </c:pt>
                <c:pt idx="4">
                  <c:v>30</c:v>
                </c:pt>
                <c:pt idx="5">
                  <c:v>15</c:v>
                </c:pt>
                <c:pt idx="6">
                  <c:v>33</c:v>
                </c:pt>
                <c:pt idx="7">
                  <c:v>20</c:v>
                </c:pt>
                <c:pt idx="8">
                  <c:v>23</c:v>
                </c:pt>
                <c:pt idx="9">
                  <c:v>25</c:v>
                </c:pt>
                <c:pt idx="10">
                  <c:v>40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Kyanja-Kisaasi'!$V$9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Kyanja-Kisaasi'!$V$10:$V$21</c:f>
              <c:numCache>
                <c:formatCode>0</c:formatCode>
                <c:ptCount val="12"/>
                <c:pt idx="0">
                  <c:v>64</c:v>
                </c:pt>
                <c:pt idx="1">
                  <c:v>128</c:v>
                </c:pt>
                <c:pt idx="2">
                  <c:v>78</c:v>
                </c:pt>
                <c:pt idx="3">
                  <c:v>72</c:v>
                </c:pt>
                <c:pt idx="4">
                  <c:v>80</c:v>
                </c:pt>
                <c:pt idx="5">
                  <c:v>51</c:v>
                </c:pt>
                <c:pt idx="6">
                  <c:v>90</c:v>
                </c:pt>
                <c:pt idx="7">
                  <c:v>50</c:v>
                </c:pt>
                <c:pt idx="8">
                  <c:v>70</c:v>
                </c:pt>
                <c:pt idx="9">
                  <c:v>60</c:v>
                </c:pt>
                <c:pt idx="10">
                  <c:v>79</c:v>
                </c:pt>
                <c:pt idx="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Kyanja-Kisaasi'!$W$9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Kyanja-Kisaasi'!$X$9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Kyanja-Kisaasi'!$Y$9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Kyanja-Kisaasi'!$Y$10:$Y$21</c:f>
              <c:numCache>
                <c:formatCode>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21</c:v>
                </c:pt>
                <c:pt idx="3">
                  <c:v>23</c:v>
                </c:pt>
                <c:pt idx="4">
                  <c:v>23</c:v>
                </c:pt>
                <c:pt idx="5">
                  <c:v>31</c:v>
                </c:pt>
                <c:pt idx="6">
                  <c:v>24</c:v>
                </c:pt>
                <c:pt idx="7">
                  <c:v>26</c:v>
                </c:pt>
                <c:pt idx="8">
                  <c:v>23</c:v>
                </c:pt>
                <c:pt idx="9">
                  <c:v>31</c:v>
                </c:pt>
                <c:pt idx="10">
                  <c:v>17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Kyanja-Kisaasi'!$Z$9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Kyanja-Kisaasi'!$Z$10:$Z$21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11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  <c:pt idx="9">
                  <c:v>11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Kyanja-Kisaasi'!$AA$9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Kyanja-Kisaasi'!$AA$10:$AA$21</c:f>
              <c:numCache>
                <c:formatCode>0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10</c:v>
                </c:pt>
                <c:pt idx="3">
                  <c:v>17</c:v>
                </c:pt>
                <c:pt idx="4">
                  <c:v>28</c:v>
                </c:pt>
                <c:pt idx="5">
                  <c:v>7</c:v>
                </c:pt>
                <c:pt idx="6">
                  <c:v>6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Kyanja-Kisaasi'!$AB$9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Kyanja-Kisaasi'!$AC$9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Kyanja-Kisaasi'!$AC$10:$AC$21</c:f>
              <c:numCache>
                <c:formatCode>0</c:formatCode>
                <c:ptCount val="12"/>
                <c:pt idx="0">
                  <c:v>585</c:v>
                </c:pt>
                <c:pt idx="1">
                  <c:v>760</c:v>
                </c:pt>
                <c:pt idx="2">
                  <c:v>607</c:v>
                </c:pt>
                <c:pt idx="3">
                  <c:v>598</c:v>
                </c:pt>
                <c:pt idx="4">
                  <c:v>456</c:v>
                </c:pt>
                <c:pt idx="5">
                  <c:v>415</c:v>
                </c:pt>
                <c:pt idx="6">
                  <c:v>316</c:v>
                </c:pt>
                <c:pt idx="7">
                  <c:v>460</c:v>
                </c:pt>
                <c:pt idx="8">
                  <c:v>400</c:v>
                </c:pt>
                <c:pt idx="9">
                  <c:v>400</c:v>
                </c:pt>
                <c:pt idx="10">
                  <c:v>490</c:v>
                </c:pt>
                <c:pt idx="11">
                  <c:v>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Kyanja-Kisaasi'!$AD$9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Kyanja-Kisaasi'!$AD$10:$AD$21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13536"/>
        <c:axId val="93715072"/>
      </c:lineChart>
      <c:catAx>
        <c:axId val="9371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15072"/>
        <c:crosses val="autoZero"/>
        <c:auto val="1"/>
        <c:lblAlgn val="ctr"/>
        <c:lblOffset val="100"/>
        <c:noMultiLvlLbl val="0"/>
      </c:catAx>
      <c:valAx>
        <c:axId val="9371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1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Kyanja-Kisaasi'!$C$60:$N$60</c:f>
              <c:numCache>
                <c:formatCode>0.00%</c:formatCode>
                <c:ptCount val="12"/>
                <c:pt idx="0">
                  <c:v>0.42983979926655086</c:v>
                </c:pt>
                <c:pt idx="1">
                  <c:v>0.23856398378691374</c:v>
                </c:pt>
                <c:pt idx="2">
                  <c:v>6.195715112912565E-2</c:v>
                </c:pt>
                <c:pt idx="3">
                  <c:v>0.17564176799845591</c:v>
                </c:pt>
                <c:pt idx="4">
                  <c:v>1.3510905230650454E-3</c:v>
                </c:pt>
                <c:pt idx="5">
                  <c:v>7.7205172746574015E-4</c:v>
                </c:pt>
                <c:pt idx="6">
                  <c:v>4.767419417100946E-2</c:v>
                </c:pt>
                <c:pt idx="7">
                  <c:v>1.7950202663578461E-2</c:v>
                </c:pt>
                <c:pt idx="8">
                  <c:v>2.5284694074502991E-2</c:v>
                </c:pt>
                <c:pt idx="9">
                  <c:v>7.7205172746574015E-4</c:v>
                </c:pt>
                <c:pt idx="11">
                  <c:v>1.9301293186643504E-4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Kisaasi-Kyanja'!$AE$9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Kisaasi-Kyanja'!$AE$10:$AE$21</c:f>
              <c:numCache>
                <c:formatCode>0</c:formatCode>
                <c:ptCount val="12"/>
                <c:pt idx="0">
                  <c:v>746</c:v>
                </c:pt>
                <c:pt idx="1">
                  <c:v>771</c:v>
                </c:pt>
                <c:pt idx="2">
                  <c:v>564</c:v>
                </c:pt>
                <c:pt idx="3">
                  <c:v>512</c:v>
                </c:pt>
                <c:pt idx="4">
                  <c:v>355</c:v>
                </c:pt>
                <c:pt idx="5">
                  <c:v>372</c:v>
                </c:pt>
                <c:pt idx="6">
                  <c:v>280</c:v>
                </c:pt>
                <c:pt idx="7">
                  <c:v>338</c:v>
                </c:pt>
                <c:pt idx="8">
                  <c:v>292</c:v>
                </c:pt>
                <c:pt idx="9">
                  <c:v>475</c:v>
                </c:pt>
                <c:pt idx="10">
                  <c:v>475</c:v>
                </c:pt>
                <c:pt idx="11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Kisaasi-Kyanja'!$AF$9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Kisaasi-Kyanja'!$AF$10:$AF$21</c:f>
              <c:numCache>
                <c:formatCode>0</c:formatCode>
                <c:ptCount val="12"/>
                <c:pt idx="0">
                  <c:v>1955</c:v>
                </c:pt>
                <c:pt idx="1">
                  <c:v>2068</c:v>
                </c:pt>
                <c:pt idx="2">
                  <c:v>1979</c:v>
                </c:pt>
                <c:pt idx="3">
                  <c:v>1380</c:v>
                </c:pt>
                <c:pt idx="4">
                  <c:v>1178</c:v>
                </c:pt>
                <c:pt idx="5">
                  <c:v>908</c:v>
                </c:pt>
                <c:pt idx="6">
                  <c:v>828</c:v>
                </c:pt>
                <c:pt idx="7">
                  <c:v>858</c:v>
                </c:pt>
                <c:pt idx="8">
                  <c:v>881</c:v>
                </c:pt>
                <c:pt idx="9">
                  <c:v>1088</c:v>
                </c:pt>
                <c:pt idx="10">
                  <c:v>1350</c:v>
                </c:pt>
                <c:pt idx="11">
                  <c:v>1528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27136"/>
        <c:axId val="94049792"/>
      </c:lineChart>
      <c:catAx>
        <c:axId val="940271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49792"/>
        <c:crosses val="autoZero"/>
        <c:auto val="1"/>
        <c:lblAlgn val="ctr"/>
        <c:lblOffset val="100"/>
        <c:noMultiLvlLbl val="0"/>
      </c:catAx>
      <c:valAx>
        <c:axId val="94049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2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Kisaasi-Kyanja'!$C$59:$N$59</c:f>
              <c:numCache>
                <c:formatCode>0.0%</c:formatCode>
                <c:ptCount val="12"/>
                <c:pt idx="0">
                  <c:v>0.19692519217548904</c:v>
                </c:pt>
                <c:pt idx="1">
                  <c:v>5.9433785388413221E-2</c:v>
                </c:pt>
                <c:pt idx="2">
                  <c:v>2.4685957127679521E-2</c:v>
                </c:pt>
                <c:pt idx="3">
                  <c:v>3.6435222798575091E-2</c:v>
                </c:pt>
                <c:pt idx="4">
                  <c:v>7.4995312792950437E-4</c:v>
                </c:pt>
                <c:pt idx="5">
                  <c:v>1.2499218798825074E-4</c:v>
                </c:pt>
                <c:pt idx="6">
                  <c:v>1.6498968814449098E-2</c:v>
                </c:pt>
                <c:pt idx="7">
                  <c:v>7.6245234672832948E-3</c:v>
                </c:pt>
                <c:pt idx="8">
                  <c:v>4.7497031435535277E-3</c:v>
                </c:pt>
                <c:pt idx="9">
                  <c:v>8.1244922192362978E-4</c:v>
                </c:pt>
                <c:pt idx="10">
                  <c:v>0.65195925254671583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Kisaasi-Kyanja'!$C$60:$N$60</c:f>
              <c:numCache>
                <c:formatCode>0.00%</c:formatCode>
                <c:ptCount val="12"/>
                <c:pt idx="0">
                  <c:v>0.56581073801400605</c:v>
                </c:pt>
                <c:pt idx="1">
                  <c:v>0.17076674447836238</c:v>
                </c:pt>
                <c:pt idx="2">
                  <c:v>7.0928353384808768E-2</c:v>
                </c:pt>
                <c:pt idx="3">
                  <c:v>0.10468665828694559</c:v>
                </c:pt>
                <c:pt idx="4">
                  <c:v>2.1547854192853293E-3</c:v>
                </c:pt>
                <c:pt idx="5">
                  <c:v>3.5913090321422161E-4</c:v>
                </c:pt>
                <c:pt idx="6">
                  <c:v>4.7405279224277251E-2</c:v>
                </c:pt>
                <c:pt idx="7">
                  <c:v>2.1906985096067515E-2</c:v>
                </c:pt>
                <c:pt idx="8">
                  <c:v>1.3646974322140419E-2</c:v>
                </c:pt>
                <c:pt idx="9">
                  <c:v>2.3343508708924404E-3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Kyanja-Kisaasi-24h'!$AE$9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Kyanja-Kisaasi-24h'!$R$10:$R$33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Kyanja-Kisaasi-24h'!$AE$10:$AE$33</c:f>
              <c:numCache>
                <c:formatCode>0</c:formatCode>
                <c:ptCount val="24"/>
                <c:pt idx="0">
                  <c:v>779</c:v>
                </c:pt>
                <c:pt idx="1">
                  <c:v>1285</c:v>
                </c:pt>
                <c:pt idx="2">
                  <c:v>701</c:v>
                </c:pt>
                <c:pt idx="3">
                  <c:v>630</c:v>
                </c:pt>
                <c:pt idx="4">
                  <c:v>440</c:v>
                </c:pt>
                <c:pt idx="5">
                  <c:v>453</c:v>
                </c:pt>
                <c:pt idx="6">
                  <c:v>369</c:v>
                </c:pt>
                <c:pt idx="7">
                  <c:v>355</c:v>
                </c:pt>
                <c:pt idx="8">
                  <c:v>228</c:v>
                </c:pt>
                <c:pt idx="9">
                  <c:v>377</c:v>
                </c:pt>
                <c:pt idx="10">
                  <c:v>503</c:v>
                </c:pt>
                <c:pt idx="11">
                  <c:v>546</c:v>
                </c:pt>
                <c:pt idx="12">
                  <c:v>270</c:v>
                </c:pt>
                <c:pt idx="13">
                  <c:v>202</c:v>
                </c:pt>
                <c:pt idx="14">
                  <c:v>193</c:v>
                </c:pt>
                <c:pt idx="15">
                  <c:v>197</c:v>
                </c:pt>
                <c:pt idx="16">
                  <c:v>124</c:v>
                </c:pt>
                <c:pt idx="17">
                  <c:v>88</c:v>
                </c:pt>
                <c:pt idx="18">
                  <c:v>31</c:v>
                </c:pt>
                <c:pt idx="19">
                  <c:v>28</c:v>
                </c:pt>
                <c:pt idx="20">
                  <c:v>24</c:v>
                </c:pt>
                <c:pt idx="21">
                  <c:v>12</c:v>
                </c:pt>
                <c:pt idx="22">
                  <c:v>123</c:v>
                </c:pt>
                <c:pt idx="23">
                  <c:v>433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Kyanja-Kisaasi-24h'!$AF$9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Kyanja-Kisaasi-24h'!$R$10:$R$33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Kyanja-Kisaasi-24h'!$AF$10:$AF$33</c:f>
              <c:numCache>
                <c:formatCode>0</c:formatCode>
                <c:ptCount val="24"/>
                <c:pt idx="0">
                  <c:v>1507</c:v>
                </c:pt>
                <c:pt idx="1">
                  <c:v>2114</c:v>
                </c:pt>
                <c:pt idx="2">
                  <c:v>1346</c:v>
                </c:pt>
                <c:pt idx="3">
                  <c:v>1065</c:v>
                </c:pt>
                <c:pt idx="4">
                  <c:v>843</c:v>
                </c:pt>
                <c:pt idx="5">
                  <c:v>851</c:v>
                </c:pt>
                <c:pt idx="6">
                  <c:v>728</c:v>
                </c:pt>
                <c:pt idx="7">
                  <c:v>692</c:v>
                </c:pt>
                <c:pt idx="8">
                  <c:v>576</c:v>
                </c:pt>
                <c:pt idx="9">
                  <c:v>759</c:v>
                </c:pt>
                <c:pt idx="10">
                  <c:v>931</c:v>
                </c:pt>
                <c:pt idx="11">
                  <c:v>1032</c:v>
                </c:pt>
                <c:pt idx="12">
                  <c:v>1068</c:v>
                </c:pt>
                <c:pt idx="13">
                  <c:v>824</c:v>
                </c:pt>
                <c:pt idx="14">
                  <c:v>578</c:v>
                </c:pt>
                <c:pt idx="15">
                  <c:v>506</c:v>
                </c:pt>
                <c:pt idx="16">
                  <c:v>322</c:v>
                </c:pt>
                <c:pt idx="17">
                  <c:v>178</c:v>
                </c:pt>
                <c:pt idx="18">
                  <c:v>94</c:v>
                </c:pt>
                <c:pt idx="19">
                  <c:v>68</c:v>
                </c:pt>
                <c:pt idx="20">
                  <c:v>41</c:v>
                </c:pt>
                <c:pt idx="21">
                  <c:v>26</c:v>
                </c:pt>
                <c:pt idx="22">
                  <c:v>191</c:v>
                </c:pt>
                <c:pt idx="23">
                  <c:v>591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30400"/>
        <c:axId val="94232576"/>
      </c:lineChart>
      <c:catAx>
        <c:axId val="942304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32576"/>
        <c:crosses val="autoZero"/>
        <c:auto val="1"/>
        <c:lblAlgn val="ctr"/>
        <c:lblOffset val="100"/>
        <c:noMultiLvlLbl val="0"/>
      </c:catAx>
      <c:valAx>
        <c:axId val="94232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3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Kyanja-Kisaasi-24h'!$C$9:$N$9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Kyanja-Kisaasi-24h'!$C$107:$N$107</c:f>
              <c:numCache>
                <c:formatCode>0.0%</c:formatCode>
                <c:ptCount val="12"/>
                <c:pt idx="0">
                  <c:v>0.24546689504459276</c:v>
                </c:pt>
                <c:pt idx="1">
                  <c:v>0.10082097926879688</c:v>
                </c:pt>
                <c:pt idx="2">
                  <c:v>5.2389108735455672E-2</c:v>
                </c:pt>
                <c:pt idx="3">
                  <c:v>7.1053097867816425E-2</c:v>
                </c:pt>
                <c:pt idx="4">
                  <c:v>3.602858661626602E-3</c:v>
                </c:pt>
                <c:pt idx="5">
                  <c:v>1.1812651349595417E-4</c:v>
                </c:pt>
                <c:pt idx="6">
                  <c:v>1.1458271809107554E-2</c:v>
                </c:pt>
                <c:pt idx="7">
                  <c:v>4.7841237965861438E-3</c:v>
                </c:pt>
                <c:pt idx="8">
                  <c:v>5.0203768235780521E-3</c:v>
                </c:pt>
                <c:pt idx="9">
                  <c:v>8.8594885121965629E-4</c:v>
                </c:pt>
                <c:pt idx="10">
                  <c:v>0.50440021262772428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Kyanja-Kisaasi-24h'!$C$9:$N$9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Kyanja-Kisaasi-24h'!$C$108:$N$108</c:f>
              <c:numCache>
                <c:formatCode>0.00%</c:formatCode>
                <c:ptCount val="12"/>
                <c:pt idx="0">
                  <c:v>0.49529257537838162</c:v>
                </c:pt>
                <c:pt idx="1">
                  <c:v>0.20343224883804076</c:v>
                </c:pt>
                <c:pt idx="2">
                  <c:v>0.10570849719938029</c:v>
                </c:pt>
                <c:pt idx="3">
                  <c:v>0.14336789417232748</c:v>
                </c:pt>
                <c:pt idx="4">
                  <c:v>7.269693719461328E-3</c:v>
                </c:pt>
                <c:pt idx="5">
                  <c:v>2.3835061375283043E-4</c:v>
                </c:pt>
                <c:pt idx="6">
                  <c:v>2.3120009534024551E-2</c:v>
                </c:pt>
                <c:pt idx="7">
                  <c:v>9.6531998569896315E-3</c:v>
                </c:pt>
                <c:pt idx="8">
                  <c:v>1.0129901084495293E-2</c:v>
                </c:pt>
                <c:pt idx="9">
                  <c:v>1.7876296031462281E-3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Kisaasi-Kyanja-24h'!$AE$9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Kisaasi-Kyanja-24h'!$R$10:$R$33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Kisaasi-Kyanja-24h'!$AE$10:$AE$33</c:f>
              <c:numCache>
                <c:formatCode>0</c:formatCode>
                <c:ptCount val="24"/>
                <c:pt idx="0">
                  <c:v>263</c:v>
                </c:pt>
                <c:pt idx="1">
                  <c:v>299</c:v>
                </c:pt>
                <c:pt idx="2">
                  <c:v>295</c:v>
                </c:pt>
                <c:pt idx="3">
                  <c:v>294</c:v>
                </c:pt>
                <c:pt idx="4">
                  <c:v>254</c:v>
                </c:pt>
                <c:pt idx="5">
                  <c:v>277</c:v>
                </c:pt>
                <c:pt idx="6">
                  <c:v>289</c:v>
                </c:pt>
                <c:pt idx="7">
                  <c:v>294</c:v>
                </c:pt>
                <c:pt idx="8">
                  <c:v>349</c:v>
                </c:pt>
                <c:pt idx="9">
                  <c:v>424</c:v>
                </c:pt>
                <c:pt idx="10">
                  <c:v>534</c:v>
                </c:pt>
                <c:pt idx="11">
                  <c:v>415</c:v>
                </c:pt>
                <c:pt idx="12">
                  <c:v>901</c:v>
                </c:pt>
                <c:pt idx="13">
                  <c:v>425</c:v>
                </c:pt>
                <c:pt idx="14">
                  <c:v>485</c:v>
                </c:pt>
                <c:pt idx="15">
                  <c:v>290</c:v>
                </c:pt>
                <c:pt idx="16">
                  <c:v>234</c:v>
                </c:pt>
                <c:pt idx="17">
                  <c:v>162</c:v>
                </c:pt>
                <c:pt idx="18">
                  <c:v>72</c:v>
                </c:pt>
                <c:pt idx="19">
                  <c:v>64</c:v>
                </c:pt>
                <c:pt idx="20">
                  <c:v>29</c:v>
                </c:pt>
                <c:pt idx="21">
                  <c:v>24</c:v>
                </c:pt>
                <c:pt idx="22">
                  <c:v>67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Kisaasi-Kyanja-24h'!$AF$9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Kisaasi-Kyanja-24h'!$R$10:$R$33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Kisaasi-Kyanja-24h'!$AF$10:$AF$33</c:f>
              <c:numCache>
                <c:formatCode>0</c:formatCode>
                <c:ptCount val="24"/>
                <c:pt idx="0">
                  <c:v>620</c:v>
                </c:pt>
                <c:pt idx="1">
                  <c:v>719</c:v>
                </c:pt>
                <c:pt idx="2">
                  <c:v>682</c:v>
                </c:pt>
                <c:pt idx="3">
                  <c:v>677</c:v>
                </c:pt>
                <c:pt idx="4">
                  <c:v>562</c:v>
                </c:pt>
                <c:pt idx="5">
                  <c:v>568</c:v>
                </c:pt>
                <c:pt idx="6">
                  <c:v>513</c:v>
                </c:pt>
                <c:pt idx="7">
                  <c:v>551</c:v>
                </c:pt>
                <c:pt idx="8">
                  <c:v>584</c:v>
                </c:pt>
                <c:pt idx="9">
                  <c:v>700</c:v>
                </c:pt>
                <c:pt idx="10">
                  <c:v>894</c:v>
                </c:pt>
                <c:pt idx="11">
                  <c:v>745</c:v>
                </c:pt>
                <c:pt idx="12">
                  <c:v>1366</c:v>
                </c:pt>
                <c:pt idx="13">
                  <c:v>786</c:v>
                </c:pt>
                <c:pt idx="14">
                  <c:v>835</c:v>
                </c:pt>
                <c:pt idx="15">
                  <c:v>582</c:v>
                </c:pt>
                <c:pt idx="16">
                  <c:v>385</c:v>
                </c:pt>
                <c:pt idx="17">
                  <c:v>302</c:v>
                </c:pt>
                <c:pt idx="18">
                  <c:v>119</c:v>
                </c:pt>
                <c:pt idx="19">
                  <c:v>100</c:v>
                </c:pt>
                <c:pt idx="20">
                  <c:v>43</c:v>
                </c:pt>
                <c:pt idx="21">
                  <c:v>32</c:v>
                </c:pt>
                <c:pt idx="22">
                  <c:v>109</c:v>
                </c:pt>
                <c:pt idx="2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94464"/>
        <c:axId val="98100736"/>
      </c:lineChart>
      <c:catAx>
        <c:axId val="980944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100736"/>
        <c:crosses val="autoZero"/>
        <c:auto val="1"/>
        <c:lblAlgn val="ctr"/>
        <c:lblOffset val="100"/>
        <c:noMultiLvlLbl val="0"/>
      </c:catAx>
      <c:valAx>
        <c:axId val="98100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09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Kisaasi-Kyanja-24h'!$C$9:$N$9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Kisaasi-Kyanja-24h'!$C$107:$N$107</c:f>
              <c:numCache>
                <c:formatCode>0.0%</c:formatCode>
                <c:ptCount val="12"/>
                <c:pt idx="0">
                  <c:v>0.25185895898296956</c:v>
                </c:pt>
                <c:pt idx="1">
                  <c:v>0.11201727032861597</c:v>
                </c:pt>
                <c:pt idx="2">
                  <c:v>2.9023746701846966E-2</c:v>
                </c:pt>
                <c:pt idx="3">
                  <c:v>0.10658031502358679</c:v>
                </c:pt>
                <c:pt idx="4">
                  <c:v>8.7950747581354446E-4</c:v>
                </c:pt>
                <c:pt idx="5">
                  <c:v>3.9977612536979291E-4</c:v>
                </c:pt>
                <c:pt idx="6">
                  <c:v>1.982889581834173E-2</c:v>
                </c:pt>
                <c:pt idx="7">
                  <c:v>9.5946270088750306E-3</c:v>
                </c:pt>
                <c:pt idx="8">
                  <c:v>1.0394179259614616E-2</c:v>
                </c:pt>
                <c:pt idx="9">
                  <c:v>1.5991045014791716E-4</c:v>
                </c:pt>
                <c:pt idx="10">
                  <c:v>0.45926281282481812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Kisaasi-Kyanja-24h'!$C$9:$N$9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Kisaasi-Kyanja-24h'!$C$108:$N$108</c:f>
              <c:numCache>
                <c:formatCode>0.00%</c:formatCode>
                <c:ptCount val="12"/>
                <c:pt idx="0">
                  <c:v>0.46576962886293066</c:v>
                </c:pt>
                <c:pt idx="1">
                  <c:v>0.20715658731332248</c:v>
                </c:pt>
                <c:pt idx="2">
                  <c:v>5.3674404849918672E-2</c:v>
                </c:pt>
                <c:pt idx="3">
                  <c:v>0.19710187786485286</c:v>
                </c:pt>
                <c:pt idx="4">
                  <c:v>1.6264971166642024E-3</c:v>
                </c:pt>
                <c:pt idx="5">
                  <c:v>7.3931687121100108E-4</c:v>
                </c:pt>
                <c:pt idx="6">
                  <c:v>3.6670116812065653E-2</c:v>
                </c:pt>
                <c:pt idx="7">
                  <c:v>1.7743604909064025E-2</c:v>
                </c:pt>
                <c:pt idx="8">
                  <c:v>1.9222238651486027E-2</c:v>
                </c:pt>
                <c:pt idx="9">
                  <c:v>2.9572674848440039E-4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Kyanja-Kisaasi'!$AE$9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Kyanja-Kisaasi'!$AE$10:$AE$21</c:f>
              <c:numCache>
                <c:formatCode>0</c:formatCode>
                <c:ptCount val="12"/>
                <c:pt idx="0">
                  <c:v>426</c:v>
                </c:pt>
                <c:pt idx="1">
                  <c:v>452</c:v>
                </c:pt>
                <c:pt idx="2">
                  <c:v>671</c:v>
                </c:pt>
                <c:pt idx="3">
                  <c:v>498</c:v>
                </c:pt>
                <c:pt idx="4">
                  <c:v>624</c:v>
                </c:pt>
                <c:pt idx="5">
                  <c:v>558</c:v>
                </c:pt>
                <c:pt idx="6">
                  <c:v>292</c:v>
                </c:pt>
                <c:pt idx="7">
                  <c:v>497</c:v>
                </c:pt>
                <c:pt idx="8">
                  <c:v>564</c:v>
                </c:pt>
                <c:pt idx="9">
                  <c:v>422</c:v>
                </c:pt>
                <c:pt idx="10">
                  <c:v>508</c:v>
                </c:pt>
                <c:pt idx="11">
                  <c:v>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'02.08 Kyanja-Kisaasi'!$AF$9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Kyanja-Kisaasi'!$AF$10:$AF$21</c:f>
              <c:numCache>
                <c:formatCode>0</c:formatCode>
                <c:ptCount val="12"/>
                <c:pt idx="0">
                  <c:v>1244</c:v>
                </c:pt>
                <c:pt idx="1">
                  <c:v>1309</c:v>
                </c:pt>
                <c:pt idx="2">
                  <c:v>1348</c:v>
                </c:pt>
                <c:pt idx="3">
                  <c:v>971</c:v>
                </c:pt>
                <c:pt idx="4">
                  <c:v>1274</c:v>
                </c:pt>
                <c:pt idx="5">
                  <c:v>1063</c:v>
                </c:pt>
                <c:pt idx="6">
                  <c:v>639</c:v>
                </c:pt>
                <c:pt idx="7">
                  <c:v>831</c:v>
                </c:pt>
                <c:pt idx="8">
                  <c:v>956</c:v>
                </c:pt>
                <c:pt idx="9">
                  <c:v>845</c:v>
                </c:pt>
                <c:pt idx="10">
                  <c:v>944</c:v>
                </c:pt>
                <c:pt idx="11">
                  <c:v>855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49440"/>
        <c:axId val="98351360"/>
      </c:lineChart>
      <c:catAx>
        <c:axId val="98349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51360"/>
        <c:crosses val="autoZero"/>
        <c:auto val="1"/>
        <c:lblAlgn val="ctr"/>
        <c:lblOffset val="100"/>
        <c:noMultiLvlLbl val="0"/>
      </c:catAx>
      <c:valAx>
        <c:axId val="98351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4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Kyanja-Kisaasi'!$C$59:$N$59</c:f>
              <c:numCache>
                <c:formatCode>0.0%</c:formatCode>
                <c:ptCount val="12"/>
                <c:pt idx="0">
                  <c:v>0.21679289844449873</c:v>
                </c:pt>
                <c:pt idx="1">
                  <c:v>0.1556315660884437</c:v>
                </c:pt>
                <c:pt idx="2">
                  <c:v>2.7770991123055623E-2</c:v>
                </c:pt>
                <c:pt idx="3">
                  <c:v>5.6845019952764884E-2</c:v>
                </c:pt>
                <c:pt idx="4">
                  <c:v>6.5151885332681819E-4</c:v>
                </c:pt>
                <c:pt idx="5">
                  <c:v>0</c:v>
                </c:pt>
                <c:pt idx="6">
                  <c:v>9.528463229904716E-3</c:v>
                </c:pt>
                <c:pt idx="7">
                  <c:v>4.9678312566169888E-3</c:v>
                </c:pt>
                <c:pt idx="8">
                  <c:v>5.8636696799413629E-3</c:v>
                </c:pt>
                <c:pt idx="9">
                  <c:v>4.0719928332926133E-4</c:v>
                </c:pt>
                <c:pt idx="10">
                  <c:v>0.52145940223145204</c:v>
                </c:pt>
                <c:pt idx="11">
                  <c:v>8.1439856665852274E-5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15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Kyanja-Kisaasi'!$S$9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Kyanja-Kisaasi'!$S$10:$S$21</c:f>
              <c:numCache>
                <c:formatCode>0</c:formatCode>
                <c:ptCount val="12"/>
                <c:pt idx="0">
                  <c:v>199</c:v>
                </c:pt>
                <c:pt idx="1">
                  <c:v>246</c:v>
                </c:pt>
                <c:pt idx="2">
                  <c:v>291</c:v>
                </c:pt>
                <c:pt idx="3">
                  <c:v>228</c:v>
                </c:pt>
                <c:pt idx="4">
                  <c:v>320</c:v>
                </c:pt>
                <c:pt idx="5">
                  <c:v>260</c:v>
                </c:pt>
                <c:pt idx="6">
                  <c:v>134</c:v>
                </c:pt>
                <c:pt idx="7">
                  <c:v>209</c:v>
                </c:pt>
                <c:pt idx="8">
                  <c:v>215</c:v>
                </c:pt>
                <c:pt idx="9">
                  <c:v>210</c:v>
                </c:pt>
                <c:pt idx="10">
                  <c:v>220</c:v>
                </c:pt>
                <c:pt idx="11">
                  <c:v>130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'02.08 Kyanja-Kisaasi'!$T$9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Kyanja-Kisaasi'!$T$10:$T$21</c:f>
              <c:numCache>
                <c:formatCode>0</c:formatCode>
                <c:ptCount val="12"/>
                <c:pt idx="0">
                  <c:v>123</c:v>
                </c:pt>
                <c:pt idx="1">
                  <c:v>95</c:v>
                </c:pt>
                <c:pt idx="2">
                  <c:v>294</c:v>
                </c:pt>
                <c:pt idx="3">
                  <c:v>156</c:v>
                </c:pt>
                <c:pt idx="4">
                  <c:v>194</c:v>
                </c:pt>
                <c:pt idx="5">
                  <c:v>185</c:v>
                </c:pt>
                <c:pt idx="6">
                  <c:v>79</c:v>
                </c:pt>
                <c:pt idx="7">
                  <c:v>170</c:v>
                </c:pt>
                <c:pt idx="8">
                  <c:v>182</c:v>
                </c:pt>
                <c:pt idx="9">
                  <c:v>125</c:v>
                </c:pt>
                <c:pt idx="10">
                  <c:v>198</c:v>
                </c:pt>
                <c:pt idx="11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'02.08 Kyanja-Kisaasi'!$U$9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Kyanja-Kisaasi'!$U$10:$U$21</c:f>
              <c:numCache>
                <c:formatCode>0</c:formatCode>
                <c:ptCount val="12"/>
                <c:pt idx="0">
                  <c:v>28</c:v>
                </c:pt>
                <c:pt idx="1">
                  <c:v>16</c:v>
                </c:pt>
                <c:pt idx="2">
                  <c:v>19</c:v>
                </c:pt>
                <c:pt idx="3">
                  <c:v>38</c:v>
                </c:pt>
                <c:pt idx="4">
                  <c:v>22</c:v>
                </c:pt>
                <c:pt idx="5">
                  <c:v>32</c:v>
                </c:pt>
                <c:pt idx="6">
                  <c:v>18</c:v>
                </c:pt>
                <c:pt idx="7">
                  <c:v>38</c:v>
                </c:pt>
                <c:pt idx="8">
                  <c:v>64</c:v>
                </c:pt>
                <c:pt idx="9">
                  <c:v>23</c:v>
                </c:pt>
                <c:pt idx="10">
                  <c:v>17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'02.08 Kyanja-Kisaasi'!$V$9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Kyanja-Kisaasi'!$V$10:$V$21</c:f>
              <c:numCache>
                <c:formatCode>0</c:formatCode>
                <c:ptCount val="12"/>
                <c:pt idx="0">
                  <c:v>70</c:v>
                </c:pt>
                <c:pt idx="1">
                  <c:v>77</c:v>
                </c:pt>
                <c:pt idx="2">
                  <c:v>54</c:v>
                </c:pt>
                <c:pt idx="3">
                  <c:v>52</c:v>
                </c:pt>
                <c:pt idx="4">
                  <c:v>60</c:v>
                </c:pt>
                <c:pt idx="5">
                  <c:v>56</c:v>
                </c:pt>
                <c:pt idx="6">
                  <c:v>35</c:v>
                </c:pt>
                <c:pt idx="7">
                  <c:v>44</c:v>
                </c:pt>
                <c:pt idx="8">
                  <c:v>71</c:v>
                </c:pt>
                <c:pt idx="9">
                  <c:v>47</c:v>
                </c:pt>
                <c:pt idx="10">
                  <c:v>47</c:v>
                </c:pt>
                <c:pt idx="1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'02.08 Kyanja-Kisaasi'!$W$9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'02.08 Kyanja-Kisaasi'!$X$9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'02.08 Kyanja-Kisaasi'!$Y$9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Kyanja-Kisaasi'!$Y$10:$Y$21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3</c:v>
                </c:pt>
                <c:pt idx="3">
                  <c:v>10</c:v>
                </c:pt>
                <c:pt idx="4">
                  <c:v>15</c:v>
                </c:pt>
                <c:pt idx="5">
                  <c:v>7</c:v>
                </c:pt>
                <c:pt idx="6">
                  <c:v>5</c:v>
                </c:pt>
                <c:pt idx="7">
                  <c:v>18</c:v>
                </c:pt>
                <c:pt idx="8">
                  <c:v>20</c:v>
                </c:pt>
                <c:pt idx="9">
                  <c:v>9</c:v>
                </c:pt>
                <c:pt idx="10">
                  <c:v>11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'02.08 Kyanja-Kisaasi'!$Z$9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Kyanja-Kisaasi'!$Z$10:$Z$21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0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'02.08 Kyanja-Kisaasi'!$AA$9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Kyanja-Kisaasi'!$AA$10:$AA$21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3</c:v>
                </c:pt>
                <c:pt idx="5">
                  <c:v>12</c:v>
                </c:pt>
                <c:pt idx="6">
                  <c:v>10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'02.08 Kyanja-Kisaasi'!$AB$9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'02.08 Kyanja-Kisaasi'!$AC$9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Kyanja-Kisaasi'!$AC$10:$AC$21</c:f>
              <c:numCache>
                <c:formatCode>0</c:formatCode>
                <c:ptCount val="12"/>
                <c:pt idx="0">
                  <c:v>818</c:v>
                </c:pt>
                <c:pt idx="1">
                  <c:v>857</c:v>
                </c:pt>
                <c:pt idx="2">
                  <c:v>677</c:v>
                </c:pt>
                <c:pt idx="3">
                  <c:v>473</c:v>
                </c:pt>
                <c:pt idx="4">
                  <c:v>650</c:v>
                </c:pt>
                <c:pt idx="5">
                  <c:v>505</c:v>
                </c:pt>
                <c:pt idx="6">
                  <c:v>347</c:v>
                </c:pt>
                <c:pt idx="7">
                  <c:v>334</c:v>
                </c:pt>
                <c:pt idx="8">
                  <c:v>392</c:v>
                </c:pt>
                <c:pt idx="9">
                  <c:v>423</c:v>
                </c:pt>
                <c:pt idx="10">
                  <c:v>436</c:v>
                </c:pt>
                <c:pt idx="11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'02.08 Kyanja-Kisaasi'!$AD$9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Kyanja-Kisaasi'!$AD$10:$AD$21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67072"/>
        <c:axId val="98868608"/>
      </c:lineChart>
      <c:catAx>
        <c:axId val="9886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68608"/>
        <c:crosses val="autoZero"/>
        <c:auto val="1"/>
        <c:lblAlgn val="ctr"/>
        <c:lblOffset val="100"/>
        <c:noMultiLvlLbl val="0"/>
      </c:catAx>
      <c:valAx>
        <c:axId val="988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6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Kyanja-Kisaasi'!$C$60:$N$60</c:f>
              <c:numCache>
                <c:formatCode>0.00%</c:formatCode>
                <c:ptCount val="12"/>
                <c:pt idx="0">
                  <c:v>0.45302927161334239</c:v>
                </c:pt>
                <c:pt idx="1">
                  <c:v>0.3252212389380531</c:v>
                </c:pt>
                <c:pt idx="2">
                  <c:v>5.8032675289312455E-2</c:v>
                </c:pt>
                <c:pt idx="3">
                  <c:v>0.11878829135466304</c:v>
                </c:pt>
                <c:pt idx="4">
                  <c:v>1.3614703880190605E-3</c:v>
                </c:pt>
                <c:pt idx="5">
                  <c:v>0</c:v>
                </c:pt>
                <c:pt idx="6">
                  <c:v>1.9911504424778761E-2</c:v>
                </c:pt>
                <c:pt idx="7">
                  <c:v>1.0381211708645336E-2</c:v>
                </c:pt>
                <c:pt idx="8">
                  <c:v>1.2253233492171545E-2</c:v>
                </c:pt>
                <c:pt idx="9">
                  <c:v>8.5091899251191281E-4</c:v>
                </c:pt>
                <c:pt idx="11">
                  <c:v>1.7018379850238256E-4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Kisaasi-Kyanja'!$AE$9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Kisaasi-Kyanja'!$AE$10:$AE$21</c:f>
              <c:numCache>
                <c:formatCode>0</c:formatCode>
                <c:ptCount val="12"/>
                <c:pt idx="0">
                  <c:v>301</c:v>
                </c:pt>
                <c:pt idx="1">
                  <c:v>284</c:v>
                </c:pt>
                <c:pt idx="2">
                  <c:v>292</c:v>
                </c:pt>
                <c:pt idx="3">
                  <c:v>314</c:v>
                </c:pt>
                <c:pt idx="4">
                  <c:v>301</c:v>
                </c:pt>
                <c:pt idx="5">
                  <c:v>290</c:v>
                </c:pt>
                <c:pt idx="6">
                  <c:v>273</c:v>
                </c:pt>
                <c:pt idx="7">
                  <c:v>313</c:v>
                </c:pt>
                <c:pt idx="8">
                  <c:v>333</c:v>
                </c:pt>
                <c:pt idx="9">
                  <c:v>518</c:v>
                </c:pt>
                <c:pt idx="10">
                  <c:v>502</c:v>
                </c:pt>
                <c:pt idx="11">
                  <c:v>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'02.08 Kisaasi-Kyanja'!$AF$9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Kisaasi-Kyanja'!$AF$10:$AF$21</c:f>
              <c:numCache>
                <c:formatCode>0</c:formatCode>
                <c:ptCount val="12"/>
                <c:pt idx="0">
                  <c:v>633</c:v>
                </c:pt>
                <c:pt idx="1">
                  <c:v>599</c:v>
                </c:pt>
                <c:pt idx="2">
                  <c:v>568</c:v>
                </c:pt>
                <c:pt idx="3">
                  <c:v>664</c:v>
                </c:pt>
                <c:pt idx="4">
                  <c:v>578</c:v>
                </c:pt>
                <c:pt idx="5">
                  <c:v>460</c:v>
                </c:pt>
                <c:pt idx="6">
                  <c:v>554</c:v>
                </c:pt>
                <c:pt idx="7">
                  <c:v>480</c:v>
                </c:pt>
                <c:pt idx="8">
                  <c:v>572</c:v>
                </c:pt>
                <c:pt idx="9">
                  <c:v>923</c:v>
                </c:pt>
                <c:pt idx="10">
                  <c:v>794</c:v>
                </c:pt>
                <c:pt idx="11">
                  <c:v>1003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93216"/>
        <c:axId val="99195136"/>
      </c:lineChart>
      <c:catAx>
        <c:axId val="99193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195136"/>
        <c:crosses val="autoZero"/>
        <c:auto val="1"/>
        <c:lblAlgn val="ctr"/>
        <c:lblOffset val="100"/>
        <c:noMultiLvlLbl val="0"/>
      </c:catAx>
      <c:valAx>
        <c:axId val="99195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19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Kisaasi-Kyanja'!$C$59:$N$59</c:f>
              <c:numCache>
                <c:formatCode>0.0%</c:formatCode>
                <c:ptCount val="12"/>
                <c:pt idx="0">
                  <c:v>0.21921308124680633</c:v>
                </c:pt>
                <c:pt idx="1">
                  <c:v>0.14115993868165561</c:v>
                </c:pt>
                <c:pt idx="2">
                  <c:v>2.9381706693919263E-2</c:v>
                </c:pt>
                <c:pt idx="3">
                  <c:v>0.13145120081757791</c:v>
                </c:pt>
                <c:pt idx="4">
                  <c:v>6.3873275421563616E-4</c:v>
                </c:pt>
                <c:pt idx="5">
                  <c:v>1.2774655084312725E-4</c:v>
                </c:pt>
                <c:pt idx="6">
                  <c:v>1.9289729177312212E-2</c:v>
                </c:pt>
                <c:pt idx="7">
                  <c:v>7.2815533980582527E-3</c:v>
                </c:pt>
                <c:pt idx="8">
                  <c:v>1.1497189575881452E-2</c:v>
                </c:pt>
                <c:pt idx="9">
                  <c:v>1.2774655084312723E-3</c:v>
                </c:pt>
                <c:pt idx="10">
                  <c:v>0.43868165559529892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15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Kisaasi-Kyanja'!$S$9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Kisaasi-Kyanja'!$S$10:$S$21</c:f>
              <c:numCache>
                <c:formatCode>0</c:formatCode>
                <c:ptCount val="12"/>
                <c:pt idx="0">
                  <c:v>121</c:v>
                </c:pt>
                <c:pt idx="1">
                  <c:v>95</c:v>
                </c:pt>
                <c:pt idx="2">
                  <c:v>95</c:v>
                </c:pt>
                <c:pt idx="3">
                  <c:v>104</c:v>
                </c:pt>
                <c:pt idx="4">
                  <c:v>127</c:v>
                </c:pt>
                <c:pt idx="5">
                  <c:v>147</c:v>
                </c:pt>
                <c:pt idx="6">
                  <c:v>107</c:v>
                </c:pt>
                <c:pt idx="7">
                  <c:v>127</c:v>
                </c:pt>
                <c:pt idx="8">
                  <c:v>161</c:v>
                </c:pt>
                <c:pt idx="9">
                  <c:v>192</c:v>
                </c:pt>
                <c:pt idx="10">
                  <c:v>200</c:v>
                </c:pt>
                <c:pt idx="11">
                  <c:v>240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'02.08 Kisaasi-Kyanja'!$T$9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Kisaasi-Kyanja'!$T$10:$T$21</c:f>
              <c:numCache>
                <c:formatCode>0</c:formatCode>
                <c:ptCount val="12"/>
                <c:pt idx="0">
                  <c:v>52</c:v>
                </c:pt>
                <c:pt idx="1">
                  <c:v>30</c:v>
                </c:pt>
                <c:pt idx="2">
                  <c:v>46</c:v>
                </c:pt>
                <c:pt idx="3">
                  <c:v>71</c:v>
                </c:pt>
                <c:pt idx="4">
                  <c:v>48</c:v>
                </c:pt>
                <c:pt idx="5">
                  <c:v>56</c:v>
                </c:pt>
                <c:pt idx="6">
                  <c:v>65</c:v>
                </c:pt>
                <c:pt idx="7">
                  <c:v>80</c:v>
                </c:pt>
                <c:pt idx="8">
                  <c:v>72</c:v>
                </c:pt>
                <c:pt idx="9">
                  <c:v>191</c:v>
                </c:pt>
                <c:pt idx="10">
                  <c:v>172</c:v>
                </c:pt>
                <c:pt idx="11">
                  <c:v>222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'02.08 Kisaasi-Kyanja'!$U$9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Kisaasi-Kyanja'!$U$10:$U$21</c:f>
              <c:numCache>
                <c:formatCode>0</c:formatCode>
                <c:ptCount val="12"/>
                <c:pt idx="0">
                  <c:v>16</c:v>
                </c:pt>
                <c:pt idx="1">
                  <c:v>8</c:v>
                </c:pt>
                <c:pt idx="2">
                  <c:v>16</c:v>
                </c:pt>
                <c:pt idx="3">
                  <c:v>30</c:v>
                </c:pt>
                <c:pt idx="4">
                  <c:v>21</c:v>
                </c:pt>
                <c:pt idx="5">
                  <c:v>11</c:v>
                </c:pt>
                <c:pt idx="6">
                  <c:v>19</c:v>
                </c:pt>
                <c:pt idx="7">
                  <c:v>11</c:v>
                </c:pt>
                <c:pt idx="8">
                  <c:v>18</c:v>
                </c:pt>
                <c:pt idx="9">
                  <c:v>14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'02.08 Kisaasi-Kyanja'!$V$9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Kisaasi-Kyanja'!$V$10:$V$21</c:f>
              <c:numCache>
                <c:formatCode>0</c:formatCode>
                <c:ptCount val="12"/>
                <c:pt idx="0">
                  <c:v>86</c:v>
                </c:pt>
                <c:pt idx="1">
                  <c:v>132</c:v>
                </c:pt>
                <c:pt idx="2">
                  <c:v>114</c:v>
                </c:pt>
                <c:pt idx="3">
                  <c:v>81</c:v>
                </c:pt>
                <c:pt idx="4">
                  <c:v>82</c:v>
                </c:pt>
                <c:pt idx="5">
                  <c:v>64</c:v>
                </c:pt>
                <c:pt idx="6">
                  <c:v>48</c:v>
                </c:pt>
                <c:pt idx="7">
                  <c:v>66</c:v>
                </c:pt>
                <c:pt idx="8">
                  <c:v>50</c:v>
                </c:pt>
                <c:pt idx="9">
                  <c:v>87</c:v>
                </c:pt>
                <c:pt idx="10">
                  <c:v>82</c:v>
                </c:pt>
                <c:pt idx="11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'02.08 Kisaasi-Kyanja'!$W$9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'02.08 Kisaasi-Kyanja'!$X$9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'02.08 Kisaasi-Kyanja'!$Y$9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Kisaasi-Kyanja'!$Y$10:$Y$21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12</c:v>
                </c:pt>
                <c:pt idx="4">
                  <c:v>2</c:v>
                </c:pt>
                <c:pt idx="5">
                  <c:v>4</c:v>
                </c:pt>
                <c:pt idx="6">
                  <c:v>20</c:v>
                </c:pt>
                <c:pt idx="7">
                  <c:v>19</c:v>
                </c:pt>
                <c:pt idx="8">
                  <c:v>12</c:v>
                </c:pt>
                <c:pt idx="9">
                  <c:v>19</c:v>
                </c:pt>
                <c:pt idx="10">
                  <c:v>12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'02.08 Kisaasi-Kyanja'!$Z$9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Kisaasi-Kyanja'!$Z$10:$Z$21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'02.08 Kisaasi-Kyanja'!$AA$9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Kisaasi-Kyanja'!$AA$10:$AA$21</c:f>
              <c:numCache>
                <c:formatCode>0</c:formatCode>
                <c:ptCount val="12"/>
                <c:pt idx="0">
                  <c:v>13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12</c:v>
                </c:pt>
                <c:pt idx="9">
                  <c:v>11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'02.08 Kisaasi-Kyanja'!$AB$9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'02.08 Kisaasi-Kyanja'!$AC$9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Kisaasi-Kyanja'!$AC$10:$AC$21</c:f>
              <c:numCache>
                <c:formatCode>0</c:formatCode>
                <c:ptCount val="12"/>
                <c:pt idx="0">
                  <c:v>332</c:v>
                </c:pt>
                <c:pt idx="1">
                  <c:v>315</c:v>
                </c:pt>
                <c:pt idx="2">
                  <c:v>276</c:v>
                </c:pt>
                <c:pt idx="3">
                  <c:v>350</c:v>
                </c:pt>
                <c:pt idx="4">
                  <c:v>277</c:v>
                </c:pt>
                <c:pt idx="5">
                  <c:v>170</c:v>
                </c:pt>
                <c:pt idx="6">
                  <c:v>281</c:v>
                </c:pt>
                <c:pt idx="7">
                  <c:v>167</c:v>
                </c:pt>
                <c:pt idx="8">
                  <c:v>239</c:v>
                </c:pt>
                <c:pt idx="9">
                  <c:v>405</c:v>
                </c:pt>
                <c:pt idx="10">
                  <c:v>292</c:v>
                </c:pt>
                <c:pt idx="11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'02.08 Kisaasi-Kyanja'!$AD$9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Kisaasi-Kyanja'!$AD$10:$AD$21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93728"/>
        <c:axId val="102395264"/>
      </c:lineChart>
      <c:catAx>
        <c:axId val="10239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395264"/>
        <c:crosses val="autoZero"/>
        <c:auto val="1"/>
        <c:lblAlgn val="ctr"/>
        <c:lblOffset val="100"/>
        <c:noMultiLvlLbl val="0"/>
      </c:catAx>
      <c:valAx>
        <c:axId val="1023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39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Kisaasi-Kyanja'!$C$60:$N$60</c:f>
              <c:numCache>
                <c:formatCode>0.00%</c:formatCode>
                <c:ptCount val="12"/>
                <c:pt idx="0">
                  <c:v>0.39053254437869822</c:v>
                </c:pt>
                <c:pt idx="1">
                  <c:v>0.25147928994082841</c:v>
                </c:pt>
                <c:pt idx="2">
                  <c:v>5.2344105598543467E-2</c:v>
                </c:pt>
                <c:pt idx="3">
                  <c:v>0.23418297678652708</c:v>
                </c:pt>
                <c:pt idx="4">
                  <c:v>1.137915339098771E-3</c:v>
                </c:pt>
                <c:pt idx="5">
                  <c:v>2.2758306781975421E-4</c:v>
                </c:pt>
                <c:pt idx="6">
                  <c:v>3.4365043240782885E-2</c:v>
                </c:pt>
                <c:pt idx="7">
                  <c:v>1.297223486572599E-2</c:v>
                </c:pt>
                <c:pt idx="8">
                  <c:v>2.0482476103777878E-2</c:v>
                </c:pt>
                <c:pt idx="9">
                  <c:v>2.2758306781975419E-3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Kyanja-Kisaasi-24h'!$AE$9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Kyanja-Kisaasi-24h'!$R$10:$R$33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Kyanja-Kisaasi-24h'!$AE$10:$AE$33</c:f>
              <c:numCache>
                <c:formatCode>0</c:formatCode>
                <c:ptCount val="24"/>
                <c:pt idx="0">
                  <c:v>512</c:v>
                </c:pt>
                <c:pt idx="1">
                  <c:v>832</c:v>
                </c:pt>
                <c:pt idx="2">
                  <c:v>605</c:v>
                </c:pt>
                <c:pt idx="3">
                  <c:v>736</c:v>
                </c:pt>
                <c:pt idx="4">
                  <c:v>726</c:v>
                </c:pt>
                <c:pt idx="5">
                  <c:v>653</c:v>
                </c:pt>
                <c:pt idx="6">
                  <c:v>622</c:v>
                </c:pt>
                <c:pt idx="7">
                  <c:v>541</c:v>
                </c:pt>
                <c:pt idx="8">
                  <c:v>497</c:v>
                </c:pt>
                <c:pt idx="9">
                  <c:v>295</c:v>
                </c:pt>
                <c:pt idx="10">
                  <c:v>329</c:v>
                </c:pt>
                <c:pt idx="11">
                  <c:v>263</c:v>
                </c:pt>
                <c:pt idx="12">
                  <c:v>329</c:v>
                </c:pt>
                <c:pt idx="13">
                  <c:v>351</c:v>
                </c:pt>
                <c:pt idx="14">
                  <c:v>495</c:v>
                </c:pt>
                <c:pt idx="15">
                  <c:v>396</c:v>
                </c:pt>
                <c:pt idx="16">
                  <c:v>254</c:v>
                </c:pt>
                <c:pt idx="17">
                  <c:v>165</c:v>
                </c:pt>
                <c:pt idx="18">
                  <c:v>67</c:v>
                </c:pt>
                <c:pt idx="19">
                  <c:v>82</c:v>
                </c:pt>
                <c:pt idx="20">
                  <c:v>57</c:v>
                </c:pt>
                <c:pt idx="21">
                  <c:v>71</c:v>
                </c:pt>
                <c:pt idx="22">
                  <c:v>95</c:v>
                </c:pt>
                <c:pt idx="23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Kyanja-Kisaasi-24h'!$AF$9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Kyanja-Kisaasi-24h'!$R$10:$R$33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Kyanja-Kisaasi-24h'!$AF$10:$AF$33</c:f>
              <c:numCache>
                <c:formatCode>0</c:formatCode>
                <c:ptCount val="24"/>
                <c:pt idx="0">
                  <c:v>512</c:v>
                </c:pt>
                <c:pt idx="1">
                  <c:v>832</c:v>
                </c:pt>
                <c:pt idx="2">
                  <c:v>605</c:v>
                </c:pt>
                <c:pt idx="3">
                  <c:v>736</c:v>
                </c:pt>
                <c:pt idx="4">
                  <c:v>726</c:v>
                </c:pt>
                <c:pt idx="5">
                  <c:v>653</c:v>
                </c:pt>
                <c:pt idx="6">
                  <c:v>622</c:v>
                </c:pt>
                <c:pt idx="7">
                  <c:v>541</c:v>
                </c:pt>
                <c:pt idx="8">
                  <c:v>497</c:v>
                </c:pt>
                <c:pt idx="9">
                  <c:v>295</c:v>
                </c:pt>
                <c:pt idx="10">
                  <c:v>329</c:v>
                </c:pt>
                <c:pt idx="11">
                  <c:v>263</c:v>
                </c:pt>
                <c:pt idx="12">
                  <c:v>502</c:v>
                </c:pt>
                <c:pt idx="13">
                  <c:v>516</c:v>
                </c:pt>
                <c:pt idx="14">
                  <c:v>822</c:v>
                </c:pt>
                <c:pt idx="15">
                  <c:v>681</c:v>
                </c:pt>
                <c:pt idx="16">
                  <c:v>482</c:v>
                </c:pt>
                <c:pt idx="17">
                  <c:v>270</c:v>
                </c:pt>
                <c:pt idx="18">
                  <c:v>160</c:v>
                </c:pt>
                <c:pt idx="19">
                  <c:v>158</c:v>
                </c:pt>
                <c:pt idx="20">
                  <c:v>107</c:v>
                </c:pt>
                <c:pt idx="21">
                  <c:v>133</c:v>
                </c:pt>
                <c:pt idx="22">
                  <c:v>138</c:v>
                </c:pt>
                <c:pt idx="23">
                  <c:v>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87872"/>
        <c:axId val="102689792"/>
      </c:lineChart>
      <c:catAx>
        <c:axId val="102687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689792"/>
        <c:crosses val="autoZero"/>
        <c:auto val="1"/>
        <c:lblAlgn val="ctr"/>
        <c:lblOffset val="100"/>
        <c:noMultiLvlLbl val="0"/>
      </c:catAx>
      <c:valAx>
        <c:axId val="102689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6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Kyanja-Kisaasi-24h'!$C$9:$N$9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Kyanja-Kisaasi-24h'!$C$107:$N$107</c:f>
              <c:numCache>
                <c:formatCode>0.0%</c:formatCode>
                <c:ptCount val="12"/>
                <c:pt idx="0">
                  <c:v>0.47635385756676557</c:v>
                </c:pt>
                <c:pt idx="1">
                  <c:v>0.19213649851632048</c:v>
                </c:pt>
                <c:pt idx="2">
                  <c:v>5.2206973293768548E-2</c:v>
                </c:pt>
                <c:pt idx="3">
                  <c:v>9.6717359050445109E-2</c:v>
                </c:pt>
                <c:pt idx="4">
                  <c:v>4.6364985163204749E-4</c:v>
                </c:pt>
                <c:pt idx="5">
                  <c:v>9.2729970326409499E-5</c:v>
                </c:pt>
                <c:pt idx="6">
                  <c:v>2.0586053412462908E-2</c:v>
                </c:pt>
                <c:pt idx="7">
                  <c:v>1.2054896142433234E-3</c:v>
                </c:pt>
                <c:pt idx="8">
                  <c:v>8.3456973293768544E-4</c:v>
                </c:pt>
                <c:pt idx="9">
                  <c:v>0</c:v>
                </c:pt>
                <c:pt idx="10">
                  <c:v>0.15940281899109793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Kyanja-Kisaasi-24h'!$C$9:$N$9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Kyanja-Kisaasi-24h'!$C$108:$N$108</c:f>
              <c:numCache>
                <c:formatCode>0.00%</c:formatCode>
                <c:ptCount val="12"/>
                <c:pt idx="0">
                  <c:v>0.56668505239933809</c:v>
                </c:pt>
                <c:pt idx="1">
                  <c:v>0.22857142857142856</c:v>
                </c:pt>
                <c:pt idx="2">
                  <c:v>6.2107004964147824E-2</c:v>
                </c:pt>
                <c:pt idx="3">
                  <c:v>0.11505791505791506</c:v>
                </c:pt>
                <c:pt idx="4">
                  <c:v>5.5157198014340876E-4</c:v>
                </c:pt>
                <c:pt idx="5">
                  <c:v>1.1031439602868175E-4</c:v>
                </c:pt>
                <c:pt idx="6">
                  <c:v>2.4489795918367346E-2</c:v>
                </c:pt>
                <c:pt idx="7">
                  <c:v>1.4340871483728627E-3</c:v>
                </c:pt>
                <c:pt idx="8">
                  <c:v>9.9282956425813564E-4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Kisaasi-Kyanja-24h'!$AE$9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Kisaasi-Kyanja-24h'!$R$10:$R$33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Kisaasi-Kyanja-24h'!$AE$10:$AE$33</c:f>
              <c:numCache>
                <c:formatCode>0</c:formatCode>
                <c:ptCount val="24"/>
                <c:pt idx="0">
                  <c:v>261</c:v>
                </c:pt>
                <c:pt idx="1">
                  <c:v>261</c:v>
                </c:pt>
                <c:pt idx="2">
                  <c:v>341</c:v>
                </c:pt>
                <c:pt idx="3">
                  <c:v>387</c:v>
                </c:pt>
                <c:pt idx="4">
                  <c:v>388</c:v>
                </c:pt>
                <c:pt idx="5">
                  <c:v>389</c:v>
                </c:pt>
                <c:pt idx="6">
                  <c:v>468</c:v>
                </c:pt>
                <c:pt idx="7">
                  <c:v>495</c:v>
                </c:pt>
                <c:pt idx="8">
                  <c:v>428</c:v>
                </c:pt>
                <c:pt idx="9">
                  <c:v>426</c:v>
                </c:pt>
                <c:pt idx="10">
                  <c:v>408</c:v>
                </c:pt>
                <c:pt idx="11">
                  <c:v>362</c:v>
                </c:pt>
                <c:pt idx="12">
                  <c:v>535</c:v>
                </c:pt>
                <c:pt idx="13">
                  <c:v>430</c:v>
                </c:pt>
                <c:pt idx="14">
                  <c:v>454</c:v>
                </c:pt>
                <c:pt idx="15">
                  <c:v>499</c:v>
                </c:pt>
                <c:pt idx="16">
                  <c:v>315</c:v>
                </c:pt>
                <c:pt idx="17">
                  <c:v>237</c:v>
                </c:pt>
                <c:pt idx="18">
                  <c:v>125</c:v>
                </c:pt>
                <c:pt idx="19">
                  <c:v>76</c:v>
                </c:pt>
                <c:pt idx="20">
                  <c:v>51</c:v>
                </c:pt>
                <c:pt idx="21">
                  <c:v>45</c:v>
                </c:pt>
                <c:pt idx="22">
                  <c:v>65</c:v>
                </c:pt>
                <c:pt idx="23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Kisaasi-Kyanja-24h'!$AF$9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Kisaasi-Kyanja-24h'!$R$10:$R$33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Kisaasi-Kyanja-24h'!$AF$10:$AF$33</c:f>
              <c:numCache>
                <c:formatCode>0</c:formatCode>
                <c:ptCount val="24"/>
                <c:pt idx="0">
                  <c:v>476</c:v>
                </c:pt>
                <c:pt idx="1">
                  <c:v>589</c:v>
                </c:pt>
                <c:pt idx="2">
                  <c:v>740</c:v>
                </c:pt>
                <c:pt idx="3">
                  <c:v>927</c:v>
                </c:pt>
                <c:pt idx="4">
                  <c:v>798</c:v>
                </c:pt>
                <c:pt idx="5">
                  <c:v>739</c:v>
                </c:pt>
                <c:pt idx="6">
                  <c:v>818</c:v>
                </c:pt>
                <c:pt idx="7">
                  <c:v>740</c:v>
                </c:pt>
                <c:pt idx="8">
                  <c:v>739</c:v>
                </c:pt>
                <c:pt idx="9">
                  <c:v>784</c:v>
                </c:pt>
                <c:pt idx="10">
                  <c:v>808</c:v>
                </c:pt>
                <c:pt idx="11">
                  <c:v>712</c:v>
                </c:pt>
                <c:pt idx="12">
                  <c:v>813</c:v>
                </c:pt>
                <c:pt idx="13">
                  <c:v>833</c:v>
                </c:pt>
                <c:pt idx="14">
                  <c:v>842</c:v>
                </c:pt>
                <c:pt idx="15">
                  <c:v>740</c:v>
                </c:pt>
                <c:pt idx="16">
                  <c:v>500</c:v>
                </c:pt>
                <c:pt idx="17">
                  <c:v>366</c:v>
                </c:pt>
                <c:pt idx="18">
                  <c:v>236</c:v>
                </c:pt>
                <c:pt idx="19">
                  <c:v>163</c:v>
                </c:pt>
                <c:pt idx="20">
                  <c:v>108</c:v>
                </c:pt>
                <c:pt idx="21">
                  <c:v>106</c:v>
                </c:pt>
                <c:pt idx="22">
                  <c:v>155</c:v>
                </c:pt>
                <c:pt idx="23">
                  <c:v>106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29376"/>
        <c:axId val="103043840"/>
      </c:lineChart>
      <c:catAx>
        <c:axId val="103029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043840"/>
        <c:crosses val="autoZero"/>
        <c:auto val="1"/>
        <c:lblAlgn val="ctr"/>
        <c:lblOffset val="100"/>
        <c:noMultiLvlLbl val="0"/>
      </c:catAx>
      <c:valAx>
        <c:axId val="103043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02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Kisaasi-Kyanja-24h'!$C$9:$N$9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Kisaasi-Kyanja-24h'!$C$107:$N$107</c:f>
              <c:numCache>
                <c:formatCode>0.0%</c:formatCode>
                <c:ptCount val="12"/>
                <c:pt idx="0">
                  <c:v>0</c:v>
                </c:pt>
                <c:pt idx="1">
                  <c:v>0.1167076167076167</c:v>
                </c:pt>
                <c:pt idx="2">
                  <c:v>2.9484029484029485E-2</c:v>
                </c:pt>
                <c:pt idx="3">
                  <c:v>9.0041913571325335E-2</c:v>
                </c:pt>
                <c:pt idx="4">
                  <c:v>7.2264778147131093E-4</c:v>
                </c:pt>
                <c:pt idx="5">
                  <c:v>7.2264778147131093E-5</c:v>
                </c:pt>
                <c:pt idx="6">
                  <c:v>1.9077901430842606E-2</c:v>
                </c:pt>
                <c:pt idx="7">
                  <c:v>7.2264778147131089E-3</c:v>
                </c:pt>
                <c:pt idx="8">
                  <c:v>6.4315652550946669E-3</c:v>
                </c:pt>
                <c:pt idx="9">
                  <c:v>1.3730307847954907E-3</c:v>
                </c:pt>
                <c:pt idx="10">
                  <c:v>0.4577251047839283</c:v>
                </c:pt>
                <c:pt idx="11">
                  <c:v>7.2264778147131093E-5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Kisaasi-Kyanja-24h'!$C$9:$N$9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Kisaasi-Kyanja-24h'!$C$108:$N$108</c:f>
              <c:numCache>
                <c:formatCode>0.00%</c:formatCode>
                <c:ptCount val="12"/>
                <c:pt idx="0">
                  <c:v>0</c:v>
                </c:pt>
                <c:pt idx="1">
                  <c:v>0.21521855010660981</c:v>
                </c:pt>
                <c:pt idx="2">
                  <c:v>5.4371002132196165E-2</c:v>
                </c:pt>
                <c:pt idx="3">
                  <c:v>0.16604477611940299</c:v>
                </c:pt>
                <c:pt idx="4">
                  <c:v>1.3326226012793177E-3</c:v>
                </c:pt>
                <c:pt idx="5">
                  <c:v>1.3326226012793177E-4</c:v>
                </c:pt>
                <c:pt idx="6">
                  <c:v>3.5181236673773986E-2</c:v>
                </c:pt>
                <c:pt idx="7">
                  <c:v>1.3326226012793176E-2</c:v>
                </c:pt>
                <c:pt idx="8">
                  <c:v>1.1860341151385928E-2</c:v>
                </c:pt>
                <c:pt idx="9">
                  <c:v>2.5319829424307037E-3</c:v>
                </c:pt>
                <c:pt idx="11">
                  <c:v>1.3326226012793177E-4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Kyanja-Kisaasi'!$AE$9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Kyanja-Kisaasi'!$AE$10:$AE$21</c:f>
              <c:numCache>
                <c:formatCode>0</c:formatCode>
                <c:ptCount val="12"/>
                <c:pt idx="0">
                  <c:v>266</c:v>
                </c:pt>
                <c:pt idx="1">
                  <c:v>351</c:v>
                </c:pt>
                <c:pt idx="2">
                  <c:v>443</c:v>
                </c:pt>
                <c:pt idx="3">
                  <c:v>377</c:v>
                </c:pt>
                <c:pt idx="4">
                  <c:v>539</c:v>
                </c:pt>
                <c:pt idx="5">
                  <c:v>366</c:v>
                </c:pt>
                <c:pt idx="6">
                  <c:v>430</c:v>
                </c:pt>
                <c:pt idx="7">
                  <c:v>439</c:v>
                </c:pt>
                <c:pt idx="8">
                  <c:v>394</c:v>
                </c:pt>
                <c:pt idx="9">
                  <c:v>444</c:v>
                </c:pt>
                <c:pt idx="10">
                  <c:v>378</c:v>
                </c:pt>
                <c:pt idx="11">
                  <c:v>256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Kyanja-Kisaasi'!$AF$9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Kyanja-Kisaasi'!$AF$10:$AF$21</c:f>
              <c:numCache>
                <c:formatCode>0</c:formatCode>
                <c:ptCount val="12"/>
                <c:pt idx="0">
                  <c:v>590</c:v>
                </c:pt>
                <c:pt idx="1">
                  <c:v>759</c:v>
                </c:pt>
                <c:pt idx="2">
                  <c:v>931</c:v>
                </c:pt>
                <c:pt idx="3">
                  <c:v>648</c:v>
                </c:pt>
                <c:pt idx="4">
                  <c:v>906</c:v>
                </c:pt>
                <c:pt idx="5">
                  <c:v>754</c:v>
                </c:pt>
                <c:pt idx="6">
                  <c:v>782</c:v>
                </c:pt>
                <c:pt idx="7">
                  <c:v>827</c:v>
                </c:pt>
                <c:pt idx="8">
                  <c:v>808</c:v>
                </c:pt>
                <c:pt idx="9">
                  <c:v>830</c:v>
                </c:pt>
                <c:pt idx="10">
                  <c:v>732</c:v>
                </c:pt>
                <c:pt idx="11">
                  <c:v>632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320960"/>
        <c:axId val="103360000"/>
      </c:lineChart>
      <c:catAx>
        <c:axId val="103320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360000"/>
        <c:crosses val="autoZero"/>
        <c:auto val="1"/>
        <c:lblAlgn val="ctr"/>
        <c:lblOffset val="100"/>
        <c:noMultiLvlLbl val="0"/>
      </c:catAx>
      <c:valAx>
        <c:axId val="10336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32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Kyanja-Kisaasi'!$C$59:$N$59</c:f>
              <c:numCache>
                <c:formatCode>0.0%</c:formatCode>
                <c:ptCount val="12"/>
                <c:pt idx="0">
                  <c:v>0.29057506250679421</c:v>
                </c:pt>
                <c:pt idx="1">
                  <c:v>0.10359821719752146</c:v>
                </c:pt>
                <c:pt idx="2">
                  <c:v>3.1633873247092076E-2</c:v>
                </c:pt>
                <c:pt idx="3">
                  <c:v>6.3593868898793343E-2</c:v>
                </c:pt>
                <c:pt idx="4">
                  <c:v>4.3482987281226221E-4</c:v>
                </c:pt>
                <c:pt idx="5">
                  <c:v>3.2612240460919666E-4</c:v>
                </c:pt>
                <c:pt idx="6">
                  <c:v>1.195782150233721E-2</c:v>
                </c:pt>
                <c:pt idx="7">
                  <c:v>4.4570061963256878E-3</c:v>
                </c:pt>
                <c:pt idx="8">
                  <c:v>2.0654418958582456E-3</c:v>
                </c:pt>
                <c:pt idx="9">
                  <c:v>4.3482987281226221E-4</c:v>
                </c:pt>
                <c:pt idx="10">
                  <c:v>0.49092292640504404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15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Kyanja-Kisaasi'!$S$9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Kyanja-Kisaasi'!$S$10:$S$21</c:f>
              <c:numCache>
                <c:formatCode>0</c:formatCode>
                <c:ptCount val="12"/>
                <c:pt idx="0">
                  <c:v>118</c:v>
                </c:pt>
                <c:pt idx="1">
                  <c:v>199</c:v>
                </c:pt>
                <c:pt idx="2">
                  <c:v>221</c:v>
                </c:pt>
                <c:pt idx="3">
                  <c:v>215</c:v>
                </c:pt>
                <c:pt idx="4">
                  <c:v>321</c:v>
                </c:pt>
                <c:pt idx="5">
                  <c:v>204</c:v>
                </c:pt>
                <c:pt idx="6">
                  <c:v>245</c:v>
                </c:pt>
                <c:pt idx="7">
                  <c:v>267</c:v>
                </c:pt>
                <c:pt idx="8">
                  <c:v>237</c:v>
                </c:pt>
                <c:pt idx="9">
                  <c:v>285</c:v>
                </c:pt>
                <c:pt idx="10">
                  <c:v>242</c:v>
                </c:pt>
                <c:pt idx="11">
                  <c:v>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Kyanja-Kisaasi'!$T$9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Kyanja-Kisaasi'!$R$10:$R$21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Kyanja-Kisaasi'!$T$10:$T$21</c:f>
              <c:numCache>
                <c:formatCode>0</c:formatCode>
                <c:ptCount val="12"/>
                <c:pt idx="0">
                  <c:v>33</c:v>
                </c:pt>
                <c:pt idx="1">
                  <c:v>75</c:v>
                </c:pt>
                <c:pt idx="2">
                  <c:v>119</c:v>
                </c:pt>
                <c:pt idx="3">
                  <c:v>74</c:v>
                </c:pt>
                <c:pt idx="4">
                  <c:v>121</c:v>
                </c:pt>
                <c:pt idx="5">
                  <c:v>84</c:v>
                </c:pt>
                <c:pt idx="6">
                  <c:v>99</c:v>
                </c:pt>
                <c:pt idx="7">
                  <c:v>104</c:v>
                </c:pt>
                <c:pt idx="8">
                  <c:v>79</c:v>
                </c:pt>
                <c:pt idx="9">
                  <c:v>73</c:v>
                </c:pt>
                <c:pt idx="10">
                  <c:v>62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Kyanja-Kisaasi'!$U$9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Kyanja-Kisaasi'!$U$10:$U$21</c:f>
              <c:numCache>
                <c:formatCode>0</c:formatCode>
                <c:ptCount val="12"/>
                <c:pt idx="0">
                  <c:v>39</c:v>
                </c:pt>
                <c:pt idx="1">
                  <c:v>16</c:v>
                </c:pt>
                <c:pt idx="2">
                  <c:v>18</c:v>
                </c:pt>
                <c:pt idx="3">
                  <c:v>29</c:v>
                </c:pt>
                <c:pt idx="4">
                  <c:v>28</c:v>
                </c:pt>
                <c:pt idx="5">
                  <c:v>21</c:v>
                </c:pt>
                <c:pt idx="6">
                  <c:v>22</c:v>
                </c:pt>
                <c:pt idx="7">
                  <c:v>26</c:v>
                </c:pt>
                <c:pt idx="8">
                  <c:v>22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Kyanja-Kisaasi'!$V$9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Kyanja-Kisaasi'!$V$10:$V$21</c:f>
              <c:numCache>
                <c:formatCode>0</c:formatCode>
                <c:ptCount val="12"/>
                <c:pt idx="0">
                  <c:v>66</c:v>
                </c:pt>
                <c:pt idx="1">
                  <c:v>51</c:v>
                </c:pt>
                <c:pt idx="2">
                  <c:v>59</c:v>
                </c:pt>
                <c:pt idx="3">
                  <c:v>49</c:v>
                </c:pt>
                <c:pt idx="4">
                  <c:v>54</c:v>
                </c:pt>
                <c:pt idx="5">
                  <c:v>40</c:v>
                </c:pt>
                <c:pt idx="6">
                  <c:v>45</c:v>
                </c:pt>
                <c:pt idx="7">
                  <c:v>28</c:v>
                </c:pt>
                <c:pt idx="8">
                  <c:v>44</c:v>
                </c:pt>
                <c:pt idx="9">
                  <c:v>43</c:v>
                </c:pt>
                <c:pt idx="10">
                  <c:v>40</c:v>
                </c:pt>
                <c:pt idx="11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Kyanja-Kisaasi'!$W$9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Kyanja-Kisaasi'!$X$9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Kyanja-Kisaasi'!$Y$9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Kyanja-Kisaasi'!$Y$10:$Y$21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19</c:v>
                </c:pt>
                <c:pt idx="3">
                  <c:v>5</c:v>
                </c:pt>
                <c:pt idx="4">
                  <c:v>9</c:v>
                </c:pt>
                <c:pt idx="5">
                  <c:v>12</c:v>
                </c:pt>
                <c:pt idx="6">
                  <c:v>7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Kyanja-Kisaasi'!$Z$9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0</c:v>
                </c:pt>
                <c:pt idx="8">
                  <c:v>2</c:v>
                </c:pt>
                <c:pt idx="9">
                  <c:v>10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Kyanja-Kisaasi'!$AA$9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Kyanja-Kisaasi'!$AB$9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Kyanja-Kisaasi'!$AC$9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Kyanja-Kisaasi'!$AC$10:$AC$21</c:f>
              <c:numCache>
                <c:formatCode>0</c:formatCode>
                <c:ptCount val="12"/>
                <c:pt idx="0">
                  <c:v>324</c:v>
                </c:pt>
                <c:pt idx="1">
                  <c:v>408</c:v>
                </c:pt>
                <c:pt idx="2">
                  <c:v>488</c:v>
                </c:pt>
                <c:pt idx="3">
                  <c:v>271</c:v>
                </c:pt>
                <c:pt idx="4">
                  <c:v>367</c:v>
                </c:pt>
                <c:pt idx="5">
                  <c:v>388</c:v>
                </c:pt>
                <c:pt idx="6">
                  <c:v>352</c:v>
                </c:pt>
                <c:pt idx="7">
                  <c:v>388</c:v>
                </c:pt>
                <c:pt idx="8">
                  <c:v>414</c:v>
                </c:pt>
                <c:pt idx="9">
                  <c:v>386</c:v>
                </c:pt>
                <c:pt idx="10">
                  <c:v>354</c:v>
                </c:pt>
                <c:pt idx="11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Kyanja-Kisaasi'!$AD$9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Kyanja-Kisaasi'!$AD$10:$AD$21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543936"/>
        <c:axId val="103545472"/>
      </c:lineChart>
      <c:catAx>
        <c:axId val="10354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545472"/>
        <c:crosses val="autoZero"/>
        <c:auto val="1"/>
        <c:lblAlgn val="ctr"/>
        <c:lblOffset val="100"/>
        <c:noMultiLvlLbl val="0"/>
      </c:catAx>
      <c:valAx>
        <c:axId val="10354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54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Kyanja-Kisaasi'!$C$60:$N$60</c:f>
              <c:numCache>
                <c:formatCode>0.00%</c:formatCode>
                <c:ptCount val="12"/>
                <c:pt idx="0">
                  <c:v>0.5707879564381807</c:v>
                </c:pt>
                <c:pt idx="1">
                  <c:v>0.20350202861413624</c:v>
                </c:pt>
                <c:pt idx="2">
                  <c:v>6.2139654067905191E-2</c:v>
                </c:pt>
                <c:pt idx="3">
                  <c:v>0.12491992312620115</c:v>
                </c:pt>
                <c:pt idx="4">
                  <c:v>8.5415332052103351E-4</c:v>
                </c:pt>
                <c:pt idx="5">
                  <c:v>6.406149903907751E-4</c:v>
                </c:pt>
                <c:pt idx="6">
                  <c:v>2.3489216314328421E-2</c:v>
                </c:pt>
                <c:pt idx="7">
                  <c:v>8.7550715353405945E-3</c:v>
                </c:pt>
                <c:pt idx="8">
                  <c:v>4.0572282724749094E-3</c:v>
                </c:pt>
                <c:pt idx="9">
                  <c:v>8.5415332052103351E-4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Kisaasi-Kyanja'!$AE$9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Kisaasi-Kyanja'!$AE$10:$AE$21</c:f>
              <c:numCache>
                <c:formatCode>0</c:formatCode>
                <c:ptCount val="12"/>
                <c:pt idx="0">
                  <c:v>128</c:v>
                </c:pt>
                <c:pt idx="1">
                  <c:v>237</c:v>
                </c:pt>
                <c:pt idx="2">
                  <c:v>265</c:v>
                </c:pt>
                <c:pt idx="3">
                  <c:v>334</c:v>
                </c:pt>
                <c:pt idx="4">
                  <c:v>332</c:v>
                </c:pt>
                <c:pt idx="5">
                  <c:v>420</c:v>
                </c:pt>
                <c:pt idx="6">
                  <c:v>488</c:v>
                </c:pt>
                <c:pt idx="7">
                  <c:v>536</c:v>
                </c:pt>
                <c:pt idx="8">
                  <c:v>422</c:v>
                </c:pt>
                <c:pt idx="9">
                  <c:v>478</c:v>
                </c:pt>
                <c:pt idx="10">
                  <c:v>495</c:v>
                </c:pt>
                <c:pt idx="11">
                  <c:v>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Kisaasi-Kyanja'!$AF$9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Kisaasi-Kyanja'!$AF$10:$AF$21</c:f>
              <c:numCache>
                <c:formatCode>0</c:formatCode>
                <c:ptCount val="12"/>
                <c:pt idx="0">
                  <c:v>271</c:v>
                </c:pt>
                <c:pt idx="1">
                  <c:v>545</c:v>
                </c:pt>
                <c:pt idx="2">
                  <c:v>512</c:v>
                </c:pt>
                <c:pt idx="3">
                  <c:v>608</c:v>
                </c:pt>
                <c:pt idx="4">
                  <c:v>559</c:v>
                </c:pt>
                <c:pt idx="5">
                  <c:v>784</c:v>
                </c:pt>
                <c:pt idx="6">
                  <c:v>769</c:v>
                </c:pt>
                <c:pt idx="7">
                  <c:v>806</c:v>
                </c:pt>
                <c:pt idx="8">
                  <c:v>789</c:v>
                </c:pt>
                <c:pt idx="9">
                  <c:v>750</c:v>
                </c:pt>
                <c:pt idx="10">
                  <c:v>789</c:v>
                </c:pt>
                <c:pt idx="11">
                  <c:v>785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783808"/>
        <c:axId val="103843328"/>
      </c:lineChart>
      <c:catAx>
        <c:axId val="103783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843328"/>
        <c:crosses val="autoZero"/>
        <c:auto val="1"/>
        <c:lblAlgn val="ctr"/>
        <c:lblOffset val="100"/>
        <c:noMultiLvlLbl val="0"/>
      </c:catAx>
      <c:valAx>
        <c:axId val="103843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78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Kisaasi-Kyanja'!$C$59:$N$59</c:f>
              <c:numCache>
                <c:formatCode>0.0%</c:formatCode>
                <c:ptCount val="12"/>
                <c:pt idx="0">
                  <c:v>0.2610769423873478</c:v>
                </c:pt>
                <c:pt idx="1">
                  <c:v>0.17221036776703905</c:v>
                </c:pt>
                <c:pt idx="2">
                  <c:v>2.3973892305761264E-2</c:v>
                </c:pt>
                <c:pt idx="3">
                  <c:v>9.727626459143969E-2</c:v>
                </c:pt>
                <c:pt idx="4">
                  <c:v>1.2551776076314799E-4</c:v>
                </c:pt>
                <c:pt idx="5">
                  <c:v>0</c:v>
                </c:pt>
                <c:pt idx="6">
                  <c:v>2.1965608133550897E-2</c:v>
                </c:pt>
                <c:pt idx="7">
                  <c:v>2.1338019329735156E-3</c:v>
                </c:pt>
                <c:pt idx="8">
                  <c:v>2.3848374544998118E-3</c:v>
                </c:pt>
                <c:pt idx="9">
                  <c:v>1.2551776076314799E-4</c:v>
                </c:pt>
                <c:pt idx="10">
                  <c:v>0.41872724990586169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15"/>
          <c:y val="2.29602266373238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Kisaasi-Kyanja'!$S$9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Kisaasi-Kyanja'!$S$10:$S$21</c:f>
              <c:numCache>
                <c:formatCode>0</c:formatCode>
                <c:ptCount val="12"/>
                <c:pt idx="0">
                  <c:v>44</c:v>
                </c:pt>
                <c:pt idx="1">
                  <c:v>90</c:v>
                </c:pt>
                <c:pt idx="2">
                  <c:v>104</c:v>
                </c:pt>
                <c:pt idx="3">
                  <c:v>130</c:v>
                </c:pt>
                <c:pt idx="4">
                  <c:v>144</c:v>
                </c:pt>
                <c:pt idx="5">
                  <c:v>190</c:v>
                </c:pt>
                <c:pt idx="6">
                  <c:v>185</c:v>
                </c:pt>
                <c:pt idx="7">
                  <c:v>322</c:v>
                </c:pt>
                <c:pt idx="8">
                  <c:v>227</c:v>
                </c:pt>
                <c:pt idx="9">
                  <c:v>231</c:v>
                </c:pt>
                <c:pt idx="10">
                  <c:v>207</c:v>
                </c:pt>
                <c:pt idx="11">
                  <c:v>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Kisaasi-Kyanja'!$T$9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Kisaasi-Kyanja'!$R$10:$R$21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Kisaasi-Kyanja'!$T$10:$T$21</c:f>
              <c:numCache>
                <c:formatCode>0</c:formatCode>
                <c:ptCount val="12"/>
                <c:pt idx="0">
                  <c:v>17</c:v>
                </c:pt>
                <c:pt idx="1">
                  <c:v>41</c:v>
                </c:pt>
                <c:pt idx="2">
                  <c:v>66</c:v>
                </c:pt>
                <c:pt idx="3">
                  <c:v>102</c:v>
                </c:pt>
                <c:pt idx="4">
                  <c:v>98</c:v>
                </c:pt>
                <c:pt idx="5">
                  <c:v>125</c:v>
                </c:pt>
                <c:pt idx="6">
                  <c:v>189</c:v>
                </c:pt>
                <c:pt idx="7">
                  <c:v>116</c:v>
                </c:pt>
                <c:pt idx="8">
                  <c:v>92</c:v>
                </c:pt>
                <c:pt idx="9">
                  <c:v>137</c:v>
                </c:pt>
                <c:pt idx="10">
                  <c:v>194</c:v>
                </c:pt>
                <c:pt idx="11">
                  <c:v>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Kisaasi-Kyanja'!$U$9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Kisaasi-Kyanja'!$U$10:$U$21</c:f>
              <c:numCache>
                <c:formatCode>0</c:formatCode>
                <c:ptCount val="12"/>
                <c:pt idx="0">
                  <c:v>4</c:v>
                </c:pt>
                <c:pt idx="1">
                  <c:v>16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18</c:v>
                </c:pt>
                <c:pt idx="6">
                  <c:v>19</c:v>
                </c:pt>
                <c:pt idx="7">
                  <c:v>23</c:v>
                </c:pt>
                <c:pt idx="8">
                  <c:v>18</c:v>
                </c:pt>
                <c:pt idx="9">
                  <c:v>22</c:v>
                </c:pt>
                <c:pt idx="10">
                  <c:v>24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Kisaasi-Kyanja'!$V$9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Kisaasi-Kyanja'!$V$10:$V$21</c:f>
              <c:numCache>
                <c:formatCode>0</c:formatCode>
                <c:ptCount val="12"/>
                <c:pt idx="0">
                  <c:v>53</c:v>
                </c:pt>
                <c:pt idx="1">
                  <c:v>78</c:v>
                </c:pt>
                <c:pt idx="2">
                  <c:v>58</c:v>
                </c:pt>
                <c:pt idx="3">
                  <c:v>75</c:v>
                </c:pt>
                <c:pt idx="4">
                  <c:v>63</c:v>
                </c:pt>
                <c:pt idx="5">
                  <c:v>68</c:v>
                </c:pt>
                <c:pt idx="6">
                  <c:v>72</c:v>
                </c:pt>
                <c:pt idx="7">
                  <c:v>55</c:v>
                </c:pt>
                <c:pt idx="8">
                  <c:v>74</c:v>
                </c:pt>
                <c:pt idx="9">
                  <c:v>61</c:v>
                </c:pt>
                <c:pt idx="10">
                  <c:v>46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Kisaasi-Kyanja'!$W$9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Kisaasi-Kyanja'!$X$9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Kisaasi-Kyanja'!$Y$9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Kisaasi-Kyanja'!$Y$10:$Y$21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22</c:v>
                </c:pt>
                <c:pt idx="3">
                  <c:v>12</c:v>
                </c:pt>
                <c:pt idx="4">
                  <c:v>12</c:v>
                </c:pt>
                <c:pt idx="5">
                  <c:v>19</c:v>
                </c:pt>
                <c:pt idx="6">
                  <c:v>19</c:v>
                </c:pt>
                <c:pt idx="7">
                  <c:v>16</c:v>
                </c:pt>
                <c:pt idx="8">
                  <c:v>5</c:v>
                </c:pt>
                <c:pt idx="9">
                  <c:v>24</c:v>
                </c:pt>
                <c:pt idx="10">
                  <c:v>20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Kisaasi-Kyanja'!$Z$9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Kisaasi-Kyanja'!$AA$9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Kisaasi-Kyanja'!$AA$10:$AA$21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Kisaasi-Kyanja'!$AB$9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Kisaasi-Kyanja'!$AC$9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Kisaasi-Kyanja'!$AC$10:$AC$21</c:f>
              <c:numCache>
                <c:formatCode>0</c:formatCode>
                <c:ptCount val="12"/>
                <c:pt idx="0">
                  <c:v>143</c:v>
                </c:pt>
                <c:pt idx="1">
                  <c:v>308</c:v>
                </c:pt>
                <c:pt idx="2">
                  <c:v>247</c:v>
                </c:pt>
                <c:pt idx="3">
                  <c:v>274</c:v>
                </c:pt>
                <c:pt idx="4">
                  <c:v>227</c:v>
                </c:pt>
                <c:pt idx="5">
                  <c:v>364</c:v>
                </c:pt>
                <c:pt idx="6">
                  <c:v>281</c:v>
                </c:pt>
                <c:pt idx="7">
                  <c:v>270</c:v>
                </c:pt>
                <c:pt idx="8">
                  <c:v>367</c:v>
                </c:pt>
                <c:pt idx="9">
                  <c:v>272</c:v>
                </c:pt>
                <c:pt idx="10">
                  <c:v>294</c:v>
                </c:pt>
                <c:pt idx="11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Kisaasi-Kyanja'!$AD$9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Kisaasi-Kyanja'!$AD$10:$AD$21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05088"/>
        <c:axId val="104106624"/>
      </c:lineChart>
      <c:catAx>
        <c:axId val="10410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106624"/>
        <c:crosses val="autoZero"/>
        <c:auto val="1"/>
        <c:lblAlgn val="ctr"/>
        <c:lblOffset val="100"/>
        <c:noMultiLvlLbl val="0"/>
      </c:catAx>
      <c:valAx>
        <c:axId val="1041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10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Kisaasi-Kyanja'!$C$60:$N$60</c:f>
              <c:numCache>
                <c:formatCode>0.00%</c:formatCode>
                <c:ptCount val="12"/>
                <c:pt idx="0">
                  <c:v>0.44914705247246817</c:v>
                </c:pt>
                <c:pt idx="1">
                  <c:v>0.2962643057654934</c:v>
                </c:pt>
                <c:pt idx="2">
                  <c:v>4.1243791837616069E-2</c:v>
                </c:pt>
                <c:pt idx="3">
                  <c:v>0.16735046426257827</c:v>
                </c:pt>
                <c:pt idx="4">
                  <c:v>2.1593608291945585E-4</c:v>
                </c:pt>
                <c:pt idx="5">
                  <c:v>0</c:v>
                </c:pt>
                <c:pt idx="6">
                  <c:v>3.7788814510904774E-2</c:v>
                </c:pt>
                <c:pt idx="7">
                  <c:v>3.6709134096307495E-3</c:v>
                </c:pt>
                <c:pt idx="8">
                  <c:v>4.1027855754696609E-3</c:v>
                </c:pt>
                <c:pt idx="9">
                  <c:v>2.1593608291945585E-4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Kyanja-Kisaasi'!$AE$9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Kyanja-Kisaasi'!$R$10:$R$33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Kyanja-Kisaasi'!$AE$10:$AE$33</c:f>
              <c:numCache>
                <c:formatCode>0</c:formatCode>
                <c:ptCount val="24"/>
                <c:pt idx="0">
                  <c:v>426.14285714285711</c:v>
                </c:pt>
                <c:pt idx="1">
                  <c:v>591.85714285714289</c:v>
                </c:pt>
                <c:pt idx="2">
                  <c:v>490.28571428571428</c:v>
                </c:pt>
                <c:pt idx="3">
                  <c:v>456.71428571428567</c:v>
                </c:pt>
                <c:pt idx="4">
                  <c:v>479.00000000000006</c:v>
                </c:pt>
                <c:pt idx="5">
                  <c:v>403.14285714285711</c:v>
                </c:pt>
                <c:pt idx="6">
                  <c:v>397.71428571428572</c:v>
                </c:pt>
                <c:pt idx="7">
                  <c:v>415.57142857142861</c:v>
                </c:pt>
                <c:pt idx="8">
                  <c:v>394.71428571428567</c:v>
                </c:pt>
                <c:pt idx="9">
                  <c:v>433.14285714285711</c:v>
                </c:pt>
                <c:pt idx="10">
                  <c:v>552.85714285714289</c:v>
                </c:pt>
                <c:pt idx="11">
                  <c:v>591.42857142857133</c:v>
                </c:pt>
                <c:pt idx="12">
                  <c:v>501.21428571428567</c:v>
                </c:pt>
                <c:pt idx="13">
                  <c:v>447.07142857142856</c:v>
                </c:pt>
                <c:pt idx="14">
                  <c:v>373.21428571428567</c:v>
                </c:pt>
                <c:pt idx="15">
                  <c:v>299.5</c:v>
                </c:pt>
                <c:pt idx="16">
                  <c:v>329.5</c:v>
                </c:pt>
                <c:pt idx="17">
                  <c:v>321.5</c:v>
                </c:pt>
                <c:pt idx="18">
                  <c:v>316.5</c:v>
                </c:pt>
                <c:pt idx="19">
                  <c:v>276.5</c:v>
                </c:pt>
                <c:pt idx="20">
                  <c:v>291.5</c:v>
                </c:pt>
                <c:pt idx="21">
                  <c:v>322.5</c:v>
                </c:pt>
                <c:pt idx="22">
                  <c:v>318</c:v>
                </c:pt>
                <c:pt idx="23">
                  <c:v>344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Kyanja-Kisaasi'!$AF$9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Kyanja-Kisaasi'!$R$10:$R$33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Kyanja-Kisaasi'!$AF$10:$AF$33</c:f>
              <c:numCache>
                <c:formatCode>0</c:formatCode>
                <c:ptCount val="24"/>
                <c:pt idx="0">
                  <c:v>891.85714285714266</c:v>
                </c:pt>
                <c:pt idx="1">
                  <c:v>1094.5714285714284</c:v>
                </c:pt>
                <c:pt idx="2">
                  <c:v>968.14285714285711</c:v>
                </c:pt>
                <c:pt idx="3">
                  <c:v>797.42857142857133</c:v>
                </c:pt>
                <c:pt idx="4">
                  <c:v>827.57142857142867</c:v>
                </c:pt>
                <c:pt idx="5">
                  <c:v>736.28571428571422</c:v>
                </c:pt>
                <c:pt idx="6">
                  <c:v>711.42857142857156</c:v>
                </c:pt>
                <c:pt idx="7">
                  <c:v>748.57142857142856</c:v>
                </c:pt>
                <c:pt idx="8">
                  <c:v>725.85714285714289</c:v>
                </c:pt>
                <c:pt idx="9">
                  <c:v>795.28571428571422</c:v>
                </c:pt>
                <c:pt idx="10">
                  <c:v>961.14285714285711</c:v>
                </c:pt>
                <c:pt idx="11">
                  <c:v>1034.7142857142858</c:v>
                </c:pt>
                <c:pt idx="12">
                  <c:v>918.21428571428567</c:v>
                </c:pt>
                <c:pt idx="13">
                  <c:v>868.57142857142856</c:v>
                </c:pt>
                <c:pt idx="14">
                  <c:v>867.07142857142856</c:v>
                </c:pt>
                <c:pt idx="15">
                  <c:v>785</c:v>
                </c:pt>
                <c:pt idx="16">
                  <c:v>824</c:v>
                </c:pt>
                <c:pt idx="17">
                  <c:v>800</c:v>
                </c:pt>
                <c:pt idx="18">
                  <c:v>713.5</c:v>
                </c:pt>
                <c:pt idx="19">
                  <c:v>670</c:v>
                </c:pt>
                <c:pt idx="20">
                  <c:v>695.5</c:v>
                </c:pt>
                <c:pt idx="21">
                  <c:v>717.5</c:v>
                </c:pt>
                <c:pt idx="22">
                  <c:v>699.5</c:v>
                </c:pt>
                <c:pt idx="23">
                  <c:v>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36768"/>
        <c:axId val="104347136"/>
      </c:lineChart>
      <c:catAx>
        <c:axId val="104336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47136"/>
        <c:crosses val="autoZero"/>
        <c:auto val="1"/>
        <c:lblAlgn val="ctr"/>
        <c:lblOffset val="100"/>
        <c:noMultiLvlLbl val="0"/>
      </c:catAx>
      <c:valAx>
        <c:axId val="104347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3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Kyanja-Kisaasi'!$C$107:$N$107</c:f>
              <c:numCache>
                <c:formatCode>0.0%</c:formatCode>
                <c:ptCount val="12"/>
                <c:pt idx="0">
                  <c:v>0.26686694021101987</c:v>
                </c:pt>
                <c:pt idx="1">
                  <c:v>0.1214097303634232</c:v>
                </c:pt>
                <c:pt idx="2">
                  <c:v>3.6190894880812799E-2</c:v>
                </c:pt>
                <c:pt idx="3">
                  <c:v>7.5605705353653754E-2</c:v>
                </c:pt>
                <c:pt idx="4">
                  <c:v>1.3237592809691287E-3</c:v>
                </c:pt>
                <c:pt idx="5">
                  <c:v>1.8561938257131687E-4</c:v>
                </c:pt>
                <c:pt idx="6">
                  <c:v>1.4151035560765921E-2</c:v>
                </c:pt>
                <c:pt idx="7">
                  <c:v>5.6662758890191458E-3</c:v>
                </c:pt>
                <c:pt idx="8">
                  <c:v>5.8665494333724104E-3</c:v>
                </c:pt>
                <c:pt idx="9">
                  <c:v>7.9620945681906964E-4</c:v>
                </c:pt>
                <c:pt idx="10">
                  <c:v>0.47191774130519731</c:v>
                </c:pt>
                <c:pt idx="11">
                  <c:v>1.9538882375928094E-5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001498679734506E-2"/>
          <c:y val="0.23855468066491689"/>
          <c:w val="0.82182781835050078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Kyanja-Kisaasi'!$C$9:$N$9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Kyanja-Kisaasi'!$C$108:$N$108</c:f>
              <c:numCache>
                <c:formatCode>0.00%</c:formatCode>
                <c:ptCount val="12"/>
                <c:pt idx="0">
                  <c:v>0.50535108085358305</c:v>
                </c:pt>
                <c:pt idx="1">
                  <c:v>0.22990685326846061</c:v>
                </c:pt>
                <c:pt idx="2">
                  <c:v>6.8532684605352001E-2</c:v>
                </c:pt>
                <c:pt idx="3">
                  <c:v>0.14317031884486955</c:v>
                </c:pt>
                <c:pt idx="4">
                  <c:v>2.5067293194831154E-3</c:v>
                </c:pt>
                <c:pt idx="5">
                  <c:v>3.5149710014892381E-4</c:v>
                </c:pt>
                <c:pt idx="6">
                  <c:v>2.6797028924511378E-2</c:v>
                </c:pt>
                <c:pt idx="7">
                  <c:v>1.0729911478230304E-2</c:v>
                </c:pt>
                <c:pt idx="8">
                  <c:v>1.1109158349443621E-2</c:v>
                </c:pt>
                <c:pt idx="9">
                  <c:v>1.5077375611651205E-3</c:v>
                </c:pt>
                <c:pt idx="11">
                  <c:v>3.6999694752518302E-5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Kisaasi-Kyanja'!$AE$9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Kisaasi-Kyanja'!$R$10:$R$33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Kisaasi-Kyanja'!$AE$10:$AE$33</c:f>
              <c:numCache>
                <c:formatCode>0</c:formatCode>
                <c:ptCount val="24"/>
                <c:pt idx="0">
                  <c:v>454</c:v>
                </c:pt>
                <c:pt idx="1">
                  <c:v>485.85714285714289</c:v>
                </c:pt>
                <c:pt idx="2">
                  <c:v>438.71428571428567</c:v>
                </c:pt>
                <c:pt idx="3">
                  <c:v>413.85714285714283</c:v>
                </c:pt>
                <c:pt idx="4">
                  <c:v>358.14285714285717</c:v>
                </c:pt>
                <c:pt idx="5">
                  <c:v>361.14285714285711</c:v>
                </c:pt>
                <c:pt idx="6">
                  <c:v>354.57142857142856</c:v>
                </c:pt>
                <c:pt idx="7">
                  <c:v>381.42857142857144</c:v>
                </c:pt>
                <c:pt idx="8">
                  <c:v>373.85714285714289</c:v>
                </c:pt>
                <c:pt idx="9">
                  <c:v>459.71428571428567</c:v>
                </c:pt>
                <c:pt idx="10">
                  <c:v>490.28571428571428</c:v>
                </c:pt>
                <c:pt idx="11">
                  <c:v>463.28571428571428</c:v>
                </c:pt>
                <c:pt idx="12">
                  <c:v>718</c:v>
                </c:pt>
                <c:pt idx="13">
                  <c:v>427.5</c:v>
                </c:pt>
                <c:pt idx="14">
                  <c:v>469.5</c:v>
                </c:pt>
                <c:pt idx="15">
                  <c:v>394.5</c:v>
                </c:pt>
                <c:pt idx="16">
                  <c:v>274.5</c:v>
                </c:pt>
                <c:pt idx="17">
                  <c:v>199.5</c:v>
                </c:pt>
                <c:pt idx="18">
                  <c:v>98.5</c:v>
                </c:pt>
                <c:pt idx="19">
                  <c:v>70</c:v>
                </c:pt>
                <c:pt idx="20">
                  <c:v>40</c:v>
                </c:pt>
                <c:pt idx="21">
                  <c:v>34.5</c:v>
                </c:pt>
                <c:pt idx="22">
                  <c:v>66</c:v>
                </c:pt>
                <c:pt idx="23">
                  <c:v>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Kisaasi-Kyanja'!$AF$9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Kisaasi-Kyanja'!$R$10:$R$33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Kisaasi-Kyanja'!$AF$10:$AF$33</c:f>
              <c:numCache>
                <c:formatCode>0</c:formatCode>
                <c:ptCount val="24"/>
                <c:pt idx="0">
                  <c:v>991.42857142857133</c:v>
                </c:pt>
                <c:pt idx="1">
                  <c:v>1128.8571428571429</c:v>
                </c:pt>
                <c:pt idx="2">
                  <c:v>1057</c:v>
                </c:pt>
                <c:pt idx="3">
                  <c:v>939.71428571428578</c:v>
                </c:pt>
                <c:pt idx="4">
                  <c:v>831.28571428571433</c:v>
                </c:pt>
                <c:pt idx="5">
                  <c:v>757.42857142857133</c:v>
                </c:pt>
                <c:pt idx="6">
                  <c:v>760</c:v>
                </c:pt>
                <c:pt idx="7">
                  <c:v>754.85714285714289</c:v>
                </c:pt>
                <c:pt idx="8">
                  <c:v>796.28571428571433</c:v>
                </c:pt>
                <c:pt idx="9">
                  <c:v>924.57142857142867</c:v>
                </c:pt>
                <c:pt idx="10">
                  <c:v>1019.4285714285714</c:v>
                </c:pt>
                <c:pt idx="11">
                  <c:v>1041.2857142857142</c:v>
                </c:pt>
                <c:pt idx="12">
                  <c:v>1089.5</c:v>
                </c:pt>
                <c:pt idx="13">
                  <c:v>809.5</c:v>
                </c:pt>
                <c:pt idx="14">
                  <c:v>838.5</c:v>
                </c:pt>
                <c:pt idx="15">
                  <c:v>661</c:v>
                </c:pt>
                <c:pt idx="16">
                  <c:v>442.5</c:v>
                </c:pt>
                <c:pt idx="17">
                  <c:v>334</c:v>
                </c:pt>
                <c:pt idx="18">
                  <c:v>177.5</c:v>
                </c:pt>
                <c:pt idx="19">
                  <c:v>131.5</c:v>
                </c:pt>
                <c:pt idx="20">
                  <c:v>75.5</c:v>
                </c:pt>
                <c:pt idx="21">
                  <c:v>69</c:v>
                </c:pt>
                <c:pt idx="22">
                  <c:v>132</c:v>
                </c:pt>
                <c:pt idx="23">
                  <c:v>69.5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84640"/>
        <c:axId val="107300352"/>
      </c:lineChart>
      <c:catAx>
        <c:axId val="1051846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300352"/>
        <c:crosses val="autoZero"/>
        <c:auto val="1"/>
        <c:lblAlgn val="ctr"/>
        <c:lblOffset val="100"/>
        <c:noMultiLvlLbl val="0"/>
      </c:catAx>
      <c:valAx>
        <c:axId val="107300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518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Kisaasi-Kyanja'!$C$107:$N$107</c:f>
              <c:numCache>
                <c:formatCode>0.0%</c:formatCode>
                <c:ptCount val="12"/>
                <c:pt idx="0">
                  <c:v>0.24980374464245436</c:v>
                </c:pt>
                <c:pt idx="1">
                  <c:v>0.10937965260545905</c:v>
                </c:pt>
                <c:pt idx="2">
                  <c:v>2.8766072637040372E-2</c:v>
                </c:pt>
                <c:pt idx="3">
                  <c:v>7.6882472366343324E-2</c:v>
                </c:pt>
                <c:pt idx="4">
                  <c:v>7.7599819535303395E-4</c:v>
                </c:pt>
                <c:pt idx="5">
                  <c:v>1.0376720054139408E-4</c:v>
                </c:pt>
                <c:pt idx="6">
                  <c:v>1.7464471012858109E-2</c:v>
                </c:pt>
                <c:pt idx="7">
                  <c:v>6.9388675840288726E-3</c:v>
                </c:pt>
                <c:pt idx="8">
                  <c:v>5.7974283780735389E-3</c:v>
                </c:pt>
                <c:pt idx="9">
                  <c:v>1.0060906835100386E-3</c:v>
                </c:pt>
                <c:pt idx="10">
                  <c:v>0.50304534175501903</c:v>
                </c:pt>
                <c:pt idx="11">
                  <c:v>3.6092939318745764E-5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6669188889633209E-2"/>
          <c:y val="0.23577690288713909"/>
          <c:w val="0.82182778444280691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Kisaasi-Kyanja'!$C$9:$N$9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Kisaasi-Kyanja'!$C$108:$N$108</c:f>
              <c:numCache>
                <c:formatCode>0.00%</c:formatCode>
                <c:ptCount val="12"/>
                <c:pt idx="0">
                  <c:v>0.50266908760780771</c:v>
                </c:pt>
                <c:pt idx="1">
                  <c:v>0.22009986382206084</c:v>
                </c:pt>
                <c:pt idx="2">
                  <c:v>5.7884702678166138E-2</c:v>
                </c:pt>
                <c:pt idx="3">
                  <c:v>0.15470721743077623</c:v>
                </c:pt>
                <c:pt idx="4">
                  <c:v>1.5615070358601906E-3</c:v>
                </c:pt>
                <c:pt idx="5">
                  <c:v>2.0880617339990922E-4</c:v>
                </c:pt>
                <c:pt idx="6">
                  <c:v>3.5142986836132546E-2</c:v>
                </c:pt>
                <c:pt idx="7">
                  <c:v>1.3962778029959147E-2</c:v>
                </c:pt>
                <c:pt idx="8">
                  <c:v>1.1665910122560148E-2</c:v>
                </c:pt>
                <c:pt idx="9">
                  <c:v>2.0245120290512944E-3</c:v>
                </c:pt>
                <c:pt idx="11">
                  <c:v>7.2628234226055377E-5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Kyanja-Kisaasi-2Dir'!$C$9:$N$9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Kyanja-Kisaasi-2Dir'!$C$107:$N$107</c:f>
              <c:numCache>
                <c:formatCode>0.0%</c:formatCode>
                <c:ptCount val="12"/>
                <c:pt idx="0">
                  <c:v>0.25799657574407198</c:v>
                </c:pt>
                <c:pt idx="1">
                  <c:v>0.11515585055233718</c:v>
                </c:pt>
                <c:pt idx="2">
                  <c:v>3.2331073949855758E-2</c:v>
                </c:pt>
                <c:pt idx="3">
                  <c:v>7.6269437343152668E-2</c:v>
                </c:pt>
                <c:pt idx="4">
                  <c:v>1.0390036822478131E-3</c:v>
                </c:pt>
                <c:pt idx="5">
                  <c:v>1.4306822712667396E-4</c:v>
                </c:pt>
                <c:pt idx="6">
                  <c:v>1.5873537068743112E-2</c:v>
                </c:pt>
                <c:pt idx="7">
                  <c:v>6.3278373243896135E-3</c:v>
                </c:pt>
                <c:pt idx="8">
                  <c:v>5.8306166006051076E-3</c:v>
                </c:pt>
                <c:pt idx="9">
                  <c:v>9.0531697821141267E-4</c:v>
                </c:pt>
                <c:pt idx="10">
                  <c:v>0.48809953795998789</c:v>
                </c:pt>
                <c:pt idx="11">
                  <c:v>2.8144569270821112E-5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33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Kyanja-Kisaasi-2Dir'!$C$9:$N$9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Kyanja-Kisaasi-2Dir'!$C$108:$N$108</c:f>
              <c:numCache>
                <c:formatCode>0.00%</c:formatCode>
                <c:ptCount val="12"/>
                <c:pt idx="0">
                  <c:v>0.50399754420207177</c:v>
                </c:pt>
                <c:pt idx="1">
                  <c:v>0.22495750461607542</c:v>
                </c:pt>
                <c:pt idx="2">
                  <c:v>6.3158907536458975E-2</c:v>
                </c:pt>
                <c:pt idx="3">
                  <c:v>0.14899271049532897</c:v>
                </c:pt>
                <c:pt idx="4">
                  <c:v>2.0296986607654215E-3</c:v>
                </c:pt>
                <c:pt idx="5">
                  <c:v>2.7948446570359064E-4</c:v>
                </c:pt>
                <c:pt idx="6">
                  <c:v>3.1009030555441019E-2</c:v>
                </c:pt>
                <c:pt idx="7">
                  <c:v>1.2361460466693237E-2</c:v>
                </c:pt>
                <c:pt idx="8">
                  <c:v>1.1390137405559449E-2</c:v>
                </c:pt>
                <c:pt idx="9">
                  <c:v>1.7685410452719019E-3</c:v>
                </c:pt>
                <c:pt idx="11">
                  <c:v>5.4980550630214553E-5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Kyanja-Kisaasi-2Dir'!$AE$9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Kyanja-Kisaasi-2Dir'!$R$10:$R$33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Kyanja-Kisaasi-2Dir'!$AE$10:$AE$33</c:f>
              <c:numCache>
                <c:formatCode>0</c:formatCode>
                <c:ptCount val="24"/>
                <c:pt idx="0">
                  <c:v>880.14285714285722</c:v>
                </c:pt>
                <c:pt idx="1">
                  <c:v>1077.7142857142856</c:v>
                </c:pt>
                <c:pt idx="2">
                  <c:v>929</c:v>
                </c:pt>
                <c:pt idx="3">
                  <c:v>870.57142857142856</c:v>
                </c:pt>
                <c:pt idx="4">
                  <c:v>837.142857142857</c:v>
                </c:pt>
                <c:pt idx="5">
                  <c:v>764.28571428571422</c:v>
                </c:pt>
                <c:pt idx="6">
                  <c:v>752.28571428571422</c:v>
                </c:pt>
                <c:pt idx="7">
                  <c:v>797</c:v>
                </c:pt>
                <c:pt idx="8">
                  <c:v>768.57142857142844</c:v>
                </c:pt>
                <c:pt idx="9">
                  <c:v>892.85714285714278</c:v>
                </c:pt>
                <c:pt idx="10">
                  <c:v>1043.1428571428573</c:v>
                </c:pt>
                <c:pt idx="11">
                  <c:v>1054.7142857142856</c:v>
                </c:pt>
                <c:pt idx="12">
                  <c:v>1017.5</c:v>
                </c:pt>
                <c:pt idx="13">
                  <c:v>1021</c:v>
                </c:pt>
                <c:pt idx="14">
                  <c:v>939.5</c:v>
                </c:pt>
                <c:pt idx="15">
                  <c:v>852</c:v>
                </c:pt>
                <c:pt idx="16">
                  <c:v>704</c:v>
                </c:pt>
                <c:pt idx="17">
                  <c:v>726.5</c:v>
                </c:pt>
                <c:pt idx="18">
                  <c:v>745.5</c:v>
                </c:pt>
                <c:pt idx="19">
                  <c:v>722</c:v>
                </c:pt>
                <c:pt idx="20">
                  <c:v>813.5</c:v>
                </c:pt>
                <c:pt idx="21">
                  <c:v>806.5</c:v>
                </c:pt>
                <c:pt idx="22">
                  <c:v>786.5</c:v>
                </c:pt>
                <c:pt idx="23">
                  <c:v>778.5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Kyanja-Kisaasi-2Dir'!$AF$9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Kyanja-Kisaasi-2Dir'!$R$10:$R$33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Kyanja-Kisaasi-2Dir'!$AF$10:$AF$33</c:f>
              <c:numCache>
                <c:formatCode>0</c:formatCode>
                <c:ptCount val="24"/>
                <c:pt idx="0">
                  <c:v>1883.2857142857142</c:v>
                </c:pt>
                <c:pt idx="1">
                  <c:v>2223.4285714285716</c:v>
                </c:pt>
                <c:pt idx="2">
                  <c:v>2025.1428571428569</c:v>
                </c:pt>
                <c:pt idx="3">
                  <c:v>1737.1428571428571</c:v>
                </c:pt>
                <c:pt idx="4">
                  <c:v>1658.8571428571427</c:v>
                </c:pt>
                <c:pt idx="5">
                  <c:v>1493.7142857142858</c:v>
                </c:pt>
                <c:pt idx="6">
                  <c:v>1471.4285714285713</c:v>
                </c:pt>
                <c:pt idx="7">
                  <c:v>1503.4285714285713</c:v>
                </c:pt>
                <c:pt idx="8">
                  <c:v>1522.1428571428569</c:v>
                </c:pt>
                <c:pt idx="9">
                  <c:v>1719.8571428571429</c:v>
                </c:pt>
                <c:pt idx="10">
                  <c:v>1980.5714285714287</c:v>
                </c:pt>
                <c:pt idx="11">
                  <c:v>2076</c:v>
                </c:pt>
                <c:pt idx="12">
                  <c:v>1874.5</c:v>
                </c:pt>
                <c:pt idx="13">
                  <c:v>1900.5</c:v>
                </c:pt>
                <c:pt idx="14">
                  <c:v>1839.5</c:v>
                </c:pt>
                <c:pt idx="15">
                  <c:v>1653</c:v>
                </c:pt>
                <c:pt idx="16">
                  <c:v>1479.5</c:v>
                </c:pt>
                <c:pt idx="17">
                  <c:v>1535</c:v>
                </c:pt>
                <c:pt idx="18">
                  <c:v>1521</c:v>
                </c:pt>
                <c:pt idx="19">
                  <c:v>1466.5</c:v>
                </c:pt>
                <c:pt idx="20">
                  <c:v>1538.5</c:v>
                </c:pt>
                <c:pt idx="21">
                  <c:v>1491.5</c:v>
                </c:pt>
                <c:pt idx="22">
                  <c:v>1421.5</c:v>
                </c:pt>
                <c:pt idx="23">
                  <c:v>1397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Kyanja-Kisaasi-2Dir'!$AC$9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Kyanja-Kisaasi-2Dir'!$R$10:$R$33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Kyanja-Kisaasi-2Dir'!$AC$10:$AC$33</c:f>
              <c:numCache>
                <c:formatCode>0</c:formatCode>
                <c:ptCount val="24"/>
                <c:pt idx="0">
                  <c:v>1003.1428571428572</c:v>
                </c:pt>
                <c:pt idx="1">
                  <c:v>1145.7142857142858</c:v>
                </c:pt>
                <c:pt idx="2">
                  <c:v>1096.1428571428571</c:v>
                </c:pt>
                <c:pt idx="3">
                  <c:v>866.57142857142867</c:v>
                </c:pt>
                <c:pt idx="4">
                  <c:v>821.71428571428578</c:v>
                </c:pt>
                <c:pt idx="5">
                  <c:v>729.42857142857156</c:v>
                </c:pt>
                <c:pt idx="6">
                  <c:v>719.14285714285711</c:v>
                </c:pt>
                <c:pt idx="7">
                  <c:v>706.42857142857133</c:v>
                </c:pt>
                <c:pt idx="8">
                  <c:v>753.57142857142856</c:v>
                </c:pt>
                <c:pt idx="9">
                  <c:v>827</c:v>
                </c:pt>
                <c:pt idx="10">
                  <c:v>937.42857142857144</c:v>
                </c:pt>
                <c:pt idx="11">
                  <c:v>1021.2857142857144</c:v>
                </c:pt>
                <c:pt idx="12">
                  <c:v>857</c:v>
                </c:pt>
                <c:pt idx="13">
                  <c:v>879.5</c:v>
                </c:pt>
                <c:pt idx="14">
                  <c:v>900</c:v>
                </c:pt>
                <c:pt idx="15">
                  <c:v>801</c:v>
                </c:pt>
                <c:pt idx="16">
                  <c:v>775.5</c:v>
                </c:pt>
                <c:pt idx="17">
                  <c:v>808.5</c:v>
                </c:pt>
                <c:pt idx="18">
                  <c:v>775.5</c:v>
                </c:pt>
                <c:pt idx="19">
                  <c:v>744.5</c:v>
                </c:pt>
                <c:pt idx="20">
                  <c:v>725</c:v>
                </c:pt>
                <c:pt idx="21">
                  <c:v>685</c:v>
                </c:pt>
                <c:pt idx="22">
                  <c:v>635</c:v>
                </c:pt>
                <c:pt idx="23">
                  <c:v>618.5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64992"/>
        <c:axId val="108166528"/>
      </c:lineChart>
      <c:catAx>
        <c:axId val="108164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66528"/>
        <c:crosses val="autoZero"/>
        <c:auto val="1"/>
        <c:lblAlgn val="ctr"/>
        <c:lblOffset val="100"/>
        <c:noMultiLvlLbl val="0"/>
      </c:catAx>
      <c:valAx>
        <c:axId val="108166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6499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Kyanja-Kisaasi-2Dir'!$S$9:$AF$9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Kyanja-Kisaasi-2Dir'!$S$41:$AF$41</c:f>
              <c:numCache>
                <c:formatCode>_-* #,##0_-;\-* #,##0_-;_-* "-"_-;_-@_-</c:formatCode>
                <c:ptCount val="14"/>
                <c:pt idx="0">
                  <c:v>10319.285714285714</c:v>
                </c:pt>
                <c:pt idx="1">
                  <c:v>4647.5714285714284</c:v>
                </c:pt>
                <c:pt idx="2">
                  <c:v>1225.1428571428571</c:v>
                </c:pt>
                <c:pt idx="3">
                  <c:v>3259.7857142857142</c:v>
                </c:pt>
                <c:pt idx="4">
                  <c:v>34.142857142857139</c:v>
                </c:pt>
                <c:pt idx="5">
                  <c:v>4.8571428571428568</c:v>
                </c:pt>
                <c:pt idx="6">
                  <c:v>617.92857142857133</c:v>
                </c:pt>
                <c:pt idx="7">
                  <c:v>239.21428571428569</c:v>
                </c:pt>
                <c:pt idx="8">
                  <c:v>203.07142857142856</c:v>
                </c:pt>
                <c:pt idx="9">
                  <c:v>28.571428571428569</c:v>
                </c:pt>
                <c:pt idx="10">
                  <c:v>19832.571428571428</c:v>
                </c:pt>
                <c:pt idx="11">
                  <c:v>0.85714285714285698</c:v>
                </c:pt>
                <c:pt idx="12">
                  <c:v>20580.428571428572</c:v>
                </c:pt>
                <c:pt idx="13">
                  <c:v>40413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8178048"/>
        <c:axId val="108233088"/>
      </c:barChart>
      <c:catAx>
        <c:axId val="1081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33088"/>
        <c:crosses val="autoZero"/>
        <c:auto val="1"/>
        <c:lblAlgn val="ctr"/>
        <c:lblOffset val="100"/>
        <c:noMultiLvlLbl val="0"/>
      </c:catAx>
      <c:valAx>
        <c:axId val="10823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7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Kyanja-Kisaasi-2Dir'!$S$9:$AF$9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Kyanja-Kisaasi-2Dir'!$S$42:$AF$42</c:f>
              <c:numCache>
                <c:formatCode>0.000</c:formatCode>
                <c:ptCount val="14"/>
                <c:pt idx="0">
                  <c:v>1.9669698289946627</c:v>
                </c:pt>
                <c:pt idx="1">
                  <c:v>1.9425005970862192</c:v>
                </c:pt>
                <c:pt idx="2">
                  <c:v>1.7155431086217243</c:v>
                </c:pt>
                <c:pt idx="3">
                  <c:v>2.0256102973812693</c:v>
                </c:pt>
                <c:pt idx="4">
                  <c:v>1.6148648648648647</c:v>
                </c:pt>
                <c:pt idx="5">
                  <c:v>1.7000000000000002</c:v>
                </c:pt>
                <c:pt idx="6">
                  <c:v>1.6726604795050271</c:v>
                </c:pt>
                <c:pt idx="7">
                  <c:v>1.6530108588351433</c:v>
                </c:pt>
                <c:pt idx="8">
                  <c:v>1.3576886341929322</c:v>
                </c:pt>
                <c:pt idx="9">
                  <c:v>1.7241379310344829</c:v>
                </c:pt>
                <c:pt idx="10">
                  <c:v>1.8661433199360158</c:v>
                </c:pt>
                <c:pt idx="11">
                  <c:v>1</c:v>
                </c:pt>
                <c:pt idx="12">
                  <c:v>1.9292773730447828</c:v>
                </c:pt>
                <c:pt idx="13">
                  <c:v>1.8977694294435317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8253184"/>
        <c:axId val="108254720"/>
      </c:barChart>
      <c:catAx>
        <c:axId val="1082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54720"/>
        <c:crosses val="autoZero"/>
        <c:auto val="1"/>
        <c:lblAlgn val="ctr"/>
        <c:lblOffset val="100"/>
        <c:noMultiLvlLbl val="0"/>
      </c:catAx>
      <c:valAx>
        <c:axId val="1082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5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337461</xdr:colOff>
      <xdr:row>29</xdr:row>
      <xdr:rowOff>260349</xdr:rowOff>
    </xdr:from>
    <xdr:to>
      <xdr:col>26</xdr:col>
      <xdr:colOff>317501</xdr:colOff>
      <xdr:row>44</xdr:row>
      <xdr:rowOff>53524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956586</xdr:colOff>
      <xdr:row>29</xdr:row>
      <xdr:rowOff>196849</xdr:rowOff>
    </xdr:from>
    <xdr:to>
      <xdr:col>25</xdr:col>
      <xdr:colOff>682626</xdr:colOff>
      <xdr:row>43</xdr:row>
      <xdr:rowOff>275774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448586</xdr:colOff>
      <xdr:row>31</xdr:row>
      <xdr:rowOff>85724</xdr:rowOff>
    </xdr:from>
    <xdr:to>
      <xdr:col>26</xdr:col>
      <xdr:colOff>428626</xdr:colOff>
      <xdr:row>45</xdr:row>
      <xdr:rowOff>164649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555625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15875</xdr:colOff>
      <xdr:row>58</xdr:row>
      <xdr:rowOff>279400</xdr:rowOff>
    </xdr:from>
    <xdr:to>
      <xdr:col>31</xdr:col>
      <xdr:colOff>539750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59</xdr:row>
      <xdr:rowOff>0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74</xdr:row>
      <xdr:rowOff>279400</xdr:rowOff>
    </xdr:from>
    <xdr:to>
      <xdr:col>25</xdr:col>
      <xdr:colOff>0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25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59</xdr:row>
      <xdr:rowOff>0</xdr:rowOff>
    </xdr:from>
    <xdr:to>
      <xdr:col>31</xdr:col>
      <xdr:colOff>539750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75</xdr:row>
      <xdr:rowOff>0</xdr:rowOff>
    </xdr:from>
    <xdr:to>
      <xdr:col>31</xdr:col>
      <xdr:colOff>539750</xdr:colOff>
      <xdr:row>92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166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185</v>
      </c>
      <c r="E5" s="3"/>
      <c r="F5" s="41" t="s">
        <v>1</v>
      </c>
      <c r="G5" s="57" t="s">
        <v>183</v>
      </c>
      <c r="H5" s="58"/>
      <c r="I5" s="14"/>
      <c r="J5" s="2" t="s">
        <v>5</v>
      </c>
      <c r="K5" s="57" t="s">
        <v>179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167</v>
      </c>
      <c r="E6" s="58"/>
      <c r="F6" s="2" t="s">
        <v>2</v>
      </c>
      <c r="G6" s="57" t="s">
        <v>168</v>
      </c>
      <c r="H6" s="58"/>
      <c r="J6" s="2" t="s">
        <v>21</v>
      </c>
      <c r="K6" s="57" t="s">
        <v>170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33</v>
      </c>
      <c r="D10" s="50">
        <v>0</v>
      </c>
      <c r="E10" s="50">
        <v>2</v>
      </c>
      <c r="F10" s="50">
        <v>3</v>
      </c>
      <c r="G10" s="50">
        <v>0</v>
      </c>
      <c r="H10" s="50">
        <v>1</v>
      </c>
      <c r="I10" s="50">
        <v>0</v>
      </c>
      <c r="J10" s="50">
        <v>0</v>
      </c>
      <c r="K10" s="50">
        <v>4</v>
      </c>
      <c r="L10" s="50">
        <v>0</v>
      </c>
      <c r="M10" s="50">
        <v>55</v>
      </c>
      <c r="N10" s="50">
        <v>0</v>
      </c>
      <c r="O10" s="15">
        <f t="shared" ref="O10:O57" si="0">SUM(C10:L10,N10)</f>
        <v>43</v>
      </c>
      <c r="P10" s="15">
        <f t="shared" ref="P10:P57" si="1">SUM(C10:N10)</f>
        <v>98</v>
      </c>
      <c r="R10" s="1" t="s">
        <v>6</v>
      </c>
      <c r="S10" s="17">
        <f t="shared" ref="S10:AF10" si="2">SUM(C10:C13)</f>
        <v>151</v>
      </c>
      <c r="T10" s="17">
        <f t="shared" si="2"/>
        <v>62</v>
      </c>
      <c r="U10" s="17">
        <f t="shared" si="2"/>
        <v>24</v>
      </c>
      <c r="V10" s="17">
        <f t="shared" si="2"/>
        <v>70</v>
      </c>
      <c r="W10" s="17">
        <f t="shared" si="2"/>
        <v>1</v>
      </c>
      <c r="X10" s="17">
        <f t="shared" si="2"/>
        <v>1</v>
      </c>
      <c r="Y10" s="17">
        <f t="shared" si="2"/>
        <v>5</v>
      </c>
      <c r="Z10" s="17">
        <f t="shared" si="2"/>
        <v>2</v>
      </c>
      <c r="AA10" s="17">
        <f t="shared" si="2"/>
        <v>18</v>
      </c>
      <c r="AB10" s="17">
        <f t="shared" si="2"/>
        <v>0</v>
      </c>
      <c r="AC10" s="17">
        <f t="shared" si="2"/>
        <v>322</v>
      </c>
      <c r="AD10" s="17">
        <f t="shared" si="2"/>
        <v>0</v>
      </c>
      <c r="AE10" s="31">
        <f t="shared" si="2"/>
        <v>334</v>
      </c>
      <c r="AF10" s="31">
        <f t="shared" si="2"/>
        <v>656</v>
      </c>
    </row>
    <row r="11" spans="2:32" s="6" customFormat="1" ht="23.1" customHeight="1" x14ac:dyDescent="0.25">
      <c r="B11" s="23" t="s">
        <v>38</v>
      </c>
      <c r="C11" s="50">
        <v>36</v>
      </c>
      <c r="D11" s="50">
        <v>32</v>
      </c>
      <c r="E11" s="50">
        <v>7</v>
      </c>
      <c r="F11" s="50">
        <v>12</v>
      </c>
      <c r="G11" s="50">
        <v>0</v>
      </c>
      <c r="H11" s="50">
        <v>0</v>
      </c>
      <c r="I11" s="50">
        <v>1</v>
      </c>
      <c r="J11" s="50">
        <v>0</v>
      </c>
      <c r="K11" s="50">
        <v>3</v>
      </c>
      <c r="L11" s="50">
        <v>0</v>
      </c>
      <c r="M11" s="50">
        <v>90</v>
      </c>
      <c r="N11" s="50">
        <v>0</v>
      </c>
      <c r="O11" s="15">
        <f t="shared" si="0"/>
        <v>91</v>
      </c>
      <c r="P11" s="15">
        <f t="shared" si="1"/>
        <v>181</v>
      </c>
      <c r="R11" s="1" t="s">
        <v>7</v>
      </c>
      <c r="S11" s="17">
        <f t="shared" ref="S11:AF11" si="3">SUM(C14:C17)</f>
        <v>158</v>
      </c>
      <c r="T11" s="17">
        <f t="shared" si="3"/>
        <v>83</v>
      </c>
      <c r="U11" s="17">
        <f t="shared" si="3"/>
        <v>13</v>
      </c>
      <c r="V11" s="17">
        <f t="shared" si="3"/>
        <v>230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7</v>
      </c>
      <c r="AA11" s="17">
        <f t="shared" si="3"/>
        <v>6</v>
      </c>
      <c r="AB11" s="17">
        <f t="shared" si="3"/>
        <v>2</v>
      </c>
      <c r="AC11" s="17">
        <f t="shared" si="3"/>
        <v>70</v>
      </c>
      <c r="AD11" s="17">
        <f t="shared" si="3"/>
        <v>0</v>
      </c>
      <c r="AE11" s="31">
        <f t="shared" si="3"/>
        <v>509</v>
      </c>
      <c r="AF11" s="31">
        <f t="shared" si="3"/>
        <v>579</v>
      </c>
    </row>
    <row r="12" spans="2:32" ht="23.1" customHeight="1" x14ac:dyDescent="0.25">
      <c r="B12" s="23" t="s">
        <v>39</v>
      </c>
      <c r="C12" s="50">
        <v>40</v>
      </c>
      <c r="D12" s="50">
        <v>15</v>
      </c>
      <c r="E12" s="50">
        <v>7</v>
      </c>
      <c r="F12" s="50">
        <v>26</v>
      </c>
      <c r="G12" s="50">
        <v>0</v>
      </c>
      <c r="H12" s="50">
        <v>0</v>
      </c>
      <c r="I12" s="50">
        <v>3</v>
      </c>
      <c r="J12" s="50">
        <v>2</v>
      </c>
      <c r="K12" s="50">
        <v>4</v>
      </c>
      <c r="L12" s="50">
        <v>0</v>
      </c>
      <c r="M12" s="50">
        <v>87</v>
      </c>
      <c r="N12" s="50">
        <v>0</v>
      </c>
      <c r="O12" s="15">
        <f t="shared" si="0"/>
        <v>97</v>
      </c>
      <c r="P12" s="15">
        <f t="shared" si="1"/>
        <v>184</v>
      </c>
      <c r="R12" s="1" t="s">
        <v>8</v>
      </c>
      <c r="S12" s="17">
        <f t="shared" ref="S12:AF12" si="4">SUM(C18:C21)</f>
        <v>145</v>
      </c>
      <c r="T12" s="17">
        <f t="shared" si="4"/>
        <v>56</v>
      </c>
      <c r="U12" s="17">
        <f t="shared" si="4"/>
        <v>15</v>
      </c>
      <c r="V12" s="17">
        <f t="shared" si="4"/>
        <v>81</v>
      </c>
      <c r="W12" s="17">
        <f t="shared" si="4"/>
        <v>0</v>
      </c>
      <c r="X12" s="17">
        <f t="shared" si="4"/>
        <v>0</v>
      </c>
      <c r="Y12" s="17">
        <f t="shared" si="4"/>
        <v>21</v>
      </c>
      <c r="Z12" s="17">
        <f t="shared" si="4"/>
        <v>5</v>
      </c>
      <c r="AA12" s="17">
        <f t="shared" si="4"/>
        <v>12</v>
      </c>
      <c r="AB12" s="17">
        <f t="shared" si="4"/>
        <v>5</v>
      </c>
      <c r="AC12" s="17">
        <f t="shared" si="4"/>
        <v>360</v>
      </c>
      <c r="AD12" s="17">
        <f t="shared" si="4"/>
        <v>0</v>
      </c>
      <c r="AE12" s="31">
        <f t="shared" si="4"/>
        <v>340</v>
      </c>
      <c r="AF12" s="31">
        <f t="shared" si="4"/>
        <v>700</v>
      </c>
    </row>
    <row r="13" spans="2:32" ht="23.1" customHeight="1" x14ac:dyDescent="0.25">
      <c r="B13" s="23" t="s">
        <v>40</v>
      </c>
      <c r="C13" s="50">
        <v>42</v>
      </c>
      <c r="D13" s="50">
        <v>15</v>
      </c>
      <c r="E13" s="50">
        <v>8</v>
      </c>
      <c r="F13" s="50">
        <v>29</v>
      </c>
      <c r="G13" s="50">
        <v>1</v>
      </c>
      <c r="H13" s="50">
        <v>0</v>
      </c>
      <c r="I13" s="50">
        <v>1</v>
      </c>
      <c r="J13" s="50">
        <v>0</v>
      </c>
      <c r="K13" s="50">
        <v>7</v>
      </c>
      <c r="L13" s="50">
        <v>0</v>
      </c>
      <c r="M13" s="50">
        <v>90</v>
      </c>
      <c r="N13" s="50">
        <v>0</v>
      </c>
      <c r="O13" s="15">
        <f t="shared" si="0"/>
        <v>103</v>
      </c>
      <c r="P13" s="15">
        <f t="shared" si="1"/>
        <v>193</v>
      </c>
      <c r="R13" s="1" t="s">
        <v>9</v>
      </c>
      <c r="S13" s="17">
        <f t="shared" ref="S13:AF13" si="5">SUM(C22:C25)</f>
        <v>112</v>
      </c>
      <c r="T13" s="17">
        <f t="shared" si="5"/>
        <v>70</v>
      </c>
      <c r="U13" s="17">
        <f t="shared" si="5"/>
        <v>34</v>
      </c>
      <c r="V13" s="17">
        <f t="shared" si="5"/>
        <v>62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6</v>
      </c>
      <c r="AA13" s="17">
        <f t="shared" si="5"/>
        <v>8</v>
      </c>
      <c r="AB13" s="17">
        <f t="shared" si="5"/>
        <v>5</v>
      </c>
      <c r="AC13" s="17">
        <f t="shared" si="5"/>
        <v>63</v>
      </c>
      <c r="AD13" s="17">
        <f t="shared" si="5"/>
        <v>0</v>
      </c>
      <c r="AE13" s="31">
        <f t="shared" si="5"/>
        <v>310</v>
      </c>
      <c r="AF13" s="31">
        <f t="shared" si="5"/>
        <v>373</v>
      </c>
    </row>
    <row r="14" spans="2:32" ht="23.1" customHeight="1" x14ac:dyDescent="0.25">
      <c r="B14" s="23" t="s">
        <v>41</v>
      </c>
      <c r="C14" s="50">
        <v>40</v>
      </c>
      <c r="D14" s="50">
        <v>9</v>
      </c>
      <c r="E14" s="50">
        <v>5</v>
      </c>
      <c r="F14" s="50">
        <v>70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18</v>
      </c>
      <c r="N14" s="50">
        <v>0</v>
      </c>
      <c r="O14" s="15">
        <f t="shared" si="0"/>
        <v>126</v>
      </c>
      <c r="P14" s="15">
        <f t="shared" si="1"/>
        <v>144</v>
      </c>
      <c r="R14" s="1" t="s">
        <v>10</v>
      </c>
      <c r="S14" s="17">
        <f t="shared" ref="S14:AF14" si="6">SUM(C26:C29)</f>
        <v>126</v>
      </c>
      <c r="T14" s="17">
        <f t="shared" si="6"/>
        <v>51</v>
      </c>
      <c r="U14" s="17">
        <f t="shared" si="6"/>
        <v>18</v>
      </c>
      <c r="V14" s="17">
        <f t="shared" si="6"/>
        <v>63</v>
      </c>
      <c r="W14" s="17">
        <f t="shared" si="6"/>
        <v>2</v>
      </c>
      <c r="X14" s="17">
        <f t="shared" si="6"/>
        <v>0</v>
      </c>
      <c r="Y14" s="17">
        <f t="shared" si="6"/>
        <v>26</v>
      </c>
      <c r="Z14" s="17">
        <f t="shared" si="6"/>
        <v>4</v>
      </c>
      <c r="AA14" s="17">
        <f t="shared" si="6"/>
        <v>6</v>
      </c>
      <c r="AB14" s="17">
        <f t="shared" si="6"/>
        <v>8</v>
      </c>
      <c r="AC14" s="17">
        <f t="shared" si="6"/>
        <v>74</v>
      </c>
      <c r="AD14" s="17">
        <f t="shared" si="6"/>
        <v>0</v>
      </c>
      <c r="AE14" s="31">
        <f t="shared" si="6"/>
        <v>304</v>
      </c>
      <c r="AF14" s="31">
        <f t="shared" si="6"/>
        <v>378</v>
      </c>
    </row>
    <row r="15" spans="2:32" ht="23.1" customHeight="1" x14ac:dyDescent="0.25">
      <c r="B15" s="23" t="s">
        <v>42</v>
      </c>
      <c r="C15" s="50">
        <v>48</v>
      </c>
      <c r="D15" s="50">
        <v>9</v>
      </c>
      <c r="E15" s="50">
        <v>5</v>
      </c>
      <c r="F15" s="50">
        <v>70</v>
      </c>
      <c r="G15" s="50">
        <v>0</v>
      </c>
      <c r="H15" s="50">
        <v>0</v>
      </c>
      <c r="I15" s="50">
        <v>4</v>
      </c>
      <c r="J15" s="50">
        <v>6</v>
      </c>
      <c r="K15" s="50">
        <v>1</v>
      </c>
      <c r="L15" s="50">
        <v>0</v>
      </c>
      <c r="M15" s="50">
        <v>18</v>
      </c>
      <c r="N15" s="50">
        <v>0</v>
      </c>
      <c r="O15" s="15">
        <f t="shared" si="0"/>
        <v>143</v>
      </c>
      <c r="P15" s="15">
        <f t="shared" si="1"/>
        <v>161</v>
      </c>
      <c r="R15" s="1" t="s">
        <v>11</v>
      </c>
      <c r="S15" s="17">
        <f t="shared" ref="S15:AF15" si="7">SUM(C30:C33)</f>
        <v>51</v>
      </c>
      <c r="T15" s="17">
        <f t="shared" si="7"/>
        <v>49</v>
      </c>
      <c r="U15" s="17">
        <f t="shared" si="7"/>
        <v>13</v>
      </c>
      <c r="V15" s="17">
        <f t="shared" si="7"/>
        <v>19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6</v>
      </c>
      <c r="AA15" s="17">
        <f t="shared" si="7"/>
        <v>4</v>
      </c>
      <c r="AB15" s="17">
        <f t="shared" si="7"/>
        <v>4</v>
      </c>
      <c r="AC15" s="17">
        <f t="shared" si="7"/>
        <v>149</v>
      </c>
      <c r="AD15" s="17">
        <f t="shared" si="7"/>
        <v>0</v>
      </c>
      <c r="AE15" s="31">
        <f t="shared" si="7"/>
        <v>159</v>
      </c>
      <c r="AF15" s="31">
        <f t="shared" si="7"/>
        <v>308</v>
      </c>
    </row>
    <row r="16" spans="2:32" ht="23.1" customHeight="1" x14ac:dyDescent="0.25">
      <c r="B16" s="23" t="s">
        <v>43</v>
      </c>
      <c r="C16" s="50">
        <v>30</v>
      </c>
      <c r="D16" s="50">
        <v>35</v>
      </c>
      <c r="E16" s="50">
        <v>0</v>
      </c>
      <c r="F16" s="50">
        <v>70</v>
      </c>
      <c r="G16" s="50">
        <v>0</v>
      </c>
      <c r="H16" s="50">
        <v>0</v>
      </c>
      <c r="I16" s="50">
        <v>0</v>
      </c>
      <c r="J16" s="50">
        <v>1</v>
      </c>
      <c r="K16" s="50">
        <v>2</v>
      </c>
      <c r="L16" s="50">
        <v>0</v>
      </c>
      <c r="M16" s="50">
        <v>19</v>
      </c>
      <c r="N16" s="50">
        <v>0</v>
      </c>
      <c r="O16" s="15">
        <f t="shared" si="0"/>
        <v>138</v>
      </c>
      <c r="P16" s="15">
        <f t="shared" si="1"/>
        <v>157</v>
      </c>
      <c r="R16" s="1" t="s">
        <v>12</v>
      </c>
      <c r="S16" s="17">
        <f t="shared" ref="S16:AF16" si="8">SUM(C34:C37)</f>
        <v>85</v>
      </c>
      <c r="T16" s="17">
        <f t="shared" si="8"/>
        <v>121</v>
      </c>
      <c r="U16" s="17">
        <f t="shared" si="8"/>
        <v>37</v>
      </c>
      <c r="V16" s="17">
        <f t="shared" si="8"/>
        <v>57</v>
      </c>
      <c r="W16" s="17">
        <f t="shared" si="8"/>
        <v>1</v>
      </c>
      <c r="X16" s="17">
        <f t="shared" si="8"/>
        <v>0</v>
      </c>
      <c r="Y16" s="17">
        <f t="shared" si="8"/>
        <v>13</v>
      </c>
      <c r="Z16" s="17">
        <f t="shared" si="8"/>
        <v>16</v>
      </c>
      <c r="AA16" s="17">
        <f t="shared" si="8"/>
        <v>5</v>
      </c>
      <c r="AB16" s="17">
        <f t="shared" si="8"/>
        <v>7</v>
      </c>
      <c r="AC16" s="17">
        <f t="shared" si="8"/>
        <v>312</v>
      </c>
      <c r="AD16" s="17">
        <f t="shared" si="8"/>
        <v>0</v>
      </c>
      <c r="AE16" s="31">
        <f t="shared" si="8"/>
        <v>342</v>
      </c>
      <c r="AF16" s="31">
        <f t="shared" si="8"/>
        <v>654</v>
      </c>
    </row>
    <row r="17" spans="2:32" ht="23.1" customHeight="1" x14ac:dyDescent="0.25">
      <c r="B17" s="23" t="s">
        <v>44</v>
      </c>
      <c r="C17" s="50">
        <v>40</v>
      </c>
      <c r="D17" s="50">
        <v>30</v>
      </c>
      <c r="E17" s="50">
        <v>3</v>
      </c>
      <c r="F17" s="50">
        <v>20</v>
      </c>
      <c r="G17" s="50">
        <v>0</v>
      </c>
      <c r="H17" s="50">
        <v>0</v>
      </c>
      <c r="I17" s="50">
        <v>4</v>
      </c>
      <c r="J17" s="50">
        <v>0</v>
      </c>
      <c r="K17" s="50">
        <v>3</v>
      </c>
      <c r="L17" s="50">
        <v>2</v>
      </c>
      <c r="M17" s="50">
        <v>15</v>
      </c>
      <c r="N17" s="50">
        <v>0</v>
      </c>
      <c r="O17" s="15">
        <f t="shared" si="0"/>
        <v>102</v>
      </c>
      <c r="P17" s="15">
        <f t="shared" si="1"/>
        <v>117</v>
      </c>
      <c r="R17" s="1" t="s">
        <v>13</v>
      </c>
      <c r="S17" s="17">
        <f t="shared" ref="S17:AF17" si="9">SUM(C38:C41)</f>
        <v>94</v>
      </c>
      <c r="T17" s="17">
        <f t="shared" si="9"/>
        <v>117</v>
      </c>
      <c r="U17" s="17">
        <f t="shared" si="9"/>
        <v>29</v>
      </c>
      <c r="V17" s="17">
        <f t="shared" si="9"/>
        <v>53</v>
      </c>
      <c r="W17" s="17">
        <f t="shared" si="9"/>
        <v>0</v>
      </c>
      <c r="X17" s="17">
        <f t="shared" si="9"/>
        <v>2</v>
      </c>
      <c r="Y17" s="17">
        <f t="shared" si="9"/>
        <v>16</v>
      </c>
      <c r="Z17" s="17">
        <f t="shared" si="9"/>
        <v>13</v>
      </c>
      <c r="AA17" s="17">
        <f t="shared" si="9"/>
        <v>3</v>
      </c>
      <c r="AB17" s="17">
        <f t="shared" si="9"/>
        <v>3</v>
      </c>
      <c r="AC17" s="17">
        <f t="shared" si="9"/>
        <v>325</v>
      </c>
      <c r="AD17" s="17">
        <f t="shared" si="9"/>
        <v>0</v>
      </c>
      <c r="AE17" s="31">
        <f t="shared" si="9"/>
        <v>330</v>
      </c>
      <c r="AF17" s="31">
        <f t="shared" si="9"/>
        <v>655</v>
      </c>
    </row>
    <row r="18" spans="2:32" ht="23.1" customHeight="1" x14ac:dyDescent="0.25">
      <c r="B18" s="23" t="s">
        <v>45</v>
      </c>
      <c r="C18" s="50">
        <v>34</v>
      </c>
      <c r="D18" s="50">
        <v>10</v>
      </c>
      <c r="E18" s="50">
        <v>2</v>
      </c>
      <c r="F18" s="50">
        <v>22</v>
      </c>
      <c r="G18" s="50">
        <v>0</v>
      </c>
      <c r="H18" s="50">
        <v>0</v>
      </c>
      <c r="I18" s="50">
        <v>7</v>
      </c>
      <c r="J18" s="50">
        <v>1</v>
      </c>
      <c r="K18" s="50">
        <v>3</v>
      </c>
      <c r="L18" s="50">
        <v>3</v>
      </c>
      <c r="M18" s="50">
        <v>95</v>
      </c>
      <c r="N18" s="50">
        <v>0</v>
      </c>
      <c r="O18" s="15">
        <f t="shared" si="0"/>
        <v>82</v>
      </c>
      <c r="P18" s="15">
        <f t="shared" si="1"/>
        <v>177</v>
      </c>
      <c r="R18" s="1" t="s">
        <v>14</v>
      </c>
      <c r="S18" s="17">
        <f t="shared" ref="S18:AF18" si="10">SUM(C42:C45)</f>
        <v>97</v>
      </c>
      <c r="T18" s="17">
        <f t="shared" si="10"/>
        <v>142</v>
      </c>
      <c r="U18" s="17">
        <f t="shared" si="10"/>
        <v>33</v>
      </c>
      <c r="V18" s="17">
        <f t="shared" si="10"/>
        <v>43</v>
      </c>
      <c r="W18" s="17">
        <f t="shared" si="10"/>
        <v>1</v>
      </c>
      <c r="X18" s="17">
        <f t="shared" si="10"/>
        <v>0</v>
      </c>
      <c r="Y18" s="17">
        <f t="shared" si="10"/>
        <v>14</v>
      </c>
      <c r="Z18" s="17">
        <f t="shared" si="10"/>
        <v>17</v>
      </c>
      <c r="AA18" s="17">
        <f t="shared" si="10"/>
        <v>20</v>
      </c>
      <c r="AB18" s="17">
        <f t="shared" si="10"/>
        <v>0</v>
      </c>
      <c r="AC18" s="17">
        <f t="shared" si="10"/>
        <v>311</v>
      </c>
      <c r="AD18" s="17">
        <f t="shared" si="10"/>
        <v>0</v>
      </c>
      <c r="AE18" s="31">
        <f t="shared" si="10"/>
        <v>367</v>
      </c>
      <c r="AF18" s="31">
        <f t="shared" si="10"/>
        <v>678</v>
      </c>
    </row>
    <row r="19" spans="2:32" ht="23.1" customHeight="1" x14ac:dyDescent="0.25">
      <c r="B19" s="23" t="s">
        <v>46</v>
      </c>
      <c r="C19" s="50">
        <v>26</v>
      </c>
      <c r="D19" s="50">
        <v>16</v>
      </c>
      <c r="E19" s="50">
        <v>3</v>
      </c>
      <c r="F19" s="50">
        <v>4</v>
      </c>
      <c r="G19" s="50">
        <v>0</v>
      </c>
      <c r="H19" s="50">
        <v>0</v>
      </c>
      <c r="I19" s="50">
        <v>5</v>
      </c>
      <c r="J19" s="50">
        <v>2</v>
      </c>
      <c r="K19" s="50">
        <v>6</v>
      </c>
      <c r="L19" s="50">
        <v>2</v>
      </c>
      <c r="M19" s="50">
        <v>95</v>
      </c>
      <c r="N19" s="50">
        <v>0</v>
      </c>
      <c r="O19" s="15">
        <f t="shared" si="0"/>
        <v>64</v>
      </c>
      <c r="P19" s="15">
        <f t="shared" si="1"/>
        <v>159</v>
      </c>
      <c r="R19" s="1" t="s">
        <v>15</v>
      </c>
      <c r="S19" s="17">
        <f t="shared" ref="S19:AF19" si="11">SUM(C46:C49)</f>
        <v>156</v>
      </c>
      <c r="T19" s="17">
        <f t="shared" si="11"/>
        <v>174</v>
      </c>
      <c r="U19" s="17">
        <f t="shared" si="11"/>
        <v>38</v>
      </c>
      <c r="V19" s="17">
        <f t="shared" si="11"/>
        <v>62</v>
      </c>
      <c r="W19" s="17">
        <f t="shared" si="11"/>
        <v>1</v>
      </c>
      <c r="X19" s="17">
        <f t="shared" si="11"/>
        <v>0</v>
      </c>
      <c r="Y19" s="17">
        <f t="shared" si="11"/>
        <v>11</v>
      </c>
      <c r="Z19" s="17">
        <f t="shared" si="11"/>
        <v>8</v>
      </c>
      <c r="AA19" s="17">
        <f t="shared" si="11"/>
        <v>4</v>
      </c>
      <c r="AB19" s="17">
        <f t="shared" si="11"/>
        <v>3</v>
      </c>
      <c r="AC19" s="17">
        <f t="shared" si="11"/>
        <v>324</v>
      </c>
      <c r="AD19" s="17">
        <f t="shared" si="11"/>
        <v>0</v>
      </c>
      <c r="AE19" s="31">
        <f t="shared" si="11"/>
        <v>457</v>
      </c>
      <c r="AF19" s="31">
        <f t="shared" si="11"/>
        <v>781</v>
      </c>
    </row>
    <row r="20" spans="2:32" ht="23.1" customHeight="1" x14ac:dyDescent="0.25">
      <c r="B20" s="23" t="s">
        <v>47</v>
      </c>
      <c r="C20" s="50">
        <v>50</v>
      </c>
      <c r="D20" s="50">
        <v>10</v>
      </c>
      <c r="E20" s="50">
        <v>6</v>
      </c>
      <c r="F20" s="50">
        <v>25</v>
      </c>
      <c r="G20" s="50">
        <v>0</v>
      </c>
      <c r="H20" s="50">
        <v>0</v>
      </c>
      <c r="I20" s="50">
        <v>4</v>
      </c>
      <c r="J20" s="50">
        <v>1</v>
      </c>
      <c r="K20" s="50">
        <v>1</v>
      </c>
      <c r="L20" s="50">
        <v>0</v>
      </c>
      <c r="M20" s="50">
        <v>75</v>
      </c>
      <c r="N20" s="50">
        <v>0</v>
      </c>
      <c r="O20" s="15">
        <f t="shared" si="0"/>
        <v>97</v>
      </c>
      <c r="P20" s="15">
        <f t="shared" si="1"/>
        <v>172</v>
      </c>
      <c r="R20" s="1" t="s">
        <v>16</v>
      </c>
      <c r="S20" s="17">
        <f t="shared" ref="S20:AF20" si="12">SUM(C50:C53)</f>
        <v>185</v>
      </c>
      <c r="T20" s="17">
        <f t="shared" si="12"/>
        <v>258</v>
      </c>
      <c r="U20" s="17">
        <f t="shared" si="12"/>
        <v>43</v>
      </c>
      <c r="V20" s="17">
        <f t="shared" si="12"/>
        <v>109</v>
      </c>
      <c r="W20" s="17">
        <f t="shared" si="12"/>
        <v>2</v>
      </c>
      <c r="X20" s="17">
        <f t="shared" si="12"/>
        <v>0</v>
      </c>
      <c r="Y20" s="17">
        <f t="shared" si="12"/>
        <v>9</v>
      </c>
      <c r="Z20" s="17">
        <f t="shared" si="12"/>
        <v>8</v>
      </c>
      <c r="AA20" s="17">
        <f t="shared" si="12"/>
        <v>7</v>
      </c>
      <c r="AB20" s="17">
        <f t="shared" si="12"/>
        <v>4</v>
      </c>
      <c r="AC20" s="17">
        <f t="shared" si="12"/>
        <v>505</v>
      </c>
      <c r="AD20" s="17">
        <f t="shared" si="12"/>
        <v>0</v>
      </c>
      <c r="AE20" s="31">
        <f t="shared" si="12"/>
        <v>625</v>
      </c>
      <c r="AF20" s="31">
        <f t="shared" si="12"/>
        <v>1130</v>
      </c>
    </row>
    <row r="21" spans="2:32" ht="23.1" customHeight="1" x14ac:dyDescent="0.25">
      <c r="B21" s="23" t="s">
        <v>48</v>
      </c>
      <c r="C21" s="50">
        <v>35</v>
      </c>
      <c r="D21" s="50">
        <v>20</v>
      </c>
      <c r="E21" s="50">
        <v>4</v>
      </c>
      <c r="F21" s="50">
        <v>30</v>
      </c>
      <c r="G21" s="50">
        <v>0</v>
      </c>
      <c r="H21" s="50">
        <v>0</v>
      </c>
      <c r="I21" s="50">
        <v>5</v>
      </c>
      <c r="J21" s="50">
        <v>1</v>
      </c>
      <c r="K21" s="50">
        <v>2</v>
      </c>
      <c r="L21" s="50">
        <v>0</v>
      </c>
      <c r="M21" s="50">
        <v>95</v>
      </c>
      <c r="N21" s="50">
        <v>0</v>
      </c>
      <c r="O21" s="15">
        <f t="shared" si="0"/>
        <v>97</v>
      </c>
      <c r="P21" s="15">
        <f t="shared" si="1"/>
        <v>192</v>
      </c>
      <c r="R21" s="36" t="s">
        <v>20</v>
      </c>
      <c r="S21" s="34">
        <f t="shared" ref="S21:AF21" si="13">SUM(C54:C57)</f>
        <v>275</v>
      </c>
      <c r="T21" s="17">
        <f t="shared" si="13"/>
        <v>325</v>
      </c>
      <c r="U21" s="17">
        <f t="shared" si="13"/>
        <v>29</v>
      </c>
      <c r="V21" s="17">
        <f t="shared" si="13"/>
        <v>290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4</v>
      </c>
      <c r="AA21" s="17">
        <f t="shared" si="13"/>
        <v>4</v>
      </c>
      <c r="AB21" s="17">
        <f t="shared" si="13"/>
        <v>0</v>
      </c>
      <c r="AC21" s="17">
        <f t="shared" si="13"/>
        <v>560</v>
      </c>
      <c r="AD21" s="17">
        <f t="shared" si="13"/>
        <v>0</v>
      </c>
      <c r="AE21" s="31">
        <f t="shared" si="13"/>
        <v>933</v>
      </c>
      <c r="AF21" s="31">
        <f t="shared" si="13"/>
        <v>1493</v>
      </c>
    </row>
    <row r="22" spans="2:32" ht="23.1" customHeight="1" x14ac:dyDescent="0.25">
      <c r="B22" s="23" t="s">
        <v>49</v>
      </c>
      <c r="C22" s="50">
        <v>30</v>
      </c>
      <c r="D22" s="50">
        <v>15</v>
      </c>
      <c r="E22" s="50">
        <v>4</v>
      </c>
      <c r="F22" s="50">
        <v>23</v>
      </c>
      <c r="G22" s="50">
        <v>0</v>
      </c>
      <c r="H22" s="50">
        <v>0</v>
      </c>
      <c r="I22" s="50">
        <v>2</v>
      </c>
      <c r="J22" s="50">
        <v>1</v>
      </c>
      <c r="K22" s="50">
        <v>2</v>
      </c>
      <c r="L22" s="50">
        <v>2</v>
      </c>
      <c r="M22" s="50">
        <v>19</v>
      </c>
      <c r="N22" s="50">
        <v>0</v>
      </c>
      <c r="O22" s="15">
        <f t="shared" si="0"/>
        <v>79</v>
      </c>
      <c r="P22" s="15">
        <f t="shared" si="1"/>
        <v>98</v>
      </c>
      <c r="R22" s="38" t="s">
        <v>90</v>
      </c>
      <c r="S22" s="39">
        <f>MAX(S10:S12)</f>
        <v>158</v>
      </c>
      <c r="T22" s="39">
        <f t="shared" ref="T22:AF22" si="14">MAX(T10:T12)</f>
        <v>83</v>
      </c>
      <c r="U22" s="39">
        <f t="shared" si="14"/>
        <v>24</v>
      </c>
      <c r="V22" s="39">
        <f t="shared" si="14"/>
        <v>230</v>
      </c>
      <c r="W22" s="39">
        <f t="shared" si="14"/>
        <v>1</v>
      </c>
      <c r="X22" s="39">
        <f t="shared" si="14"/>
        <v>1</v>
      </c>
      <c r="Y22" s="39">
        <f t="shared" si="14"/>
        <v>21</v>
      </c>
      <c r="Z22" s="39">
        <f t="shared" si="14"/>
        <v>7</v>
      </c>
      <c r="AA22" s="39">
        <f t="shared" si="14"/>
        <v>18</v>
      </c>
      <c r="AB22" s="39">
        <f t="shared" si="14"/>
        <v>5</v>
      </c>
      <c r="AC22" s="39">
        <f t="shared" si="14"/>
        <v>360</v>
      </c>
      <c r="AD22" s="39">
        <f t="shared" si="14"/>
        <v>0</v>
      </c>
      <c r="AE22" s="40">
        <f t="shared" si="14"/>
        <v>509</v>
      </c>
      <c r="AF22" s="40">
        <f t="shared" si="14"/>
        <v>700</v>
      </c>
    </row>
    <row r="23" spans="2:32" ht="23.1" customHeight="1" x14ac:dyDescent="0.25">
      <c r="B23" s="23" t="s">
        <v>50</v>
      </c>
      <c r="C23" s="50">
        <v>40</v>
      </c>
      <c r="D23" s="50">
        <v>20</v>
      </c>
      <c r="E23" s="50">
        <v>16</v>
      </c>
      <c r="F23" s="50">
        <v>20</v>
      </c>
      <c r="G23" s="50">
        <v>0</v>
      </c>
      <c r="H23" s="50">
        <v>0</v>
      </c>
      <c r="I23" s="50">
        <v>8</v>
      </c>
      <c r="J23" s="50">
        <v>3</v>
      </c>
      <c r="K23" s="50">
        <v>2</v>
      </c>
      <c r="L23" s="50">
        <v>1</v>
      </c>
      <c r="M23" s="50">
        <v>15</v>
      </c>
      <c r="N23" s="50">
        <v>0</v>
      </c>
      <c r="O23" s="15">
        <f t="shared" si="0"/>
        <v>110</v>
      </c>
      <c r="P23" s="15">
        <f t="shared" si="1"/>
        <v>125</v>
      </c>
      <c r="R23" s="38" t="s">
        <v>91</v>
      </c>
      <c r="S23" s="39">
        <f>MAX(S13:S18)</f>
        <v>126</v>
      </c>
      <c r="T23" s="39">
        <f t="shared" ref="T23:AF23" si="15">MAX(T13:T18)</f>
        <v>142</v>
      </c>
      <c r="U23" s="39">
        <f t="shared" si="15"/>
        <v>37</v>
      </c>
      <c r="V23" s="39">
        <f t="shared" si="15"/>
        <v>63</v>
      </c>
      <c r="W23" s="39">
        <f t="shared" si="15"/>
        <v>2</v>
      </c>
      <c r="X23" s="39">
        <f t="shared" si="15"/>
        <v>2</v>
      </c>
      <c r="Y23" s="39">
        <f t="shared" si="15"/>
        <v>26</v>
      </c>
      <c r="Z23" s="39">
        <f t="shared" si="15"/>
        <v>17</v>
      </c>
      <c r="AA23" s="39">
        <f t="shared" si="15"/>
        <v>20</v>
      </c>
      <c r="AB23" s="39">
        <f t="shared" si="15"/>
        <v>8</v>
      </c>
      <c r="AC23" s="39">
        <f t="shared" si="15"/>
        <v>325</v>
      </c>
      <c r="AD23" s="39">
        <f t="shared" si="15"/>
        <v>0</v>
      </c>
      <c r="AE23" s="40">
        <f t="shared" si="15"/>
        <v>367</v>
      </c>
      <c r="AF23" s="40">
        <f t="shared" si="15"/>
        <v>678</v>
      </c>
    </row>
    <row r="24" spans="2:32" ht="23.1" customHeight="1" x14ac:dyDescent="0.25">
      <c r="B24" s="23" t="s">
        <v>51</v>
      </c>
      <c r="C24" s="50">
        <v>22</v>
      </c>
      <c r="D24" s="50">
        <v>15</v>
      </c>
      <c r="E24" s="50">
        <v>9</v>
      </c>
      <c r="F24" s="50">
        <v>3</v>
      </c>
      <c r="G24" s="50">
        <v>0</v>
      </c>
      <c r="H24" s="50">
        <v>0</v>
      </c>
      <c r="I24" s="50">
        <v>1</v>
      </c>
      <c r="J24" s="50">
        <v>1</v>
      </c>
      <c r="K24" s="50">
        <v>2</v>
      </c>
      <c r="L24" s="50">
        <v>0</v>
      </c>
      <c r="M24" s="50">
        <v>14</v>
      </c>
      <c r="N24" s="50">
        <v>0</v>
      </c>
      <c r="O24" s="15">
        <f t="shared" si="0"/>
        <v>53</v>
      </c>
      <c r="P24" s="15">
        <f t="shared" si="1"/>
        <v>67</v>
      </c>
      <c r="R24" s="38" t="s">
        <v>92</v>
      </c>
      <c r="S24" s="39">
        <f>MAX(S19:S21)</f>
        <v>275</v>
      </c>
      <c r="T24" s="39">
        <f t="shared" ref="T24:AF24" si="16">MAX(T19:T21)</f>
        <v>325</v>
      </c>
      <c r="U24" s="39">
        <f t="shared" si="16"/>
        <v>43</v>
      </c>
      <c r="V24" s="39">
        <f t="shared" si="16"/>
        <v>290</v>
      </c>
      <c r="W24" s="39">
        <f t="shared" si="16"/>
        <v>2</v>
      </c>
      <c r="X24" s="39">
        <f t="shared" si="16"/>
        <v>0</v>
      </c>
      <c r="Y24" s="39">
        <f t="shared" si="16"/>
        <v>11</v>
      </c>
      <c r="Z24" s="39">
        <f t="shared" si="16"/>
        <v>8</v>
      </c>
      <c r="AA24" s="39">
        <f t="shared" si="16"/>
        <v>7</v>
      </c>
      <c r="AB24" s="39">
        <f t="shared" si="16"/>
        <v>4</v>
      </c>
      <c r="AC24" s="39">
        <f t="shared" si="16"/>
        <v>560</v>
      </c>
      <c r="AD24" s="39">
        <f t="shared" si="16"/>
        <v>0</v>
      </c>
      <c r="AE24" s="40">
        <f t="shared" si="16"/>
        <v>933</v>
      </c>
      <c r="AF24" s="40">
        <f t="shared" si="16"/>
        <v>1493</v>
      </c>
    </row>
    <row r="25" spans="2:32" ht="23.1" customHeight="1" x14ac:dyDescent="0.25">
      <c r="B25" s="23" t="s">
        <v>52</v>
      </c>
      <c r="C25" s="50">
        <v>20</v>
      </c>
      <c r="D25" s="50">
        <v>20</v>
      </c>
      <c r="E25" s="50">
        <v>5</v>
      </c>
      <c r="F25" s="50">
        <v>16</v>
      </c>
      <c r="G25" s="50">
        <v>0</v>
      </c>
      <c r="H25" s="50">
        <v>0</v>
      </c>
      <c r="I25" s="50">
        <v>2</v>
      </c>
      <c r="J25" s="50">
        <v>1</v>
      </c>
      <c r="K25" s="50">
        <v>2</v>
      </c>
      <c r="L25" s="50">
        <v>2</v>
      </c>
      <c r="M25" s="50">
        <v>15</v>
      </c>
      <c r="N25" s="50">
        <v>0</v>
      </c>
      <c r="O25" s="15">
        <f t="shared" si="0"/>
        <v>68</v>
      </c>
      <c r="P25" s="15">
        <f t="shared" si="1"/>
        <v>83</v>
      </c>
      <c r="R25" s="37" t="s">
        <v>85</v>
      </c>
      <c r="S25" s="35">
        <f t="shared" ref="S25:AF25" si="17">SUM(S10:S12)</f>
        <v>454</v>
      </c>
      <c r="T25" s="16">
        <f t="shared" si="17"/>
        <v>201</v>
      </c>
      <c r="U25" s="16">
        <f t="shared" si="17"/>
        <v>52</v>
      </c>
      <c r="V25" s="16">
        <f t="shared" si="17"/>
        <v>381</v>
      </c>
      <c r="W25" s="16">
        <f t="shared" si="17"/>
        <v>1</v>
      </c>
      <c r="X25" s="16">
        <f t="shared" si="17"/>
        <v>1</v>
      </c>
      <c r="Y25" s="16">
        <f t="shared" si="17"/>
        <v>36</v>
      </c>
      <c r="Z25" s="16">
        <f t="shared" si="17"/>
        <v>14</v>
      </c>
      <c r="AA25" s="16">
        <f t="shared" si="17"/>
        <v>36</v>
      </c>
      <c r="AB25" s="16">
        <f t="shared" si="17"/>
        <v>7</v>
      </c>
      <c r="AC25" s="16">
        <f t="shared" si="17"/>
        <v>752</v>
      </c>
      <c r="AD25" s="16">
        <f t="shared" si="17"/>
        <v>0</v>
      </c>
      <c r="AE25" s="32">
        <f t="shared" si="17"/>
        <v>1183</v>
      </c>
      <c r="AF25" s="32">
        <f t="shared" si="17"/>
        <v>1935</v>
      </c>
    </row>
    <row r="26" spans="2:32" ht="23.1" customHeight="1" x14ac:dyDescent="0.25">
      <c r="B26" s="23" t="s">
        <v>53</v>
      </c>
      <c r="C26" s="50">
        <v>30</v>
      </c>
      <c r="D26" s="50">
        <v>15</v>
      </c>
      <c r="E26" s="50">
        <v>5</v>
      </c>
      <c r="F26" s="50">
        <v>15</v>
      </c>
      <c r="G26" s="50">
        <v>1</v>
      </c>
      <c r="H26" s="50">
        <v>0</v>
      </c>
      <c r="I26" s="50">
        <v>5</v>
      </c>
      <c r="J26" s="50">
        <v>3</v>
      </c>
      <c r="K26" s="50">
        <v>2</v>
      </c>
      <c r="L26" s="50">
        <v>1</v>
      </c>
      <c r="M26" s="50">
        <v>18</v>
      </c>
      <c r="N26" s="50">
        <v>0</v>
      </c>
      <c r="O26" s="15">
        <f t="shared" si="0"/>
        <v>77</v>
      </c>
      <c r="P26" s="15">
        <f t="shared" si="1"/>
        <v>95</v>
      </c>
      <c r="R26" s="28" t="s">
        <v>86</v>
      </c>
      <c r="S26" s="16">
        <f t="shared" ref="S26:AF26" si="18">SUM(S13:S18)</f>
        <v>565</v>
      </c>
      <c r="T26" s="16">
        <f t="shared" si="18"/>
        <v>550</v>
      </c>
      <c r="U26" s="16">
        <f t="shared" si="18"/>
        <v>164</v>
      </c>
      <c r="V26" s="16">
        <f t="shared" si="18"/>
        <v>297</v>
      </c>
      <c r="W26" s="16">
        <f t="shared" si="18"/>
        <v>5</v>
      </c>
      <c r="X26" s="16">
        <f t="shared" si="18"/>
        <v>2</v>
      </c>
      <c r="Y26" s="16">
        <f t="shared" si="18"/>
        <v>94</v>
      </c>
      <c r="Z26" s="16">
        <f t="shared" si="18"/>
        <v>62</v>
      </c>
      <c r="AA26" s="16">
        <f t="shared" si="18"/>
        <v>46</v>
      </c>
      <c r="AB26" s="16">
        <f t="shared" si="18"/>
        <v>27</v>
      </c>
      <c r="AC26" s="16">
        <f t="shared" si="18"/>
        <v>1234</v>
      </c>
      <c r="AD26" s="16">
        <f t="shared" si="18"/>
        <v>0</v>
      </c>
      <c r="AE26" s="32">
        <f t="shared" si="18"/>
        <v>1812</v>
      </c>
      <c r="AF26" s="32">
        <f t="shared" si="18"/>
        <v>3046</v>
      </c>
    </row>
    <row r="27" spans="2:32" ht="23.1" customHeight="1" x14ac:dyDescent="0.25">
      <c r="B27" s="23" t="s">
        <v>54</v>
      </c>
      <c r="C27" s="50">
        <v>35</v>
      </c>
      <c r="D27" s="50">
        <v>4</v>
      </c>
      <c r="E27" s="50">
        <v>4</v>
      </c>
      <c r="F27" s="50">
        <v>20</v>
      </c>
      <c r="G27" s="50">
        <v>0</v>
      </c>
      <c r="H27" s="50">
        <v>0</v>
      </c>
      <c r="I27" s="50">
        <v>8</v>
      </c>
      <c r="J27" s="50">
        <v>0</v>
      </c>
      <c r="K27" s="50">
        <v>1</v>
      </c>
      <c r="L27" s="50">
        <v>3</v>
      </c>
      <c r="M27" s="50">
        <v>16</v>
      </c>
      <c r="N27" s="50">
        <v>0</v>
      </c>
      <c r="O27" s="15">
        <f t="shared" si="0"/>
        <v>75</v>
      </c>
      <c r="P27" s="15">
        <f t="shared" si="1"/>
        <v>91</v>
      </c>
      <c r="R27" s="29" t="s">
        <v>87</v>
      </c>
      <c r="S27" s="16">
        <f t="shared" ref="S27:AF27" si="19">SUM(S19:S21)</f>
        <v>616</v>
      </c>
      <c r="T27" s="16">
        <f t="shared" si="19"/>
        <v>757</v>
      </c>
      <c r="U27" s="16">
        <f t="shared" si="19"/>
        <v>110</v>
      </c>
      <c r="V27" s="16">
        <f t="shared" si="19"/>
        <v>461</v>
      </c>
      <c r="W27" s="16">
        <f t="shared" si="19"/>
        <v>4</v>
      </c>
      <c r="X27" s="16">
        <f t="shared" si="19"/>
        <v>0</v>
      </c>
      <c r="Y27" s="16">
        <f t="shared" si="19"/>
        <v>25</v>
      </c>
      <c r="Z27" s="16">
        <f t="shared" si="19"/>
        <v>20</v>
      </c>
      <c r="AA27" s="16">
        <f t="shared" si="19"/>
        <v>15</v>
      </c>
      <c r="AB27" s="16">
        <f t="shared" si="19"/>
        <v>7</v>
      </c>
      <c r="AC27" s="16">
        <f t="shared" si="19"/>
        <v>1389</v>
      </c>
      <c r="AD27" s="16">
        <f t="shared" si="19"/>
        <v>0</v>
      </c>
      <c r="AE27" s="32">
        <f t="shared" si="19"/>
        <v>2015</v>
      </c>
      <c r="AF27" s="32">
        <f t="shared" si="19"/>
        <v>3404</v>
      </c>
    </row>
    <row r="28" spans="2:32" ht="23.1" customHeight="1" x14ac:dyDescent="0.25">
      <c r="B28" s="23" t="s">
        <v>55</v>
      </c>
      <c r="C28" s="50">
        <v>36</v>
      </c>
      <c r="D28" s="50">
        <v>17</v>
      </c>
      <c r="E28" s="50">
        <v>2</v>
      </c>
      <c r="F28" s="50">
        <v>11</v>
      </c>
      <c r="G28" s="50">
        <v>0</v>
      </c>
      <c r="H28" s="50">
        <v>0</v>
      </c>
      <c r="I28" s="50">
        <v>4</v>
      </c>
      <c r="J28" s="50">
        <v>1</v>
      </c>
      <c r="K28" s="50">
        <v>3</v>
      </c>
      <c r="L28" s="50">
        <v>1</v>
      </c>
      <c r="M28" s="50">
        <v>20</v>
      </c>
      <c r="N28" s="50">
        <v>0</v>
      </c>
      <c r="O28" s="15">
        <f t="shared" si="0"/>
        <v>75</v>
      </c>
      <c r="P28" s="15">
        <f t="shared" si="1"/>
        <v>95</v>
      </c>
      <c r="R28" s="5" t="s">
        <v>17</v>
      </c>
      <c r="S28" s="16">
        <f t="shared" ref="S28:AF28" si="20">SUM(S10:S21)</f>
        <v>1635</v>
      </c>
      <c r="T28" s="16">
        <f t="shared" si="20"/>
        <v>1508</v>
      </c>
      <c r="U28" s="16">
        <f t="shared" si="20"/>
        <v>326</v>
      </c>
      <c r="V28" s="16">
        <f t="shared" si="20"/>
        <v>1139</v>
      </c>
      <c r="W28" s="16">
        <f t="shared" si="20"/>
        <v>10</v>
      </c>
      <c r="X28" s="16">
        <f t="shared" si="20"/>
        <v>3</v>
      </c>
      <c r="Y28" s="16">
        <f t="shared" si="20"/>
        <v>155</v>
      </c>
      <c r="Z28" s="16">
        <f t="shared" si="20"/>
        <v>96</v>
      </c>
      <c r="AA28" s="16">
        <f t="shared" si="20"/>
        <v>97</v>
      </c>
      <c r="AB28" s="16">
        <f t="shared" si="20"/>
        <v>41</v>
      </c>
      <c r="AC28" s="16">
        <f t="shared" si="20"/>
        <v>3375</v>
      </c>
      <c r="AD28" s="16">
        <f t="shared" si="20"/>
        <v>0</v>
      </c>
      <c r="AE28" s="32">
        <f t="shared" si="20"/>
        <v>5010</v>
      </c>
      <c r="AF28" s="32">
        <f t="shared" si="20"/>
        <v>8385</v>
      </c>
    </row>
    <row r="29" spans="2:32" ht="23.1" customHeight="1" x14ac:dyDescent="0.25">
      <c r="B29" s="23" t="s">
        <v>56</v>
      </c>
      <c r="C29" s="50">
        <v>25</v>
      </c>
      <c r="D29" s="50">
        <v>15</v>
      </c>
      <c r="E29" s="50">
        <v>7</v>
      </c>
      <c r="F29" s="50">
        <v>17</v>
      </c>
      <c r="G29" s="50">
        <v>1</v>
      </c>
      <c r="H29" s="50">
        <v>0</v>
      </c>
      <c r="I29" s="50">
        <v>9</v>
      </c>
      <c r="J29" s="50">
        <v>0</v>
      </c>
      <c r="K29" s="50">
        <v>0</v>
      </c>
      <c r="L29" s="50">
        <v>3</v>
      </c>
      <c r="M29" s="50">
        <v>20</v>
      </c>
      <c r="N29" s="50">
        <v>0</v>
      </c>
      <c r="O29" s="15">
        <f t="shared" si="0"/>
        <v>77</v>
      </c>
      <c r="P29" s="15">
        <f t="shared" si="1"/>
        <v>97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15</v>
      </c>
      <c r="E30" s="50">
        <v>4</v>
      </c>
      <c r="F30" s="50">
        <v>9</v>
      </c>
      <c r="G30" s="50">
        <v>1</v>
      </c>
      <c r="H30" s="50">
        <v>0</v>
      </c>
      <c r="I30" s="50">
        <v>4</v>
      </c>
      <c r="J30" s="50">
        <v>1</v>
      </c>
      <c r="K30" s="50">
        <v>1</v>
      </c>
      <c r="L30" s="50">
        <v>1</v>
      </c>
      <c r="M30" s="50">
        <v>20</v>
      </c>
      <c r="N30" s="50">
        <v>0</v>
      </c>
      <c r="O30" s="15">
        <f t="shared" si="0"/>
        <v>51</v>
      </c>
      <c r="P30" s="15">
        <f t="shared" si="1"/>
        <v>71</v>
      </c>
    </row>
    <row r="31" spans="2:32" ht="23.1" customHeight="1" x14ac:dyDescent="0.25">
      <c r="B31" s="24" t="s">
        <v>58</v>
      </c>
      <c r="C31" s="50">
        <v>26</v>
      </c>
      <c r="D31" s="50">
        <v>24</v>
      </c>
      <c r="E31" s="50">
        <v>6</v>
      </c>
      <c r="F31" s="50">
        <v>4</v>
      </c>
      <c r="G31" s="50">
        <v>0</v>
      </c>
      <c r="H31" s="50">
        <v>0</v>
      </c>
      <c r="I31" s="50">
        <v>4</v>
      </c>
      <c r="J31" s="50">
        <v>3</v>
      </c>
      <c r="K31" s="50">
        <v>2</v>
      </c>
      <c r="L31" s="50">
        <v>2</v>
      </c>
      <c r="M31" s="50">
        <v>16</v>
      </c>
      <c r="N31" s="50">
        <v>0</v>
      </c>
      <c r="O31" s="15">
        <f t="shared" si="0"/>
        <v>71</v>
      </c>
      <c r="P31" s="15">
        <f t="shared" si="1"/>
        <v>87</v>
      </c>
    </row>
    <row r="32" spans="2:32" ht="23.1" customHeight="1" x14ac:dyDescent="0.25">
      <c r="B32" s="24" t="s">
        <v>59</v>
      </c>
      <c r="C32" s="50">
        <v>5</v>
      </c>
      <c r="D32" s="50">
        <v>5</v>
      </c>
      <c r="E32" s="50">
        <v>1</v>
      </c>
      <c r="F32" s="50">
        <v>3</v>
      </c>
      <c r="G32" s="50">
        <v>0</v>
      </c>
      <c r="H32" s="50">
        <v>0</v>
      </c>
      <c r="I32" s="50">
        <v>2</v>
      </c>
      <c r="J32" s="50">
        <v>1</v>
      </c>
      <c r="K32" s="50">
        <v>1</v>
      </c>
      <c r="L32" s="50">
        <v>1</v>
      </c>
      <c r="M32" s="50">
        <v>18</v>
      </c>
      <c r="N32" s="50">
        <v>0</v>
      </c>
      <c r="O32" s="15">
        <f t="shared" si="0"/>
        <v>19</v>
      </c>
      <c r="P32" s="15">
        <f t="shared" si="1"/>
        <v>37</v>
      </c>
    </row>
    <row r="33" spans="2:20" ht="23.1" customHeight="1" x14ac:dyDescent="0.25">
      <c r="B33" s="23" t="s">
        <v>60</v>
      </c>
      <c r="C33" s="50">
        <v>5</v>
      </c>
      <c r="D33" s="50">
        <v>5</v>
      </c>
      <c r="E33" s="50">
        <v>2</v>
      </c>
      <c r="F33" s="50">
        <v>3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95</v>
      </c>
      <c r="N33" s="50">
        <v>0</v>
      </c>
      <c r="O33" s="15">
        <f t="shared" si="0"/>
        <v>18</v>
      </c>
      <c r="P33" s="15">
        <f t="shared" si="1"/>
        <v>113</v>
      </c>
    </row>
    <row r="34" spans="2:20" ht="23.1" customHeight="1" x14ac:dyDescent="0.25">
      <c r="B34" s="24" t="s">
        <v>61</v>
      </c>
      <c r="C34" s="50">
        <v>25</v>
      </c>
      <c r="D34" s="50">
        <v>30</v>
      </c>
      <c r="E34" s="50">
        <v>16</v>
      </c>
      <c r="F34" s="50">
        <v>26</v>
      </c>
      <c r="G34" s="50">
        <v>1</v>
      </c>
      <c r="H34" s="50">
        <v>0</v>
      </c>
      <c r="I34" s="50">
        <v>2</v>
      </c>
      <c r="J34" s="50">
        <v>7</v>
      </c>
      <c r="K34" s="50">
        <v>3</v>
      </c>
      <c r="L34" s="50">
        <v>1</v>
      </c>
      <c r="M34" s="50">
        <v>90</v>
      </c>
      <c r="N34" s="50">
        <v>0</v>
      </c>
      <c r="O34" s="15">
        <f t="shared" si="0"/>
        <v>111</v>
      </c>
      <c r="P34" s="15">
        <f t="shared" si="1"/>
        <v>201</v>
      </c>
    </row>
    <row r="35" spans="2:20" ht="23.1" customHeight="1" x14ac:dyDescent="0.25">
      <c r="B35" s="24" t="s">
        <v>62</v>
      </c>
      <c r="C35" s="50">
        <v>15</v>
      </c>
      <c r="D35" s="50">
        <v>31</v>
      </c>
      <c r="E35" s="50">
        <v>5</v>
      </c>
      <c r="F35" s="50">
        <v>16</v>
      </c>
      <c r="G35" s="50">
        <v>0</v>
      </c>
      <c r="H35" s="50">
        <v>0</v>
      </c>
      <c r="I35" s="50">
        <v>1</v>
      </c>
      <c r="J35" s="50">
        <v>1</v>
      </c>
      <c r="K35" s="50">
        <v>1</v>
      </c>
      <c r="L35" s="50">
        <v>1</v>
      </c>
      <c r="M35" s="50">
        <v>80</v>
      </c>
      <c r="N35" s="50">
        <v>0</v>
      </c>
      <c r="O35" s="15">
        <f t="shared" si="0"/>
        <v>71</v>
      </c>
      <c r="P35" s="15">
        <f t="shared" si="1"/>
        <v>151</v>
      </c>
    </row>
    <row r="36" spans="2:20" ht="23.1" customHeight="1" x14ac:dyDescent="0.25">
      <c r="B36" s="24" t="s">
        <v>63</v>
      </c>
      <c r="C36" s="50">
        <v>25</v>
      </c>
      <c r="D36" s="50">
        <v>30</v>
      </c>
      <c r="E36" s="50">
        <v>11</v>
      </c>
      <c r="F36" s="50">
        <v>5</v>
      </c>
      <c r="G36" s="50">
        <v>0</v>
      </c>
      <c r="H36" s="50">
        <v>0</v>
      </c>
      <c r="I36" s="50">
        <v>7</v>
      </c>
      <c r="J36" s="50">
        <v>6</v>
      </c>
      <c r="K36" s="50">
        <v>0</v>
      </c>
      <c r="L36" s="50">
        <v>3</v>
      </c>
      <c r="M36" s="50">
        <v>82</v>
      </c>
      <c r="N36" s="50">
        <v>0</v>
      </c>
      <c r="O36" s="15">
        <f t="shared" si="0"/>
        <v>87</v>
      </c>
      <c r="P36" s="15">
        <f t="shared" si="1"/>
        <v>169</v>
      </c>
    </row>
    <row r="37" spans="2:20" ht="23.1" customHeight="1" x14ac:dyDescent="0.25">
      <c r="B37" s="23" t="s">
        <v>64</v>
      </c>
      <c r="C37" s="50">
        <v>20</v>
      </c>
      <c r="D37" s="50">
        <v>30</v>
      </c>
      <c r="E37" s="50">
        <v>5</v>
      </c>
      <c r="F37" s="50">
        <v>10</v>
      </c>
      <c r="G37" s="50">
        <v>0</v>
      </c>
      <c r="H37" s="50">
        <v>0</v>
      </c>
      <c r="I37" s="50">
        <v>3</v>
      </c>
      <c r="J37" s="50">
        <v>2</v>
      </c>
      <c r="K37" s="50">
        <v>1</v>
      </c>
      <c r="L37" s="50">
        <v>2</v>
      </c>
      <c r="M37" s="50">
        <v>60</v>
      </c>
      <c r="N37" s="50">
        <v>0</v>
      </c>
      <c r="O37" s="15">
        <f t="shared" si="0"/>
        <v>73</v>
      </c>
      <c r="P37" s="15">
        <f t="shared" si="1"/>
        <v>133</v>
      </c>
    </row>
    <row r="38" spans="2:20" ht="23.1" customHeight="1" x14ac:dyDescent="0.25">
      <c r="B38" s="24" t="s">
        <v>65</v>
      </c>
      <c r="C38" s="50">
        <v>20</v>
      </c>
      <c r="D38" s="50">
        <v>25</v>
      </c>
      <c r="E38" s="50">
        <v>9</v>
      </c>
      <c r="F38" s="50">
        <v>9</v>
      </c>
      <c r="G38" s="50">
        <v>0</v>
      </c>
      <c r="H38" s="50">
        <v>0</v>
      </c>
      <c r="I38" s="50">
        <v>5</v>
      </c>
      <c r="J38" s="50">
        <v>2</v>
      </c>
      <c r="K38" s="50">
        <v>0</v>
      </c>
      <c r="L38" s="50">
        <v>2</v>
      </c>
      <c r="M38" s="50">
        <v>80</v>
      </c>
      <c r="N38" s="50">
        <v>0</v>
      </c>
      <c r="O38" s="15">
        <f t="shared" si="0"/>
        <v>72</v>
      </c>
      <c r="P38" s="15">
        <f t="shared" si="1"/>
        <v>152</v>
      </c>
    </row>
    <row r="39" spans="2:20" ht="23.1" customHeight="1" x14ac:dyDescent="0.25">
      <c r="B39" s="24" t="s">
        <v>66</v>
      </c>
      <c r="C39" s="50">
        <v>30</v>
      </c>
      <c r="D39" s="50">
        <v>27</v>
      </c>
      <c r="E39" s="50">
        <v>8</v>
      </c>
      <c r="F39" s="50">
        <v>17</v>
      </c>
      <c r="G39" s="50">
        <v>0</v>
      </c>
      <c r="H39" s="50">
        <v>0</v>
      </c>
      <c r="I39" s="50">
        <v>1</v>
      </c>
      <c r="J39" s="50">
        <v>3</v>
      </c>
      <c r="K39" s="50">
        <v>0</v>
      </c>
      <c r="L39" s="50">
        <v>0</v>
      </c>
      <c r="M39" s="50">
        <v>85</v>
      </c>
      <c r="N39" s="50">
        <v>0</v>
      </c>
      <c r="O39" s="15">
        <f t="shared" si="0"/>
        <v>86</v>
      </c>
      <c r="P39" s="15">
        <f t="shared" si="1"/>
        <v>171</v>
      </c>
    </row>
    <row r="40" spans="2:20" ht="23.1" customHeight="1" x14ac:dyDescent="0.25">
      <c r="B40" s="24" t="s">
        <v>67</v>
      </c>
      <c r="C40" s="50">
        <v>20</v>
      </c>
      <c r="D40" s="50">
        <v>30</v>
      </c>
      <c r="E40" s="50">
        <v>3</v>
      </c>
      <c r="F40" s="50">
        <v>16</v>
      </c>
      <c r="G40" s="50">
        <v>0</v>
      </c>
      <c r="H40" s="50">
        <v>1</v>
      </c>
      <c r="I40" s="50">
        <v>4</v>
      </c>
      <c r="J40" s="50">
        <v>3</v>
      </c>
      <c r="K40" s="50">
        <v>2</v>
      </c>
      <c r="L40" s="50">
        <v>1</v>
      </c>
      <c r="M40" s="50">
        <v>75</v>
      </c>
      <c r="N40" s="50">
        <v>0</v>
      </c>
      <c r="O40" s="15">
        <f t="shared" si="0"/>
        <v>80</v>
      </c>
      <c r="P40" s="15">
        <f t="shared" si="1"/>
        <v>155</v>
      </c>
    </row>
    <row r="41" spans="2:20" ht="23.1" customHeight="1" x14ac:dyDescent="0.25">
      <c r="B41" s="23" t="s">
        <v>68</v>
      </c>
      <c r="C41" s="50">
        <v>24</v>
      </c>
      <c r="D41" s="50">
        <v>35</v>
      </c>
      <c r="E41" s="50">
        <v>9</v>
      </c>
      <c r="F41" s="50">
        <v>11</v>
      </c>
      <c r="G41" s="50">
        <v>0</v>
      </c>
      <c r="H41" s="50">
        <v>1</v>
      </c>
      <c r="I41" s="50">
        <v>6</v>
      </c>
      <c r="J41" s="50">
        <v>5</v>
      </c>
      <c r="K41" s="50">
        <v>1</v>
      </c>
      <c r="L41" s="50">
        <v>0</v>
      </c>
      <c r="M41" s="50">
        <v>85</v>
      </c>
      <c r="N41" s="50">
        <v>0</v>
      </c>
      <c r="O41" s="15">
        <f t="shared" si="0"/>
        <v>92</v>
      </c>
      <c r="P41" s="15">
        <f t="shared" si="1"/>
        <v>177</v>
      </c>
    </row>
    <row r="42" spans="2:20" ht="23.1" customHeight="1" x14ac:dyDescent="0.25">
      <c r="B42" s="24" t="s">
        <v>69</v>
      </c>
      <c r="C42" s="50">
        <v>20</v>
      </c>
      <c r="D42" s="50">
        <v>31</v>
      </c>
      <c r="E42" s="50">
        <v>8</v>
      </c>
      <c r="F42" s="50">
        <v>10</v>
      </c>
      <c r="G42" s="50">
        <v>0</v>
      </c>
      <c r="H42" s="50">
        <v>0</v>
      </c>
      <c r="I42" s="50">
        <v>4</v>
      </c>
      <c r="J42" s="50">
        <v>7</v>
      </c>
      <c r="K42" s="50">
        <v>2</v>
      </c>
      <c r="L42" s="50">
        <v>0</v>
      </c>
      <c r="M42" s="50">
        <v>85</v>
      </c>
      <c r="N42" s="50">
        <v>0</v>
      </c>
      <c r="O42" s="15">
        <f t="shared" si="0"/>
        <v>82</v>
      </c>
      <c r="P42" s="15">
        <f t="shared" si="1"/>
        <v>167</v>
      </c>
    </row>
    <row r="43" spans="2:20" ht="23.1" customHeight="1" x14ac:dyDescent="0.25">
      <c r="B43" s="23" t="s">
        <v>70</v>
      </c>
      <c r="C43" s="50">
        <v>25</v>
      </c>
      <c r="D43" s="50">
        <v>42</v>
      </c>
      <c r="E43" s="50">
        <v>9</v>
      </c>
      <c r="F43" s="50">
        <v>13</v>
      </c>
      <c r="G43" s="50">
        <v>0</v>
      </c>
      <c r="H43" s="50">
        <v>0</v>
      </c>
      <c r="I43" s="50">
        <v>3</v>
      </c>
      <c r="J43" s="50">
        <v>6</v>
      </c>
      <c r="K43" s="50">
        <v>1</v>
      </c>
      <c r="L43" s="50">
        <v>0</v>
      </c>
      <c r="M43" s="50">
        <v>85</v>
      </c>
      <c r="N43" s="50">
        <v>0</v>
      </c>
      <c r="O43" s="15">
        <f t="shared" si="0"/>
        <v>99</v>
      </c>
      <c r="P43" s="15">
        <f t="shared" si="1"/>
        <v>184</v>
      </c>
    </row>
    <row r="44" spans="2:20" ht="23.1" customHeight="1" x14ac:dyDescent="0.25">
      <c r="B44" s="25" t="s">
        <v>71</v>
      </c>
      <c r="C44" s="50">
        <v>27</v>
      </c>
      <c r="D44" s="50">
        <v>44</v>
      </c>
      <c r="E44" s="50">
        <v>11</v>
      </c>
      <c r="F44" s="50">
        <v>12</v>
      </c>
      <c r="G44" s="50">
        <v>1</v>
      </c>
      <c r="H44" s="50">
        <v>0</v>
      </c>
      <c r="I44" s="50">
        <v>7</v>
      </c>
      <c r="J44" s="50">
        <v>4</v>
      </c>
      <c r="K44" s="50">
        <v>6</v>
      </c>
      <c r="L44" s="50">
        <v>0</v>
      </c>
      <c r="M44" s="50">
        <v>76</v>
      </c>
      <c r="N44" s="50">
        <v>0</v>
      </c>
      <c r="O44" s="15">
        <f t="shared" si="0"/>
        <v>112</v>
      </c>
      <c r="P44" s="15">
        <f t="shared" si="1"/>
        <v>188</v>
      </c>
    </row>
    <row r="45" spans="2:20" ht="23.1" customHeight="1" x14ac:dyDescent="0.25">
      <c r="B45" s="23" t="s">
        <v>72</v>
      </c>
      <c r="C45" s="50">
        <v>25</v>
      </c>
      <c r="D45" s="50">
        <v>25</v>
      </c>
      <c r="E45" s="50">
        <v>5</v>
      </c>
      <c r="F45" s="50">
        <v>8</v>
      </c>
      <c r="G45" s="50">
        <v>0</v>
      </c>
      <c r="H45" s="50">
        <v>0</v>
      </c>
      <c r="I45" s="50">
        <v>0</v>
      </c>
      <c r="J45" s="50">
        <v>0</v>
      </c>
      <c r="K45" s="50">
        <v>11</v>
      </c>
      <c r="L45" s="50">
        <v>0</v>
      </c>
      <c r="M45" s="50">
        <v>65</v>
      </c>
      <c r="N45" s="50">
        <v>0</v>
      </c>
      <c r="O45" s="15">
        <f t="shared" si="0"/>
        <v>74</v>
      </c>
      <c r="P45" s="15">
        <f t="shared" si="1"/>
        <v>139</v>
      </c>
    </row>
    <row r="46" spans="2:20" ht="23.1" customHeight="1" x14ac:dyDescent="0.25">
      <c r="B46" s="24" t="s">
        <v>73</v>
      </c>
      <c r="C46" s="50">
        <v>46</v>
      </c>
      <c r="D46" s="50">
        <v>33</v>
      </c>
      <c r="E46" s="50">
        <v>9</v>
      </c>
      <c r="F46" s="50">
        <v>20</v>
      </c>
      <c r="G46" s="50">
        <v>0</v>
      </c>
      <c r="H46" s="50">
        <v>0</v>
      </c>
      <c r="I46" s="50">
        <v>0</v>
      </c>
      <c r="J46" s="50">
        <v>6</v>
      </c>
      <c r="K46" s="50">
        <v>2</v>
      </c>
      <c r="L46" s="50">
        <v>0</v>
      </c>
      <c r="M46" s="50">
        <v>84</v>
      </c>
      <c r="N46" s="50">
        <v>0</v>
      </c>
      <c r="O46" s="15">
        <f t="shared" si="0"/>
        <v>116</v>
      </c>
      <c r="P46" s="15">
        <f t="shared" si="1"/>
        <v>200</v>
      </c>
      <c r="R46" s="8"/>
      <c r="T46"/>
    </row>
    <row r="47" spans="2:20" ht="23.1" customHeight="1" x14ac:dyDescent="0.25">
      <c r="B47" s="24" t="s">
        <v>74</v>
      </c>
      <c r="C47" s="50">
        <v>41</v>
      </c>
      <c r="D47" s="50">
        <v>46</v>
      </c>
      <c r="E47" s="50">
        <v>13</v>
      </c>
      <c r="F47" s="50">
        <v>16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v>2</v>
      </c>
      <c r="M47" s="50">
        <v>75</v>
      </c>
      <c r="N47" s="50">
        <v>0</v>
      </c>
      <c r="O47" s="15">
        <f t="shared" si="0"/>
        <v>120</v>
      </c>
      <c r="P47" s="15">
        <f t="shared" si="1"/>
        <v>195</v>
      </c>
      <c r="R47" s="8"/>
      <c r="T47"/>
    </row>
    <row r="48" spans="2:20" ht="23.1" customHeight="1" x14ac:dyDescent="0.25">
      <c r="B48" s="24" t="s">
        <v>75</v>
      </c>
      <c r="C48" s="50">
        <v>31</v>
      </c>
      <c r="D48" s="50">
        <v>50</v>
      </c>
      <c r="E48" s="50">
        <v>12</v>
      </c>
      <c r="F48" s="50">
        <v>14</v>
      </c>
      <c r="G48" s="50">
        <v>0</v>
      </c>
      <c r="H48" s="50">
        <v>0</v>
      </c>
      <c r="I48" s="50">
        <v>6</v>
      </c>
      <c r="J48" s="50">
        <v>1</v>
      </c>
      <c r="K48" s="50">
        <v>1</v>
      </c>
      <c r="L48" s="50">
        <v>0</v>
      </c>
      <c r="M48" s="50">
        <v>75</v>
      </c>
      <c r="N48" s="50">
        <v>0</v>
      </c>
      <c r="O48" s="15">
        <f t="shared" si="0"/>
        <v>115</v>
      </c>
      <c r="P48" s="15">
        <f t="shared" si="1"/>
        <v>190</v>
      </c>
      <c r="R48" s="8"/>
      <c r="T48"/>
    </row>
    <row r="49" spans="2:20" ht="23.1" customHeight="1" x14ac:dyDescent="0.25">
      <c r="B49" s="23" t="s">
        <v>76</v>
      </c>
      <c r="C49" s="50">
        <v>38</v>
      </c>
      <c r="D49" s="50">
        <v>45</v>
      </c>
      <c r="E49" s="50">
        <v>4</v>
      </c>
      <c r="F49" s="50">
        <v>12</v>
      </c>
      <c r="G49" s="50">
        <v>0</v>
      </c>
      <c r="H49" s="50">
        <v>0</v>
      </c>
      <c r="I49" s="50">
        <v>4</v>
      </c>
      <c r="J49" s="50">
        <v>1</v>
      </c>
      <c r="K49" s="50">
        <v>1</v>
      </c>
      <c r="L49" s="50">
        <v>1</v>
      </c>
      <c r="M49" s="50">
        <v>90</v>
      </c>
      <c r="N49" s="50">
        <v>0</v>
      </c>
      <c r="O49" s="15">
        <f t="shared" si="0"/>
        <v>106</v>
      </c>
      <c r="P49" s="15">
        <f t="shared" si="1"/>
        <v>196</v>
      </c>
      <c r="R49" s="8"/>
      <c r="T49"/>
    </row>
    <row r="50" spans="2:20" ht="23.1" customHeight="1" x14ac:dyDescent="0.25">
      <c r="B50" s="24" t="s">
        <v>77</v>
      </c>
      <c r="C50" s="50">
        <v>45</v>
      </c>
      <c r="D50" s="50">
        <v>60</v>
      </c>
      <c r="E50" s="50">
        <v>12</v>
      </c>
      <c r="F50" s="50">
        <v>15</v>
      </c>
      <c r="G50" s="50">
        <v>1</v>
      </c>
      <c r="H50" s="50">
        <v>0</v>
      </c>
      <c r="I50" s="50">
        <v>1</v>
      </c>
      <c r="J50" s="50">
        <v>5</v>
      </c>
      <c r="K50" s="50">
        <v>5</v>
      </c>
      <c r="L50" s="50">
        <v>1</v>
      </c>
      <c r="M50" s="50">
        <v>120</v>
      </c>
      <c r="N50" s="50">
        <v>0</v>
      </c>
      <c r="O50" s="15">
        <f t="shared" si="0"/>
        <v>145</v>
      </c>
      <c r="P50" s="15">
        <f t="shared" si="1"/>
        <v>265</v>
      </c>
      <c r="R50" s="8"/>
      <c r="T50"/>
    </row>
    <row r="51" spans="2:20" ht="23.1" customHeight="1" x14ac:dyDescent="0.25">
      <c r="B51" s="24" t="s">
        <v>78</v>
      </c>
      <c r="C51" s="50">
        <v>40</v>
      </c>
      <c r="D51" s="50">
        <v>67</v>
      </c>
      <c r="E51" s="50">
        <v>4</v>
      </c>
      <c r="F51" s="50">
        <v>6</v>
      </c>
      <c r="G51" s="50">
        <v>0</v>
      </c>
      <c r="H51" s="50">
        <v>0</v>
      </c>
      <c r="I51" s="50">
        <v>3</v>
      </c>
      <c r="J51" s="50">
        <v>2</v>
      </c>
      <c r="K51" s="50">
        <v>0</v>
      </c>
      <c r="L51" s="50">
        <v>0</v>
      </c>
      <c r="M51" s="50">
        <v>160</v>
      </c>
      <c r="N51" s="50">
        <v>0</v>
      </c>
      <c r="O51" s="15">
        <f t="shared" si="0"/>
        <v>122</v>
      </c>
      <c r="P51" s="15">
        <f t="shared" si="1"/>
        <v>282</v>
      </c>
      <c r="R51" s="8"/>
      <c r="T51"/>
    </row>
    <row r="52" spans="2:20" ht="23.1" customHeight="1" x14ac:dyDescent="0.25">
      <c r="B52" s="24" t="s">
        <v>79</v>
      </c>
      <c r="C52" s="50">
        <v>50</v>
      </c>
      <c r="D52" s="50">
        <v>55</v>
      </c>
      <c r="E52" s="50">
        <v>9</v>
      </c>
      <c r="F52" s="50">
        <v>18</v>
      </c>
      <c r="G52" s="50">
        <v>0</v>
      </c>
      <c r="H52" s="50">
        <v>0</v>
      </c>
      <c r="I52" s="50">
        <v>0</v>
      </c>
      <c r="J52" s="50">
        <v>0</v>
      </c>
      <c r="K52" s="50">
        <v>2</v>
      </c>
      <c r="L52" s="50">
        <v>3</v>
      </c>
      <c r="M52" s="50">
        <v>125</v>
      </c>
      <c r="N52" s="50">
        <v>0</v>
      </c>
      <c r="O52" s="15">
        <f t="shared" si="0"/>
        <v>137</v>
      </c>
      <c r="P52" s="15">
        <f t="shared" si="1"/>
        <v>262</v>
      </c>
      <c r="R52" s="8"/>
      <c r="T52"/>
    </row>
    <row r="53" spans="2:20" ht="23.1" customHeight="1" x14ac:dyDescent="0.25">
      <c r="B53" s="23" t="s">
        <v>80</v>
      </c>
      <c r="C53" s="50">
        <v>50</v>
      </c>
      <c r="D53" s="50">
        <v>76</v>
      </c>
      <c r="E53" s="50">
        <v>18</v>
      </c>
      <c r="F53" s="50">
        <v>70</v>
      </c>
      <c r="G53" s="50">
        <v>1</v>
      </c>
      <c r="H53" s="50">
        <v>0</v>
      </c>
      <c r="I53" s="50">
        <v>5</v>
      </c>
      <c r="J53" s="50">
        <v>1</v>
      </c>
      <c r="K53" s="50">
        <v>0</v>
      </c>
      <c r="L53" s="50">
        <v>0</v>
      </c>
      <c r="M53" s="50">
        <v>100</v>
      </c>
      <c r="N53" s="50">
        <v>0</v>
      </c>
      <c r="O53" s="15">
        <f t="shared" si="0"/>
        <v>221</v>
      </c>
      <c r="P53" s="15">
        <f t="shared" si="1"/>
        <v>321</v>
      </c>
      <c r="R53" s="8"/>
      <c r="T53"/>
    </row>
    <row r="54" spans="2:20" ht="23.1" customHeight="1" x14ac:dyDescent="0.25">
      <c r="B54" s="23" t="s">
        <v>81</v>
      </c>
      <c r="C54" s="50">
        <v>70</v>
      </c>
      <c r="D54" s="50">
        <v>90</v>
      </c>
      <c r="E54" s="50">
        <v>6</v>
      </c>
      <c r="F54" s="50">
        <v>85</v>
      </c>
      <c r="G54" s="50">
        <v>1</v>
      </c>
      <c r="H54" s="50">
        <v>0</v>
      </c>
      <c r="I54" s="50">
        <v>2</v>
      </c>
      <c r="J54" s="50">
        <v>2</v>
      </c>
      <c r="K54" s="50">
        <v>1</v>
      </c>
      <c r="L54" s="50">
        <v>0</v>
      </c>
      <c r="M54" s="50">
        <v>150</v>
      </c>
      <c r="N54" s="50">
        <v>0</v>
      </c>
      <c r="O54" s="15">
        <f t="shared" si="0"/>
        <v>257</v>
      </c>
      <c r="P54" s="15">
        <f t="shared" si="1"/>
        <v>407</v>
      </c>
      <c r="R54" s="8"/>
      <c r="T54"/>
    </row>
    <row r="55" spans="2:20" ht="23.1" customHeight="1" x14ac:dyDescent="0.25">
      <c r="B55" s="23" t="s">
        <v>82</v>
      </c>
      <c r="C55" s="50">
        <v>55</v>
      </c>
      <c r="D55" s="50">
        <v>75</v>
      </c>
      <c r="E55" s="50">
        <v>5</v>
      </c>
      <c r="F55" s="50">
        <v>65</v>
      </c>
      <c r="G55" s="50">
        <v>0</v>
      </c>
      <c r="H55" s="50">
        <v>0</v>
      </c>
      <c r="I55" s="50">
        <v>2</v>
      </c>
      <c r="J55" s="50">
        <v>2</v>
      </c>
      <c r="K55" s="50">
        <v>2</v>
      </c>
      <c r="L55" s="50">
        <v>0</v>
      </c>
      <c r="M55" s="50">
        <v>145</v>
      </c>
      <c r="N55" s="50">
        <v>0</v>
      </c>
      <c r="O55" s="15">
        <f t="shared" si="0"/>
        <v>206</v>
      </c>
      <c r="P55" s="15">
        <f t="shared" si="1"/>
        <v>351</v>
      </c>
      <c r="R55" s="8"/>
      <c r="T55"/>
    </row>
    <row r="56" spans="2:20" ht="23.1" customHeight="1" x14ac:dyDescent="0.25">
      <c r="B56" s="23" t="s">
        <v>83</v>
      </c>
      <c r="C56" s="50">
        <v>75</v>
      </c>
      <c r="D56" s="50">
        <v>95</v>
      </c>
      <c r="E56" s="50">
        <v>15</v>
      </c>
      <c r="F56" s="50">
        <v>70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145</v>
      </c>
      <c r="N56" s="50">
        <v>0</v>
      </c>
      <c r="O56" s="15">
        <f t="shared" si="0"/>
        <v>256</v>
      </c>
      <c r="P56" s="15">
        <f t="shared" si="1"/>
        <v>401</v>
      </c>
      <c r="R56" s="8"/>
      <c r="T56"/>
    </row>
    <row r="57" spans="2:20" ht="23.1" customHeight="1" x14ac:dyDescent="0.25">
      <c r="B57" s="23" t="s">
        <v>84</v>
      </c>
      <c r="C57" s="50">
        <v>75</v>
      </c>
      <c r="D57" s="50">
        <v>65</v>
      </c>
      <c r="E57" s="50">
        <v>3</v>
      </c>
      <c r="F57" s="50">
        <v>70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120</v>
      </c>
      <c r="N57" s="50">
        <v>0</v>
      </c>
      <c r="O57" s="15">
        <f t="shared" si="0"/>
        <v>214</v>
      </c>
      <c r="P57" s="15">
        <f t="shared" si="1"/>
        <v>334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1635</v>
      </c>
      <c r="D58" s="16">
        <f t="shared" si="21"/>
        <v>1508</v>
      </c>
      <c r="E58" s="16">
        <f t="shared" si="21"/>
        <v>326</v>
      </c>
      <c r="F58" s="16">
        <f t="shared" si="21"/>
        <v>1139</v>
      </c>
      <c r="G58" s="16">
        <f t="shared" si="21"/>
        <v>10</v>
      </c>
      <c r="H58" s="16">
        <f t="shared" si="21"/>
        <v>3</v>
      </c>
      <c r="I58" s="16">
        <f t="shared" si="21"/>
        <v>155</v>
      </c>
      <c r="J58" s="16">
        <f t="shared" si="21"/>
        <v>96</v>
      </c>
      <c r="K58" s="16">
        <f t="shared" si="21"/>
        <v>97</v>
      </c>
      <c r="L58" s="16">
        <f t="shared" si="21"/>
        <v>41</v>
      </c>
      <c r="M58" s="16">
        <f t="shared" si="21"/>
        <v>3375</v>
      </c>
      <c r="N58" s="16">
        <f t="shared" si="21"/>
        <v>0</v>
      </c>
      <c r="O58" s="16">
        <f t="shared" si="21"/>
        <v>5010</v>
      </c>
      <c r="P58" s="16">
        <f t="shared" si="21"/>
        <v>8385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0.19499105545617174</v>
      </c>
      <c r="D59" s="43">
        <f t="shared" si="22"/>
        <v>0.17984496124031008</v>
      </c>
      <c r="E59" s="43">
        <f t="shared" si="22"/>
        <v>3.8878950506857482E-2</v>
      </c>
      <c r="F59" s="43">
        <f t="shared" si="22"/>
        <v>0.13583780560524747</v>
      </c>
      <c r="G59" s="43">
        <f t="shared" si="22"/>
        <v>1.1926058437686344E-3</v>
      </c>
      <c r="H59" s="43">
        <f t="shared" si="22"/>
        <v>3.5778175313059033E-4</v>
      </c>
      <c r="I59" s="43">
        <f t="shared" si="22"/>
        <v>1.8485390578413835E-2</v>
      </c>
      <c r="J59" s="43">
        <f t="shared" si="22"/>
        <v>1.1449016100178891E-2</v>
      </c>
      <c r="K59" s="43">
        <f t="shared" si="22"/>
        <v>1.1568276684555755E-2</v>
      </c>
      <c r="L59" s="43">
        <f t="shared" si="22"/>
        <v>4.8896839594514017E-3</v>
      </c>
      <c r="M59" s="43">
        <f t="shared" si="22"/>
        <v>0.40250447227191416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0.32634730538922158</v>
      </c>
      <c r="D60" s="44">
        <f t="shared" ref="D60:N60" si="23">D58/$O$58</f>
        <v>0.30099800399201598</v>
      </c>
      <c r="E60" s="44">
        <f t="shared" si="23"/>
        <v>6.5069860279441116E-2</v>
      </c>
      <c r="F60" s="44">
        <f t="shared" si="23"/>
        <v>0.22734530938123754</v>
      </c>
      <c r="G60" s="44">
        <f t="shared" si="23"/>
        <v>1.996007984031936E-3</v>
      </c>
      <c r="H60" s="44">
        <f t="shared" si="23"/>
        <v>5.9880239520958083E-4</v>
      </c>
      <c r="I60" s="44">
        <f t="shared" si="23"/>
        <v>3.0938123752495009E-2</v>
      </c>
      <c r="J60" s="44">
        <f t="shared" si="23"/>
        <v>1.9161676646706587E-2</v>
      </c>
      <c r="K60" s="44">
        <f t="shared" si="23"/>
        <v>1.9361277445109782E-2</v>
      </c>
      <c r="L60" s="44">
        <f t="shared" si="23"/>
        <v>8.1836327345309375E-3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3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Kyanja -Kisaasi'!C3:G3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Kyanja -Kisaasi'!D5</f>
        <v>29.07.19</v>
      </c>
      <c r="E5" s="3"/>
      <c r="F5" s="41" t="s">
        <v>1</v>
      </c>
      <c r="G5" s="63" t="str">
        <f>'29.07 Kyanja -Kisaasi'!G5:H5</f>
        <v>Malcom Health center</v>
      </c>
      <c r="H5" s="64"/>
      <c r="I5" s="14"/>
      <c r="J5" s="2" t="s">
        <v>5</v>
      </c>
      <c r="K5" s="63" t="s">
        <v>184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168</v>
      </c>
      <c r="E6" s="58"/>
      <c r="F6" s="2" t="s">
        <v>2</v>
      </c>
      <c r="G6" s="57" t="s">
        <v>167</v>
      </c>
      <c r="H6" s="58"/>
      <c r="J6" s="2" t="s">
        <v>21</v>
      </c>
      <c r="K6" s="63" t="s">
        <v>170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82</v>
      </c>
      <c r="D10" s="50">
        <v>21</v>
      </c>
      <c r="E10" s="50">
        <v>8</v>
      </c>
      <c r="F10" s="50">
        <v>12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73</v>
      </c>
      <c r="N10" s="50">
        <v>0</v>
      </c>
      <c r="O10" s="15">
        <f t="shared" ref="O10:O57" si="0">SUM(C10:L10,N10)</f>
        <v>124</v>
      </c>
      <c r="P10" s="15">
        <f t="shared" ref="P10:P57" si="1">SUM(C10:N10)</f>
        <v>197</v>
      </c>
      <c r="R10" s="1" t="s">
        <v>6</v>
      </c>
      <c r="S10" s="17">
        <f t="shared" ref="S10:AF10" si="2">SUM(C10:C13)</f>
        <v>389</v>
      </c>
      <c r="T10" s="17">
        <f t="shared" si="2"/>
        <v>139</v>
      </c>
      <c r="U10" s="17">
        <f t="shared" si="2"/>
        <v>36</v>
      </c>
      <c r="V10" s="17">
        <f t="shared" si="2"/>
        <v>62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478</v>
      </c>
      <c r="AD10" s="17">
        <f t="shared" si="2"/>
        <v>0</v>
      </c>
      <c r="AE10" s="31">
        <f t="shared" si="2"/>
        <v>636</v>
      </c>
      <c r="AF10" s="31">
        <f t="shared" si="2"/>
        <v>1114</v>
      </c>
    </row>
    <row r="11" spans="2:32" s="6" customFormat="1" ht="23.1" customHeight="1" x14ac:dyDescent="0.25">
      <c r="B11" s="23" t="s">
        <v>38</v>
      </c>
      <c r="C11" s="50">
        <v>112</v>
      </c>
      <c r="D11" s="50">
        <v>50</v>
      </c>
      <c r="E11" s="50">
        <v>10</v>
      </c>
      <c r="F11" s="50">
        <v>14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84</v>
      </c>
      <c r="N11" s="50">
        <v>0</v>
      </c>
      <c r="O11" s="15">
        <f t="shared" si="0"/>
        <v>188</v>
      </c>
      <c r="P11" s="15">
        <f t="shared" si="1"/>
        <v>272</v>
      </c>
      <c r="R11" s="1" t="s">
        <v>7</v>
      </c>
      <c r="S11" s="17">
        <f t="shared" ref="S11:AF11" si="3">SUM(C14:C17)</f>
        <v>454</v>
      </c>
      <c r="T11" s="17">
        <f t="shared" si="3"/>
        <v>173</v>
      </c>
      <c r="U11" s="17">
        <f t="shared" si="3"/>
        <v>49</v>
      </c>
      <c r="V11" s="17">
        <f t="shared" si="3"/>
        <v>64</v>
      </c>
      <c r="W11" s="17">
        <f t="shared" si="3"/>
        <v>5</v>
      </c>
      <c r="X11" s="17">
        <f t="shared" si="3"/>
        <v>0</v>
      </c>
      <c r="Y11" s="17">
        <f t="shared" si="3"/>
        <v>28</v>
      </c>
      <c r="Z11" s="17">
        <f t="shared" si="3"/>
        <v>10</v>
      </c>
      <c r="AA11" s="17">
        <f t="shared" si="3"/>
        <v>6</v>
      </c>
      <c r="AB11" s="17">
        <f t="shared" si="3"/>
        <v>1</v>
      </c>
      <c r="AC11" s="17">
        <f t="shared" si="3"/>
        <v>741</v>
      </c>
      <c r="AD11" s="17">
        <f t="shared" si="3"/>
        <v>0</v>
      </c>
      <c r="AE11" s="31">
        <f t="shared" si="3"/>
        <v>790</v>
      </c>
      <c r="AF11" s="31">
        <f t="shared" si="3"/>
        <v>1531</v>
      </c>
    </row>
    <row r="12" spans="2:32" ht="23.1" customHeight="1" x14ac:dyDescent="0.25">
      <c r="B12" s="23" t="s">
        <v>39</v>
      </c>
      <c r="C12" s="50">
        <v>105</v>
      </c>
      <c r="D12" s="50">
        <v>43</v>
      </c>
      <c r="E12" s="50">
        <v>7</v>
      </c>
      <c r="F12" s="50">
        <v>16</v>
      </c>
      <c r="G12" s="50">
        <v>0</v>
      </c>
      <c r="H12" s="50">
        <v>0</v>
      </c>
      <c r="I12" s="50">
        <v>5</v>
      </c>
      <c r="J12" s="50">
        <v>0</v>
      </c>
      <c r="K12" s="50">
        <v>0</v>
      </c>
      <c r="L12" s="50">
        <v>0</v>
      </c>
      <c r="M12" s="50">
        <v>135</v>
      </c>
      <c r="N12" s="50">
        <v>0</v>
      </c>
      <c r="O12" s="15">
        <f t="shared" si="0"/>
        <v>176</v>
      </c>
      <c r="P12" s="15">
        <f t="shared" si="1"/>
        <v>311</v>
      </c>
      <c r="R12" s="1" t="s">
        <v>8</v>
      </c>
      <c r="S12" s="17">
        <f t="shared" ref="S12:AF12" si="4">SUM(C18:C21)</f>
        <v>394</v>
      </c>
      <c r="T12" s="17">
        <f t="shared" si="4"/>
        <v>140</v>
      </c>
      <c r="U12" s="17">
        <f t="shared" si="4"/>
        <v>50</v>
      </c>
      <c r="V12" s="17">
        <f t="shared" si="4"/>
        <v>57</v>
      </c>
      <c r="W12" s="17">
        <f t="shared" si="4"/>
        <v>0</v>
      </c>
      <c r="X12" s="17">
        <f t="shared" si="4"/>
        <v>0</v>
      </c>
      <c r="Y12" s="17">
        <f t="shared" si="4"/>
        <v>32</v>
      </c>
      <c r="Z12" s="17">
        <f t="shared" si="4"/>
        <v>4</v>
      </c>
      <c r="AA12" s="17">
        <f t="shared" si="4"/>
        <v>7</v>
      </c>
      <c r="AB12" s="17">
        <f t="shared" si="4"/>
        <v>2</v>
      </c>
      <c r="AC12" s="17">
        <f t="shared" si="4"/>
        <v>744</v>
      </c>
      <c r="AD12" s="17">
        <f t="shared" si="4"/>
        <v>0</v>
      </c>
      <c r="AE12" s="31">
        <f t="shared" si="4"/>
        <v>686</v>
      </c>
      <c r="AF12" s="31">
        <f t="shared" si="4"/>
        <v>1430</v>
      </c>
    </row>
    <row r="13" spans="2:32" ht="23.1" customHeight="1" x14ac:dyDescent="0.25">
      <c r="B13" s="23" t="s">
        <v>40</v>
      </c>
      <c r="C13" s="50">
        <v>90</v>
      </c>
      <c r="D13" s="50">
        <v>25</v>
      </c>
      <c r="E13" s="50">
        <v>11</v>
      </c>
      <c r="F13" s="50">
        <v>20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186</v>
      </c>
      <c r="N13" s="50">
        <v>0</v>
      </c>
      <c r="O13" s="15">
        <f t="shared" si="0"/>
        <v>148</v>
      </c>
      <c r="P13" s="15">
        <f t="shared" si="1"/>
        <v>334</v>
      </c>
      <c r="R13" s="1" t="s">
        <v>9</v>
      </c>
      <c r="S13" s="17">
        <f t="shared" ref="S13:AF13" si="5">SUM(C22:C25)</f>
        <v>325</v>
      </c>
      <c r="T13" s="17">
        <f t="shared" si="5"/>
        <v>123</v>
      </c>
      <c r="U13" s="17">
        <f t="shared" si="5"/>
        <v>32</v>
      </c>
      <c r="V13" s="17">
        <f t="shared" si="5"/>
        <v>49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2</v>
      </c>
      <c r="AA13" s="17">
        <f t="shared" si="5"/>
        <v>3</v>
      </c>
      <c r="AB13" s="17">
        <f t="shared" si="5"/>
        <v>1</v>
      </c>
      <c r="AC13" s="17">
        <f t="shared" si="5"/>
        <v>538</v>
      </c>
      <c r="AD13" s="17">
        <f t="shared" si="5"/>
        <v>0</v>
      </c>
      <c r="AE13" s="31">
        <f t="shared" si="5"/>
        <v>550</v>
      </c>
      <c r="AF13" s="31">
        <f t="shared" si="5"/>
        <v>1088</v>
      </c>
    </row>
    <row r="14" spans="2:32" ht="23.1" customHeight="1" x14ac:dyDescent="0.25">
      <c r="B14" s="23" t="s">
        <v>41</v>
      </c>
      <c r="C14" s="50">
        <v>119</v>
      </c>
      <c r="D14" s="50">
        <v>41</v>
      </c>
      <c r="E14" s="50">
        <v>15</v>
      </c>
      <c r="F14" s="50">
        <v>23</v>
      </c>
      <c r="G14" s="50">
        <v>0</v>
      </c>
      <c r="H14" s="50">
        <v>0</v>
      </c>
      <c r="I14" s="50">
        <v>9</v>
      </c>
      <c r="J14" s="50">
        <v>1</v>
      </c>
      <c r="K14" s="50">
        <v>2</v>
      </c>
      <c r="L14" s="50">
        <v>0</v>
      </c>
      <c r="M14" s="50">
        <v>134</v>
      </c>
      <c r="N14" s="50">
        <v>0</v>
      </c>
      <c r="O14" s="15">
        <f t="shared" si="0"/>
        <v>210</v>
      </c>
      <c r="P14" s="15">
        <f t="shared" si="1"/>
        <v>344</v>
      </c>
      <c r="R14" s="1" t="s">
        <v>10</v>
      </c>
      <c r="S14" s="17">
        <f t="shared" ref="S14:AF14" si="6">SUM(C26:C29)</f>
        <v>265</v>
      </c>
      <c r="T14" s="17">
        <f t="shared" si="6"/>
        <v>71</v>
      </c>
      <c r="U14" s="17">
        <f t="shared" si="6"/>
        <v>33</v>
      </c>
      <c r="V14" s="17">
        <f t="shared" si="6"/>
        <v>53</v>
      </c>
      <c r="W14" s="17">
        <f t="shared" si="6"/>
        <v>0</v>
      </c>
      <c r="X14" s="17">
        <f t="shared" si="6"/>
        <v>0</v>
      </c>
      <c r="Y14" s="17">
        <f t="shared" si="6"/>
        <v>22</v>
      </c>
      <c r="Z14" s="17">
        <f t="shared" si="6"/>
        <v>5</v>
      </c>
      <c r="AA14" s="17">
        <f t="shared" si="6"/>
        <v>6</v>
      </c>
      <c r="AB14" s="17">
        <f t="shared" si="6"/>
        <v>0</v>
      </c>
      <c r="AC14" s="17">
        <f t="shared" si="6"/>
        <v>703</v>
      </c>
      <c r="AD14" s="17">
        <f t="shared" si="6"/>
        <v>0</v>
      </c>
      <c r="AE14" s="31">
        <f t="shared" si="6"/>
        <v>455</v>
      </c>
      <c r="AF14" s="31">
        <f t="shared" si="6"/>
        <v>1158</v>
      </c>
    </row>
    <row r="15" spans="2:32" ht="23.1" customHeight="1" x14ac:dyDescent="0.25">
      <c r="B15" s="23" t="s">
        <v>42</v>
      </c>
      <c r="C15" s="50">
        <v>114</v>
      </c>
      <c r="D15" s="50">
        <v>54</v>
      </c>
      <c r="E15" s="50">
        <v>12</v>
      </c>
      <c r="F15" s="50">
        <v>18</v>
      </c>
      <c r="G15" s="50">
        <v>5</v>
      </c>
      <c r="H15" s="50">
        <v>0</v>
      </c>
      <c r="I15" s="50">
        <v>7</v>
      </c>
      <c r="J15" s="50">
        <v>4</v>
      </c>
      <c r="K15" s="50">
        <v>2</v>
      </c>
      <c r="L15" s="50">
        <v>1</v>
      </c>
      <c r="M15" s="50">
        <v>162</v>
      </c>
      <c r="N15" s="50">
        <v>0</v>
      </c>
      <c r="O15" s="15">
        <f t="shared" si="0"/>
        <v>217</v>
      </c>
      <c r="P15" s="15">
        <f t="shared" si="1"/>
        <v>379</v>
      </c>
      <c r="R15" s="1" t="s">
        <v>11</v>
      </c>
      <c r="S15" s="17">
        <f t="shared" ref="S15:AF15" si="7">SUM(C30:C33)</f>
        <v>189</v>
      </c>
      <c r="T15" s="17">
        <f t="shared" si="7"/>
        <v>94</v>
      </c>
      <c r="U15" s="17">
        <f t="shared" si="7"/>
        <v>22</v>
      </c>
      <c r="V15" s="17">
        <f t="shared" si="7"/>
        <v>43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4</v>
      </c>
      <c r="AA15" s="17">
        <f t="shared" si="7"/>
        <v>5</v>
      </c>
      <c r="AB15" s="17">
        <f t="shared" si="7"/>
        <v>1</v>
      </c>
      <c r="AC15" s="17">
        <f t="shared" si="7"/>
        <v>568</v>
      </c>
      <c r="AD15" s="17">
        <f t="shared" si="7"/>
        <v>1</v>
      </c>
      <c r="AE15" s="31">
        <f t="shared" si="7"/>
        <v>369</v>
      </c>
      <c r="AF15" s="31">
        <f t="shared" si="7"/>
        <v>937</v>
      </c>
    </row>
    <row r="16" spans="2:32" ht="23.1" customHeight="1" x14ac:dyDescent="0.25">
      <c r="B16" s="23" t="s">
        <v>43</v>
      </c>
      <c r="C16" s="50">
        <v>114</v>
      </c>
      <c r="D16" s="50">
        <v>36</v>
      </c>
      <c r="E16" s="50">
        <v>12</v>
      </c>
      <c r="F16" s="50">
        <v>13</v>
      </c>
      <c r="G16" s="50">
        <v>0</v>
      </c>
      <c r="H16" s="50">
        <v>0</v>
      </c>
      <c r="I16" s="50">
        <v>6</v>
      </c>
      <c r="J16" s="50">
        <v>2</v>
      </c>
      <c r="K16" s="50">
        <v>1</v>
      </c>
      <c r="L16" s="50">
        <v>0</v>
      </c>
      <c r="M16" s="50">
        <v>190</v>
      </c>
      <c r="N16" s="50">
        <v>0</v>
      </c>
      <c r="O16" s="15">
        <f t="shared" si="0"/>
        <v>184</v>
      </c>
      <c r="P16" s="15">
        <f t="shared" si="1"/>
        <v>374</v>
      </c>
      <c r="R16" s="1" t="s">
        <v>12</v>
      </c>
      <c r="S16" s="17">
        <f t="shared" ref="S16:AF16" si="8">SUM(C34:C37)</f>
        <v>171</v>
      </c>
      <c r="T16" s="17">
        <f t="shared" si="8"/>
        <v>61</v>
      </c>
      <c r="U16" s="17">
        <f t="shared" si="8"/>
        <v>17</v>
      </c>
      <c r="V16" s="17">
        <f t="shared" si="8"/>
        <v>44</v>
      </c>
      <c r="W16" s="17">
        <f t="shared" si="8"/>
        <v>0</v>
      </c>
      <c r="X16" s="17">
        <f t="shared" si="8"/>
        <v>0</v>
      </c>
      <c r="Y16" s="17">
        <f t="shared" si="8"/>
        <v>26</v>
      </c>
      <c r="Z16" s="17">
        <f t="shared" si="8"/>
        <v>9</v>
      </c>
      <c r="AA16" s="17">
        <f t="shared" si="8"/>
        <v>3</v>
      </c>
      <c r="AB16" s="17">
        <f t="shared" si="8"/>
        <v>0</v>
      </c>
      <c r="AC16" s="17">
        <f t="shared" si="8"/>
        <v>588</v>
      </c>
      <c r="AD16" s="17">
        <f t="shared" si="8"/>
        <v>0</v>
      </c>
      <c r="AE16" s="31">
        <f t="shared" si="8"/>
        <v>331</v>
      </c>
      <c r="AF16" s="31">
        <f t="shared" si="8"/>
        <v>919</v>
      </c>
    </row>
    <row r="17" spans="2:32" ht="23.1" customHeight="1" x14ac:dyDescent="0.25">
      <c r="B17" s="23" t="s">
        <v>44</v>
      </c>
      <c r="C17" s="50">
        <v>107</v>
      </c>
      <c r="D17" s="50">
        <v>42</v>
      </c>
      <c r="E17" s="50">
        <v>10</v>
      </c>
      <c r="F17" s="50">
        <v>10</v>
      </c>
      <c r="G17" s="50">
        <v>0</v>
      </c>
      <c r="H17" s="50">
        <v>0</v>
      </c>
      <c r="I17" s="50">
        <v>6</v>
      </c>
      <c r="J17" s="50">
        <v>3</v>
      </c>
      <c r="K17" s="50">
        <v>1</v>
      </c>
      <c r="L17" s="50">
        <v>0</v>
      </c>
      <c r="M17" s="50">
        <v>255</v>
      </c>
      <c r="N17" s="50">
        <v>0</v>
      </c>
      <c r="O17" s="15">
        <f t="shared" si="0"/>
        <v>179</v>
      </c>
      <c r="P17" s="15">
        <f t="shared" si="1"/>
        <v>434</v>
      </c>
      <c r="R17" s="1" t="s">
        <v>13</v>
      </c>
      <c r="S17" s="17">
        <f t="shared" ref="S17:AF17" si="9">SUM(C38:C41)</f>
        <v>171</v>
      </c>
      <c r="T17" s="17">
        <f t="shared" si="9"/>
        <v>73</v>
      </c>
      <c r="U17" s="17">
        <f t="shared" si="9"/>
        <v>31</v>
      </c>
      <c r="V17" s="17">
        <f t="shared" si="9"/>
        <v>46</v>
      </c>
      <c r="W17" s="17">
        <f t="shared" si="9"/>
        <v>3</v>
      </c>
      <c r="X17" s="17">
        <f t="shared" si="9"/>
        <v>0</v>
      </c>
      <c r="Y17" s="17">
        <f t="shared" si="9"/>
        <v>21</v>
      </c>
      <c r="Z17" s="17">
        <f t="shared" si="9"/>
        <v>10</v>
      </c>
      <c r="AA17" s="17">
        <f t="shared" si="9"/>
        <v>10</v>
      </c>
      <c r="AB17" s="17">
        <f t="shared" si="9"/>
        <v>2</v>
      </c>
      <c r="AC17" s="17">
        <f t="shared" si="9"/>
        <v>473</v>
      </c>
      <c r="AD17" s="17">
        <f t="shared" si="9"/>
        <v>0</v>
      </c>
      <c r="AE17" s="31">
        <f t="shared" si="9"/>
        <v>367</v>
      </c>
      <c r="AF17" s="31">
        <f t="shared" si="9"/>
        <v>840</v>
      </c>
    </row>
    <row r="18" spans="2:32" ht="23.1" customHeight="1" x14ac:dyDescent="0.25">
      <c r="B18" s="23" t="s">
        <v>45</v>
      </c>
      <c r="C18" s="50">
        <v>96</v>
      </c>
      <c r="D18" s="50">
        <v>28</v>
      </c>
      <c r="E18" s="50">
        <v>12</v>
      </c>
      <c r="F18" s="50">
        <v>20</v>
      </c>
      <c r="G18" s="50">
        <v>0</v>
      </c>
      <c r="H18" s="50">
        <v>0</v>
      </c>
      <c r="I18" s="50">
        <v>11</v>
      </c>
      <c r="J18" s="50">
        <v>1</v>
      </c>
      <c r="K18" s="50">
        <v>2</v>
      </c>
      <c r="L18" s="50">
        <v>1</v>
      </c>
      <c r="M18" s="50">
        <v>185</v>
      </c>
      <c r="N18" s="50">
        <v>0</v>
      </c>
      <c r="O18" s="15">
        <f t="shared" si="0"/>
        <v>171</v>
      </c>
      <c r="P18" s="15">
        <f t="shared" si="1"/>
        <v>356</v>
      </c>
      <c r="R18" s="1" t="s">
        <v>14</v>
      </c>
      <c r="S18" s="17">
        <f t="shared" ref="S18:AF18" si="10">SUM(C42:C45)</f>
        <v>219</v>
      </c>
      <c r="T18" s="17">
        <f t="shared" si="10"/>
        <v>93</v>
      </c>
      <c r="U18" s="17">
        <f t="shared" si="10"/>
        <v>43</v>
      </c>
      <c r="V18" s="17">
        <f t="shared" si="10"/>
        <v>40</v>
      </c>
      <c r="W18" s="17">
        <f t="shared" si="10"/>
        <v>0</v>
      </c>
      <c r="X18" s="17">
        <f t="shared" si="10"/>
        <v>0</v>
      </c>
      <c r="Y18" s="17">
        <f t="shared" si="10"/>
        <v>32</v>
      </c>
      <c r="Z18" s="17">
        <f t="shared" si="10"/>
        <v>8</v>
      </c>
      <c r="AA18" s="17">
        <f t="shared" si="10"/>
        <v>8</v>
      </c>
      <c r="AB18" s="17">
        <f t="shared" si="10"/>
        <v>1</v>
      </c>
      <c r="AC18" s="17">
        <f t="shared" si="10"/>
        <v>438</v>
      </c>
      <c r="AD18" s="17">
        <f t="shared" si="10"/>
        <v>0</v>
      </c>
      <c r="AE18" s="31">
        <f t="shared" si="10"/>
        <v>444</v>
      </c>
      <c r="AF18" s="31">
        <f t="shared" si="10"/>
        <v>882</v>
      </c>
    </row>
    <row r="19" spans="2:32" ht="23.1" customHeight="1" x14ac:dyDescent="0.25">
      <c r="B19" s="23" t="s">
        <v>46</v>
      </c>
      <c r="C19" s="50">
        <v>102</v>
      </c>
      <c r="D19" s="50">
        <v>37</v>
      </c>
      <c r="E19" s="50">
        <v>9</v>
      </c>
      <c r="F19" s="50">
        <v>14</v>
      </c>
      <c r="G19" s="50">
        <v>0</v>
      </c>
      <c r="H19" s="50">
        <v>0</v>
      </c>
      <c r="I19" s="50">
        <v>7</v>
      </c>
      <c r="J19" s="50">
        <v>1</v>
      </c>
      <c r="K19" s="50">
        <v>0</v>
      </c>
      <c r="L19" s="50">
        <v>1</v>
      </c>
      <c r="M19" s="50">
        <v>178</v>
      </c>
      <c r="N19" s="50">
        <v>0</v>
      </c>
      <c r="O19" s="15">
        <f t="shared" si="0"/>
        <v>171</v>
      </c>
      <c r="P19" s="15">
        <f t="shared" si="1"/>
        <v>349</v>
      </c>
      <c r="R19" s="1" t="s">
        <v>15</v>
      </c>
      <c r="S19" s="17">
        <f t="shared" ref="S19:AF19" si="11">SUM(C46:C49)</f>
        <v>272</v>
      </c>
      <c r="T19" s="17">
        <f t="shared" si="11"/>
        <v>112</v>
      </c>
      <c r="U19" s="17">
        <f t="shared" si="11"/>
        <v>31</v>
      </c>
      <c r="V19" s="17">
        <f t="shared" si="11"/>
        <v>47</v>
      </c>
      <c r="W19" s="17">
        <f t="shared" si="11"/>
        <v>0</v>
      </c>
      <c r="X19" s="17">
        <f t="shared" si="11"/>
        <v>0</v>
      </c>
      <c r="Y19" s="17">
        <f t="shared" si="11"/>
        <v>26</v>
      </c>
      <c r="Z19" s="17">
        <f t="shared" si="11"/>
        <v>11</v>
      </c>
      <c r="AA19" s="17">
        <f t="shared" si="11"/>
        <v>10</v>
      </c>
      <c r="AB19" s="17">
        <f t="shared" si="11"/>
        <v>0</v>
      </c>
      <c r="AC19" s="17">
        <f t="shared" si="11"/>
        <v>525</v>
      </c>
      <c r="AD19" s="17">
        <f t="shared" si="11"/>
        <v>1</v>
      </c>
      <c r="AE19" s="31">
        <f t="shared" si="11"/>
        <v>510</v>
      </c>
      <c r="AF19" s="31">
        <f t="shared" si="11"/>
        <v>1035</v>
      </c>
    </row>
    <row r="20" spans="2:32" ht="23.1" customHeight="1" x14ac:dyDescent="0.25">
      <c r="B20" s="23" t="s">
        <v>47</v>
      </c>
      <c r="C20" s="50">
        <v>100</v>
      </c>
      <c r="D20" s="50">
        <v>39</v>
      </c>
      <c r="E20" s="50">
        <v>16</v>
      </c>
      <c r="F20" s="50">
        <v>9</v>
      </c>
      <c r="G20" s="50">
        <v>0</v>
      </c>
      <c r="H20" s="50">
        <v>0</v>
      </c>
      <c r="I20" s="50">
        <v>6</v>
      </c>
      <c r="J20" s="50">
        <v>0</v>
      </c>
      <c r="K20" s="50">
        <v>4</v>
      </c>
      <c r="L20" s="50">
        <v>0</v>
      </c>
      <c r="M20" s="50">
        <v>191</v>
      </c>
      <c r="N20" s="50">
        <v>0</v>
      </c>
      <c r="O20" s="15">
        <f t="shared" si="0"/>
        <v>174</v>
      </c>
      <c r="P20" s="15">
        <f t="shared" si="1"/>
        <v>365</v>
      </c>
      <c r="R20" s="1" t="s">
        <v>16</v>
      </c>
      <c r="S20" s="17">
        <f t="shared" ref="S20:AF20" si="12">SUM(C50:C53)</f>
        <v>286</v>
      </c>
      <c r="T20" s="17">
        <f t="shared" si="12"/>
        <v>142</v>
      </c>
      <c r="U20" s="17">
        <f t="shared" si="12"/>
        <v>40</v>
      </c>
      <c r="V20" s="17">
        <f t="shared" si="12"/>
        <v>93</v>
      </c>
      <c r="W20" s="17">
        <f t="shared" si="12"/>
        <v>5</v>
      </c>
      <c r="X20" s="17">
        <f t="shared" si="12"/>
        <v>0</v>
      </c>
      <c r="Y20" s="17">
        <f t="shared" si="12"/>
        <v>9</v>
      </c>
      <c r="Z20" s="17">
        <f t="shared" si="12"/>
        <v>1</v>
      </c>
      <c r="AA20" s="17">
        <f t="shared" si="12"/>
        <v>5</v>
      </c>
      <c r="AB20" s="17">
        <f t="shared" si="12"/>
        <v>3</v>
      </c>
      <c r="AC20" s="17">
        <f t="shared" si="12"/>
        <v>742</v>
      </c>
      <c r="AD20" s="17">
        <f t="shared" si="12"/>
        <v>0</v>
      </c>
      <c r="AE20" s="31">
        <f t="shared" si="12"/>
        <v>584</v>
      </c>
      <c r="AF20" s="31">
        <f t="shared" si="12"/>
        <v>1326</v>
      </c>
    </row>
    <row r="21" spans="2:32" ht="23.1" customHeight="1" x14ac:dyDescent="0.25">
      <c r="B21" s="23" t="s">
        <v>48</v>
      </c>
      <c r="C21" s="50">
        <v>96</v>
      </c>
      <c r="D21" s="50">
        <v>36</v>
      </c>
      <c r="E21" s="50">
        <v>13</v>
      </c>
      <c r="F21" s="50">
        <v>14</v>
      </c>
      <c r="G21" s="50">
        <v>0</v>
      </c>
      <c r="H21" s="50">
        <v>0</v>
      </c>
      <c r="I21" s="50">
        <v>8</v>
      </c>
      <c r="J21" s="50">
        <v>2</v>
      </c>
      <c r="K21" s="50">
        <v>1</v>
      </c>
      <c r="L21" s="50">
        <v>0</v>
      </c>
      <c r="M21" s="50">
        <v>190</v>
      </c>
      <c r="N21" s="50">
        <v>0</v>
      </c>
      <c r="O21" s="15">
        <f t="shared" si="0"/>
        <v>170</v>
      </c>
      <c r="P21" s="15">
        <f t="shared" si="1"/>
        <v>360</v>
      </c>
      <c r="R21" s="36" t="s">
        <v>20</v>
      </c>
      <c r="S21" s="34">
        <f t="shared" ref="S21:AF21" si="13">SUM(C54:C57)</f>
        <v>249</v>
      </c>
      <c r="T21" s="17">
        <f t="shared" si="13"/>
        <v>145</v>
      </c>
      <c r="U21" s="17">
        <f t="shared" si="13"/>
        <v>36</v>
      </c>
      <c r="V21" s="17">
        <f t="shared" si="13"/>
        <v>65</v>
      </c>
      <c r="W21" s="17">
        <f t="shared" si="13"/>
        <v>2</v>
      </c>
      <c r="X21" s="17">
        <f t="shared" si="13"/>
        <v>0</v>
      </c>
      <c r="Y21" s="17">
        <f t="shared" si="13"/>
        <v>18</v>
      </c>
      <c r="Z21" s="17">
        <f t="shared" si="13"/>
        <v>5</v>
      </c>
      <c r="AA21" s="17">
        <f t="shared" si="13"/>
        <v>10</v>
      </c>
      <c r="AB21" s="17">
        <f t="shared" si="13"/>
        <v>0</v>
      </c>
      <c r="AC21" s="17">
        <f t="shared" si="13"/>
        <v>837</v>
      </c>
      <c r="AD21" s="17">
        <f t="shared" si="13"/>
        <v>0</v>
      </c>
      <c r="AE21" s="31">
        <f t="shared" si="13"/>
        <v>530</v>
      </c>
      <c r="AF21" s="31">
        <f t="shared" si="13"/>
        <v>1367</v>
      </c>
    </row>
    <row r="22" spans="2:32" ht="23.1" customHeight="1" x14ac:dyDescent="0.25">
      <c r="B22" s="23" t="s">
        <v>49</v>
      </c>
      <c r="C22" s="50">
        <v>90</v>
      </c>
      <c r="D22" s="50">
        <v>43</v>
      </c>
      <c r="E22" s="50">
        <v>8</v>
      </c>
      <c r="F22" s="50">
        <v>11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1</v>
      </c>
      <c r="M22" s="50">
        <v>134</v>
      </c>
      <c r="N22" s="50">
        <v>0</v>
      </c>
      <c r="O22" s="15">
        <f t="shared" si="0"/>
        <v>155</v>
      </c>
      <c r="P22" s="15">
        <f t="shared" si="1"/>
        <v>289</v>
      </c>
      <c r="R22" s="38" t="s">
        <v>90</v>
      </c>
      <c r="S22" s="39">
        <f>MAX(S10:S12)</f>
        <v>454</v>
      </c>
      <c r="T22" s="39">
        <f t="shared" ref="T22:AF22" si="14">MAX(T10:T12)</f>
        <v>173</v>
      </c>
      <c r="U22" s="39">
        <f t="shared" si="14"/>
        <v>50</v>
      </c>
      <c r="V22" s="39">
        <f t="shared" si="14"/>
        <v>64</v>
      </c>
      <c r="W22" s="39">
        <f t="shared" si="14"/>
        <v>5</v>
      </c>
      <c r="X22" s="39">
        <f t="shared" si="14"/>
        <v>0</v>
      </c>
      <c r="Y22" s="39">
        <f t="shared" si="14"/>
        <v>32</v>
      </c>
      <c r="Z22" s="39">
        <f t="shared" si="14"/>
        <v>10</v>
      </c>
      <c r="AA22" s="39">
        <f t="shared" si="14"/>
        <v>7</v>
      </c>
      <c r="AB22" s="39">
        <f t="shared" si="14"/>
        <v>2</v>
      </c>
      <c r="AC22" s="39">
        <f t="shared" si="14"/>
        <v>744</v>
      </c>
      <c r="AD22" s="39">
        <f t="shared" si="14"/>
        <v>0</v>
      </c>
      <c r="AE22" s="40">
        <f t="shared" si="14"/>
        <v>790</v>
      </c>
      <c r="AF22" s="40">
        <f t="shared" si="14"/>
        <v>1531</v>
      </c>
    </row>
    <row r="23" spans="2:32" ht="23.1" customHeight="1" x14ac:dyDescent="0.25">
      <c r="B23" s="23" t="s">
        <v>50</v>
      </c>
      <c r="C23" s="50">
        <v>73</v>
      </c>
      <c r="D23" s="50">
        <v>26</v>
      </c>
      <c r="E23" s="50">
        <v>6</v>
      </c>
      <c r="F23" s="50">
        <v>11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129</v>
      </c>
      <c r="N23" s="50">
        <v>0</v>
      </c>
      <c r="O23" s="15">
        <f t="shared" si="0"/>
        <v>121</v>
      </c>
      <c r="P23" s="15">
        <f t="shared" si="1"/>
        <v>250</v>
      </c>
      <c r="R23" s="38" t="s">
        <v>91</v>
      </c>
      <c r="S23" s="39">
        <f>MAX(S13:S18)</f>
        <v>325</v>
      </c>
      <c r="T23" s="39">
        <f t="shared" ref="T23:AF23" si="15">MAX(T13:T18)</f>
        <v>123</v>
      </c>
      <c r="U23" s="39">
        <f t="shared" si="15"/>
        <v>43</v>
      </c>
      <c r="V23" s="39">
        <f t="shared" si="15"/>
        <v>53</v>
      </c>
      <c r="W23" s="39">
        <f t="shared" si="15"/>
        <v>3</v>
      </c>
      <c r="X23" s="39">
        <f t="shared" si="15"/>
        <v>0</v>
      </c>
      <c r="Y23" s="39">
        <f t="shared" si="15"/>
        <v>32</v>
      </c>
      <c r="Z23" s="39">
        <f t="shared" si="15"/>
        <v>10</v>
      </c>
      <c r="AA23" s="39">
        <f t="shared" si="15"/>
        <v>10</v>
      </c>
      <c r="AB23" s="39">
        <f t="shared" si="15"/>
        <v>2</v>
      </c>
      <c r="AC23" s="39">
        <f t="shared" si="15"/>
        <v>703</v>
      </c>
      <c r="AD23" s="39">
        <f t="shared" si="15"/>
        <v>1</v>
      </c>
      <c r="AE23" s="40">
        <f t="shared" si="15"/>
        <v>550</v>
      </c>
      <c r="AF23" s="40">
        <f t="shared" si="15"/>
        <v>1158</v>
      </c>
    </row>
    <row r="24" spans="2:32" ht="23.1" customHeight="1" x14ac:dyDescent="0.25">
      <c r="B24" s="23" t="s">
        <v>51</v>
      </c>
      <c r="C24" s="50">
        <v>88</v>
      </c>
      <c r="D24" s="50">
        <v>39</v>
      </c>
      <c r="E24" s="50">
        <v>8</v>
      </c>
      <c r="F24" s="50">
        <v>17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142</v>
      </c>
      <c r="N24" s="50">
        <v>0</v>
      </c>
      <c r="O24" s="15">
        <f t="shared" si="0"/>
        <v>156</v>
      </c>
      <c r="P24" s="15">
        <f t="shared" si="1"/>
        <v>298</v>
      </c>
      <c r="R24" s="38" t="s">
        <v>92</v>
      </c>
      <c r="S24" s="39">
        <f>MAX(S19:S21)</f>
        <v>286</v>
      </c>
      <c r="T24" s="39">
        <f t="shared" ref="T24:AF24" si="16">MAX(T19:T21)</f>
        <v>145</v>
      </c>
      <c r="U24" s="39">
        <f t="shared" si="16"/>
        <v>40</v>
      </c>
      <c r="V24" s="39">
        <f t="shared" si="16"/>
        <v>93</v>
      </c>
      <c r="W24" s="39">
        <f t="shared" si="16"/>
        <v>5</v>
      </c>
      <c r="X24" s="39">
        <f t="shared" si="16"/>
        <v>0</v>
      </c>
      <c r="Y24" s="39">
        <f t="shared" si="16"/>
        <v>26</v>
      </c>
      <c r="Z24" s="39">
        <f t="shared" si="16"/>
        <v>11</v>
      </c>
      <c r="AA24" s="39">
        <f t="shared" si="16"/>
        <v>10</v>
      </c>
      <c r="AB24" s="39">
        <f t="shared" si="16"/>
        <v>3</v>
      </c>
      <c r="AC24" s="39">
        <f t="shared" si="16"/>
        <v>837</v>
      </c>
      <c r="AD24" s="39">
        <f t="shared" si="16"/>
        <v>1</v>
      </c>
      <c r="AE24" s="40">
        <f t="shared" si="16"/>
        <v>584</v>
      </c>
      <c r="AF24" s="40">
        <f t="shared" si="16"/>
        <v>1367</v>
      </c>
    </row>
    <row r="25" spans="2:32" ht="23.1" customHeight="1" x14ac:dyDescent="0.25">
      <c r="B25" s="23" t="s">
        <v>52</v>
      </c>
      <c r="C25" s="50">
        <v>74</v>
      </c>
      <c r="D25" s="50">
        <v>15</v>
      </c>
      <c r="E25" s="50">
        <v>10</v>
      </c>
      <c r="F25" s="50">
        <v>10</v>
      </c>
      <c r="G25" s="50">
        <v>0</v>
      </c>
      <c r="H25" s="50">
        <v>0</v>
      </c>
      <c r="I25" s="50">
        <v>5</v>
      </c>
      <c r="J25" s="50">
        <v>1</v>
      </c>
      <c r="K25" s="50">
        <v>3</v>
      </c>
      <c r="L25" s="50">
        <v>0</v>
      </c>
      <c r="M25" s="50">
        <v>133</v>
      </c>
      <c r="N25" s="50">
        <v>0</v>
      </c>
      <c r="O25" s="15">
        <f t="shared" si="0"/>
        <v>118</v>
      </c>
      <c r="P25" s="15">
        <f t="shared" si="1"/>
        <v>251</v>
      </c>
      <c r="R25" s="37" t="s">
        <v>85</v>
      </c>
      <c r="S25" s="35">
        <f t="shared" ref="S25:AF25" si="17">SUM(S10:S12)</f>
        <v>1237</v>
      </c>
      <c r="T25" s="16">
        <f t="shared" si="17"/>
        <v>452</v>
      </c>
      <c r="U25" s="16">
        <f t="shared" si="17"/>
        <v>135</v>
      </c>
      <c r="V25" s="16">
        <f t="shared" si="17"/>
        <v>183</v>
      </c>
      <c r="W25" s="16">
        <f t="shared" si="17"/>
        <v>5</v>
      </c>
      <c r="X25" s="16">
        <f t="shared" si="17"/>
        <v>0</v>
      </c>
      <c r="Y25" s="16">
        <f t="shared" si="17"/>
        <v>69</v>
      </c>
      <c r="Z25" s="16">
        <f t="shared" si="17"/>
        <v>15</v>
      </c>
      <c r="AA25" s="16">
        <f t="shared" si="17"/>
        <v>13</v>
      </c>
      <c r="AB25" s="16">
        <f t="shared" si="17"/>
        <v>3</v>
      </c>
      <c r="AC25" s="16">
        <f t="shared" si="17"/>
        <v>1963</v>
      </c>
      <c r="AD25" s="16">
        <f t="shared" si="17"/>
        <v>0</v>
      </c>
      <c r="AE25" s="32">
        <f t="shared" si="17"/>
        <v>2112</v>
      </c>
      <c r="AF25" s="32">
        <f t="shared" si="17"/>
        <v>4075</v>
      </c>
    </row>
    <row r="26" spans="2:32" ht="23.1" customHeight="1" x14ac:dyDescent="0.25">
      <c r="B26" s="23" t="s">
        <v>53</v>
      </c>
      <c r="C26" s="50">
        <v>77</v>
      </c>
      <c r="D26" s="50">
        <v>3</v>
      </c>
      <c r="E26" s="50">
        <v>6</v>
      </c>
      <c r="F26" s="50">
        <v>9</v>
      </c>
      <c r="G26" s="50">
        <v>0</v>
      </c>
      <c r="H26" s="50">
        <v>0</v>
      </c>
      <c r="I26" s="50">
        <v>3</v>
      </c>
      <c r="J26" s="50">
        <v>0</v>
      </c>
      <c r="K26" s="50">
        <v>2</v>
      </c>
      <c r="L26" s="50">
        <v>0</v>
      </c>
      <c r="M26" s="50">
        <v>166</v>
      </c>
      <c r="N26" s="50">
        <v>0</v>
      </c>
      <c r="O26" s="15">
        <f t="shared" si="0"/>
        <v>100</v>
      </c>
      <c r="P26" s="15">
        <f t="shared" si="1"/>
        <v>266</v>
      </c>
      <c r="R26" s="28" t="s">
        <v>86</v>
      </c>
      <c r="S26" s="16">
        <f t="shared" ref="S26:AF26" si="18">SUM(S13:S18)</f>
        <v>1340</v>
      </c>
      <c r="T26" s="16">
        <f t="shared" si="18"/>
        <v>515</v>
      </c>
      <c r="U26" s="16">
        <f t="shared" si="18"/>
        <v>178</v>
      </c>
      <c r="V26" s="16">
        <f t="shared" si="18"/>
        <v>275</v>
      </c>
      <c r="W26" s="16">
        <f t="shared" si="18"/>
        <v>3</v>
      </c>
      <c r="X26" s="16">
        <f t="shared" si="18"/>
        <v>0</v>
      </c>
      <c r="Y26" s="16">
        <f t="shared" si="18"/>
        <v>126</v>
      </c>
      <c r="Z26" s="16">
        <f t="shared" si="18"/>
        <v>38</v>
      </c>
      <c r="AA26" s="16">
        <f t="shared" si="18"/>
        <v>35</v>
      </c>
      <c r="AB26" s="16">
        <f t="shared" si="18"/>
        <v>5</v>
      </c>
      <c r="AC26" s="16">
        <f t="shared" si="18"/>
        <v>3308</v>
      </c>
      <c r="AD26" s="16">
        <f t="shared" si="18"/>
        <v>1</v>
      </c>
      <c r="AE26" s="32">
        <f t="shared" si="18"/>
        <v>2516</v>
      </c>
      <c r="AF26" s="32">
        <f t="shared" si="18"/>
        <v>5824</v>
      </c>
    </row>
    <row r="27" spans="2:32" ht="23.1" customHeight="1" x14ac:dyDescent="0.25">
      <c r="B27" s="23" t="s">
        <v>54</v>
      </c>
      <c r="C27" s="50">
        <v>57</v>
      </c>
      <c r="D27" s="50">
        <v>22</v>
      </c>
      <c r="E27" s="50">
        <v>11</v>
      </c>
      <c r="F27" s="50">
        <v>15</v>
      </c>
      <c r="G27" s="50">
        <v>0</v>
      </c>
      <c r="H27" s="50">
        <v>0</v>
      </c>
      <c r="I27" s="50">
        <v>5</v>
      </c>
      <c r="J27" s="50">
        <v>3</v>
      </c>
      <c r="K27" s="50">
        <v>3</v>
      </c>
      <c r="L27" s="50">
        <v>0</v>
      </c>
      <c r="M27" s="50">
        <v>191</v>
      </c>
      <c r="N27" s="50">
        <v>0</v>
      </c>
      <c r="O27" s="15">
        <f t="shared" si="0"/>
        <v>116</v>
      </c>
      <c r="P27" s="15">
        <f t="shared" si="1"/>
        <v>307</v>
      </c>
      <c r="R27" s="29" t="s">
        <v>87</v>
      </c>
      <c r="S27" s="16">
        <f t="shared" ref="S27:AF27" si="19">SUM(S19:S21)</f>
        <v>807</v>
      </c>
      <c r="T27" s="16">
        <f t="shared" si="19"/>
        <v>399</v>
      </c>
      <c r="U27" s="16">
        <f t="shared" si="19"/>
        <v>107</v>
      </c>
      <c r="V27" s="16">
        <f t="shared" si="19"/>
        <v>205</v>
      </c>
      <c r="W27" s="16">
        <f t="shared" si="19"/>
        <v>7</v>
      </c>
      <c r="X27" s="16">
        <f t="shared" si="19"/>
        <v>0</v>
      </c>
      <c r="Y27" s="16">
        <f t="shared" si="19"/>
        <v>53</v>
      </c>
      <c r="Z27" s="16">
        <f t="shared" si="19"/>
        <v>17</v>
      </c>
      <c r="AA27" s="16">
        <f t="shared" si="19"/>
        <v>25</v>
      </c>
      <c r="AB27" s="16">
        <f t="shared" si="19"/>
        <v>3</v>
      </c>
      <c r="AC27" s="16">
        <f t="shared" si="19"/>
        <v>2104</v>
      </c>
      <c r="AD27" s="16">
        <f t="shared" si="19"/>
        <v>1</v>
      </c>
      <c r="AE27" s="32">
        <f t="shared" si="19"/>
        <v>1624</v>
      </c>
      <c r="AF27" s="32">
        <f t="shared" si="19"/>
        <v>3728</v>
      </c>
    </row>
    <row r="28" spans="2:32" ht="23.1" customHeight="1" x14ac:dyDescent="0.25">
      <c r="B28" s="23" t="s">
        <v>55</v>
      </c>
      <c r="C28" s="50">
        <v>69</v>
      </c>
      <c r="D28" s="50">
        <v>20</v>
      </c>
      <c r="E28" s="50">
        <v>8</v>
      </c>
      <c r="F28" s="50">
        <v>17</v>
      </c>
      <c r="G28" s="50">
        <v>0</v>
      </c>
      <c r="H28" s="50">
        <v>0</v>
      </c>
      <c r="I28" s="50">
        <v>7</v>
      </c>
      <c r="J28" s="50">
        <v>1</v>
      </c>
      <c r="K28" s="50">
        <v>1</v>
      </c>
      <c r="L28" s="50">
        <v>0</v>
      </c>
      <c r="M28" s="50">
        <v>159</v>
      </c>
      <c r="N28" s="50">
        <v>0</v>
      </c>
      <c r="O28" s="15">
        <f t="shared" si="0"/>
        <v>123</v>
      </c>
      <c r="P28" s="15">
        <f t="shared" si="1"/>
        <v>282</v>
      </c>
      <c r="R28" s="5" t="s">
        <v>17</v>
      </c>
      <c r="S28" s="16">
        <f t="shared" ref="S28:AF28" si="20">SUM(S10:S21)</f>
        <v>3384</v>
      </c>
      <c r="T28" s="16">
        <f t="shared" si="20"/>
        <v>1366</v>
      </c>
      <c r="U28" s="16">
        <f t="shared" si="20"/>
        <v>420</v>
      </c>
      <c r="V28" s="16">
        <f t="shared" si="20"/>
        <v>663</v>
      </c>
      <c r="W28" s="16">
        <f t="shared" si="20"/>
        <v>15</v>
      </c>
      <c r="X28" s="16">
        <f t="shared" si="20"/>
        <v>0</v>
      </c>
      <c r="Y28" s="16">
        <f t="shared" si="20"/>
        <v>248</v>
      </c>
      <c r="Z28" s="16">
        <f t="shared" si="20"/>
        <v>70</v>
      </c>
      <c r="AA28" s="16">
        <f t="shared" si="20"/>
        <v>73</v>
      </c>
      <c r="AB28" s="16">
        <f t="shared" si="20"/>
        <v>11</v>
      </c>
      <c r="AC28" s="16">
        <f t="shared" si="20"/>
        <v>7375</v>
      </c>
      <c r="AD28" s="16">
        <f t="shared" si="20"/>
        <v>2</v>
      </c>
      <c r="AE28" s="32">
        <f t="shared" si="20"/>
        <v>6252</v>
      </c>
      <c r="AF28" s="32">
        <f t="shared" si="20"/>
        <v>13627</v>
      </c>
    </row>
    <row r="29" spans="2:32" ht="23.1" customHeight="1" x14ac:dyDescent="0.25">
      <c r="B29" s="23" t="s">
        <v>56</v>
      </c>
      <c r="C29" s="50">
        <v>62</v>
      </c>
      <c r="D29" s="50">
        <v>26</v>
      </c>
      <c r="E29" s="50">
        <v>8</v>
      </c>
      <c r="F29" s="50">
        <v>12</v>
      </c>
      <c r="G29" s="50">
        <v>0</v>
      </c>
      <c r="H29" s="50">
        <v>0</v>
      </c>
      <c r="I29" s="50">
        <v>7</v>
      </c>
      <c r="J29" s="50">
        <v>1</v>
      </c>
      <c r="K29" s="50">
        <v>0</v>
      </c>
      <c r="L29" s="50">
        <v>0</v>
      </c>
      <c r="M29" s="50">
        <v>187</v>
      </c>
      <c r="N29" s="50">
        <v>0</v>
      </c>
      <c r="O29" s="15">
        <f t="shared" si="0"/>
        <v>116</v>
      </c>
      <c r="P29" s="15">
        <f t="shared" si="1"/>
        <v>303</v>
      </c>
      <c r="R29"/>
      <c r="S29" s="20"/>
      <c r="T29" s="19"/>
    </row>
    <row r="30" spans="2:32" ht="23.1" customHeight="1" x14ac:dyDescent="0.25">
      <c r="B30" s="23" t="s">
        <v>57</v>
      </c>
      <c r="C30" s="50">
        <v>46</v>
      </c>
      <c r="D30" s="50">
        <v>29</v>
      </c>
      <c r="E30" s="50">
        <v>4</v>
      </c>
      <c r="F30" s="50">
        <v>13</v>
      </c>
      <c r="G30" s="50">
        <v>0</v>
      </c>
      <c r="H30" s="50">
        <v>0</v>
      </c>
      <c r="I30" s="50">
        <v>2</v>
      </c>
      <c r="J30" s="50">
        <v>1</v>
      </c>
      <c r="K30" s="50">
        <v>1</v>
      </c>
      <c r="L30" s="50">
        <v>1</v>
      </c>
      <c r="M30" s="50">
        <v>140</v>
      </c>
      <c r="N30" s="50">
        <v>1</v>
      </c>
      <c r="O30" s="15">
        <f t="shared" si="0"/>
        <v>98</v>
      </c>
      <c r="P30" s="15">
        <f t="shared" si="1"/>
        <v>238</v>
      </c>
    </row>
    <row r="31" spans="2:32" ht="23.1" customHeight="1" x14ac:dyDescent="0.25">
      <c r="B31" s="24" t="s">
        <v>58</v>
      </c>
      <c r="C31" s="50">
        <v>50</v>
      </c>
      <c r="D31" s="50">
        <v>23</v>
      </c>
      <c r="E31" s="50">
        <v>6</v>
      </c>
      <c r="F31" s="50">
        <v>10</v>
      </c>
      <c r="G31" s="50">
        <v>0</v>
      </c>
      <c r="H31" s="50">
        <v>0</v>
      </c>
      <c r="I31" s="50">
        <v>6</v>
      </c>
      <c r="J31" s="50">
        <v>2</v>
      </c>
      <c r="K31" s="50">
        <v>2</v>
      </c>
      <c r="L31" s="50">
        <v>0</v>
      </c>
      <c r="M31" s="50">
        <v>158</v>
      </c>
      <c r="N31" s="50">
        <v>0</v>
      </c>
      <c r="O31" s="15">
        <f t="shared" si="0"/>
        <v>99</v>
      </c>
      <c r="P31" s="15">
        <f t="shared" si="1"/>
        <v>257</v>
      </c>
    </row>
    <row r="32" spans="2:32" ht="23.1" customHeight="1" x14ac:dyDescent="0.25">
      <c r="B32" s="24" t="s">
        <v>59</v>
      </c>
      <c r="C32" s="50">
        <v>50</v>
      </c>
      <c r="D32" s="50">
        <v>18</v>
      </c>
      <c r="E32" s="50">
        <v>7</v>
      </c>
      <c r="F32" s="50">
        <v>7</v>
      </c>
      <c r="G32" s="50">
        <v>0</v>
      </c>
      <c r="H32" s="50">
        <v>0</v>
      </c>
      <c r="I32" s="50">
        <v>1</v>
      </c>
      <c r="J32" s="50">
        <v>1</v>
      </c>
      <c r="K32" s="50">
        <v>1</v>
      </c>
      <c r="L32" s="50">
        <v>0</v>
      </c>
      <c r="M32" s="50">
        <v>128</v>
      </c>
      <c r="N32" s="50">
        <v>0</v>
      </c>
      <c r="O32" s="15">
        <f t="shared" si="0"/>
        <v>85</v>
      </c>
      <c r="P32" s="15">
        <f t="shared" si="1"/>
        <v>213</v>
      </c>
    </row>
    <row r="33" spans="2:20" ht="23.1" customHeight="1" x14ac:dyDescent="0.25">
      <c r="B33" s="23" t="s">
        <v>60</v>
      </c>
      <c r="C33" s="50">
        <v>43</v>
      </c>
      <c r="D33" s="50">
        <v>24</v>
      </c>
      <c r="E33" s="50">
        <v>5</v>
      </c>
      <c r="F33" s="50">
        <v>13</v>
      </c>
      <c r="G33" s="50">
        <v>0</v>
      </c>
      <c r="H33" s="50">
        <v>0</v>
      </c>
      <c r="I33" s="50">
        <v>1</v>
      </c>
      <c r="J33" s="50">
        <v>0</v>
      </c>
      <c r="K33" s="50">
        <v>1</v>
      </c>
      <c r="L33" s="50">
        <v>0</v>
      </c>
      <c r="M33" s="50">
        <v>142</v>
      </c>
      <c r="N33" s="50">
        <v>0</v>
      </c>
      <c r="O33" s="15">
        <f t="shared" si="0"/>
        <v>87</v>
      </c>
      <c r="P33" s="15">
        <f t="shared" si="1"/>
        <v>229</v>
      </c>
    </row>
    <row r="34" spans="2:20" ht="23.1" customHeight="1" x14ac:dyDescent="0.25">
      <c r="B34" s="24" t="s">
        <v>61</v>
      </c>
      <c r="C34" s="50">
        <v>44</v>
      </c>
      <c r="D34" s="50">
        <v>16</v>
      </c>
      <c r="E34" s="50">
        <v>3</v>
      </c>
      <c r="F34" s="50">
        <v>10</v>
      </c>
      <c r="G34" s="50">
        <v>0</v>
      </c>
      <c r="H34" s="50">
        <v>0</v>
      </c>
      <c r="I34" s="50">
        <v>3</v>
      </c>
      <c r="J34" s="50">
        <v>2</v>
      </c>
      <c r="K34" s="50">
        <v>0</v>
      </c>
      <c r="L34" s="50">
        <v>0</v>
      </c>
      <c r="M34" s="50">
        <v>162</v>
      </c>
      <c r="N34" s="50">
        <v>0</v>
      </c>
      <c r="O34" s="15">
        <f t="shared" si="0"/>
        <v>78</v>
      </c>
      <c r="P34" s="15">
        <f t="shared" si="1"/>
        <v>240</v>
      </c>
    </row>
    <row r="35" spans="2:20" ht="23.1" customHeight="1" x14ac:dyDescent="0.25">
      <c r="B35" s="24" t="s">
        <v>62</v>
      </c>
      <c r="C35" s="50">
        <v>32</v>
      </c>
      <c r="D35" s="50">
        <v>14</v>
      </c>
      <c r="E35" s="50">
        <v>7</v>
      </c>
      <c r="F35" s="50">
        <v>12</v>
      </c>
      <c r="G35" s="50">
        <v>0</v>
      </c>
      <c r="H35" s="50">
        <v>0</v>
      </c>
      <c r="I35" s="50">
        <v>5</v>
      </c>
      <c r="J35" s="50">
        <v>1</v>
      </c>
      <c r="K35" s="50">
        <v>0</v>
      </c>
      <c r="L35" s="50">
        <v>0</v>
      </c>
      <c r="M35" s="50">
        <v>165</v>
      </c>
      <c r="N35" s="50">
        <v>0</v>
      </c>
      <c r="O35" s="15">
        <f t="shared" si="0"/>
        <v>71</v>
      </c>
      <c r="P35" s="15">
        <f t="shared" si="1"/>
        <v>236</v>
      </c>
    </row>
    <row r="36" spans="2:20" ht="23.1" customHeight="1" x14ac:dyDescent="0.25">
      <c r="B36" s="24" t="s">
        <v>63</v>
      </c>
      <c r="C36" s="50">
        <v>57</v>
      </c>
      <c r="D36" s="50">
        <v>18</v>
      </c>
      <c r="E36" s="50">
        <v>3</v>
      </c>
      <c r="F36" s="50">
        <v>12</v>
      </c>
      <c r="G36" s="50">
        <v>0</v>
      </c>
      <c r="H36" s="50">
        <v>0</v>
      </c>
      <c r="I36" s="50">
        <v>6</v>
      </c>
      <c r="J36" s="50">
        <v>4</v>
      </c>
      <c r="K36" s="50">
        <v>2</v>
      </c>
      <c r="L36" s="50">
        <v>0</v>
      </c>
      <c r="M36" s="50">
        <v>123</v>
      </c>
      <c r="N36" s="50">
        <v>0</v>
      </c>
      <c r="O36" s="15">
        <f t="shared" si="0"/>
        <v>102</v>
      </c>
      <c r="P36" s="15">
        <f t="shared" si="1"/>
        <v>225</v>
      </c>
    </row>
    <row r="37" spans="2:20" ht="23.1" customHeight="1" x14ac:dyDescent="0.25">
      <c r="B37" s="23" t="s">
        <v>64</v>
      </c>
      <c r="C37" s="50">
        <v>38</v>
      </c>
      <c r="D37" s="50">
        <v>13</v>
      </c>
      <c r="E37" s="50">
        <v>4</v>
      </c>
      <c r="F37" s="50">
        <v>10</v>
      </c>
      <c r="G37" s="50">
        <v>0</v>
      </c>
      <c r="H37" s="50">
        <v>0</v>
      </c>
      <c r="I37" s="50">
        <v>12</v>
      </c>
      <c r="J37" s="50">
        <v>2</v>
      </c>
      <c r="K37" s="50">
        <v>1</v>
      </c>
      <c r="L37" s="50">
        <v>0</v>
      </c>
      <c r="M37" s="50">
        <v>138</v>
      </c>
      <c r="N37" s="50">
        <v>0</v>
      </c>
      <c r="O37" s="15">
        <f t="shared" si="0"/>
        <v>80</v>
      </c>
      <c r="P37" s="15">
        <f t="shared" si="1"/>
        <v>218</v>
      </c>
    </row>
    <row r="38" spans="2:20" ht="23.1" customHeight="1" x14ac:dyDescent="0.25">
      <c r="B38" s="24" t="s">
        <v>65</v>
      </c>
      <c r="C38" s="50">
        <v>46</v>
      </c>
      <c r="D38" s="50">
        <v>19</v>
      </c>
      <c r="E38" s="50">
        <v>6</v>
      </c>
      <c r="F38" s="50">
        <v>10</v>
      </c>
      <c r="G38" s="50">
        <v>0</v>
      </c>
      <c r="H38" s="50">
        <v>0</v>
      </c>
      <c r="I38" s="50">
        <v>7</v>
      </c>
      <c r="J38" s="50">
        <v>1</v>
      </c>
      <c r="K38" s="50">
        <v>2</v>
      </c>
      <c r="L38" s="50">
        <v>0</v>
      </c>
      <c r="M38" s="50">
        <v>111</v>
      </c>
      <c r="N38" s="50">
        <v>0</v>
      </c>
      <c r="O38" s="15">
        <f t="shared" si="0"/>
        <v>91</v>
      </c>
      <c r="P38" s="15">
        <f t="shared" si="1"/>
        <v>202</v>
      </c>
    </row>
    <row r="39" spans="2:20" ht="23.1" customHeight="1" x14ac:dyDescent="0.25">
      <c r="B39" s="24" t="s">
        <v>66</v>
      </c>
      <c r="C39" s="50">
        <v>43</v>
      </c>
      <c r="D39" s="50">
        <v>23</v>
      </c>
      <c r="E39" s="50">
        <v>13</v>
      </c>
      <c r="F39" s="50">
        <v>13</v>
      </c>
      <c r="G39" s="50">
        <v>2</v>
      </c>
      <c r="H39" s="50">
        <v>0</v>
      </c>
      <c r="I39" s="50">
        <v>5</v>
      </c>
      <c r="J39" s="50">
        <v>3</v>
      </c>
      <c r="K39" s="50">
        <v>1</v>
      </c>
      <c r="L39" s="50">
        <v>1</v>
      </c>
      <c r="M39" s="50">
        <v>120</v>
      </c>
      <c r="N39" s="50">
        <v>0</v>
      </c>
      <c r="O39" s="15">
        <f t="shared" si="0"/>
        <v>104</v>
      </c>
      <c r="P39" s="15">
        <f t="shared" si="1"/>
        <v>224</v>
      </c>
    </row>
    <row r="40" spans="2:20" ht="23.1" customHeight="1" x14ac:dyDescent="0.25">
      <c r="B40" s="24" t="s">
        <v>67</v>
      </c>
      <c r="C40" s="50">
        <v>45</v>
      </c>
      <c r="D40" s="50">
        <v>14</v>
      </c>
      <c r="E40" s="50">
        <v>7</v>
      </c>
      <c r="F40" s="50">
        <v>11</v>
      </c>
      <c r="G40" s="50">
        <v>0</v>
      </c>
      <c r="H40" s="50">
        <v>0</v>
      </c>
      <c r="I40" s="50">
        <v>8</v>
      </c>
      <c r="J40" s="50">
        <v>4</v>
      </c>
      <c r="K40" s="50">
        <v>5</v>
      </c>
      <c r="L40" s="50">
        <v>0</v>
      </c>
      <c r="M40" s="50">
        <v>98</v>
      </c>
      <c r="N40" s="50">
        <v>0</v>
      </c>
      <c r="O40" s="15">
        <f t="shared" si="0"/>
        <v>94</v>
      </c>
      <c r="P40" s="15">
        <f t="shared" si="1"/>
        <v>192</v>
      </c>
    </row>
    <row r="41" spans="2:20" ht="23.1" customHeight="1" x14ac:dyDescent="0.25">
      <c r="B41" s="23" t="s">
        <v>68</v>
      </c>
      <c r="C41" s="50">
        <v>37</v>
      </c>
      <c r="D41" s="50">
        <v>17</v>
      </c>
      <c r="E41" s="50">
        <v>5</v>
      </c>
      <c r="F41" s="50">
        <v>12</v>
      </c>
      <c r="G41" s="50">
        <v>1</v>
      </c>
      <c r="H41" s="50">
        <v>0</v>
      </c>
      <c r="I41" s="50">
        <v>1</v>
      </c>
      <c r="J41" s="50">
        <v>2</v>
      </c>
      <c r="K41" s="50">
        <v>2</v>
      </c>
      <c r="L41" s="50">
        <v>1</v>
      </c>
      <c r="M41" s="50">
        <v>144</v>
      </c>
      <c r="N41" s="50">
        <v>0</v>
      </c>
      <c r="O41" s="15">
        <f t="shared" si="0"/>
        <v>78</v>
      </c>
      <c r="P41" s="15">
        <f t="shared" si="1"/>
        <v>222</v>
      </c>
    </row>
    <row r="42" spans="2:20" ht="23.1" customHeight="1" x14ac:dyDescent="0.25">
      <c r="B42" s="24" t="s">
        <v>69</v>
      </c>
      <c r="C42" s="50">
        <v>65</v>
      </c>
      <c r="D42" s="50">
        <v>24</v>
      </c>
      <c r="E42" s="50">
        <v>13</v>
      </c>
      <c r="F42" s="50">
        <v>9</v>
      </c>
      <c r="G42" s="50">
        <v>0</v>
      </c>
      <c r="H42" s="50">
        <v>0</v>
      </c>
      <c r="I42" s="50">
        <v>6</v>
      </c>
      <c r="J42" s="50">
        <v>1</v>
      </c>
      <c r="K42" s="50">
        <v>6</v>
      </c>
      <c r="L42" s="50">
        <v>1</v>
      </c>
      <c r="M42" s="50">
        <v>159</v>
      </c>
      <c r="N42" s="50">
        <v>0</v>
      </c>
      <c r="O42" s="15">
        <f t="shared" si="0"/>
        <v>125</v>
      </c>
      <c r="P42" s="15">
        <f t="shared" si="1"/>
        <v>284</v>
      </c>
    </row>
    <row r="43" spans="2:20" ht="23.1" customHeight="1" x14ac:dyDescent="0.25">
      <c r="B43" s="23" t="s">
        <v>70</v>
      </c>
      <c r="C43" s="50">
        <v>41</v>
      </c>
      <c r="D43" s="50">
        <v>27</v>
      </c>
      <c r="E43" s="50">
        <v>13</v>
      </c>
      <c r="F43" s="50">
        <v>10</v>
      </c>
      <c r="G43" s="50">
        <v>0</v>
      </c>
      <c r="H43" s="50">
        <v>0</v>
      </c>
      <c r="I43" s="50">
        <v>10</v>
      </c>
      <c r="J43" s="50">
        <v>4</v>
      </c>
      <c r="K43" s="50">
        <v>1</v>
      </c>
      <c r="L43" s="50">
        <v>0</v>
      </c>
      <c r="M43" s="50">
        <v>126</v>
      </c>
      <c r="N43" s="50">
        <v>0</v>
      </c>
      <c r="O43" s="15">
        <f t="shared" si="0"/>
        <v>106</v>
      </c>
      <c r="P43" s="15">
        <f t="shared" si="1"/>
        <v>232</v>
      </c>
    </row>
    <row r="44" spans="2:20" ht="23.1" customHeight="1" x14ac:dyDescent="0.25">
      <c r="B44" s="25" t="s">
        <v>71</v>
      </c>
      <c r="C44" s="50">
        <v>56</v>
      </c>
      <c r="D44" s="50">
        <v>25</v>
      </c>
      <c r="E44" s="50">
        <v>6</v>
      </c>
      <c r="F44" s="50">
        <v>13</v>
      </c>
      <c r="G44" s="50">
        <v>0</v>
      </c>
      <c r="H44" s="50">
        <v>0</v>
      </c>
      <c r="I44" s="50">
        <v>8</v>
      </c>
      <c r="J44" s="50">
        <v>2</v>
      </c>
      <c r="K44" s="50">
        <v>0</v>
      </c>
      <c r="L44" s="50">
        <v>0</v>
      </c>
      <c r="M44" s="50">
        <v>68</v>
      </c>
      <c r="N44" s="50">
        <v>0</v>
      </c>
      <c r="O44" s="15">
        <f t="shared" si="0"/>
        <v>110</v>
      </c>
      <c r="P44" s="15">
        <f t="shared" si="1"/>
        <v>178</v>
      </c>
    </row>
    <row r="45" spans="2:20" ht="23.1" customHeight="1" x14ac:dyDescent="0.25">
      <c r="B45" s="23" t="s">
        <v>72</v>
      </c>
      <c r="C45" s="50">
        <v>57</v>
      </c>
      <c r="D45" s="50">
        <v>17</v>
      </c>
      <c r="E45" s="50">
        <v>11</v>
      </c>
      <c r="F45" s="50">
        <v>8</v>
      </c>
      <c r="G45" s="50">
        <v>0</v>
      </c>
      <c r="H45" s="50">
        <v>0</v>
      </c>
      <c r="I45" s="50">
        <v>8</v>
      </c>
      <c r="J45" s="50">
        <v>1</v>
      </c>
      <c r="K45" s="50">
        <v>1</v>
      </c>
      <c r="L45" s="50">
        <v>0</v>
      </c>
      <c r="M45" s="50">
        <v>85</v>
      </c>
      <c r="N45" s="50">
        <v>0</v>
      </c>
      <c r="O45" s="15">
        <f t="shared" si="0"/>
        <v>103</v>
      </c>
      <c r="P45" s="15">
        <f t="shared" si="1"/>
        <v>188</v>
      </c>
    </row>
    <row r="46" spans="2:20" ht="23.1" customHeight="1" x14ac:dyDescent="0.25">
      <c r="B46" s="24" t="s">
        <v>73</v>
      </c>
      <c r="C46" s="50">
        <v>78</v>
      </c>
      <c r="D46" s="50">
        <v>20</v>
      </c>
      <c r="E46" s="50">
        <v>8</v>
      </c>
      <c r="F46" s="50">
        <v>13</v>
      </c>
      <c r="G46" s="50">
        <v>0</v>
      </c>
      <c r="H46" s="50">
        <v>0</v>
      </c>
      <c r="I46" s="50">
        <v>11</v>
      </c>
      <c r="J46" s="50">
        <v>4</v>
      </c>
      <c r="K46" s="50">
        <v>2</v>
      </c>
      <c r="L46" s="50">
        <v>0</v>
      </c>
      <c r="M46" s="50">
        <v>103</v>
      </c>
      <c r="N46" s="50">
        <v>1</v>
      </c>
      <c r="O46" s="15">
        <f t="shared" si="0"/>
        <v>137</v>
      </c>
      <c r="P46" s="15">
        <f t="shared" si="1"/>
        <v>240</v>
      </c>
      <c r="R46" s="8"/>
      <c r="T46"/>
    </row>
    <row r="47" spans="2:20" ht="23.1" customHeight="1" x14ac:dyDescent="0.25">
      <c r="B47" s="24" t="s">
        <v>74</v>
      </c>
      <c r="C47" s="50">
        <v>62</v>
      </c>
      <c r="D47" s="50">
        <v>25</v>
      </c>
      <c r="E47" s="50">
        <v>7</v>
      </c>
      <c r="F47" s="50">
        <v>11</v>
      </c>
      <c r="G47" s="50">
        <v>0</v>
      </c>
      <c r="H47" s="50">
        <v>0</v>
      </c>
      <c r="I47" s="50">
        <v>7</v>
      </c>
      <c r="J47" s="50">
        <v>3</v>
      </c>
      <c r="K47" s="50">
        <v>2</v>
      </c>
      <c r="L47" s="50">
        <v>0</v>
      </c>
      <c r="M47" s="50">
        <v>132</v>
      </c>
      <c r="N47" s="50">
        <v>0</v>
      </c>
      <c r="O47" s="15">
        <f t="shared" si="0"/>
        <v>117</v>
      </c>
      <c r="P47" s="15">
        <f t="shared" si="1"/>
        <v>249</v>
      </c>
      <c r="R47" s="8"/>
      <c r="T47"/>
    </row>
    <row r="48" spans="2:20" ht="23.1" customHeight="1" x14ac:dyDescent="0.25">
      <c r="B48" s="24" t="s">
        <v>75</v>
      </c>
      <c r="C48" s="50">
        <v>63</v>
      </c>
      <c r="D48" s="50">
        <v>32</v>
      </c>
      <c r="E48" s="50">
        <v>7</v>
      </c>
      <c r="F48" s="50">
        <v>12</v>
      </c>
      <c r="G48" s="50">
        <v>0</v>
      </c>
      <c r="H48" s="50">
        <v>0</v>
      </c>
      <c r="I48" s="50">
        <v>5</v>
      </c>
      <c r="J48" s="50">
        <v>1</v>
      </c>
      <c r="K48" s="50">
        <v>1</v>
      </c>
      <c r="L48" s="50">
        <v>0</v>
      </c>
      <c r="M48" s="50">
        <v>132</v>
      </c>
      <c r="N48" s="50">
        <v>0</v>
      </c>
      <c r="O48" s="15">
        <f t="shared" si="0"/>
        <v>121</v>
      </c>
      <c r="P48" s="15">
        <f t="shared" si="1"/>
        <v>253</v>
      </c>
      <c r="R48" s="8"/>
      <c r="T48"/>
    </row>
    <row r="49" spans="2:20" ht="23.1" customHeight="1" x14ac:dyDescent="0.25">
      <c r="B49" s="23" t="s">
        <v>76</v>
      </c>
      <c r="C49" s="50">
        <v>69</v>
      </c>
      <c r="D49" s="50">
        <v>35</v>
      </c>
      <c r="E49" s="50">
        <v>9</v>
      </c>
      <c r="F49" s="50">
        <v>11</v>
      </c>
      <c r="G49" s="50">
        <v>0</v>
      </c>
      <c r="H49" s="50">
        <v>0</v>
      </c>
      <c r="I49" s="50">
        <v>3</v>
      </c>
      <c r="J49" s="50">
        <v>3</v>
      </c>
      <c r="K49" s="50">
        <v>5</v>
      </c>
      <c r="L49" s="50">
        <v>0</v>
      </c>
      <c r="M49" s="50">
        <v>158</v>
      </c>
      <c r="N49" s="50">
        <v>0</v>
      </c>
      <c r="O49" s="15">
        <f t="shared" si="0"/>
        <v>135</v>
      </c>
      <c r="P49" s="15">
        <f t="shared" si="1"/>
        <v>293</v>
      </c>
      <c r="R49" s="8"/>
      <c r="T49"/>
    </row>
    <row r="50" spans="2:20" ht="23.1" customHeight="1" x14ac:dyDescent="0.25">
      <c r="B50" s="24" t="s">
        <v>77</v>
      </c>
      <c r="C50" s="50">
        <v>73</v>
      </c>
      <c r="D50" s="50">
        <v>25</v>
      </c>
      <c r="E50" s="50">
        <v>7</v>
      </c>
      <c r="F50" s="50">
        <v>23</v>
      </c>
      <c r="G50" s="50">
        <v>2</v>
      </c>
      <c r="H50" s="50">
        <v>0</v>
      </c>
      <c r="I50" s="50">
        <v>4</v>
      </c>
      <c r="J50" s="50">
        <v>0</v>
      </c>
      <c r="K50" s="50">
        <v>2</v>
      </c>
      <c r="L50" s="50">
        <v>1</v>
      </c>
      <c r="M50" s="50">
        <v>165</v>
      </c>
      <c r="N50" s="50">
        <v>0</v>
      </c>
      <c r="O50" s="15">
        <f t="shared" si="0"/>
        <v>137</v>
      </c>
      <c r="P50" s="15">
        <f t="shared" si="1"/>
        <v>302</v>
      </c>
      <c r="R50" s="8"/>
      <c r="T50"/>
    </row>
    <row r="51" spans="2:20" ht="23.1" customHeight="1" x14ac:dyDescent="0.25">
      <c r="B51" s="24" t="s">
        <v>78</v>
      </c>
      <c r="C51" s="50">
        <v>60</v>
      </c>
      <c r="D51" s="50">
        <v>41</v>
      </c>
      <c r="E51" s="50">
        <v>12</v>
      </c>
      <c r="F51" s="50">
        <v>22</v>
      </c>
      <c r="G51" s="50">
        <v>0</v>
      </c>
      <c r="H51" s="50">
        <v>0</v>
      </c>
      <c r="I51" s="50">
        <v>2</v>
      </c>
      <c r="J51" s="50">
        <v>0</v>
      </c>
      <c r="K51" s="50">
        <v>1</v>
      </c>
      <c r="L51" s="50">
        <v>1</v>
      </c>
      <c r="M51" s="50">
        <v>195</v>
      </c>
      <c r="N51" s="50">
        <v>0</v>
      </c>
      <c r="O51" s="15">
        <f t="shared" si="0"/>
        <v>139</v>
      </c>
      <c r="P51" s="15">
        <f t="shared" si="1"/>
        <v>334</v>
      </c>
      <c r="R51" s="8"/>
      <c r="T51"/>
    </row>
    <row r="52" spans="2:20" ht="23.1" customHeight="1" x14ac:dyDescent="0.25">
      <c r="B52" s="24" t="s">
        <v>79</v>
      </c>
      <c r="C52" s="50">
        <v>83</v>
      </c>
      <c r="D52" s="50">
        <v>53</v>
      </c>
      <c r="E52" s="50">
        <v>11</v>
      </c>
      <c r="F52" s="50">
        <v>26</v>
      </c>
      <c r="G52" s="50">
        <v>1</v>
      </c>
      <c r="H52" s="50">
        <v>0</v>
      </c>
      <c r="I52" s="50">
        <v>2</v>
      </c>
      <c r="J52" s="50">
        <v>0</v>
      </c>
      <c r="K52" s="50">
        <v>1</v>
      </c>
      <c r="L52" s="50">
        <v>1</v>
      </c>
      <c r="M52" s="50">
        <v>192</v>
      </c>
      <c r="N52" s="50">
        <v>0</v>
      </c>
      <c r="O52" s="15">
        <f t="shared" si="0"/>
        <v>178</v>
      </c>
      <c r="P52" s="15">
        <f t="shared" si="1"/>
        <v>370</v>
      </c>
      <c r="R52" s="8"/>
      <c r="T52"/>
    </row>
    <row r="53" spans="2:20" ht="23.1" customHeight="1" x14ac:dyDescent="0.25">
      <c r="B53" s="23" t="s">
        <v>80</v>
      </c>
      <c r="C53" s="50">
        <v>70</v>
      </c>
      <c r="D53" s="50">
        <v>23</v>
      </c>
      <c r="E53" s="50">
        <v>10</v>
      </c>
      <c r="F53" s="50">
        <v>22</v>
      </c>
      <c r="G53" s="50">
        <v>2</v>
      </c>
      <c r="H53" s="50">
        <v>0</v>
      </c>
      <c r="I53" s="50">
        <v>1</v>
      </c>
      <c r="J53" s="50">
        <v>1</v>
      </c>
      <c r="K53" s="50">
        <v>1</v>
      </c>
      <c r="L53" s="50">
        <v>0</v>
      </c>
      <c r="M53" s="50">
        <v>190</v>
      </c>
      <c r="N53" s="50">
        <v>0</v>
      </c>
      <c r="O53" s="15">
        <f t="shared" si="0"/>
        <v>130</v>
      </c>
      <c r="P53" s="15">
        <f t="shared" si="1"/>
        <v>320</v>
      </c>
      <c r="R53" s="8"/>
      <c r="T53"/>
    </row>
    <row r="54" spans="2:20" ht="23.1" customHeight="1" x14ac:dyDescent="0.25">
      <c r="B54" s="23" t="s">
        <v>81</v>
      </c>
      <c r="C54" s="50">
        <v>73</v>
      </c>
      <c r="D54" s="50">
        <v>48</v>
      </c>
      <c r="E54" s="50">
        <v>10</v>
      </c>
      <c r="F54" s="50">
        <v>14</v>
      </c>
      <c r="G54" s="50">
        <v>0</v>
      </c>
      <c r="H54" s="50">
        <v>0</v>
      </c>
      <c r="I54" s="50">
        <v>6</v>
      </c>
      <c r="J54" s="50">
        <v>1</v>
      </c>
      <c r="K54" s="50">
        <v>5</v>
      </c>
      <c r="L54" s="50">
        <v>0</v>
      </c>
      <c r="M54" s="50">
        <v>194</v>
      </c>
      <c r="N54" s="50">
        <v>0</v>
      </c>
      <c r="O54" s="15">
        <f t="shared" si="0"/>
        <v>157</v>
      </c>
      <c r="P54" s="15">
        <f t="shared" si="1"/>
        <v>351</v>
      </c>
      <c r="R54" s="8"/>
      <c r="T54"/>
    </row>
    <row r="55" spans="2:20" ht="23.1" customHeight="1" x14ac:dyDescent="0.25">
      <c r="B55" s="23" t="s">
        <v>82</v>
      </c>
      <c r="C55" s="50">
        <v>70</v>
      </c>
      <c r="D55" s="50">
        <v>43</v>
      </c>
      <c r="E55" s="50">
        <v>9</v>
      </c>
      <c r="F55" s="50">
        <v>17</v>
      </c>
      <c r="G55" s="50">
        <v>0</v>
      </c>
      <c r="H55" s="50">
        <v>0</v>
      </c>
      <c r="I55" s="50">
        <v>9</v>
      </c>
      <c r="J55" s="50">
        <v>1</v>
      </c>
      <c r="K55" s="50">
        <v>2</v>
      </c>
      <c r="L55" s="50">
        <v>0</v>
      </c>
      <c r="M55" s="50">
        <v>235</v>
      </c>
      <c r="N55" s="50">
        <v>0</v>
      </c>
      <c r="O55" s="15">
        <f t="shared" si="0"/>
        <v>151</v>
      </c>
      <c r="P55" s="15">
        <f t="shared" si="1"/>
        <v>386</v>
      </c>
      <c r="R55" s="8"/>
      <c r="T55"/>
    </row>
    <row r="56" spans="2:20" ht="23.1" customHeight="1" x14ac:dyDescent="0.25">
      <c r="B56" s="23" t="s">
        <v>83</v>
      </c>
      <c r="C56" s="50">
        <v>54</v>
      </c>
      <c r="D56" s="50">
        <v>18</v>
      </c>
      <c r="E56" s="50">
        <v>11</v>
      </c>
      <c r="F56" s="50">
        <v>18</v>
      </c>
      <c r="G56" s="50">
        <v>1</v>
      </c>
      <c r="H56" s="50">
        <v>0</v>
      </c>
      <c r="I56" s="50">
        <v>1</v>
      </c>
      <c r="J56" s="50">
        <v>1</v>
      </c>
      <c r="K56" s="50">
        <v>1</v>
      </c>
      <c r="L56" s="50">
        <v>0</v>
      </c>
      <c r="M56" s="50">
        <v>190</v>
      </c>
      <c r="N56" s="50">
        <v>0</v>
      </c>
      <c r="O56" s="15">
        <f t="shared" si="0"/>
        <v>105</v>
      </c>
      <c r="P56" s="15">
        <f t="shared" si="1"/>
        <v>295</v>
      </c>
      <c r="R56" s="8"/>
      <c r="T56"/>
    </row>
    <row r="57" spans="2:20" ht="23.1" customHeight="1" x14ac:dyDescent="0.25">
      <c r="B57" s="23" t="s">
        <v>84</v>
      </c>
      <c r="C57" s="50">
        <v>52</v>
      </c>
      <c r="D57" s="50">
        <v>36</v>
      </c>
      <c r="E57" s="50">
        <v>6</v>
      </c>
      <c r="F57" s="50">
        <v>16</v>
      </c>
      <c r="G57" s="50">
        <v>1</v>
      </c>
      <c r="H57" s="50">
        <v>0</v>
      </c>
      <c r="I57" s="50">
        <v>2</v>
      </c>
      <c r="J57" s="50">
        <v>2</v>
      </c>
      <c r="K57" s="50">
        <v>2</v>
      </c>
      <c r="L57" s="50">
        <v>0</v>
      </c>
      <c r="M57" s="50">
        <v>218</v>
      </c>
      <c r="N57" s="50">
        <v>0</v>
      </c>
      <c r="O57" s="15">
        <f t="shared" si="0"/>
        <v>117</v>
      </c>
      <c r="P57" s="15">
        <f t="shared" si="1"/>
        <v>335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3384</v>
      </c>
      <c r="D58" s="16">
        <f t="shared" si="21"/>
        <v>1366</v>
      </c>
      <c r="E58" s="16">
        <f t="shared" si="21"/>
        <v>420</v>
      </c>
      <c r="F58" s="16">
        <f t="shared" si="21"/>
        <v>663</v>
      </c>
      <c r="G58" s="16">
        <f t="shared" si="21"/>
        <v>15</v>
      </c>
      <c r="H58" s="16">
        <f t="shared" si="21"/>
        <v>0</v>
      </c>
      <c r="I58" s="16">
        <f t="shared" si="21"/>
        <v>248</v>
      </c>
      <c r="J58" s="16">
        <f t="shared" si="21"/>
        <v>70</v>
      </c>
      <c r="K58" s="16">
        <f t="shared" si="21"/>
        <v>73</v>
      </c>
      <c r="L58" s="16">
        <f t="shared" si="21"/>
        <v>11</v>
      </c>
      <c r="M58" s="16">
        <f t="shared" si="21"/>
        <v>7375</v>
      </c>
      <c r="N58" s="16">
        <f t="shared" si="21"/>
        <v>2</v>
      </c>
      <c r="O58" s="16">
        <f t="shared" si="21"/>
        <v>6252</v>
      </c>
      <c r="P58" s="16">
        <f t="shared" si="21"/>
        <v>13627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0.24833052029059954</v>
      </c>
      <c r="D59" s="43">
        <f t="shared" si="22"/>
        <v>0.10024216628751743</v>
      </c>
      <c r="E59" s="43">
        <f t="shared" si="22"/>
        <v>3.0821163865854553E-2</v>
      </c>
      <c r="F59" s="43">
        <f t="shared" si="22"/>
        <v>4.8653408673956115E-2</v>
      </c>
      <c r="G59" s="43">
        <f t="shared" si="22"/>
        <v>1.1007558523519483E-3</v>
      </c>
      <c r="H59" s="43">
        <f t="shared" si="22"/>
        <v>0</v>
      </c>
      <c r="I59" s="43">
        <f t="shared" si="22"/>
        <v>1.8199163425552212E-2</v>
      </c>
      <c r="J59" s="43">
        <f t="shared" si="22"/>
        <v>5.1368606443090922E-3</v>
      </c>
      <c r="K59" s="43">
        <f t="shared" si="22"/>
        <v>5.3570118147794818E-3</v>
      </c>
      <c r="L59" s="43">
        <f t="shared" si="22"/>
        <v>8.0722095839142881E-4</v>
      </c>
      <c r="M59" s="43">
        <f t="shared" si="22"/>
        <v>0.54120496073970792</v>
      </c>
      <c r="N59" s="43">
        <f t="shared" si="22"/>
        <v>1.4676744698025978E-4</v>
      </c>
      <c r="R59" s="8"/>
      <c r="T59"/>
    </row>
    <row r="60" spans="2:20" ht="23.1" customHeight="1" x14ac:dyDescent="0.25">
      <c r="B60" s="42" t="s">
        <v>94</v>
      </c>
      <c r="C60" s="44">
        <f>C58/$O$58</f>
        <v>0.5412667946257198</v>
      </c>
      <c r="D60" s="44">
        <f t="shared" ref="D60:N60" si="23">D58/$O$58</f>
        <v>0.21849008317338453</v>
      </c>
      <c r="E60" s="44">
        <f t="shared" si="23"/>
        <v>6.71785028790787E-2</v>
      </c>
      <c r="F60" s="44">
        <f t="shared" si="23"/>
        <v>0.10604606525911708</v>
      </c>
      <c r="G60" s="44">
        <f t="shared" si="23"/>
        <v>2.3992322456813818E-3</v>
      </c>
      <c r="H60" s="44">
        <f t="shared" si="23"/>
        <v>0</v>
      </c>
      <c r="I60" s="44">
        <f t="shared" si="23"/>
        <v>3.9667306461932179E-2</v>
      </c>
      <c r="J60" s="44">
        <f t="shared" si="23"/>
        <v>1.1196417146513116E-2</v>
      </c>
      <c r="K60" s="44">
        <f t="shared" si="23"/>
        <v>1.1676263595649392E-2</v>
      </c>
      <c r="L60" s="44">
        <f t="shared" si="23"/>
        <v>1.7594369801663468E-3</v>
      </c>
      <c r="M60" s="44"/>
      <c r="N60" s="44">
        <f t="shared" si="23"/>
        <v>3.1989763275751758E-4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8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">
        <v>163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182</v>
      </c>
      <c r="E5" s="3"/>
      <c r="F5" s="41" t="s">
        <v>1</v>
      </c>
      <c r="G5" s="66" t="str">
        <f>'29.07 Kyanja -Kisaasi'!G5:H5</f>
        <v>Malcom Health center</v>
      </c>
      <c r="H5" s="67"/>
      <c r="I5" s="14"/>
      <c r="J5" s="2" t="s">
        <v>5</v>
      </c>
      <c r="K5" s="66" t="s">
        <v>179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Kyanja -Kisaasi'!D6:E6</f>
        <v>Kyanja</v>
      </c>
      <c r="E6" s="67"/>
      <c r="F6" s="2" t="s">
        <v>2</v>
      </c>
      <c r="G6" s="66" t="str">
        <f>'29.07 Kyanja -Kisaasi'!G6:H6</f>
        <v>Kisaasi</v>
      </c>
      <c r="H6" s="67"/>
      <c r="J6" s="2" t="s">
        <v>21</v>
      </c>
      <c r="K6" s="66" t="str">
        <f>'29.07 Kyanja -Kisaasi'!K6:L6</f>
        <v>Steven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34</v>
      </c>
      <c r="D10" s="50">
        <v>36</v>
      </c>
      <c r="E10" s="50">
        <v>5</v>
      </c>
      <c r="F10" s="50">
        <v>12</v>
      </c>
      <c r="G10" s="50">
        <v>0</v>
      </c>
      <c r="H10" s="50">
        <v>0</v>
      </c>
      <c r="I10" s="50">
        <v>6</v>
      </c>
      <c r="J10" s="50">
        <v>3</v>
      </c>
      <c r="K10" s="50">
        <v>0</v>
      </c>
      <c r="L10" s="50">
        <v>0</v>
      </c>
      <c r="M10" s="50">
        <v>115</v>
      </c>
      <c r="N10" s="50">
        <v>0</v>
      </c>
      <c r="O10" s="15">
        <f t="shared" ref="O10:O57" si="0">SUM(C10:L10,N10)</f>
        <v>96</v>
      </c>
      <c r="P10" s="15">
        <f t="shared" ref="P10:P57" si="1">SUM(C10:N10)</f>
        <v>211</v>
      </c>
      <c r="R10" s="1" t="s">
        <v>6</v>
      </c>
      <c r="S10" s="17">
        <f t="shared" ref="S10:AF10" si="2">SUM(C10:C13)</f>
        <v>157</v>
      </c>
      <c r="T10" s="17">
        <f t="shared" si="2"/>
        <v>70</v>
      </c>
      <c r="U10" s="17">
        <f t="shared" si="2"/>
        <v>15</v>
      </c>
      <c r="V10" s="17">
        <f t="shared" si="2"/>
        <v>61</v>
      </c>
      <c r="W10" s="17">
        <f t="shared" si="2"/>
        <v>1</v>
      </c>
      <c r="X10" s="17">
        <f t="shared" si="2"/>
        <v>0</v>
      </c>
      <c r="Y10" s="17">
        <f t="shared" si="2"/>
        <v>17</v>
      </c>
      <c r="Z10" s="17">
        <f t="shared" si="2"/>
        <v>5</v>
      </c>
      <c r="AA10" s="17">
        <f t="shared" si="2"/>
        <v>3</v>
      </c>
      <c r="AB10" s="17">
        <f t="shared" si="2"/>
        <v>0</v>
      </c>
      <c r="AC10" s="17">
        <f t="shared" si="2"/>
        <v>483</v>
      </c>
      <c r="AD10" s="17">
        <f t="shared" si="2"/>
        <v>0</v>
      </c>
      <c r="AE10" s="31">
        <f t="shared" si="2"/>
        <v>329</v>
      </c>
      <c r="AF10" s="31">
        <f t="shared" si="2"/>
        <v>812</v>
      </c>
    </row>
    <row r="11" spans="2:32" s="6" customFormat="1" ht="23.1" customHeight="1" x14ac:dyDescent="0.25">
      <c r="B11" s="23" t="s">
        <v>38</v>
      </c>
      <c r="C11" s="50">
        <v>34</v>
      </c>
      <c r="D11" s="50">
        <v>13</v>
      </c>
      <c r="E11" s="50">
        <v>1</v>
      </c>
      <c r="F11" s="50">
        <v>7</v>
      </c>
      <c r="G11" s="50">
        <v>0</v>
      </c>
      <c r="H11" s="50">
        <v>0</v>
      </c>
      <c r="I11" s="50">
        <v>2</v>
      </c>
      <c r="J11" s="50">
        <v>0</v>
      </c>
      <c r="K11" s="50">
        <v>1</v>
      </c>
      <c r="L11" s="50">
        <v>0</v>
      </c>
      <c r="M11" s="50">
        <v>93</v>
      </c>
      <c r="N11" s="50">
        <v>0</v>
      </c>
      <c r="O11" s="15">
        <f t="shared" si="0"/>
        <v>58</v>
      </c>
      <c r="P11" s="15">
        <f t="shared" si="1"/>
        <v>151</v>
      </c>
      <c r="R11" s="1" t="s">
        <v>7</v>
      </c>
      <c r="S11" s="17">
        <f t="shared" ref="S11:AF11" si="3">SUM(C14:C17)</f>
        <v>169</v>
      </c>
      <c r="T11" s="17">
        <f t="shared" si="3"/>
        <v>27</v>
      </c>
      <c r="U11" s="17">
        <f t="shared" si="3"/>
        <v>17</v>
      </c>
      <c r="V11" s="17">
        <f t="shared" si="3"/>
        <v>113</v>
      </c>
      <c r="W11" s="17">
        <f t="shared" si="3"/>
        <v>0</v>
      </c>
      <c r="X11" s="17">
        <f t="shared" si="3"/>
        <v>0</v>
      </c>
      <c r="Y11" s="17">
        <f t="shared" si="3"/>
        <v>14</v>
      </c>
      <c r="Z11" s="17">
        <f t="shared" si="3"/>
        <v>7</v>
      </c>
      <c r="AA11" s="17">
        <f t="shared" si="3"/>
        <v>4</v>
      </c>
      <c r="AB11" s="17">
        <f t="shared" si="3"/>
        <v>0</v>
      </c>
      <c r="AC11" s="17">
        <f t="shared" si="3"/>
        <v>595</v>
      </c>
      <c r="AD11" s="17">
        <f t="shared" si="3"/>
        <v>0</v>
      </c>
      <c r="AE11" s="31">
        <f t="shared" si="3"/>
        <v>351</v>
      </c>
      <c r="AF11" s="31">
        <f t="shared" si="3"/>
        <v>946</v>
      </c>
    </row>
    <row r="12" spans="2:32" ht="23.1" customHeight="1" x14ac:dyDescent="0.25">
      <c r="B12" s="23" t="s">
        <v>39</v>
      </c>
      <c r="C12" s="50">
        <v>46</v>
      </c>
      <c r="D12" s="50">
        <v>12</v>
      </c>
      <c r="E12" s="50">
        <v>4</v>
      </c>
      <c r="F12" s="50">
        <v>17</v>
      </c>
      <c r="G12" s="50">
        <v>1</v>
      </c>
      <c r="H12" s="50">
        <v>0</v>
      </c>
      <c r="I12" s="50">
        <v>7</v>
      </c>
      <c r="J12" s="50">
        <v>1</v>
      </c>
      <c r="K12" s="50">
        <v>1</v>
      </c>
      <c r="L12" s="50">
        <v>0</v>
      </c>
      <c r="M12" s="50">
        <v>125</v>
      </c>
      <c r="N12" s="50">
        <v>0</v>
      </c>
      <c r="O12" s="15">
        <f t="shared" si="0"/>
        <v>89</v>
      </c>
      <c r="P12" s="15">
        <f t="shared" si="1"/>
        <v>214</v>
      </c>
      <c r="R12" s="1" t="s">
        <v>8</v>
      </c>
      <c r="S12" s="17">
        <f t="shared" ref="S12:AF12" si="4">SUM(C18:C21)</f>
        <v>143</v>
      </c>
      <c r="T12" s="17">
        <f t="shared" si="4"/>
        <v>28</v>
      </c>
      <c r="U12" s="17">
        <f t="shared" si="4"/>
        <v>20</v>
      </c>
      <c r="V12" s="17">
        <f t="shared" si="4"/>
        <v>98</v>
      </c>
      <c r="W12" s="17">
        <f t="shared" si="4"/>
        <v>0</v>
      </c>
      <c r="X12" s="17">
        <f t="shared" si="4"/>
        <v>0</v>
      </c>
      <c r="Y12" s="17">
        <f t="shared" si="4"/>
        <v>27</v>
      </c>
      <c r="Z12" s="17">
        <f t="shared" si="4"/>
        <v>9</v>
      </c>
      <c r="AA12" s="17">
        <f t="shared" si="4"/>
        <v>18</v>
      </c>
      <c r="AB12" s="17">
        <f t="shared" si="4"/>
        <v>0</v>
      </c>
      <c r="AC12" s="17">
        <f t="shared" si="4"/>
        <v>568</v>
      </c>
      <c r="AD12" s="17">
        <f t="shared" si="4"/>
        <v>0</v>
      </c>
      <c r="AE12" s="31">
        <f t="shared" si="4"/>
        <v>343</v>
      </c>
      <c r="AF12" s="31">
        <f t="shared" si="4"/>
        <v>911</v>
      </c>
    </row>
    <row r="13" spans="2:32" ht="23.1" customHeight="1" x14ac:dyDescent="0.25">
      <c r="B13" s="23" t="s">
        <v>40</v>
      </c>
      <c r="C13" s="50">
        <v>43</v>
      </c>
      <c r="D13" s="50">
        <v>9</v>
      </c>
      <c r="E13" s="50">
        <v>5</v>
      </c>
      <c r="F13" s="50">
        <v>25</v>
      </c>
      <c r="G13" s="50">
        <v>0</v>
      </c>
      <c r="H13" s="50">
        <v>0</v>
      </c>
      <c r="I13" s="50">
        <v>2</v>
      </c>
      <c r="J13" s="50">
        <v>1</v>
      </c>
      <c r="K13" s="50">
        <v>1</v>
      </c>
      <c r="L13" s="50">
        <v>0</v>
      </c>
      <c r="M13" s="50">
        <v>150</v>
      </c>
      <c r="N13" s="50">
        <v>0</v>
      </c>
      <c r="O13" s="15">
        <f t="shared" si="0"/>
        <v>86</v>
      </c>
      <c r="P13" s="15">
        <f t="shared" si="1"/>
        <v>236</v>
      </c>
      <c r="R13" s="1" t="s">
        <v>9</v>
      </c>
      <c r="S13" s="17">
        <f t="shared" ref="S13:AF13" si="5">SUM(C22:C25)</f>
        <v>149</v>
      </c>
      <c r="T13" s="17">
        <f t="shared" si="5"/>
        <v>31</v>
      </c>
      <c r="U13" s="17">
        <f t="shared" si="5"/>
        <v>23</v>
      </c>
      <c r="V13" s="17">
        <f t="shared" si="5"/>
        <v>66</v>
      </c>
      <c r="W13" s="17">
        <f t="shared" si="5"/>
        <v>0</v>
      </c>
      <c r="X13" s="17">
        <f t="shared" si="5"/>
        <v>0</v>
      </c>
      <c r="Y13" s="17">
        <f t="shared" si="5"/>
        <v>29</v>
      </c>
      <c r="Z13" s="17">
        <f t="shared" si="5"/>
        <v>5</v>
      </c>
      <c r="AA13" s="17">
        <f t="shared" si="5"/>
        <v>11</v>
      </c>
      <c r="AB13" s="17">
        <f t="shared" si="5"/>
        <v>0</v>
      </c>
      <c r="AC13" s="17">
        <f t="shared" si="5"/>
        <v>545</v>
      </c>
      <c r="AD13" s="17">
        <f t="shared" si="5"/>
        <v>0</v>
      </c>
      <c r="AE13" s="31">
        <f t="shared" si="5"/>
        <v>314</v>
      </c>
      <c r="AF13" s="31">
        <f t="shared" si="5"/>
        <v>859</v>
      </c>
    </row>
    <row r="14" spans="2:32" ht="23.1" customHeight="1" x14ac:dyDescent="0.25">
      <c r="B14" s="23" t="s">
        <v>41</v>
      </c>
      <c r="C14" s="50">
        <v>52</v>
      </c>
      <c r="D14" s="50">
        <v>5</v>
      </c>
      <c r="E14" s="50">
        <v>5</v>
      </c>
      <c r="F14" s="50">
        <v>31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150</v>
      </c>
      <c r="N14" s="50">
        <v>0</v>
      </c>
      <c r="O14" s="15">
        <f t="shared" si="0"/>
        <v>95</v>
      </c>
      <c r="P14" s="15">
        <f t="shared" si="1"/>
        <v>245</v>
      </c>
      <c r="R14" s="1" t="s">
        <v>10</v>
      </c>
      <c r="S14" s="17">
        <f t="shared" ref="S14:AF14" si="6">SUM(C26:C29)</f>
        <v>164</v>
      </c>
      <c r="T14" s="17">
        <f t="shared" si="6"/>
        <v>18</v>
      </c>
      <c r="U14" s="17">
        <f t="shared" si="6"/>
        <v>22</v>
      </c>
      <c r="V14" s="17">
        <f t="shared" si="6"/>
        <v>63</v>
      </c>
      <c r="W14" s="17">
        <f t="shared" si="6"/>
        <v>0</v>
      </c>
      <c r="X14" s="17">
        <f t="shared" si="6"/>
        <v>0</v>
      </c>
      <c r="Y14" s="17">
        <f t="shared" si="6"/>
        <v>26</v>
      </c>
      <c r="Z14" s="17">
        <f t="shared" si="6"/>
        <v>16</v>
      </c>
      <c r="AA14" s="17">
        <f t="shared" si="6"/>
        <v>21</v>
      </c>
      <c r="AB14" s="17">
        <f t="shared" si="6"/>
        <v>0</v>
      </c>
      <c r="AC14" s="17">
        <f t="shared" si="6"/>
        <v>490</v>
      </c>
      <c r="AD14" s="17">
        <f t="shared" si="6"/>
        <v>0</v>
      </c>
      <c r="AE14" s="31">
        <f t="shared" si="6"/>
        <v>330</v>
      </c>
      <c r="AF14" s="31">
        <f t="shared" si="6"/>
        <v>820</v>
      </c>
    </row>
    <row r="15" spans="2:32" ht="23.1" customHeight="1" x14ac:dyDescent="0.25">
      <c r="B15" s="23" t="s">
        <v>42</v>
      </c>
      <c r="C15" s="50">
        <v>51</v>
      </c>
      <c r="D15" s="50">
        <v>6</v>
      </c>
      <c r="E15" s="50">
        <v>6</v>
      </c>
      <c r="F15" s="50">
        <v>33</v>
      </c>
      <c r="G15" s="50">
        <v>0</v>
      </c>
      <c r="H15" s="50">
        <v>0</v>
      </c>
      <c r="I15" s="50">
        <v>5</v>
      </c>
      <c r="J15" s="50">
        <v>2</v>
      </c>
      <c r="K15" s="50">
        <v>2</v>
      </c>
      <c r="L15" s="50">
        <v>0</v>
      </c>
      <c r="M15" s="50">
        <v>150</v>
      </c>
      <c r="N15" s="50">
        <v>0</v>
      </c>
      <c r="O15" s="15">
        <f t="shared" si="0"/>
        <v>105</v>
      </c>
      <c r="P15" s="15">
        <f t="shared" si="1"/>
        <v>255</v>
      </c>
      <c r="R15" s="1" t="s">
        <v>11</v>
      </c>
      <c r="S15" s="17">
        <f t="shared" ref="S15:AF15" si="7">SUM(C30:C33)</f>
        <v>175</v>
      </c>
      <c r="T15" s="17">
        <f t="shared" si="7"/>
        <v>35</v>
      </c>
      <c r="U15" s="17">
        <f t="shared" si="7"/>
        <v>20</v>
      </c>
      <c r="V15" s="17">
        <f t="shared" si="7"/>
        <v>45</v>
      </c>
      <c r="W15" s="17">
        <f t="shared" si="7"/>
        <v>0</v>
      </c>
      <c r="X15" s="17">
        <f t="shared" si="7"/>
        <v>0</v>
      </c>
      <c r="Y15" s="17">
        <f t="shared" si="7"/>
        <v>23</v>
      </c>
      <c r="Z15" s="17">
        <f t="shared" si="7"/>
        <v>15</v>
      </c>
      <c r="AA15" s="17">
        <f t="shared" si="7"/>
        <v>21</v>
      </c>
      <c r="AB15" s="17">
        <f t="shared" si="7"/>
        <v>0</v>
      </c>
      <c r="AC15" s="17">
        <f t="shared" si="7"/>
        <v>477</v>
      </c>
      <c r="AD15" s="17">
        <f t="shared" si="7"/>
        <v>0</v>
      </c>
      <c r="AE15" s="31">
        <f t="shared" si="7"/>
        <v>334</v>
      </c>
      <c r="AF15" s="31">
        <f t="shared" si="7"/>
        <v>811</v>
      </c>
    </row>
    <row r="16" spans="2:32" ht="23.1" customHeight="1" x14ac:dyDescent="0.25">
      <c r="B16" s="23" t="s">
        <v>43</v>
      </c>
      <c r="C16" s="50">
        <v>30</v>
      </c>
      <c r="D16" s="50">
        <v>4</v>
      </c>
      <c r="E16" s="50">
        <v>2</v>
      </c>
      <c r="F16" s="50">
        <v>24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150</v>
      </c>
      <c r="N16" s="50">
        <v>0</v>
      </c>
      <c r="O16" s="15">
        <f t="shared" si="0"/>
        <v>63</v>
      </c>
      <c r="P16" s="15">
        <f t="shared" si="1"/>
        <v>213</v>
      </c>
      <c r="R16" s="1" t="s">
        <v>12</v>
      </c>
      <c r="S16" s="17">
        <f t="shared" ref="S16:AF16" si="8">SUM(C34:C37)</f>
        <v>194</v>
      </c>
      <c r="T16" s="17">
        <f t="shared" si="8"/>
        <v>23</v>
      </c>
      <c r="U16" s="17">
        <f t="shared" si="8"/>
        <v>14</v>
      </c>
      <c r="V16" s="17">
        <f t="shared" si="8"/>
        <v>55</v>
      </c>
      <c r="W16" s="17">
        <f t="shared" si="8"/>
        <v>1</v>
      </c>
      <c r="X16" s="17">
        <f t="shared" si="8"/>
        <v>0</v>
      </c>
      <c r="Y16" s="17">
        <f t="shared" si="8"/>
        <v>18</v>
      </c>
      <c r="Z16" s="17">
        <f t="shared" si="8"/>
        <v>17</v>
      </c>
      <c r="AA16" s="17">
        <f t="shared" si="8"/>
        <v>12</v>
      </c>
      <c r="AB16" s="17">
        <f t="shared" si="8"/>
        <v>0</v>
      </c>
      <c r="AC16" s="17">
        <f t="shared" si="8"/>
        <v>510</v>
      </c>
      <c r="AD16" s="17">
        <f t="shared" si="8"/>
        <v>0</v>
      </c>
      <c r="AE16" s="31">
        <f t="shared" si="8"/>
        <v>334</v>
      </c>
      <c r="AF16" s="31">
        <f t="shared" si="8"/>
        <v>844</v>
      </c>
    </row>
    <row r="17" spans="2:32" ht="23.1" customHeight="1" x14ac:dyDescent="0.25">
      <c r="B17" s="23" t="s">
        <v>44</v>
      </c>
      <c r="C17" s="50">
        <v>36</v>
      </c>
      <c r="D17" s="50">
        <v>12</v>
      </c>
      <c r="E17" s="50">
        <v>4</v>
      </c>
      <c r="F17" s="50">
        <v>25</v>
      </c>
      <c r="G17" s="50">
        <v>0</v>
      </c>
      <c r="H17" s="50">
        <v>0</v>
      </c>
      <c r="I17" s="50">
        <v>5</v>
      </c>
      <c r="J17" s="50">
        <v>4</v>
      </c>
      <c r="K17" s="50">
        <v>2</v>
      </c>
      <c r="L17" s="50">
        <v>0</v>
      </c>
      <c r="M17" s="50">
        <v>145</v>
      </c>
      <c r="N17" s="50">
        <v>0</v>
      </c>
      <c r="O17" s="15">
        <f t="shared" si="0"/>
        <v>88</v>
      </c>
      <c r="P17" s="15">
        <f t="shared" si="1"/>
        <v>233</v>
      </c>
      <c r="R17" s="1" t="s">
        <v>13</v>
      </c>
      <c r="S17" s="17">
        <f t="shared" ref="S17:AF17" si="9">SUM(C38:C41)</f>
        <v>186</v>
      </c>
      <c r="T17" s="17">
        <f t="shared" si="9"/>
        <v>35</v>
      </c>
      <c r="U17" s="17">
        <f t="shared" si="9"/>
        <v>27</v>
      </c>
      <c r="V17" s="17">
        <f t="shared" si="9"/>
        <v>59</v>
      </c>
      <c r="W17" s="17">
        <f t="shared" si="9"/>
        <v>1</v>
      </c>
      <c r="X17" s="17">
        <f t="shared" si="9"/>
        <v>1</v>
      </c>
      <c r="Y17" s="17">
        <f t="shared" si="9"/>
        <v>21</v>
      </c>
      <c r="Z17" s="17">
        <f t="shared" si="9"/>
        <v>10</v>
      </c>
      <c r="AA17" s="17">
        <f t="shared" si="9"/>
        <v>10</v>
      </c>
      <c r="AB17" s="17">
        <f t="shared" si="9"/>
        <v>0</v>
      </c>
      <c r="AC17" s="17">
        <f t="shared" si="9"/>
        <v>487</v>
      </c>
      <c r="AD17" s="17">
        <f t="shared" si="9"/>
        <v>0</v>
      </c>
      <c r="AE17" s="31">
        <f t="shared" si="9"/>
        <v>350</v>
      </c>
      <c r="AF17" s="31">
        <f t="shared" si="9"/>
        <v>837</v>
      </c>
    </row>
    <row r="18" spans="2:32" ht="23.1" customHeight="1" x14ac:dyDescent="0.25">
      <c r="B18" s="23" t="s">
        <v>45</v>
      </c>
      <c r="C18" s="50">
        <v>29</v>
      </c>
      <c r="D18" s="50">
        <v>7</v>
      </c>
      <c r="E18" s="50">
        <v>4</v>
      </c>
      <c r="F18" s="50">
        <v>21</v>
      </c>
      <c r="G18" s="50">
        <v>0</v>
      </c>
      <c r="H18" s="50">
        <v>0</v>
      </c>
      <c r="I18" s="50">
        <v>9</v>
      </c>
      <c r="J18" s="50">
        <v>0</v>
      </c>
      <c r="K18" s="50">
        <v>5</v>
      </c>
      <c r="L18" s="50">
        <v>0</v>
      </c>
      <c r="M18" s="50">
        <v>150</v>
      </c>
      <c r="N18" s="50">
        <v>0</v>
      </c>
      <c r="O18" s="15">
        <f t="shared" si="0"/>
        <v>75</v>
      </c>
      <c r="P18" s="15">
        <f t="shared" si="1"/>
        <v>225</v>
      </c>
      <c r="R18" s="1" t="s">
        <v>14</v>
      </c>
      <c r="S18" s="17">
        <f t="shared" ref="S18:AF18" si="10">SUM(C42:C45)</f>
        <v>166</v>
      </c>
      <c r="T18" s="17">
        <f t="shared" si="10"/>
        <v>25</v>
      </c>
      <c r="U18" s="17">
        <f t="shared" si="10"/>
        <v>30</v>
      </c>
      <c r="V18" s="17">
        <f t="shared" si="10"/>
        <v>45</v>
      </c>
      <c r="W18" s="17">
        <f t="shared" si="10"/>
        <v>2</v>
      </c>
      <c r="X18" s="17">
        <f t="shared" si="10"/>
        <v>0</v>
      </c>
      <c r="Y18" s="17">
        <f t="shared" si="10"/>
        <v>17</v>
      </c>
      <c r="Z18" s="17">
        <f t="shared" si="10"/>
        <v>10</v>
      </c>
      <c r="AA18" s="17">
        <f t="shared" si="10"/>
        <v>13</v>
      </c>
      <c r="AB18" s="17">
        <f t="shared" si="10"/>
        <v>0</v>
      </c>
      <c r="AC18" s="17">
        <f t="shared" si="10"/>
        <v>453</v>
      </c>
      <c r="AD18" s="17">
        <f t="shared" si="10"/>
        <v>0</v>
      </c>
      <c r="AE18" s="31">
        <f t="shared" si="10"/>
        <v>308</v>
      </c>
      <c r="AF18" s="31">
        <f t="shared" si="10"/>
        <v>761</v>
      </c>
    </row>
    <row r="19" spans="2:32" ht="23.1" customHeight="1" x14ac:dyDescent="0.25">
      <c r="B19" s="23" t="s">
        <v>46</v>
      </c>
      <c r="C19" s="50">
        <v>41</v>
      </c>
      <c r="D19" s="50">
        <v>6</v>
      </c>
      <c r="E19" s="50">
        <v>5</v>
      </c>
      <c r="F19" s="50">
        <v>30</v>
      </c>
      <c r="G19" s="50">
        <v>0</v>
      </c>
      <c r="H19" s="50">
        <v>0</v>
      </c>
      <c r="I19" s="50">
        <v>7</v>
      </c>
      <c r="J19" s="50">
        <v>4</v>
      </c>
      <c r="K19" s="50">
        <v>5</v>
      </c>
      <c r="L19" s="50">
        <v>0</v>
      </c>
      <c r="M19" s="50">
        <v>150</v>
      </c>
      <c r="N19" s="50">
        <v>0</v>
      </c>
      <c r="O19" s="15">
        <f t="shared" si="0"/>
        <v>98</v>
      </c>
      <c r="P19" s="15">
        <f t="shared" si="1"/>
        <v>248</v>
      </c>
      <c r="R19" s="1" t="s">
        <v>15</v>
      </c>
      <c r="S19" s="17">
        <f t="shared" ref="S19:AF19" si="11">SUM(C46:C49)</f>
        <v>336</v>
      </c>
      <c r="T19" s="17">
        <f t="shared" si="11"/>
        <v>51</v>
      </c>
      <c r="U19" s="17">
        <f t="shared" si="11"/>
        <v>36</v>
      </c>
      <c r="V19" s="17">
        <f t="shared" si="11"/>
        <v>55</v>
      </c>
      <c r="W19" s="17">
        <f t="shared" si="11"/>
        <v>1</v>
      </c>
      <c r="X19" s="17">
        <f t="shared" si="11"/>
        <v>0</v>
      </c>
      <c r="Y19" s="17">
        <f t="shared" si="11"/>
        <v>20</v>
      </c>
      <c r="Z19" s="17">
        <f t="shared" si="11"/>
        <v>9</v>
      </c>
      <c r="AA19" s="17">
        <f t="shared" si="11"/>
        <v>22</v>
      </c>
      <c r="AB19" s="17">
        <f t="shared" si="11"/>
        <v>0</v>
      </c>
      <c r="AC19" s="17">
        <f t="shared" si="11"/>
        <v>620</v>
      </c>
      <c r="AD19" s="17">
        <f t="shared" si="11"/>
        <v>0</v>
      </c>
      <c r="AE19" s="31">
        <f t="shared" si="11"/>
        <v>530</v>
      </c>
      <c r="AF19" s="31">
        <f t="shared" si="11"/>
        <v>1150</v>
      </c>
    </row>
    <row r="20" spans="2:32" ht="23.1" customHeight="1" x14ac:dyDescent="0.25">
      <c r="B20" s="23" t="s">
        <v>47</v>
      </c>
      <c r="C20" s="50">
        <v>48</v>
      </c>
      <c r="D20" s="50">
        <v>7</v>
      </c>
      <c r="E20" s="50">
        <v>6</v>
      </c>
      <c r="F20" s="50">
        <v>27</v>
      </c>
      <c r="G20" s="50">
        <v>0</v>
      </c>
      <c r="H20" s="50">
        <v>0</v>
      </c>
      <c r="I20" s="50">
        <v>5</v>
      </c>
      <c r="J20" s="50">
        <v>2</v>
      </c>
      <c r="K20" s="50">
        <v>3</v>
      </c>
      <c r="L20" s="50">
        <v>0</v>
      </c>
      <c r="M20" s="50">
        <v>150</v>
      </c>
      <c r="N20" s="50">
        <v>0</v>
      </c>
      <c r="O20" s="15">
        <f t="shared" si="0"/>
        <v>98</v>
      </c>
      <c r="P20" s="15">
        <f t="shared" si="1"/>
        <v>248</v>
      </c>
      <c r="R20" s="1" t="s">
        <v>16</v>
      </c>
      <c r="S20" s="17">
        <f t="shared" ref="S20:AF20" si="12">SUM(C50:C53)</f>
        <v>495</v>
      </c>
      <c r="T20" s="17">
        <f t="shared" si="12"/>
        <v>210</v>
      </c>
      <c r="U20" s="17">
        <f t="shared" si="12"/>
        <v>45</v>
      </c>
      <c r="V20" s="17">
        <f t="shared" si="12"/>
        <v>52</v>
      </c>
      <c r="W20" s="17">
        <f t="shared" si="12"/>
        <v>1</v>
      </c>
      <c r="X20" s="17">
        <f t="shared" si="12"/>
        <v>0</v>
      </c>
      <c r="Y20" s="17">
        <f t="shared" si="12"/>
        <v>6</v>
      </c>
      <c r="Z20" s="17">
        <f t="shared" si="12"/>
        <v>4</v>
      </c>
      <c r="AA20" s="17">
        <f t="shared" si="12"/>
        <v>5</v>
      </c>
      <c r="AB20" s="17">
        <f t="shared" si="12"/>
        <v>0</v>
      </c>
      <c r="AC20" s="17">
        <f t="shared" si="12"/>
        <v>645</v>
      </c>
      <c r="AD20" s="17">
        <f t="shared" si="12"/>
        <v>0</v>
      </c>
      <c r="AE20" s="31">
        <f t="shared" si="12"/>
        <v>818</v>
      </c>
      <c r="AF20" s="31">
        <f t="shared" si="12"/>
        <v>1463</v>
      </c>
    </row>
    <row r="21" spans="2:32" ht="23.1" customHeight="1" x14ac:dyDescent="0.25">
      <c r="B21" s="23" t="s">
        <v>48</v>
      </c>
      <c r="C21" s="50">
        <v>25</v>
      </c>
      <c r="D21" s="50">
        <v>8</v>
      </c>
      <c r="E21" s="50">
        <v>5</v>
      </c>
      <c r="F21" s="50">
        <v>20</v>
      </c>
      <c r="G21" s="50">
        <v>0</v>
      </c>
      <c r="H21" s="50">
        <v>0</v>
      </c>
      <c r="I21" s="50">
        <v>6</v>
      </c>
      <c r="J21" s="50">
        <v>3</v>
      </c>
      <c r="K21" s="50">
        <v>5</v>
      </c>
      <c r="L21" s="50">
        <v>0</v>
      </c>
      <c r="M21" s="50">
        <v>118</v>
      </c>
      <c r="N21" s="50">
        <v>0</v>
      </c>
      <c r="O21" s="15">
        <f t="shared" si="0"/>
        <v>72</v>
      </c>
      <c r="P21" s="15">
        <f t="shared" si="1"/>
        <v>190</v>
      </c>
      <c r="R21" s="36" t="s">
        <v>20</v>
      </c>
      <c r="S21" s="34">
        <f t="shared" ref="S21:AF21" si="13">SUM(C54:C57)</f>
        <v>550</v>
      </c>
      <c r="T21" s="17">
        <f t="shared" si="13"/>
        <v>300</v>
      </c>
      <c r="U21" s="17">
        <f t="shared" si="13"/>
        <v>49</v>
      </c>
      <c r="V21" s="17">
        <f t="shared" si="13"/>
        <v>134</v>
      </c>
      <c r="W21" s="17">
        <f t="shared" si="13"/>
        <v>1</v>
      </c>
      <c r="X21" s="17">
        <f t="shared" si="13"/>
        <v>0</v>
      </c>
      <c r="Y21" s="17">
        <f t="shared" si="13"/>
        <v>8</v>
      </c>
      <c r="Z21" s="17">
        <f t="shared" si="13"/>
        <v>13</v>
      </c>
      <c r="AA21" s="17">
        <f t="shared" si="13"/>
        <v>5</v>
      </c>
      <c r="AB21" s="17">
        <f t="shared" si="13"/>
        <v>0</v>
      </c>
      <c r="AC21" s="17">
        <f t="shared" si="13"/>
        <v>680</v>
      </c>
      <c r="AD21" s="17">
        <f t="shared" si="13"/>
        <v>0</v>
      </c>
      <c r="AE21" s="31">
        <f t="shared" si="13"/>
        <v>1060</v>
      </c>
      <c r="AF21" s="31">
        <f t="shared" si="13"/>
        <v>1740</v>
      </c>
    </row>
    <row r="22" spans="2:32" ht="23.1" customHeight="1" x14ac:dyDescent="0.25">
      <c r="B22" s="23" t="s">
        <v>49</v>
      </c>
      <c r="C22" s="50">
        <v>33</v>
      </c>
      <c r="D22" s="50">
        <v>3</v>
      </c>
      <c r="E22" s="50">
        <v>2</v>
      </c>
      <c r="F22" s="50">
        <v>14</v>
      </c>
      <c r="G22" s="50">
        <v>0</v>
      </c>
      <c r="H22" s="50">
        <v>0</v>
      </c>
      <c r="I22" s="50">
        <v>8</v>
      </c>
      <c r="J22" s="50">
        <v>1</v>
      </c>
      <c r="K22" s="50">
        <v>4</v>
      </c>
      <c r="L22" s="50">
        <v>0</v>
      </c>
      <c r="M22" s="50">
        <v>145</v>
      </c>
      <c r="N22" s="50">
        <v>0</v>
      </c>
      <c r="O22" s="15">
        <f t="shared" si="0"/>
        <v>65</v>
      </c>
      <c r="P22" s="15">
        <f t="shared" si="1"/>
        <v>210</v>
      </c>
      <c r="R22" s="38" t="s">
        <v>90</v>
      </c>
      <c r="S22" s="39">
        <f>MAX(S10:S12)</f>
        <v>169</v>
      </c>
      <c r="T22" s="39">
        <f t="shared" ref="T22:AF22" si="14">MAX(T10:T12)</f>
        <v>70</v>
      </c>
      <c r="U22" s="39">
        <f t="shared" si="14"/>
        <v>20</v>
      </c>
      <c r="V22" s="39">
        <f t="shared" si="14"/>
        <v>113</v>
      </c>
      <c r="W22" s="39">
        <f t="shared" si="14"/>
        <v>1</v>
      </c>
      <c r="X22" s="39">
        <f t="shared" si="14"/>
        <v>0</v>
      </c>
      <c r="Y22" s="39">
        <f t="shared" si="14"/>
        <v>27</v>
      </c>
      <c r="Z22" s="39">
        <f t="shared" si="14"/>
        <v>9</v>
      </c>
      <c r="AA22" s="39">
        <f t="shared" si="14"/>
        <v>18</v>
      </c>
      <c r="AB22" s="39">
        <f t="shared" si="14"/>
        <v>0</v>
      </c>
      <c r="AC22" s="39">
        <f t="shared" si="14"/>
        <v>595</v>
      </c>
      <c r="AD22" s="39">
        <f t="shared" si="14"/>
        <v>0</v>
      </c>
      <c r="AE22" s="40">
        <f t="shared" si="14"/>
        <v>351</v>
      </c>
      <c r="AF22" s="40">
        <f t="shared" si="14"/>
        <v>946</v>
      </c>
    </row>
    <row r="23" spans="2:32" ht="23.1" customHeight="1" x14ac:dyDescent="0.25">
      <c r="B23" s="23" t="s">
        <v>50</v>
      </c>
      <c r="C23" s="50">
        <v>40</v>
      </c>
      <c r="D23" s="50">
        <v>5</v>
      </c>
      <c r="E23" s="50">
        <v>10</v>
      </c>
      <c r="F23" s="50">
        <v>21</v>
      </c>
      <c r="G23" s="50">
        <v>0</v>
      </c>
      <c r="H23" s="50">
        <v>0</v>
      </c>
      <c r="I23" s="50">
        <v>5</v>
      </c>
      <c r="J23" s="50">
        <v>1</v>
      </c>
      <c r="K23" s="50">
        <v>4</v>
      </c>
      <c r="L23" s="50">
        <v>0</v>
      </c>
      <c r="M23" s="50">
        <v>140</v>
      </c>
      <c r="N23" s="50">
        <v>0</v>
      </c>
      <c r="O23" s="15">
        <f t="shared" si="0"/>
        <v>86</v>
      </c>
      <c r="P23" s="15">
        <f t="shared" si="1"/>
        <v>226</v>
      </c>
      <c r="R23" s="38" t="s">
        <v>91</v>
      </c>
      <c r="S23" s="39">
        <f>MAX(S13:S18)</f>
        <v>194</v>
      </c>
      <c r="T23" s="39">
        <f t="shared" ref="T23:AF23" si="15">MAX(T13:T18)</f>
        <v>35</v>
      </c>
      <c r="U23" s="39">
        <f t="shared" si="15"/>
        <v>30</v>
      </c>
      <c r="V23" s="39">
        <f t="shared" si="15"/>
        <v>66</v>
      </c>
      <c r="W23" s="39">
        <f t="shared" si="15"/>
        <v>2</v>
      </c>
      <c r="X23" s="39">
        <f t="shared" si="15"/>
        <v>1</v>
      </c>
      <c r="Y23" s="39">
        <f t="shared" si="15"/>
        <v>29</v>
      </c>
      <c r="Z23" s="39">
        <f t="shared" si="15"/>
        <v>17</v>
      </c>
      <c r="AA23" s="39">
        <f t="shared" si="15"/>
        <v>21</v>
      </c>
      <c r="AB23" s="39">
        <f t="shared" si="15"/>
        <v>0</v>
      </c>
      <c r="AC23" s="39">
        <f t="shared" si="15"/>
        <v>545</v>
      </c>
      <c r="AD23" s="39">
        <f t="shared" si="15"/>
        <v>0</v>
      </c>
      <c r="AE23" s="40">
        <f t="shared" si="15"/>
        <v>350</v>
      </c>
      <c r="AF23" s="40">
        <f t="shared" si="15"/>
        <v>859</v>
      </c>
    </row>
    <row r="24" spans="2:32" ht="23.1" customHeight="1" x14ac:dyDescent="0.25">
      <c r="B24" s="23" t="s">
        <v>51</v>
      </c>
      <c r="C24" s="50">
        <v>30</v>
      </c>
      <c r="D24" s="50">
        <v>9</v>
      </c>
      <c r="E24" s="50">
        <v>8</v>
      </c>
      <c r="F24" s="50">
        <v>17</v>
      </c>
      <c r="G24" s="50">
        <v>0</v>
      </c>
      <c r="H24" s="50">
        <v>0</v>
      </c>
      <c r="I24" s="50">
        <v>10</v>
      </c>
      <c r="J24" s="50">
        <v>2</v>
      </c>
      <c r="K24" s="50">
        <v>1</v>
      </c>
      <c r="L24" s="50">
        <v>0</v>
      </c>
      <c r="M24" s="50">
        <v>130</v>
      </c>
      <c r="N24" s="50">
        <v>0</v>
      </c>
      <c r="O24" s="15">
        <f t="shared" si="0"/>
        <v>77</v>
      </c>
      <c r="P24" s="15">
        <f t="shared" si="1"/>
        <v>207</v>
      </c>
      <c r="R24" s="38" t="s">
        <v>92</v>
      </c>
      <c r="S24" s="39">
        <f>MAX(S19:S21)</f>
        <v>550</v>
      </c>
      <c r="T24" s="39">
        <f t="shared" ref="T24:AF24" si="16">MAX(T19:T21)</f>
        <v>300</v>
      </c>
      <c r="U24" s="39">
        <f t="shared" si="16"/>
        <v>49</v>
      </c>
      <c r="V24" s="39">
        <f t="shared" si="16"/>
        <v>134</v>
      </c>
      <c r="W24" s="39">
        <f t="shared" si="16"/>
        <v>1</v>
      </c>
      <c r="X24" s="39">
        <f t="shared" si="16"/>
        <v>0</v>
      </c>
      <c r="Y24" s="39">
        <f t="shared" si="16"/>
        <v>20</v>
      </c>
      <c r="Z24" s="39">
        <f t="shared" si="16"/>
        <v>13</v>
      </c>
      <c r="AA24" s="39">
        <f t="shared" si="16"/>
        <v>22</v>
      </c>
      <c r="AB24" s="39">
        <f t="shared" si="16"/>
        <v>0</v>
      </c>
      <c r="AC24" s="39">
        <f t="shared" si="16"/>
        <v>680</v>
      </c>
      <c r="AD24" s="39">
        <f t="shared" si="16"/>
        <v>0</v>
      </c>
      <c r="AE24" s="40">
        <f t="shared" si="16"/>
        <v>1060</v>
      </c>
      <c r="AF24" s="40">
        <f t="shared" si="16"/>
        <v>1740</v>
      </c>
    </row>
    <row r="25" spans="2:32" ht="23.1" customHeight="1" x14ac:dyDescent="0.25">
      <c r="B25" s="23" t="s">
        <v>52</v>
      </c>
      <c r="C25" s="50">
        <v>46</v>
      </c>
      <c r="D25" s="50">
        <v>14</v>
      </c>
      <c r="E25" s="50">
        <v>3</v>
      </c>
      <c r="F25" s="50">
        <v>14</v>
      </c>
      <c r="G25" s="50">
        <v>0</v>
      </c>
      <c r="H25" s="50">
        <v>0</v>
      </c>
      <c r="I25" s="50">
        <v>6</v>
      </c>
      <c r="J25" s="50">
        <v>1</v>
      </c>
      <c r="K25" s="50">
        <v>2</v>
      </c>
      <c r="L25" s="50">
        <v>0</v>
      </c>
      <c r="M25" s="50">
        <v>130</v>
      </c>
      <c r="N25" s="50">
        <v>0</v>
      </c>
      <c r="O25" s="15">
        <f t="shared" si="0"/>
        <v>86</v>
      </c>
      <c r="P25" s="15">
        <f t="shared" si="1"/>
        <v>216</v>
      </c>
      <c r="R25" s="37" t="s">
        <v>85</v>
      </c>
      <c r="S25" s="35">
        <f t="shared" ref="S25:AF25" si="17">SUM(S10:S12)</f>
        <v>469</v>
      </c>
      <c r="T25" s="16">
        <f t="shared" si="17"/>
        <v>125</v>
      </c>
      <c r="U25" s="16">
        <f t="shared" si="17"/>
        <v>52</v>
      </c>
      <c r="V25" s="16">
        <f t="shared" si="17"/>
        <v>272</v>
      </c>
      <c r="W25" s="16">
        <f t="shared" si="17"/>
        <v>1</v>
      </c>
      <c r="X25" s="16">
        <f t="shared" si="17"/>
        <v>0</v>
      </c>
      <c r="Y25" s="16">
        <f t="shared" si="17"/>
        <v>58</v>
      </c>
      <c r="Z25" s="16">
        <f t="shared" si="17"/>
        <v>21</v>
      </c>
      <c r="AA25" s="16">
        <f t="shared" si="17"/>
        <v>25</v>
      </c>
      <c r="AB25" s="16">
        <f t="shared" si="17"/>
        <v>0</v>
      </c>
      <c r="AC25" s="16">
        <f t="shared" si="17"/>
        <v>1646</v>
      </c>
      <c r="AD25" s="16">
        <f t="shared" si="17"/>
        <v>0</v>
      </c>
      <c r="AE25" s="32">
        <f t="shared" si="17"/>
        <v>1023</v>
      </c>
      <c r="AF25" s="32">
        <f t="shared" si="17"/>
        <v>2669</v>
      </c>
    </row>
    <row r="26" spans="2:32" ht="23.1" customHeight="1" x14ac:dyDescent="0.25">
      <c r="B26" s="23" t="s">
        <v>53</v>
      </c>
      <c r="C26" s="50">
        <v>43</v>
      </c>
      <c r="D26" s="50">
        <v>10</v>
      </c>
      <c r="E26" s="50">
        <v>6</v>
      </c>
      <c r="F26" s="50">
        <v>20</v>
      </c>
      <c r="G26" s="50">
        <v>0</v>
      </c>
      <c r="H26" s="50">
        <v>0</v>
      </c>
      <c r="I26" s="50">
        <v>9</v>
      </c>
      <c r="J26" s="50">
        <v>7</v>
      </c>
      <c r="K26" s="50">
        <v>5</v>
      </c>
      <c r="L26" s="50">
        <v>0</v>
      </c>
      <c r="M26" s="50">
        <v>140</v>
      </c>
      <c r="N26" s="50">
        <v>0</v>
      </c>
      <c r="O26" s="15">
        <f t="shared" si="0"/>
        <v>100</v>
      </c>
      <c r="P26" s="15">
        <f t="shared" si="1"/>
        <v>240</v>
      </c>
      <c r="R26" s="28" t="s">
        <v>86</v>
      </c>
      <c r="S26" s="16">
        <f t="shared" ref="S26:AF26" si="18">SUM(S13:S18)</f>
        <v>1034</v>
      </c>
      <c r="T26" s="16">
        <f t="shared" si="18"/>
        <v>167</v>
      </c>
      <c r="U26" s="16">
        <f t="shared" si="18"/>
        <v>136</v>
      </c>
      <c r="V26" s="16">
        <f t="shared" si="18"/>
        <v>333</v>
      </c>
      <c r="W26" s="16">
        <f t="shared" si="18"/>
        <v>4</v>
      </c>
      <c r="X26" s="16">
        <f t="shared" si="18"/>
        <v>1</v>
      </c>
      <c r="Y26" s="16">
        <f t="shared" si="18"/>
        <v>134</v>
      </c>
      <c r="Z26" s="16">
        <f t="shared" si="18"/>
        <v>73</v>
      </c>
      <c r="AA26" s="16">
        <f t="shared" si="18"/>
        <v>88</v>
      </c>
      <c r="AB26" s="16">
        <f t="shared" si="18"/>
        <v>0</v>
      </c>
      <c r="AC26" s="16">
        <f t="shared" si="18"/>
        <v>2962</v>
      </c>
      <c r="AD26" s="16">
        <f t="shared" si="18"/>
        <v>0</v>
      </c>
      <c r="AE26" s="32">
        <f t="shared" si="18"/>
        <v>1970</v>
      </c>
      <c r="AF26" s="32">
        <f t="shared" si="18"/>
        <v>4932</v>
      </c>
    </row>
    <row r="27" spans="2:32" ht="23.1" customHeight="1" x14ac:dyDescent="0.25">
      <c r="B27" s="23" t="s">
        <v>54</v>
      </c>
      <c r="C27" s="50">
        <v>40</v>
      </c>
      <c r="D27" s="50">
        <v>3</v>
      </c>
      <c r="E27" s="50">
        <v>3</v>
      </c>
      <c r="F27" s="50">
        <v>13</v>
      </c>
      <c r="G27" s="50">
        <v>0</v>
      </c>
      <c r="H27" s="50">
        <v>0</v>
      </c>
      <c r="I27" s="50">
        <v>6</v>
      </c>
      <c r="J27" s="50">
        <v>1</v>
      </c>
      <c r="K27" s="50">
        <v>5</v>
      </c>
      <c r="L27" s="50">
        <v>0</v>
      </c>
      <c r="M27" s="50">
        <v>105</v>
      </c>
      <c r="N27" s="50">
        <v>0</v>
      </c>
      <c r="O27" s="15">
        <f t="shared" si="0"/>
        <v>71</v>
      </c>
      <c r="P27" s="15">
        <f t="shared" si="1"/>
        <v>176</v>
      </c>
      <c r="R27" s="29" t="s">
        <v>87</v>
      </c>
      <c r="S27" s="16">
        <f t="shared" ref="S27:AF27" si="19">SUM(S19:S21)</f>
        <v>1381</v>
      </c>
      <c r="T27" s="16">
        <f t="shared" si="19"/>
        <v>561</v>
      </c>
      <c r="U27" s="16">
        <f t="shared" si="19"/>
        <v>130</v>
      </c>
      <c r="V27" s="16">
        <f t="shared" si="19"/>
        <v>241</v>
      </c>
      <c r="W27" s="16">
        <f t="shared" si="19"/>
        <v>3</v>
      </c>
      <c r="X27" s="16">
        <f t="shared" si="19"/>
        <v>0</v>
      </c>
      <c r="Y27" s="16">
        <f t="shared" si="19"/>
        <v>34</v>
      </c>
      <c r="Z27" s="16">
        <f t="shared" si="19"/>
        <v>26</v>
      </c>
      <c r="AA27" s="16">
        <f t="shared" si="19"/>
        <v>32</v>
      </c>
      <c r="AB27" s="16">
        <f t="shared" si="19"/>
        <v>0</v>
      </c>
      <c r="AC27" s="16">
        <f t="shared" si="19"/>
        <v>1945</v>
      </c>
      <c r="AD27" s="16">
        <f t="shared" si="19"/>
        <v>0</v>
      </c>
      <c r="AE27" s="32">
        <f t="shared" si="19"/>
        <v>2408</v>
      </c>
      <c r="AF27" s="32">
        <f t="shared" si="19"/>
        <v>4353</v>
      </c>
    </row>
    <row r="28" spans="2:32" ht="23.1" customHeight="1" x14ac:dyDescent="0.25">
      <c r="B28" s="23" t="s">
        <v>55</v>
      </c>
      <c r="C28" s="50">
        <v>40</v>
      </c>
      <c r="D28" s="50">
        <v>3</v>
      </c>
      <c r="E28" s="50">
        <v>6</v>
      </c>
      <c r="F28" s="50">
        <v>11</v>
      </c>
      <c r="G28" s="50">
        <v>0</v>
      </c>
      <c r="H28" s="50">
        <v>0</v>
      </c>
      <c r="I28" s="50">
        <v>4</v>
      </c>
      <c r="J28" s="50">
        <v>3</v>
      </c>
      <c r="K28" s="50">
        <v>5</v>
      </c>
      <c r="L28" s="50">
        <v>0</v>
      </c>
      <c r="M28" s="50">
        <v>145</v>
      </c>
      <c r="N28" s="50">
        <v>0</v>
      </c>
      <c r="O28" s="15">
        <f t="shared" si="0"/>
        <v>72</v>
      </c>
      <c r="P28" s="15">
        <f t="shared" si="1"/>
        <v>217</v>
      </c>
      <c r="R28" s="5" t="s">
        <v>17</v>
      </c>
      <c r="S28" s="16">
        <f t="shared" ref="S28:AF28" si="20">SUM(S10:S21)</f>
        <v>2884</v>
      </c>
      <c r="T28" s="16">
        <f t="shared" si="20"/>
        <v>853</v>
      </c>
      <c r="U28" s="16">
        <f t="shared" si="20"/>
        <v>318</v>
      </c>
      <c r="V28" s="16">
        <f t="shared" si="20"/>
        <v>846</v>
      </c>
      <c r="W28" s="16">
        <f t="shared" si="20"/>
        <v>8</v>
      </c>
      <c r="X28" s="16">
        <f t="shared" si="20"/>
        <v>1</v>
      </c>
      <c r="Y28" s="16">
        <f t="shared" si="20"/>
        <v>226</v>
      </c>
      <c r="Z28" s="16">
        <f t="shared" si="20"/>
        <v>120</v>
      </c>
      <c r="AA28" s="16">
        <f t="shared" si="20"/>
        <v>145</v>
      </c>
      <c r="AB28" s="16">
        <f t="shared" si="20"/>
        <v>0</v>
      </c>
      <c r="AC28" s="16">
        <f t="shared" si="20"/>
        <v>6553</v>
      </c>
      <c r="AD28" s="16">
        <f t="shared" si="20"/>
        <v>0</v>
      </c>
      <c r="AE28" s="32">
        <f t="shared" si="20"/>
        <v>5401</v>
      </c>
      <c r="AF28" s="32">
        <f t="shared" si="20"/>
        <v>11954</v>
      </c>
    </row>
    <row r="29" spans="2:32" ht="23.1" customHeight="1" x14ac:dyDescent="0.25">
      <c r="B29" s="23" t="s">
        <v>56</v>
      </c>
      <c r="C29" s="50">
        <v>41</v>
      </c>
      <c r="D29" s="50">
        <v>2</v>
      </c>
      <c r="E29" s="50">
        <v>7</v>
      </c>
      <c r="F29" s="50">
        <v>19</v>
      </c>
      <c r="G29" s="50">
        <v>0</v>
      </c>
      <c r="H29" s="50">
        <v>0</v>
      </c>
      <c r="I29" s="50">
        <v>7</v>
      </c>
      <c r="J29" s="50">
        <v>5</v>
      </c>
      <c r="K29" s="50">
        <v>6</v>
      </c>
      <c r="L29" s="50">
        <v>0</v>
      </c>
      <c r="M29" s="50">
        <v>100</v>
      </c>
      <c r="N29" s="50">
        <v>0</v>
      </c>
      <c r="O29" s="15">
        <f t="shared" si="0"/>
        <v>87</v>
      </c>
      <c r="P29" s="15">
        <f t="shared" si="1"/>
        <v>187</v>
      </c>
      <c r="R29"/>
      <c r="S29" s="20"/>
      <c r="T29" s="19"/>
    </row>
    <row r="30" spans="2:32" ht="23.1" customHeight="1" x14ac:dyDescent="0.25">
      <c r="B30" s="23" t="s">
        <v>57</v>
      </c>
      <c r="C30" s="50">
        <v>47</v>
      </c>
      <c r="D30" s="50">
        <v>5</v>
      </c>
      <c r="E30" s="50">
        <v>3</v>
      </c>
      <c r="F30" s="50">
        <v>13</v>
      </c>
      <c r="G30" s="50">
        <v>0</v>
      </c>
      <c r="H30" s="50">
        <v>0</v>
      </c>
      <c r="I30" s="50">
        <v>6</v>
      </c>
      <c r="J30" s="50">
        <v>5</v>
      </c>
      <c r="K30" s="50">
        <v>6</v>
      </c>
      <c r="L30" s="50">
        <v>0</v>
      </c>
      <c r="M30" s="50">
        <v>87</v>
      </c>
      <c r="N30" s="50">
        <v>0</v>
      </c>
      <c r="O30" s="15">
        <f t="shared" si="0"/>
        <v>85</v>
      </c>
      <c r="P30" s="15">
        <f t="shared" si="1"/>
        <v>172</v>
      </c>
    </row>
    <row r="31" spans="2:32" ht="23.1" customHeight="1" x14ac:dyDescent="0.25">
      <c r="B31" s="24" t="s">
        <v>58</v>
      </c>
      <c r="C31" s="50">
        <v>40</v>
      </c>
      <c r="D31" s="50">
        <v>5</v>
      </c>
      <c r="E31" s="50">
        <v>7</v>
      </c>
      <c r="F31" s="50">
        <v>11</v>
      </c>
      <c r="G31" s="50">
        <v>0</v>
      </c>
      <c r="H31" s="50">
        <v>0</v>
      </c>
      <c r="I31" s="50">
        <v>5</v>
      </c>
      <c r="J31" s="50">
        <v>3</v>
      </c>
      <c r="K31" s="50">
        <v>1</v>
      </c>
      <c r="L31" s="50">
        <v>0</v>
      </c>
      <c r="M31" s="50">
        <v>110</v>
      </c>
      <c r="N31" s="50">
        <v>0</v>
      </c>
      <c r="O31" s="15">
        <f t="shared" si="0"/>
        <v>72</v>
      </c>
      <c r="P31" s="15">
        <f t="shared" si="1"/>
        <v>182</v>
      </c>
    </row>
    <row r="32" spans="2:32" ht="23.1" customHeight="1" x14ac:dyDescent="0.25">
      <c r="B32" s="24" t="s">
        <v>59</v>
      </c>
      <c r="C32" s="50">
        <v>50</v>
      </c>
      <c r="D32" s="50">
        <v>10</v>
      </c>
      <c r="E32" s="50">
        <v>6</v>
      </c>
      <c r="F32" s="50">
        <v>13</v>
      </c>
      <c r="G32" s="50">
        <v>0</v>
      </c>
      <c r="H32" s="50">
        <v>0</v>
      </c>
      <c r="I32" s="50">
        <v>6</v>
      </c>
      <c r="J32" s="50">
        <v>5</v>
      </c>
      <c r="K32" s="50">
        <v>9</v>
      </c>
      <c r="L32" s="50">
        <v>0</v>
      </c>
      <c r="M32" s="50">
        <v>150</v>
      </c>
      <c r="N32" s="50">
        <v>0</v>
      </c>
      <c r="O32" s="15">
        <f t="shared" si="0"/>
        <v>99</v>
      </c>
      <c r="P32" s="15">
        <f t="shared" si="1"/>
        <v>249</v>
      </c>
    </row>
    <row r="33" spans="2:20" ht="23.1" customHeight="1" x14ac:dyDescent="0.25">
      <c r="B33" s="23" t="s">
        <v>60</v>
      </c>
      <c r="C33" s="50">
        <v>38</v>
      </c>
      <c r="D33" s="50">
        <v>15</v>
      </c>
      <c r="E33" s="50">
        <v>4</v>
      </c>
      <c r="F33" s="50">
        <v>8</v>
      </c>
      <c r="G33" s="50">
        <v>0</v>
      </c>
      <c r="H33" s="50">
        <v>0</v>
      </c>
      <c r="I33" s="50">
        <v>6</v>
      </c>
      <c r="J33" s="50">
        <v>2</v>
      </c>
      <c r="K33" s="50">
        <v>5</v>
      </c>
      <c r="L33" s="50">
        <v>0</v>
      </c>
      <c r="M33" s="50">
        <v>130</v>
      </c>
      <c r="N33" s="50">
        <v>0</v>
      </c>
      <c r="O33" s="15">
        <f t="shared" si="0"/>
        <v>78</v>
      </c>
      <c r="P33" s="15">
        <f t="shared" si="1"/>
        <v>208</v>
      </c>
    </row>
    <row r="34" spans="2:20" ht="23.1" customHeight="1" x14ac:dyDescent="0.25">
      <c r="B34" s="24" t="s">
        <v>61</v>
      </c>
      <c r="C34" s="50">
        <v>50</v>
      </c>
      <c r="D34" s="50">
        <v>9</v>
      </c>
      <c r="E34" s="50">
        <v>4</v>
      </c>
      <c r="F34" s="50">
        <v>19</v>
      </c>
      <c r="G34" s="50">
        <v>1</v>
      </c>
      <c r="H34" s="50">
        <v>0</v>
      </c>
      <c r="I34" s="50">
        <v>5</v>
      </c>
      <c r="J34" s="50">
        <v>3</v>
      </c>
      <c r="K34" s="50">
        <v>4</v>
      </c>
      <c r="L34" s="50">
        <v>0</v>
      </c>
      <c r="M34" s="50">
        <v>150</v>
      </c>
      <c r="N34" s="50">
        <v>0</v>
      </c>
      <c r="O34" s="15">
        <f t="shared" si="0"/>
        <v>95</v>
      </c>
      <c r="P34" s="15">
        <f t="shared" si="1"/>
        <v>245</v>
      </c>
    </row>
    <row r="35" spans="2:20" ht="23.1" customHeight="1" x14ac:dyDescent="0.25">
      <c r="B35" s="24" t="s">
        <v>62</v>
      </c>
      <c r="C35" s="50">
        <v>44</v>
      </c>
      <c r="D35" s="50">
        <v>6</v>
      </c>
      <c r="E35" s="50">
        <v>4</v>
      </c>
      <c r="F35" s="50">
        <v>13</v>
      </c>
      <c r="G35" s="50">
        <v>0</v>
      </c>
      <c r="H35" s="50">
        <v>0</v>
      </c>
      <c r="I35" s="50">
        <v>2</v>
      </c>
      <c r="J35" s="50">
        <v>5</v>
      </c>
      <c r="K35" s="50">
        <v>3</v>
      </c>
      <c r="L35" s="50">
        <v>0</v>
      </c>
      <c r="M35" s="50">
        <v>150</v>
      </c>
      <c r="N35" s="50">
        <v>0</v>
      </c>
      <c r="O35" s="15">
        <f t="shared" si="0"/>
        <v>77</v>
      </c>
      <c r="P35" s="15">
        <f t="shared" si="1"/>
        <v>227</v>
      </c>
    </row>
    <row r="36" spans="2:20" ht="23.1" customHeight="1" x14ac:dyDescent="0.25">
      <c r="B36" s="24" t="s">
        <v>63</v>
      </c>
      <c r="C36" s="50">
        <v>50</v>
      </c>
      <c r="D36" s="50">
        <v>5</v>
      </c>
      <c r="E36" s="50">
        <v>1</v>
      </c>
      <c r="F36" s="50">
        <v>12</v>
      </c>
      <c r="G36" s="50">
        <v>0</v>
      </c>
      <c r="H36" s="50">
        <v>0</v>
      </c>
      <c r="I36" s="50">
        <v>6</v>
      </c>
      <c r="J36" s="50">
        <v>5</v>
      </c>
      <c r="K36" s="50">
        <v>2</v>
      </c>
      <c r="L36" s="50">
        <v>0</v>
      </c>
      <c r="M36" s="50">
        <v>75</v>
      </c>
      <c r="N36" s="50">
        <v>0</v>
      </c>
      <c r="O36" s="15">
        <f t="shared" si="0"/>
        <v>81</v>
      </c>
      <c r="P36" s="15">
        <f t="shared" si="1"/>
        <v>156</v>
      </c>
    </row>
    <row r="37" spans="2:20" ht="23.1" customHeight="1" x14ac:dyDescent="0.25">
      <c r="B37" s="23" t="s">
        <v>64</v>
      </c>
      <c r="C37" s="50">
        <v>50</v>
      </c>
      <c r="D37" s="50">
        <v>3</v>
      </c>
      <c r="E37" s="50">
        <v>5</v>
      </c>
      <c r="F37" s="50">
        <v>11</v>
      </c>
      <c r="G37" s="50">
        <v>0</v>
      </c>
      <c r="H37" s="50">
        <v>0</v>
      </c>
      <c r="I37" s="50">
        <v>5</v>
      </c>
      <c r="J37" s="50">
        <v>4</v>
      </c>
      <c r="K37" s="50">
        <v>3</v>
      </c>
      <c r="L37" s="50">
        <v>0</v>
      </c>
      <c r="M37" s="50">
        <v>135</v>
      </c>
      <c r="N37" s="50">
        <v>0</v>
      </c>
      <c r="O37" s="15">
        <f t="shared" si="0"/>
        <v>81</v>
      </c>
      <c r="P37" s="15">
        <f t="shared" si="1"/>
        <v>216</v>
      </c>
    </row>
    <row r="38" spans="2:20" ht="23.1" customHeight="1" x14ac:dyDescent="0.25">
      <c r="B38" s="24" t="s">
        <v>65</v>
      </c>
      <c r="C38" s="50">
        <v>48</v>
      </c>
      <c r="D38" s="50">
        <v>6</v>
      </c>
      <c r="E38" s="50">
        <v>3</v>
      </c>
      <c r="F38" s="50">
        <v>18</v>
      </c>
      <c r="G38" s="50">
        <v>0</v>
      </c>
      <c r="H38" s="50">
        <v>0</v>
      </c>
      <c r="I38" s="50">
        <v>6</v>
      </c>
      <c r="J38" s="50">
        <v>4</v>
      </c>
      <c r="K38" s="50">
        <v>2</v>
      </c>
      <c r="L38" s="50">
        <v>0</v>
      </c>
      <c r="M38" s="50">
        <v>111</v>
      </c>
      <c r="N38" s="50">
        <v>0</v>
      </c>
      <c r="O38" s="15">
        <f t="shared" si="0"/>
        <v>87</v>
      </c>
      <c r="P38" s="15">
        <f t="shared" si="1"/>
        <v>198</v>
      </c>
    </row>
    <row r="39" spans="2:20" ht="23.1" customHeight="1" x14ac:dyDescent="0.25">
      <c r="B39" s="24" t="s">
        <v>66</v>
      </c>
      <c r="C39" s="50">
        <v>47</v>
      </c>
      <c r="D39" s="50">
        <v>8</v>
      </c>
      <c r="E39" s="50">
        <v>8</v>
      </c>
      <c r="F39" s="50">
        <v>13</v>
      </c>
      <c r="G39" s="50">
        <v>0</v>
      </c>
      <c r="H39" s="50">
        <v>0</v>
      </c>
      <c r="I39" s="50">
        <v>3</v>
      </c>
      <c r="J39" s="50">
        <v>2</v>
      </c>
      <c r="K39" s="50">
        <v>1</v>
      </c>
      <c r="L39" s="50">
        <v>0</v>
      </c>
      <c r="M39" s="50">
        <v>126</v>
      </c>
      <c r="N39" s="50">
        <v>0</v>
      </c>
      <c r="O39" s="15">
        <f t="shared" si="0"/>
        <v>82</v>
      </c>
      <c r="P39" s="15">
        <f t="shared" si="1"/>
        <v>208</v>
      </c>
    </row>
    <row r="40" spans="2:20" ht="23.1" customHeight="1" x14ac:dyDescent="0.25">
      <c r="B40" s="24" t="s">
        <v>67</v>
      </c>
      <c r="C40" s="50">
        <v>46</v>
      </c>
      <c r="D40" s="50">
        <v>11</v>
      </c>
      <c r="E40" s="50">
        <v>6</v>
      </c>
      <c r="F40" s="50">
        <v>12</v>
      </c>
      <c r="G40" s="50">
        <v>1</v>
      </c>
      <c r="H40" s="50">
        <v>1</v>
      </c>
      <c r="I40" s="50">
        <v>6</v>
      </c>
      <c r="J40" s="50">
        <v>1</v>
      </c>
      <c r="K40" s="50">
        <v>4</v>
      </c>
      <c r="L40" s="50">
        <v>0</v>
      </c>
      <c r="M40" s="50">
        <v>130</v>
      </c>
      <c r="N40" s="50">
        <v>0</v>
      </c>
      <c r="O40" s="15">
        <f t="shared" si="0"/>
        <v>88</v>
      </c>
      <c r="P40" s="15">
        <f t="shared" si="1"/>
        <v>218</v>
      </c>
    </row>
    <row r="41" spans="2:20" ht="23.1" customHeight="1" x14ac:dyDescent="0.25">
      <c r="B41" s="23" t="s">
        <v>68</v>
      </c>
      <c r="C41" s="50">
        <v>45</v>
      </c>
      <c r="D41" s="50">
        <v>10</v>
      </c>
      <c r="E41" s="50">
        <v>10</v>
      </c>
      <c r="F41" s="50">
        <v>16</v>
      </c>
      <c r="G41" s="50">
        <v>0</v>
      </c>
      <c r="H41" s="50">
        <v>0</v>
      </c>
      <c r="I41" s="50">
        <v>6</v>
      </c>
      <c r="J41" s="50">
        <v>3</v>
      </c>
      <c r="K41" s="50">
        <v>3</v>
      </c>
      <c r="L41" s="50">
        <v>0</v>
      </c>
      <c r="M41" s="50">
        <v>120</v>
      </c>
      <c r="N41" s="50">
        <v>0</v>
      </c>
      <c r="O41" s="15">
        <f t="shared" si="0"/>
        <v>93</v>
      </c>
      <c r="P41" s="15">
        <f t="shared" si="1"/>
        <v>213</v>
      </c>
    </row>
    <row r="42" spans="2:20" ht="23.1" customHeight="1" x14ac:dyDescent="0.25">
      <c r="B42" s="24" t="s">
        <v>69</v>
      </c>
      <c r="C42" s="50">
        <v>35</v>
      </c>
      <c r="D42" s="50">
        <v>13</v>
      </c>
      <c r="E42" s="50">
        <v>9</v>
      </c>
      <c r="F42" s="50">
        <v>13</v>
      </c>
      <c r="G42" s="50">
        <v>0</v>
      </c>
      <c r="H42" s="50">
        <v>0</v>
      </c>
      <c r="I42" s="50">
        <v>8</v>
      </c>
      <c r="J42" s="50">
        <v>5</v>
      </c>
      <c r="K42" s="50">
        <v>4</v>
      </c>
      <c r="L42" s="50">
        <v>0</v>
      </c>
      <c r="M42" s="50">
        <v>105</v>
      </c>
      <c r="N42" s="50">
        <v>0</v>
      </c>
      <c r="O42" s="15">
        <f t="shared" si="0"/>
        <v>87</v>
      </c>
      <c r="P42" s="15">
        <f t="shared" si="1"/>
        <v>192</v>
      </c>
    </row>
    <row r="43" spans="2:20" ht="23.1" customHeight="1" x14ac:dyDescent="0.25">
      <c r="B43" s="23" t="s">
        <v>70</v>
      </c>
      <c r="C43" s="50">
        <v>41</v>
      </c>
      <c r="D43" s="50">
        <v>2</v>
      </c>
      <c r="E43" s="50">
        <v>9</v>
      </c>
      <c r="F43" s="50">
        <v>11</v>
      </c>
      <c r="G43" s="50">
        <v>0</v>
      </c>
      <c r="H43" s="50">
        <v>0</v>
      </c>
      <c r="I43" s="50">
        <v>0</v>
      </c>
      <c r="J43" s="50">
        <v>1</v>
      </c>
      <c r="K43" s="50">
        <v>2</v>
      </c>
      <c r="L43" s="50">
        <v>0</v>
      </c>
      <c r="M43" s="50">
        <v>85</v>
      </c>
      <c r="N43" s="50">
        <v>0</v>
      </c>
      <c r="O43" s="15">
        <f t="shared" si="0"/>
        <v>66</v>
      </c>
      <c r="P43" s="15">
        <f t="shared" si="1"/>
        <v>151</v>
      </c>
    </row>
    <row r="44" spans="2:20" ht="23.1" customHeight="1" x14ac:dyDescent="0.25">
      <c r="B44" s="25" t="s">
        <v>71</v>
      </c>
      <c r="C44" s="50">
        <v>45</v>
      </c>
      <c r="D44" s="50">
        <v>2</v>
      </c>
      <c r="E44" s="50">
        <v>5</v>
      </c>
      <c r="F44" s="50">
        <v>10</v>
      </c>
      <c r="G44" s="50">
        <v>2</v>
      </c>
      <c r="H44" s="50">
        <v>0</v>
      </c>
      <c r="I44" s="50">
        <v>4</v>
      </c>
      <c r="J44" s="50">
        <v>1</v>
      </c>
      <c r="K44" s="50">
        <v>4</v>
      </c>
      <c r="L44" s="50">
        <v>0</v>
      </c>
      <c r="M44" s="50">
        <v>138</v>
      </c>
      <c r="N44" s="50">
        <v>0</v>
      </c>
      <c r="O44" s="15">
        <f t="shared" si="0"/>
        <v>73</v>
      </c>
      <c r="P44" s="15">
        <f t="shared" si="1"/>
        <v>211</v>
      </c>
    </row>
    <row r="45" spans="2:20" ht="23.1" customHeight="1" x14ac:dyDescent="0.25">
      <c r="B45" s="23" t="s">
        <v>72</v>
      </c>
      <c r="C45" s="50">
        <v>45</v>
      </c>
      <c r="D45" s="50">
        <v>8</v>
      </c>
      <c r="E45" s="50">
        <v>7</v>
      </c>
      <c r="F45" s="50">
        <v>11</v>
      </c>
      <c r="G45" s="50">
        <v>0</v>
      </c>
      <c r="H45" s="50">
        <v>0</v>
      </c>
      <c r="I45" s="50">
        <v>5</v>
      </c>
      <c r="J45" s="50">
        <v>3</v>
      </c>
      <c r="K45" s="50">
        <v>3</v>
      </c>
      <c r="L45" s="50">
        <v>0</v>
      </c>
      <c r="M45" s="50">
        <v>125</v>
      </c>
      <c r="N45" s="50">
        <v>0</v>
      </c>
      <c r="O45" s="15">
        <f t="shared" si="0"/>
        <v>82</v>
      </c>
      <c r="P45" s="15">
        <f t="shared" si="1"/>
        <v>207</v>
      </c>
    </row>
    <row r="46" spans="2:20" ht="23.1" customHeight="1" x14ac:dyDescent="0.25">
      <c r="B46" s="24" t="s">
        <v>73</v>
      </c>
      <c r="C46" s="50">
        <v>55</v>
      </c>
      <c r="D46" s="50">
        <v>17</v>
      </c>
      <c r="E46" s="50">
        <v>9</v>
      </c>
      <c r="F46" s="50">
        <v>10</v>
      </c>
      <c r="G46" s="50">
        <v>1</v>
      </c>
      <c r="H46" s="50">
        <v>0</v>
      </c>
      <c r="I46" s="50">
        <v>8</v>
      </c>
      <c r="J46" s="50">
        <v>4</v>
      </c>
      <c r="K46" s="50">
        <v>5</v>
      </c>
      <c r="L46" s="50">
        <v>0</v>
      </c>
      <c r="M46" s="50">
        <v>120</v>
      </c>
      <c r="N46" s="50">
        <v>0</v>
      </c>
      <c r="O46" s="15">
        <f t="shared" si="0"/>
        <v>109</v>
      </c>
      <c r="P46" s="15">
        <f t="shared" si="1"/>
        <v>229</v>
      </c>
      <c r="R46" s="8"/>
      <c r="T46"/>
    </row>
    <row r="47" spans="2:20" ht="23.1" customHeight="1" x14ac:dyDescent="0.25">
      <c r="B47" s="24" t="s">
        <v>74</v>
      </c>
      <c r="C47" s="50">
        <v>73</v>
      </c>
      <c r="D47" s="50">
        <v>14</v>
      </c>
      <c r="E47" s="50">
        <v>5</v>
      </c>
      <c r="F47" s="50">
        <v>14</v>
      </c>
      <c r="G47" s="50">
        <v>0</v>
      </c>
      <c r="H47" s="50">
        <v>0</v>
      </c>
      <c r="I47" s="50">
        <v>7</v>
      </c>
      <c r="J47" s="50">
        <v>1</v>
      </c>
      <c r="K47" s="50">
        <v>4</v>
      </c>
      <c r="L47" s="50">
        <v>0</v>
      </c>
      <c r="M47" s="50">
        <v>115</v>
      </c>
      <c r="N47" s="50">
        <v>0</v>
      </c>
      <c r="O47" s="15">
        <f t="shared" si="0"/>
        <v>118</v>
      </c>
      <c r="P47" s="15">
        <f t="shared" si="1"/>
        <v>233</v>
      </c>
      <c r="R47" s="8"/>
      <c r="T47"/>
    </row>
    <row r="48" spans="2:20" ht="23.1" customHeight="1" x14ac:dyDescent="0.25">
      <c r="B48" s="24" t="s">
        <v>75</v>
      </c>
      <c r="C48" s="50">
        <v>108</v>
      </c>
      <c r="D48" s="50">
        <v>13</v>
      </c>
      <c r="E48" s="50">
        <v>12</v>
      </c>
      <c r="F48" s="50">
        <v>18</v>
      </c>
      <c r="G48" s="50">
        <v>0</v>
      </c>
      <c r="H48" s="50">
        <v>0</v>
      </c>
      <c r="I48" s="50">
        <v>3</v>
      </c>
      <c r="J48" s="50">
        <v>3</v>
      </c>
      <c r="K48" s="50">
        <v>5</v>
      </c>
      <c r="L48" s="50">
        <v>0</v>
      </c>
      <c r="M48" s="50">
        <v>190</v>
      </c>
      <c r="N48" s="50">
        <v>0</v>
      </c>
      <c r="O48" s="15">
        <f t="shared" si="0"/>
        <v>162</v>
      </c>
      <c r="P48" s="15">
        <f t="shared" si="1"/>
        <v>352</v>
      </c>
      <c r="R48" s="8"/>
      <c r="T48"/>
    </row>
    <row r="49" spans="2:20" ht="23.1" customHeight="1" x14ac:dyDescent="0.25">
      <c r="B49" s="23" t="s">
        <v>76</v>
      </c>
      <c r="C49" s="50">
        <v>100</v>
      </c>
      <c r="D49" s="50">
        <v>7</v>
      </c>
      <c r="E49" s="50">
        <v>10</v>
      </c>
      <c r="F49" s="50">
        <v>13</v>
      </c>
      <c r="G49" s="50">
        <v>0</v>
      </c>
      <c r="H49" s="50">
        <v>0</v>
      </c>
      <c r="I49" s="50">
        <v>2</v>
      </c>
      <c r="J49" s="50">
        <v>1</v>
      </c>
      <c r="K49" s="50">
        <v>8</v>
      </c>
      <c r="L49" s="50">
        <v>0</v>
      </c>
      <c r="M49" s="50">
        <v>195</v>
      </c>
      <c r="N49" s="50">
        <v>0</v>
      </c>
      <c r="O49" s="15">
        <f t="shared" si="0"/>
        <v>141</v>
      </c>
      <c r="P49" s="15">
        <f t="shared" si="1"/>
        <v>336</v>
      </c>
      <c r="R49" s="8"/>
      <c r="T49"/>
    </row>
    <row r="50" spans="2:20" ht="23.1" customHeight="1" x14ac:dyDescent="0.25">
      <c r="B50" s="24" t="s">
        <v>77</v>
      </c>
      <c r="C50" s="50">
        <v>110</v>
      </c>
      <c r="D50" s="50">
        <v>40</v>
      </c>
      <c r="E50" s="50">
        <v>20</v>
      </c>
      <c r="F50" s="50">
        <v>14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150</v>
      </c>
      <c r="N50" s="50">
        <v>0</v>
      </c>
      <c r="O50" s="15">
        <f t="shared" si="0"/>
        <v>185</v>
      </c>
      <c r="P50" s="15">
        <f t="shared" si="1"/>
        <v>335</v>
      </c>
      <c r="R50" s="8"/>
      <c r="T50"/>
    </row>
    <row r="51" spans="2:20" ht="23.1" customHeight="1" x14ac:dyDescent="0.25">
      <c r="B51" s="24" t="s">
        <v>78</v>
      </c>
      <c r="C51" s="50">
        <v>110</v>
      </c>
      <c r="D51" s="50">
        <v>50</v>
      </c>
      <c r="E51" s="50">
        <v>10</v>
      </c>
      <c r="F51" s="50">
        <v>13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160</v>
      </c>
      <c r="N51" s="50">
        <v>0</v>
      </c>
      <c r="O51" s="15">
        <f t="shared" si="0"/>
        <v>187</v>
      </c>
      <c r="P51" s="15">
        <f t="shared" si="1"/>
        <v>347</v>
      </c>
      <c r="R51" s="8"/>
      <c r="T51"/>
    </row>
    <row r="52" spans="2:20" ht="23.1" customHeight="1" x14ac:dyDescent="0.25">
      <c r="B52" s="24" t="s">
        <v>79</v>
      </c>
      <c r="C52" s="50">
        <v>130</v>
      </c>
      <c r="D52" s="50">
        <v>60</v>
      </c>
      <c r="E52" s="50">
        <v>4</v>
      </c>
      <c r="F52" s="50">
        <v>10</v>
      </c>
      <c r="G52" s="50">
        <v>0</v>
      </c>
      <c r="H52" s="50">
        <v>0</v>
      </c>
      <c r="I52" s="50">
        <v>2</v>
      </c>
      <c r="J52" s="50">
        <v>2</v>
      </c>
      <c r="K52" s="50">
        <v>2</v>
      </c>
      <c r="L52" s="50">
        <v>0</v>
      </c>
      <c r="M52" s="50">
        <v>150</v>
      </c>
      <c r="N52" s="50">
        <v>0</v>
      </c>
      <c r="O52" s="15">
        <f t="shared" si="0"/>
        <v>210</v>
      </c>
      <c r="P52" s="15">
        <f t="shared" si="1"/>
        <v>360</v>
      </c>
      <c r="R52" s="8"/>
      <c r="T52"/>
    </row>
    <row r="53" spans="2:20" ht="23.1" customHeight="1" x14ac:dyDescent="0.25">
      <c r="B53" s="23" t="s">
        <v>80</v>
      </c>
      <c r="C53" s="50">
        <v>145</v>
      </c>
      <c r="D53" s="50">
        <v>60</v>
      </c>
      <c r="E53" s="50">
        <v>11</v>
      </c>
      <c r="F53" s="50">
        <v>15</v>
      </c>
      <c r="G53" s="50">
        <v>1</v>
      </c>
      <c r="H53" s="50">
        <v>0</v>
      </c>
      <c r="I53" s="50">
        <v>1</v>
      </c>
      <c r="J53" s="50">
        <v>1</v>
      </c>
      <c r="K53" s="50">
        <v>2</v>
      </c>
      <c r="L53" s="50">
        <v>0</v>
      </c>
      <c r="M53" s="50">
        <v>185</v>
      </c>
      <c r="N53" s="50">
        <v>0</v>
      </c>
      <c r="O53" s="15">
        <f t="shared" si="0"/>
        <v>236</v>
      </c>
      <c r="P53" s="15">
        <f t="shared" si="1"/>
        <v>421</v>
      </c>
      <c r="R53" s="8"/>
      <c r="T53"/>
    </row>
    <row r="54" spans="2:20" ht="23.1" customHeight="1" x14ac:dyDescent="0.25">
      <c r="B54" s="23" t="s">
        <v>81</v>
      </c>
      <c r="C54" s="50">
        <v>95</v>
      </c>
      <c r="D54" s="50">
        <v>60</v>
      </c>
      <c r="E54" s="50">
        <v>11</v>
      </c>
      <c r="F54" s="50">
        <v>19</v>
      </c>
      <c r="G54" s="50">
        <v>1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165</v>
      </c>
      <c r="N54" s="50">
        <v>0</v>
      </c>
      <c r="O54" s="15">
        <f t="shared" si="0"/>
        <v>188</v>
      </c>
      <c r="P54" s="15">
        <f t="shared" si="1"/>
        <v>353</v>
      </c>
      <c r="R54" s="8"/>
      <c r="T54"/>
    </row>
    <row r="55" spans="2:20" ht="23.1" customHeight="1" x14ac:dyDescent="0.25">
      <c r="B55" s="23" t="s">
        <v>82</v>
      </c>
      <c r="C55" s="50">
        <v>135</v>
      </c>
      <c r="D55" s="50">
        <v>95</v>
      </c>
      <c r="E55" s="50">
        <v>10</v>
      </c>
      <c r="F55" s="50">
        <v>15</v>
      </c>
      <c r="G55" s="50">
        <v>0</v>
      </c>
      <c r="H55" s="50">
        <v>0</v>
      </c>
      <c r="I55" s="50">
        <v>1</v>
      </c>
      <c r="J55" s="50">
        <v>8</v>
      </c>
      <c r="K55" s="50">
        <v>0</v>
      </c>
      <c r="L55" s="50">
        <v>0</v>
      </c>
      <c r="M55" s="50">
        <v>160</v>
      </c>
      <c r="N55" s="50">
        <v>0</v>
      </c>
      <c r="O55" s="15">
        <f t="shared" si="0"/>
        <v>264</v>
      </c>
      <c r="P55" s="15">
        <f t="shared" si="1"/>
        <v>424</v>
      </c>
      <c r="R55" s="8"/>
      <c r="T55"/>
    </row>
    <row r="56" spans="2:20" ht="23.1" customHeight="1" x14ac:dyDescent="0.25">
      <c r="B56" s="23" t="s">
        <v>83</v>
      </c>
      <c r="C56" s="50">
        <v>150</v>
      </c>
      <c r="D56" s="50">
        <v>90</v>
      </c>
      <c r="E56" s="50">
        <v>3</v>
      </c>
      <c r="F56" s="50">
        <v>78</v>
      </c>
      <c r="G56" s="50">
        <v>0</v>
      </c>
      <c r="H56" s="50">
        <v>0</v>
      </c>
      <c r="I56" s="50">
        <v>2</v>
      </c>
      <c r="J56" s="50">
        <v>1</v>
      </c>
      <c r="K56" s="50">
        <v>3</v>
      </c>
      <c r="L56" s="50">
        <v>0</v>
      </c>
      <c r="M56" s="50">
        <v>185</v>
      </c>
      <c r="N56" s="50">
        <v>0</v>
      </c>
      <c r="O56" s="15">
        <f t="shared" si="0"/>
        <v>327</v>
      </c>
      <c r="P56" s="15">
        <f t="shared" si="1"/>
        <v>512</v>
      </c>
      <c r="R56" s="8"/>
      <c r="T56"/>
    </row>
    <row r="57" spans="2:20" ht="23.1" customHeight="1" x14ac:dyDescent="0.25">
      <c r="B57" s="23" t="s">
        <v>84</v>
      </c>
      <c r="C57" s="50">
        <v>170</v>
      </c>
      <c r="D57" s="50">
        <v>55</v>
      </c>
      <c r="E57" s="50">
        <v>25</v>
      </c>
      <c r="F57" s="50">
        <v>22</v>
      </c>
      <c r="G57" s="50">
        <v>0</v>
      </c>
      <c r="H57" s="50">
        <v>0</v>
      </c>
      <c r="I57" s="50">
        <v>4</v>
      </c>
      <c r="J57" s="50">
        <v>3</v>
      </c>
      <c r="K57" s="50">
        <v>2</v>
      </c>
      <c r="L57" s="50">
        <v>0</v>
      </c>
      <c r="M57" s="50">
        <v>170</v>
      </c>
      <c r="N57" s="50">
        <v>0</v>
      </c>
      <c r="O57" s="15">
        <f t="shared" si="0"/>
        <v>281</v>
      </c>
      <c r="P57" s="15">
        <f t="shared" si="1"/>
        <v>451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2884</v>
      </c>
      <c r="D58" s="16">
        <f t="shared" si="21"/>
        <v>853</v>
      </c>
      <c r="E58" s="16">
        <f t="shared" si="21"/>
        <v>318</v>
      </c>
      <c r="F58" s="16">
        <f t="shared" si="21"/>
        <v>846</v>
      </c>
      <c r="G58" s="16">
        <f t="shared" si="21"/>
        <v>8</v>
      </c>
      <c r="H58" s="16">
        <f t="shared" si="21"/>
        <v>1</v>
      </c>
      <c r="I58" s="16">
        <f t="shared" si="21"/>
        <v>226</v>
      </c>
      <c r="J58" s="16">
        <f t="shared" si="21"/>
        <v>120</v>
      </c>
      <c r="K58" s="16">
        <f t="shared" si="21"/>
        <v>145</v>
      </c>
      <c r="L58" s="16">
        <f t="shared" si="21"/>
        <v>0</v>
      </c>
      <c r="M58" s="16">
        <f t="shared" si="21"/>
        <v>6553</v>
      </c>
      <c r="N58" s="16">
        <f t="shared" si="21"/>
        <v>0</v>
      </c>
      <c r="O58" s="16">
        <f t="shared" si="21"/>
        <v>5401</v>
      </c>
      <c r="P58" s="16">
        <f t="shared" si="21"/>
        <v>11954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0.24125815626568511</v>
      </c>
      <c r="D59" s="43">
        <f t="shared" si="22"/>
        <v>7.1356867993976905E-2</v>
      </c>
      <c r="E59" s="43">
        <f t="shared" si="22"/>
        <v>2.6601974234565836E-2</v>
      </c>
      <c r="F59" s="43">
        <f t="shared" si="22"/>
        <v>7.077128994478836E-2</v>
      </c>
      <c r="G59" s="43">
        <f t="shared" si="22"/>
        <v>6.6923205621549273E-4</v>
      </c>
      <c r="H59" s="43">
        <f t="shared" si="22"/>
        <v>8.3654007026936591E-5</v>
      </c>
      <c r="I59" s="43">
        <f t="shared" si="22"/>
        <v>1.890580558808767E-2</v>
      </c>
      <c r="J59" s="43">
        <f t="shared" si="22"/>
        <v>1.0038480843232391E-2</v>
      </c>
      <c r="K59" s="43">
        <f t="shared" si="22"/>
        <v>1.2129831018905806E-2</v>
      </c>
      <c r="L59" s="43">
        <f t="shared" si="22"/>
        <v>0</v>
      </c>
      <c r="M59" s="43">
        <f t="shared" si="22"/>
        <v>0.54818470804751551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0.5339751897796704</v>
      </c>
      <c r="D60" s="44">
        <f t="shared" ref="D60:N60" si="23">D58/$O$58</f>
        <v>0.15793371597852249</v>
      </c>
      <c r="E60" s="44">
        <f t="shared" si="23"/>
        <v>5.8877985558229956E-2</v>
      </c>
      <c r="F60" s="44">
        <f t="shared" si="23"/>
        <v>0.15663765969264951</v>
      </c>
      <c r="G60" s="44">
        <f t="shared" si="23"/>
        <v>1.4812071838548417E-3</v>
      </c>
      <c r="H60" s="44">
        <f t="shared" si="23"/>
        <v>1.8515089798185522E-4</v>
      </c>
      <c r="I60" s="44">
        <f t="shared" si="23"/>
        <v>4.1844102943899279E-2</v>
      </c>
      <c r="J60" s="44">
        <f t="shared" si="23"/>
        <v>2.2218107757822625E-2</v>
      </c>
      <c r="K60" s="44">
        <f t="shared" si="23"/>
        <v>2.6846880207369007E-2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" zoomScale="60" workbookViewId="0">
      <selection activeCell="I57" sqref="I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Kisaasi-Kyanja'!C3:G3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Kyanja-Kisaasi'!D5</f>
        <v>30.07.19</v>
      </c>
      <c r="E5" s="3"/>
      <c r="F5" s="41" t="s">
        <v>1</v>
      </c>
      <c r="G5" s="66" t="str">
        <f>'29.07 Kyanja -Kisaasi'!G5:H5</f>
        <v>Malcom Health center</v>
      </c>
      <c r="H5" s="67"/>
      <c r="I5" s="14"/>
      <c r="J5" s="2" t="s">
        <v>5</v>
      </c>
      <c r="K5" s="66" t="s">
        <v>165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'29.07 Kyanja -Kisaasi'!K6:L6</f>
        <v>Steven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137</v>
      </c>
      <c r="D10" s="50">
        <v>51</v>
      </c>
      <c r="E10" s="50">
        <v>34</v>
      </c>
      <c r="F10" s="50">
        <v>30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204</v>
      </c>
      <c r="N10" s="50">
        <v>0</v>
      </c>
      <c r="O10" s="15">
        <f t="shared" ref="O10:O57" si="0">SUM(C10:L10,N10)</f>
        <v>254</v>
      </c>
      <c r="P10" s="15">
        <f t="shared" ref="P10:P57" si="1">SUM(C10:N10)</f>
        <v>458</v>
      </c>
      <c r="R10" s="1" t="s">
        <v>6</v>
      </c>
      <c r="S10" s="17">
        <f t="shared" ref="S10:AF10" si="2">SUM(C10:C13)</f>
        <v>498</v>
      </c>
      <c r="T10" s="17">
        <f t="shared" si="2"/>
        <v>158</v>
      </c>
      <c r="U10" s="17">
        <f t="shared" si="2"/>
        <v>87</v>
      </c>
      <c r="V10" s="17">
        <f t="shared" si="2"/>
        <v>86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3</v>
      </c>
      <c r="AA10" s="17">
        <f t="shared" si="2"/>
        <v>2</v>
      </c>
      <c r="AB10" s="17">
        <f t="shared" si="2"/>
        <v>0</v>
      </c>
      <c r="AC10" s="17">
        <f t="shared" si="2"/>
        <v>1028</v>
      </c>
      <c r="AD10" s="17">
        <f t="shared" si="2"/>
        <v>0</v>
      </c>
      <c r="AE10" s="31">
        <f t="shared" si="2"/>
        <v>843</v>
      </c>
      <c r="AF10" s="31">
        <f t="shared" si="2"/>
        <v>1871</v>
      </c>
    </row>
    <row r="11" spans="2:32" s="6" customFormat="1" ht="23.1" customHeight="1" x14ac:dyDescent="0.25">
      <c r="B11" s="23" t="s">
        <v>38</v>
      </c>
      <c r="C11" s="50">
        <v>134</v>
      </c>
      <c r="D11" s="50">
        <v>50</v>
      </c>
      <c r="E11" s="50">
        <v>21</v>
      </c>
      <c r="F11" s="50">
        <v>23</v>
      </c>
      <c r="G11" s="50">
        <v>0</v>
      </c>
      <c r="H11" s="50">
        <v>0</v>
      </c>
      <c r="I11" s="50">
        <v>0</v>
      </c>
      <c r="J11" s="50">
        <v>1</v>
      </c>
      <c r="K11" s="50">
        <v>1</v>
      </c>
      <c r="L11" s="50">
        <v>0</v>
      </c>
      <c r="M11" s="50">
        <v>230</v>
      </c>
      <c r="N11" s="50">
        <v>0</v>
      </c>
      <c r="O11" s="15">
        <f t="shared" si="0"/>
        <v>230</v>
      </c>
      <c r="P11" s="15">
        <f t="shared" si="1"/>
        <v>460</v>
      </c>
      <c r="R11" s="1" t="s">
        <v>7</v>
      </c>
      <c r="S11" s="17">
        <f t="shared" ref="S11:AF11" si="3">SUM(C14:C17)</f>
        <v>495</v>
      </c>
      <c r="T11" s="17">
        <f t="shared" si="3"/>
        <v>106</v>
      </c>
      <c r="U11" s="17">
        <f t="shared" si="3"/>
        <v>56</v>
      </c>
      <c r="V11" s="17">
        <f t="shared" si="3"/>
        <v>70</v>
      </c>
      <c r="W11" s="17">
        <f t="shared" si="3"/>
        <v>1</v>
      </c>
      <c r="X11" s="17">
        <f t="shared" si="3"/>
        <v>0</v>
      </c>
      <c r="Y11" s="17">
        <f t="shared" si="3"/>
        <v>20</v>
      </c>
      <c r="Z11" s="17">
        <f t="shared" si="3"/>
        <v>6</v>
      </c>
      <c r="AA11" s="17">
        <f t="shared" si="3"/>
        <v>5</v>
      </c>
      <c r="AB11" s="17">
        <f t="shared" si="3"/>
        <v>0</v>
      </c>
      <c r="AC11" s="17">
        <f t="shared" si="3"/>
        <v>1092</v>
      </c>
      <c r="AD11" s="17">
        <f t="shared" si="3"/>
        <v>0</v>
      </c>
      <c r="AE11" s="31">
        <f t="shared" si="3"/>
        <v>759</v>
      </c>
      <c r="AF11" s="31">
        <f t="shared" si="3"/>
        <v>1851</v>
      </c>
    </row>
    <row r="12" spans="2:32" ht="23.1" customHeight="1" x14ac:dyDescent="0.25">
      <c r="B12" s="23" t="s">
        <v>39</v>
      </c>
      <c r="C12" s="50">
        <v>128</v>
      </c>
      <c r="D12" s="50">
        <v>27</v>
      </c>
      <c r="E12" s="50">
        <v>20</v>
      </c>
      <c r="F12" s="50">
        <v>19</v>
      </c>
      <c r="G12" s="50">
        <v>0</v>
      </c>
      <c r="H12" s="50">
        <v>0</v>
      </c>
      <c r="I12" s="50">
        <v>3</v>
      </c>
      <c r="J12" s="50">
        <v>2</v>
      </c>
      <c r="K12" s="50">
        <v>1</v>
      </c>
      <c r="L12" s="50">
        <v>0</v>
      </c>
      <c r="M12" s="50">
        <v>280</v>
      </c>
      <c r="N12" s="50">
        <v>0</v>
      </c>
      <c r="O12" s="15">
        <f t="shared" si="0"/>
        <v>200</v>
      </c>
      <c r="P12" s="15">
        <f t="shared" si="1"/>
        <v>480</v>
      </c>
      <c r="R12" s="1" t="s">
        <v>8</v>
      </c>
      <c r="S12" s="17">
        <f t="shared" ref="S12:AF12" si="4">SUM(C18:C21)</f>
        <v>384</v>
      </c>
      <c r="T12" s="17">
        <f t="shared" si="4"/>
        <v>95</v>
      </c>
      <c r="U12" s="17">
        <f t="shared" si="4"/>
        <v>49</v>
      </c>
      <c r="V12" s="17">
        <f t="shared" si="4"/>
        <v>57</v>
      </c>
      <c r="W12" s="17">
        <f t="shared" si="4"/>
        <v>0</v>
      </c>
      <c r="X12" s="17">
        <f t="shared" si="4"/>
        <v>0</v>
      </c>
      <c r="Y12" s="17">
        <f t="shared" si="4"/>
        <v>23</v>
      </c>
      <c r="Z12" s="17">
        <f t="shared" si="4"/>
        <v>11</v>
      </c>
      <c r="AA12" s="17">
        <f t="shared" si="4"/>
        <v>9</v>
      </c>
      <c r="AB12" s="17">
        <f t="shared" si="4"/>
        <v>0</v>
      </c>
      <c r="AC12" s="17">
        <f t="shared" si="4"/>
        <v>860</v>
      </c>
      <c r="AD12" s="17">
        <f t="shared" si="4"/>
        <v>0</v>
      </c>
      <c r="AE12" s="31">
        <f t="shared" si="4"/>
        <v>628</v>
      </c>
      <c r="AF12" s="31">
        <f t="shared" si="4"/>
        <v>1488</v>
      </c>
    </row>
    <row r="13" spans="2:32" ht="23.1" customHeight="1" x14ac:dyDescent="0.25">
      <c r="B13" s="23" t="s">
        <v>40</v>
      </c>
      <c r="C13" s="50">
        <v>99</v>
      </c>
      <c r="D13" s="50">
        <v>30</v>
      </c>
      <c r="E13" s="50">
        <v>12</v>
      </c>
      <c r="F13" s="50">
        <v>14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314</v>
      </c>
      <c r="N13" s="50">
        <v>0</v>
      </c>
      <c r="O13" s="15">
        <f t="shared" si="0"/>
        <v>159</v>
      </c>
      <c r="P13" s="15">
        <f t="shared" si="1"/>
        <v>473</v>
      </c>
      <c r="R13" s="1" t="s">
        <v>9</v>
      </c>
      <c r="S13" s="17">
        <f t="shared" ref="S13:AF13" si="5">SUM(C22:C25)</f>
        <v>286</v>
      </c>
      <c r="T13" s="17">
        <f t="shared" si="5"/>
        <v>106</v>
      </c>
      <c r="U13" s="17">
        <f t="shared" si="5"/>
        <v>36</v>
      </c>
      <c r="V13" s="17">
        <f t="shared" si="5"/>
        <v>48</v>
      </c>
      <c r="W13" s="17">
        <f t="shared" si="5"/>
        <v>1</v>
      </c>
      <c r="X13" s="17">
        <f t="shared" si="5"/>
        <v>0</v>
      </c>
      <c r="Y13" s="17">
        <f t="shared" si="5"/>
        <v>14</v>
      </c>
      <c r="Z13" s="17">
        <f t="shared" si="5"/>
        <v>6</v>
      </c>
      <c r="AA13" s="17">
        <f t="shared" si="5"/>
        <v>9</v>
      </c>
      <c r="AB13" s="17">
        <f t="shared" si="5"/>
        <v>0</v>
      </c>
      <c r="AC13" s="17">
        <f t="shared" si="5"/>
        <v>728</v>
      </c>
      <c r="AD13" s="17">
        <f t="shared" si="5"/>
        <v>0</v>
      </c>
      <c r="AE13" s="31">
        <f t="shared" si="5"/>
        <v>506</v>
      </c>
      <c r="AF13" s="31">
        <f t="shared" si="5"/>
        <v>1234</v>
      </c>
    </row>
    <row r="14" spans="2:32" ht="23.1" customHeight="1" x14ac:dyDescent="0.25">
      <c r="B14" s="23" t="s">
        <v>41</v>
      </c>
      <c r="C14" s="50">
        <v>134</v>
      </c>
      <c r="D14" s="50">
        <v>35</v>
      </c>
      <c r="E14" s="50">
        <v>16</v>
      </c>
      <c r="F14" s="50">
        <v>20</v>
      </c>
      <c r="G14" s="50">
        <v>0</v>
      </c>
      <c r="H14" s="50">
        <v>0</v>
      </c>
      <c r="I14" s="50">
        <v>1</v>
      </c>
      <c r="J14" s="50">
        <v>3</v>
      </c>
      <c r="K14" s="50">
        <v>1</v>
      </c>
      <c r="L14" s="50">
        <v>0</v>
      </c>
      <c r="M14" s="50">
        <v>287</v>
      </c>
      <c r="N14" s="50">
        <v>0</v>
      </c>
      <c r="O14" s="15">
        <f t="shared" si="0"/>
        <v>210</v>
      </c>
      <c r="P14" s="15">
        <f t="shared" si="1"/>
        <v>497</v>
      </c>
      <c r="R14" s="1" t="s">
        <v>10</v>
      </c>
      <c r="S14" s="17">
        <f t="shared" ref="S14:AF14" si="6">SUM(C26:C29)</f>
        <v>244</v>
      </c>
      <c r="T14" s="17">
        <f t="shared" si="6"/>
        <v>62</v>
      </c>
      <c r="U14" s="17">
        <f t="shared" si="6"/>
        <v>32</v>
      </c>
      <c r="V14" s="17">
        <f t="shared" si="6"/>
        <v>44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15</v>
      </c>
      <c r="AA14" s="17">
        <f t="shared" si="6"/>
        <v>8</v>
      </c>
      <c r="AB14" s="17">
        <f t="shared" si="6"/>
        <v>0</v>
      </c>
      <c r="AC14" s="17">
        <f t="shared" si="6"/>
        <v>564</v>
      </c>
      <c r="AD14" s="17">
        <f t="shared" si="6"/>
        <v>0</v>
      </c>
      <c r="AE14" s="31">
        <f t="shared" si="6"/>
        <v>422</v>
      </c>
      <c r="AF14" s="31">
        <f t="shared" si="6"/>
        <v>986</v>
      </c>
    </row>
    <row r="15" spans="2:32" ht="23.1" customHeight="1" x14ac:dyDescent="0.25">
      <c r="B15" s="23" t="s">
        <v>42</v>
      </c>
      <c r="C15" s="50">
        <v>135</v>
      </c>
      <c r="D15" s="50">
        <v>32</v>
      </c>
      <c r="E15" s="50">
        <v>13</v>
      </c>
      <c r="F15" s="50">
        <v>17</v>
      </c>
      <c r="G15" s="50">
        <v>1</v>
      </c>
      <c r="H15" s="50">
        <v>0</v>
      </c>
      <c r="I15" s="50">
        <v>9</v>
      </c>
      <c r="J15" s="50">
        <v>0</v>
      </c>
      <c r="K15" s="50">
        <v>0</v>
      </c>
      <c r="L15" s="50">
        <v>0</v>
      </c>
      <c r="M15" s="50">
        <v>284</v>
      </c>
      <c r="N15" s="50">
        <v>0</v>
      </c>
      <c r="O15" s="15">
        <f t="shared" si="0"/>
        <v>207</v>
      </c>
      <c r="P15" s="15">
        <f t="shared" si="1"/>
        <v>491</v>
      </c>
      <c r="R15" s="1" t="s">
        <v>11</v>
      </c>
      <c r="S15" s="17">
        <f t="shared" ref="S15:AF15" si="7">SUM(C30:C33)</f>
        <v>231</v>
      </c>
      <c r="T15" s="17">
        <f t="shared" si="7"/>
        <v>69</v>
      </c>
      <c r="U15" s="17">
        <f t="shared" si="7"/>
        <v>44</v>
      </c>
      <c r="V15" s="17">
        <f t="shared" si="7"/>
        <v>36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12</v>
      </c>
      <c r="AA15" s="17">
        <f t="shared" si="7"/>
        <v>1</v>
      </c>
      <c r="AB15" s="17">
        <f t="shared" si="7"/>
        <v>2</v>
      </c>
      <c r="AC15" s="17">
        <f t="shared" si="7"/>
        <v>495</v>
      </c>
      <c r="AD15" s="17">
        <f t="shared" si="7"/>
        <v>0</v>
      </c>
      <c r="AE15" s="31">
        <f t="shared" si="7"/>
        <v>411</v>
      </c>
      <c r="AF15" s="31">
        <f t="shared" si="7"/>
        <v>906</v>
      </c>
    </row>
    <row r="16" spans="2:32" ht="23.1" customHeight="1" x14ac:dyDescent="0.25">
      <c r="B16" s="23" t="s">
        <v>43</v>
      </c>
      <c r="C16" s="50">
        <v>117</v>
      </c>
      <c r="D16" s="50">
        <v>22</v>
      </c>
      <c r="E16" s="50">
        <v>14</v>
      </c>
      <c r="F16" s="50">
        <v>20</v>
      </c>
      <c r="G16" s="50">
        <v>0</v>
      </c>
      <c r="H16" s="50">
        <v>0</v>
      </c>
      <c r="I16" s="50">
        <v>2</v>
      </c>
      <c r="J16" s="50">
        <v>1</v>
      </c>
      <c r="K16" s="50">
        <v>1</v>
      </c>
      <c r="L16" s="50">
        <v>0</v>
      </c>
      <c r="M16" s="50">
        <v>251</v>
      </c>
      <c r="N16" s="50">
        <v>0</v>
      </c>
      <c r="O16" s="15">
        <f t="shared" si="0"/>
        <v>177</v>
      </c>
      <c r="P16" s="15">
        <f t="shared" si="1"/>
        <v>428</v>
      </c>
      <c r="R16" s="1" t="s">
        <v>12</v>
      </c>
      <c r="S16" s="17">
        <f t="shared" ref="S16:AF16" si="8">SUM(C34:C37)</f>
        <v>185</v>
      </c>
      <c r="T16" s="17">
        <f t="shared" si="8"/>
        <v>47</v>
      </c>
      <c r="U16" s="17">
        <f t="shared" si="8"/>
        <v>29</v>
      </c>
      <c r="V16" s="17">
        <f t="shared" si="8"/>
        <v>52</v>
      </c>
      <c r="W16" s="17">
        <f t="shared" si="8"/>
        <v>1</v>
      </c>
      <c r="X16" s="17">
        <f t="shared" si="8"/>
        <v>0</v>
      </c>
      <c r="Y16" s="17">
        <f t="shared" si="8"/>
        <v>14</v>
      </c>
      <c r="Z16" s="17">
        <f t="shared" si="8"/>
        <v>15</v>
      </c>
      <c r="AA16" s="17">
        <f t="shared" si="8"/>
        <v>6</v>
      </c>
      <c r="AB16" s="17">
        <f t="shared" si="8"/>
        <v>4</v>
      </c>
      <c r="AC16" s="17">
        <f t="shared" si="8"/>
        <v>566</v>
      </c>
      <c r="AD16" s="17">
        <f t="shared" si="8"/>
        <v>0</v>
      </c>
      <c r="AE16" s="31">
        <f t="shared" si="8"/>
        <v>353</v>
      </c>
      <c r="AF16" s="31">
        <f t="shared" si="8"/>
        <v>919</v>
      </c>
    </row>
    <row r="17" spans="2:32" ht="23.1" customHeight="1" x14ac:dyDescent="0.25">
      <c r="B17" s="23" t="s">
        <v>44</v>
      </c>
      <c r="C17" s="50">
        <v>109</v>
      </c>
      <c r="D17" s="50">
        <v>17</v>
      </c>
      <c r="E17" s="50">
        <v>13</v>
      </c>
      <c r="F17" s="50">
        <v>13</v>
      </c>
      <c r="G17" s="50">
        <v>0</v>
      </c>
      <c r="H17" s="50">
        <v>0</v>
      </c>
      <c r="I17" s="50">
        <v>8</v>
      </c>
      <c r="J17" s="50">
        <v>2</v>
      </c>
      <c r="K17" s="50">
        <v>3</v>
      </c>
      <c r="L17" s="50">
        <v>0</v>
      </c>
      <c r="M17" s="50">
        <v>270</v>
      </c>
      <c r="N17" s="50">
        <v>0</v>
      </c>
      <c r="O17" s="15">
        <f t="shared" si="0"/>
        <v>165</v>
      </c>
      <c r="P17" s="15">
        <f t="shared" si="1"/>
        <v>435</v>
      </c>
      <c r="R17" s="1" t="s">
        <v>13</v>
      </c>
      <c r="S17" s="17">
        <f t="shared" ref="S17:AF17" si="9">SUM(C38:C41)</f>
        <v>165</v>
      </c>
      <c r="T17" s="17">
        <f t="shared" si="9"/>
        <v>43</v>
      </c>
      <c r="U17" s="17">
        <f t="shared" si="9"/>
        <v>31</v>
      </c>
      <c r="V17" s="17">
        <f t="shared" si="9"/>
        <v>40</v>
      </c>
      <c r="W17" s="17">
        <f t="shared" si="9"/>
        <v>4</v>
      </c>
      <c r="X17" s="17">
        <f t="shared" si="9"/>
        <v>0</v>
      </c>
      <c r="Y17" s="17">
        <f t="shared" si="9"/>
        <v>23</v>
      </c>
      <c r="Z17" s="17">
        <f t="shared" si="9"/>
        <v>11</v>
      </c>
      <c r="AA17" s="17">
        <f t="shared" si="9"/>
        <v>9</v>
      </c>
      <c r="AB17" s="17">
        <f t="shared" si="9"/>
        <v>1</v>
      </c>
      <c r="AC17" s="17">
        <f t="shared" si="9"/>
        <v>682</v>
      </c>
      <c r="AD17" s="17">
        <f t="shared" si="9"/>
        <v>0</v>
      </c>
      <c r="AE17" s="31">
        <f t="shared" si="9"/>
        <v>327</v>
      </c>
      <c r="AF17" s="31">
        <f t="shared" si="9"/>
        <v>1009</v>
      </c>
    </row>
    <row r="18" spans="2:32" ht="23.1" customHeight="1" x14ac:dyDescent="0.25">
      <c r="B18" s="23" t="s">
        <v>45</v>
      </c>
      <c r="C18" s="50">
        <v>105</v>
      </c>
      <c r="D18" s="50">
        <v>43</v>
      </c>
      <c r="E18" s="50">
        <v>15</v>
      </c>
      <c r="F18" s="50">
        <v>18</v>
      </c>
      <c r="G18" s="50">
        <v>0</v>
      </c>
      <c r="H18" s="50">
        <v>0</v>
      </c>
      <c r="I18" s="50">
        <v>5</v>
      </c>
      <c r="J18" s="50">
        <v>3</v>
      </c>
      <c r="K18" s="50">
        <v>3</v>
      </c>
      <c r="L18" s="50">
        <v>0</v>
      </c>
      <c r="M18" s="50">
        <v>232</v>
      </c>
      <c r="N18" s="50">
        <v>0</v>
      </c>
      <c r="O18" s="15">
        <f t="shared" si="0"/>
        <v>192</v>
      </c>
      <c r="P18" s="15">
        <f t="shared" si="1"/>
        <v>424</v>
      </c>
      <c r="R18" s="1" t="s">
        <v>14</v>
      </c>
      <c r="S18" s="17">
        <f t="shared" ref="S18:AF18" si="10">SUM(C42:C45)</f>
        <v>189</v>
      </c>
      <c r="T18" s="17">
        <f t="shared" si="10"/>
        <v>55</v>
      </c>
      <c r="U18" s="17">
        <f t="shared" si="10"/>
        <v>26</v>
      </c>
      <c r="V18" s="17">
        <f t="shared" si="10"/>
        <v>45</v>
      </c>
      <c r="W18" s="17">
        <f t="shared" si="10"/>
        <v>1</v>
      </c>
      <c r="X18" s="17">
        <f t="shared" si="10"/>
        <v>0</v>
      </c>
      <c r="Y18" s="17">
        <f t="shared" si="10"/>
        <v>16</v>
      </c>
      <c r="Z18" s="17">
        <f t="shared" si="10"/>
        <v>9</v>
      </c>
      <c r="AA18" s="17">
        <f t="shared" si="10"/>
        <v>6</v>
      </c>
      <c r="AB18" s="17">
        <f t="shared" si="10"/>
        <v>2</v>
      </c>
      <c r="AC18" s="17">
        <f t="shared" si="10"/>
        <v>778</v>
      </c>
      <c r="AD18" s="17">
        <f t="shared" si="10"/>
        <v>0</v>
      </c>
      <c r="AE18" s="31">
        <f t="shared" si="10"/>
        <v>349</v>
      </c>
      <c r="AF18" s="31">
        <f t="shared" si="10"/>
        <v>1127</v>
      </c>
    </row>
    <row r="19" spans="2:32" ht="23.1" customHeight="1" x14ac:dyDescent="0.25">
      <c r="B19" s="23" t="s">
        <v>46</v>
      </c>
      <c r="C19" s="50">
        <v>94</v>
      </c>
      <c r="D19" s="50">
        <v>14</v>
      </c>
      <c r="E19" s="50">
        <v>11</v>
      </c>
      <c r="F19" s="50">
        <v>14</v>
      </c>
      <c r="G19" s="50">
        <v>0</v>
      </c>
      <c r="H19" s="50">
        <v>0</v>
      </c>
      <c r="I19" s="50">
        <v>3</v>
      </c>
      <c r="J19" s="50">
        <v>6</v>
      </c>
      <c r="K19" s="50">
        <v>1</v>
      </c>
      <c r="L19" s="50">
        <v>0</v>
      </c>
      <c r="M19" s="50">
        <v>215</v>
      </c>
      <c r="N19" s="50">
        <v>0</v>
      </c>
      <c r="O19" s="15">
        <f t="shared" si="0"/>
        <v>143</v>
      </c>
      <c r="P19" s="15">
        <f t="shared" si="1"/>
        <v>358</v>
      </c>
      <c r="R19" s="1" t="s">
        <v>15</v>
      </c>
      <c r="S19" s="17">
        <f t="shared" ref="S19:AF19" si="11">SUM(C46:C49)</f>
        <v>209</v>
      </c>
      <c r="T19" s="17">
        <f t="shared" si="11"/>
        <v>59</v>
      </c>
      <c r="U19" s="17">
        <f t="shared" si="11"/>
        <v>36</v>
      </c>
      <c r="V19" s="17">
        <f t="shared" si="11"/>
        <v>48</v>
      </c>
      <c r="W19" s="17">
        <f t="shared" si="11"/>
        <v>0</v>
      </c>
      <c r="X19" s="17">
        <f t="shared" si="11"/>
        <v>0</v>
      </c>
      <c r="Y19" s="17">
        <f t="shared" si="11"/>
        <v>17</v>
      </c>
      <c r="Z19" s="17">
        <f t="shared" si="11"/>
        <v>6</v>
      </c>
      <c r="AA19" s="17">
        <f t="shared" si="11"/>
        <v>7</v>
      </c>
      <c r="AB19" s="17">
        <f t="shared" si="11"/>
        <v>4</v>
      </c>
      <c r="AC19" s="17">
        <f t="shared" si="11"/>
        <v>805</v>
      </c>
      <c r="AD19" s="17">
        <f t="shared" si="11"/>
        <v>1</v>
      </c>
      <c r="AE19" s="31">
        <f t="shared" si="11"/>
        <v>387</v>
      </c>
      <c r="AF19" s="31">
        <f t="shared" si="11"/>
        <v>1192</v>
      </c>
    </row>
    <row r="20" spans="2:32" ht="23.1" customHeight="1" x14ac:dyDescent="0.25">
      <c r="B20" s="23" t="s">
        <v>47</v>
      </c>
      <c r="C20" s="50">
        <v>90</v>
      </c>
      <c r="D20" s="50">
        <v>21</v>
      </c>
      <c r="E20" s="50">
        <v>12</v>
      </c>
      <c r="F20" s="50">
        <v>13</v>
      </c>
      <c r="G20" s="50">
        <v>0</v>
      </c>
      <c r="H20" s="50">
        <v>0</v>
      </c>
      <c r="I20" s="50">
        <v>7</v>
      </c>
      <c r="J20" s="50">
        <v>2</v>
      </c>
      <c r="K20" s="50">
        <v>3</v>
      </c>
      <c r="L20" s="50">
        <v>0</v>
      </c>
      <c r="M20" s="50">
        <v>220</v>
      </c>
      <c r="N20" s="50">
        <v>0</v>
      </c>
      <c r="O20" s="15">
        <f t="shared" si="0"/>
        <v>148</v>
      </c>
      <c r="P20" s="15">
        <f t="shared" si="1"/>
        <v>368</v>
      </c>
      <c r="R20" s="1" t="s">
        <v>16</v>
      </c>
      <c r="S20" s="17">
        <f t="shared" ref="S20:AF20" si="12">SUM(C50:C53)</f>
        <v>239</v>
      </c>
      <c r="T20" s="17">
        <f t="shared" si="12"/>
        <v>70</v>
      </c>
      <c r="U20" s="17">
        <f t="shared" si="12"/>
        <v>35</v>
      </c>
      <c r="V20" s="17">
        <f t="shared" si="12"/>
        <v>53</v>
      </c>
      <c r="W20" s="17">
        <f t="shared" si="12"/>
        <v>3</v>
      </c>
      <c r="X20" s="17">
        <f t="shared" si="12"/>
        <v>0</v>
      </c>
      <c r="Y20" s="17">
        <f t="shared" si="12"/>
        <v>16</v>
      </c>
      <c r="Z20" s="17">
        <f t="shared" si="12"/>
        <v>17</v>
      </c>
      <c r="AA20" s="17">
        <f t="shared" si="12"/>
        <v>1</v>
      </c>
      <c r="AB20" s="17">
        <f t="shared" si="12"/>
        <v>0</v>
      </c>
      <c r="AC20" s="17">
        <f t="shared" si="12"/>
        <v>741</v>
      </c>
      <c r="AD20" s="17">
        <f t="shared" si="12"/>
        <v>0</v>
      </c>
      <c r="AE20" s="31">
        <f t="shared" si="12"/>
        <v>434</v>
      </c>
      <c r="AF20" s="31">
        <f t="shared" si="12"/>
        <v>1175</v>
      </c>
    </row>
    <row r="21" spans="2:32" ht="23.1" customHeight="1" x14ac:dyDescent="0.25">
      <c r="B21" s="23" t="s">
        <v>48</v>
      </c>
      <c r="C21" s="50">
        <v>95</v>
      </c>
      <c r="D21" s="50">
        <v>17</v>
      </c>
      <c r="E21" s="50">
        <v>11</v>
      </c>
      <c r="F21" s="50">
        <v>12</v>
      </c>
      <c r="G21" s="50">
        <v>0</v>
      </c>
      <c r="H21" s="50">
        <v>0</v>
      </c>
      <c r="I21" s="50">
        <v>8</v>
      </c>
      <c r="J21" s="50">
        <v>0</v>
      </c>
      <c r="K21" s="50">
        <v>2</v>
      </c>
      <c r="L21" s="50">
        <v>0</v>
      </c>
      <c r="M21" s="50">
        <v>193</v>
      </c>
      <c r="N21" s="50">
        <v>0</v>
      </c>
      <c r="O21" s="15">
        <f t="shared" si="0"/>
        <v>145</v>
      </c>
      <c r="P21" s="15">
        <f t="shared" si="1"/>
        <v>338</v>
      </c>
      <c r="R21" s="36" t="s">
        <v>20</v>
      </c>
      <c r="S21" s="34">
        <f t="shared" ref="S21:AF21" si="13">SUM(C54:C57)</f>
        <v>215</v>
      </c>
      <c r="T21" s="17">
        <f t="shared" si="13"/>
        <v>57</v>
      </c>
      <c r="U21" s="17">
        <f t="shared" si="13"/>
        <v>25</v>
      </c>
      <c r="V21" s="17">
        <f t="shared" si="13"/>
        <v>60</v>
      </c>
      <c r="W21" s="17">
        <f t="shared" si="13"/>
        <v>1</v>
      </c>
      <c r="X21" s="17">
        <f t="shared" si="13"/>
        <v>0</v>
      </c>
      <c r="Y21" s="17">
        <f t="shared" si="13"/>
        <v>8</v>
      </c>
      <c r="Z21" s="17">
        <f t="shared" si="13"/>
        <v>7</v>
      </c>
      <c r="AA21" s="17">
        <f t="shared" si="13"/>
        <v>5</v>
      </c>
      <c r="AB21" s="17">
        <f t="shared" si="13"/>
        <v>0</v>
      </c>
      <c r="AC21" s="17">
        <f t="shared" si="13"/>
        <v>771</v>
      </c>
      <c r="AD21" s="17">
        <f t="shared" si="13"/>
        <v>0</v>
      </c>
      <c r="AE21" s="31">
        <f t="shared" si="13"/>
        <v>378</v>
      </c>
      <c r="AF21" s="31">
        <f t="shared" si="13"/>
        <v>1149</v>
      </c>
    </row>
    <row r="22" spans="2:32" ht="23.1" customHeight="1" x14ac:dyDescent="0.25">
      <c r="B22" s="23" t="s">
        <v>49</v>
      </c>
      <c r="C22" s="50">
        <v>81</v>
      </c>
      <c r="D22" s="50">
        <v>26</v>
      </c>
      <c r="E22" s="50">
        <v>7</v>
      </c>
      <c r="F22" s="50">
        <v>13</v>
      </c>
      <c r="G22" s="50">
        <v>0</v>
      </c>
      <c r="H22" s="50">
        <v>0</v>
      </c>
      <c r="I22" s="50">
        <v>2</v>
      </c>
      <c r="J22" s="50">
        <v>1</v>
      </c>
      <c r="K22" s="50">
        <v>1</v>
      </c>
      <c r="L22" s="50">
        <v>0</v>
      </c>
      <c r="M22" s="50">
        <v>202</v>
      </c>
      <c r="N22" s="50">
        <v>0</v>
      </c>
      <c r="O22" s="15">
        <f t="shared" si="0"/>
        <v>131</v>
      </c>
      <c r="P22" s="15">
        <f t="shared" si="1"/>
        <v>333</v>
      </c>
      <c r="R22" s="38" t="s">
        <v>90</v>
      </c>
      <c r="S22" s="39">
        <f>MAX(S10:S12)</f>
        <v>498</v>
      </c>
      <c r="T22" s="39">
        <f t="shared" ref="T22:AF22" si="14">MAX(T10:T12)</f>
        <v>158</v>
      </c>
      <c r="U22" s="39">
        <f t="shared" si="14"/>
        <v>87</v>
      </c>
      <c r="V22" s="39">
        <f t="shared" si="14"/>
        <v>86</v>
      </c>
      <c r="W22" s="39">
        <f t="shared" si="14"/>
        <v>1</v>
      </c>
      <c r="X22" s="39">
        <f t="shared" si="14"/>
        <v>0</v>
      </c>
      <c r="Y22" s="39">
        <f t="shared" si="14"/>
        <v>23</v>
      </c>
      <c r="Z22" s="39">
        <f t="shared" si="14"/>
        <v>11</v>
      </c>
      <c r="AA22" s="39">
        <f t="shared" si="14"/>
        <v>9</v>
      </c>
      <c r="AB22" s="39">
        <f t="shared" si="14"/>
        <v>0</v>
      </c>
      <c r="AC22" s="39">
        <f t="shared" si="14"/>
        <v>1092</v>
      </c>
      <c r="AD22" s="39">
        <f t="shared" si="14"/>
        <v>0</v>
      </c>
      <c r="AE22" s="40">
        <f t="shared" si="14"/>
        <v>843</v>
      </c>
      <c r="AF22" s="40">
        <f t="shared" si="14"/>
        <v>1871</v>
      </c>
    </row>
    <row r="23" spans="2:32" ht="23.1" customHeight="1" x14ac:dyDescent="0.25">
      <c r="B23" s="23" t="s">
        <v>50</v>
      </c>
      <c r="C23" s="50">
        <v>71</v>
      </c>
      <c r="D23" s="50">
        <v>28</v>
      </c>
      <c r="E23" s="50">
        <v>9</v>
      </c>
      <c r="F23" s="50">
        <v>14</v>
      </c>
      <c r="G23" s="50">
        <v>1</v>
      </c>
      <c r="H23" s="50">
        <v>0</v>
      </c>
      <c r="I23" s="50">
        <v>3</v>
      </c>
      <c r="J23" s="50">
        <v>1</v>
      </c>
      <c r="K23" s="50">
        <v>0</v>
      </c>
      <c r="L23" s="50">
        <v>0</v>
      </c>
      <c r="M23" s="50">
        <v>168</v>
      </c>
      <c r="N23" s="50">
        <v>0</v>
      </c>
      <c r="O23" s="15">
        <f t="shared" si="0"/>
        <v>127</v>
      </c>
      <c r="P23" s="15">
        <f t="shared" si="1"/>
        <v>295</v>
      </c>
      <c r="R23" s="38" t="s">
        <v>91</v>
      </c>
      <c r="S23" s="39">
        <f>MAX(S13:S18)</f>
        <v>286</v>
      </c>
      <c r="T23" s="39">
        <f t="shared" ref="T23:AF23" si="15">MAX(T13:T18)</f>
        <v>106</v>
      </c>
      <c r="U23" s="39">
        <f t="shared" si="15"/>
        <v>44</v>
      </c>
      <c r="V23" s="39">
        <f t="shared" si="15"/>
        <v>52</v>
      </c>
      <c r="W23" s="39">
        <f t="shared" si="15"/>
        <v>4</v>
      </c>
      <c r="X23" s="39">
        <f t="shared" si="15"/>
        <v>0</v>
      </c>
      <c r="Y23" s="39">
        <f t="shared" si="15"/>
        <v>23</v>
      </c>
      <c r="Z23" s="39">
        <f t="shared" si="15"/>
        <v>15</v>
      </c>
      <c r="AA23" s="39">
        <f t="shared" si="15"/>
        <v>9</v>
      </c>
      <c r="AB23" s="39">
        <f t="shared" si="15"/>
        <v>4</v>
      </c>
      <c r="AC23" s="39">
        <f t="shared" si="15"/>
        <v>778</v>
      </c>
      <c r="AD23" s="39">
        <f t="shared" si="15"/>
        <v>0</v>
      </c>
      <c r="AE23" s="40">
        <f t="shared" si="15"/>
        <v>506</v>
      </c>
      <c r="AF23" s="40">
        <f t="shared" si="15"/>
        <v>1234</v>
      </c>
    </row>
    <row r="24" spans="2:32" ht="23.1" customHeight="1" x14ac:dyDescent="0.25">
      <c r="B24" s="23" t="s">
        <v>51</v>
      </c>
      <c r="C24" s="50">
        <v>78</v>
      </c>
      <c r="D24" s="50">
        <v>21</v>
      </c>
      <c r="E24" s="50">
        <v>9</v>
      </c>
      <c r="F24" s="50">
        <v>11</v>
      </c>
      <c r="G24" s="50">
        <v>0</v>
      </c>
      <c r="H24" s="50">
        <v>0</v>
      </c>
      <c r="I24" s="50">
        <v>7</v>
      </c>
      <c r="J24" s="50">
        <v>2</v>
      </c>
      <c r="K24" s="50">
        <v>6</v>
      </c>
      <c r="L24" s="50">
        <v>0</v>
      </c>
      <c r="M24" s="50">
        <v>191</v>
      </c>
      <c r="N24" s="50">
        <v>0</v>
      </c>
      <c r="O24" s="15">
        <f t="shared" si="0"/>
        <v>134</v>
      </c>
      <c r="P24" s="15">
        <f t="shared" si="1"/>
        <v>325</v>
      </c>
      <c r="R24" s="38" t="s">
        <v>92</v>
      </c>
      <c r="S24" s="39">
        <f>MAX(S19:S21)</f>
        <v>239</v>
      </c>
      <c r="T24" s="39">
        <f t="shared" ref="T24:AF24" si="16">MAX(T19:T21)</f>
        <v>70</v>
      </c>
      <c r="U24" s="39">
        <f t="shared" si="16"/>
        <v>36</v>
      </c>
      <c r="V24" s="39">
        <f t="shared" si="16"/>
        <v>60</v>
      </c>
      <c r="W24" s="39">
        <f t="shared" si="16"/>
        <v>3</v>
      </c>
      <c r="X24" s="39">
        <f t="shared" si="16"/>
        <v>0</v>
      </c>
      <c r="Y24" s="39">
        <f t="shared" si="16"/>
        <v>17</v>
      </c>
      <c r="Z24" s="39">
        <f t="shared" si="16"/>
        <v>17</v>
      </c>
      <c r="AA24" s="39">
        <f t="shared" si="16"/>
        <v>7</v>
      </c>
      <c r="AB24" s="39">
        <f t="shared" si="16"/>
        <v>4</v>
      </c>
      <c r="AC24" s="39">
        <f t="shared" si="16"/>
        <v>805</v>
      </c>
      <c r="AD24" s="39">
        <f t="shared" si="16"/>
        <v>1</v>
      </c>
      <c r="AE24" s="40">
        <f t="shared" si="16"/>
        <v>434</v>
      </c>
      <c r="AF24" s="40">
        <f t="shared" si="16"/>
        <v>1192</v>
      </c>
    </row>
    <row r="25" spans="2:32" ht="23.1" customHeight="1" x14ac:dyDescent="0.25">
      <c r="B25" s="23" t="s">
        <v>52</v>
      </c>
      <c r="C25" s="50">
        <v>56</v>
      </c>
      <c r="D25" s="50">
        <v>31</v>
      </c>
      <c r="E25" s="50">
        <v>11</v>
      </c>
      <c r="F25" s="50">
        <v>10</v>
      </c>
      <c r="G25" s="50">
        <v>0</v>
      </c>
      <c r="H25" s="50">
        <v>0</v>
      </c>
      <c r="I25" s="50">
        <v>2</v>
      </c>
      <c r="J25" s="50">
        <v>2</v>
      </c>
      <c r="K25" s="50">
        <v>2</v>
      </c>
      <c r="L25" s="50">
        <v>0</v>
      </c>
      <c r="M25" s="50">
        <v>167</v>
      </c>
      <c r="N25" s="50">
        <v>0</v>
      </c>
      <c r="O25" s="15">
        <f t="shared" si="0"/>
        <v>114</v>
      </c>
      <c r="P25" s="15">
        <f t="shared" si="1"/>
        <v>281</v>
      </c>
      <c r="R25" s="37" t="s">
        <v>85</v>
      </c>
      <c r="S25" s="35">
        <f t="shared" ref="S25:AF25" si="17">SUM(S10:S12)</f>
        <v>1377</v>
      </c>
      <c r="T25" s="16">
        <f t="shared" si="17"/>
        <v>359</v>
      </c>
      <c r="U25" s="16">
        <f t="shared" si="17"/>
        <v>192</v>
      </c>
      <c r="V25" s="16">
        <f t="shared" si="17"/>
        <v>213</v>
      </c>
      <c r="W25" s="16">
        <f t="shared" si="17"/>
        <v>1</v>
      </c>
      <c r="X25" s="16">
        <f t="shared" si="17"/>
        <v>0</v>
      </c>
      <c r="Y25" s="16">
        <f t="shared" si="17"/>
        <v>52</v>
      </c>
      <c r="Z25" s="16">
        <f t="shared" si="17"/>
        <v>20</v>
      </c>
      <c r="AA25" s="16">
        <f t="shared" si="17"/>
        <v>16</v>
      </c>
      <c r="AB25" s="16">
        <f t="shared" si="17"/>
        <v>0</v>
      </c>
      <c r="AC25" s="16">
        <f t="shared" si="17"/>
        <v>2980</v>
      </c>
      <c r="AD25" s="16">
        <f t="shared" si="17"/>
        <v>0</v>
      </c>
      <c r="AE25" s="32">
        <f t="shared" si="17"/>
        <v>2230</v>
      </c>
      <c r="AF25" s="32">
        <f t="shared" si="17"/>
        <v>5210</v>
      </c>
    </row>
    <row r="26" spans="2:32" ht="23.1" customHeight="1" x14ac:dyDescent="0.25">
      <c r="B26" s="23" t="s">
        <v>53</v>
      </c>
      <c r="C26" s="50">
        <v>64</v>
      </c>
      <c r="D26" s="50">
        <v>23</v>
      </c>
      <c r="E26" s="50">
        <v>11</v>
      </c>
      <c r="F26" s="50">
        <v>12</v>
      </c>
      <c r="G26" s="50">
        <v>0</v>
      </c>
      <c r="H26" s="50">
        <v>0</v>
      </c>
      <c r="I26" s="50">
        <v>6</v>
      </c>
      <c r="J26" s="50">
        <v>5</v>
      </c>
      <c r="K26" s="50">
        <v>3</v>
      </c>
      <c r="L26" s="50">
        <v>0</v>
      </c>
      <c r="M26" s="50">
        <v>183</v>
      </c>
      <c r="N26" s="50">
        <v>0</v>
      </c>
      <c r="O26" s="15">
        <f t="shared" si="0"/>
        <v>124</v>
      </c>
      <c r="P26" s="15">
        <f t="shared" si="1"/>
        <v>307</v>
      </c>
      <c r="R26" s="28" t="s">
        <v>86</v>
      </c>
      <c r="S26" s="16">
        <f t="shared" ref="S26:AF26" si="18">SUM(S13:S18)</f>
        <v>1300</v>
      </c>
      <c r="T26" s="16">
        <f t="shared" si="18"/>
        <v>382</v>
      </c>
      <c r="U26" s="16">
        <f t="shared" si="18"/>
        <v>198</v>
      </c>
      <c r="V26" s="16">
        <f t="shared" si="18"/>
        <v>265</v>
      </c>
      <c r="W26" s="16">
        <f t="shared" si="18"/>
        <v>7</v>
      </c>
      <c r="X26" s="16">
        <f t="shared" si="18"/>
        <v>0</v>
      </c>
      <c r="Y26" s="16">
        <f t="shared" si="18"/>
        <v>100</v>
      </c>
      <c r="Z26" s="16">
        <f t="shared" si="18"/>
        <v>68</v>
      </c>
      <c r="AA26" s="16">
        <f t="shared" si="18"/>
        <v>39</v>
      </c>
      <c r="AB26" s="16">
        <f t="shared" si="18"/>
        <v>9</v>
      </c>
      <c r="AC26" s="16">
        <f t="shared" si="18"/>
        <v>3813</v>
      </c>
      <c r="AD26" s="16">
        <f t="shared" si="18"/>
        <v>0</v>
      </c>
      <c r="AE26" s="32">
        <f t="shared" si="18"/>
        <v>2368</v>
      </c>
      <c r="AF26" s="32">
        <f t="shared" si="18"/>
        <v>6181</v>
      </c>
    </row>
    <row r="27" spans="2:32" ht="23.1" customHeight="1" x14ac:dyDescent="0.25">
      <c r="B27" s="23" t="s">
        <v>54</v>
      </c>
      <c r="C27" s="50">
        <v>55</v>
      </c>
      <c r="D27" s="50">
        <v>18</v>
      </c>
      <c r="E27" s="50">
        <v>6</v>
      </c>
      <c r="F27" s="50">
        <v>14</v>
      </c>
      <c r="G27" s="50">
        <v>0</v>
      </c>
      <c r="H27" s="50">
        <v>0</v>
      </c>
      <c r="I27" s="50">
        <v>5</v>
      </c>
      <c r="J27" s="50">
        <v>2</v>
      </c>
      <c r="K27" s="50">
        <v>1</v>
      </c>
      <c r="L27" s="50">
        <v>0</v>
      </c>
      <c r="M27" s="50">
        <v>125</v>
      </c>
      <c r="N27" s="50">
        <v>0</v>
      </c>
      <c r="O27" s="15">
        <f t="shared" si="0"/>
        <v>101</v>
      </c>
      <c r="P27" s="15">
        <f t="shared" si="1"/>
        <v>226</v>
      </c>
      <c r="R27" s="29" t="s">
        <v>87</v>
      </c>
      <c r="S27" s="16">
        <f t="shared" ref="S27:AF27" si="19">SUM(S19:S21)</f>
        <v>663</v>
      </c>
      <c r="T27" s="16">
        <f t="shared" si="19"/>
        <v>186</v>
      </c>
      <c r="U27" s="16">
        <f t="shared" si="19"/>
        <v>96</v>
      </c>
      <c r="V27" s="16">
        <f t="shared" si="19"/>
        <v>161</v>
      </c>
      <c r="W27" s="16">
        <f t="shared" si="19"/>
        <v>4</v>
      </c>
      <c r="X27" s="16">
        <f t="shared" si="19"/>
        <v>0</v>
      </c>
      <c r="Y27" s="16">
        <f t="shared" si="19"/>
        <v>41</v>
      </c>
      <c r="Z27" s="16">
        <f t="shared" si="19"/>
        <v>30</v>
      </c>
      <c r="AA27" s="16">
        <f t="shared" si="19"/>
        <v>13</v>
      </c>
      <c r="AB27" s="16">
        <f t="shared" si="19"/>
        <v>4</v>
      </c>
      <c r="AC27" s="16">
        <f t="shared" si="19"/>
        <v>2317</v>
      </c>
      <c r="AD27" s="16">
        <f t="shared" si="19"/>
        <v>1</v>
      </c>
      <c r="AE27" s="32">
        <f t="shared" si="19"/>
        <v>1199</v>
      </c>
      <c r="AF27" s="32">
        <f t="shared" si="19"/>
        <v>3516</v>
      </c>
    </row>
    <row r="28" spans="2:32" ht="23.1" customHeight="1" x14ac:dyDescent="0.25">
      <c r="B28" s="23" t="s">
        <v>55</v>
      </c>
      <c r="C28" s="50">
        <v>63</v>
      </c>
      <c r="D28" s="50">
        <v>12</v>
      </c>
      <c r="E28" s="50">
        <v>8</v>
      </c>
      <c r="F28" s="50">
        <v>11</v>
      </c>
      <c r="G28" s="50">
        <v>0</v>
      </c>
      <c r="H28" s="50">
        <v>0</v>
      </c>
      <c r="I28" s="50">
        <v>3</v>
      </c>
      <c r="J28" s="50">
        <v>4</v>
      </c>
      <c r="K28" s="50">
        <v>2</v>
      </c>
      <c r="L28" s="50">
        <v>0</v>
      </c>
      <c r="M28" s="50">
        <v>153</v>
      </c>
      <c r="N28" s="50">
        <v>0</v>
      </c>
      <c r="O28" s="15">
        <f t="shared" si="0"/>
        <v>103</v>
      </c>
      <c r="P28" s="15">
        <f t="shared" si="1"/>
        <v>256</v>
      </c>
      <c r="R28" s="5" t="s">
        <v>17</v>
      </c>
      <c r="S28" s="16">
        <f t="shared" ref="S28:AF28" si="20">SUM(S10:S21)</f>
        <v>3340</v>
      </c>
      <c r="T28" s="16">
        <f t="shared" si="20"/>
        <v>927</v>
      </c>
      <c r="U28" s="16">
        <f t="shared" si="20"/>
        <v>486</v>
      </c>
      <c r="V28" s="16">
        <f t="shared" si="20"/>
        <v>639</v>
      </c>
      <c r="W28" s="16">
        <f t="shared" si="20"/>
        <v>12</v>
      </c>
      <c r="X28" s="16">
        <f t="shared" si="20"/>
        <v>0</v>
      </c>
      <c r="Y28" s="16">
        <f t="shared" si="20"/>
        <v>193</v>
      </c>
      <c r="Z28" s="16">
        <f t="shared" si="20"/>
        <v>118</v>
      </c>
      <c r="AA28" s="16">
        <f t="shared" si="20"/>
        <v>68</v>
      </c>
      <c r="AB28" s="16">
        <f t="shared" si="20"/>
        <v>13</v>
      </c>
      <c r="AC28" s="16">
        <f t="shared" si="20"/>
        <v>9110</v>
      </c>
      <c r="AD28" s="16">
        <f t="shared" si="20"/>
        <v>1</v>
      </c>
      <c r="AE28" s="32">
        <f t="shared" si="20"/>
        <v>5797</v>
      </c>
      <c r="AF28" s="32">
        <f t="shared" si="20"/>
        <v>14907</v>
      </c>
    </row>
    <row r="29" spans="2:32" ht="23.1" customHeight="1" x14ac:dyDescent="0.25">
      <c r="B29" s="23" t="s">
        <v>56</v>
      </c>
      <c r="C29" s="50">
        <v>62</v>
      </c>
      <c r="D29" s="50">
        <v>9</v>
      </c>
      <c r="E29" s="50">
        <v>7</v>
      </c>
      <c r="F29" s="50">
        <v>7</v>
      </c>
      <c r="G29" s="50">
        <v>0</v>
      </c>
      <c r="H29" s="50">
        <v>0</v>
      </c>
      <c r="I29" s="50">
        <v>3</v>
      </c>
      <c r="J29" s="50">
        <v>4</v>
      </c>
      <c r="K29" s="50">
        <v>2</v>
      </c>
      <c r="L29" s="50">
        <v>0</v>
      </c>
      <c r="M29" s="50">
        <v>103</v>
      </c>
      <c r="N29" s="50">
        <v>0</v>
      </c>
      <c r="O29" s="15">
        <f t="shared" si="0"/>
        <v>94</v>
      </c>
      <c r="P29" s="15">
        <f t="shared" si="1"/>
        <v>197</v>
      </c>
      <c r="R29"/>
      <c r="S29" s="20"/>
      <c r="T29" s="19"/>
    </row>
    <row r="30" spans="2:32" ht="23.1" customHeight="1" x14ac:dyDescent="0.25">
      <c r="B30" s="23" t="s">
        <v>57</v>
      </c>
      <c r="C30" s="50">
        <v>66</v>
      </c>
      <c r="D30" s="50">
        <v>19</v>
      </c>
      <c r="E30" s="50">
        <v>15</v>
      </c>
      <c r="F30" s="50">
        <v>11</v>
      </c>
      <c r="G30" s="50">
        <v>0</v>
      </c>
      <c r="H30" s="50">
        <v>0</v>
      </c>
      <c r="I30" s="50">
        <v>4</v>
      </c>
      <c r="J30" s="50">
        <v>2</v>
      </c>
      <c r="K30" s="50">
        <v>0</v>
      </c>
      <c r="L30" s="50">
        <v>2</v>
      </c>
      <c r="M30" s="50">
        <v>132</v>
      </c>
      <c r="N30" s="50">
        <v>0</v>
      </c>
      <c r="O30" s="15">
        <f t="shared" si="0"/>
        <v>119</v>
      </c>
      <c r="P30" s="15">
        <f t="shared" si="1"/>
        <v>251</v>
      </c>
    </row>
    <row r="31" spans="2:32" ht="23.1" customHeight="1" x14ac:dyDescent="0.25">
      <c r="B31" s="24" t="s">
        <v>58</v>
      </c>
      <c r="C31" s="50">
        <v>67</v>
      </c>
      <c r="D31" s="50">
        <v>21</v>
      </c>
      <c r="E31" s="50">
        <v>15</v>
      </c>
      <c r="F31" s="50">
        <v>8</v>
      </c>
      <c r="G31" s="50">
        <v>0</v>
      </c>
      <c r="H31" s="50">
        <v>0</v>
      </c>
      <c r="I31" s="50">
        <v>2</v>
      </c>
      <c r="J31" s="50">
        <v>2</v>
      </c>
      <c r="K31" s="50">
        <v>0</v>
      </c>
      <c r="L31" s="50">
        <v>0</v>
      </c>
      <c r="M31" s="50">
        <v>125</v>
      </c>
      <c r="N31" s="50">
        <v>0</v>
      </c>
      <c r="O31" s="15">
        <f t="shared" si="0"/>
        <v>115</v>
      </c>
      <c r="P31" s="15">
        <f t="shared" si="1"/>
        <v>240</v>
      </c>
    </row>
    <row r="32" spans="2:32" ht="23.1" customHeight="1" x14ac:dyDescent="0.25">
      <c r="B32" s="24" t="s">
        <v>59</v>
      </c>
      <c r="C32" s="50">
        <v>42</v>
      </c>
      <c r="D32" s="50">
        <v>17</v>
      </c>
      <c r="E32" s="50">
        <v>4</v>
      </c>
      <c r="F32" s="50">
        <v>9</v>
      </c>
      <c r="G32" s="50">
        <v>0</v>
      </c>
      <c r="H32" s="50">
        <v>0</v>
      </c>
      <c r="I32" s="50">
        <v>7</v>
      </c>
      <c r="J32" s="50">
        <v>7</v>
      </c>
      <c r="K32" s="50">
        <v>1</v>
      </c>
      <c r="L32" s="50">
        <v>0</v>
      </c>
      <c r="M32" s="50">
        <v>122</v>
      </c>
      <c r="N32" s="50">
        <v>0</v>
      </c>
      <c r="O32" s="15">
        <f t="shared" si="0"/>
        <v>87</v>
      </c>
      <c r="P32" s="15">
        <f t="shared" si="1"/>
        <v>209</v>
      </c>
    </row>
    <row r="33" spans="2:20" ht="23.1" customHeight="1" x14ac:dyDescent="0.25">
      <c r="B33" s="23" t="s">
        <v>60</v>
      </c>
      <c r="C33" s="50">
        <v>56</v>
      </c>
      <c r="D33" s="50">
        <v>12</v>
      </c>
      <c r="E33" s="50">
        <v>10</v>
      </c>
      <c r="F33" s="50">
        <v>8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116</v>
      </c>
      <c r="N33" s="50">
        <v>0</v>
      </c>
      <c r="O33" s="15">
        <f t="shared" si="0"/>
        <v>90</v>
      </c>
      <c r="P33" s="15">
        <f t="shared" si="1"/>
        <v>206</v>
      </c>
    </row>
    <row r="34" spans="2:20" ht="23.1" customHeight="1" x14ac:dyDescent="0.25">
      <c r="B34" s="24" t="s">
        <v>61</v>
      </c>
      <c r="C34" s="50">
        <v>55</v>
      </c>
      <c r="D34" s="50">
        <v>11</v>
      </c>
      <c r="E34" s="50">
        <v>12</v>
      </c>
      <c r="F34" s="50">
        <v>14</v>
      </c>
      <c r="G34" s="50">
        <v>0</v>
      </c>
      <c r="H34" s="50">
        <v>0</v>
      </c>
      <c r="I34" s="50">
        <v>5</v>
      </c>
      <c r="J34" s="50">
        <v>4</v>
      </c>
      <c r="K34" s="50">
        <v>0</v>
      </c>
      <c r="L34" s="50">
        <v>2</v>
      </c>
      <c r="M34" s="50">
        <v>151</v>
      </c>
      <c r="N34" s="50">
        <v>0</v>
      </c>
      <c r="O34" s="15">
        <f t="shared" si="0"/>
        <v>103</v>
      </c>
      <c r="P34" s="15">
        <f t="shared" si="1"/>
        <v>254</v>
      </c>
    </row>
    <row r="35" spans="2:20" ht="23.1" customHeight="1" x14ac:dyDescent="0.25">
      <c r="B35" s="24" t="s">
        <v>62</v>
      </c>
      <c r="C35" s="50">
        <v>41</v>
      </c>
      <c r="D35" s="50">
        <v>12</v>
      </c>
      <c r="E35" s="50">
        <v>10</v>
      </c>
      <c r="F35" s="50">
        <v>8</v>
      </c>
      <c r="G35" s="50">
        <v>0</v>
      </c>
      <c r="H35" s="50">
        <v>0</v>
      </c>
      <c r="I35" s="50">
        <v>4</v>
      </c>
      <c r="J35" s="50">
        <v>5</v>
      </c>
      <c r="K35" s="50">
        <v>3</v>
      </c>
      <c r="L35" s="50">
        <v>1</v>
      </c>
      <c r="M35" s="50">
        <v>132</v>
      </c>
      <c r="N35" s="50">
        <v>0</v>
      </c>
      <c r="O35" s="15">
        <f t="shared" si="0"/>
        <v>84</v>
      </c>
      <c r="P35" s="15">
        <f t="shared" si="1"/>
        <v>216</v>
      </c>
    </row>
    <row r="36" spans="2:20" ht="23.1" customHeight="1" x14ac:dyDescent="0.25">
      <c r="B36" s="24" t="s">
        <v>63</v>
      </c>
      <c r="C36" s="50">
        <v>46</v>
      </c>
      <c r="D36" s="50">
        <v>14</v>
      </c>
      <c r="E36" s="50">
        <v>5</v>
      </c>
      <c r="F36" s="50">
        <v>19</v>
      </c>
      <c r="G36" s="50">
        <v>1</v>
      </c>
      <c r="H36" s="50">
        <v>0</v>
      </c>
      <c r="I36" s="50">
        <v>5</v>
      </c>
      <c r="J36" s="50">
        <v>5</v>
      </c>
      <c r="K36" s="50">
        <v>3</v>
      </c>
      <c r="L36" s="50">
        <v>1</v>
      </c>
      <c r="M36" s="50">
        <v>146</v>
      </c>
      <c r="N36" s="50">
        <v>0</v>
      </c>
      <c r="O36" s="15">
        <f t="shared" si="0"/>
        <v>99</v>
      </c>
      <c r="P36" s="15">
        <f t="shared" si="1"/>
        <v>245</v>
      </c>
    </row>
    <row r="37" spans="2:20" ht="23.1" customHeight="1" x14ac:dyDescent="0.25">
      <c r="B37" s="23" t="s">
        <v>64</v>
      </c>
      <c r="C37" s="50">
        <v>43</v>
      </c>
      <c r="D37" s="50">
        <v>10</v>
      </c>
      <c r="E37" s="50">
        <v>2</v>
      </c>
      <c r="F37" s="50">
        <v>11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137</v>
      </c>
      <c r="N37" s="50">
        <v>0</v>
      </c>
      <c r="O37" s="15">
        <f t="shared" si="0"/>
        <v>67</v>
      </c>
      <c r="P37" s="15">
        <f t="shared" si="1"/>
        <v>204</v>
      </c>
    </row>
    <row r="38" spans="2:20" ht="23.1" customHeight="1" x14ac:dyDescent="0.25">
      <c r="B38" s="24" t="s">
        <v>65</v>
      </c>
      <c r="C38" s="50">
        <v>44</v>
      </c>
      <c r="D38" s="50">
        <v>7</v>
      </c>
      <c r="E38" s="50">
        <v>13</v>
      </c>
      <c r="F38" s="50">
        <v>10</v>
      </c>
      <c r="G38" s="50">
        <v>0</v>
      </c>
      <c r="H38" s="50">
        <v>0</v>
      </c>
      <c r="I38" s="50">
        <v>8</v>
      </c>
      <c r="J38" s="50">
        <v>7</v>
      </c>
      <c r="K38" s="50">
        <v>1</v>
      </c>
      <c r="L38" s="50">
        <v>1</v>
      </c>
      <c r="M38" s="50">
        <v>125</v>
      </c>
      <c r="N38" s="50">
        <v>0</v>
      </c>
      <c r="O38" s="15">
        <f t="shared" si="0"/>
        <v>91</v>
      </c>
      <c r="P38" s="15">
        <f t="shared" si="1"/>
        <v>216</v>
      </c>
    </row>
    <row r="39" spans="2:20" ht="23.1" customHeight="1" x14ac:dyDescent="0.25">
      <c r="B39" s="24" t="s">
        <v>66</v>
      </c>
      <c r="C39" s="50">
        <v>44</v>
      </c>
      <c r="D39" s="50">
        <v>15</v>
      </c>
      <c r="E39" s="50">
        <v>4</v>
      </c>
      <c r="F39" s="50">
        <v>10</v>
      </c>
      <c r="G39" s="50">
        <v>2</v>
      </c>
      <c r="H39" s="50">
        <v>0</v>
      </c>
      <c r="I39" s="50">
        <v>5</v>
      </c>
      <c r="J39" s="50">
        <v>1</v>
      </c>
      <c r="K39" s="50">
        <v>6</v>
      </c>
      <c r="L39" s="50">
        <v>0</v>
      </c>
      <c r="M39" s="50">
        <v>188</v>
      </c>
      <c r="N39" s="50">
        <v>0</v>
      </c>
      <c r="O39" s="15">
        <f t="shared" si="0"/>
        <v>87</v>
      </c>
      <c r="P39" s="15">
        <f t="shared" si="1"/>
        <v>275</v>
      </c>
    </row>
    <row r="40" spans="2:20" ht="23.1" customHeight="1" x14ac:dyDescent="0.25">
      <c r="B40" s="24" t="s">
        <v>67</v>
      </c>
      <c r="C40" s="50">
        <v>21</v>
      </c>
      <c r="D40" s="50">
        <v>10</v>
      </c>
      <c r="E40" s="50">
        <v>5</v>
      </c>
      <c r="F40" s="50">
        <v>7</v>
      </c>
      <c r="G40" s="50">
        <v>1</v>
      </c>
      <c r="H40" s="50">
        <v>0</v>
      </c>
      <c r="I40" s="50">
        <v>0</v>
      </c>
      <c r="J40" s="50">
        <v>2</v>
      </c>
      <c r="K40" s="50">
        <v>2</v>
      </c>
      <c r="L40" s="50">
        <v>0</v>
      </c>
      <c r="M40" s="50">
        <v>179</v>
      </c>
      <c r="N40" s="50">
        <v>0</v>
      </c>
      <c r="O40" s="15">
        <f t="shared" si="0"/>
        <v>48</v>
      </c>
      <c r="P40" s="15">
        <f t="shared" si="1"/>
        <v>227</v>
      </c>
    </row>
    <row r="41" spans="2:20" ht="23.1" customHeight="1" x14ac:dyDescent="0.25">
      <c r="B41" s="23" t="s">
        <v>68</v>
      </c>
      <c r="C41" s="50">
        <v>56</v>
      </c>
      <c r="D41" s="50">
        <v>11</v>
      </c>
      <c r="E41" s="50">
        <v>9</v>
      </c>
      <c r="F41" s="50">
        <v>13</v>
      </c>
      <c r="G41" s="50">
        <v>1</v>
      </c>
      <c r="H41" s="50">
        <v>0</v>
      </c>
      <c r="I41" s="50">
        <v>10</v>
      </c>
      <c r="J41" s="50">
        <v>1</v>
      </c>
      <c r="K41" s="50">
        <v>0</v>
      </c>
      <c r="L41" s="50">
        <v>0</v>
      </c>
      <c r="M41" s="50">
        <v>190</v>
      </c>
      <c r="N41" s="50">
        <v>0</v>
      </c>
      <c r="O41" s="15">
        <f t="shared" si="0"/>
        <v>101</v>
      </c>
      <c r="P41" s="15">
        <f t="shared" si="1"/>
        <v>291</v>
      </c>
    </row>
    <row r="42" spans="2:20" ht="23.1" customHeight="1" x14ac:dyDescent="0.25">
      <c r="B42" s="24" t="s">
        <v>69</v>
      </c>
      <c r="C42" s="50">
        <v>60</v>
      </c>
      <c r="D42" s="50">
        <v>14</v>
      </c>
      <c r="E42" s="50">
        <v>4</v>
      </c>
      <c r="F42" s="50">
        <v>12</v>
      </c>
      <c r="G42" s="50">
        <v>0</v>
      </c>
      <c r="H42" s="50">
        <v>0</v>
      </c>
      <c r="I42" s="50">
        <v>4</v>
      </c>
      <c r="J42" s="50">
        <v>0</v>
      </c>
      <c r="K42" s="50">
        <v>2</v>
      </c>
      <c r="L42" s="50">
        <v>0</v>
      </c>
      <c r="M42" s="50">
        <v>189</v>
      </c>
      <c r="N42" s="50">
        <v>0</v>
      </c>
      <c r="O42" s="15">
        <f t="shared" si="0"/>
        <v>96</v>
      </c>
      <c r="P42" s="15">
        <f t="shared" si="1"/>
        <v>285</v>
      </c>
    </row>
    <row r="43" spans="2:20" ht="23.1" customHeight="1" x14ac:dyDescent="0.25">
      <c r="B43" s="23" t="s">
        <v>70</v>
      </c>
      <c r="C43" s="50">
        <v>56</v>
      </c>
      <c r="D43" s="50">
        <v>16</v>
      </c>
      <c r="E43" s="50">
        <v>11</v>
      </c>
      <c r="F43" s="50">
        <v>11</v>
      </c>
      <c r="G43" s="50">
        <v>1</v>
      </c>
      <c r="H43" s="50">
        <v>0</v>
      </c>
      <c r="I43" s="50">
        <v>8</v>
      </c>
      <c r="J43" s="50">
        <v>7</v>
      </c>
      <c r="K43" s="50">
        <v>0</v>
      </c>
      <c r="L43" s="50">
        <v>0</v>
      </c>
      <c r="M43" s="50">
        <v>190</v>
      </c>
      <c r="N43" s="50">
        <v>0</v>
      </c>
      <c r="O43" s="15">
        <f t="shared" si="0"/>
        <v>110</v>
      </c>
      <c r="P43" s="15">
        <f t="shared" si="1"/>
        <v>300</v>
      </c>
    </row>
    <row r="44" spans="2:20" ht="23.1" customHeight="1" x14ac:dyDescent="0.25">
      <c r="B44" s="25" t="s">
        <v>71</v>
      </c>
      <c r="C44" s="50">
        <v>35</v>
      </c>
      <c r="D44" s="50">
        <v>12</v>
      </c>
      <c r="E44" s="50">
        <v>6</v>
      </c>
      <c r="F44" s="50">
        <v>11</v>
      </c>
      <c r="G44" s="50">
        <v>0</v>
      </c>
      <c r="H44" s="50">
        <v>0</v>
      </c>
      <c r="I44" s="50">
        <v>1</v>
      </c>
      <c r="J44" s="50">
        <v>1</v>
      </c>
      <c r="K44" s="50">
        <v>1</v>
      </c>
      <c r="L44" s="50">
        <v>2</v>
      </c>
      <c r="M44" s="50">
        <v>209</v>
      </c>
      <c r="N44" s="50">
        <v>0</v>
      </c>
      <c r="O44" s="15">
        <f t="shared" si="0"/>
        <v>69</v>
      </c>
      <c r="P44" s="15">
        <f t="shared" si="1"/>
        <v>278</v>
      </c>
    </row>
    <row r="45" spans="2:20" ht="23.1" customHeight="1" x14ac:dyDescent="0.25">
      <c r="B45" s="23" t="s">
        <v>72</v>
      </c>
      <c r="C45" s="50">
        <v>38</v>
      </c>
      <c r="D45" s="50">
        <v>13</v>
      </c>
      <c r="E45" s="50">
        <v>5</v>
      </c>
      <c r="F45" s="50">
        <v>11</v>
      </c>
      <c r="G45" s="50">
        <v>0</v>
      </c>
      <c r="H45" s="50">
        <v>0</v>
      </c>
      <c r="I45" s="50">
        <v>3</v>
      </c>
      <c r="J45" s="50">
        <v>1</v>
      </c>
      <c r="K45" s="50">
        <v>3</v>
      </c>
      <c r="L45" s="50">
        <v>0</v>
      </c>
      <c r="M45" s="50">
        <v>190</v>
      </c>
      <c r="N45" s="50">
        <v>0</v>
      </c>
      <c r="O45" s="15">
        <f t="shared" si="0"/>
        <v>74</v>
      </c>
      <c r="P45" s="15">
        <f t="shared" si="1"/>
        <v>264</v>
      </c>
    </row>
    <row r="46" spans="2:20" ht="23.1" customHeight="1" x14ac:dyDescent="0.25">
      <c r="B46" s="24" t="s">
        <v>73</v>
      </c>
      <c r="C46" s="50">
        <v>35</v>
      </c>
      <c r="D46" s="50">
        <v>11</v>
      </c>
      <c r="E46" s="50">
        <v>8</v>
      </c>
      <c r="F46" s="50">
        <v>9</v>
      </c>
      <c r="G46" s="50">
        <v>0</v>
      </c>
      <c r="H46" s="50">
        <v>0</v>
      </c>
      <c r="I46" s="50">
        <v>5</v>
      </c>
      <c r="J46" s="50">
        <v>2</v>
      </c>
      <c r="K46" s="50">
        <v>1</v>
      </c>
      <c r="L46" s="50">
        <v>0</v>
      </c>
      <c r="M46" s="50">
        <v>188</v>
      </c>
      <c r="N46" s="50">
        <v>0</v>
      </c>
      <c r="O46" s="15">
        <f t="shared" si="0"/>
        <v>71</v>
      </c>
      <c r="P46" s="15">
        <f t="shared" si="1"/>
        <v>259</v>
      </c>
      <c r="R46" s="8"/>
      <c r="T46"/>
    </row>
    <row r="47" spans="2:20" ht="23.1" customHeight="1" x14ac:dyDescent="0.25">
      <c r="B47" s="24" t="s">
        <v>74</v>
      </c>
      <c r="C47" s="50">
        <v>63</v>
      </c>
      <c r="D47" s="50">
        <v>10</v>
      </c>
      <c r="E47" s="50">
        <v>11</v>
      </c>
      <c r="F47" s="50">
        <v>12</v>
      </c>
      <c r="G47" s="50">
        <v>0</v>
      </c>
      <c r="H47" s="50">
        <v>0</v>
      </c>
      <c r="I47" s="50">
        <v>4</v>
      </c>
      <c r="J47" s="50">
        <v>0</v>
      </c>
      <c r="K47" s="50">
        <v>2</v>
      </c>
      <c r="L47" s="50">
        <v>0</v>
      </c>
      <c r="M47" s="50">
        <v>198</v>
      </c>
      <c r="N47" s="50">
        <v>0</v>
      </c>
      <c r="O47" s="15">
        <f t="shared" si="0"/>
        <v>102</v>
      </c>
      <c r="P47" s="15">
        <f t="shared" si="1"/>
        <v>300</v>
      </c>
      <c r="R47" s="8"/>
      <c r="T47"/>
    </row>
    <row r="48" spans="2:20" ht="23.1" customHeight="1" x14ac:dyDescent="0.25">
      <c r="B48" s="24" t="s">
        <v>75</v>
      </c>
      <c r="C48" s="50">
        <v>51</v>
      </c>
      <c r="D48" s="50">
        <v>17</v>
      </c>
      <c r="E48" s="50">
        <v>11</v>
      </c>
      <c r="F48" s="50">
        <v>11</v>
      </c>
      <c r="G48" s="50">
        <v>0</v>
      </c>
      <c r="H48" s="50">
        <v>0</v>
      </c>
      <c r="I48" s="50">
        <v>4</v>
      </c>
      <c r="J48" s="50">
        <v>1</v>
      </c>
      <c r="K48" s="50">
        <v>4</v>
      </c>
      <c r="L48" s="50">
        <v>1</v>
      </c>
      <c r="M48" s="50">
        <v>209</v>
      </c>
      <c r="N48" s="50">
        <v>0</v>
      </c>
      <c r="O48" s="15">
        <f t="shared" si="0"/>
        <v>100</v>
      </c>
      <c r="P48" s="15">
        <f t="shared" si="1"/>
        <v>309</v>
      </c>
      <c r="R48" s="8"/>
      <c r="T48"/>
    </row>
    <row r="49" spans="2:20" ht="23.1" customHeight="1" x14ac:dyDescent="0.25">
      <c r="B49" s="23" t="s">
        <v>76</v>
      </c>
      <c r="C49" s="50">
        <v>60</v>
      </c>
      <c r="D49" s="50">
        <v>21</v>
      </c>
      <c r="E49" s="50">
        <v>6</v>
      </c>
      <c r="F49" s="50">
        <v>16</v>
      </c>
      <c r="G49" s="50">
        <v>0</v>
      </c>
      <c r="H49" s="50">
        <v>0</v>
      </c>
      <c r="I49" s="50">
        <v>4</v>
      </c>
      <c r="J49" s="50">
        <v>3</v>
      </c>
      <c r="K49" s="50">
        <v>0</v>
      </c>
      <c r="L49" s="50">
        <v>3</v>
      </c>
      <c r="M49" s="50">
        <v>210</v>
      </c>
      <c r="N49" s="50">
        <v>1</v>
      </c>
      <c r="O49" s="15">
        <f t="shared" si="0"/>
        <v>114</v>
      </c>
      <c r="P49" s="15">
        <f t="shared" si="1"/>
        <v>324</v>
      </c>
      <c r="R49" s="8"/>
      <c r="T49"/>
    </row>
    <row r="50" spans="2:20" ht="23.1" customHeight="1" x14ac:dyDescent="0.25">
      <c r="B50" s="24" t="s">
        <v>77</v>
      </c>
      <c r="C50" s="50">
        <v>62</v>
      </c>
      <c r="D50" s="50">
        <v>20</v>
      </c>
      <c r="E50" s="50">
        <v>10</v>
      </c>
      <c r="F50" s="50">
        <v>16</v>
      </c>
      <c r="G50" s="50">
        <v>0</v>
      </c>
      <c r="H50" s="50">
        <v>0</v>
      </c>
      <c r="I50" s="50">
        <v>7</v>
      </c>
      <c r="J50" s="50">
        <v>5</v>
      </c>
      <c r="K50" s="50">
        <v>0</v>
      </c>
      <c r="L50" s="50">
        <v>0</v>
      </c>
      <c r="M50" s="50">
        <v>184</v>
      </c>
      <c r="N50" s="50">
        <v>0</v>
      </c>
      <c r="O50" s="15">
        <f t="shared" si="0"/>
        <v>120</v>
      </c>
      <c r="P50" s="15">
        <f t="shared" si="1"/>
        <v>304</v>
      </c>
      <c r="R50" s="8"/>
      <c r="T50"/>
    </row>
    <row r="51" spans="2:20" ht="23.1" customHeight="1" x14ac:dyDescent="0.25">
      <c r="B51" s="24" t="s">
        <v>78</v>
      </c>
      <c r="C51" s="50">
        <v>51</v>
      </c>
      <c r="D51" s="50">
        <v>19</v>
      </c>
      <c r="E51" s="50">
        <v>9</v>
      </c>
      <c r="F51" s="50">
        <v>8</v>
      </c>
      <c r="G51" s="50">
        <v>2</v>
      </c>
      <c r="H51" s="50">
        <v>0</v>
      </c>
      <c r="I51" s="50">
        <v>2</v>
      </c>
      <c r="J51" s="50">
        <v>4</v>
      </c>
      <c r="K51" s="50">
        <v>1</v>
      </c>
      <c r="L51" s="50">
        <v>0</v>
      </c>
      <c r="M51" s="50">
        <v>194</v>
      </c>
      <c r="N51" s="50">
        <v>0</v>
      </c>
      <c r="O51" s="15">
        <f t="shared" si="0"/>
        <v>96</v>
      </c>
      <c r="P51" s="15">
        <f t="shared" si="1"/>
        <v>290</v>
      </c>
      <c r="R51" s="8"/>
      <c r="T51"/>
    </row>
    <row r="52" spans="2:20" ht="23.1" customHeight="1" x14ac:dyDescent="0.25">
      <c r="B52" s="24" t="s">
        <v>79</v>
      </c>
      <c r="C52" s="50">
        <v>59</v>
      </c>
      <c r="D52" s="50">
        <v>19</v>
      </c>
      <c r="E52" s="50">
        <v>8</v>
      </c>
      <c r="F52" s="50">
        <v>12</v>
      </c>
      <c r="G52" s="50">
        <v>1</v>
      </c>
      <c r="H52" s="50">
        <v>0</v>
      </c>
      <c r="I52" s="50">
        <v>5</v>
      </c>
      <c r="J52" s="50">
        <v>4</v>
      </c>
      <c r="K52" s="50">
        <v>0</v>
      </c>
      <c r="L52" s="50">
        <v>0</v>
      </c>
      <c r="M52" s="50">
        <v>194</v>
      </c>
      <c r="N52" s="50">
        <v>0</v>
      </c>
      <c r="O52" s="15">
        <f t="shared" si="0"/>
        <v>108</v>
      </c>
      <c r="P52" s="15">
        <f t="shared" si="1"/>
        <v>302</v>
      </c>
      <c r="R52" s="8"/>
      <c r="T52"/>
    </row>
    <row r="53" spans="2:20" ht="23.1" customHeight="1" x14ac:dyDescent="0.25">
      <c r="B53" s="23" t="s">
        <v>80</v>
      </c>
      <c r="C53" s="50">
        <v>67</v>
      </c>
      <c r="D53" s="50">
        <v>12</v>
      </c>
      <c r="E53" s="50">
        <v>8</v>
      </c>
      <c r="F53" s="50">
        <v>17</v>
      </c>
      <c r="G53" s="50">
        <v>0</v>
      </c>
      <c r="H53" s="50">
        <v>0</v>
      </c>
      <c r="I53" s="50">
        <v>2</v>
      </c>
      <c r="J53" s="50">
        <v>4</v>
      </c>
      <c r="K53" s="50">
        <v>0</v>
      </c>
      <c r="L53" s="50">
        <v>0</v>
      </c>
      <c r="M53" s="50">
        <v>169</v>
      </c>
      <c r="N53" s="50">
        <v>0</v>
      </c>
      <c r="O53" s="15">
        <f t="shared" si="0"/>
        <v>110</v>
      </c>
      <c r="P53" s="15">
        <f t="shared" si="1"/>
        <v>279</v>
      </c>
      <c r="R53" s="8"/>
      <c r="T53"/>
    </row>
    <row r="54" spans="2:20" ht="23.1" customHeight="1" x14ac:dyDescent="0.25">
      <c r="B54" s="23" t="s">
        <v>81</v>
      </c>
      <c r="C54" s="50">
        <v>50</v>
      </c>
      <c r="D54" s="50">
        <v>10</v>
      </c>
      <c r="E54" s="50">
        <v>4</v>
      </c>
      <c r="F54" s="50">
        <v>14</v>
      </c>
      <c r="G54" s="50">
        <v>0</v>
      </c>
      <c r="H54" s="50">
        <v>0</v>
      </c>
      <c r="I54" s="50">
        <v>2</v>
      </c>
      <c r="J54" s="50">
        <v>0</v>
      </c>
      <c r="K54" s="50">
        <v>1</v>
      </c>
      <c r="L54" s="50">
        <v>0</v>
      </c>
      <c r="M54" s="50">
        <v>178</v>
      </c>
      <c r="N54" s="50">
        <v>0</v>
      </c>
      <c r="O54" s="15">
        <f t="shared" si="0"/>
        <v>81</v>
      </c>
      <c r="P54" s="15">
        <f t="shared" si="1"/>
        <v>259</v>
      </c>
      <c r="R54" s="8"/>
      <c r="T54"/>
    </row>
    <row r="55" spans="2:20" ht="23.1" customHeight="1" x14ac:dyDescent="0.25">
      <c r="B55" s="23" t="s">
        <v>82</v>
      </c>
      <c r="C55" s="50">
        <v>51</v>
      </c>
      <c r="D55" s="50">
        <v>8</v>
      </c>
      <c r="E55" s="50">
        <v>4</v>
      </c>
      <c r="F55" s="50">
        <v>17</v>
      </c>
      <c r="G55" s="50">
        <v>0</v>
      </c>
      <c r="H55" s="50">
        <v>0</v>
      </c>
      <c r="I55" s="50">
        <v>2</v>
      </c>
      <c r="J55" s="50">
        <v>2</v>
      </c>
      <c r="K55" s="50">
        <v>1</v>
      </c>
      <c r="L55" s="50">
        <v>0</v>
      </c>
      <c r="M55" s="50">
        <v>181</v>
      </c>
      <c r="N55" s="50">
        <v>0</v>
      </c>
      <c r="O55" s="15">
        <f t="shared" si="0"/>
        <v>85</v>
      </c>
      <c r="P55" s="15">
        <f t="shared" si="1"/>
        <v>266</v>
      </c>
      <c r="R55" s="8"/>
      <c r="T55"/>
    </row>
    <row r="56" spans="2:20" ht="23.1" customHeight="1" x14ac:dyDescent="0.25">
      <c r="B56" s="23" t="s">
        <v>83</v>
      </c>
      <c r="C56" s="50">
        <v>41</v>
      </c>
      <c r="D56" s="50">
        <v>12</v>
      </c>
      <c r="E56" s="50">
        <v>10</v>
      </c>
      <c r="F56" s="50">
        <v>14</v>
      </c>
      <c r="G56" s="50">
        <v>0</v>
      </c>
      <c r="H56" s="50">
        <v>0</v>
      </c>
      <c r="I56" s="50">
        <v>2</v>
      </c>
      <c r="J56" s="50">
        <v>3</v>
      </c>
      <c r="K56" s="50">
        <v>1</v>
      </c>
      <c r="L56" s="50">
        <v>0</v>
      </c>
      <c r="M56" s="50">
        <v>204</v>
      </c>
      <c r="N56" s="50">
        <v>0</v>
      </c>
      <c r="O56" s="15">
        <f t="shared" si="0"/>
        <v>83</v>
      </c>
      <c r="P56" s="15">
        <f t="shared" si="1"/>
        <v>287</v>
      </c>
      <c r="R56" s="8"/>
      <c r="T56"/>
    </row>
    <row r="57" spans="2:20" ht="23.1" customHeight="1" x14ac:dyDescent="0.25">
      <c r="B57" s="23" t="s">
        <v>84</v>
      </c>
      <c r="C57" s="50">
        <v>73</v>
      </c>
      <c r="D57" s="50">
        <v>27</v>
      </c>
      <c r="E57" s="50">
        <v>7</v>
      </c>
      <c r="F57" s="50">
        <v>15</v>
      </c>
      <c r="G57" s="50">
        <v>1</v>
      </c>
      <c r="H57" s="50">
        <v>0</v>
      </c>
      <c r="I57" s="50">
        <v>2</v>
      </c>
      <c r="J57" s="50">
        <v>2</v>
      </c>
      <c r="K57" s="50">
        <v>2</v>
      </c>
      <c r="L57" s="50">
        <v>0</v>
      </c>
      <c r="M57" s="50">
        <v>208</v>
      </c>
      <c r="N57" s="50">
        <v>0</v>
      </c>
      <c r="O57" s="15">
        <f t="shared" si="0"/>
        <v>129</v>
      </c>
      <c r="P57" s="15">
        <f t="shared" si="1"/>
        <v>337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3340</v>
      </c>
      <c r="D58" s="16">
        <f t="shared" si="21"/>
        <v>927</v>
      </c>
      <c r="E58" s="16">
        <f t="shared" si="21"/>
        <v>486</v>
      </c>
      <c r="F58" s="16">
        <f t="shared" si="21"/>
        <v>639</v>
      </c>
      <c r="G58" s="16">
        <f t="shared" si="21"/>
        <v>12</v>
      </c>
      <c r="H58" s="16">
        <f t="shared" si="21"/>
        <v>0</v>
      </c>
      <c r="I58" s="16">
        <f t="shared" si="21"/>
        <v>193</v>
      </c>
      <c r="J58" s="16">
        <f t="shared" si="21"/>
        <v>118</v>
      </c>
      <c r="K58" s="16">
        <f t="shared" si="21"/>
        <v>68</v>
      </c>
      <c r="L58" s="16">
        <f t="shared" si="21"/>
        <v>13</v>
      </c>
      <c r="M58" s="16">
        <f t="shared" si="21"/>
        <v>9110</v>
      </c>
      <c r="N58" s="16">
        <f t="shared" si="21"/>
        <v>1</v>
      </c>
      <c r="O58" s="16">
        <f t="shared" si="21"/>
        <v>5797</v>
      </c>
      <c r="P58" s="16">
        <f t="shared" si="21"/>
        <v>14907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0.22405581270544039</v>
      </c>
      <c r="D59" s="43">
        <f t="shared" si="22"/>
        <v>6.2185550412557862E-2</v>
      </c>
      <c r="E59" s="43">
        <f t="shared" si="22"/>
        <v>3.2602133226001209E-2</v>
      </c>
      <c r="F59" s="43">
        <f t="shared" si="22"/>
        <v>4.2865767760112701E-2</v>
      </c>
      <c r="G59" s="43">
        <f t="shared" si="22"/>
        <v>8.0499094385188164E-4</v>
      </c>
      <c r="H59" s="43">
        <f t="shared" si="22"/>
        <v>0</v>
      </c>
      <c r="I59" s="43">
        <f t="shared" si="22"/>
        <v>1.294693768028443E-2</v>
      </c>
      <c r="J59" s="43">
        <f t="shared" si="22"/>
        <v>7.9157442812101703E-3</v>
      </c>
      <c r="K59" s="43">
        <f t="shared" si="22"/>
        <v>4.5616153484939964E-3</v>
      </c>
      <c r="L59" s="43">
        <f t="shared" si="22"/>
        <v>8.7207352250620509E-4</v>
      </c>
      <c r="M59" s="43">
        <f t="shared" si="22"/>
        <v>0.61112229154088682</v>
      </c>
      <c r="N59" s="43">
        <f t="shared" si="22"/>
        <v>6.7082578654323479E-5</v>
      </c>
      <c r="R59" s="8"/>
      <c r="T59"/>
    </row>
    <row r="60" spans="2:20" ht="23.1" customHeight="1" x14ac:dyDescent="0.25">
      <c r="B60" s="42" t="s">
        <v>94</v>
      </c>
      <c r="C60" s="44">
        <f>C58/$O$58</f>
        <v>0.57616008280144904</v>
      </c>
      <c r="D60" s="44">
        <f t="shared" ref="D60:N60" si="23">D58/$O$58</f>
        <v>0.15991029843022253</v>
      </c>
      <c r="E60" s="44">
        <f t="shared" si="23"/>
        <v>8.3836467138174914E-2</v>
      </c>
      <c r="F60" s="44">
        <f t="shared" si="23"/>
        <v>0.11022942901500776</v>
      </c>
      <c r="G60" s="44">
        <f t="shared" si="23"/>
        <v>2.0700362256339485E-3</v>
      </c>
      <c r="H60" s="44">
        <f t="shared" si="23"/>
        <v>0</v>
      </c>
      <c r="I60" s="44">
        <f t="shared" si="23"/>
        <v>3.3293082628946008E-2</v>
      </c>
      <c r="J60" s="44">
        <f t="shared" si="23"/>
        <v>2.0355356218733828E-2</v>
      </c>
      <c r="K60" s="44">
        <f t="shared" si="23"/>
        <v>1.1730205278592375E-2</v>
      </c>
      <c r="L60" s="44">
        <f t="shared" si="23"/>
        <v>2.2425392444367777E-3</v>
      </c>
      <c r="M60" s="44"/>
      <c r="N60" s="44">
        <f t="shared" si="23"/>
        <v>1.7250301880282904E-4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1" zoomScale="60" workbookViewId="0">
      <selection activeCell="I48" sqref="I4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Kyanja -Kisaasi'!C3:G3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180</v>
      </c>
      <c r="E5" s="3"/>
      <c r="F5" s="41" t="s">
        <v>1</v>
      </c>
      <c r="G5" s="66" t="str">
        <f>'29.07 Kyanja -Kisaasi'!G5:H5</f>
        <v>Malcom Health center</v>
      </c>
      <c r="H5" s="67"/>
      <c r="I5" s="14"/>
      <c r="J5" s="2" t="s">
        <v>5</v>
      </c>
      <c r="K5" s="66" t="s">
        <v>179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Kyanja -Kisaasi'!D6:E6</f>
        <v>Kyanja</v>
      </c>
      <c r="E6" s="67"/>
      <c r="F6" s="2" t="s">
        <v>2</v>
      </c>
      <c r="G6" s="66" t="str">
        <f>'29.07 Kyanja -Kisaasi'!G6:H6</f>
        <v>Kisaasi</v>
      </c>
      <c r="H6" s="67"/>
      <c r="J6" s="2" t="s">
        <v>21</v>
      </c>
      <c r="K6" s="66" t="str">
        <f>'29.07 Kyanja -Kisaasi'!K6:L6</f>
        <v>Steven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61</v>
      </c>
      <c r="D10" s="50">
        <v>10</v>
      </c>
      <c r="E10" s="50">
        <v>9</v>
      </c>
      <c r="F10" s="50">
        <v>16</v>
      </c>
      <c r="G10" s="50">
        <v>0</v>
      </c>
      <c r="H10" s="50">
        <v>0</v>
      </c>
      <c r="I10" s="50">
        <v>2</v>
      </c>
      <c r="J10" s="50">
        <v>3</v>
      </c>
      <c r="K10" s="50">
        <v>6</v>
      </c>
      <c r="L10" s="50">
        <v>0</v>
      </c>
      <c r="M10" s="50">
        <v>100</v>
      </c>
      <c r="N10" s="50">
        <v>0</v>
      </c>
      <c r="O10" s="15">
        <f t="shared" ref="O10:O57" si="0">SUM(C10:L10,N10)</f>
        <v>107</v>
      </c>
      <c r="P10" s="15">
        <f t="shared" ref="P10:P57" si="1">SUM(C10:N10)</f>
        <v>207</v>
      </c>
      <c r="R10" s="1" t="s">
        <v>6</v>
      </c>
      <c r="S10" s="17">
        <f t="shared" ref="S10:AF10" si="2">SUM(C10:C13)</f>
        <v>187</v>
      </c>
      <c r="T10" s="17">
        <f t="shared" si="2"/>
        <v>35</v>
      </c>
      <c r="U10" s="17">
        <f t="shared" si="2"/>
        <v>22</v>
      </c>
      <c r="V10" s="17">
        <f t="shared" si="2"/>
        <v>64</v>
      </c>
      <c r="W10" s="17">
        <f t="shared" si="2"/>
        <v>2</v>
      </c>
      <c r="X10" s="17">
        <f t="shared" si="2"/>
        <v>0</v>
      </c>
      <c r="Y10" s="17">
        <f t="shared" si="2"/>
        <v>4</v>
      </c>
      <c r="Z10" s="17">
        <f t="shared" si="2"/>
        <v>6</v>
      </c>
      <c r="AA10" s="17">
        <f t="shared" si="2"/>
        <v>17</v>
      </c>
      <c r="AB10" s="17">
        <f t="shared" si="2"/>
        <v>0</v>
      </c>
      <c r="AC10" s="17">
        <f t="shared" si="2"/>
        <v>585</v>
      </c>
      <c r="AD10" s="17">
        <f t="shared" si="2"/>
        <v>0</v>
      </c>
      <c r="AE10" s="31">
        <f t="shared" si="2"/>
        <v>337</v>
      </c>
      <c r="AF10" s="31">
        <f t="shared" si="2"/>
        <v>922</v>
      </c>
    </row>
    <row r="11" spans="2:32" s="6" customFormat="1" ht="23.1" customHeight="1" x14ac:dyDescent="0.25">
      <c r="B11" s="23" t="s">
        <v>38</v>
      </c>
      <c r="C11" s="50">
        <v>41</v>
      </c>
      <c r="D11" s="50">
        <v>10</v>
      </c>
      <c r="E11" s="50">
        <v>7</v>
      </c>
      <c r="F11" s="50">
        <v>11</v>
      </c>
      <c r="G11" s="50">
        <v>2</v>
      </c>
      <c r="H11" s="50">
        <v>0</v>
      </c>
      <c r="I11" s="50">
        <v>0</v>
      </c>
      <c r="J11" s="50">
        <v>0</v>
      </c>
      <c r="K11" s="50">
        <v>7</v>
      </c>
      <c r="L11" s="50">
        <v>0</v>
      </c>
      <c r="M11" s="50">
        <v>152</v>
      </c>
      <c r="N11" s="50">
        <v>0</v>
      </c>
      <c r="O11" s="15">
        <f t="shared" si="0"/>
        <v>78</v>
      </c>
      <c r="P11" s="15">
        <f t="shared" si="1"/>
        <v>230</v>
      </c>
      <c r="R11" s="1" t="s">
        <v>7</v>
      </c>
      <c r="S11" s="17">
        <f t="shared" ref="S11:AF11" si="3">SUM(C14:C17)</f>
        <v>164</v>
      </c>
      <c r="T11" s="17">
        <f t="shared" si="3"/>
        <v>18</v>
      </c>
      <c r="U11" s="17">
        <f t="shared" si="3"/>
        <v>22</v>
      </c>
      <c r="V11" s="17">
        <f t="shared" si="3"/>
        <v>128</v>
      </c>
      <c r="W11" s="17">
        <f t="shared" si="3"/>
        <v>2</v>
      </c>
      <c r="X11" s="17">
        <f t="shared" si="3"/>
        <v>1</v>
      </c>
      <c r="Y11" s="17">
        <f t="shared" si="3"/>
        <v>10</v>
      </c>
      <c r="Z11" s="17">
        <f t="shared" si="3"/>
        <v>5</v>
      </c>
      <c r="AA11" s="17">
        <f t="shared" si="3"/>
        <v>13</v>
      </c>
      <c r="AB11" s="17">
        <f t="shared" si="3"/>
        <v>0</v>
      </c>
      <c r="AC11" s="17">
        <f t="shared" si="3"/>
        <v>760</v>
      </c>
      <c r="AD11" s="17">
        <f t="shared" si="3"/>
        <v>0</v>
      </c>
      <c r="AE11" s="31">
        <f t="shared" si="3"/>
        <v>363</v>
      </c>
      <c r="AF11" s="31">
        <f t="shared" si="3"/>
        <v>1123</v>
      </c>
    </row>
    <row r="12" spans="2:32" ht="23.1" customHeight="1" x14ac:dyDescent="0.25">
      <c r="B12" s="23" t="s">
        <v>39</v>
      </c>
      <c r="C12" s="50">
        <v>48</v>
      </c>
      <c r="D12" s="50">
        <v>8</v>
      </c>
      <c r="E12" s="50">
        <v>3</v>
      </c>
      <c r="F12" s="50">
        <v>16</v>
      </c>
      <c r="G12" s="50">
        <v>0</v>
      </c>
      <c r="H12" s="50">
        <v>0</v>
      </c>
      <c r="I12" s="50">
        <v>1</v>
      </c>
      <c r="J12" s="50">
        <v>1</v>
      </c>
      <c r="K12" s="50">
        <v>2</v>
      </c>
      <c r="L12" s="50">
        <v>0</v>
      </c>
      <c r="M12" s="50">
        <v>153</v>
      </c>
      <c r="N12" s="50">
        <v>0</v>
      </c>
      <c r="O12" s="15">
        <f t="shared" si="0"/>
        <v>79</v>
      </c>
      <c r="P12" s="15">
        <f t="shared" si="1"/>
        <v>232</v>
      </c>
      <c r="R12" s="1" t="s">
        <v>8</v>
      </c>
      <c r="S12" s="17">
        <f t="shared" ref="S12:AF12" si="4">SUM(C18:C21)</f>
        <v>143</v>
      </c>
      <c r="T12" s="17">
        <f t="shared" si="4"/>
        <v>38</v>
      </c>
      <c r="U12" s="17">
        <f t="shared" si="4"/>
        <v>28</v>
      </c>
      <c r="V12" s="17">
        <f t="shared" si="4"/>
        <v>78</v>
      </c>
      <c r="W12" s="17">
        <f t="shared" si="4"/>
        <v>0</v>
      </c>
      <c r="X12" s="17">
        <f t="shared" si="4"/>
        <v>0</v>
      </c>
      <c r="Y12" s="17">
        <f t="shared" si="4"/>
        <v>21</v>
      </c>
      <c r="Z12" s="17">
        <f t="shared" si="4"/>
        <v>11</v>
      </c>
      <c r="AA12" s="17">
        <f t="shared" si="4"/>
        <v>10</v>
      </c>
      <c r="AB12" s="17">
        <f t="shared" si="4"/>
        <v>0</v>
      </c>
      <c r="AC12" s="17">
        <f t="shared" si="4"/>
        <v>607</v>
      </c>
      <c r="AD12" s="17">
        <f t="shared" si="4"/>
        <v>0</v>
      </c>
      <c r="AE12" s="31">
        <f t="shared" si="4"/>
        <v>329</v>
      </c>
      <c r="AF12" s="31">
        <f t="shared" si="4"/>
        <v>936</v>
      </c>
    </row>
    <row r="13" spans="2:32" ht="23.1" customHeight="1" x14ac:dyDescent="0.25">
      <c r="B13" s="23" t="s">
        <v>40</v>
      </c>
      <c r="C13" s="50">
        <v>37</v>
      </c>
      <c r="D13" s="50">
        <v>7</v>
      </c>
      <c r="E13" s="50">
        <v>3</v>
      </c>
      <c r="F13" s="50">
        <v>21</v>
      </c>
      <c r="G13" s="50">
        <v>0</v>
      </c>
      <c r="H13" s="50">
        <v>0</v>
      </c>
      <c r="I13" s="50">
        <v>1</v>
      </c>
      <c r="J13" s="50">
        <v>2</v>
      </c>
      <c r="K13" s="50">
        <v>2</v>
      </c>
      <c r="L13" s="50">
        <v>0</v>
      </c>
      <c r="M13" s="50">
        <v>180</v>
      </c>
      <c r="N13" s="50">
        <v>0</v>
      </c>
      <c r="O13" s="15">
        <f t="shared" si="0"/>
        <v>73</v>
      </c>
      <c r="P13" s="15">
        <f t="shared" si="1"/>
        <v>253</v>
      </c>
      <c r="R13" s="1" t="s">
        <v>9</v>
      </c>
      <c r="S13" s="17">
        <f t="shared" ref="S13:AF13" si="5">SUM(C22:C25)</f>
        <v>168</v>
      </c>
      <c r="T13" s="17">
        <f t="shared" si="5"/>
        <v>25</v>
      </c>
      <c r="U13" s="17">
        <f t="shared" si="5"/>
        <v>21</v>
      </c>
      <c r="V13" s="17">
        <f t="shared" si="5"/>
        <v>72</v>
      </c>
      <c r="W13" s="17">
        <f t="shared" si="5"/>
        <v>0</v>
      </c>
      <c r="X13" s="17">
        <f t="shared" si="5"/>
        <v>0</v>
      </c>
      <c r="Y13" s="17">
        <f t="shared" si="5"/>
        <v>23</v>
      </c>
      <c r="Z13" s="17">
        <f t="shared" si="5"/>
        <v>6</v>
      </c>
      <c r="AA13" s="17">
        <f t="shared" si="5"/>
        <v>17</v>
      </c>
      <c r="AB13" s="17">
        <f t="shared" si="5"/>
        <v>0</v>
      </c>
      <c r="AC13" s="17">
        <f t="shared" si="5"/>
        <v>598</v>
      </c>
      <c r="AD13" s="17">
        <f t="shared" si="5"/>
        <v>0</v>
      </c>
      <c r="AE13" s="31">
        <f t="shared" si="5"/>
        <v>332</v>
      </c>
      <c r="AF13" s="31">
        <f t="shared" si="5"/>
        <v>930</v>
      </c>
    </row>
    <row r="14" spans="2:32" ht="23.1" customHeight="1" x14ac:dyDescent="0.25">
      <c r="B14" s="23" t="s">
        <v>41</v>
      </c>
      <c r="C14" s="50">
        <v>41</v>
      </c>
      <c r="D14" s="50">
        <v>5</v>
      </c>
      <c r="E14" s="50">
        <v>4</v>
      </c>
      <c r="F14" s="50">
        <v>29</v>
      </c>
      <c r="G14" s="50">
        <v>1</v>
      </c>
      <c r="H14" s="50">
        <v>0</v>
      </c>
      <c r="I14" s="50">
        <v>3</v>
      </c>
      <c r="J14" s="50">
        <v>1</v>
      </c>
      <c r="K14" s="50">
        <v>2</v>
      </c>
      <c r="L14" s="50">
        <v>0</v>
      </c>
      <c r="M14" s="50">
        <v>220</v>
      </c>
      <c r="N14" s="50">
        <v>0</v>
      </c>
      <c r="O14" s="15">
        <f t="shared" si="0"/>
        <v>86</v>
      </c>
      <c r="P14" s="15">
        <f t="shared" si="1"/>
        <v>306</v>
      </c>
      <c r="R14" s="1" t="s">
        <v>10</v>
      </c>
      <c r="S14" s="17">
        <f t="shared" ref="S14:AF14" si="6">SUM(C26:C29)</f>
        <v>150</v>
      </c>
      <c r="T14" s="17">
        <f t="shared" si="6"/>
        <v>69</v>
      </c>
      <c r="U14" s="17">
        <f t="shared" si="6"/>
        <v>30</v>
      </c>
      <c r="V14" s="17">
        <f t="shared" si="6"/>
        <v>80</v>
      </c>
      <c r="W14" s="17">
        <f t="shared" si="6"/>
        <v>1</v>
      </c>
      <c r="X14" s="17">
        <f t="shared" si="6"/>
        <v>0</v>
      </c>
      <c r="Y14" s="17">
        <f t="shared" si="6"/>
        <v>23</v>
      </c>
      <c r="Z14" s="17">
        <f t="shared" si="6"/>
        <v>9</v>
      </c>
      <c r="AA14" s="17">
        <f t="shared" si="6"/>
        <v>28</v>
      </c>
      <c r="AB14" s="17">
        <f t="shared" si="6"/>
        <v>0</v>
      </c>
      <c r="AC14" s="17">
        <f t="shared" si="6"/>
        <v>456</v>
      </c>
      <c r="AD14" s="17">
        <f t="shared" si="6"/>
        <v>0</v>
      </c>
      <c r="AE14" s="31">
        <f t="shared" si="6"/>
        <v>390</v>
      </c>
      <c r="AF14" s="31">
        <f t="shared" si="6"/>
        <v>846</v>
      </c>
    </row>
    <row r="15" spans="2:32" ht="23.1" customHeight="1" x14ac:dyDescent="0.25">
      <c r="B15" s="23" t="s">
        <v>42</v>
      </c>
      <c r="C15" s="50">
        <v>42</v>
      </c>
      <c r="D15" s="50">
        <v>7</v>
      </c>
      <c r="E15" s="50">
        <v>9</v>
      </c>
      <c r="F15" s="50">
        <v>33</v>
      </c>
      <c r="G15" s="50">
        <v>0</v>
      </c>
      <c r="H15" s="50">
        <v>0</v>
      </c>
      <c r="I15" s="50">
        <v>1</v>
      </c>
      <c r="J15" s="50">
        <v>1</v>
      </c>
      <c r="K15" s="50">
        <v>5</v>
      </c>
      <c r="L15" s="50">
        <v>0</v>
      </c>
      <c r="M15" s="50">
        <v>170</v>
      </c>
      <c r="N15" s="50">
        <v>0</v>
      </c>
      <c r="O15" s="15">
        <f t="shared" si="0"/>
        <v>98</v>
      </c>
      <c r="P15" s="15">
        <f t="shared" si="1"/>
        <v>268</v>
      </c>
      <c r="R15" s="1" t="s">
        <v>11</v>
      </c>
      <c r="S15" s="17">
        <f t="shared" ref="S15:AF15" si="7">SUM(C30:C33)</f>
        <v>165</v>
      </c>
      <c r="T15" s="17">
        <f t="shared" si="7"/>
        <v>21</v>
      </c>
      <c r="U15" s="17">
        <f t="shared" si="7"/>
        <v>15</v>
      </c>
      <c r="V15" s="17">
        <f t="shared" si="7"/>
        <v>51</v>
      </c>
      <c r="W15" s="17">
        <f t="shared" si="7"/>
        <v>0</v>
      </c>
      <c r="X15" s="17">
        <f t="shared" si="7"/>
        <v>0</v>
      </c>
      <c r="Y15" s="17">
        <f t="shared" si="7"/>
        <v>31</v>
      </c>
      <c r="Z15" s="17">
        <f t="shared" si="7"/>
        <v>8</v>
      </c>
      <c r="AA15" s="17">
        <f t="shared" si="7"/>
        <v>7</v>
      </c>
      <c r="AB15" s="17">
        <f t="shared" si="7"/>
        <v>1</v>
      </c>
      <c r="AC15" s="17">
        <f t="shared" si="7"/>
        <v>415</v>
      </c>
      <c r="AD15" s="17">
        <f t="shared" si="7"/>
        <v>0</v>
      </c>
      <c r="AE15" s="31">
        <f t="shared" si="7"/>
        <v>299</v>
      </c>
      <c r="AF15" s="31">
        <f t="shared" si="7"/>
        <v>714</v>
      </c>
    </row>
    <row r="16" spans="2:32" ht="23.1" customHeight="1" x14ac:dyDescent="0.25">
      <c r="B16" s="23" t="s">
        <v>43</v>
      </c>
      <c r="C16" s="50">
        <v>45</v>
      </c>
      <c r="D16" s="50">
        <v>1</v>
      </c>
      <c r="E16" s="50">
        <v>3</v>
      </c>
      <c r="F16" s="50">
        <v>32</v>
      </c>
      <c r="G16" s="50">
        <v>1</v>
      </c>
      <c r="H16" s="50">
        <v>0</v>
      </c>
      <c r="I16" s="50">
        <v>4</v>
      </c>
      <c r="J16" s="50">
        <v>3</v>
      </c>
      <c r="K16" s="50">
        <v>3</v>
      </c>
      <c r="L16" s="50">
        <v>0</v>
      </c>
      <c r="M16" s="50">
        <v>185</v>
      </c>
      <c r="N16" s="50">
        <v>0</v>
      </c>
      <c r="O16" s="15">
        <f t="shared" si="0"/>
        <v>92</v>
      </c>
      <c r="P16" s="15">
        <f t="shared" si="1"/>
        <v>277</v>
      </c>
      <c r="R16" s="1" t="s">
        <v>12</v>
      </c>
      <c r="S16" s="17">
        <f t="shared" ref="S16:AF16" si="8">SUM(C34:C37)</f>
        <v>82</v>
      </c>
      <c r="T16" s="17">
        <f t="shared" si="8"/>
        <v>148</v>
      </c>
      <c r="U16" s="17">
        <f t="shared" si="8"/>
        <v>33</v>
      </c>
      <c r="V16" s="17">
        <f t="shared" si="8"/>
        <v>90</v>
      </c>
      <c r="W16" s="17">
        <f t="shared" si="8"/>
        <v>0</v>
      </c>
      <c r="X16" s="17">
        <f t="shared" si="8"/>
        <v>3</v>
      </c>
      <c r="Y16" s="17">
        <f t="shared" si="8"/>
        <v>24</v>
      </c>
      <c r="Z16" s="17">
        <f t="shared" si="8"/>
        <v>8</v>
      </c>
      <c r="AA16" s="17">
        <f t="shared" si="8"/>
        <v>6</v>
      </c>
      <c r="AB16" s="17">
        <f t="shared" si="8"/>
        <v>1</v>
      </c>
      <c r="AC16" s="17">
        <f t="shared" si="8"/>
        <v>316</v>
      </c>
      <c r="AD16" s="17">
        <f t="shared" si="8"/>
        <v>0</v>
      </c>
      <c r="AE16" s="31">
        <f t="shared" si="8"/>
        <v>395</v>
      </c>
      <c r="AF16" s="31">
        <f t="shared" si="8"/>
        <v>711</v>
      </c>
    </row>
    <row r="17" spans="2:32" ht="23.1" customHeight="1" x14ac:dyDescent="0.25">
      <c r="B17" s="23" t="s">
        <v>44</v>
      </c>
      <c r="C17" s="50">
        <v>36</v>
      </c>
      <c r="D17" s="50">
        <v>5</v>
      </c>
      <c r="E17" s="50">
        <v>6</v>
      </c>
      <c r="F17" s="50">
        <v>34</v>
      </c>
      <c r="G17" s="50">
        <v>0</v>
      </c>
      <c r="H17" s="50">
        <v>1</v>
      </c>
      <c r="I17" s="50">
        <v>2</v>
      </c>
      <c r="J17" s="50">
        <v>0</v>
      </c>
      <c r="K17" s="50">
        <v>3</v>
      </c>
      <c r="L17" s="50">
        <v>0</v>
      </c>
      <c r="M17" s="50">
        <v>185</v>
      </c>
      <c r="N17" s="50">
        <v>0</v>
      </c>
      <c r="O17" s="15">
        <f t="shared" si="0"/>
        <v>87</v>
      </c>
      <c r="P17" s="15">
        <f t="shared" si="1"/>
        <v>272</v>
      </c>
      <c r="R17" s="1" t="s">
        <v>13</v>
      </c>
      <c r="S17" s="17">
        <f t="shared" ref="S17:AF17" si="9">SUM(C38:C41)</f>
        <v>150</v>
      </c>
      <c r="T17" s="17">
        <f t="shared" si="9"/>
        <v>132</v>
      </c>
      <c r="U17" s="17">
        <f t="shared" si="9"/>
        <v>20</v>
      </c>
      <c r="V17" s="17">
        <f t="shared" si="9"/>
        <v>50</v>
      </c>
      <c r="W17" s="17">
        <f t="shared" si="9"/>
        <v>0</v>
      </c>
      <c r="X17" s="17">
        <f t="shared" si="9"/>
        <v>0</v>
      </c>
      <c r="Y17" s="17">
        <f t="shared" si="9"/>
        <v>26</v>
      </c>
      <c r="Z17" s="17">
        <f t="shared" si="9"/>
        <v>9</v>
      </c>
      <c r="AA17" s="17">
        <f t="shared" si="9"/>
        <v>10</v>
      </c>
      <c r="AB17" s="17">
        <f t="shared" si="9"/>
        <v>0</v>
      </c>
      <c r="AC17" s="17">
        <f t="shared" si="9"/>
        <v>460</v>
      </c>
      <c r="AD17" s="17">
        <f t="shared" si="9"/>
        <v>0</v>
      </c>
      <c r="AE17" s="31">
        <f t="shared" si="9"/>
        <v>397</v>
      </c>
      <c r="AF17" s="31">
        <f t="shared" si="9"/>
        <v>857</v>
      </c>
    </row>
    <row r="18" spans="2:32" ht="23.1" customHeight="1" x14ac:dyDescent="0.25">
      <c r="B18" s="23" t="s">
        <v>45</v>
      </c>
      <c r="C18" s="50">
        <v>31</v>
      </c>
      <c r="D18" s="50">
        <v>10</v>
      </c>
      <c r="E18" s="50">
        <v>7</v>
      </c>
      <c r="F18" s="50">
        <v>15</v>
      </c>
      <c r="G18" s="50">
        <v>0</v>
      </c>
      <c r="H18" s="50">
        <v>0</v>
      </c>
      <c r="I18" s="50">
        <v>2</v>
      </c>
      <c r="J18" s="50">
        <v>5</v>
      </c>
      <c r="K18" s="50">
        <v>6</v>
      </c>
      <c r="L18" s="50">
        <v>0</v>
      </c>
      <c r="M18" s="50">
        <v>152</v>
      </c>
      <c r="N18" s="50">
        <v>0</v>
      </c>
      <c r="O18" s="15">
        <f t="shared" si="0"/>
        <v>76</v>
      </c>
      <c r="P18" s="15">
        <f t="shared" si="1"/>
        <v>228</v>
      </c>
      <c r="R18" s="1" t="s">
        <v>14</v>
      </c>
      <c r="S18" s="17">
        <f t="shared" ref="S18:AF18" si="10">SUM(C42:C45)</f>
        <v>132</v>
      </c>
      <c r="T18" s="17">
        <f t="shared" si="10"/>
        <v>134</v>
      </c>
      <c r="U18" s="17">
        <f t="shared" si="10"/>
        <v>23</v>
      </c>
      <c r="V18" s="17">
        <f t="shared" si="10"/>
        <v>70</v>
      </c>
      <c r="W18" s="17">
        <f t="shared" si="10"/>
        <v>0</v>
      </c>
      <c r="X18" s="17">
        <f t="shared" si="10"/>
        <v>0</v>
      </c>
      <c r="Y18" s="17">
        <f t="shared" si="10"/>
        <v>23</v>
      </c>
      <c r="Z18" s="17">
        <f t="shared" si="10"/>
        <v>12</v>
      </c>
      <c r="AA18" s="17">
        <f t="shared" si="10"/>
        <v>9</v>
      </c>
      <c r="AB18" s="17">
        <f t="shared" si="10"/>
        <v>1</v>
      </c>
      <c r="AC18" s="17">
        <f t="shared" si="10"/>
        <v>400</v>
      </c>
      <c r="AD18" s="17">
        <f t="shared" si="10"/>
        <v>1</v>
      </c>
      <c r="AE18" s="31">
        <f t="shared" si="10"/>
        <v>405</v>
      </c>
      <c r="AF18" s="31">
        <f t="shared" si="10"/>
        <v>805</v>
      </c>
    </row>
    <row r="19" spans="2:32" ht="23.1" customHeight="1" x14ac:dyDescent="0.25">
      <c r="B19" s="23" t="s">
        <v>46</v>
      </c>
      <c r="C19" s="50">
        <v>32</v>
      </c>
      <c r="D19" s="50">
        <v>13</v>
      </c>
      <c r="E19" s="50">
        <v>5</v>
      </c>
      <c r="F19" s="50">
        <v>24</v>
      </c>
      <c r="G19" s="50">
        <v>0</v>
      </c>
      <c r="H19" s="50">
        <v>0</v>
      </c>
      <c r="I19" s="50">
        <v>8</v>
      </c>
      <c r="J19" s="50">
        <v>3</v>
      </c>
      <c r="K19" s="50">
        <v>3</v>
      </c>
      <c r="L19" s="50">
        <v>0</v>
      </c>
      <c r="M19" s="50">
        <v>175</v>
      </c>
      <c r="N19" s="50">
        <v>0</v>
      </c>
      <c r="O19" s="15">
        <f t="shared" si="0"/>
        <v>88</v>
      </c>
      <c r="P19" s="15">
        <f t="shared" si="1"/>
        <v>263</v>
      </c>
      <c r="R19" s="1" t="s">
        <v>15</v>
      </c>
      <c r="S19" s="17">
        <f t="shared" ref="S19:AF19" si="11">SUM(C46:C49)</f>
        <v>226</v>
      </c>
      <c r="T19" s="17">
        <f t="shared" si="11"/>
        <v>145</v>
      </c>
      <c r="U19" s="17">
        <f t="shared" si="11"/>
        <v>25</v>
      </c>
      <c r="V19" s="17">
        <f t="shared" si="11"/>
        <v>60</v>
      </c>
      <c r="W19" s="17">
        <f t="shared" si="11"/>
        <v>1</v>
      </c>
      <c r="X19" s="17">
        <f t="shared" si="11"/>
        <v>0</v>
      </c>
      <c r="Y19" s="17">
        <f t="shared" si="11"/>
        <v>31</v>
      </c>
      <c r="Z19" s="17">
        <f t="shared" si="11"/>
        <v>11</v>
      </c>
      <c r="AA19" s="17">
        <f t="shared" si="11"/>
        <v>8</v>
      </c>
      <c r="AB19" s="17">
        <f t="shared" si="11"/>
        <v>0</v>
      </c>
      <c r="AC19" s="17">
        <f t="shared" si="11"/>
        <v>400</v>
      </c>
      <c r="AD19" s="17">
        <f t="shared" si="11"/>
        <v>0</v>
      </c>
      <c r="AE19" s="31">
        <f t="shared" si="11"/>
        <v>507</v>
      </c>
      <c r="AF19" s="31">
        <f t="shared" si="11"/>
        <v>907</v>
      </c>
    </row>
    <row r="20" spans="2:32" ht="23.1" customHeight="1" x14ac:dyDescent="0.25">
      <c r="B20" s="23" t="s">
        <v>47</v>
      </c>
      <c r="C20" s="50">
        <v>43</v>
      </c>
      <c r="D20" s="50">
        <v>7</v>
      </c>
      <c r="E20" s="50">
        <v>8</v>
      </c>
      <c r="F20" s="50">
        <v>19</v>
      </c>
      <c r="G20" s="50">
        <v>0</v>
      </c>
      <c r="H20" s="50">
        <v>0</v>
      </c>
      <c r="I20" s="50">
        <v>5</v>
      </c>
      <c r="J20" s="50">
        <v>2</v>
      </c>
      <c r="K20" s="50">
        <v>0</v>
      </c>
      <c r="L20" s="50">
        <v>0</v>
      </c>
      <c r="M20" s="50">
        <v>100</v>
      </c>
      <c r="N20" s="50">
        <v>0</v>
      </c>
      <c r="O20" s="15">
        <f t="shared" si="0"/>
        <v>84</v>
      </c>
      <c r="P20" s="15">
        <f t="shared" si="1"/>
        <v>184</v>
      </c>
      <c r="R20" s="1" t="s">
        <v>16</v>
      </c>
      <c r="S20" s="17">
        <f t="shared" ref="S20:AF20" si="12">SUM(C50:C53)</f>
        <v>365</v>
      </c>
      <c r="T20" s="17">
        <f t="shared" si="12"/>
        <v>201</v>
      </c>
      <c r="U20" s="17">
        <f t="shared" si="12"/>
        <v>40</v>
      </c>
      <c r="V20" s="17">
        <f t="shared" si="12"/>
        <v>79</v>
      </c>
      <c r="W20" s="17">
        <f t="shared" si="12"/>
        <v>1</v>
      </c>
      <c r="X20" s="17">
        <f t="shared" si="12"/>
        <v>0</v>
      </c>
      <c r="Y20" s="17">
        <f t="shared" si="12"/>
        <v>17</v>
      </c>
      <c r="Z20" s="17">
        <f t="shared" si="12"/>
        <v>3</v>
      </c>
      <c r="AA20" s="17">
        <f t="shared" si="12"/>
        <v>2</v>
      </c>
      <c r="AB20" s="17">
        <f t="shared" si="12"/>
        <v>1</v>
      </c>
      <c r="AC20" s="17">
        <f t="shared" si="12"/>
        <v>490</v>
      </c>
      <c r="AD20" s="17">
        <f t="shared" si="12"/>
        <v>0</v>
      </c>
      <c r="AE20" s="31">
        <f t="shared" si="12"/>
        <v>709</v>
      </c>
      <c r="AF20" s="31">
        <f t="shared" si="12"/>
        <v>1199</v>
      </c>
    </row>
    <row r="21" spans="2:32" ht="23.1" customHeight="1" x14ac:dyDescent="0.25">
      <c r="B21" s="23" t="s">
        <v>48</v>
      </c>
      <c r="C21" s="50">
        <v>37</v>
      </c>
      <c r="D21" s="50">
        <v>8</v>
      </c>
      <c r="E21" s="50">
        <v>8</v>
      </c>
      <c r="F21" s="50">
        <v>20</v>
      </c>
      <c r="G21" s="50">
        <v>0</v>
      </c>
      <c r="H21" s="50">
        <v>0</v>
      </c>
      <c r="I21" s="50">
        <v>6</v>
      </c>
      <c r="J21" s="50">
        <v>1</v>
      </c>
      <c r="K21" s="50">
        <v>1</v>
      </c>
      <c r="L21" s="50">
        <v>0</v>
      </c>
      <c r="M21" s="50">
        <v>180</v>
      </c>
      <c r="N21" s="50">
        <v>0</v>
      </c>
      <c r="O21" s="15">
        <f t="shared" si="0"/>
        <v>81</v>
      </c>
      <c r="P21" s="15">
        <f t="shared" si="1"/>
        <v>261</v>
      </c>
      <c r="R21" s="36" t="s">
        <v>20</v>
      </c>
      <c r="S21" s="34">
        <f t="shared" ref="S21:AF21" si="13">SUM(C54:C57)</f>
        <v>295</v>
      </c>
      <c r="T21" s="17">
        <f t="shared" si="13"/>
        <v>270</v>
      </c>
      <c r="U21" s="17">
        <f t="shared" si="13"/>
        <v>42</v>
      </c>
      <c r="V21" s="17">
        <f t="shared" si="13"/>
        <v>88</v>
      </c>
      <c r="W21" s="17">
        <f t="shared" si="13"/>
        <v>0</v>
      </c>
      <c r="X21" s="17">
        <f t="shared" si="13"/>
        <v>0</v>
      </c>
      <c r="Y21" s="17">
        <f t="shared" si="13"/>
        <v>14</v>
      </c>
      <c r="Z21" s="17">
        <f t="shared" si="13"/>
        <v>5</v>
      </c>
      <c r="AA21" s="17">
        <f t="shared" si="13"/>
        <v>4</v>
      </c>
      <c r="AB21" s="17">
        <f t="shared" si="13"/>
        <v>0</v>
      </c>
      <c r="AC21" s="17">
        <f t="shared" si="13"/>
        <v>510</v>
      </c>
      <c r="AD21" s="17">
        <f t="shared" si="13"/>
        <v>0</v>
      </c>
      <c r="AE21" s="31">
        <f t="shared" si="13"/>
        <v>718</v>
      </c>
      <c r="AF21" s="31">
        <f t="shared" si="13"/>
        <v>1228</v>
      </c>
    </row>
    <row r="22" spans="2:32" ht="23.1" customHeight="1" x14ac:dyDescent="0.25">
      <c r="B22" s="23" t="s">
        <v>49</v>
      </c>
      <c r="C22" s="50">
        <v>40</v>
      </c>
      <c r="D22" s="50">
        <v>9</v>
      </c>
      <c r="E22" s="50">
        <v>6</v>
      </c>
      <c r="F22" s="50">
        <v>20</v>
      </c>
      <c r="G22" s="50">
        <v>0</v>
      </c>
      <c r="H22" s="50">
        <v>0</v>
      </c>
      <c r="I22" s="50">
        <v>6</v>
      </c>
      <c r="J22" s="50">
        <v>2</v>
      </c>
      <c r="K22" s="50">
        <v>4</v>
      </c>
      <c r="L22" s="50">
        <v>0</v>
      </c>
      <c r="M22" s="50">
        <v>154</v>
      </c>
      <c r="N22" s="50">
        <v>0</v>
      </c>
      <c r="O22" s="15">
        <f t="shared" si="0"/>
        <v>87</v>
      </c>
      <c r="P22" s="15">
        <f t="shared" si="1"/>
        <v>241</v>
      </c>
      <c r="R22" s="38" t="s">
        <v>90</v>
      </c>
      <c r="S22" s="39">
        <f>MAX(S10:S12)</f>
        <v>187</v>
      </c>
      <c r="T22" s="39">
        <f t="shared" ref="T22:AF22" si="14">MAX(T10:T12)</f>
        <v>38</v>
      </c>
      <c r="U22" s="39">
        <f t="shared" si="14"/>
        <v>28</v>
      </c>
      <c r="V22" s="39">
        <f t="shared" si="14"/>
        <v>128</v>
      </c>
      <c r="W22" s="39">
        <f t="shared" si="14"/>
        <v>2</v>
      </c>
      <c r="X22" s="39">
        <f t="shared" si="14"/>
        <v>1</v>
      </c>
      <c r="Y22" s="39">
        <f t="shared" si="14"/>
        <v>21</v>
      </c>
      <c r="Z22" s="39">
        <f t="shared" si="14"/>
        <v>11</v>
      </c>
      <c r="AA22" s="39">
        <f t="shared" si="14"/>
        <v>17</v>
      </c>
      <c r="AB22" s="39">
        <f t="shared" si="14"/>
        <v>0</v>
      </c>
      <c r="AC22" s="39">
        <f t="shared" si="14"/>
        <v>760</v>
      </c>
      <c r="AD22" s="39">
        <f t="shared" si="14"/>
        <v>0</v>
      </c>
      <c r="AE22" s="40">
        <f t="shared" si="14"/>
        <v>363</v>
      </c>
      <c r="AF22" s="40">
        <f t="shared" si="14"/>
        <v>1123</v>
      </c>
    </row>
    <row r="23" spans="2:32" ht="23.1" customHeight="1" x14ac:dyDescent="0.25">
      <c r="B23" s="23" t="s">
        <v>50</v>
      </c>
      <c r="C23" s="50">
        <v>42</v>
      </c>
      <c r="D23" s="50">
        <v>7</v>
      </c>
      <c r="E23" s="50">
        <v>6</v>
      </c>
      <c r="F23" s="50">
        <v>17</v>
      </c>
      <c r="G23" s="50">
        <v>0</v>
      </c>
      <c r="H23" s="50">
        <v>0</v>
      </c>
      <c r="I23" s="50">
        <v>7</v>
      </c>
      <c r="J23" s="50">
        <v>1</v>
      </c>
      <c r="K23" s="50">
        <v>2</v>
      </c>
      <c r="L23" s="50">
        <v>0</v>
      </c>
      <c r="M23" s="50">
        <v>159</v>
      </c>
      <c r="N23" s="50">
        <v>0</v>
      </c>
      <c r="O23" s="15">
        <f t="shared" si="0"/>
        <v>82</v>
      </c>
      <c r="P23" s="15">
        <f t="shared" si="1"/>
        <v>241</v>
      </c>
      <c r="R23" s="38" t="s">
        <v>91</v>
      </c>
      <c r="S23" s="39">
        <f>MAX(S13:S18)</f>
        <v>168</v>
      </c>
      <c r="T23" s="39">
        <f t="shared" ref="T23:AF23" si="15">MAX(T13:T18)</f>
        <v>148</v>
      </c>
      <c r="U23" s="39">
        <f t="shared" si="15"/>
        <v>33</v>
      </c>
      <c r="V23" s="39">
        <f t="shared" si="15"/>
        <v>90</v>
      </c>
      <c r="W23" s="39">
        <f t="shared" si="15"/>
        <v>1</v>
      </c>
      <c r="X23" s="39">
        <f t="shared" si="15"/>
        <v>3</v>
      </c>
      <c r="Y23" s="39">
        <f t="shared" si="15"/>
        <v>31</v>
      </c>
      <c r="Z23" s="39">
        <f t="shared" si="15"/>
        <v>12</v>
      </c>
      <c r="AA23" s="39">
        <f t="shared" si="15"/>
        <v>28</v>
      </c>
      <c r="AB23" s="39">
        <f t="shared" si="15"/>
        <v>1</v>
      </c>
      <c r="AC23" s="39">
        <f t="shared" si="15"/>
        <v>598</v>
      </c>
      <c r="AD23" s="39">
        <f t="shared" si="15"/>
        <v>1</v>
      </c>
      <c r="AE23" s="40">
        <f t="shared" si="15"/>
        <v>405</v>
      </c>
      <c r="AF23" s="40">
        <f t="shared" si="15"/>
        <v>930</v>
      </c>
    </row>
    <row r="24" spans="2:32" ht="23.1" customHeight="1" x14ac:dyDescent="0.25">
      <c r="B24" s="23" t="s">
        <v>51</v>
      </c>
      <c r="C24" s="50">
        <v>45</v>
      </c>
      <c r="D24" s="50">
        <v>6</v>
      </c>
      <c r="E24" s="50">
        <v>3</v>
      </c>
      <c r="F24" s="50">
        <v>19</v>
      </c>
      <c r="G24" s="50">
        <v>0</v>
      </c>
      <c r="H24" s="50">
        <v>0</v>
      </c>
      <c r="I24" s="50">
        <v>5</v>
      </c>
      <c r="J24" s="50">
        <v>1</v>
      </c>
      <c r="K24" s="50">
        <v>7</v>
      </c>
      <c r="L24" s="50">
        <v>0</v>
      </c>
      <c r="M24" s="50">
        <v>165</v>
      </c>
      <c r="N24" s="50">
        <v>0</v>
      </c>
      <c r="O24" s="15">
        <f t="shared" si="0"/>
        <v>86</v>
      </c>
      <c r="P24" s="15">
        <f t="shared" si="1"/>
        <v>251</v>
      </c>
      <c r="R24" s="38" t="s">
        <v>92</v>
      </c>
      <c r="S24" s="39">
        <f>MAX(S19:S21)</f>
        <v>365</v>
      </c>
      <c r="T24" s="39">
        <f t="shared" ref="T24:AF24" si="16">MAX(T19:T21)</f>
        <v>270</v>
      </c>
      <c r="U24" s="39">
        <f t="shared" si="16"/>
        <v>42</v>
      </c>
      <c r="V24" s="39">
        <f t="shared" si="16"/>
        <v>88</v>
      </c>
      <c r="W24" s="39">
        <f t="shared" si="16"/>
        <v>1</v>
      </c>
      <c r="X24" s="39">
        <f t="shared" si="16"/>
        <v>0</v>
      </c>
      <c r="Y24" s="39">
        <f t="shared" si="16"/>
        <v>31</v>
      </c>
      <c r="Z24" s="39">
        <f t="shared" si="16"/>
        <v>11</v>
      </c>
      <c r="AA24" s="39">
        <f t="shared" si="16"/>
        <v>8</v>
      </c>
      <c r="AB24" s="39">
        <f t="shared" si="16"/>
        <v>1</v>
      </c>
      <c r="AC24" s="39">
        <f t="shared" si="16"/>
        <v>510</v>
      </c>
      <c r="AD24" s="39">
        <f t="shared" si="16"/>
        <v>0</v>
      </c>
      <c r="AE24" s="40">
        <f t="shared" si="16"/>
        <v>718</v>
      </c>
      <c r="AF24" s="40">
        <f t="shared" si="16"/>
        <v>1228</v>
      </c>
    </row>
    <row r="25" spans="2:32" ht="23.1" customHeight="1" x14ac:dyDescent="0.25">
      <c r="B25" s="23" t="s">
        <v>52</v>
      </c>
      <c r="C25" s="50">
        <v>41</v>
      </c>
      <c r="D25" s="50">
        <v>3</v>
      </c>
      <c r="E25" s="50">
        <v>6</v>
      </c>
      <c r="F25" s="50">
        <v>16</v>
      </c>
      <c r="G25" s="50">
        <v>0</v>
      </c>
      <c r="H25" s="50">
        <v>0</v>
      </c>
      <c r="I25" s="50">
        <v>5</v>
      </c>
      <c r="J25" s="50">
        <v>2</v>
      </c>
      <c r="K25" s="50">
        <v>4</v>
      </c>
      <c r="L25" s="50">
        <v>0</v>
      </c>
      <c r="M25" s="50">
        <v>120</v>
      </c>
      <c r="N25" s="50">
        <v>0</v>
      </c>
      <c r="O25" s="15">
        <f t="shared" si="0"/>
        <v>77</v>
      </c>
      <c r="P25" s="15">
        <f t="shared" si="1"/>
        <v>197</v>
      </c>
      <c r="R25" s="37" t="s">
        <v>85</v>
      </c>
      <c r="S25" s="35">
        <f t="shared" ref="S25:AF25" si="17">SUM(S10:S12)</f>
        <v>494</v>
      </c>
      <c r="T25" s="16">
        <f t="shared" si="17"/>
        <v>91</v>
      </c>
      <c r="U25" s="16">
        <f t="shared" si="17"/>
        <v>72</v>
      </c>
      <c r="V25" s="16">
        <f t="shared" si="17"/>
        <v>270</v>
      </c>
      <c r="W25" s="16">
        <f t="shared" si="17"/>
        <v>4</v>
      </c>
      <c r="X25" s="16">
        <f t="shared" si="17"/>
        <v>1</v>
      </c>
      <c r="Y25" s="16">
        <f t="shared" si="17"/>
        <v>35</v>
      </c>
      <c r="Z25" s="16">
        <f t="shared" si="17"/>
        <v>22</v>
      </c>
      <c r="AA25" s="16">
        <f t="shared" si="17"/>
        <v>40</v>
      </c>
      <c r="AB25" s="16">
        <f t="shared" si="17"/>
        <v>0</v>
      </c>
      <c r="AC25" s="16">
        <f t="shared" si="17"/>
        <v>1952</v>
      </c>
      <c r="AD25" s="16">
        <f t="shared" si="17"/>
        <v>0</v>
      </c>
      <c r="AE25" s="32">
        <f t="shared" si="17"/>
        <v>1029</v>
      </c>
      <c r="AF25" s="32">
        <f t="shared" si="17"/>
        <v>2981</v>
      </c>
    </row>
    <row r="26" spans="2:32" ht="23.1" customHeight="1" x14ac:dyDescent="0.25">
      <c r="B26" s="23" t="s">
        <v>53</v>
      </c>
      <c r="C26" s="50">
        <v>30</v>
      </c>
      <c r="D26" s="50">
        <v>13</v>
      </c>
      <c r="E26" s="50">
        <v>3</v>
      </c>
      <c r="F26" s="50">
        <v>19</v>
      </c>
      <c r="G26" s="50">
        <v>0</v>
      </c>
      <c r="H26" s="50">
        <v>0</v>
      </c>
      <c r="I26" s="50">
        <v>4</v>
      </c>
      <c r="J26" s="50">
        <v>1</v>
      </c>
      <c r="K26" s="50">
        <v>3</v>
      </c>
      <c r="L26" s="50">
        <v>0</v>
      </c>
      <c r="M26" s="50">
        <v>121</v>
      </c>
      <c r="N26" s="50">
        <v>0</v>
      </c>
      <c r="O26" s="15">
        <f t="shared" si="0"/>
        <v>73</v>
      </c>
      <c r="P26" s="15">
        <f t="shared" si="1"/>
        <v>194</v>
      </c>
      <c r="R26" s="28" t="s">
        <v>86</v>
      </c>
      <c r="S26" s="16">
        <f t="shared" ref="S26:AF26" si="18">SUM(S13:S18)</f>
        <v>847</v>
      </c>
      <c r="T26" s="16">
        <f t="shared" si="18"/>
        <v>529</v>
      </c>
      <c r="U26" s="16">
        <f t="shared" si="18"/>
        <v>142</v>
      </c>
      <c r="V26" s="16">
        <f t="shared" si="18"/>
        <v>413</v>
      </c>
      <c r="W26" s="16">
        <f t="shared" si="18"/>
        <v>1</v>
      </c>
      <c r="X26" s="16">
        <f t="shared" si="18"/>
        <v>3</v>
      </c>
      <c r="Y26" s="16">
        <f t="shared" si="18"/>
        <v>150</v>
      </c>
      <c r="Z26" s="16">
        <f t="shared" si="18"/>
        <v>52</v>
      </c>
      <c r="AA26" s="16">
        <f t="shared" si="18"/>
        <v>77</v>
      </c>
      <c r="AB26" s="16">
        <f t="shared" si="18"/>
        <v>3</v>
      </c>
      <c r="AC26" s="16">
        <f t="shared" si="18"/>
        <v>2645</v>
      </c>
      <c r="AD26" s="16">
        <f t="shared" si="18"/>
        <v>1</v>
      </c>
      <c r="AE26" s="32">
        <f t="shared" si="18"/>
        <v>2218</v>
      </c>
      <c r="AF26" s="32">
        <f t="shared" si="18"/>
        <v>4863</v>
      </c>
    </row>
    <row r="27" spans="2:32" ht="23.1" customHeight="1" x14ac:dyDescent="0.25">
      <c r="B27" s="23" t="s">
        <v>54</v>
      </c>
      <c r="C27" s="50">
        <v>40</v>
      </c>
      <c r="D27" s="50">
        <v>5</v>
      </c>
      <c r="E27" s="50">
        <v>2</v>
      </c>
      <c r="F27" s="50">
        <v>13</v>
      </c>
      <c r="G27" s="50">
        <v>1</v>
      </c>
      <c r="H27" s="50">
        <v>0</v>
      </c>
      <c r="I27" s="50">
        <v>4</v>
      </c>
      <c r="J27" s="50">
        <v>3</v>
      </c>
      <c r="K27" s="50">
        <v>6</v>
      </c>
      <c r="L27" s="50">
        <v>0</v>
      </c>
      <c r="M27" s="50">
        <v>115</v>
      </c>
      <c r="N27" s="50">
        <v>0</v>
      </c>
      <c r="O27" s="15">
        <f t="shared" si="0"/>
        <v>74</v>
      </c>
      <c r="P27" s="15">
        <f t="shared" si="1"/>
        <v>189</v>
      </c>
      <c r="R27" s="29" t="s">
        <v>87</v>
      </c>
      <c r="S27" s="16">
        <f t="shared" ref="S27:AF27" si="19">SUM(S19:S21)</f>
        <v>886</v>
      </c>
      <c r="T27" s="16">
        <f t="shared" si="19"/>
        <v>616</v>
      </c>
      <c r="U27" s="16">
        <f t="shared" si="19"/>
        <v>107</v>
      </c>
      <c r="V27" s="16">
        <f t="shared" si="19"/>
        <v>227</v>
      </c>
      <c r="W27" s="16">
        <f t="shared" si="19"/>
        <v>2</v>
      </c>
      <c r="X27" s="16">
        <f t="shared" si="19"/>
        <v>0</v>
      </c>
      <c r="Y27" s="16">
        <f t="shared" si="19"/>
        <v>62</v>
      </c>
      <c r="Z27" s="16">
        <f t="shared" si="19"/>
        <v>19</v>
      </c>
      <c r="AA27" s="16">
        <f t="shared" si="19"/>
        <v>14</v>
      </c>
      <c r="AB27" s="16">
        <f t="shared" si="19"/>
        <v>1</v>
      </c>
      <c r="AC27" s="16">
        <f t="shared" si="19"/>
        <v>1400</v>
      </c>
      <c r="AD27" s="16">
        <f t="shared" si="19"/>
        <v>0</v>
      </c>
      <c r="AE27" s="32">
        <f t="shared" si="19"/>
        <v>1934</v>
      </c>
      <c r="AF27" s="32">
        <f t="shared" si="19"/>
        <v>3334</v>
      </c>
    </row>
    <row r="28" spans="2:32" ht="23.1" customHeight="1" x14ac:dyDescent="0.25">
      <c r="B28" s="23" t="s">
        <v>55</v>
      </c>
      <c r="C28" s="50">
        <v>50</v>
      </c>
      <c r="D28" s="50">
        <v>11</v>
      </c>
      <c r="E28" s="50">
        <v>15</v>
      </c>
      <c r="F28" s="50">
        <v>28</v>
      </c>
      <c r="G28" s="50">
        <v>0</v>
      </c>
      <c r="H28" s="50">
        <v>0</v>
      </c>
      <c r="I28" s="50">
        <v>10</v>
      </c>
      <c r="J28" s="50">
        <v>3</v>
      </c>
      <c r="K28" s="50">
        <v>12</v>
      </c>
      <c r="L28" s="50">
        <v>0</v>
      </c>
      <c r="M28" s="50">
        <v>140</v>
      </c>
      <c r="N28" s="50">
        <v>0</v>
      </c>
      <c r="O28" s="15">
        <f t="shared" si="0"/>
        <v>129</v>
      </c>
      <c r="P28" s="15">
        <f t="shared" si="1"/>
        <v>269</v>
      </c>
      <c r="R28" s="5" t="s">
        <v>17</v>
      </c>
      <c r="S28" s="16">
        <f t="shared" ref="S28:AF28" si="20">SUM(S10:S21)</f>
        <v>2227</v>
      </c>
      <c r="T28" s="16">
        <f t="shared" si="20"/>
        <v>1236</v>
      </c>
      <c r="U28" s="16">
        <f t="shared" si="20"/>
        <v>321</v>
      </c>
      <c r="V28" s="16">
        <f t="shared" si="20"/>
        <v>910</v>
      </c>
      <c r="W28" s="16">
        <f t="shared" si="20"/>
        <v>7</v>
      </c>
      <c r="X28" s="16">
        <f t="shared" si="20"/>
        <v>4</v>
      </c>
      <c r="Y28" s="16">
        <f t="shared" si="20"/>
        <v>247</v>
      </c>
      <c r="Z28" s="16">
        <f t="shared" si="20"/>
        <v>93</v>
      </c>
      <c r="AA28" s="16">
        <f t="shared" si="20"/>
        <v>131</v>
      </c>
      <c r="AB28" s="16">
        <f t="shared" si="20"/>
        <v>4</v>
      </c>
      <c r="AC28" s="16">
        <f t="shared" si="20"/>
        <v>5997</v>
      </c>
      <c r="AD28" s="16">
        <f t="shared" si="20"/>
        <v>1</v>
      </c>
      <c r="AE28" s="32">
        <f t="shared" si="20"/>
        <v>5181</v>
      </c>
      <c r="AF28" s="32">
        <f t="shared" si="20"/>
        <v>11178</v>
      </c>
    </row>
    <row r="29" spans="2:32" ht="23.1" customHeight="1" x14ac:dyDescent="0.25">
      <c r="B29" s="23" t="s">
        <v>56</v>
      </c>
      <c r="C29" s="50">
        <v>30</v>
      </c>
      <c r="D29" s="50">
        <v>40</v>
      </c>
      <c r="E29" s="50">
        <v>10</v>
      </c>
      <c r="F29" s="50">
        <v>20</v>
      </c>
      <c r="G29" s="50">
        <v>0</v>
      </c>
      <c r="H29" s="50">
        <v>0</v>
      </c>
      <c r="I29" s="50">
        <v>5</v>
      </c>
      <c r="J29" s="50">
        <v>2</v>
      </c>
      <c r="K29" s="50">
        <v>7</v>
      </c>
      <c r="L29" s="50">
        <v>0</v>
      </c>
      <c r="M29" s="50">
        <v>80</v>
      </c>
      <c r="N29" s="50">
        <v>0</v>
      </c>
      <c r="O29" s="15">
        <f t="shared" si="0"/>
        <v>114</v>
      </c>
      <c r="P29" s="15">
        <f t="shared" si="1"/>
        <v>194</v>
      </c>
      <c r="R29"/>
      <c r="S29" s="20"/>
      <c r="T29" s="19"/>
    </row>
    <row r="30" spans="2:32" ht="23.1" customHeight="1" x14ac:dyDescent="0.25">
      <c r="B30" s="23" t="s">
        <v>57</v>
      </c>
      <c r="C30" s="50">
        <v>34</v>
      </c>
      <c r="D30" s="50">
        <v>10</v>
      </c>
      <c r="E30" s="50">
        <v>4</v>
      </c>
      <c r="F30" s="50">
        <v>13</v>
      </c>
      <c r="G30" s="50">
        <v>0</v>
      </c>
      <c r="H30" s="50">
        <v>0</v>
      </c>
      <c r="I30" s="50">
        <v>1</v>
      </c>
      <c r="J30" s="50">
        <v>1</v>
      </c>
      <c r="K30" s="50">
        <v>1</v>
      </c>
      <c r="L30" s="50">
        <v>0</v>
      </c>
      <c r="M30" s="50">
        <v>110</v>
      </c>
      <c r="N30" s="50">
        <v>0</v>
      </c>
      <c r="O30" s="15">
        <f t="shared" si="0"/>
        <v>64</v>
      </c>
      <c r="P30" s="15">
        <f t="shared" si="1"/>
        <v>174</v>
      </c>
    </row>
    <row r="31" spans="2:32" ht="23.1" customHeight="1" x14ac:dyDescent="0.25">
      <c r="B31" s="24" t="s">
        <v>58</v>
      </c>
      <c r="C31" s="50">
        <v>36</v>
      </c>
      <c r="D31" s="50">
        <v>1</v>
      </c>
      <c r="E31" s="50">
        <v>5</v>
      </c>
      <c r="F31" s="50">
        <v>16</v>
      </c>
      <c r="G31" s="50">
        <v>0</v>
      </c>
      <c r="H31" s="50">
        <v>0</v>
      </c>
      <c r="I31" s="50">
        <v>13</v>
      </c>
      <c r="J31" s="50">
        <v>1</v>
      </c>
      <c r="K31" s="50">
        <v>1</v>
      </c>
      <c r="L31" s="50">
        <v>0</v>
      </c>
      <c r="M31" s="50">
        <v>105</v>
      </c>
      <c r="N31" s="50">
        <v>0</v>
      </c>
      <c r="O31" s="15">
        <f t="shared" si="0"/>
        <v>73</v>
      </c>
      <c r="P31" s="15">
        <f t="shared" si="1"/>
        <v>178</v>
      </c>
    </row>
    <row r="32" spans="2:32" ht="23.1" customHeight="1" x14ac:dyDescent="0.25">
      <c r="B32" s="24" t="s">
        <v>59</v>
      </c>
      <c r="C32" s="50">
        <v>63</v>
      </c>
      <c r="D32" s="50">
        <v>6</v>
      </c>
      <c r="E32" s="50">
        <v>4</v>
      </c>
      <c r="F32" s="50">
        <v>13</v>
      </c>
      <c r="G32" s="50">
        <v>0</v>
      </c>
      <c r="H32" s="50">
        <v>0</v>
      </c>
      <c r="I32" s="50">
        <v>10</v>
      </c>
      <c r="J32" s="50">
        <v>3</v>
      </c>
      <c r="K32" s="50">
        <v>5</v>
      </c>
      <c r="L32" s="50">
        <v>0</v>
      </c>
      <c r="M32" s="50">
        <v>100</v>
      </c>
      <c r="N32" s="50">
        <v>0</v>
      </c>
      <c r="O32" s="15">
        <f t="shared" si="0"/>
        <v>104</v>
      </c>
      <c r="P32" s="15">
        <f t="shared" si="1"/>
        <v>204</v>
      </c>
    </row>
    <row r="33" spans="2:20" ht="23.1" customHeight="1" x14ac:dyDescent="0.25">
      <c r="B33" s="23" t="s">
        <v>60</v>
      </c>
      <c r="C33" s="50">
        <v>32</v>
      </c>
      <c r="D33" s="50">
        <v>4</v>
      </c>
      <c r="E33" s="50">
        <v>2</v>
      </c>
      <c r="F33" s="50">
        <v>9</v>
      </c>
      <c r="G33" s="50">
        <v>0</v>
      </c>
      <c r="H33" s="50">
        <v>0</v>
      </c>
      <c r="I33" s="50">
        <v>7</v>
      </c>
      <c r="J33" s="50">
        <v>3</v>
      </c>
      <c r="K33" s="50">
        <v>0</v>
      </c>
      <c r="L33" s="50">
        <v>1</v>
      </c>
      <c r="M33" s="50">
        <v>100</v>
      </c>
      <c r="N33" s="50">
        <v>0</v>
      </c>
      <c r="O33" s="15">
        <f t="shared" si="0"/>
        <v>58</v>
      </c>
      <c r="P33" s="15">
        <f t="shared" si="1"/>
        <v>158</v>
      </c>
    </row>
    <row r="34" spans="2:20" ht="23.1" customHeight="1" x14ac:dyDescent="0.25">
      <c r="B34" s="24" t="s">
        <v>61</v>
      </c>
      <c r="C34" s="50">
        <v>15</v>
      </c>
      <c r="D34" s="50">
        <v>46</v>
      </c>
      <c r="E34" s="50">
        <v>12</v>
      </c>
      <c r="F34" s="50">
        <v>25</v>
      </c>
      <c r="G34" s="50">
        <v>0</v>
      </c>
      <c r="H34" s="50">
        <v>3</v>
      </c>
      <c r="I34" s="50">
        <v>3</v>
      </c>
      <c r="J34" s="50">
        <v>2</v>
      </c>
      <c r="K34" s="50">
        <v>0</v>
      </c>
      <c r="L34" s="50">
        <v>1</v>
      </c>
      <c r="M34" s="50">
        <v>100</v>
      </c>
      <c r="N34" s="50">
        <v>0</v>
      </c>
      <c r="O34" s="15">
        <f t="shared" si="0"/>
        <v>107</v>
      </c>
      <c r="P34" s="15">
        <f t="shared" si="1"/>
        <v>207</v>
      </c>
    </row>
    <row r="35" spans="2:20" ht="23.1" customHeight="1" x14ac:dyDescent="0.25">
      <c r="B35" s="24" t="s">
        <v>62</v>
      </c>
      <c r="C35" s="50">
        <v>23</v>
      </c>
      <c r="D35" s="50">
        <v>31</v>
      </c>
      <c r="E35" s="50">
        <v>11</v>
      </c>
      <c r="F35" s="50">
        <v>34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0</v>
      </c>
      <c r="M35" s="50">
        <v>73</v>
      </c>
      <c r="N35" s="50">
        <v>0</v>
      </c>
      <c r="O35" s="15">
        <f t="shared" si="0"/>
        <v>105</v>
      </c>
      <c r="P35" s="15">
        <f t="shared" si="1"/>
        <v>178</v>
      </c>
    </row>
    <row r="36" spans="2:20" ht="23.1" customHeight="1" x14ac:dyDescent="0.25">
      <c r="B36" s="24" t="s">
        <v>63</v>
      </c>
      <c r="C36" s="50">
        <v>22</v>
      </c>
      <c r="D36" s="50">
        <v>35</v>
      </c>
      <c r="E36" s="50">
        <v>3</v>
      </c>
      <c r="F36" s="50">
        <v>12</v>
      </c>
      <c r="G36" s="50">
        <v>0</v>
      </c>
      <c r="H36" s="50">
        <v>0</v>
      </c>
      <c r="I36" s="50">
        <v>14</v>
      </c>
      <c r="J36" s="50">
        <v>2</v>
      </c>
      <c r="K36" s="50">
        <v>2</v>
      </c>
      <c r="L36" s="50">
        <v>0</v>
      </c>
      <c r="M36" s="50">
        <v>73</v>
      </c>
      <c r="N36" s="50">
        <v>0</v>
      </c>
      <c r="O36" s="15">
        <f t="shared" si="0"/>
        <v>90</v>
      </c>
      <c r="P36" s="15">
        <f t="shared" si="1"/>
        <v>163</v>
      </c>
    </row>
    <row r="37" spans="2:20" ht="23.1" customHeight="1" x14ac:dyDescent="0.25">
      <c r="B37" s="23" t="s">
        <v>64</v>
      </c>
      <c r="C37" s="50">
        <v>22</v>
      </c>
      <c r="D37" s="50">
        <v>36</v>
      </c>
      <c r="E37" s="50">
        <v>7</v>
      </c>
      <c r="F37" s="50">
        <v>19</v>
      </c>
      <c r="G37" s="50">
        <v>0</v>
      </c>
      <c r="H37" s="50">
        <v>0</v>
      </c>
      <c r="I37" s="50">
        <v>3</v>
      </c>
      <c r="J37" s="50">
        <v>2</v>
      </c>
      <c r="K37" s="50">
        <v>4</v>
      </c>
      <c r="L37" s="50">
        <v>0</v>
      </c>
      <c r="M37" s="50">
        <v>70</v>
      </c>
      <c r="N37" s="50">
        <v>0</v>
      </c>
      <c r="O37" s="15">
        <f t="shared" si="0"/>
        <v>93</v>
      </c>
      <c r="P37" s="15">
        <f t="shared" si="1"/>
        <v>163</v>
      </c>
    </row>
    <row r="38" spans="2:20" ht="23.1" customHeight="1" x14ac:dyDescent="0.25">
      <c r="B38" s="24" t="s">
        <v>65</v>
      </c>
      <c r="C38" s="50">
        <v>31</v>
      </c>
      <c r="D38" s="50">
        <v>28</v>
      </c>
      <c r="E38" s="50">
        <v>7</v>
      </c>
      <c r="F38" s="50">
        <v>10</v>
      </c>
      <c r="G38" s="50">
        <v>0</v>
      </c>
      <c r="H38" s="50">
        <v>0</v>
      </c>
      <c r="I38" s="50">
        <v>4</v>
      </c>
      <c r="J38" s="50">
        <v>1</v>
      </c>
      <c r="K38" s="50">
        <v>2</v>
      </c>
      <c r="L38" s="50">
        <v>0</v>
      </c>
      <c r="M38" s="50">
        <v>110</v>
      </c>
      <c r="N38" s="50">
        <v>0</v>
      </c>
      <c r="O38" s="15">
        <f t="shared" si="0"/>
        <v>83</v>
      </c>
      <c r="P38" s="15">
        <f t="shared" si="1"/>
        <v>193</v>
      </c>
    </row>
    <row r="39" spans="2:20" ht="23.1" customHeight="1" x14ac:dyDescent="0.25">
      <c r="B39" s="24" t="s">
        <v>66</v>
      </c>
      <c r="C39" s="50">
        <v>34</v>
      </c>
      <c r="D39" s="50">
        <v>19</v>
      </c>
      <c r="E39" s="50">
        <v>5</v>
      </c>
      <c r="F39" s="50">
        <v>20</v>
      </c>
      <c r="G39" s="50">
        <v>0</v>
      </c>
      <c r="H39" s="50">
        <v>0</v>
      </c>
      <c r="I39" s="50">
        <v>7</v>
      </c>
      <c r="J39" s="50">
        <v>3</v>
      </c>
      <c r="K39" s="50">
        <v>2</v>
      </c>
      <c r="L39" s="50">
        <v>0</v>
      </c>
      <c r="M39" s="50">
        <v>135</v>
      </c>
      <c r="N39" s="50">
        <v>0</v>
      </c>
      <c r="O39" s="15">
        <f t="shared" si="0"/>
        <v>90</v>
      </c>
      <c r="P39" s="15">
        <f t="shared" si="1"/>
        <v>225</v>
      </c>
    </row>
    <row r="40" spans="2:20" ht="23.1" customHeight="1" x14ac:dyDescent="0.25">
      <c r="B40" s="24" t="s">
        <v>67</v>
      </c>
      <c r="C40" s="50">
        <v>25</v>
      </c>
      <c r="D40" s="50">
        <v>19</v>
      </c>
      <c r="E40" s="50">
        <v>5</v>
      </c>
      <c r="F40" s="50">
        <v>12</v>
      </c>
      <c r="G40" s="50">
        <v>0</v>
      </c>
      <c r="H40" s="50">
        <v>0</v>
      </c>
      <c r="I40" s="50">
        <v>9</v>
      </c>
      <c r="J40" s="50">
        <v>2</v>
      </c>
      <c r="K40" s="50">
        <v>2</v>
      </c>
      <c r="L40" s="50">
        <v>0</v>
      </c>
      <c r="M40" s="50">
        <v>115</v>
      </c>
      <c r="N40" s="50">
        <v>0</v>
      </c>
      <c r="O40" s="15">
        <f t="shared" si="0"/>
        <v>74</v>
      </c>
      <c r="P40" s="15">
        <f t="shared" si="1"/>
        <v>189</v>
      </c>
    </row>
    <row r="41" spans="2:20" ht="23.1" customHeight="1" x14ac:dyDescent="0.25">
      <c r="B41" s="23" t="s">
        <v>68</v>
      </c>
      <c r="C41" s="50">
        <v>60</v>
      </c>
      <c r="D41" s="50">
        <v>66</v>
      </c>
      <c r="E41" s="50">
        <v>3</v>
      </c>
      <c r="F41" s="50">
        <v>8</v>
      </c>
      <c r="G41" s="50">
        <v>0</v>
      </c>
      <c r="H41" s="50">
        <v>0</v>
      </c>
      <c r="I41" s="50">
        <v>6</v>
      </c>
      <c r="J41" s="50">
        <v>3</v>
      </c>
      <c r="K41" s="50">
        <v>4</v>
      </c>
      <c r="L41" s="50">
        <v>0</v>
      </c>
      <c r="M41" s="50">
        <v>100</v>
      </c>
      <c r="N41" s="50">
        <v>0</v>
      </c>
      <c r="O41" s="15">
        <f t="shared" si="0"/>
        <v>150</v>
      </c>
      <c r="P41" s="15">
        <f t="shared" si="1"/>
        <v>250</v>
      </c>
    </row>
    <row r="42" spans="2:20" ht="23.1" customHeight="1" x14ac:dyDescent="0.25">
      <c r="B42" s="24" t="s">
        <v>69</v>
      </c>
      <c r="C42" s="50">
        <v>24</v>
      </c>
      <c r="D42" s="50">
        <v>43</v>
      </c>
      <c r="E42" s="50">
        <v>10</v>
      </c>
      <c r="F42" s="50">
        <v>16</v>
      </c>
      <c r="G42" s="50">
        <v>0</v>
      </c>
      <c r="H42" s="50">
        <v>0</v>
      </c>
      <c r="I42" s="50">
        <v>8</v>
      </c>
      <c r="J42" s="50">
        <v>5</v>
      </c>
      <c r="K42" s="50">
        <v>2</v>
      </c>
      <c r="L42" s="50">
        <v>1</v>
      </c>
      <c r="M42" s="50">
        <v>103</v>
      </c>
      <c r="N42" s="50">
        <v>1</v>
      </c>
      <c r="O42" s="15">
        <f t="shared" si="0"/>
        <v>110</v>
      </c>
      <c r="P42" s="15">
        <f t="shared" si="1"/>
        <v>213</v>
      </c>
    </row>
    <row r="43" spans="2:20" ht="23.1" customHeight="1" x14ac:dyDescent="0.25">
      <c r="B43" s="23" t="s">
        <v>70</v>
      </c>
      <c r="C43" s="50">
        <v>28</v>
      </c>
      <c r="D43" s="50">
        <v>41</v>
      </c>
      <c r="E43" s="50">
        <v>5</v>
      </c>
      <c r="F43" s="50">
        <v>18</v>
      </c>
      <c r="G43" s="50">
        <v>0</v>
      </c>
      <c r="H43" s="50">
        <v>0</v>
      </c>
      <c r="I43" s="50">
        <v>5</v>
      </c>
      <c r="J43" s="50">
        <v>3</v>
      </c>
      <c r="K43" s="50">
        <v>0</v>
      </c>
      <c r="L43" s="50">
        <v>0</v>
      </c>
      <c r="M43" s="50">
        <v>82</v>
      </c>
      <c r="N43" s="50">
        <v>0</v>
      </c>
      <c r="O43" s="15">
        <f t="shared" si="0"/>
        <v>100</v>
      </c>
      <c r="P43" s="15">
        <f t="shared" si="1"/>
        <v>182</v>
      </c>
    </row>
    <row r="44" spans="2:20" ht="23.1" customHeight="1" x14ac:dyDescent="0.25">
      <c r="B44" s="25" t="s">
        <v>71</v>
      </c>
      <c r="C44" s="50">
        <v>30</v>
      </c>
      <c r="D44" s="50">
        <v>15</v>
      </c>
      <c r="E44" s="50">
        <v>3</v>
      </c>
      <c r="F44" s="50">
        <v>18</v>
      </c>
      <c r="G44" s="50">
        <v>0</v>
      </c>
      <c r="H44" s="50">
        <v>0</v>
      </c>
      <c r="I44" s="50">
        <v>4</v>
      </c>
      <c r="J44" s="50">
        <v>2</v>
      </c>
      <c r="K44" s="50">
        <v>3</v>
      </c>
      <c r="L44" s="50">
        <v>0</v>
      </c>
      <c r="M44" s="50">
        <v>80</v>
      </c>
      <c r="N44" s="50">
        <v>0</v>
      </c>
      <c r="O44" s="15">
        <f t="shared" si="0"/>
        <v>75</v>
      </c>
      <c r="P44" s="15">
        <f t="shared" si="1"/>
        <v>155</v>
      </c>
    </row>
    <row r="45" spans="2:20" ht="23.1" customHeight="1" x14ac:dyDescent="0.25">
      <c r="B45" s="23" t="s">
        <v>72</v>
      </c>
      <c r="C45" s="50">
        <v>50</v>
      </c>
      <c r="D45" s="50">
        <v>35</v>
      </c>
      <c r="E45" s="50">
        <v>5</v>
      </c>
      <c r="F45" s="50">
        <v>18</v>
      </c>
      <c r="G45" s="50">
        <v>0</v>
      </c>
      <c r="H45" s="50">
        <v>0</v>
      </c>
      <c r="I45" s="50">
        <v>6</v>
      </c>
      <c r="J45" s="50">
        <v>2</v>
      </c>
      <c r="K45" s="50">
        <v>4</v>
      </c>
      <c r="L45" s="50">
        <v>0</v>
      </c>
      <c r="M45" s="50">
        <v>135</v>
      </c>
      <c r="N45" s="50">
        <v>0</v>
      </c>
      <c r="O45" s="15">
        <f t="shared" si="0"/>
        <v>120</v>
      </c>
      <c r="P45" s="15">
        <f t="shared" si="1"/>
        <v>255</v>
      </c>
    </row>
    <row r="46" spans="2:20" ht="23.1" customHeight="1" x14ac:dyDescent="0.25">
      <c r="B46" s="24" t="s">
        <v>73</v>
      </c>
      <c r="C46" s="50">
        <v>52</v>
      </c>
      <c r="D46" s="50">
        <v>21</v>
      </c>
      <c r="E46" s="50">
        <v>6</v>
      </c>
      <c r="F46" s="50">
        <v>15</v>
      </c>
      <c r="G46" s="50">
        <v>1</v>
      </c>
      <c r="H46" s="50">
        <v>0</v>
      </c>
      <c r="I46" s="50">
        <v>6</v>
      </c>
      <c r="J46" s="50">
        <v>4</v>
      </c>
      <c r="K46" s="50">
        <v>2</v>
      </c>
      <c r="L46" s="50">
        <v>0</v>
      </c>
      <c r="M46" s="50">
        <v>120</v>
      </c>
      <c r="N46" s="50">
        <v>0</v>
      </c>
      <c r="O46" s="15">
        <f t="shared" si="0"/>
        <v>107</v>
      </c>
      <c r="P46" s="15">
        <f t="shared" si="1"/>
        <v>227</v>
      </c>
      <c r="R46" s="8"/>
      <c r="T46"/>
    </row>
    <row r="47" spans="2:20" ht="23.1" customHeight="1" x14ac:dyDescent="0.25">
      <c r="B47" s="24" t="s">
        <v>74</v>
      </c>
      <c r="C47" s="50">
        <v>54</v>
      </c>
      <c r="D47" s="50">
        <v>55</v>
      </c>
      <c r="E47" s="50">
        <v>3</v>
      </c>
      <c r="F47" s="50">
        <v>19</v>
      </c>
      <c r="G47" s="50">
        <v>0</v>
      </c>
      <c r="H47" s="50">
        <v>0</v>
      </c>
      <c r="I47" s="50">
        <v>15</v>
      </c>
      <c r="J47" s="50">
        <v>0</v>
      </c>
      <c r="K47" s="50">
        <v>3</v>
      </c>
      <c r="L47" s="50">
        <v>0</v>
      </c>
      <c r="M47" s="50">
        <v>100</v>
      </c>
      <c r="N47" s="50">
        <v>0</v>
      </c>
      <c r="O47" s="15">
        <f t="shared" si="0"/>
        <v>149</v>
      </c>
      <c r="P47" s="15">
        <f t="shared" si="1"/>
        <v>249</v>
      </c>
      <c r="R47" s="8"/>
      <c r="T47"/>
    </row>
    <row r="48" spans="2:20" ht="23.1" customHeight="1" x14ac:dyDescent="0.25">
      <c r="B48" s="24" t="s">
        <v>75</v>
      </c>
      <c r="C48" s="50">
        <v>50</v>
      </c>
      <c r="D48" s="50">
        <v>48</v>
      </c>
      <c r="E48" s="50">
        <v>9</v>
      </c>
      <c r="F48" s="50">
        <v>23</v>
      </c>
      <c r="G48" s="50">
        <v>0</v>
      </c>
      <c r="H48" s="50">
        <v>0</v>
      </c>
      <c r="I48" s="50">
        <v>6</v>
      </c>
      <c r="J48" s="50">
        <v>7</v>
      </c>
      <c r="K48" s="50">
        <v>3</v>
      </c>
      <c r="L48" s="50">
        <v>0</v>
      </c>
      <c r="M48" s="50">
        <v>100</v>
      </c>
      <c r="N48" s="50">
        <v>0</v>
      </c>
      <c r="O48" s="15">
        <f t="shared" si="0"/>
        <v>146</v>
      </c>
      <c r="P48" s="15">
        <f t="shared" si="1"/>
        <v>246</v>
      </c>
      <c r="R48" s="8"/>
      <c r="T48"/>
    </row>
    <row r="49" spans="2:20" ht="23.1" customHeight="1" x14ac:dyDescent="0.25">
      <c r="B49" s="23" t="s">
        <v>76</v>
      </c>
      <c r="C49" s="50">
        <v>70</v>
      </c>
      <c r="D49" s="50">
        <v>21</v>
      </c>
      <c r="E49" s="50">
        <v>7</v>
      </c>
      <c r="F49" s="50">
        <v>3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80</v>
      </c>
      <c r="N49" s="50">
        <v>0</v>
      </c>
      <c r="O49" s="15">
        <f t="shared" si="0"/>
        <v>105</v>
      </c>
      <c r="P49" s="15">
        <f t="shared" si="1"/>
        <v>185</v>
      </c>
      <c r="R49" s="8"/>
      <c r="T49"/>
    </row>
    <row r="50" spans="2:20" ht="23.1" customHeight="1" x14ac:dyDescent="0.25">
      <c r="B50" s="24" t="s">
        <v>77</v>
      </c>
      <c r="C50" s="50">
        <v>70</v>
      </c>
      <c r="D50" s="50">
        <v>30</v>
      </c>
      <c r="E50" s="50">
        <v>3</v>
      </c>
      <c r="F50" s="50">
        <v>16</v>
      </c>
      <c r="G50" s="50">
        <v>0</v>
      </c>
      <c r="H50" s="50">
        <v>0</v>
      </c>
      <c r="I50" s="50">
        <v>10</v>
      </c>
      <c r="J50" s="50">
        <v>1</v>
      </c>
      <c r="K50" s="50">
        <v>1</v>
      </c>
      <c r="L50" s="50">
        <v>0</v>
      </c>
      <c r="M50" s="50">
        <v>135</v>
      </c>
      <c r="N50" s="50">
        <v>0</v>
      </c>
      <c r="O50" s="15">
        <f t="shared" si="0"/>
        <v>131</v>
      </c>
      <c r="P50" s="15">
        <f t="shared" si="1"/>
        <v>266</v>
      </c>
      <c r="R50" s="8"/>
      <c r="T50"/>
    </row>
    <row r="51" spans="2:20" ht="23.1" customHeight="1" x14ac:dyDescent="0.25">
      <c r="B51" s="24" t="s">
        <v>78</v>
      </c>
      <c r="C51" s="50">
        <v>90</v>
      </c>
      <c r="D51" s="50">
        <v>45</v>
      </c>
      <c r="E51" s="50">
        <v>15</v>
      </c>
      <c r="F51" s="50">
        <v>7</v>
      </c>
      <c r="G51" s="50">
        <v>0</v>
      </c>
      <c r="H51" s="50">
        <v>0</v>
      </c>
      <c r="I51" s="50">
        <v>2</v>
      </c>
      <c r="J51" s="50">
        <v>0</v>
      </c>
      <c r="K51" s="50">
        <v>1</v>
      </c>
      <c r="L51" s="50">
        <v>1</v>
      </c>
      <c r="M51" s="50">
        <v>115</v>
      </c>
      <c r="N51" s="50">
        <v>0</v>
      </c>
      <c r="O51" s="15">
        <f t="shared" si="0"/>
        <v>161</v>
      </c>
      <c r="P51" s="15">
        <f t="shared" si="1"/>
        <v>276</v>
      </c>
      <c r="R51" s="8"/>
      <c r="T51"/>
    </row>
    <row r="52" spans="2:20" ht="23.1" customHeight="1" x14ac:dyDescent="0.25">
      <c r="B52" s="24" t="s">
        <v>79</v>
      </c>
      <c r="C52" s="50">
        <v>95</v>
      </c>
      <c r="D52" s="50">
        <v>51</v>
      </c>
      <c r="E52" s="50">
        <v>15</v>
      </c>
      <c r="F52" s="50">
        <v>26</v>
      </c>
      <c r="G52" s="50">
        <v>1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90</v>
      </c>
      <c r="N52" s="50">
        <v>0</v>
      </c>
      <c r="O52" s="15">
        <f t="shared" si="0"/>
        <v>191</v>
      </c>
      <c r="P52" s="15">
        <f t="shared" si="1"/>
        <v>281</v>
      </c>
      <c r="R52" s="8"/>
      <c r="T52"/>
    </row>
    <row r="53" spans="2:20" ht="23.1" customHeight="1" x14ac:dyDescent="0.25">
      <c r="B53" s="23" t="s">
        <v>80</v>
      </c>
      <c r="C53" s="50">
        <v>110</v>
      </c>
      <c r="D53" s="50">
        <v>75</v>
      </c>
      <c r="E53" s="50">
        <v>7</v>
      </c>
      <c r="F53" s="50">
        <v>30</v>
      </c>
      <c r="G53" s="50">
        <v>0</v>
      </c>
      <c r="H53" s="50">
        <v>0</v>
      </c>
      <c r="I53" s="50">
        <v>2</v>
      </c>
      <c r="J53" s="50">
        <v>2</v>
      </c>
      <c r="K53" s="50">
        <v>0</v>
      </c>
      <c r="L53" s="50">
        <v>0</v>
      </c>
      <c r="M53" s="50">
        <v>150</v>
      </c>
      <c r="N53" s="50">
        <v>0</v>
      </c>
      <c r="O53" s="15">
        <f t="shared" si="0"/>
        <v>226</v>
      </c>
      <c r="P53" s="15">
        <f t="shared" si="1"/>
        <v>376</v>
      </c>
      <c r="R53" s="8"/>
      <c r="T53"/>
    </row>
    <row r="54" spans="2:20" ht="23.1" customHeight="1" x14ac:dyDescent="0.25">
      <c r="B54" s="23" t="s">
        <v>81</v>
      </c>
      <c r="C54" s="50">
        <v>75</v>
      </c>
      <c r="D54" s="50">
        <v>45</v>
      </c>
      <c r="E54" s="50">
        <v>7</v>
      </c>
      <c r="F54" s="50">
        <v>17</v>
      </c>
      <c r="G54" s="50">
        <v>0</v>
      </c>
      <c r="H54" s="50">
        <v>0</v>
      </c>
      <c r="I54" s="50">
        <v>4</v>
      </c>
      <c r="J54" s="50">
        <v>0</v>
      </c>
      <c r="K54" s="50">
        <v>1</v>
      </c>
      <c r="L54" s="50">
        <v>0</v>
      </c>
      <c r="M54" s="50">
        <v>125</v>
      </c>
      <c r="N54" s="50">
        <v>0</v>
      </c>
      <c r="O54" s="15">
        <f t="shared" si="0"/>
        <v>149</v>
      </c>
      <c r="P54" s="15">
        <f t="shared" si="1"/>
        <v>274</v>
      </c>
      <c r="R54" s="8"/>
      <c r="T54"/>
    </row>
    <row r="55" spans="2:20" ht="23.1" customHeight="1" x14ac:dyDescent="0.25">
      <c r="B55" s="23" t="s">
        <v>82</v>
      </c>
      <c r="C55" s="50">
        <v>60</v>
      </c>
      <c r="D55" s="50">
        <v>50</v>
      </c>
      <c r="E55" s="50">
        <v>17</v>
      </c>
      <c r="F55" s="50">
        <v>15</v>
      </c>
      <c r="G55" s="50">
        <v>0</v>
      </c>
      <c r="H55" s="50">
        <v>0</v>
      </c>
      <c r="I55" s="50">
        <v>6</v>
      </c>
      <c r="J55" s="50">
        <v>3</v>
      </c>
      <c r="K55" s="50">
        <v>3</v>
      </c>
      <c r="L55" s="50">
        <v>0</v>
      </c>
      <c r="M55" s="50">
        <v>120</v>
      </c>
      <c r="N55" s="50">
        <v>0</v>
      </c>
      <c r="O55" s="15">
        <f t="shared" si="0"/>
        <v>154</v>
      </c>
      <c r="P55" s="15">
        <f t="shared" si="1"/>
        <v>274</v>
      </c>
      <c r="R55" s="8"/>
      <c r="T55"/>
    </row>
    <row r="56" spans="2:20" ht="23.1" customHeight="1" x14ac:dyDescent="0.25">
      <c r="B56" s="23" t="s">
        <v>83</v>
      </c>
      <c r="C56" s="50">
        <v>75</v>
      </c>
      <c r="D56" s="50">
        <v>75</v>
      </c>
      <c r="E56" s="50">
        <v>3</v>
      </c>
      <c r="F56" s="50">
        <v>11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140</v>
      </c>
      <c r="N56" s="50">
        <v>0</v>
      </c>
      <c r="O56" s="15">
        <f t="shared" si="0"/>
        <v>167</v>
      </c>
      <c r="P56" s="15">
        <f t="shared" si="1"/>
        <v>307</v>
      </c>
      <c r="R56" s="8"/>
      <c r="T56"/>
    </row>
    <row r="57" spans="2:20" ht="23.1" customHeight="1" x14ac:dyDescent="0.25">
      <c r="B57" s="23" t="s">
        <v>84</v>
      </c>
      <c r="C57" s="50">
        <v>85</v>
      </c>
      <c r="D57" s="50">
        <v>100</v>
      </c>
      <c r="E57" s="50">
        <v>15</v>
      </c>
      <c r="F57" s="50">
        <v>45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125</v>
      </c>
      <c r="N57" s="50">
        <v>0</v>
      </c>
      <c r="O57" s="15">
        <f t="shared" si="0"/>
        <v>248</v>
      </c>
      <c r="P57" s="15">
        <f t="shared" si="1"/>
        <v>373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2227</v>
      </c>
      <c r="D58" s="16">
        <f t="shared" si="21"/>
        <v>1236</v>
      </c>
      <c r="E58" s="16">
        <f t="shared" si="21"/>
        <v>321</v>
      </c>
      <c r="F58" s="16">
        <f t="shared" si="21"/>
        <v>910</v>
      </c>
      <c r="G58" s="16">
        <f t="shared" si="21"/>
        <v>7</v>
      </c>
      <c r="H58" s="16">
        <f t="shared" si="21"/>
        <v>4</v>
      </c>
      <c r="I58" s="16">
        <f t="shared" si="21"/>
        <v>247</v>
      </c>
      <c r="J58" s="16">
        <f t="shared" si="21"/>
        <v>93</v>
      </c>
      <c r="K58" s="16">
        <f t="shared" si="21"/>
        <v>131</v>
      </c>
      <c r="L58" s="16">
        <f t="shared" si="21"/>
        <v>4</v>
      </c>
      <c r="M58" s="16">
        <f t="shared" si="21"/>
        <v>5997</v>
      </c>
      <c r="N58" s="16">
        <f t="shared" si="21"/>
        <v>1</v>
      </c>
      <c r="O58" s="16">
        <f t="shared" si="21"/>
        <v>5181</v>
      </c>
      <c r="P58" s="16">
        <f t="shared" si="21"/>
        <v>11178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0.19923063159778134</v>
      </c>
      <c r="D59" s="43">
        <f t="shared" si="22"/>
        <v>0.11057434245840043</v>
      </c>
      <c r="E59" s="43">
        <f t="shared" si="22"/>
        <v>2.871712292002147E-2</v>
      </c>
      <c r="F59" s="43">
        <f t="shared" si="22"/>
        <v>8.1409912327786729E-2</v>
      </c>
      <c r="G59" s="43">
        <f t="shared" si="22"/>
        <v>6.2623009482912868E-4</v>
      </c>
      <c r="H59" s="43">
        <f t="shared" si="22"/>
        <v>3.5784576847378778E-4</v>
      </c>
      <c r="I59" s="43">
        <f t="shared" si="22"/>
        <v>2.2096976203256395E-2</v>
      </c>
      <c r="J59" s="43">
        <f t="shared" si="22"/>
        <v>8.3199141170155668E-3</v>
      </c>
      <c r="K59" s="43">
        <f t="shared" si="22"/>
        <v>1.1719448917516551E-2</v>
      </c>
      <c r="L59" s="43">
        <f t="shared" si="22"/>
        <v>3.5784576847378778E-4</v>
      </c>
      <c r="M59" s="43">
        <f t="shared" si="22"/>
        <v>0.53650026838432641</v>
      </c>
      <c r="N59" s="43">
        <f t="shared" si="22"/>
        <v>8.9461442118446945E-5</v>
      </c>
      <c r="R59" s="8"/>
      <c r="T59"/>
    </row>
    <row r="60" spans="2:20" ht="23.1" customHeight="1" x14ac:dyDescent="0.25">
      <c r="B60" s="42" t="s">
        <v>94</v>
      </c>
      <c r="C60" s="44">
        <f>C58/$O$58</f>
        <v>0.42983979926655086</v>
      </c>
      <c r="D60" s="44">
        <f t="shared" ref="D60:N60" si="23">D58/$O$58</f>
        <v>0.23856398378691374</v>
      </c>
      <c r="E60" s="44">
        <f t="shared" si="23"/>
        <v>6.195715112912565E-2</v>
      </c>
      <c r="F60" s="44">
        <f t="shared" si="23"/>
        <v>0.17564176799845591</v>
      </c>
      <c r="G60" s="44">
        <f t="shared" si="23"/>
        <v>1.3510905230650454E-3</v>
      </c>
      <c r="H60" s="44">
        <f t="shared" si="23"/>
        <v>7.7205172746574015E-4</v>
      </c>
      <c r="I60" s="44">
        <f t="shared" si="23"/>
        <v>4.767419417100946E-2</v>
      </c>
      <c r="J60" s="44">
        <f t="shared" si="23"/>
        <v>1.7950202663578461E-2</v>
      </c>
      <c r="K60" s="44">
        <f t="shared" si="23"/>
        <v>2.5284694074502991E-2</v>
      </c>
      <c r="L60" s="44">
        <f t="shared" si="23"/>
        <v>7.7205172746574015E-4</v>
      </c>
      <c r="M60" s="44"/>
      <c r="N60" s="44">
        <f t="shared" si="23"/>
        <v>1.9301293186643504E-4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J58" sqref="J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Kisaasi-Kyanja'!C3:G3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Kyanja-Kisaasi'!D5</f>
        <v>31.07.19</v>
      </c>
      <c r="E5" s="3"/>
      <c r="F5" s="41" t="s">
        <v>1</v>
      </c>
      <c r="G5" s="66" t="str">
        <f>'29.07 Kyanja -Kisaasi'!G5:H5</f>
        <v>Malcom Health center</v>
      </c>
      <c r="H5" s="67"/>
      <c r="I5" s="14"/>
      <c r="J5" s="2" t="s">
        <v>5</v>
      </c>
      <c r="K5" s="66" t="s">
        <v>181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'29.07 Kyanja -Kisaasi'!K6:L6</f>
        <v>Steven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122</v>
      </c>
      <c r="D10" s="50">
        <v>30</v>
      </c>
      <c r="E10" s="50">
        <v>9</v>
      </c>
      <c r="F10" s="50">
        <v>19</v>
      </c>
      <c r="G10" s="50">
        <v>0</v>
      </c>
      <c r="H10" s="50">
        <v>0</v>
      </c>
      <c r="I10" s="50">
        <v>2</v>
      </c>
      <c r="J10" s="50">
        <v>0</v>
      </c>
      <c r="K10" s="50">
        <v>2</v>
      </c>
      <c r="L10" s="50">
        <v>0</v>
      </c>
      <c r="M10" s="50">
        <v>304</v>
      </c>
      <c r="N10" s="50">
        <v>0</v>
      </c>
      <c r="O10" s="15">
        <f t="shared" ref="O10:O57" si="0">SUM(C10:L10,N10)</f>
        <v>184</v>
      </c>
      <c r="P10" s="15">
        <f t="shared" ref="P10:P57" si="1">SUM(C10:N10)</f>
        <v>488</v>
      </c>
      <c r="R10" s="1" t="s">
        <v>6</v>
      </c>
      <c r="S10" s="17">
        <f t="shared" ref="S10:AF10" si="2">SUM(C10:C13)</f>
        <v>522</v>
      </c>
      <c r="T10" s="17">
        <f t="shared" si="2"/>
        <v>99</v>
      </c>
      <c r="U10" s="17">
        <f t="shared" si="2"/>
        <v>38</v>
      </c>
      <c r="V10" s="17">
        <f t="shared" si="2"/>
        <v>72</v>
      </c>
      <c r="W10" s="17">
        <f t="shared" si="2"/>
        <v>1</v>
      </c>
      <c r="X10" s="17">
        <f t="shared" si="2"/>
        <v>0</v>
      </c>
      <c r="Y10" s="17">
        <f t="shared" si="2"/>
        <v>9</v>
      </c>
      <c r="Z10" s="17">
        <f t="shared" si="2"/>
        <v>0</v>
      </c>
      <c r="AA10" s="17">
        <f t="shared" si="2"/>
        <v>5</v>
      </c>
      <c r="AB10" s="17">
        <f t="shared" si="2"/>
        <v>0</v>
      </c>
      <c r="AC10" s="17">
        <f t="shared" si="2"/>
        <v>1209</v>
      </c>
      <c r="AD10" s="17">
        <f t="shared" si="2"/>
        <v>0</v>
      </c>
      <c r="AE10" s="31">
        <f t="shared" si="2"/>
        <v>746</v>
      </c>
      <c r="AF10" s="31">
        <f t="shared" si="2"/>
        <v>1955</v>
      </c>
    </row>
    <row r="11" spans="2:32" s="6" customFormat="1" ht="23.1" customHeight="1" x14ac:dyDescent="0.25">
      <c r="B11" s="23" t="s">
        <v>38</v>
      </c>
      <c r="C11" s="50">
        <v>140</v>
      </c>
      <c r="D11" s="50">
        <v>25</v>
      </c>
      <c r="E11" s="50">
        <v>9</v>
      </c>
      <c r="F11" s="50">
        <v>18</v>
      </c>
      <c r="G11" s="50">
        <v>0</v>
      </c>
      <c r="H11" s="50">
        <v>0</v>
      </c>
      <c r="I11" s="50">
        <v>3</v>
      </c>
      <c r="J11" s="50">
        <v>0</v>
      </c>
      <c r="K11" s="50">
        <v>2</v>
      </c>
      <c r="L11" s="50">
        <v>0</v>
      </c>
      <c r="M11" s="50">
        <v>347</v>
      </c>
      <c r="N11" s="50">
        <v>0</v>
      </c>
      <c r="O11" s="15">
        <f t="shared" si="0"/>
        <v>197</v>
      </c>
      <c r="P11" s="15">
        <f t="shared" si="1"/>
        <v>544</v>
      </c>
      <c r="R11" s="1" t="s">
        <v>7</v>
      </c>
      <c r="S11" s="17">
        <f t="shared" ref="S11:AF11" si="3">SUM(C14:C17)</f>
        <v>522</v>
      </c>
      <c r="T11" s="17">
        <f t="shared" si="3"/>
        <v>99</v>
      </c>
      <c r="U11" s="17">
        <f t="shared" si="3"/>
        <v>45</v>
      </c>
      <c r="V11" s="17">
        <f t="shared" si="3"/>
        <v>68</v>
      </c>
      <c r="W11" s="17">
        <f t="shared" si="3"/>
        <v>0</v>
      </c>
      <c r="X11" s="17">
        <f t="shared" si="3"/>
        <v>0</v>
      </c>
      <c r="Y11" s="17">
        <f t="shared" si="3"/>
        <v>14</v>
      </c>
      <c r="Z11" s="17">
        <f t="shared" si="3"/>
        <v>12</v>
      </c>
      <c r="AA11" s="17">
        <f t="shared" si="3"/>
        <v>10</v>
      </c>
      <c r="AB11" s="17">
        <f t="shared" si="3"/>
        <v>1</v>
      </c>
      <c r="AC11" s="17">
        <f t="shared" si="3"/>
        <v>1297</v>
      </c>
      <c r="AD11" s="17">
        <f t="shared" si="3"/>
        <v>0</v>
      </c>
      <c r="AE11" s="31">
        <f t="shared" si="3"/>
        <v>771</v>
      </c>
      <c r="AF11" s="31">
        <f t="shared" si="3"/>
        <v>2068</v>
      </c>
    </row>
    <row r="12" spans="2:32" ht="23.1" customHeight="1" x14ac:dyDescent="0.25">
      <c r="B12" s="23" t="s">
        <v>39</v>
      </c>
      <c r="C12" s="50">
        <v>140</v>
      </c>
      <c r="D12" s="50">
        <v>26</v>
      </c>
      <c r="E12" s="50">
        <v>9</v>
      </c>
      <c r="F12" s="50">
        <v>22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230</v>
      </c>
      <c r="N12" s="50">
        <v>0</v>
      </c>
      <c r="O12" s="15">
        <f t="shared" si="0"/>
        <v>199</v>
      </c>
      <c r="P12" s="15">
        <f t="shared" si="1"/>
        <v>429</v>
      </c>
      <c r="R12" s="1" t="s">
        <v>8</v>
      </c>
      <c r="S12" s="17">
        <f t="shared" ref="S12:AF12" si="4">SUM(C18:C21)</f>
        <v>284</v>
      </c>
      <c r="T12" s="17">
        <f t="shared" si="4"/>
        <v>134</v>
      </c>
      <c r="U12" s="17">
        <f t="shared" si="4"/>
        <v>47</v>
      </c>
      <c r="V12" s="17">
        <f t="shared" si="4"/>
        <v>49</v>
      </c>
      <c r="W12" s="17">
        <f t="shared" si="4"/>
        <v>0</v>
      </c>
      <c r="X12" s="17">
        <f t="shared" si="4"/>
        <v>0</v>
      </c>
      <c r="Y12" s="17">
        <f t="shared" si="4"/>
        <v>38</v>
      </c>
      <c r="Z12" s="17">
        <f t="shared" si="4"/>
        <v>10</v>
      </c>
      <c r="AA12" s="17">
        <f t="shared" si="4"/>
        <v>1</v>
      </c>
      <c r="AB12" s="17">
        <f t="shared" si="4"/>
        <v>1</v>
      </c>
      <c r="AC12" s="17">
        <f t="shared" si="4"/>
        <v>1415</v>
      </c>
      <c r="AD12" s="17">
        <f t="shared" si="4"/>
        <v>0</v>
      </c>
      <c r="AE12" s="31">
        <f t="shared" si="4"/>
        <v>564</v>
      </c>
      <c r="AF12" s="31">
        <f t="shared" si="4"/>
        <v>1979</v>
      </c>
    </row>
    <row r="13" spans="2:32" ht="23.1" customHeight="1" x14ac:dyDescent="0.25">
      <c r="B13" s="23" t="s">
        <v>40</v>
      </c>
      <c r="C13" s="50">
        <v>120</v>
      </c>
      <c r="D13" s="50">
        <v>18</v>
      </c>
      <c r="E13" s="50">
        <v>11</v>
      </c>
      <c r="F13" s="50">
        <v>13</v>
      </c>
      <c r="G13" s="50">
        <v>1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328</v>
      </c>
      <c r="N13" s="50">
        <v>0</v>
      </c>
      <c r="O13" s="15">
        <f t="shared" si="0"/>
        <v>166</v>
      </c>
      <c r="P13" s="15">
        <f t="shared" si="1"/>
        <v>494</v>
      </c>
      <c r="R13" s="1" t="s">
        <v>9</v>
      </c>
      <c r="S13" s="17">
        <f t="shared" ref="S13:AF13" si="5">SUM(C22:C25)</f>
        <v>253</v>
      </c>
      <c r="T13" s="17">
        <f t="shared" si="5"/>
        <v>122</v>
      </c>
      <c r="U13" s="17">
        <f t="shared" si="5"/>
        <v>39</v>
      </c>
      <c r="V13" s="17">
        <f t="shared" si="5"/>
        <v>51</v>
      </c>
      <c r="W13" s="17">
        <f t="shared" si="5"/>
        <v>0</v>
      </c>
      <c r="X13" s="17">
        <f t="shared" si="5"/>
        <v>0</v>
      </c>
      <c r="Y13" s="17">
        <f t="shared" si="5"/>
        <v>20</v>
      </c>
      <c r="Z13" s="17">
        <f t="shared" si="5"/>
        <v>13</v>
      </c>
      <c r="AA13" s="17">
        <f t="shared" si="5"/>
        <v>10</v>
      </c>
      <c r="AB13" s="17">
        <f t="shared" si="5"/>
        <v>4</v>
      </c>
      <c r="AC13" s="17">
        <f t="shared" si="5"/>
        <v>868</v>
      </c>
      <c r="AD13" s="17">
        <f t="shared" si="5"/>
        <v>0</v>
      </c>
      <c r="AE13" s="31">
        <f t="shared" si="5"/>
        <v>512</v>
      </c>
      <c r="AF13" s="31">
        <f t="shared" si="5"/>
        <v>1380</v>
      </c>
    </row>
    <row r="14" spans="2:32" ht="23.1" customHeight="1" x14ac:dyDescent="0.25">
      <c r="B14" s="23" t="s">
        <v>41</v>
      </c>
      <c r="C14" s="50">
        <v>148</v>
      </c>
      <c r="D14" s="50">
        <v>29</v>
      </c>
      <c r="E14" s="50">
        <v>13</v>
      </c>
      <c r="F14" s="50">
        <v>22</v>
      </c>
      <c r="G14" s="50">
        <v>0</v>
      </c>
      <c r="H14" s="50">
        <v>0</v>
      </c>
      <c r="I14" s="50">
        <v>4</v>
      </c>
      <c r="J14" s="50">
        <v>3</v>
      </c>
      <c r="K14" s="50">
        <v>1</v>
      </c>
      <c r="L14" s="50">
        <v>0</v>
      </c>
      <c r="M14" s="50">
        <v>280</v>
      </c>
      <c r="N14" s="50">
        <v>0</v>
      </c>
      <c r="O14" s="15">
        <f t="shared" si="0"/>
        <v>220</v>
      </c>
      <c r="P14" s="15">
        <f t="shared" si="1"/>
        <v>500</v>
      </c>
      <c r="R14" s="1" t="s">
        <v>10</v>
      </c>
      <c r="S14" s="17">
        <f t="shared" ref="S14:AF14" si="6">SUM(C26:C29)</f>
        <v>177</v>
      </c>
      <c r="T14" s="17">
        <f t="shared" si="6"/>
        <v>68</v>
      </c>
      <c r="U14" s="17">
        <f t="shared" si="6"/>
        <v>21</v>
      </c>
      <c r="V14" s="17">
        <f t="shared" si="6"/>
        <v>38</v>
      </c>
      <c r="W14" s="17">
        <f t="shared" si="6"/>
        <v>1</v>
      </c>
      <c r="X14" s="17">
        <f t="shared" si="6"/>
        <v>0</v>
      </c>
      <c r="Y14" s="17">
        <f t="shared" si="6"/>
        <v>30</v>
      </c>
      <c r="Z14" s="17">
        <f t="shared" si="6"/>
        <v>13</v>
      </c>
      <c r="AA14" s="17">
        <f t="shared" si="6"/>
        <v>7</v>
      </c>
      <c r="AB14" s="17">
        <f t="shared" si="6"/>
        <v>0</v>
      </c>
      <c r="AC14" s="17">
        <f t="shared" si="6"/>
        <v>823</v>
      </c>
      <c r="AD14" s="17">
        <f t="shared" si="6"/>
        <v>0</v>
      </c>
      <c r="AE14" s="31">
        <f t="shared" si="6"/>
        <v>355</v>
      </c>
      <c r="AF14" s="31">
        <f t="shared" si="6"/>
        <v>1178</v>
      </c>
    </row>
    <row r="15" spans="2:32" ht="23.1" customHeight="1" x14ac:dyDescent="0.25">
      <c r="B15" s="23" t="s">
        <v>42</v>
      </c>
      <c r="C15" s="50">
        <v>175</v>
      </c>
      <c r="D15" s="50">
        <v>28</v>
      </c>
      <c r="E15" s="50">
        <v>12</v>
      </c>
      <c r="F15" s="50">
        <v>25</v>
      </c>
      <c r="G15" s="50">
        <v>0</v>
      </c>
      <c r="H15" s="50">
        <v>0</v>
      </c>
      <c r="I15" s="50">
        <v>2</v>
      </c>
      <c r="J15" s="50">
        <v>1</v>
      </c>
      <c r="K15" s="50">
        <v>5</v>
      </c>
      <c r="L15" s="50">
        <v>1</v>
      </c>
      <c r="M15" s="50">
        <v>333</v>
      </c>
      <c r="N15" s="50">
        <v>0</v>
      </c>
      <c r="O15" s="15">
        <f t="shared" si="0"/>
        <v>249</v>
      </c>
      <c r="P15" s="15">
        <f t="shared" si="1"/>
        <v>582</v>
      </c>
      <c r="R15" s="1" t="s">
        <v>11</v>
      </c>
      <c r="S15" s="17">
        <f t="shared" ref="S15:AF15" si="7">SUM(C30:C33)</f>
        <v>176</v>
      </c>
      <c r="T15" s="17">
        <f t="shared" si="7"/>
        <v>72</v>
      </c>
      <c r="U15" s="17">
        <f t="shared" si="7"/>
        <v>31</v>
      </c>
      <c r="V15" s="17">
        <f t="shared" si="7"/>
        <v>44</v>
      </c>
      <c r="W15" s="17">
        <f t="shared" si="7"/>
        <v>0</v>
      </c>
      <c r="X15" s="17">
        <f t="shared" si="7"/>
        <v>0</v>
      </c>
      <c r="Y15" s="17">
        <f t="shared" si="7"/>
        <v>30</v>
      </c>
      <c r="Z15" s="17">
        <f t="shared" si="7"/>
        <v>12</v>
      </c>
      <c r="AA15" s="17">
        <f t="shared" si="7"/>
        <v>6</v>
      </c>
      <c r="AB15" s="17">
        <f t="shared" si="7"/>
        <v>1</v>
      </c>
      <c r="AC15" s="17">
        <f t="shared" si="7"/>
        <v>536</v>
      </c>
      <c r="AD15" s="17">
        <f t="shared" si="7"/>
        <v>0</v>
      </c>
      <c r="AE15" s="31">
        <f t="shared" si="7"/>
        <v>372</v>
      </c>
      <c r="AF15" s="31">
        <f t="shared" si="7"/>
        <v>908</v>
      </c>
    </row>
    <row r="16" spans="2:32" ht="23.1" customHeight="1" x14ac:dyDescent="0.25">
      <c r="B16" s="23" t="s">
        <v>43</v>
      </c>
      <c r="C16" s="50">
        <v>96</v>
      </c>
      <c r="D16" s="50">
        <v>22</v>
      </c>
      <c r="E16" s="50">
        <v>10</v>
      </c>
      <c r="F16" s="50">
        <v>7</v>
      </c>
      <c r="G16" s="50">
        <v>0</v>
      </c>
      <c r="H16" s="50">
        <v>0</v>
      </c>
      <c r="I16" s="50">
        <v>4</v>
      </c>
      <c r="J16" s="50">
        <v>5</v>
      </c>
      <c r="K16" s="50">
        <v>2</v>
      </c>
      <c r="L16" s="50">
        <v>0</v>
      </c>
      <c r="M16" s="50">
        <v>357</v>
      </c>
      <c r="N16" s="50">
        <v>0</v>
      </c>
      <c r="O16" s="15">
        <f t="shared" si="0"/>
        <v>146</v>
      </c>
      <c r="P16" s="15">
        <f t="shared" si="1"/>
        <v>503</v>
      </c>
      <c r="R16" s="1" t="s">
        <v>12</v>
      </c>
      <c r="S16" s="17">
        <f t="shared" ref="S16:AF16" si="8">SUM(C34:C37)</f>
        <v>138</v>
      </c>
      <c r="T16" s="17">
        <f t="shared" si="8"/>
        <v>55</v>
      </c>
      <c r="U16" s="17">
        <f t="shared" si="8"/>
        <v>23</v>
      </c>
      <c r="V16" s="17">
        <f t="shared" si="8"/>
        <v>31</v>
      </c>
      <c r="W16" s="17">
        <f t="shared" si="8"/>
        <v>0</v>
      </c>
      <c r="X16" s="17">
        <f t="shared" si="8"/>
        <v>0</v>
      </c>
      <c r="Y16" s="17">
        <f t="shared" si="8"/>
        <v>18</v>
      </c>
      <c r="Z16" s="17">
        <f t="shared" si="8"/>
        <v>10</v>
      </c>
      <c r="AA16" s="17">
        <f t="shared" si="8"/>
        <v>4</v>
      </c>
      <c r="AB16" s="17">
        <f t="shared" si="8"/>
        <v>1</v>
      </c>
      <c r="AC16" s="17">
        <f t="shared" si="8"/>
        <v>548</v>
      </c>
      <c r="AD16" s="17">
        <f t="shared" si="8"/>
        <v>0</v>
      </c>
      <c r="AE16" s="31">
        <f t="shared" si="8"/>
        <v>280</v>
      </c>
      <c r="AF16" s="31">
        <f t="shared" si="8"/>
        <v>828</v>
      </c>
    </row>
    <row r="17" spans="2:32" ht="23.1" customHeight="1" x14ac:dyDescent="0.25">
      <c r="B17" s="23" t="s">
        <v>44</v>
      </c>
      <c r="C17" s="50">
        <v>103</v>
      </c>
      <c r="D17" s="50">
        <v>20</v>
      </c>
      <c r="E17" s="50">
        <v>10</v>
      </c>
      <c r="F17" s="50">
        <v>14</v>
      </c>
      <c r="G17" s="50">
        <v>0</v>
      </c>
      <c r="H17" s="50">
        <v>0</v>
      </c>
      <c r="I17" s="50">
        <v>4</v>
      </c>
      <c r="J17" s="50">
        <v>3</v>
      </c>
      <c r="K17" s="50">
        <v>2</v>
      </c>
      <c r="L17" s="50">
        <v>0</v>
      </c>
      <c r="M17" s="50">
        <v>327</v>
      </c>
      <c r="N17" s="50">
        <v>0</v>
      </c>
      <c r="O17" s="15">
        <f t="shared" si="0"/>
        <v>156</v>
      </c>
      <c r="P17" s="15">
        <f t="shared" si="1"/>
        <v>483</v>
      </c>
      <c r="R17" s="1" t="s">
        <v>13</v>
      </c>
      <c r="S17" s="17">
        <f t="shared" ref="S17:AF17" si="9">SUM(C38:C41)</f>
        <v>166</v>
      </c>
      <c r="T17" s="17">
        <f t="shared" si="9"/>
        <v>60</v>
      </c>
      <c r="U17" s="17">
        <f t="shared" si="9"/>
        <v>25</v>
      </c>
      <c r="V17" s="17">
        <f t="shared" si="9"/>
        <v>39</v>
      </c>
      <c r="W17" s="17">
        <f t="shared" si="9"/>
        <v>6</v>
      </c>
      <c r="X17" s="17">
        <f t="shared" si="9"/>
        <v>2</v>
      </c>
      <c r="Y17" s="17">
        <f t="shared" si="9"/>
        <v>21</v>
      </c>
      <c r="Z17" s="17">
        <f t="shared" si="9"/>
        <v>9</v>
      </c>
      <c r="AA17" s="17">
        <f t="shared" si="9"/>
        <v>9</v>
      </c>
      <c r="AB17" s="17">
        <f t="shared" si="9"/>
        <v>1</v>
      </c>
      <c r="AC17" s="17">
        <f t="shared" si="9"/>
        <v>520</v>
      </c>
      <c r="AD17" s="17">
        <f t="shared" si="9"/>
        <v>0</v>
      </c>
      <c r="AE17" s="31">
        <f t="shared" si="9"/>
        <v>338</v>
      </c>
      <c r="AF17" s="31">
        <f t="shared" si="9"/>
        <v>858</v>
      </c>
    </row>
    <row r="18" spans="2:32" ht="23.1" customHeight="1" x14ac:dyDescent="0.25">
      <c r="B18" s="23" t="s">
        <v>45</v>
      </c>
      <c r="C18" s="50">
        <v>121</v>
      </c>
      <c r="D18" s="50">
        <v>29</v>
      </c>
      <c r="E18" s="50">
        <v>12</v>
      </c>
      <c r="F18" s="50">
        <v>13</v>
      </c>
      <c r="G18" s="50">
        <v>0</v>
      </c>
      <c r="H18" s="50">
        <v>0</v>
      </c>
      <c r="I18" s="50">
        <v>11</v>
      </c>
      <c r="J18" s="50">
        <v>1</v>
      </c>
      <c r="K18" s="50">
        <v>0</v>
      </c>
      <c r="L18" s="50">
        <v>1</v>
      </c>
      <c r="M18" s="50">
        <v>373</v>
      </c>
      <c r="N18" s="50">
        <v>0</v>
      </c>
      <c r="O18" s="15">
        <f t="shared" si="0"/>
        <v>188</v>
      </c>
      <c r="P18" s="15">
        <f t="shared" si="1"/>
        <v>561</v>
      </c>
      <c r="R18" s="1" t="s">
        <v>14</v>
      </c>
      <c r="S18" s="17">
        <f t="shared" ref="S18:AF18" si="10">SUM(C42:C45)</f>
        <v>129</v>
      </c>
      <c r="T18" s="17">
        <f t="shared" si="10"/>
        <v>70</v>
      </c>
      <c r="U18" s="17">
        <f t="shared" si="10"/>
        <v>22</v>
      </c>
      <c r="V18" s="17">
        <f t="shared" si="10"/>
        <v>28</v>
      </c>
      <c r="W18" s="17">
        <f t="shared" si="10"/>
        <v>0</v>
      </c>
      <c r="X18" s="17">
        <f t="shared" si="10"/>
        <v>0</v>
      </c>
      <c r="Y18" s="17">
        <f t="shared" si="10"/>
        <v>21</v>
      </c>
      <c r="Z18" s="17">
        <f t="shared" si="10"/>
        <v>13</v>
      </c>
      <c r="AA18" s="17">
        <f t="shared" si="10"/>
        <v>8</v>
      </c>
      <c r="AB18" s="17">
        <f t="shared" si="10"/>
        <v>1</v>
      </c>
      <c r="AC18" s="17">
        <f t="shared" si="10"/>
        <v>589</v>
      </c>
      <c r="AD18" s="17">
        <f t="shared" si="10"/>
        <v>0</v>
      </c>
      <c r="AE18" s="31">
        <f t="shared" si="10"/>
        <v>292</v>
      </c>
      <c r="AF18" s="31">
        <f t="shared" si="10"/>
        <v>881</v>
      </c>
    </row>
    <row r="19" spans="2:32" ht="23.1" customHeight="1" x14ac:dyDescent="0.25">
      <c r="B19" s="23" t="s">
        <v>46</v>
      </c>
      <c r="C19" s="50">
        <v>41</v>
      </c>
      <c r="D19" s="50">
        <v>14</v>
      </c>
      <c r="E19" s="50">
        <v>4</v>
      </c>
      <c r="F19" s="50">
        <v>9</v>
      </c>
      <c r="G19" s="50">
        <v>0</v>
      </c>
      <c r="H19" s="50">
        <v>0</v>
      </c>
      <c r="I19" s="50">
        <v>6</v>
      </c>
      <c r="J19" s="50">
        <v>4</v>
      </c>
      <c r="K19" s="50">
        <v>0</v>
      </c>
      <c r="L19" s="50">
        <v>0</v>
      </c>
      <c r="M19" s="50">
        <v>365</v>
      </c>
      <c r="N19" s="50">
        <v>0</v>
      </c>
      <c r="O19" s="15">
        <f t="shared" si="0"/>
        <v>78</v>
      </c>
      <c r="P19" s="15">
        <f t="shared" si="1"/>
        <v>443</v>
      </c>
      <c r="R19" s="1" t="s">
        <v>15</v>
      </c>
      <c r="S19" s="17">
        <f t="shared" ref="S19:AF19" si="11">SUM(C46:C49)</f>
        <v>273</v>
      </c>
      <c r="T19" s="17">
        <f t="shared" si="11"/>
        <v>61</v>
      </c>
      <c r="U19" s="17">
        <f t="shared" si="11"/>
        <v>43</v>
      </c>
      <c r="V19" s="17">
        <f t="shared" si="11"/>
        <v>53</v>
      </c>
      <c r="W19" s="17">
        <f t="shared" si="11"/>
        <v>0</v>
      </c>
      <c r="X19" s="17">
        <f t="shared" si="11"/>
        <v>0</v>
      </c>
      <c r="Y19" s="17">
        <f t="shared" si="11"/>
        <v>25</v>
      </c>
      <c r="Z19" s="17">
        <f t="shared" si="11"/>
        <v>11</v>
      </c>
      <c r="AA19" s="17">
        <f t="shared" si="11"/>
        <v>7</v>
      </c>
      <c r="AB19" s="17">
        <f t="shared" si="11"/>
        <v>2</v>
      </c>
      <c r="AC19" s="17">
        <f t="shared" si="11"/>
        <v>613</v>
      </c>
      <c r="AD19" s="17">
        <f t="shared" si="11"/>
        <v>0</v>
      </c>
      <c r="AE19" s="31">
        <f t="shared" si="11"/>
        <v>475</v>
      </c>
      <c r="AF19" s="31">
        <f t="shared" si="11"/>
        <v>1088</v>
      </c>
    </row>
    <row r="20" spans="2:32" ht="23.1" customHeight="1" x14ac:dyDescent="0.25">
      <c r="B20" s="23" t="s">
        <v>47</v>
      </c>
      <c r="C20" s="50">
        <v>64</v>
      </c>
      <c r="D20" s="50">
        <v>42</v>
      </c>
      <c r="E20" s="50">
        <v>14</v>
      </c>
      <c r="F20" s="50">
        <v>9</v>
      </c>
      <c r="G20" s="50">
        <v>0</v>
      </c>
      <c r="H20" s="50">
        <v>0</v>
      </c>
      <c r="I20" s="50">
        <v>12</v>
      </c>
      <c r="J20" s="50">
        <v>1</v>
      </c>
      <c r="K20" s="50">
        <v>1</v>
      </c>
      <c r="L20" s="50">
        <v>0</v>
      </c>
      <c r="M20" s="50">
        <v>323</v>
      </c>
      <c r="N20" s="50">
        <v>0</v>
      </c>
      <c r="O20" s="15">
        <f t="shared" si="0"/>
        <v>143</v>
      </c>
      <c r="P20" s="15">
        <f t="shared" si="1"/>
        <v>466</v>
      </c>
      <c r="R20" s="1" t="s">
        <v>16</v>
      </c>
      <c r="S20" s="17">
        <f t="shared" ref="S20:AF20" si="12">SUM(C50:C53)</f>
        <v>284</v>
      </c>
      <c r="T20" s="17">
        <f t="shared" si="12"/>
        <v>68</v>
      </c>
      <c r="U20" s="17">
        <f t="shared" si="12"/>
        <v>31</v>
      </c>
      <c r="V20" s="17">
        <f t="shared" si="12"/>
        <v>53</v>
      </c>
      <c r="W20" s="17">
        <f t="shared" si="12"/>
        <v>3</v>
      </c>
      <c r="X20" s="17">
        <f t="shared" si="12"/>
        <v>0</v>
      </c>
      <c r="Y20" s="17">
        <f t="shared" si="12"/>
        <v>21</v>
      </c>
      <c r="Z20" s="17">
        <f t="shared" si="12"/>
        <v>8</v>
      </c>
      <c r="AA20" s="17">
        <f t="shared" si="12"/>
        <v>6</v>
      </c>
      <c r="AB20" s="17">
        <f t="shared" si="12"/>
        <v>1</v>
      </c>
      <c r="AC20" s="17">
        <f t="shared" si="12"/>
        <v>875</v>
      </c>
      <c r="AD20" s="17">
        <f t="shared" si="12"/>
        <v>0</v>
      </c>
      <c r="AE20" s="31">
        <f t="shared" si="12"/>
        <v>475</v>
      </c>
      <c r="AF20" s="31">
        <f t="shared" si="12"/>
        <v>1350</v>
      </c>
    </row>
    <row r="21" spans="2:32" ht="23.1" customHeight="1" x14ac:dyDescent="0.25">
      <c r="B21" s="23" t="s">
        <v>48</v>
      </c>
      <c r="C21" s="50">
        <v>58</v>
      </c>
      <c r="D21" s="50">
        <v>49</v>
      </c>
      <c r="E21" s="50">
        <v>17</v>
      </c>
      <c r="F21" s="50">
        <v>18</v>
      </c>
      <c r="G21" s="50">
        <v>0</v>
      </c>
      <c r="H21" s="50">
        <v>0</v>
      </c>
      <c r="I21" s="50">
        <v>9</v>
      </c>
      <c r="J21" s="50">
        <v>4</v>
      </c>
      <c r="K21" s="50">
        <v>0</v>
      </c>
      <c r="L21" s="50">
        <v>0</v>
      </c>
      <c r="M21" s="50">
        <v>354</v>
      </c>
      <c r="N21" s="50">
        <v>0</v>
      </c>
      <c r="O21" s="15">
        <f t="shared" si="0"/>
        <v>155</v>
      </c>
      <c r="P21" s="15">
        <f t="shared" si="1"/>
        <v>509</v>
      </c>
      <c r="R21" s="36" t="s">
        <v>20</v>
      </c>
      <c r="S21" s="34">
        <f t="shared" ref="S21:AF21" si="13">SUM(C54:C57)</f>
        <v>227</v>
      </c>
      <c r="T21" s="17">
        <f t="shared" si="13"/>
        <v>43</v>
      </c>
      <c r="U21" s="17">
        <f t="shared" si="13"/>
        <v>30</v>
      </c>
      <c r="V21" s="17">
        <f t="shared" si="13"/>
        <v>57</v>
      </c>
      <c r="W21" s="17">
        <f t="shared" si="13"/>
        <v>1</v>
      </c>
      <c r="X21" s="17">
        <f t="shared" si="13"/>
        <v>0</v>
      </c>
      <c r="Y21" s="17">
        <f t="shared" si="13"/>
        <v>17</v>
      </c>
      <c r="Z21" s="17">
        <f t="shared" si="13"/>
        <v>11</v>
      </c>
      <c r="AA21" s="17">
        <f t="shared" si="13"/>
        <v>3</v>
      </c>
      <c r="AB21" s="17">
        <f t="shared" si="13"/>
        <v>0</v>
      </c>
      <c r="AC21" s="17">
        <f t="shared" si="13"/>
        <v>1139</v>
      </c>
      <c r="AD21" s="17">
        <f t="shared" si="13"/>
        <v>0</v>
      </c>
      <c r="AE21" s="31">
        <f t="shared" si="13"/>
        <v>389</v>
      </c>
      <c r="AF21" s="31">
        <f t="shared" si="13"/>
        <v>1528</v>
      </c>
    </row>
    <row r="22" spans="2:32" ht="23.1" customHeight="1" x14ac:dyDescent="0.25">
      <c r="B22" s="23" t="s">
        <v>49</v>
      </c>
      <c r="C22" s="50">
        <v>57</v>
      </c>
      <c r="D22" s="50">
        <v>35</v>
      </c>
      <c r="E22" s="50">
        <v>10</v>
      </c>
      <c r="F22" s="50">
        <v>13</v>
      </c>
      <c r="G22" s="50">
        <v>0</v>
      </c>
      <c r="H22" s="50">
        <v>0</v>
      </c>
      <c r="I22" s="50">
        <v>6</v>
      </c>
      <c r="J22" s="50">
        <v>4</v>
      </c>
      <c r="K22" s="50">
        <v>0</v>
      </c>
      <c r="L22" s="50">
        <v>0</v>
      </c>
      <c r="M22" s="50">
        <v>238</v>
      </c>
      <c r="N22" s="50">
        <v>0</v>
      </c>
      <c r="O22" s="15">
        <f t="shared" si="0"/>
        <v>125</v>
      </c>
      <c r="P22" s="15">
        <f t="shared" si="1"/>
        <v>363</v>
      </c>
      <c r="R22" s="38" t="s">
        <v>90</v>
      </c>
      <c r="S22" s="39">
        <f>MAX(S10:S12)</f>
        <v>522</v>
      </c>
      <c r="T22" s="39">
        <f t="shared" ref="T22:AF22" si="14">MAX(T10:T12)</f>
        <v>134</v>
      </c>
      <c r="U22" s="39">
        <f t="shared" si="14"/>
        <v>47</v>
      </c>
      <c r="V22" s="39">
        <f t="shared" si="14"/>
        <v>72</v>
      </c>
      <c r="W22" s="39">
        <f t="shared" si="14"/>
        <v>1</v>
      </c>
      <c r="X22" s="39">
        <f t="shared" si="14"/>
        <v>0</v>
      </c>
      <c r="Y22" s="39">
        <f t="shared" si="14"/>
        <v>38</v>
      </c>
      <c r="Z22" s="39">
        <f t="shared" si="14"/>
        <v>12</v>
      </c>
      <c r="AA22" s="39">
        <f t="shared" si="14"/>
        <v>10</v>
      </c>
      <c r="AB22" s="39">
        <f t="shared" si="14"/>
        <v>1</v>
      </c>
      <c r="AC22" s="39">
        <f t="shared" si="14"/>
        <v>1415</v>
      </c>
      <c r="AD22" s="39">
        <f t="shared" si="14"/>
        <v>0</v>
      </c>
      <c r="AE22" s="40">
        <f t="shared" si="14"/>
        <v>771</v>
      </c>
      <c r="AF22" s="40">
        <f t="shared" si="14"/>
        <v>2068</v>
      </c>
    </row>
    <row r="23" spans="2:32" ht="23.1" customHeight="1" x14ac:dyDescent="0.25">
      <c r="B23" s="23" t="s">
        <v>50</v>
      </c>
      <c r="C23" s="50">
        <v>70</v>
      </c>
      <c r="D23" s="50">
        <v>26</v>
      </c>
      <c r="E23" s="50">
        <v>12</v>
      </c>
      <c r="F23" s="50">
        <v>13</v>
      </c>
      <c r="G23" s="50">
        <v>0</v>
      </c>
      <c r="H23" s="50">
        <v>0</v>
      </c>
      <c r="I23" s="50">
        <v>5</v>
      </c>
      <c r="J23" s="50">
        <v>5</v>
      </c>
      <c r="K23" s="50">
        <v>4</v>
      </c>
      <c r="L23" s="50">
        <v>2</v>
      </c>
      <c r="M23" s="50">
        <v>207</v>
      </c>
      <c r="N23" s="50">
        <v>0</v>
      </c>
      <c r="O23" s="15">
        <f t="shared" si="0"/>
        <v>137</v>
      </c>
      <c r="P23" s="15">
        <f t="shared" si="1"/>
        <v>344</v>
      </c>
      <c r="R23" s="38" t="s">
        <v>91</v>
      </c>
      <c r="S23" s="39">
        <f>MAX(S13:S18)</f>
        <v>253</v>
      </c>
      <c r="T23" s="39">
        <f t="shared" ref="T23:AF23" si="15">MAX(T13:T18)</f>
        <v>122</v>
      </c>
      <c r="U23" s="39">
        <f t="shared" si="15"/>
        <v>39</v>
      </c>
      <c r="V23" s="39">
        <f t="shared" si="15"/>
        <v>51</v>
      </c>
      <c r="W23" s="39">
        <f t="shared" si="15"/>
        <v>6</v>
      </c>
      <c r="X23" s="39">
        <f t="shared" si="15"/>
        <v>2</v>
      </c>
      <c r="Y23" s="39">
        <f t="shared" si="15"/>
        <v>30</v>
      </c>
      <c r="Z23" s="39">
        <f t="shared" si="15"/>
        <v>13</v>
      </c>
      <c r="AA23" s="39">
        <f t="shared" si="15"/>
        <v>10</v>
      </c>
      <c r="AB23" s="39">
        <f t="shared" si="15"/>
        <v>4</v>
      </c>
      <c r="AC23" s="39">
        <f t="shared" si="15"/>
        <v>868</v>
      </c>
      <c r="AD23" s="39">
        <f t="shared" si="15"/>
        <v>0</v>
      </c>
      <c r="AE23" s="40">
        <f t="shared" si="15"/>
        <v>512</v>
      </c>
      <c r="AF23" s="40">
        <f t="shared" si="15"/>
        <v>1380</v>
      </c>
    </row>
    <row r="24" spans="2:32" ht="23.1" customHeight="1" x14ac:dyDescent="0.25">
      <c r="B24" s="23" t="s">
        <v>51</v>
      </c>
      <c r="C24" s="50">
        <v>66</v>
      </c>
      <c r="D24" s="50">
        <v>26</v>
      </c>
      <c r="E24" s="50">
        <v>12</v>
      </c>
      <c r="F24" s="50">
        <v>13</v>
      </c>
      <c r="G24" s="50">
        <v>0</v>
      </c>
      <c r="H24" s="50">
        <v>0</v>
      </c>
      <c r="I24" s="50">
        <v>4</v>
      </c>
      <c r="J24" s="50">
        <v>4</v>
      </c>
      <c r="K24" s="50">
        <v>2</v>
      </c>
      <c r="L24" s="50">
        <v>2</v>
      </c>
      <c r="M24" s="50">
        <v>225</v>
      </c>
      <c r="N24" s="50">
        <v>0</v>
      </c>
      <c r="O24" s="15">
        <f t="shared" si="0"/>
        <v>129</v>
      </c>
      <c r="P24" s="15">
        <f t="shared" si="1"/>
        <v>354</v>
      </c>
      <c r="R24" s="38" t="s">
        <v>92</v>
      </c>
      <c r="S24" s="39">
        <f>MAX(S19:S21)</f>
        <v>284</v>
      </c>
      <c r="T24" s="39">
        <f t="shared" ref="T24:AF24" si="16">MAX(T19:T21)</f>
        <v>68</v>
      </c>
      <c r="U24" s="39">
        <f t="shared" si="16"/>
        <v>43</v>
      </c>
      <c r="V24" s="39">
        <f t="shared" si="16"/>
        <v>57</v>
      </c>
      <c r="W24" s="39">
        <f t="shared" si="16"/>
        <v>3</v>
      </c>
      <c r="X24" s="39">
        <f t="shared" si="16"/>
        <v>0</v>
      </c>
      <c r="Y24" s="39">
        <f t="shared" si="16"/>
        <v>25</v>
      </c>
      <c r="Z24" s="39">
        <f t="shared" si="16"/>
        <v>11</v>
      </c>
      <c r="AA24" s="39">
        <f t="shared" si="16"/>
        <v>7</v>
      </c>
      <c r="AB24" s="39">
        <f t="shared" si="16"/>
        <v>2</v>
      </c>
      <c r="AC24" s="39">
        <f t="shared" si="16"/>
        <v>1139</v>
      </c>
      <c r="AD24" s="39">
        <f t="shared" si="16"/>
        <v>0</v>
      </c>
      <c r="AE24" s="40">
        <f t="shared" si="16"/>
        <v>475</v>
      </c>
      <c r="AF24" s="40">
        <f t="shared" si="16"/>
        <v>1528</v>
      </c>
    </row>
    <row r="25" spans="2:32" ht="23.1" customHeight="1" x14ac:dyDescent="0.25">
      <c r="B25" s="23" t="s">
        <v>52</v>
      </c>
      <c r="C25" s="50">
        <v>60</v>
      </c>
      <c r="D25" s="50">
        <v>35</v>
      </c>
      <c r="E25" s="50">
        <v>5</v>
      </c>
      <c r="F25" s="50">
        <v>12</v>
      </c>
      <c r="G25" s="50">
        <v>0</v>
      </c>
      <c r="H25" s="50">
        <v>0</v>
      </c>
      <c r="I25" s="50">
        <v>5</v>
      </c>
      <c r="J25" s="50">
        <v>0</v>
      </c>
      <c r="K25" s="50">
        <v>4</v>
      </c>
      <c r="L25" s="50">
        <v>0</v>
      </c>
      <c r="M25" s="50">
        <v>198</v>
      </c>
      <c r="N25" s="50">
        <v>0</v>
      </c>
      <c r="O25" s="15">
        <f t="shared" si="0"/>
        <v>121</v>
      </c>
      <c r="P25" s="15">
        <f t="shared" si="1"/>
        <v>319</v>
      </c>
      <c r="R25" s="37" t="s">
        <v>85</v>
      </c>
      <c r="S25" s="35">
        <f t="shared" ref="S25:AF25" si="17">SUM(S10:S12)</f>
        <v>1328</v>
      </c>
      <c r="T25" s="16">
        <f t="shared" si="17"/>
        <v>332</v>
      </c>
      <c r="U25" s="16">
        <f t="shared" si="17"/>
        <v>130</v>
      </c>
      <c r="V25" s="16">
        <f t="shared" si="17"/>
        <v>189</v>
      </c>
      <c r="W25" s="16">
        <f t="shared" si="17"/>
        <v>1</v>
      </c>
      <c r="X25" s="16">
        <f t="shared" si="17"/>
        <v>0</v>
      </c>
      <c r="Y25" s="16">
        <f t="shared" si="17"/>
        <v>61</v>
      </c>
      <c r="Z25" s="16">
        <f t="shared" si="17"/>
        <v>22</v>
      </c>
      <c r="AA25" s="16">
        <f t="shared" si="17"/>
        <v>16</v>
      </c>
      <c r="AB25" s="16">
        <f t="shared" si="17"/>
        <v>2</v>
      </c>
      <c r="AC25" s="16">
        <f t="shared" si="17"/>
        <v>3921</v>
      </c>
      <c r="AD25" s="16">
        <f t="shared" si="17"/>
        <v>0</v>
      </c>
      <c r="AE25" s="32">
        <f t="shared" si="17"/>
        <v>2081</v>
      </c>
      <c r="AF25" s="32">
        <f t="shared" si="17"/>
        <v>6002</v>
      </c>
    </row>
    <row r="26" spans="2:32" ht="23.1" customHeight="1" x14ac:dyDescent="0.25">
      <c r="B26" s="23" t="s">
        <v>53</v>
      </c>
      <c r="C26" s="50">
        <v>50</v>
      </c>
      <c r="D26" s="50">
        <v>19</v>
      </c>
      <c r="E26" s="50">
        <v>7</v>
      </c>
      <c r="F26" s="50">
        <v>9</v>
      </c>
      <c r="G26" s="50">
        <v>1</v>
      </c>
      <c r="H26" s="50">
        <v>0</v>
      </c>
      <c r="I26" s="50">
        <v>8</v>
      </c>
      <c r="J26" s="50">
        <v>5</v>
      </c>
      <c r="K26" s="50">
        <v>1</v>
      </c>
      <c r="L26" s="50">
        <v>0</v>
      </c>
      <c r="M26" s="50">
        <v>224</v>
      </c>
      <c r="N26" s="50">
        <v>0</v>
      </c>
      <c r="O26" s="15">
        <f t="shared" si="0"/>
        <v>100</v>
      </c>
      <c r="P26" s="15">
        <f t="shared" si="1"/>
        <v>324</v>
      </c>
      <c r="R26" s="28" t="s">
        <v>86</v>
      </c>
      <c r="S26" s="16">
        <f t="shared" ref="S26:AF26" si="18">SUM(S13:S18)</f>
        <v>1039</v>
      </c>
      <c r="T26" s="16">
        <f t="shared" si="18"/>
        <v>447</v>
      </c>
      <c r="U26" s="16">
        <f t="shared" si="18"/>
        <v>161</v>
      </c>
      <c r="V26" s="16">
        <f t="shared" si="18"/>
        <v>231</v>
      </c>
      <c r="W26" s="16">
        <f t="shared" si="18"/>
        <v>7</v>
      </c>
      <c r="X26" s="16">
        <f t="shared" si="18"/>
        <v>2</v>
      </c>
      <c r="Y26" s="16">
        <f t="shared" si="18"/>
        <v>140</v>
      </c>
      <c r="Z26" s="16">
        <f t="shared" si="18"/>
        <v>70</v>
      </c>
      <c r="AA26" s="16">
        <f t="shared" si="18"/>
        <v>44</v>
      </c>
      <c r="AB26" s="16">
        <f t="shared" si="18"/>
        <v>8</v>
      </c>
      <c r="AC26" s="16">
        <f t="shared" si="18"/>
        <v>3884</v>
      </c>
      <c r="AD26" s="16">
        <f t="shared" si="18"/>
        <v>0</v>
      </c>
      <c r="AE26" s="32">
        <f t="shared" si="18"/>
        <v>2149</v>
      </c>
      <c r="AF26" s="32">
        <f t="shared" si="18"/>
        <v>6033</v>
      </c>
    </row>
    <row r="27" spans="2:32" ht="23.1" customHeight="1" x14ac:dyDescent="0.25">
      <c r="B27" s="23" t="s">
        <v>54</v>
      </c>
      <c r="C27" s="50">
        <v>32</v>
      </c>
      <c r="D27" s="50">
        <v>15</v>
      </c>
      <c r="E27" s="50">
        <v>6</v>
      </c>
      <c r="F27" s="50">
        <v>10</v>
      </c>
      <c r="G27" s="50">
        <v>0</v>
      </c>
      <c r="H27" s="50">
        <v>0</v>
      </c>
      <c r="I27" s="50">
        <v>8</v>
      </c>
      <c r="J27" s="50">
        <v>1</v>
      </c>
      <c r="K27" s="50">
        <v>2</v>
      </c>
      <c r="L27" s="50">
        <v>0</v>
      </c>
      <c r="M27" s="50">
        <v>208</v>
      </c>
      <c r="N27" s="50">
        <v>0</v>
      </c>
      <c r="O27" s="15">
        <f t="shared" si="0"/>
        <v>74</v>
      </c>
      <c r="P27" s="15">
        <f t="shared" si="1"/>
        <v>282</v>
      </c>
      <c r="R27" s="29" t="s">
        <v>87</v>
      </c>
      <c r="S27" s="16">
        <f t="shared" ref="S27:AF27" si="19">SUM(S19:S21)</f>
        <v>784</v>
      </c>
      <c r="T27" s="16">
        <f t="shared" si="19"/>
        <v>172</v>
      </c>
      <c r="U27" s="16">
        <f t="shared" si="19"/>
        <v>104</v>
      </c>
      <c r="V27" s="16">
        <f t="shared" si="19"/>
        <v>163</v>
      </c>
      <c r="W27" s="16">
        <f t="shared" si="19"/>
        <v>4</v>
      </c>
      <c r="X27" s="16">
        <f t="shared" si="19"/>
        <v>0</v>
      </c>
      <c r="Y27" s="16">
        <f t="shared" si="19"/>
        <v>63</v>
      </c>
      <c r="Z27" s="16">
        <f t="shared" si="19"/>
        <v>30</v>
      </c>
      <c r="AA27" s="16">
        <f t="shared" si="19"/>
        <v>16</v>
      </c>
      <c r="AB27" s="16">
        <f t="shared" si="19"/>
        <v>3</v>
      </c>
      <c r="AC27" s="16">
        <f t="shared" si="19"/>
        <v>2627</v>
      </c>
      <c r="AD27" s="16">
        <f t="shared" si="19"/>
        <v>0</v>
      </c>
      <c r="AE27" s="32">
        <f t="shared" si="19"/>
        <v>1339</v>
      </c>
      <c r="AF27" s="32">
        <f t="shared" si="19"/>
        <v>3966</v>
      </c>
    </row>
    <row r="28" spans="2:32" ht="23.1" customHeight="1" x14ac:dyDescent="0.25">
      <c r="B28" s="23" t="s">
        <v>55</v>
      </c>
      <c r="C28" s="50">
        <v>33</v>
      </c>
      <c r="D28" s="50">
        <v>29</v>
      </c>
      <c r="E28" s="50">
        <v>6</v>
      </c>
      <c r="F28" s="50">
        <v>9</v>
      </c>
      <c r="G28" s="50">
        <v>0</v>
      </c>
      <c r="H28" s="50">
        <v>0</v>
      </c>
      <c r="I28" s="50">
        <v>10</v>
      </c>
      <c r="J28" s="50">
        <v>6</v>
      </c>
      <c r="K28" s="50">
        <v>2</v>
      </c>
      <c r="L28" s="50">
        <v>0</v>
      </c>
      <c r="M28" s="50">
        <v>221</v>
      </c>
      <c r="N28" s="50">
        <v>0</v>
      </c>
      <c r="O28" s="15">
        <f t="shared" si="0"/>
        <v>95</v>
      </c>
      <c r="P28" s="15">
        <f t="shared" si="1"/>
        <v>316</v>
      </c>
      <c r="R28" s="5" t="s">
        <v>17</v>
      </c>
      <c r="S28" s="16">
        <f t="shared" ref="S28:AF28" si="20">SUM(S10:S21)</f>
        <v>3151</v>
      </c>
      <c r="T28" s="16">
        <f t="shared" si="20"/>
        <v>951</v>
      </c>
      <c r="U28" s="16">
        <f t="shared" si="20"/>
        <v>395</v>
      </c>
      <c r="V28" s="16">
        <f t="shared" si="20"/>
        <v>583</v>
      </c>
      <c r="W28" s="16">
        <f t="shared" si="20"/>
        <v>12</v>
      </c>
      <c r="X28" s="16">
        <f t="shared" si="20"/>
        <v>2</v>
      </c>
      <c r="Y28" s="16">
        <f t="shared" si="20"/>
        <v>264</v>
      </c>
      <c r="Z28" s="16">
        <f t="shared" si="20"/>
        <v>122</v>
      </c>
      <c r="AA28" s="16">
        <f t="shared" si="20"/>
        <v>76</v>
      </c>
      <c r="AB28" s="16">
        <f t="shared" si="20"/>
        <v>13</v>
      </c>
      <c r="AC28" s="16">
        <f t="shared" si="20"/>
        <v>10432</v>
      </c>
      <c r="AD28" s="16">
        <f t="shared" si="20"/>
        <v>0</v>
      </c>
      <c r="AE28" s="32">
        <f t="shared" si="20"/>
        <v>5569</v>
      </c>
      <c r="AF28" s="32">
        <f t="shared" si="20"/>
        <v>16001</v>
      </c>
    </row>
    <row r="29" spans="2:32" ht="23.1" customHeight="1" x14ac:dyDescent="0.25">
      <c r="B29" s="23" t="s">
        <v>56</v>
      </c>
      <c r="C29" s="50">
        <v>62</v>
      </c>
      <c r="D29" s="50">
        <v>5</v>
      </c>
      <c r="E29" s="50">
        <v>2</v>
      </c>
      <c r="F29" s="50">
        <v>10</v>
      </c>
      <c r="G29" s="50">
        <v>0</v>
      </c>
      <c r="H29" s="50">
        <v>0</v>
      </c>
      <c r="I29" s="50">
        <v>4</v>
      </c>
      <c r="J29" s="50">
        <v>1</v>
      </c>
      <c r="K29" s="50">
        <v>2</v>
      </c>
      <c r="L29" s="50">
        <v>0</v>
      </c>
      <c r="M29" s="50">
        <v>170</v>
      </c>
      <c r="N29" s="50">
        <v>0</v>
      </c>
      <c r="O29" s="15">
        <f t="shared" si="0"/>
        <v>86</v>
      </c>
      <c r="P29" s="15">
        <f t="shared" si="1"/>
        <v>256</v>
      </c>
      <c r="R29"/>
      <c r="S29" s="20"/>
      <c r="T29" s="19"/>
    </row>
    <row r="30" spans="2:32" ht="23.1" customHeight="1" x14ac:dyDescent="0.25">
      <c r="B30" s="23" t="s">
        <v>57</v>
      </c>
      <c r="C30" s="50">
        <v>55</v>
      </c>
      <c r="D30" s="50">
        <v>12</v>
      </c>
      <c r="E30" s="50">
        <v>8</v>
      </c>
      <c r="F30" s="50">
        <v>14</v>
      </c>
      <c r="G30" s="50">
        <v>0</v>
      </c>
      <c r="H30" s="50">
        <v>0</v>
      </c>
      <c r="I30" s="50">
        <v>11</v>
      </c>
      <c r="J30" s="50">
        <v>0</v>
      </c>
      <c r="K30" s="50">
        <v>0</v>
      </c>
      <c r="L30" s="50">
        <v>0</v>
      </c>
      <c r="M30" s="50">
        <v>110</v>
      </c>
      <c r="N30" s="50">
        <v>0</v>
      </c>
      <c r="O30" s="15">
        <f t="shared" si="0"/>
        <v>100</v>
      </c>
      <c r="P30" s="15">
        <f t="shared" si="1"/>
        <v>210</v>
      </c>
    </row>
    <row r="31" spans="2:32" ht="23.1" customHeight="1" x14ac:dyDescent="0.25">
      <c r="B31" s="24" t="s">
        <v>58</v>
      </c>
      <c r="C31" s="50">
        <v>37</v>
      </c>
      <c r="D31" s="50">
        <v>17</v>
      </c>
      <c r="E31" s="50">
        <v>7</v>
      </c>
      <c r="F31" s="50">
        <v>12</v>
      </c>
      <c r="G31" s="50">
        <v>0</v>
      </c>
      <c r="H31" s="50">
        <v>0</v>
      </c>
      <c r="I31" s="50">
        <v>3</v>
      </c>
      <c r="J31" s="50">
        <v>3</v>
      </c>
      <c r="K31" s="50">
        <v>3</v>
      </c>
      <c r="L31" s="50">
        <v>0</v>
      </c>
      <c r="M31" s="50">
        <v>162</v>
      </c>
      <c r="N31" s="50">
        <v>0</v>
      </c>
      <c r="O31" s="15">
        <f t="shared" si="0"/>
        <v>82</v>
      </c>
      <c r="P31" s="15">
        <f t="shared" si="1"/>
        <v>244</v>
      </c>
    </row>
    <row r="32" spans="2:32" ht="23.1" customHeight="1" x14ac:dyDescent="0.25">
      <c r="B32" s="24" t="s">
        <v>59</v>
      </c>
      <c r="C32" s="50">
        <v>44</v>
      </c>
      <c r="D32" s="50">
        <v>22</v>
      </c>
      <c r="E32" s="50">
        <v>7</v>
      </c>
      <c r="F32" s="50">
        <v>10</v>
      </c>
      <c r="G32" s="50">
        <v>0</v>
      </c>
      <c r="H32" s="50">
        <v>0</v>
      </c>
      <c r="I32" s="50">
        <v>9</v>
      </c>
      <c r="J32" s="50">
        <v>3</v>
      </c>
      <c r="K32" s="50">
        <v>2</v>
      </c>
      <c r="L32" s="50">
        <v>1</v>
      </c>
      <c r="M32" s="50">
        <v>143</v>
      </c>
      <c r="N32" s="50">
        <v>0</v>
      </c>
      <c r="O32" s="15">
        <f t="shared" si="0"/>
        <v>98</v>
      </c>
      <c r="P32" s="15">
        <f t="shared" si="1"/>
        <v>241</v>
      </c>
    </row>
    <row r="33" spans="2:20" ht="23.1" customHeight="1" x14ac:dyDescent="0.25">
      <c r="B33" s="23" t="s">
        <v>60</v>
      </c>
      <c r="C33" s="50">
        <v>40</v>
      </c>
      <c r="D33" s="50">
        <v>21</v>
      </c>
      <c r="E33" s="50">
        <v>9</v>
      </c>
      <c r="F33" s="50">
        <v>8</v>
      </c>
      <c r="G33" s="50">
        <v>0</v>
      </c>
      <c r="H33" s="50">
        <v>0</v>
      </c>
      <c r="I33" s="50">
        <v>7</v>
      </c>
      <c r="J33" s="50">
        <v>6</v>
      </c>
      <c r="K33" s="50">
        <v>1</v>
      </c>
      <c r="L33" s="50">
        <v>0</v>
      </c>
      <c r="M33" s="50">
        <v>121</v>
      </c>
      <c r="N33" s="50">
        <v>0</v>
      </c>
      <c r="O33" s="15">
        <f t="shared" si="0"/>
        <v>92</v>
      </c>
      <c r="P33" s="15">
        <f t="shared" si="1"/>
        <v>213</v>
      </c>
    </row>
    <row r="34" spans="2:20" ht="23.1" customHeight="1" x14ac:dyDescent="0.25">
      <c r="B34" s="24" t="s">
        <v>61</v>
      </c>
      <c r="C34" s="50">
        <v>47</v>
      </c>
      <c r="D34" s="50">
        <v>28</v>
      </c>
      <c r="E34" s="50">
        <v>10</v>
      </c>
      <c r="F34" s="50">
        <v>11</v>
      </c>
      <c r="G34" s="50">
        <v>0</v>
      </c>
      <c r="H34" s="50">
        <v>0</v>
      </c>
      <c r="I34" s="50">
        <v>5</v>
      </c>
      <c r="J34" s="50">
        <v>5</v>
      </c>
      <c r="K34" s="50">
        <v>1</v>
      </c>
      <c r="L34" s="50">
        <v>1</v>
      </c>
      <c r="M34" s="50">
        <v>137</v>
      </c>
      <c r="N34" s="50">
        <v>0</v>
      </c>
      <c r="O34" s="15">
        <f t="shared" si="0"/>
        <v>108</v>
      </c>
      <c r="P34" s="15">
        <f t="shared" si="1"/>
        <v>245</v>
      </c>
    </row>
    <row r="35" spans="2:20" ht="23.1" customHeight="1" x14ac:dyDescent="0.25">
      <c r="B35" s="24" t="s">
        <v>62</v>
      </c>
      <c r="C35" s="50">
        <v>15</v>
      </c>
      <c r="D35" s="50">
        <v>8</v>
      </c>
      <c r="E35" s="50">
        <v>4</v>
      </c>
      <c r="F35" s="50">
        <v>6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0</v>
      </c>
      <c r="M35" s="50">
        <v>159</v>
      </c>
      <c r="N35" s="50">
        <v>0</v>
      </c>
      <c r="O35" s="15">
        <f t="shared" si="0"/>
        <v>39</v>
      </c>
      <c r="P35" s="15">
        <f t="shared" si="1"/>
        <v>198</v>
      </c>
    </row>
    <row r="36" spans="2:20" ht="23.1" customHeight="1" x14ac:dyDescent="0.25">
      <c r="B36" s="24" t="s">
        <v>63</v>
      </c>
      <c r="C36" s="50">
        <v>43</v>
      </c>
      <c r="D36" s="50">
        <v>15</v>
      </c>
      <c r="E36" s="50">
        <v>5</v>
      </c>
      <c r="F36" s="50">
        <v>6</v>
      </c>
      <c r="G36" s="50">
        <v>0</v>
      </c>
      <c r="H36" s="50">
        <v>0</v>
      </c>
      <c r="I36" s="50">
        <v>3</v>
      </c>
      <c r="J36" s="50">
        <v>0</v>
      </c>
      <c r="K36" s="50">
        <v>1</v>
      </c>
      <c r="L36" s="50">
        <v>0</v>
      </c>
      <c r="M36" s="50">
        <v>123</v>
      </c>
      <c r="N36" s="50">
        <v>0</v>
      </c>
      <c r="O36" s="15">
        <f t="shared" si="0"/>
        <v>73</v>
      </c>
      <c r="P36" s="15">
        <f t="shared" si="1"/>
        <v>196</v>
      </c>
    </row>
    <row r="37" spans="2:20" ht="23.1" customHeight="1" x14ac:dyDescent="0.25">
      <c r="B37" s="23" t="s">
        <v>64</v>
      </c>
      <c r="C37" s="50">
        <v>33</v>
      </c>
      <c r="D37" s="50">
        <v>4</v>
      </c>
      <c r="E37" s="50">
        <v>4</v>
      </c>
      <c r="F37" s="50">
        <v>8</v>
      </c>
      <c r="G37" s="50">
        <v>0</v>
      </c>
      <c r="H37" s="50">
        <v>0</v>
      </c>
      <c r="I37" s="50">
        <v>6</v>
      </c>
      <c r="J37" s="50">
        <v>3</v>
      </c>
      <c r="K37" s="50">
        <v>2</v>
      </c>
      <c r="L37" s="50">
        <v>0</v>
      </c>
      <c r="M37" s="50">
        <v>129</v>
      </c>
      <c r="N37" s="50">
        <v>0</v>
      </c>
      <c r="O37" s="15">
        <f t="shared" si="0"/>
        <v>60</v>
      </c>
      <c r="P37" s="15">
        <f t="shared" si="1"/>
        <v>189</v>
      </c>
    </row>
    <row r="38" spans="2:20" ht="23.1" customHeight="1" x14ac:dyDescent="0.25">
      <c r="B38" s="24" t="s">
        <v>65</v>
      </c>
      <c r="C38" s="50">
        <v>37</v>
      </c>
      <c r="D38" s="50">
        <v>14</v>
      </c>
      <c r="E38" s="50">
        <v>4</v>
      </c>
      <c r="F38" s="50">
        <v>8</v>
      </c>
      <c r="G38" s="50">
        <v>0</v>
      </c>
      <c r="H38" s="50">
        <v>0</v>
      </c>
      <c r="I38" s="50">
        <v>6</v>
      </c>
      <c r="J38" s="50">
        <v>2</v>
      </c>
      <c r="K38" s="50">
        <v>3</v>
      </c>
      <c r="L38" s="50">
        <v>0</v>
      </c>
      <c r="M38" s="50">
        <v>127</v>
      </c>
      <c r="N38" s="50">
        <v>0</v>
      </c>
      <c r="O38" s="15">
        <f t="shared" si="0"/>
        <v>74</v>
      </c>
      <c r="P38" s="15">
        <f t="shared" si="1"/>
        <v>201</v>
      </c>
    </row>
    <row r="39" spans="2:20" ht="23.1" customHeight="1" x14ac:dyDescent="0.25">
      <c r="B39" s="24" t="s">
        <v>66</v>
      </c>
      <c r="C39" s="50">
        <v>59</v>
      </c>
      <c r="D39" s="50">
        <v>15</v>
      </c>
      <c r="E39" s="50">
        <v>10</v>
      </c>
      <c r="F39" s="50">
        <v>11</v>
      </c>
      <c r="G39" s="50">
        <v>4</v>
      </c>
      <c r="H39" s="50">
        <v>0</v>
      </c>
      <c r="I39" s="50">
        <v>6</v>
      </c>
      <c r="J39" s="50">
        <v>4</v>
      </c>
      <c r="K39" s="50">
        <v>2</v>
      </c>
      <c r="L39" s="50">
        <v>0</v>
      </c>
      <c r="M39" s="50">
        <v>127</v>
      </c>
      <c r="N39" s="50">
        <v>0</v>
      </c>
      <c r="O39" s="15">
        <f t="shared" si="0"/>
        <v>111</v>
      </c>
      <c r="P39" s="15">
        <f t="shared" si="1"/>
        <v>238</v>
      </c>
    </row>
    <row r="40" spans="2:20" ht="23.1" customHeight="1" x14ac:dyDescent="0.25">
      <c r="B40" s="24" t="s">
        <v>67</v>
      </c>
      <c r="C40" s="50">
        <v>45</v>
      </c>
      <c r="D40" s="50">
        <v>15</v>
      </c>
      <c r="E40" s="50">
        <v>6</v>
      </c>
      <c r="F40" s="50">
        <v>17</v>
      </c>
      <c r="G40" s="50">
        <v>2</v>
      </c>
      <c r="H40" s="50">
        <v>2</v>
      </c>
      <c r="I40" s="50">
        <v>7</v>
      </c>
      <c r="J40" s="50">
        <v>2</v>
      </c>
      <c r="K40" s="50">
        <v>1</v>
      </c>
      <c r="L40" s="50">
        <v>1</v>
      </c>
      <c r="M40" s="50">
        <v>145</v>
      </c>
      <c r="N40" s="50">
        <v>0</v>
      </c>
      <c r="O40" s="15">
        <f t="shared" si="0"/>
        <v>98</v>
      </c>
      <c r="P40" s="15">
        <f t="shared" si="1"/>
        <v>243</v>
      </c>
    </row>
    <row r="41" spans="2:20" ht="23.1" customHeight="1" x14ac:dyDescent="0.25">
      <c r="B41" s="23" t="s">
        <v>68</v>
      </c>
      <c r="C41" s="50">
        <v>25</v>
      </c>
      <c r="D41" s="50">
        <v>16</v>
      </c>
      <c r="E41" s="50">
        <v>5</v>
      </c>
      <c r="F41" s="50">
        <v>3</v>
      </c>
      <c r="G41" s="50">
        <v>0</v>
      </c>
      <c r="H41" s="50">
        <v>0</v>
      </c>
      <c r="I41" s="50">
        <v>2</v>
      </c>
      <c r="J41" s="50">
        <v>1</v>
      </c>
      <c r="K41" s="50">
        <v>3</v>
      </c>
      <c r="L41" s="50">
        <v>0</v>
      </c>
      <c r="M41" s="50">
        <v>121</v>
      </c>
      <c r="N41" s="50">
        <v>0</v>
      </c>
      <c r="O41" s="15">
        <f t="shared" si="0"/>
        <v>55</v>
      </c>
      <c r="P41" s="15">
        <f t="shared" si="1"/>
        <v>176</v>
      </c>
    </row>
    <row r="42" spans="2:20" ht="23.1" customHeight="1" x14ac:dyDescent="0.25">
      <c r="B42" s="24" t="s">
        <v>69</v>
      </c>
      <c r="C42" s="50">
        <v>13</v>
      </c>
      <c r="D42" s="50">
        <v>25</v>
      </c>
      <c r="E42" s="50">
        <v>8</v>
      </c>
      <c r="F42" s="50">
        <v>9</v>
      </c>
      <c r="G42" s="50">
        <v>0</v>
      </c>
      <c r="H42" s="50">
        <v>0</v>
      </c>
      <c r="I42" s="50">
        <v>7</v>
      </c>
      <c r="J42" s="50">
        <v>5</v>
      </c>
      <c r="K42" s="50">
        <v>1</v>
      </c>
      <c r="L42" s="50">
        <v>0</v>
      </c>
      <c r="M42" s="50">
        <v>170</v>
      </c>
      <c r="N42" s="50">
        <v>0</v>
      </c>
      <c r="O42" s="15">
        <f t="shared" si="0"/>
        <v>68</v>
      </c>
      <c r="P42" s="15">
        <f t="shared" si="1"/>
        <v>238</v>
      </c>
    </row>
    <row r="43" spans="2:20" ht="23.1" customHeight="1" x14ac:dyDescent="0.25">
      <c r="B43" s="23" t="s">
        <v>70</v>
      </c>
      <c r="C43" s="50">
        <v>40</v>
      </c>
      <c r="D43" s="50">
        <v>18</v>
      </c>
      <c r="E43" s="50">
        <v>6</v>
      </c>
      <c r="F43" s="50">
        <v>8</v>
      </c>
      <c r="G43" s="50">
        <v>0</v>
      </c>
      <c r="H43" s="50">
        <v>0</v>
      </c>
      <c r="I43" s="50">
        <v>6</v>
      </c>
      <c r="J43" s="50">
        <v>0</v>
      </c>
      <c r="K43" s="50">
        <v>1</v>
      </c>
      <c r="L43" s="50">
        <v>0</v>
      </c>
      <c r="M43" s="50">
        <v>155</v>
      </c>
      <c r="N43" s="50">
        <v>0</v>
      </c>
      <c r="O43" s="15">
        <f t="shared" si="0"/>
        <v>79</v>
      </c>
      <c r="P43" s="15">
        <f t="shared" si="1"/>
        <v>234</v>
      </c>
    </row>
    <row r="44" spans="2:20" ht="23.1" customHeight="1" x14ac:dyDescent="0.25">
      <c r="B44" s="25" t="s">
        <v>71</v>
      </c>
      <c r="C44" s="50">
        <v>25</v>
      </c>
      <c r="D44" s="50">
        <v>20</v>
      </c>
      <c r="E44" s="50">
        <v>4</v>
      </c>
      <c r="F44" s="50">
        <v>4</v>
      </c>
      <c r="G44" s="50">
        <v>0</v>
      </c>
      <c r="H44" s="50">
        <v>0</v>
      </c>
      <c r="I44" s="50">
        <v>4</v>
      </c>
      <c r="J44" s="50">
        <v>5</v>
      </c>
      <c r="K44" s="50">
        <v>3</v>
      </c>
      <c r="L44" s="50">
        <v>0</v>
      </c>
      <c r="M44" s="50">
        <v>114</v>
      </c>
      <c r="N44" s="50">
        <v>0</v>
      </c>
      <c r="O44" s="15">
        <f t="shared" si="0"/>
        <v>65</v>
      </c>
      <c r="P44" s="15">
        <f t="shared" si="1"/>
        <v>179</v>
      </c>
    </row>
    <row r="45" spans="2:20" ht="23.1" customHeight="1" x14ac:dyDescent="0.25">
      <c r="B45" s="23" t="s">
        <v>72</v>
      </c>
      <c r="C45" s="50">
        <v>51</v>
      </c>
      <c r="D45" s="50">
        <v>7</v>
      </c>
      <c r="E45" s="50">
        <v>4</v>
      </c>
      <c r="F45" s="50">
        <v>7</v>
      </c>
      <c r="G45" s="50">
        <v>0</v>
      </c>
      <c r="H45" s="50">
        <v>0</v>
      </c>
      <c r="I45" s="50">
        <v>4</v>
      </c>
      <c r="J45" s="50">
        <v>3</v>
      </c>
      <c r="K45" s="50">
        <v>3</v>
      </c>
      <c r="L45" s="50">
        <v>1</v>
      </c>
      <c r="M45" s="50">
        <v>150</v>
      </c>
      <c r="N45" s="50">
        <v>0</v>
      </c>
      <c r="O45" s="15">
        <f t="shared" si="0"/>
        <v>80</v>
      </c>
      <c r="P45" s="15">
        <f t="shared" si="1"/>
        <v>230</v>
      </c>
    </row>
    <row r="46" spans="2:20" ht="23.1" customHeight="1" x14ac:dyDescent="0.25">
      <c r="B46" s="24" t="s">
        <v>73</v>
      </c>
      <c r="C46" s="50">
        <v>74</v>
      </c>
      <c r="D46" s="50">
        <v>14</v>
      </c>
      <c r="E46" s="50">
        <v>10</v>
      </c>
      <c r="F46" s="50">
        <v>13</v>
      </c>
      <c r="G46" s="50">
        <v>0</v>
      </c>
      <c r="H46" s="50">
        <v>0</v>
      </c>
      <c r="I46" s="50">
        <v>7</v>
      </c>
      <c r="J46" s="50">
        <v>2</v>
      </c>
      <c r="K46" s="50">
        <v>2</v>
      </c>
      <c r="L46" s="50">
        <v>0</v>
      </c>
      <c r="M46" s="50">
        <v>150</v>
      </c>
      <c r="N46" s="50">
        <v>0</v>
      </c>
      <c r="O46" s="15">
        <f t="shared" si="0"/>
        <v>122</v>
      </c>
      <c r="P46" s="15">
        <f t="shared" si="1"/>
        <v>272</v>
      </c>
      <c r="R46" s="8"/>
      <c r="T46"/>
    </row>
    <row r="47" spans="2:20" ht="23.1" customHeight="1" x14ac:dyDescent="0.25">
      <c r="B47" s="24" t="s">
        <v>74</v>
      </c>
      <c r="C47" s="50">
        <v>59</v>
      </c>
      <c r="D47" s="50">
        <v>9</v>
      </c>
      <c r="E47" s="50">
        <v>11</v>
      </c>
      <c r="F47" s="50">
        <v>11</v>
      </c>
      <c r="G47" s="50">
        <v>0</v>
      </c>
      <c r="H47" s="50">
        <v>0</v>
      </c>
      <c r="I47" s="50">
        <v>7</v>
      </c>
      <c r="J47" s="50">
        <v>2</v>
      </c>
      <c r="K47" s="50">
        <v>3</v>
      </c>
      <c r="L47" s="50">
        <v>1</v>
      </c>
      <c r="M47" s="50">
        <v>154</v>
      </c>
      <c r="N47" s="50">
        <v>0</v>
      </c>
      <c r="O47" s="15">
        <f t="shared" si="0"/>
        <v>103</v>
      </c>
      <c r="P47" s="15">
        <f t="shared" si="1"/>
        <v>257</v>
      </c>
      <c r="R47" s="8"/>
      <c r="T47"/>
    </row>
    <row r="48" spans="2:20" ht="23.1" customHeight="1" x14ac:dyDescent="0.25">
      <c r="B48" s="24" t="s">
        <v>75</v>
      </c>
      <c r="C48" s="50">
        <v>66</v>
      </c>
      <c r="D48" s="50">
        <v>15</v>
      </c>
      <c r="E48" s="50">
        <v>10</v>
      </c>
      <c r="F48" s="50">
        <v>18</v>
      </c>
      <c r="G48" s="50">
        <v>0</v>
      </c>
      <c r="H48" s="50">
        <v>0</v>
      </c>
      <c r="I48" s="50">
        <v>9</v>
      </c>
      <c r="J48" s="50">
        <v>7</v>
      </c>
      <c r="K48" s="50">
        <v>1</v>
      </c>
      <c r="L48" s="50">
        <v>1</v>
      </c>
      <c r="M48" s="50">
        <v>160</v>
      </c>
      <c r="N48" s="50">
        <v>0</v>
      </c>
      <c r="O48" s="15">
        <f t="shared" si="0"/>
        <v>127</v>
      </c>
      <c r="P48" s="15">
        <f t="shared" si="1"/>
        <v>287</v>
      </c>
      <c r="R48" s="8"/>
      <c r="T48"/>
    </row>
    <row r="49" spans="2:20" ht="23.1" customHeight="1" x14ac:dyDescent="0.25">
      <c r="B49" s="23" t="s">
        <v>76</v>
      </c>
      <c r="C49" s="50">
        <v>74</v>
      </c>
      <c r="D49" s="50">
        <v>23</v>
      </c>
      <c r="E49" s="50">
        <v>12</v>
      </c>
      <c r="F49" s="50">
        <v>11</v>
      </c>
      <c r="G49" s="50">
        <v>0</v>
      </c>
      <c r="H49" s="50">
        <v>0</v>
      </c>
      <c r="I49" s="50">
        <v>2</v>
      </c>
      <c r="J49" s="50">
        <v>0</v>
      </c>
      <c r="K49" s="50">
        <v>1</v>
      </c>
      <c r="L49" s="50">
        <v>0</v>
      </c>
      <c r="M49" s="50">
        <v>149</v>
      </c>
      <c r="N49" s="50">
        <v>0</v>
      </c>
      <c r="O49" s="15">
        <f t="shared" si="0"/>
        <v>123</v>
      </c>
      <c r="P49" s="15">
        <f t="shared" si="1"/>
        <v>272</v>
      </c>
      <c r="R49" s="8"/>
      <c r="T49"/>
    </row>
    <row r="50" spans="2:20" ht="23.1" customHeight="1" x14ac:dyDescent="0.25">
      <c r="B50" s="24" t="s">
        <v>77</v>
      </c>
      <c r="C50" s="50">
        <v>63</v>
      </c>
      <c r="D50" s="50">
        <v>9</v>
      </c>
      <c r="E50" s="50">
        <v>3</v>
      </c>
      <c r="F50" s="50">
        <v>14</v>
      </c>
      <c r="G50" s="50">
        <v>1</v>
      </c>
      <c r="H50" s="50">
        <v>0</v>
      </c>
      <c r="I50" s="50">
        <v>6</v>
      </c>
      <c r="J50" s="50">
        <v>2</v>
      </c>
      <c r="K50" s="50">
        <v>1</v>
      </c>
      <c r="L50" s="50">
        <v>1</v>
      </c>
      <c r="M50" s="50">
        <v>204</v>
      </c>
      <c r="N50" s="50">
        <v>0</v>
      </c>
      <c r="O50" s="15">
        <f t="shared" si="0"/>
        <v>100</v>
      </c>
      <c r="P50" s="15">
        <f t="shared" si="1"/>
        <v>304</v>
      </c>
      <c r="R50" s="8"/>
      <c r="T50"/>
    </row>
    <row r="51" spans="2:20" ht="23.1" customHeight="1" x14ac:dyDescent="0.25">
      <c r="B51" s="24" t="s">
        <v>78</v>
      </c>
      <c r="C51" s="50">
        <v>80</v>
      </c>
      <c r="D51" s="50">
        <v>17</v>
      </c>
      <c r="E51" s="50">
        <v>11</v>
      </c>
      <c r="F51" s="50">
        <v>15</v>
      </c>
      <c r="G51" s="50">
        <v>2</v>
      </c>
      <c r="H51" s="50">
        <v>0</v>
      </c>
      <c r="I51" s="50">
        <v>4</v>
      </c>
      <c r="J51" s="50">
        <v>1</v>
      </c>
      <c r="K51" s="50">
        <v>0</v>
      </c>
      <c r="L51" s="50">
        <v>0</v>
      </c>
      <c r="M51" s="50">
        <v>170</v>
      </c>
      <c r="N51" s="50">
        <v>0</v>
      </c>
      <c r="O51" s="15">
        <f t="shared" si="0"/>
        <v>130</v>
      </c>
      <c r="P51" s="15">
        <f t="shared" si="1"/>
        <v>300</v>
      </c>
      <c r="R51" s="8"/>
      <c r="T51"/>
    </row>
    <row r="52" spans="2:20" ht="23.1" customHeight="1" x14ac:dyDescent="0.25">
      <c r="B52" s="24" t="s">
        <v>79</v>
      </c>
      <c r="C52" s="50">
        <v>56</v>
      </c>
      <c r="D52" s="50">
        <v>19</v>
      </c>
      <c r="E52" s="50">
        <v>7</v>
      </c>
      <c r="F52" s="50">
        <v>15</v>
      </c>
      <c r="G52" s="50">
        <v>0</v>
      </c>
      <c r="H52" s="50">
        <v>0</v>
      </c>
      <c r="I52" s="50">
        <v>4</v>
      </c>
      <c r="J52" s="50">
        <v>4</v>
      </c>
      <c r="K52" s="50">
        <v>2</v>
      </c>
      <c r="L52" s="50">
        <v>0</v>
      </c>
      <c r="M52" s="50">
        <v>279</v>
      </c>
      <c r="N52" s="50">
        <v>0</v>
      </c>
      <c r="O52" s="15">
        <f t="shared" si="0"/>
        <v>107</v>
      </c>
      <c r="P52" s="15">
        <f t="shared" si="1"/>
        <v>386</v>
      </c>
      <c r="R52" s="8"/>
      <c r="T52"/>
    </row>
    <row r="53" spans="2:20" ht="23.1" customHeight="1" x14ac:dyDescent="0.25">
      <c r="B53" s="23" t="s">
        <v>80</v>
      </c>
      <c r="C53" s="50">
        <v>85</v>
      </c>
      <c r="D53" s="50">
        <v>23</v>
      </c>
      <c r="E53" s="50">
        <v>10</v>
      </c>
      <c r="F53" s="50">
        <v>9</v>
      </c>
      <c r="G53" s="50">
        <v>0</v>
      </c>
      <c r="H53" s="50">
        <v>0</v>
      </c>
      <c r="I53" s="50">
        <v>7</v>
      </c>
      <c r="J53" s="50">
        <v>1</v>
      </c>
      <c r="K53" s="50">
        <v>3</v>
      </c>
      <c r="L53" s="50">
        <v>0</v>
      </c>
      <c r="M53" s="50">
        <v>222</v>
      </c>
      <c r="N53" s="50">
        <v>0</v>
      </c>
      <c r="O53" s="15">
        <f t="shared" si="0"/>
        <v>138</v>
      </c>
      <c r="P53" s="15">
        <f t="shared" si="1"/>
        <v>360</v>
      </c>
      <c r="R53" s="8"/>
      <c r="T53"/>
    </row>
    <row r="54" spans="2:20" ht="23.1" customHeight="1" x14ac:dyDescent="0.25">
      <c r="B54" s="23" t="s">
        <v>81</v>
      </c>
      <c r="C54" s="50">
        <v>70</v>
      </c>
      <c r="D54" s="50">
        <v>4</v>
      </c>
      <c r="E54" s="50">
        <v>12</v>
      </c>
      <c r="F54" s="50">
        <v>9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196</v>
      </c>
      <c r="N54" s="50">
        <v>0</v>
      </c>
      <c r="O54" s="15">
        <f t="shared" si="0"/>
        <v>100</v>
      </c>
      <c r="P54" s="15">
        <f t="shared" si="1"/>
        <v>296</v>
      </c>
      <c r="R54" s="8"/>
      <c r="T54"/>
    </row>
    <row r="55" spans="2:20" ht="23.1" customHeight="1" x14ac:dyDescent="0.25">
      <c r="B55" s="23" t="s">
        <v>82</v>
      </c>
      <c r="C55" s="50">
        <v>60</v>
      </c>
      <c r="D55" s="50">
        <v>13</v>
      </c>
      <c r="E55" s="50">
        <v>8</v>
      </c>
      <c r="F55" s="50">
        <v>15</v>
      </c>
      <c r="G55" s="50">
        <v>0</v>
      </c>
      <c r="H55" s="50">
        <v>0</v>
      </c>
      <c r="I55" s="50">
        <v>5</v>
      </c>
      <c r="J55" s="50">
        <v>2</v>
      </c>
      <c r="K55" s="50">
        <v>0</v>
      </c>
      <c r="L55" s="50">
        <v>0</v>
      </c>
      <c r="M55" s="50">
        <v>255</v>
      </c>
      <c r="N55" s="50">
        <v>0</v>
      </c>
      <c r="O55" s="15">
        <f t="shared" si="0"/>
        <v>103</v>
      </c>
      <c r="P55" s="15">
        <f t="shared" si="1"/>
        <v>358</v>
      </c>
      <c r="R55" s="8"/>
      <c r="T55"/>
    </row>
    <row r="56" spans="2:20" ht="23.1" customHeight="1" x14ac:dyDescent="0.25">
      <c r="B56" s="23" t="s">
        <v>83</v>
      </c>
      <c r="C56" s="50">
        <v>57</v>
      </c>
      <c r="D56" s="50">
        <v>12</v>
      </c>
      <c r="E56" s="50">
        <v>8</v>
      </c>
      <c r="F56" s="50">
        <v>16</v>
      </c>
      <c r="G56" s="50">
        <v>1</v>
      </c>
      <c r="H56" s="50">
        <v>0</v>
      </c>
      <c r="I56" s="50">
        <v>6</v>
      </c>
      <c r="J56" s="50">
        <v>4</v>
      </c>
      <c r="K56" s="50">
        <v>0</v>
      </c>
      <c r="L56" s="50">
        <v>0</v>
      </c>
      <c r="M56" s="50">
        <v>294</v>
      </c>
      <c r="N56" s="50">
        <v>0</v>
      </c>
      <c r="O56" s="15">
        <f t="shared" si="0"/>
        <v>104</v>
      </c>
      <c r="P56" s="15">
        <f t="shared" si="1"/>
        <v>398</v>
      </c>
      <c r="R56" s="8"/>
      <c r="T56"/>
    </row>
    <row r="57" spans="2:20" ht="23.1" customHeight="1" x14ac:dyDescent="0.25">
      <c r="B57" s="23" t="s">
        <v>84</v>
      </c>
      <c r="C57" s="50">
        <v>40</v>
      </c>
      <c r="D57" s="50">
        <v>14</v>
      </c>
      <c r="E57" s="50">
        <v>2</v>
      </c>
      <c r="F57" s="50">
        <v>17</v>
      </c>
      <c r="G57" s="50">
        <v>0</v>
      </c>
      <c r="H57" s="50">
        <v>0</v>
      </c>
      <c r="I57" s="50">
        <v>3</v>
      </c>
      <c r="J57" s="50">
        <v>3</v>
      </c>
      <c r="K57" s="50">
        <v>3</v>
      </c>
      <c r="L57" s="50">
        <v>0</v>
      </c>
      <c r="M57" s="50">
        <v>394</v>
      </c>
      <c r="N57" s="50">
        <v>0</v>
      </c>
      <c r="O57" s="15">
        <f t="shared" si="0"/>
        <v>82</v>
      </c>
      <c r="P57" s="15">
        <f t="shared" si="1"/>
        <v>476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3151</v>
      </c>
      <c r="D58" s="16">
        <f t="shared" si="21"/>
        <v>951</v>
      </c>
      <c r="E58" s="16">
        <f t="shared" si="21"/>
        <v>395</v>
      </c>
      <c r="F58" s="16">
        <f t="shared" si="21"/>
        <v>583</v>
      </c>
      <c r="G58" s="16">
        <f t="shared" si="21"/>
        <v>12</v>
      </c>
      <c r="H58" s="16">
        <f t="shared" si="21"/>
        <v>2</v>
      </c>
      <c r="I58" s="16">
        <f t="shared" si="21"/>
        <v>264</v>
      </c>
      <c r="J58" s="16">
        <f t="shared" si="21"/>
        <v>122</v>
      </c>
      <c r="K58" s="16">
        <f t="shared" si="21"/>
        <v>76</v>
      </c>
      <c r="L58" s="16">
        <f t="shared" si="21"/>
        <v>13</v>
      </c>
      <c r="M58" s="16">
        <f t="shared" si="21"/>
        <v>10432</v>
      </c>
      <c r="N58" s="16">
        <f t="shared" si="21"/>
        <v>0</v>
      </c>
      <c r="O58" s="16">
        <f t="shared" si="21"/>
        <v>5569</v>
      </c>
      <c r="P58" s="16">
        <f t="shared" si="21"/>
        <v>16001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0.19692519217548904</v>
      </c>
      <c r="D59" s="43">
        <f t="shared" si="22"/>
        <v>5.9433785388413221E-2</v>
      </c>
      <c r="E59" s="43">
        <f t="shared" si="22"/>
        <v>2.4685957127679521E-2</v>
      </c>
      <c r="F59" s="43">
        <f t="shared" si="22"/>
        <v>3.6435222798575091E-2</v>
      </c>
      <c r="G59" s="43">
        <f t="shared" si="22"/>
        <v>7.4995312792950437E-4</v>
      </c>
      <c r="H59" s="43">
        <f t="shared" si="22"/>
        <v>1.2499218798825074E-4</v>
      </c>
      <c r="I59" s="43">
        <f t="shared" si="22"/>
        <v>1.6498968814449098E-2</v>
      </c>
      <c r="J59" s="43">
        <f t="shared" si="22"/>
        <v>7.6245234672832948E-3</v>
      </c>
      <c r="K59" s="43">
        <f t="shared" si="22"/>
        <v>4.7497031435535277E-3</v>
      </c>
      <c r="L59" s="43">
        <f t="shared" si="22"/>
        <v>8.1244922192362978E-4</v>
      </c>
      <c r="M59" s="43">
        <f t="shared" si="22"/>
        <v>0.65195925254671583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0.56581073801400605</v>
      </c>
      <c r="D60" s="44">
        <f t="shared" ref="D60:N60" si="23">D58/$O$58</f>
        <v>0.17076674447836238</v>
      </c>
      <c r="E60" s="44">
        <f t="shared" si="23"/>
        <v>7.0928353384808768E-2</v>
      </c>
      <c r="F60" s="44">
        <f t="shared" si="23"/>
        <v>0.10468665828694559</v>
      </c>
      <c r="G60" s="44">
        <f t="shared" si="23"/>
        <v>2.1547854192853293E-3</v>
      </c>
      <c r="H60" s="44">
        <f t="shared" si="23"/>
        <v>3.5913090321422161E-4</v>
      </c>
      <c r="I60" s="44">
        <f t="shared" si="23"/>
        <v>4.7405279224277251E-2</v>
      </c>
      <c r="J60" s="44">
        <f t="shared" si="23"/>
        <v>2.1906985096067515E-2</v>
      </c>
      <c r="K60" s="44">
        <f t="shared" si="23"/>
        <v>1.3646974322140419E-2</v>
      </c>
      <c r="L60" s="44">
        <f t="shared" si="23"/>
        <v>2.3343508708924404E-3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J101" sqref="J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Kyanja -Kisaasi'!C3:G3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6" t="str">
        <f>'02.08 Kisaasi-Kyanja'!G5:H5</f>
        <v>Malcom Health center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Kyanja -Kisaasi'!D6:E6</f>
        <v>Kyanja</v>
      </c>
      <c r="E6" s="67"/>
      <c r="F6" s="2" t="s">
        <v>2</v>
      </c>
      <c r="G6" s="66" t="str">
        <f>'29.07 Kyanja -Kisaasi'!G6:H6</f>
        <v>Kisaasi</v>
      </c>
      <c r="H6" s="67"/>
      <c r="J6" s="2" t="s">
        <v>21</v>
      </c>
      <c r="K6" s="66" t="str">
        <f>'02.08 Kisaasi-Kyanja'!K6:L6</f>
        <v>Steven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90</v>
      </c>
      <c r="D10" s="50">
        <v>30</v>
      </c>
      <c r="E10" s="50">
        <v>8</v>
      </c>
      <c r="F10" s="50">
        <v>20</v>
      </c>
      <c r="G10" s="50">
        <v>0</v>
      </c>
      <c r="H10" s="50">
        <v>0</v>
      </c>
      <c r="I10" s="50">
        <v>6</v>
      </c>
      <c r="J10" s="50">
        <v>0</v>
      </c>
      <c r="K10" s="50">
        <v>1</v>
      </c>
      <c r="L10" s="50">
        <v>0</v>
      </c>
      <c r="M10" s="50">
        <v>165</v>
      </c>
      <c r="N10" s="50">
        <v>0</v>
      </c>
      <c r="O10" s="15">
        <f t="shared" ref="O10:O57" si="0">SUM(C10:L10,N10)</f>
        <v>155</v>
      </c>
      <c r="P10" s="15">
        <f t="shared" ref="P10:P57" si="1">SUM(C10:N10)</f>
        <v>320</v>
      </c>
      <c r="R10" s="1" t="s">
        <v>6</v>
      </c>
      <c r="S10" s="17">
        <f t="shared" ref="S10:AF10" si="2">SUM(C10:C13)</f>
        <v>425</v>
      </c>
      <c r="T10" s="17">
        <f t="shared" si="2"/>
        <v>136</v>
      </c>
      <c r="U10" s="17">
        <f t="shared" si="2"/>
        <v>53</v>
      </c>
      <c r="V10" s="17">
        <f t="shared" si="2"/>
        <v>102</v>
      </c>
      <c r="W10" s="17">
        <f t="shared" si="2"/>
        <v>42</v>
      </c>
      <c r="X10" s="17">
        <f t="shared" si="2"/>
        <v>0</v>
      </c>
      <c r="Y10" s="17">
        <f t="shared" si="2"/>
        <v>19</v>
      </c>
      <c r="Z10" s="17">
        <f t="shared" si="2"/>
        <v>0</v>
      </c>
      <c r="AA10" s="17">
        <f t="shared" si="2"/>
        <v>1</v>
      </c>
      <c r="AB10" s="17">
        <f t="shared" si="2"/>
        <v>1</v>
      </c>
      <c r="AC10" s="17">
        <f t="shared" si="2"/>
        <v>728</v>
      </c>
      <c r="AD10" s="17">
        <f t="shared" si="2"/>
        <v>0</v>
      </c>
      <c r="AE10" s="31">
        <f t="shared" si="2"/>
        <v>779</v>
      </c>
      <c r="AF10" s="31">
        <f t="shared" si="2"/>
        <v>1507</v>
      </c>
    </row>
    <row r="11" spans="2:32" s="6" customFormat="1" ht="23.1" customHeight="1" x14ac:dyDescent="0.25">
      <c r="B11" s="45" t="s">
        <v>38</v>
      </c>
      <c r="C11" s="50">
        <v>105</v>
      </c>
      <c r="D11" s="50">
        <v>0</v>
      </c>
      <c r="E11" s="50">
        <v>31</v>
      </c>
      <c r="F11" s="50">
        <v>17</v>
      </c>
      <c r="G11" s="50">
        <v>42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133</v>
      </c>
      <c r="N11" s="50">
        <v>0</v>
      </c>
      <c r="O11" s="15">
        <f t="shared" si="0"/>
        <v>196</v>
      </c>
      <c r="P11" s="15">
        <f t="shared" si="1"/>
        <v>329</v>
      </c>
      <c r="R11" s="1" t="s">
        <v>7</v>
      </c>
      <c r="S11" s="17">
        <f t="shared" ref="S11:AF11" si="3">SUM(C14:C17)</f>
        <v>435</v>
      </c>
      <c r="T11" s="17">
        <f t="shared" si="3"/>
        <v>222</v>
      </c>
      <c r="U11" s="17">
        <f t="shared" si="3"/>
        <v>450</v>
      </c>
      <c r="V11" s="17">
        <f t="shared" si="3"/>
        <v>133</v>
      </c>
      <c r="W11" s="17">
        <f t="shared" si="3"/>
        <v>1</v>
      </c>
      <c r="X11" s="17">
        <f t="shared" si="3"/>
        <v>1</v>
      </c>
      <c r="Y11" s="17">
        <f t="shared" si="3"/>
        <v>38</v>
      </c>
      <c r="Z11" s="17">
        <f t="shared" si="3"/>
        <v>2</v>
      </c>
      <c r="AA11" s="17">
        <f t="shared" si="3"/>
        <v>2</v>
      </c>
      <c r="AB11" s="17">
        <f t="shared" si="3"/>
        <v>1</v>
      </c>
      <c r="AC11" s="17">
        <f t="shared" si="3"/>
        <v>829</v>
      </c>
      <c r="AD11" s="17">
        <f t="shared" si="3"/>
        <v>0</v>
      </c>
      <c r="AE11" s="31">
        <f t="shared" si="3"/>
        <v>1285</v>
      </c>
      <c r="AF11" s="31">
        <f t="shared" si="3"/>
        <v>2114</v>
      </c>
    </row>
    <row r="12" spans="2:32" ht="23.1" customHeight="1" x14ac:dyDescent="0.25">
      <c r="B12" s="45" t="s">
        <v>39</v>
      </c>
      <c r="C12" s="50">
        <v>95</v>
      </c>
      <c r="D12" s="50">
        <v>35</v>
      </c>
      <c r="E12" s="50">
        <v>6</v>
      </c>
      <c r="F12" s="50">
        <v>30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230</v>
      </c>
      <c r="N12" s="50">
        <v>0</v>
      </c>
      <c r="O12" s="15">
        <f t="shared" si="0"/>
        <v>169</v>
      </c>
      <c r="P12" s="15">
        <f t="shared" si="1"/>
        <v>399</v>
      </c>
      <c r="R12" s="1" t="s">
        <v>8</v>
      </c>
      <c r="S12" s="17">
        <f t="shared" ref="S12:AF12" si="4">SUM(C18:C21)</f>
        <v>376</v>
      </c>
      <c r="T12" s="17">
        <f t="shared" si="4"/>
        <v>153</v>
      </c>
      <c r="U12" s="17">
        <f t="shared" si="4"/>
        <v>23</v>
      </c>
      <c r="V12" s="17">
        <f t="shared" si="4"/>
        <v>122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3</v>
      </c>
      <c r="AA12" s="17">
        <f t="shared" si="4"/>
        <v>16</v>
      </c>
      <c r="AB12" s="17">
        <f t="shared" si="4"/>
        <v>0</v>
      </c>
      <c r="AC12" s="17">
        <f t="shared" si="4"/>
        <v>645</v>
      </c>
      <c r="AD12" s="17">
        <f t="shared" si="4"/>
        <v>0</v>
      </c>
      <c r="AE12" s="31">
        <f t="shared" si="4"/>
        <v>701</v>
      </c>
      <c r="AF12" s="31">
        <f t="shared" si="4"/>
        <v>1346</v>
      </c>
    </row>
    <row r="13" spans="2:32" ht="23.1" customHeight="1" x14ac:dyDescent="0.25">
      <c r="B13" s="45" t="s">
        <v>40</v>
      </c>
      <c r="C13" s="50">
        <v>135</v>
      </c>
      <c r="D13" s="50">
        <v>71</v>
      </c>
      <c r="E13" s="50">
        <v>8</v>
      </c>
      <c r="F13" s="50">
        <v>35</v>
      </c>
      <c r="G13" s="50">
        <v>0</v>
      </c>
      <c r="H13" s="50">
        <v>0</v>
      </c>
      <c r="I13" s="50">
        <v>10</v>
      </c>
      <c r="J13" s="50">
        <v>0</v>
      </c>
      <c r="K13" s="50">
        <v>0</v>
      </c>
      <c r="L13" s="50">
        <v>0</v>
      </c>
      <c r="M13" s="50">
        <v>200</v>
      </c>
      <c r="N13" s="50">
        <v>0</v>
      </c>
      <c r="O13" s="15">
        <f t="shared" si="0"/>
        <v>259</v>
      </c>
      <c r="P13" s="15">
        <f t="shared" si="1"/>
        <v>459</v>
      </c>
      <c r="R13" s="1" t="s">
        <v>9</v>
      </c>
      <c r="S13" s="17">
        <f t="shared" ref="S13:AF13" si="5">SUM(C22:C25)</f>
        <v>367</v>
      </c>
      <c r="T13" s="17">
        <f t="shared" si="5"/>
        <v>120</v>
      </c>
      <c r="U13" s="17">
        <f t="shared" si="5"/>
        <v>27</v>
      </c>
      <c r="V13" s="17">
        <f t="shared" si="5"/>
        <v>79</v>
      </c>
      <c r="W13" s="17">
        <f t="shared" si="5"/>
        <v>0</v>
      </c>
      <c r="X13" s="17">
        <f t="shared" si="5"/>
        <v>0</v>
      </c>
      <c r="Y13" s="17">
        <f t="shared" si="5"/>
        <v>16</v>
      </c>
      <c r="Z13" s="17">
        <f t="shared" si="5"/>
        <v>12</v>
      </c>
      <c r="AA13" s="17">
        <f t="shared" si="5"/>
        <v>8</v>
      </c>
      <c r="AB13" s="17">
        <f t="shared" si="5"/>
        <v>1</v>
      </c>
      <c r="AC13" s="17">
        <f t="shared" si="5"/>
        <v>435</v>
      </c>
      <c r="AD13" s="17">
        <f t="shared" si="5"/>
        <v>0</v>
      </c>
      <c r="AE13" s="31">
        <f t="shared" si="5"/>
        <v>630</v>
      </c>
      <c r="AF13" s="31">
        <f t="shared" si="5"/>
        <v>1065</v>
      </c>
    </row>
    <row r="14" spans="2:32" ht="23.1" customHeight="1" x14ac:dyDescent="0.25">
      <c r="B14" s="45" t="s">
        <v>41</v>
      </c>
      <c r="C14" s="50">
        <v>100</v>
      </c>
      <c r="D14" s="50">
        <v>52</v>
      </c>
      <c r="E14" s="50">
        <v>10</v>
      </c>
      <c r="F14" s="50">
        <v>22</v>
      </c>
      <c r="G14" s="50">
        <v>0</v>
      </c>
      <c r="H14" s="50">
        <v>0</v>
      </c>
      <c r="I14" s="50">
        <v>15</v>
      </c>
      <c r="J14" s="50">
        <v>0</v>
      </c>
      <c r="K14" s="50">
        <v>0</v>
      </c>
      <c r="L14" s="50">
        <v>0</v>
      </c>
      <c r="M14" s="50">
        <v>168</v>
      </c>
      <c r="N14" s="50">
        <v>0</v>
      </c>
      <c r="O14" s="15">
        <f t="shared" si="0"/>
        <v>199</v>
      </c>
      <c r="P14" s="15">
        <f t="shared" si="1"/>
        <v>367</v>
      </c>
      <c r="R14" s="1" t="s">
        <v>10</v>
      </c>
      <c r="S14" s="17">
        <f t="shared" ref="S14:AF14" si="6">SUM(C26:C29)</f>
        <v>260</v>
      </c>
      <c r="T14" s="17">
        <f t="shared" si="6"/>
        <v>88</v>
      </c>
      <c r="U14" s="17">
        <f t="shared" si="6"/>
        <v>21</v>
      </c>
      <c r="V14" s="17">
        <f t="shared" si="6"/>
        <v>55</v>
      </c>
      <c r="W14" s="17">
        <f t="shared" si="6"/>
        <v>1</v>
      </c>
      <c r="X14" s="17">
        <f t="shared" si="6"/>
        <v>0</v>
      </c>
      <c r="Y14" s="17">
        <f t="shared" si="6"/>
        <v>9</v>
      </c>
      <c r="Z14" s="17">
        <f t="shared" si="6"/>
        <v>4</v>
      </c>
      <c r="AA14" s="17">
        <f t="shared" si="6"/>
        <v>1</v>
      </c>
      <c r="AB14" s="17">
        <f t="shared" si="6"/>
        <v>1</v>
      </c>
      <c r="AC14" s="17">
        <f t="shared" si="6"/>
        <v>403</v>
      </c>
      <c r="AD14" s="17">
        <f t="shared" si="6"/>
        <v>0</v>
      </c>
      <c r="AE14" s="31">
        <f t="shared" si="6"/>
        <v>440</v>
      </c>
      <c r="AF14" s="31">
        <f t="shared" si="6"/>
        <v>843</v>
      </c>
    </row>
    <row r="15" spans="2:32" ht="23.1" customHeight="1" x14ac:dyDescent="0.25">
      <c r="B15" s="45" t="s">
        <v>42</v>
      </c>
      <c r="C15" s="50">
        <v>115</v>
      </c>
      <c r="D15" s="50">
        <v>60</v>
      </c>
      <c r="E15" s="50">
        <v>18</v>
      </c>
      <c r="F15" s="50">
        <v>55</v>
      </c>
      <c r="G15" s="50">
        <v>0</v>
      </c>
      <c r="H15" s="50">
        <v>0</v>
      </c>
      <c r="I15" s="50">
        <v>13</v>
      </c>
      <c r="J15" s="50">
        <v>0</v>
      </c>
      <c r="K15" s="50">
        <v>0</v>
      </c>
      <c r="L15" s="50">
        <v>0</v>
      </c>
      <c r="M15" s="50">
        <v>229</v>
      </c>
      <c r="N15" s="50">
        <v>0</v>
      </c>
      <c r="O15" s="15">
        <f t="shared" si="0"/>
        <v>261</v>
      </c>
      <c r="P15" s="15">
        <f t="shared" si="1"/>
        <v>490</v>
      </c>
      <c r="R15" s="1" t="s">
        <v>11</v>
      </c>
      <c r="S15" s="17">
        <f t="shared" ref="S15:AF15" si="7">SUM(C30:C33)</f>
        <v>237</v>
      </c>
      <c r="T15" s="17">
        <f t="shared" si="7"/>
        <v>108</v>
      </c>
      <c r="U15" s="17">
        <f t="shared" si="7"/>
        <v>27</v>
      </c>
      <c r="V15" s="17">
        <f t="shared" si="7"/>
        <v>51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6</v>
      </c>
      <c r="AA15" s="17">
        <f t="shared" si="7"/>
        <v>8</v>
      </c>
      <c r="AB15" s="17">
        <f t="shared" si="7"/>
        <v>1</v>
      </c>
      <c r="AC15" s="17">
        <f t="shared" si="7"/>
        <v>398</v>
      </c>
      <c r="AD15" s="17">
        <f t="shared" si="7"/>
        <v>0</v>
      </c>
      <c r="AE15" s="31">
        <f t="shared" si="7"/>
        <v>453</v>
      </c>
      <c r="AF15" s="31">
        <f t="shared" si="7"/>
        <v>851</v>
      </c>
    </row>
    <row r="16" spans="2:32" ht="23.1" customHeight="1" x14ac:dyDescent="0.25">
      <c r="B16" s="45" t="s">
        <v>43</v>
      </c>
      <c r="C16" s="50">
        <v>130</v>
      </c>
      <c r="D16" s="50">
        <v>75</v>
      </c>
      <c r="E16" s="50">
        <v>410</v>
      </c>
      <c r="F16" s="50">
        <v>31</v>
      </c>
      <c r="G16" s="50">
        <v>0</v>
      </c>
      <c r="H16" s="50">
        <v>0</v>
      </c>
      <c r="I16" s="50">
        <v>9</v>
      </c>
      <c r="J16" s="50">
        <v>2</v>
      </c>
      <c r="K16" s="50">
        <v>2</v>
      </c>
      <c r="L16" s="50">
        <v>1</v>
      </c>
      <c r="M16" s="50">
        <v>239</v>
      </c>
      <c r="N16" s="50">
        <v>0</v>
      </c>
      <c r="O16" s="15">
        <f t="shared" si="0"/>
        <v>660</v>
      </c>
      <c r="P16" s="15">
        <f t="shared" si="1"/>
        <v>899</v>
      </c>
      <c r="R16" s="1" t="s">
        <v>12</v>
      </c>
      <c r="S16" s="17">
        <f t="shared" ref="S16:AF16" si="8">SUM(C34:C37)</f>
        <v>204</v>
      </c>
      <c r="T16" s="17">
        <f t="shared" si="8"/>
        <v>61</v>
      </c>
      <c r="U16" s="17">
        <f t="shared" si="8"/>
        <v>15</v>
      </c>
      <c r="V16" s="17">
        <f t="shared" si="8"/>
        <v>49</v>
      </c>
      <c r="W16" s="17">
        <f t="shared" si="8"/>
        <v>2</v>
      </c>
      <c r="X16" s="17">
        <f t="shared" si="8"/>
        <v>0</v>
      </c>
      <c r="Y16" s="17">
        <f t="shared" si="8"/>
        <v>18</v>
      </c>
      <c r="Z16" s="17">
        <f t="shared" si="8"/>
        <v>11</v>
      </c>
      <c r="AA16" s="17">
        <f t="shared" si="8"/>
        <v>8</v>
      </c>
      <c r="AB16" s="17">
        <f t="shared" si="8"/>
        <v>1</v>
      </c>
      <c r="AC16" s="17">
        <f t="shared" si="8"/>
        <v>359</v>
      </c>
      <c r="AD16" s="17">
        <f t="shared" si="8"/>
        <v>0</v>
      </c>
      <c r="AE16" s="31">
        <f t="shared" si="8"/>
        <v>369</v>
      </c>
      <c r="AF16" s="31">
        <f t="shared" si="8"/>
        <v>728</v>
      </c>
    </row>
    <row r="17" spans="2:32" ht="23.1" customHeight="1" x14ac:dyDescent="0.25">
      <c r="B17" s="45" t="s">
        <v>44</v>
      </c>
      <c r="C17" s="50">
        <v>90</v>
      </c>
      <c r="D17" s="50">
        <v>35</v>
      </c>
      <c r="E17" s="50">
        <v>12</v>
      </c>
      <c r="F17" s="50">
        <v>25</v>
      </c>
      <c r="G17" s="50">
        <v>1</v>
      </c>
      <c r="H17" s="50">
        <v>1</v>
      </c>
      <c r="I17" s="50">
        <v>1</v>
      </c>
      <c r="J17" s="50">
        <v>0</v>
      </c>
      <c r="K17" s="50">
        <v>0</v>
      </c>
      <c r="L17" s="50">
        <v>0</v>
      </c>
      <c r="M17" s="50">
        <v>193</v>
      </c>
      <c r="N17" s="50">
        <v>0</v>
      </c>
      <c r="O17" s="15">
        <f t="shared" si="0"/>
        <v>165</v>
      </c>
      <c r="P17" s="15">
        <f t="shared" si="1"/>
        <v>358</v>
      </c>
      <c r="R17" s="1" t="s">
        <v>13</v>
      </c>
      <c r="S17" s="17">
        <f t="shared" ref="S17:AF17" si="9">SUM(C38:C41)</f>
        <v>194</v>
      </c>
      <c r="T17" s="17">
        <f t="shared" si="9"/>
        <v>70</v>
      </c>
      <c r="U17" s="17">
        <f t="shared" si="9"/>
        <v>17</v>
      </c>
      <c r="V17" s="17">
        <f t="shared" si="9"/>
        <v>51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4</v>
      </c>
      <c r="AA17" s="17">
        <f t="shared" si="9"/>
        <v>6</v>
      </c>
      <c r="AB17" s="17">
        <f t="shared" si="9"/>
        <v>1</v>
      </c>
      <c r="AC17" s="17">
        <f t="shared" si="9"/>
        <v>337</v>
      </c>
      <c r="AD17" s="17">
        <f t="shared" si="9"/>
        <v>0</v>
      </c>
      <c r="AE17" s="31">
        <f t="shared" si="9"/>
        <v>355</v>
      </c>
      <c r="AF17" s="31">
        <f t="shared" si="9"/>
        <v>692</v>
      </c>
    </row>
    <row r="18" spans="2:32" ht="23.1" customHeight="1" x14ac:dyDescent="0.25">
      <c r="B18" s="45" t="s">
        <v>45</v>
      </c>
      <c r="C18" s="50">
        <v>110</v>
      </c>
      <c r="D18" s="50">
        <v>45</v>
      </c>
      <c r="E18" s="50">
        <v>11</v>
      </c>
      <c r="F18" s="50">
        <v>27</v>
      </c>
      <c r="G18" s="50">
        <v>0</v>
      </c>
      <c r="H18" s="50">
        <v>0</v>
      </c>
      <c r="I18" s="50">
        <v>3</v>
      </c>
      <c r="J18" s="50">
        <v>0</v>
      </c>
      <c r="K18" s="50">
        <v>4</v>
      </c>
      <c r="L18" s="50">
        <v>0</v>
      </c>
      <c r="M18" s="50">
        <v>207</v>
      </c>
      <c r="N18" s="50">
        <v>0</v>
      </c>
      <c r="O18" s="15">
        <f t="shared" si="0"/>
        <v>200</v>
      </c>
      <c r="P18" s="15">
        <f t="shared" si="1"/>
        <v>407</v>
      </c>
      <c r="R18" s="1" t="s">
        <v>14</v>
      </c>
      <c r="S18" s="17">
        <f t="shared" ref="S18:AF18" si="10">SUM(C42:C45)</f>
        <v>123</v>
      </c>
      <c r="T18" s="17">
        <f t="shared" si="10"/>
        <v>44</v>
      </c>
      <c r="U18" s="17">
        <f t="shared" si="10"/>
        <v>8</v>
      </c>
      <c r="V18" s="17">
        <f t="shared" si="10"/>
        <v>34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4</v>
      </c>
      <c r="AA18" s="17">
        <f t="shared" si="10"/>
        <v>6</v>
      </c>
      <c r="AB18" s="17">
        <f t="shared" si="10"/>
        <v>0</v>
      </c>
      <c r="AC18" s="17">
        <f t="shared" si="10"/>
        <v>348</v>
      </c>
      <c r="AD18" s="17">
        <f t="shared" si="10"/>
        <v>0</v>
      </c>
      <c r="AE18" s="31">
        <f t="shared" si="10"/>
        <v>228</v>
      </c>
      <c r="AF18" s="31">
        <f t="shared" si="10"/>
        <v>576</v>
      </c>
    </row>
    <row r="19" spans="2:32" ht="23.1" customHeight="1" x14ac:dyDescent="0.25">
      <c r="B19" s="45" t="s">
        <v>46</v>
      </c>
      <c r="C19" s="50">
        <v>86</v>
      </c>
      <c r="D19" s="50">
        <v>32</v>
      </c>
      <c r="E19" s="50">
        <v>5</v>
      </c>
      <c r="F19" s="50">
        <v>40</v>
      </c>
      <c r="G19" s="50">
        <v>0</v>
      </c>
      <c r="H19" s="50">
        <v>0</v>
      </c>
      <c r="I19" s="50">
        <v>1</v>
      </c>
      <c r="J19" s="50">
        <v>0</v>
      </c>
      <c r="K19" s="50">
        <v>5</v>
      </c>
      <c r="L19" s="50">
        <v>0</v>
      </c>
      <c r="M19" s="50">
        <v>146</v>
      </c>
      <c r="N19" s="50">
        <v>0</v>
      </c>
      <c r="O19" s="15">
        <f t="shared" si="0"/>
        <v>169</v>
      </c>
      <c r="P19" s="15">
        <f t="shared" si="1"/>
        <v>315</v>
      </c>
      <c r="R19" s="1" t="s">
        <v>15</v>
      </c>
      <c r="S19" s="17">
        <f t="shared" ref="S19:AF19" si="11">SUM(C46:C49)</f>
        <v>171</v>
      </c>
      <c r="T19" s="17">
        <f t="shared" si="11"/>
        <v>81</v>
      </c>
      <c r="U19" s="17">
        <f t="shared" si="11"/>
        <v>25</v>
      </c>
      <c r="V19" s="17">
        <f t="shared" si="11"/>
        <v>74</v>
      </c>
      <c r="W19" s="17">
        <f t="shared" si="11"/>
        <v>2</v>
      </c>
      <c r="X19" s="17">
        <f t="shared" si="11"/>
        <v>0</v>
      </c>
      <c r="Y19" s="17">
        <f t="shared" si="11"/>
        <v>9</v>
      </c>
      <c r="Z19" s="17">
        <f t="shared" si="11"/>
        <v>7</v>
      </c>
      <c r="AA19" s="17">
        <f t="shared" si="11"/>
        <v>7</v>
      </c>
      <c r="AB19" s="17">
        <f t="shared" si="11"/>
        <v>1</v>
      </c>
      <c r="AC19" s="17">
        <f t="shared" si="11"/>
        <v>382</v>
      </c>
      <c r="AD19" s="17">
        <f t="shared" si="11"/>
        <v>0</v>
      </c>
      <c r="AE19" s="31">
        <f t="shared" si="11"/>
        <v>377</v>
      </c>
      <c r="AF19" s="31">
        <f t="shared" si="11"/>
        <v>759</v>
      </c>
    </row>
    <row r="20" spans="2:32" ht="23.1" customHeight="1" x14ac:dyDescent="0.25">
      <c r="B20" s="45" t="s">
        <v>47</v>
      </c>
      <c r="C20" s="50">
        <v>80</v>
      </c>
      <c r="D20" s="50">
        <v>36</v>
      </c>
      <c r="E20" s="50">
        <v>6</v>
      </c>
      <c r="F20" s="50">
        <v>15</v>
      </c>
      <c r="G20" s="50">
        <v>0</v>
      </c>
      <c r="H20" s="50">
        <v>0</v>
      </c>
      <c r="I20" s="50">
        <v>3</v>
      </c>
      <c r="J20" s="50">
        <v>3</v>
      </c>
      <c r="K20" s="50">
        <v>5</v>
      </c>
      <c r="L20" s="50">
        <v>0</v>
      </c>
      <c r="M20" s="50">
        <v>174</v>
      </c>
      <c r="N20" s="50">
        <v>0</v>
      </c>
      <c r="O20" s="15">
        <f t="shared" si="0"/>
        <v>148</v>
      </c>
      <c r="P20" s="15">
        <f t="shared" si="1"/>
        <v>322</v>
      </c>
      <c r="R20" s="1" t="s">
        <v>16</v>
      </c>
      <c r="S20" s="17">
        <f t="shared" ref="S20:AF20" si="12">SUM(C50:C53)</f>
        <v>208</v>
      </c>
      <c r="T20" s="17">
        <f t="shared" si="12"/>
        <v>108</v>
      </c>
      <c r="U20" s="17">
        <f t="shared" si="12"/>
        <v>42</v>
      </c>
      <c r="V20" s="17">
        <f t="shared" si="12"/>
        <v>115</v>
      </c>
      <c r="W20" s="17">
        <f t="shared" si="12"/>
        <v>1</v>
      </c>
      <c r="X20" s="17">
        <f t="shared" si="12"/>
        <v>0</v>
      </c>
      <c r="Y20" s="17">
        <f t="shared" si="12"/>
        <v>11</v>
      </c>
      <c r="Z20" s="17">
        <f t="shared" si="12"/>
        <v>7</v>
      </c>
      <c r="AA20" s="17">
        <f t="shared" si="12"/>
        <v>10</v>
      </c>
      <c r="AB20" s="17">
        <f t="shared" si="12"/>
        <v>1</v>
      </c>
      <c r="AC20" s="17">
        <f t="shared" si="12"/>
        <v>428</v>
      </c>
      <c r="AD20" s="17">
        <f t="shared" si="12"/>
        <v>0</v>
      </c>
      <c r="AE20" s="31">
        <f t="shared" si="12"/>
        <v>503</v>
      </c>
      <c r="AF20" s="31">
        <f t="shared" si="12"/>
        <v>931</v>
      </c>
    </row>
    <row r="21" spans="2:32" ht="23.1" customHeight="1" x14ac:dyDescent="0.25">
      <c r="B21" s="45" t="s">
        <v>48</v>
      </c>
      <c r="C21" s="50">
        <v>100</v>
      </c>
      <c r="D21" s="50">
        <v>40</v>
      </c>
      <c r="E21" s="50">
        <v>1</v>
      </c>
      <c r="F21" s="50">
        <v>40</v>
      </c>
      <c r="G21" s="50">
        <v>0</v>
      </c>
      <c r="H21" s="50">
        <v>0</v>
      </c>
      <c r="I21" s="50">
        <v>1</v>
      </c>
      <c r="J21" s="50">
        <v>0</v>
      </c>
      <c r="K21" s="50">
        <v>2</v>
      </c>
      <c r="L21" s="50">
        <v>0</v>
      </c>
      <c r="M21" s="50">
        <v>118</v>
      </c>
      <c r="N21" s="50">
        <v>0</v>
      </c>
      <c r="O21" s="15">
        <f t="shared" si="0"/>
        <v>184</v>
      </c>
      <c r="P21" s="15">
        <f t="shared" si="1"/>
        <v>302</v>
      </c>
      <c r="R21" s="36" t="s">
        <v>20</v>
      </c>
      <c r="S21" s="34">
        <f t="shared" ref="S21:AF21" si="13">SUM(C54:C57)</f>
        <v>255</v>
      </c>
      <c r="T21" s="17">
        <f t="shared" si="13"/>
        <v>128</v>
      </c>
      <c r="U21" s="17">
        <f t="shared" si="13"/>
        <v>42</v>
      </c>
      <c r="V21" s="17">
        <f t="shared" si="13"/>
        <v>106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4</v>
      </c>
      <c r="AA21" s="17">
        <f t="shared" si="13"/>
        <v>4</v>
      </c>
      <c r="AB21" s="17">
        <f t="shared" si="13"/>
        <v>1</v>
      </c>
      <c r="AC21" s="17">
        <f t="shared" si="13"/>
        <v>486</v>
      </c>
      <c r="AD21" s="17">
        <f t="shared" si="13"/>
        <v>0</v>
      </c>
      <c r="AE21" s="31">
        <f t="shared" si="13"/>
        <v>546</v>
      </c>
      <c r="AF21" s="31">
        <f t="shared" si="13"/>
        <v>1032</v>
      </c>
    </row>
    <row r="22" spans="2:32" ht="23.1" customHeight="1" x14ac:dyDescent="0.25">
      <c r="B22" s="45" t="s">
        <v>49</v>
      </c>
      <c r="C22" s="50">
        <v>100</v>
      </c>
      <c r="D22" s="50">
        <v>57</v>
      </c>
      <c r="E22" s="50">
        <v>8</v>
      </c>
      <c r="F22" s="50">
        <v>33</v>
      </c>
      <c r="G22" s="50">
        <v>0</v>
      </c>
      <c r="H22" s="50">
        <v>0</v>
      </c>
      <c r="I22" s="50">
        <v>3</v>
      </c>
      <c r="J22" s="50">
        <v>0</v>
      </c>
      <c r="K22" s="50">
        <v>4</v>
      </c>
      <c r="L22" s="50">
        <v>0</v>
      </c>
      <c r="M22" s="50">
        <v>119</v>
      </c>
      <c r="N22" s="50">
        <v>0</v>
      </c>
      <c r="O22" s="15">
        <f t="shared" si="0"/>
        <v>205</v>
      </c>
      <c r="P22" s="15">
        <f t="shared" si="1"/>
        <v>324</v>
      </c>
      <c r="R22" s="36" t="s">
        <v>146</v>
      </c>
      <c r="S22" s="34">
        <f>SUM(C58:C61)</f>
        <v>135</v>
      </c>
      <c r="T22" s="34">
        <f t="shared" ref="T22:AF22" si="14">SUM(D58:D61)</f>
        <v>53</v>
      </c>
      <c r="U22" s="34">
        <f t="shared" si="14"/>
        <v>23</v>
      </c>
      <c r="V22" s="34">
        <f t="shared" si="14"/>
        <v>38</v>
      </c>
      <c r="W22" s="34">
        <f t="shared" si="14"/>
        <v>2</v>
      </c>
      <c r="X22" s="34">
        <f t="shared" si="14"/>
        <v>0</v>
      </c>
      <c r="Y22" s="34">
        <f t="shared" si="14"/>
        <v>6</v>
      </c>
      <c r="Z22" s="34">
        <f t="shared" si="14"/>
        <v>5</v>
      </c>
      <c r="AA22" s="34">
        <f t="shared" si="14"/>
        <v>6</v>
      </c>
      <c r="AB22" s="34">
        <f t="shared" si="14"/>
        <v>2</v>
      </c>
      <c r="AC22" s="34">
        <f t="shared" si="14"/>
        <v>798</v>
      </c>
      <c r="AD22" s="34">
        <f t="shared" si="14"/>
        <v>0</v>
      </c>
      <c r="AE22" s="31">
        <f t="shared" si="14"/>
        <v>270</v>
      </c>
      <c r="AF22" s="31">
        <f t="shared" si="14"/>
        <v>1068</v>
      </c>
    </row>
    <row r="23" spans="2:32" ht="23.1" customHeight="1" x14ac:dyDescent="0.25">
      <c r="B23" s="45" t="s">
        <v>50</v>
      </c>
      <c r="C23" s="50">
        <v>95</v>
      </c>
      <c r="D23" s="50">
        <v>18</v>
      </c>
      <c r="E23" s="50">
        <v>4</v>
      </c>
      <c r="F23" s="50">
        <v>20</v>
      </c>
      <c r="G23" s="50">
        <v>0</v>
      </c>
      <c r="H23" s="50">
        <v>0</v>
      </c>
      <c r="I23" s="50">
        <v>3</v>
      </c>
      <c r="J23" s="50">
        <v>2</v>
      </c>
      <c r="K23" s="50">
        <v>1</v>
      </c>
      <c r="L23" s="50">
        <v>0</v>
      </c>
      <c r="M23" s="50">
        <v>109</v>
      </c>
      <c r="N23" s="50">
        <v>0</v>
      </c>
      <c r="O23" s="15">
        <f t="shared" si="0"/>
        <v>143</v>
      </c>
      <c r="P23" s="15">
        <f t="shared" si="1"/>
        <v>252</v>
      </c>
      <c r="R23" s="36" t="s">
        <v>147</v>
      </c>
      <c r="S23" s="34">
        <f>SUM(C62:C65)</f>
        <v>126</v>
      </c>
      <c r="T23" s="34">
        <f t="shared" ref="T23:AF23" si="15">SUM(D62:D65)</f>
        <v>24</v>
      </c>
      <c r="U23" s="34">
        <f t="shared" si="15"/>
        <v>6</v>
      </c>
      <c r="V23" s="34">
        <f t="shared" si="15"/>
        <v>39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4</v>
      </c>
      <c r="AA23" s="34">
        <f t="shared" si="15"/>
        <v>1</v>
      </c>
      <c r="AB23" s="34">
        <f t="shared" si="15"/>
        <v>0</v>
      </c>
      <c r="AC23" s="34">
        <f t="shared" si="15"/>
        <v>622</v>
      </c>
      <c r="AD23" s="34">
        <f t="shared" si="15"/>
        <v>0</v>
      </c>
      <c r="AE23" s="31">
        <f t="shared" si="15"/>
        <v>202</v>
      </c>
      <c r="AF23" s="31">
        <f t="shared" si="15"/>
        <v>824</v>
      </c>
    </row>
    <row r="24" spans="2:32" ht="23.1" customHeight="1" x14ac:dyDescent="0.25">
      <c r="B24" s="45" t="s">
        <v>51</v>
      </c>
      <c r="C24" s="50">
        <v>105</v>
      </c>
      <c r="D24" s="50">
        <v>35</v>
      </c>
      <c r="E24" s="50">
        <v>12</v>
      </c>
      <c r="F24" s="50">
        <v>16</v>
      </c>
      <c r="G24" s="50">
        <v>0</v>
      </c>
      <c r="H24" s="50">
        <v>0</v>
      </c>
      <c r="I24" s="50">
        <v>3</v>
      </c>
      <c r="J24" s="50">
        <v>3</v>
      </c>
      <c r="K24" s="50">
        <v>2</v>
      </c>
      <c r="L24" s="50">
        <v>1</v>
      </c>
      <c r="M24" s="50">
        <v>100</v>
      </c>
      <c r="N24" s="50">
        <v>0</v>
      </c>
      <c r="O24" s="15">
        <f t="shared" si="0"/>
        <v>177</v>
      </c>
      <c r="P24" s="15">
        <f t="shared" si="1"/>
        <v>277</v>
      </c>
      <c r="R24" s="36" t="s">
        <v>148</v>
      </c>
      <c r="S24" s="34">
        <f>SUM(C66:C69)</f>
        <v>98</v>
      </c>
      <c r="T24" s="34">
        <f t="shared" ref="T24:AF24" si="16">SUM(D66:D69)</f>
        <v>34</v>
      </c>
      <c r="U24" s="34">
        <f t="shared" si="16"/>
        <v>13</v>
      </c>
      <c r="V24" s="34">
        <f t="shared" si="16"/>
        <v>36</v>
      </c>
      <c r="W24" s="34">
        <f t="shared" si="16"/>
        <v>5</v>
      </c>
      <c r="X24" s="34">
        <f t="shared" si="16"/>
        <v>0</v>
      </c>
      <c r="Y24" s="34">
        <f t="shared" si="16"/>
        <v>5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385</v>
      </c>
      <c r="AD24" s="34">
        <f t="shared" si="16"/>
        <v>0</v>
      </c>
      <c r="AE24" s="31">
        <f t="shared" si="16"/>
        <v>193</v>
      </c>
      <c r="AF24" s="31">
        <f t="shared" si="16"/>
        <v>578</v>
      </c>
    </row>
    <row r="25" spans="2:32" ht="23.1" customHeight="1" x14ac:dyDescent="0.25">
      <c r="B25" s="45" t="s">
        <v>52</v>
      </c>
      <c r="C25" s="50">
        <v>67</v>
      </c>
      <c r="D25" s="50">
        <v>10</v>
      </c>
      <c r="E25" s="50">
        <v>3</v>
      </c>
      <c r="F25" s="50">
        <v>10</v>
      </c>
      <c r="G25" s="50">
        <v>0</v>
      </c>
      <c r="H25" s="50">
        <v>0</v>
      </c>
      <c r="I25" s="50">
        <v>7</v>
      </c>
      <c r="J25" s="50">
        <v>7</v>
      </c>
      <c r="K25" s="50">
        <v>1</v>
      </c>
      <c r="L25" s="50">
        <v>0</v>
      </c>
      <c r="M25" s="50">
        <v>107</v>
      </c>
      <c r="N25" s="50">
        <v>0</v>
      </c>
      <c r="O25" s="15">
        <f t="shared" si="0"/>
        <v>105</v>
      </c>
      <c r="P25" s="15">
        <f t="shared" si="1"/>
        <v>212</v>
      </c>
      <c r="R25" s="36" t="s">
        <v>149</v>
      </c>
      <c r="S25" s="34">
        <f>SUM(C70:C73)</f>
        <v>99</v>
      </c>
      <c r="T25" s="34">
        <f t="shared" ref="T25:AF25" si="17">SUM(D70:D73)</f>
        <v>45</v>
      </c>
      <c r="U25" s="34">
        <f t="shared" si="17"/>
        <v>20</v>
      </c>
      <c r="V25" s="34">
        <f t="shared" si="17"/>
        <v>27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1</v>
      </c>
      <c r="AA25" s="34">
        <f t="shared" si="17"/>
        <v>0</v>
      </c>
      <c r="AB25" s="34">
        <f t="shared" si="17"/>
        <v>2</v>
      </c>
      <c r="AC25" s="34">
        <f t="shared" si="17"/>
        <v>309</v>
      </c>
      <c r="AD25" s="34">
        <f t="shared" si="17"/>
        <v>0</v>
      </c>
      <c r="AE25" s="31">
        <f t="shared" si="17"/>
        <v>197</v>
      </c>
      <c r="AF25" s="31">
        <f t="shared" si="17"/>
        <v>506</v>
      </c>
    </row>
    <row r="26" spans="2:32" ht="23.1" customHeight="1" x14ac:dyDescent="0.25">
      <c r="B26" s="45" t="s">
        <v>53</v>
      </c>
      <c r="C26" s="50">
        <v>80</v>
      </c>
      <c r="D26" s="50">
        <v>31</v>
      </c>
      <c r="E26" s="50">
        <v>8</v>
      </c>
      <c r="F26" s="50">
        <v>16</v>
      </c>
      <c r="G26" s="50">
        <v>0</v>
      </c>
      <c r="H26" s="50">
        <v>0</v>
      </c>
      <c r="I26" s="50">
        <v>5</v>
      </c>
      <c r="J26" s="50">
        <v>2</v>
      </c>
      <c r="K26" s="50">
        <v>0</v>
      </c>
      <c r="L26" s="50">
        <v>0</v>
      </c>
      <c r="M26" s="50">
        <v>119</v>
      </c>
      <c r="N26" s="50">
        <v>0</v>
      </c>
      <c r="O26" s="15">
        <f t="shared" si="0"/>
        <v>142</v>
      </c>
      <c r="P26" s="15">
        <f t="shared" si="1"/>
        <v>261</v>
      </c>
      <c r="R26" s="36" t="s">
        <v>150</v>
      </c>
      <c r="S26" s="34">
        <f>SUM(C74:C77)</f>
        <v>67</v>
      </c>
      <c r="T26" s="34">
        <f t="shared" ref="T26:AF26" si="18">SUM(D74:D77)</f>
        <v>38</v>
      </c>
      <c r="U26" s="34">
        <f t="shared" si="18"/>
        <v>5</v>
      </c>
      <c r="V26" s="34">
        <f t="shared" si="18"/>
        <v>6</v>
      </c>
      <c r="W26" s="34">
        <f t="shared" si="18"/>
        <v>0</v>
      </c>
      <c r="X26" s="34">
        <f t="shared" si="18"/>
        <v>0</v>
      </c>
      <c r="Y26" s="34">
        <f t="shared" si="18"/>
        <v>4</v>
      </c>
      <c r="Z26" s="34">
        <f t="shared" si="18"/>
        <v>4</v>
      </c>
      <c r="AA26" s="34">
        <f t="shared" si="18"/>
        <v>0</v>
      </c>
      <c r="AB26" s="34">
        <f t="shared" si="18"/>
        <v>0</v>
      </c>
      <c r="AC26" s="34">
        <f t="shared" si="18"/>
        <v>198</v>
      </c>
      <c r="AD26" s="34">
        <f t="shared" si="18"/>
        <v>0</v>
      </c>
      <c r="AE26" s="31">
        <f t="shared" si="18"/>
        <v>124</v>
      </c>
      <c r="AF26" s="31">
        <f t="shared" si="18"/>
        <v>322</v>
      </c>
    </row>
    <row r="27" spans="2:32" ht="23.1" customHeight="1" x14ac:dyDescent="0.25">
      <c r="B27" s="45" t="s">
        <v>54</v>
      </c>
      <c r="C27" s="50">
        <v>40</v>
      </c>
      <c r="D27" s="50">
        <v>21</v>
      </c>
      <c r="E27" s="50">
        <v>7</v>
      </c>
      <c r="F27" s="50">
        <v>11</v>
      </c>
      <c r="G27" s="50">
        <v>1</v>
      </c>
      <c r="H27" s="50">
        <v>0</v>
      </c>
      <c r="I27" s="50">
        <v>2</v>
      </c>
      <c r="J27" s="50">
        <v>2</v>
      </c>
      <c r="K27" s="50">
        <v>0</v>
      </c>
      <c r="L27" s="50">
        <v>0</v>
      </c>
      <c r="M27" s="50">
        <v>85</v>
      </c>
      <c r="N27" s="50">
        <v>0</v>
      </c>
      <c r="O27" s="15">
        <f t="shared" si="0"/>
        <v>84</v>
      </c>
      <c r="P27" s="15">
        <f t="shared" si="1"/>
        <v>169</v>
      </c>
      <c r="R27" s="36" t="s">
        <v>151</v>
      </c>
      <c r="S27" s="34">
        <f>SUM(C78:C81)</f>
        <v>58</v>
      </c>
      <c r="T27" s="34">
        <f t="shared" ref="T27:AF27" si="19">SUM(D78:D81)</f>
        <v>20</v>
      </c>
      <c r="U27" s="34">
        <f t="shared" si="19"/>
        <v>4</v>
      </c>
      <c r="V27" s="34">
        <f t="shared" si="19"/>
        <v>5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90</v>
      </c>
      <c r="AD27" s="34">
        <f t="shared" si="19"/>
        <v>0</v>
      </c>
      <c r="AE27" s="31">
        <f t="shared" si="19"/>
        <v>88</v>
      </c>
      <c r="AF27" s="31">
        <f t="shared" si="19"/>
        <v>178</v>
      </c>
    </row>
    <row r="28" spans="2:32" ht="23.1" customHeight="1" x14ac:dyDescent="0.25">
      <c r="B28" s="45" t="s">
        <v>55</v>
      </c>
      <c r="C28" s="50">
        <v>70</v>
      </c>
      <c r="D28" s="50">
        <v>23</v>
      </c>
      <c r="E28" s="50">
        <v>4</v>
      </c>
      <c r="F28" s="50">
        <v>23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1</v>
      </c>
      <c r="M28" s="50">
        <v>87</v>
      </c>
      <c r="N28" s="50">
        <v>0</v>
      </c>
      <c r="O28" s="15">
        <f t="shared" si="0"/>
        <v>123</v>
      </c>
      <c r="P28" s="15">
        <f t="shared" si="1"/>
        <v>210</v>
      </c>
      <c r="R28" s="36" t="s">
        <v>152</v>
      </c>
      <c r="S28" s="34">
        <f>SUM(C82:C85)</f>
        <v>29</v>
      </c>
      <c r="T28" s="34">
        <f t="shared" ref="T28:AF28" si="20">SUM(D82:D85)</f>
        <v>1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63</v>
      </c>
      <c r="AD28" s="34">
        <f t="shared" si="20"/>
        <v>0</v>
      </c>
      <c r="AE28" s="31">
        <f t="shared" si="20"/>
        <v>31</v>
      </c>
      <c r="AF28" s="31">
        <f t="shared" si="20"/>
        <v>94</v>
      </c>
    </row>
    <row r="29" spans="2:32" ht="23.1" customHeight="1" x14ac:dyDescent="0.25">
      <c r="B29" s="45" t="s">
        <v>56</v>
      </c>
      <c r="C29" s="50">
        <v>70</v>
      </c>
      <c r="D29" s="50">
        <v>13</v>
      </c>
      <c r="E29" s="50">
        <v>2</v>
      </c>
      <c r="F29" s="50">
        <v>5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0</v>
      </c>
      <c r="M29" s="50">
        <v>112</v>
      </c>
      <c r="N29" s="50">
        <v>0</v>
      </c>
      <c r="O29" s="15">
        <f t="shared" si="0"/>
        <v>91</v>
      </c>
      <c r="P29" s="15">
        <f t="shared" si="1"/>
        <v>203</v>
      </c>
      <c r="R29" s="36" t="s">
        <v>153</v>
      </c>
      <c r="S29" s="34">
        <f>SUM(C86:C89)</f>
        <v>16</v>
      </c>
      <c r="T29" s="34">
        <f t="shared" ref="T29:AF29" si="21">SUM(D86:D89)</f>
        <v>7</v>
      </c>
      <c r="U29" s="34">
        <f t="shared" si="21"/>
        <v>1</v>
      </c>
      <c r="V29" s="34">
        <f t="shared" si="21"/>
        <v>3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40</v>
      </c>
      <c r="AD29" s="34">
        <f t="shared" si="21"/>
        <v>0</v>
      </c>
      <c r="AE29" s="31">
        <f t="shared" si="21"/>
        <v>28</v>
      </c>
      <c r="AF29" s="31">
        <f t="shared" si="21"/>
        <v>68</v>
      </c>
    </row>
    <row r="30" spans="2:32" ht="23.1" customHeight="1" x14ac:dyDescent="0.25">
      <c r="B30" s="45" t="s">
        <v>57</v>
      </c>
      <c r="C30" s="50">
        <v>60</v>
      </c>
      <c r="D30" s="50">
        <v>19</v>
      </c>
      <c r="E30" s="50">
        <v>8</v>
      </c>
      <c r="F30" s="50">
        <v>13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106</v>
      </c>
      <c r="N30" s="50">
        <v>0</v>
      </c>
      <c r="O30" s="15">
        <f t="shared" si="0"/>
        <v>104</v>
      </c>
      <c r="P30" s="15">
        <f t="shared" si="1"/>
        <v>210</v>
      </c>
      <c r="R30" s="36" t="s">
        <v>154</v>
      </c>
      <c r="S30" s="34">
        <f>SUM(C90:C93)</f>
        <v>18</v>
      </c>
      <c r="T30" s="34">
        <f t="shared" ref="T30:AF30" si="22">SUM(D90:D93)</f>
        <v>2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1</v>
      </c>
      <c r="Y30" s="34">
        <f t="shared" si="22"/>
        <v>1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17</v>
      </c>
      <c r="AD30" s="34">
        <f t="shared" si="22"/>
        <v>0</v>
      </c>
      <c r="AE30" s="31">
        <f t="shared" si="22"/>
        <v>24</v>
      </c>
      <c r="AF30" s="31">
        <f t="shared" si="22"/>
        <v>41</v>
      </c>
    </row>
    <row r="31" spans="2:32" ht="23.1" customHeight="1" x14ac:dyDescent="0.25">
      <c r="B31" s="46" t="s">
        <v>58</v>
      </c>
      <c r="C31" s="50">
        <v>53</v>
      </c>
      <c r="D31" s="50">
        <v>14</v>
      </c>
      <c r="E31" s="50">
        <v>9</v>
      </c>
      <c r="F31" s="50">
        <v>18</v>
      </c>
      <c r="G31" s="50">
        <v>0</v>
      </c>
      <c r="H31" s="50">
        <v>0</v>
      </c>
      <c r="I31" s="50">
        <v>6</v>
      </c>
      <c r="J31" s="50">
        <v>1</v>
      </c>
      <c r="K31" s="50">
        <v>3</v>
      </c>
      <c r="L31" s="50">
        <v>1</v>
      </c>
      <c r="M31" s="50">
        <v>117</v>
      </c>
      <c r="N31" s="50">
        <v>0</v>
      </c>
      <c r="O31" s="15">
        <f t="shared" si="0"/>
        <v>105</v>
      </c>
      <c r="P31" s="15">
        <f t="shared" si="1"/>
        <v>222</v>
      </c>
      <c r="R31" s="36" t="s">
        <v>155</v>
      </c>
      <c r="S31" s="34">
        <f>SUM(C94:C97)</f>
        <v>6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14</v>
      </c>
      <c r="AD31" s="34">
        <f t="shared" si="23"/>
        <v>0</v>
      </c>
      <c r="AE31" s="31">
        <f t="shared" si="23"/>
        <v>12</v>
      </c>
      <c r="AF31" s="31">
        <f t="shared" si="23"/>
        <v>26</v>
      </c>
    </row>
    <row r="32" spans="2:32" ht="23.1" customHeight="1" x14ac:dyDescent="0.25">
      <c r="B32" s="46" t="s">
        <v>59</v>
      </c>
      <c r="C32" s="50">
        <v>59</v>
      </c>
      <c r="D32" s="50">
        <v>34</v>
      </c>
      <c r="E32" s="50">
        <v>2</v>
      </c>
      <c r="F32" s="50">
        <v>8</v>
      </c>
      <c r="G32" s="50">
        <v>0</v>
      </c>
      <c r="H32" s="50">
        <v>0</v>
      </c>
      <c r="I32" s="50">
        <v>6</v>
      </c>
      <c r="J32" s="50">
        <v>2</v>
      </c>
      <c r="K32" s="50">
        <v>5</v>
      </c>
      <c r="L32" s="50">
        <v>0</v>
      </c>
      <c r="M32" s="50">
        <v>90</v>
      </c>
      <c r="N32" s="50">
        <v>0</v>
      </c>
      <c r="O32" s="15">
        <f t="shared" si="0"/>
        <v>116</v>
      </c>
      <c r="P32" s="15">
        <f t="shared" si="1"/>
        <v>206</v>
      </c>
      <c r="R32" s="33" t="s">
        <v>156</v>
      </c>
      <c r="S32" s="34">
        <f>SUM(C98:C101)</f>
        <v>65</v>
      </c>
      <c r="T32" s="34">
        <f t="shared" ref="T32:AF32" si="24">SUM(D98:D101)</f>
        <v>8</v>
      </c>
      <c r="U32" s="34">
        <f t="shared" si="24"/>
        <v>11</v>
      </c>
      <c r="V32" s="34">
        <f t="shared" si="24"/>
        <v>34</v>
      </c>
      <c r="W32" s="34">
        <f t="shared" si="24"/>
        <v>3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68</v>
      </c>
      <c r="AD32" s="34">
        <f t="shared" si="24"/>
        <v>0</v>
      </c>
      <c r="AE32" s="31">
        <f t="shared" si="24"/>
        <v>123</v>
      </c>
      <c r="AF32" s="31">
        <f t="shared" si="24"/>
        <v>191</v>
      </c>
    </row>
    <row r="33" spans="2:32" ht="23.1" customHeight="1" x14ac:dyDescent="0.25">
      <c r="B33" s="45" t="s">
        <v>60</v>
      </c>
      <c r="C33" s="50">
        <v>65</v>
      </c>
      <c r="D33" s="50">
        <v>41</v>
      </c>
      <c r="E33" s="50">
        <v>8</v>
      </c>
      <c r="F33" s="50">
        <v>12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85</v>
      </c>
      <c r="N33" s="50">
        <v>0</v>
      </c>
      <c r="O33" s="15">
        <f t="shared" si="0"/>
        <v>128</v>
      </c>
      <c r="P33" s="15">
        <f t="shared" si="1"/>
        <v>213</v>
      </c>
      <c r="R33" s="33" t="s">
        <v>157</v>
      </c>
      <c r="S33" s="34">
        <f>SUM(C102:C105)</f>
        <v>184</v>
      </c>
      <c r="T33" s="34">
        <f t="shared" ref="T33:AF33" si="25">SUM(D102:D105)</f>
        <v>155</v>
      </c>
      <c r="U33" s="34">
        <f t="shared" si="25"/>
        <v>50</v>
      </c>
      <c r="V33" s="34">
        <f t="shared" si="25"/>
        <v>41</v>
      </c>
      <c r="W33" s="34">
        <f t="shared" si="25"/>
        <v>2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158</v>
      </c>
      <c r="AD33" s="34">
        <f t="shared" si="25"/>
        <v>0</v>
      </c>
      <c r="AE33" s="31">
        <f t="shared" si="25"/>
        <v>433</v>
      </c>
      <c r="AF33" s="31">
        <f t="shared" si="25"/>
        <v>591</v>
      </c>
    </row>
    <row r="34" spans="2:32" ht="23.1" customHeight="1" x14ac:dyDescent="0.25">
      <c r="B34" s="46" t="s">
        <v>61</v>
      </c>
      <c r="C34" s="50">
        <v>60</v>
      </c>
      <c r="D34" s="50">
        <v>30</v>
      </c>
      <c r="E34" s="50">
        <v>7</v>
      </c>
      <c r="F34" s="50">
        <v>22</v>
      </c>
      <c r="G34" s="50">
        <v>1</v>
      </c>
      <c r="H34" s="50">
        <v>0</v>
      </c>
      <c r="I34" s="50">
        <v>6</v>
      </c>
      <c r="J34" s="50">
        <v>4</v>
      </c>
      <c r="K34" s="50">
        <v>2</v>
      </c>
      <c r="L34" s="50">
        <v>0</v>
      </c>
      <c r="M34" s="50">
        <v>101</v>
      </c>
      <c r="N34" s="50">
        <v>0</v>
      </c>
      <c r="O34" s="15">
        <f t="shared" si="0"/>
        <v>132</v>
      </c>
      <c r="P34" s="15">
        <f t="shared" si="1"/>
        <v>233</v>
      </c>
      <c r="R34" s="38" t="s">
        <v>90</v>
      </c>
      <c r="S34" s="39">
        <f t="shared" ref="S34:AF34" si="26">MAX(S10:S12)</f>
        <v>435</v>
      </c>
      <c r="T34" s="39">
        <f t="shared" si="26"/>
        <v>222</v>
      </c>
      <c r="U34" s="39">
        <f t="shared" si="26"/>
        <v>450</v>
      </c>
      <c r="V34" s="39">
        <f t="shared" si="26"/>
        <v>133</v>
      </c>
      <c r="W34" s="39">
        <f t="shared" si="26"/>
        <v>42</v>
      </c>
      <c r="X34" s="39">
        <f t="shared" si="26"/>
        <v>1</v>
      </c>
      <c r="Y34" s="39">
        <f t="shared" si="26"/>
        <v>38</v>
      </c>
      <c r="Z34" s="39">
        <f t="shared" si="26"/>
        <v>3</v>
      </c>
      <c r="AA34" s="39">
        <f t="shared" si="26"/>
        <v>16</v>
      </c>
      <c r="AB34" s="39">
        <f t="shared" si="26"/>
        <v>1</v>
      </c>
      <c r="AC34" s="39">
        <f t="shared" si="26"/>
        <v>829</v>
      </c>
      <c r="AD34" s="39">
        <f t="shared" si="26"/>
        <v>0</v>
      </c>
      <c r="AE34" s="40">
        <f t="shared" si="26"/>
        <v>1285</v>
      </c>
      <c r="AF34" s="40">
        <f t="shared" si="26"/>
        <v>2114</v>
      </c>
    </row>
    <row r="35" spans="2:32" ht="23.1" customHeight="1" x14ac:dyDescent="0.25">
      <c r="B35" s="46" t="s">
        <v>62</v>
      </c>
      <c r="C35" s="50">
        <v>51</v>
      </c>
      <c r="D35" s="50">
        <v>20</v>
      </c>
      <c r="E35" s="50">
        <v>3</v>
      </c>
      <c r="F35" s="50">
        <v>6</v>
      </c>
      <c r="G35" s="50">
        <v>0</v>
      </c>
      <c r="H35" s="50">
        <v>0</v>
      </c>
      <c r="I35" s="50">
        <v>1</v>
      </c>
      <c r="J35" s="50">
        <v>1</v>
      </c>
      <c r="K35" s="50">
        <v>2</v>
      </c>
      <c r="L35" s="50">
        <v>1</v>
      </c>
      <c r="M35" s="50">
        <v>84</v>
      </c>
      <c r="N35" s="50">
        <v>0</v>
      </c>
      <c r="O35" s="15">
        <f t="shared" si="0"/>
        <v>85</v>
      </c>
      <c r="P35" s="15">
        <f t="shared" si="1"/>
        <v>169</v>
      </c>
      <c r="R35" s="38" t="s">
        <v>91</v>
      </c>
      <c r="S35" s="39">
        <f t="shared" ref="S35:AF35" si="27">MAX(S13:S18)</f>
        <v>367</v>
      </c>
      <c r="T35" s="39">
        <f t="shared" si="27"/>
        <v>120</v>
      </c>
      <c r="U35" s="39">
        <f t="shared" si="27"/>
        <v>27</v>
      </c>
      <c r="V35" s="39">
        <f t="shared" si="27"/>
        <v>79</v>
      </c>
      <c r="W35" s="39">
        <f t="shared" si="27"/>
        <v>2</v>
      </c>
      <c r="X35" s="39">
        <f t="shared" si="27"/>
        <v>0</v>
      </c>
      <c r="Y35" s="39">
        <f t="shared" si="27"/>
        <v>18</v>
      </c>
      <c r="Z35" s="39">
        <f t="shared" si="27"/>
        <v>12</v>
      </c>
      <c r="AA35" s="39">
        <f t="shared" si="27"/>
        <v>8</v>
      </c>
      <c r="AB35" s="39">
        <f t="shared" si="27"/>
        <v>1</v>
      </c>
      <c r="AC35" s="39">
        <f t="shared" si="27"/>
        <v>435</v>
      </c>
      <c r="AD35" s="39">
        <f t="shared" si="27"/>
        <v>0</v>
      </c>
      <c r="AE35" s="40">
        <f t="shared" si="27"/>
        <v>630</v>
      </c>
      <c r="AF35" s="40">
        <f t="shared" si="27"/>
        <v>1065</v>
      </c>
    </row>
    <row r="36" spans="2:32" ht="23.1" customHeight="1" x14ac:dyDescent="0.25">
      <c r="B36" s="46" t="s">
        <v>63</v>
      </c>
      <c r="C36" s="50">
        <v>51</v>
      </c>
      <c r="D36" s="50">
        <v>6</v>
      </c>
      <c r="E36" s="50">
        <v>1</v>
      </c>
      <c r="F36" s="50">
        <v>9</v>
      </c>
      <c r="G36" s="50">
        <v>1</v>
      </c>
      <c r="H36" s="50">
        <v>0</v>
      </c>
      <c r="I36" s="50">
        <v>4</v>
      </c>
      <c r="J36" s="50">
        <v>4</v>
      </c>
      <c r="K36" s="50">
        <v>2</v>
      </c>
      <c r="L36" s="50">
        <v>0</v>
      </c>
      <c r="M36" s="50">
        <v>96</v>
      </c>
      <c r="N36" s="50">
        <v>0</v>
      </c>
      <c r="O36" s="15">
        <f t="shared" si="0"/>
        <v>78</v>
      </c>
      <c r="P36" s="15">
        <f t="shared" si="1"/>
        <v>174</v>
      </c>
      <c r="R36" s="38" t="s">
        <v>92</v>
      </c>
      <c r="S36" s="39">
        <f t="shared" ref="S36:AF36" si="28">MAX(S19:S21)</f>
        <v>255</v>
      </c>
      <c r="T36" s="39">
        <f t="shared" si="28"/>
        <v>128</v>
      </c>
      <c r="U36" s="39">
        <f t="shared" si="28"/>
        <v>42</v>
      </c>
      <c r="V36" s="39">
        <f t="shared" si="28"/>
        <v>115</v>
      </c>
      <c r="W36" s="39">
        <f t="shared" si="28"/>
        <v>2</v>
      </c>
      <c r="X36" s="39">
        <f t="shared" si="28"/>
        <v>0</v>
      </c>
      <c r="Y36" s="39">
        <f t="shared" si="28"/>
        <v>11</v>
      </c>
      <c r="Z36" s="39">
        <f t="shared" si="28"/>
        <v>7</v>
      </c>
      <c r="AA36" s="39">
        <f t="shared" si="28"/>
        <v>10</v>
      </c>
      <c r="AB36" s="39">
        <f t="shared" si="28"/>
        <v>1</v>
      </c>
      <c r="AC36" s="39">
        <f t="shared" si="28"/>
        <v>486</v>
      </c>
      <c r="AD36" s="39">
        <f t="shared" si="28"/>
        <v>0</v>
      </c>
      <c r="AE36" s="40">
        <f t="shared" si="28"/>
        <v>546</v>
      </c>
      <c r="AF36" s="40">
        <f t="shared" si="28"/>
        <v>1032</v>
      </c>
    </row>
    <row r="37" spans="2:32" ht="23.1" customHeight="1" x14ac:dyDescent="0.25">
      <c r="B37" s="45" t="s">
        <v>64</v>
      </c>
      <c r="C37" s="50">
        <v>42</v>
      </c>
      <c r="D37" s="50">
        <v>5</v>
      </c>
      <c r="E37" s="50">
        <v>4</v>
      </c>
      <c r="F37" s="50">
        <v>12</v>
      </c>
      <c r="G37" s="50">
        <v>0</v>
      </c>
      <c r="H37" s="50">
        <v>0</v>
      </c>
      <c r="I37" s="50">
        <v>7</v>
      </c>
      <c r="J37" s="50">
        <v>2</v>
      </c>
      <c r="K37" s="50">
        <v>2</v>
      </c>
      <c r="L37" s="50">
        <v>0</v>
      </c>
      <c r="M37" s="50">
        <v>78</v>
      </c>
      <c r="N37" s="50">
        <v>0</v>
      </c>
      <c r="O37" s="15">
        <f t="shared" si="0"/>
        <v>74</v>
      </c>
      <c r="P37" s="15">
        <f t="shared" si="1"/>
        <v>152</v>
      </c>
      <c r="R37" s="37" t="s">
        <v>85</v>
      </c>
      <c r="S37" s="35">
        <f t="shared" ref="S37:AF37" si="29">SUM(S10:S12)</f>
        <v>1236</v>
      </c>
      <c r="T37" s="16">
        <f t="shared" si="29"/>
        <v>511</v>
      </c>
      <c r="U37" s="16">
        <f t="shared" si="29"/>
        <v>526</v>
      </c>
      <c r="V37" s="16">
        <f t="shared" si="29"/>
        <v>357</v>
      </c>
      <c r="W37" s="16">
        <f t="shared" si="29"/>
        <v>43</v>
      </c>
      <c r="X37" s="16">
        <f t="shared" si="29"/>
        <v>1</v>
      </c>
      <c r="Y37" s="16">
        <f t="shared" si="29"/>
        <v>65</v>
      </c>
      <c r="Z37" s="16">
        <f t="shared" si="29"/>
        <v>5</v>
      </c>
      <c r="AA37" s="16">
        <f t="shared" si="29"/>
        <v>19</v>
      </c>
      <c r="AB37" s="16">
        <f t="shared" si="29"/>
        <v>2</v>
      </c>
      <c r="AC37" s="16">
        <f t="shared" si="29"/>
        <v>2202</v>
      </c>
      <c r="AD37" s="16">
        <f t="shared" si="29"/>
        <v>0</v>
      </c>
      <c r="AE37" s="32">
        <f t="shared" si="29"/>
        <v>2765</v>
      </c>
      <c r="AF37" s="32">
        <f t="shared" si="29"/>
        <v>4967</v>
      </c>
    </row>
    <row r="38" spans="2:32" ht="23.1" customHeight="1" x14ac:dyDescent="0.25">
      <c r="B38" s="46" t="s">
        <v>65</v>
      </c>
      <c r="C38" s="50">
        <v>50</v>
      </c>
      <c r="D38" s="50">
        <v>14</v>
      </c>
      <c r="E38" s="50">
        <v>1</v>
      </c>
      <c r="F38" s="50">
        <v>12</v>
      </c>
      <c r="G38" s="50">
        <v>0</v>
      </c>
      <c r="H38" s="50">
        <v>0</v>
      </c>
      <c r="I38" s="50">
        <v>4</v>
      </c>
      <c r="J38" s="50">
        <v>0</v>
      </c>
      <c r="K38" s="50">
        <v>3</v>
      </c>
      <c r="L38" s="50">
        <v>0</v>
      </c>
      <c r="M38" s="50">
        <v>91</v>
      </c>
      <c r="N38" s="50">
        <v>0</v>
      </c>
      <c r="O38" s="15">
        <f t="shared" si="0"/>
        <v>84</v>
      </c>
      <c r="P38" s="15">
        <f t="shared" si="1"/>
        <v>175</v>
      </c>
      <c r="R38" s="28" t="s">
        <v>86</v>
      </c>
      <c r="S38" s="16">
        <f t="shared" ref="S38:AF38" si="30">SUM(S13:S18)</f>
        <v>1385</v>
      </c>
      <c r="T38" s="16">
        <f t="shared" si="30"/>
        <v>491</v>
      </c>
      <c r="U38" s="16">
        <f t="shared" si="30"/>
        <v>115</v>
      </c>
      <c r="V38" s="16">
        <f t="shared" si="30"/>
        <v>319</v>
      </c>
      <c r="W38" s="16">
        <f t="shared" si="30"/>
        <v>3</v>
      </c>
      <c r="X38" s="16">
        <f t="shared" si="30"/>
        <v>0</v>
      </c>
      <c r="Y38" s="16">
        <f t="shared" si="30"/>
        <v>79</v>
      </c>
      <c r="Z38" s="16">
        <f t="shared" si="30"/>
        <v>41</v>
      </c>
      <c r="AA38" s="16">
        <f t="shared" si="30"/>
        <v>37</v>
      </c>
      <c r="AB38" s="16">
        <f t="shared" si="30"/>
        <v>5</v>
      </c>
      <c r="AC38" s="16">
        <f t="shared" si="30"/>
        <v>2280</v>
      </c>
      <c r="AD38" s="16">
        <f t="shared" si="30"/>
        <v>0</v>
      </c>
      <c r="AE38" s="32">
        <f t="shared" si="30"/>
        <v>2475</v>
      </c>
      <c r="AF38" s="32">
        <f t="shared" si="30"/>
        <v>4755</v>
      </c>
    </row>
    <row r="39" spans="2:32" ht="23.1" customHeight="1" x14ac:dyDescent="0.25">
      <c r="B39" s="46" t="s">
        <v>66</v>
      </c>
      <c r="C39" s="50">
        <v>50</v>
      </c>
      <c r="D39" s="50">
        <v>21</v>
      </c>
      <c r="E39" s="50">
        <v>7</v>
      </c>
      <c r="F39" s="50">
        <v>14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93</v>
      </c>
      <c r="N39" s="50">
        <v>0</v>
      </c>
      <c r="O39" s="15">
        <f t="shared" si="0"/>
        <v>93</v>
      </c>
      <c r="P39" s="15">
        <f t="shared" si="1"/>
        <v>186</v>
      </c>
      <c r="R39" s="29" t="s">
        <v>87</v>
      </c>
      <c r="S39" s="16">
        <f t="shared" ref="S39:AF39" si="31">SUM(S19:S21)</f>
        <v>634</v>
      </c>
      <c r="T39" s="16">
        <f t="shared" si="31"/>
        <v>317</v>
      </c>
      <c r="U39" s="16">
        <f t="shared" si="31"/>
        <v>109</v>
      </c>
      <c r="V39" s="16">
        <f t="shared" si="31"/>
        <v>295</v>
      </c>
      <c r="W39" s="16">
        <f t="shared" si="31"/>
        <v>3</v>
      </c>
      <c r="X39" s="16">
        <f t="shared" si="31"/>
        <v>0</v>
      </c>
      <c r="Y39" s="16">
        <f t="shared" si="31"/>
        <v>26</v>
      </c>
      <c r="Z39" s="16">
        <f t="shared" si="31"/>
        <v>18</v>
      </c>
      <c r="AA39" s="16">
        <f t="shared" si="31"/>
        <v>21</v>
      </c>
      <c r="AB39" s="16">
        <f t="shared" si="31"/>
        <v>3</v>
      </c>
      <c r="AC39" s="16">
        <f t="shared" si="31"/>
        <v>1296</v>
      </c>
      <c r="AD39" s="16">
        <f t="shared" si="31"/>
        <v>0</v>
      </c>
      <c r="AE39" s="32">
        <f t="shared" si="31"/>
        <v>1426</v>
      </c>
      <c r="AF39" s="32">
        <f t="shared" si="31"/>
        <v>2722</v>
      </c>
    </row>
    <row r="40" spans="2:32" ht="23.1" customHeight="1" x14ac:dyDescent="0.25">
      <c r="B40" s="46" t="s">
        <v>67</v>
      </c>
      <c r="C40" s="50">
        <v>55</v>
      </c>
      <c r="D40" s="50">
        <v>13</v>
      </c>
      <c r="E40" s="50">
        <v>6</v>
      </c>
      <c r="F40" s="50">
        <v>10</v>
      </c>
      <c r="G40" s="50">
        <v>0</v>
      </c>
      <c r="H40" s="50">
        <v>0</v>
      </c>
      <c r="I40" s="50">
        <v>5</v>
      </c>
      <c r="J40" s="50">
        <v>4</v>
      </c>
      <c r="K40" s="50">
        <v>0</v>
      </c>
      <c r="L40" s="50">
        <v>1</v>
      </c>
      <c r="M40" s="50">
        <v>89</v>
      </c>
      <c r="N40" s="50">
        <v>0</v>
      </c>
      <c r="O40" s="15">
        <f t="shared" si="0"/>
        <v>94</v>
      </c>
      <c r="P40" s="15">
        <f t="shared" si="1"/>
        <v>183</v>
      </c>
      <c r="R40" s="5" t="s">
        <v>17</v>
      </c>
      <c r="S40" s="16">
        <f t="shared" ref="S40:AF40" si="32">SUM(S10:S21)</f>
        <v>3255</v>
      </c>
      <c r="T40" s="16">
        <f t="shared" si="32"/>
        <v>1319</v>
      </c>
      <c r="U40" s="16">
        <f t="shared" si="32"/>
        <v>750</v>
      </c>
      <c r="V40" s="16">
        <f t="shared" si="32"/>
        <v>971</v>
      </c>
      <c r="W40" s="16">
        <f t="shared" si="32"/>
        <v>49</v>
      </c>
      <c r="X40" s="16">
        <f t="shared" si="32"/>
        <v>1</v>
      </c>
      <c r="Y40" s="16">
        <f t="shared" si="32"/>
        <v>170</v>
      </c>
      <c r="Z40" s="16">
        <f t="shared" si="32"/>
        <v>64</v>
      </c>
      <c r="AA40" s="16">
        <f t="shared" si="32"/>
        <v>77</v>
      </c>
      <c r="AB40" s="16">
        <f t="shared" si="32"/>
        <v>10</v>
      </c>
      <c r="AC40" s="16">
        <f t="shared" si="32"/>
        <v>5778</v>
      </c>
      <c r="AD40" s="16">
        <f t="shared" si="32"/>
        <v>0</v>
      </c>
      <c r="AE40" s="32">
        <f t="shared" si="32"/>
        <v>6666</v>
      </c>
      <c r="AF40" s="32">
        <f t="shared" si="32"/>
        <v>12444</v>
      </c>
    </row>
    <row r="41" spans="2:32" ht="23.1" customHeight="1" x14ac:dyDescent="0.25">
      <c r="B41" s="45" t="s">
        <v>68</v>
      </c>
      <c r="C41" s="50">
        <v>39</v>
      </c>
      <c r="D41" s="50">
        <v>22</v>
      </c>
      <c r="E41" s="50">
        <v>3</v>
      </c>
      <c r="F41" s="50">
        <v>15</v>
      </c>
      <c r="G41" s="50">
        <v>0</v>
      </c>
      <c r="H41" s="50">
        <v>0</v>
      </c>
      <c r="I41" s="50">
        <v>3</v>
      </c>
      <c r="J41" s="50">
        <v>0</v>
      </c>
      <c r="K41" s="50">
        <v>2</v>
      </c>
      <c r="L41" s="50">
        <v>0</v>
      </c>
      <c r="M41" s="50">
        <v>64</v>
      </c>
      <c r="N41" s="50">
        <v>0</v>
      </c>
      <c r="O41" s="15">
        <f t="shared" si="0"/>
        <v>84</v>
      </c>
      <c r="P41" s="15">
        <f t="shared" si="1"/>
        <v>148</v>
      </c>
      <c r="R41" s="5" t="s">
        <v>159</v>
      </c>
      <c r="S41" s="16">
        <f>SUM(S10:S33)</f>
        <v>4156</v>
      </c>
      <c r="T41" s="16">
        <f t="shared" ref="T41:AF41" si="33">SUM(T10:T33)</f>
        <v>1707</v>
      </c>
      <c r="U41" s="16">
        <f t="shared" si="33"/>
        <v>887</v>
      </c>
      <c r="V41" s="16">
        <f t="shared" si="33"/>
        <v>1203</v>
      </c>
      <c r="W41" s="16">
        <f t="shared" si="33"/>
        <v>61</v>
      </c>
      <c r="X41" s="16">
        <f t="shared" si="33"/>
        <v>2</v>
      </c>
      <c r="Y41" s="16">
        <f t="shared" si="33"/>
        <v>194</v>
      </c>
      <c r="Z41" s="16">
        <f t="shared" si="33"/>
        <v>81</v>
      </c>
      <c r="AA41" s="16">
        <f t="shared" si="33"/>
        <v>85</v>
      </c>
      <c r="AB41" s="16">
        <f t="shared" si="33"/>
        <v>15</v>
      </c>
      <c r="AC41" s="16">
        <f t="shared" si="33"/>
        <v>8540</v>
      </c>
      <c r="AD41" s="16">
        <f t="shared" si="33"/>
        <v>0</v>
      </c>
      <c r="AE41" s="32">
        <f t="shared" si="33"/>
        <v>8391</v>
      </c>
      <c r="AF41" s="32">
        <f t="shared" si="33"/>
        <v>16931</v>
      </c>
    </row>
    <row r="42" spans="2:32" ht="23.1" customHeight="1" x14ac:dyDescent="0.25">
      <c r="B42" s="46" t="s">
        <v>69</v>
      </c>
      <c r="C42" s="50">
        <v>31</v>
      </c>
      <c r="D42" s="50">
        <v>16</v>
      </c>
      <c r="E42" s="50">
        <v>4</v>
      </c>
      <c r="F42" s="50">
        <v>12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0</v>
      </c>
      <c r="M42" s="50">
        <v>98</v>
      </c>
      <c r="N42" s="50">
        <v>0</v>
      </c>
      <c r="O42" s="15">
        <f t="shared" si="0"/>
        <v>65</v>
      </c>
      <c r="P42" s="15">
        <f t="shared" si="1"/>
        <v>163</v>
      </c>
      <c r="R42" s="5" t="s">
        <v>160</v>
      </c>
      <c r="S42" s="48">
        <f>S41/S40</f>
        <v>1.2768049155145929</v>
      </c>
      <c r="T42" s="48">
        <f t="shared" ref="T42:AF42" si="34">T41/T40</f>
        <v>1.2941622441243366</v>
      </c>
      <c r="U42" s="48">
        <f t="shared" si="34"/>
        <v>1.1826666666666668</v>
      </c>
      <c r="V42" s="48">
        <f t="shared" si="34"/>
        <v>1.238928939237899</v>
      </c>
      <c r="W42" s="48">
        <f t="shared" si="34"/>
        <v>1.2448979591836735</v>
      </c>
      <c r="X42" s="48">
        <f t="shared" si="34"/>
        <v>2</v>
      </c>
      <c r="Y42" s="48">
        <f t="shared" si="34"/>
        <v>1.1411764705882352</v>
      </c>
      <c r="Z42" s="48">
        <f t="shared" si="34"/>
        <v>1.265625</v>
      </c>
      <c r="AA42" s="48">
        <f t="shared" si="34"/>
        <v>1.1038961038961039</v>
      </c>
      <c r="AB42" s="48">
        <f t="shared" si="34"/>
        <v>1.5</v>
      </c>
      <c r="AC42" s="48">
        <f t="shared" si="34"/>
        <v>1.4780200761509172</v>
      </c>
      <c r="AD42" s="48" t="e">
        <f t="shared" si="34"/>
        <v>#DIV/0!</v>
      </c>
      <c r="AE42" s="48">
        <f t="shared" si="34"/>
        <v>1.2587758775877589</v>
      </c>
      <c r="AF42" s="48">
        <f t="shared" si="34"/>
        <v>1.3605753776920604</v>
      </c>
    </row>
    <row r="43" spans="2:32" ht="23.1" customHeight="1" x14ac:dyDescent="0.25">
      <c r="B43" s="45" t="s">
        <v>70</v>
      </c>
      <c r="C43" s="50">
        <v>16</v>
      </c>
      <c r="D43" s="50">
        <v>7</v>
      </c>
      <c r="E43" s="50">
        <v>0</v>
      </c>
      <c r="F43" s="50">
        <v>4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95</v>
      </c>
      <c r="N43" s="50">
        <v>0</v>
      </c>
      <c r="O43" s="15">
        <f t="shared" si="0"/>
        <v>29</v>
      </c>
      <c r="P43" s="15">
        <f t="shared" si="1"/>
        <v>124</v>
      </c>
    </row>
    <row r="44" spans="2:32" ht="23.1" customHeight="1" x14ac:dyDescent="0.25">
      <c r="B44" s="47" t="s">
        <v>71</v>
      </c>
      <c r="C44" s="50">
        <v>35</v>
      </c>
      <c r="D44" s="50">
        <v>17</v>
      </c>
      <c r="E44" s="50">
        <v>3</v>
      </c>
      <c r="F44" s="50">
        <v>10</v>
      </c>
      <c r="G44" s="50">
        <v>0</v>
      </c>
      <c r="H44" s="50">
        <v>0</v>
      </c>
      <c r="I44" s="50">
        <v>5</v>
      </c>
      <c r="J44" s="50">
        <v>4</v>
      </c>
      <c r="K44" s="50">
        <v>5</v>
      </c>
      <c r="L44" s="50">
        <v>0</v>
      </c>
      <c r="M44" s="50">
        <v>83</v>
      </c>
      <c r="N44" s="50">
        <v>0</v>
      </c>
      <c r="O44" s="15">
        <f t="shared" si="0"/>
        <v>79</v>
      </c>
      <c r="P44" s="15">
        <f t="shared" si="1"/>
        <v>162</v>
      </c>
    </row>
    <row r="45" spans="2:32" ht="23.1" customHeight="1" x14ac:dyDescent="0.25">
      <c r="B45" s="45" t="s">
        <v>72</v>
      </c>
      <c r="C45" s="50">
        <v>41</v>
      </c>
      <c r="D45" s="50">
        <v>4</v>
      </c>
      <c r="E45" s="50">
        <v>1</v>
      </c>
      <c r="F45" s="50">
        <v>8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72</v>
      </c>
      <c r="N45" s="50">
        <v>0</v>
      </c>
      <c r="O45" s="15">
        <f t="shared" si="0"/>
        <v>55</v>
      </c>
      <c r="P45" s="15">
        <f t="shared" si="1"/>
        <v>127</v>
      </c>
    </row>
    <row r="46" spans="2:32" ht="23.1" customHeight="1" x14ac:dyDescent="0.25">
      <c r="B46" s="46" t="s">
        <v>73</v>
      </c>
      <c r="C46" s="50">
        <v>32</v>
      </c>
      <c r="D46" s="50">
        <v>25</v>
      </c>
      <c r="E46" s="50">
        <v>7</v>
      </c>
      <c r="F46" s="50">
        <v>14</v>
      </c>
      <c r="G46" s="50">
        <v>0</v>
      </c>
      <c r="H46" s="50">
        <v>0</v>
      </c>
      <c r="I46" s="50">
        <v>3</v>
      </c>
      <c r="J46" s="50">
        <v>2</v>
      </c>
      <c r="K46" s="50">
        <v>3</v>
      </c>
      <c r="L46" s="50">
        <v>0</v>
      </c>
      <c r="M46" s="50">
        <v>93</v>
      </c>
      <c r="N46" s="50">
        <v>0</v>
      </c>
      <c r="O46" s="15">
        <f t="shared" si="0"/>
        <v>86</v>
      </c>
      <c r="P46" s="15">
        <f t="shared" si="1"/>
        <v>179</v>
      </c>
      <c r="R46" s="8"/>
      <c r="T46"/>
    </row>
    <row r="47" spans="2:32" ht="23.1" customHeight="1" x14ac:dyDescent="0.25">
      <c r="B47" s="46" t="s">
        <v>74</v>
      </c>
      <c r="C47" s="50">
        <v>40</v>
      </c>
      <c r="D47" s="50">
        <v>17</v>
      </c>
      <c r="E47" s="50">
        <v>5</v>
      </c>
      <c r="F47" s="50">
        <v>20</v>
      </c>
      <c r="G47" s="50">
        <v>0</v>
      </c>
      <c r="H47" s="50">
        <v>0</v>
      </c>
      <c r="I47" s="50">
        <v>1</v>
      </c>
      <c r="J47" s="50">
        <v>2</v>
      </c>
      <c r="K47" s="50">
        <v>2</v>
      </c>
      <c r="L47" s="50">
        <v>1</v>
      </c>
      <c r="M47" s="50">
        <v>98</v>
      </c>
      <c r="N47" s="50">
        <v>0</v>
      </c>
      <c r="O47" s="15">
        <f t="shared" si="0"/>
        <v>88</v>
      </c>
      <c r="P47" s="15">
        <f t="shared" si="1"/>
        <v>186</v>
      </c>
      <c r="R47" s="8"/>
      <c r="T47"/>
    </row>
    <row r="48" spans="2:32" ht="23.1" customHeight="1" x14ac:dyDescent="0.25">
      <c r="B48" s="46" t="s">
        <v>75</v>
      </c>
      <c r="C48" s="50">
        <v>46</v>
      </c>
      <c r="D48" s="50">
        <v>22</v>
      </c>
      <c r="E48" s="50">
        <v>10</v>
      </c>
      <c r="F48" s="50">
        <v>15</v>
      </c>
      <c r="G48" s="50">
        <v>2</v>
      </c>
      <c r="H48" s="50">
        <v>0</v>
      </c>
      <c r="I48" s="50">
        <v>2</v>
      </c>
      <c r="J48" s="50">
        <v>2</v>
      </c>
      <c r="K48" s="50">
        <v>1</v>
      </c>
      <c r="L48" s="50">
        <v>0</v>
      </c>
      <c r="M48" s="50">
        <v>95</v>
      </c>
      <c r="N48" s="50">
        <v>0</v>
      </c>
      <c r="O48" s="15">
        <f t="shared" si="0"/>
        <v>100</v>
      </c>
      <c r="P48" s="15">
        <f t="shared" si="1"/>
        <v>195</v>
      </c>
      <c r="R48" s="8"/>
      <c r="T48"/>
    </row>
    <row r="49" spans="2:20" ht="23.1" customHeight="1" x14ac:dyDescent="0.25">
      <c r="B49" s="45" t="s">
        <v>76</v>
      </c>
      <c r="C49" s="50">
        <v>53</v>
      </c>
      <c r="D49" s="50">
        <v>17</v>
      </c>
      <c r="E49" s="50">
        <v>3</v>
      </c>
      <c r="F49" s="50">
        <v>25</v>
      </c>
      <c r="G49" s="50">
        <v>0</v>
      </c>
      <c r="H49" s="50">
        <v>0</v>
      </c>
      <c r="I49" s="50">
        <v>3</v>
      </c>
      <c r="J49" s="50">
        <v>1</v>
      </c>
      <c r="K49" s="50">
        <v>1</v>
      </c>
      <c r="L49" s="50">
        <v>0</v>
      </c>
      <c r="M49" s="50">
        <v>96</v>
      </c>
      <c r="N49" s="50">
        <v>0</v>
      </c>
      <c r="O49" s="15">
        <f t="shared" si="0"/>
        <v>103</v>
      </c>
      <c r="P49" s="15">
        <f t="shared" si="1"/>
        <v>199</v>
      </c>
      <c r="R49" s="8"/>
      <c r="T49"/>
    </row>
    <row r="50" spans="2:20" ht="23.1" customHeight="1" x14ac:dyDescent="0.25">
      <c r="B50" s="46" t="s">
        <v>77</v>
      </c>
      <c r="C50" s="50">
        <v>45</v>
      </c>
      <c r="D50" s="50">
        <v>30</v>
      </c>
      <c r="E50" s="50">
        <v>10</v>
      </c>
      <c r="F50" s="50">
        <v>10</v>
      </c>
      <c r="G50" s="50">
        <v>0</v>
      </c>
      <c r="H50" s="50">
        <v>0</v>
      </c>
      <c r="I50" s="50">
        <v>3</v>
      </c>
      <c r="J50" s="50">
        <v>1</v>
      </c>
      <c r="K50" s="50">
        <v>4</v>
      </c>
      <c r="L50" s="50">
        <v>0</v>
      </c>
      <c r="M50" s="50">
        <v>87</v>
      </c>
      <c r="N50" s="50">
        <v>0</v>
      </c>
      <c r="O50" s="15">
        <f t="shared" si="0"/>
        <v>103</v>
      </c>
      <c r="P50" s="15">
        <f t="shared" si="1"/>
        <v>190</v>
      </c>
      <c r="R50" s="8"/>
      <c r="T50"/>
    </row>
    <row r="51" spans="2:20" ht="23.1" customHeight="1" x14ac:dyDescent="0.25">
      <c r="B51" s="46" t="s">
        <v>78</v>
      </c>
      <c r="C51" s="50">
        <v>62</v>
      </c>
      <c r="D51" s="50">
        <v>26</v>
      </c>
      <c r="E51" s="50">
        <v>12</v>
      </c>
      <c r="F51" s="50">
        <v>40</v>
      </c>
      <c r="G51" s="50">
        <v>1</v>
      </c>
      <c r="H51" s="50">
        <v>0</v>
      </c>
      <c r="I51" s="50">
        <v>1</v>
      </c>
      <c r="J51" s="50">
        <v>1</v>
      </c>
      <c r="K51" s="50">
        <v>2</v>
      </c>
      <c r="L51" s="50">
        <v>0</v>
      </c>
      <c r="M51" s="50">
        <v>120</v>
      </c>
      <c r="N51" s="50">
        <v>0</v>
      </c>
      <c r="O51" s="15">
        <f t="shared" si="0"/>
        <v>145</v>
      </c>
      <c r="P51" s="15">
        <f t="shared" si="1"/>
        <v>265</v>
      </c>
      <c r="R51" s="8"/>
      <c r="T51"/>
    </row>
    <row r="52" spans="2:20" ht="23.1" customHeight="1" x14ac:dyDescent="0.25">
      <c r="B52" s="46" t="s">
        <v>79</v>
      </c>
      <c r="C52" s="50">
        <v>45</v>
      </c>
      <c r="D52" s="50">
        <v>30</v>
      </c>
      <c r="E52" s="50">
        <v>8</v>
      </c>
      <c r="F52" s="50">
        <v>40</v>
      </c>
      <c r="G52" s="50">
        <v>0</v>
      </c>
      <c r="H52" s="50">
        <v>0</v>
      </c>
      <c r="I52" s="50">
        <v>5</v>
      </c>
      <c r="J52" s="50">
        <v>3</v>
      </c>
      <c r="K52" s="50">
        <v>3</v>
      </c>
      <c r="L52" s="50">
        <v>1</v>
      </c>
      <c r="M52" s="50">
        <v>114</v>
      </c>
      <c r="N52" s="50">
        <v>0</v>
      </c>
      <c r="O52" s="15">
        <f t="shared" si="0"/>
        <v>135</v>
      </c>
      <c r="P52" s="15">
        <f t="shared" si="1"/>
        <v>249</v>
      </c>
      <c r="R52" s="8"/>
      <c r="T52"/>
    </row>
    <row r="53" spans="2:20" ht="23.1" customHeight="1" x14ac:dyDescent="0.25">
      <c r="B53" s="45" t="s">
        <v>80</v>
      </c>
      <c r="C53" s="50">
        <v>56</v>
      </c>
      <c r="D53" s="50">
        <v>22</v>
      </c>
      <c r="E53" s="50">
        <v>12</v>
      </c>
      <c r="F53" s="50">
        <v>25</v>
      </c>
      <c r="G53" s="50">
        <v>0</v>
      </c>
      <c r="H53" s="50">
        <v>0</v>
      </c>
      <c r="I53" s="50">
        <v>2</v>
      </c>
      <c r="J53" s="50">
        <v>2</v>
      </c>
      <c r="K53" s="50">
        <v>1</v>
      </c>
      <c r="L53" s="50">
        <v>0</v>
      </c>
      <c r="M53" s="50">
        <v>107</v>
      </c>
      <c r="N53" s="50">
        <v>0</v>
      </c>
      <c r="O53" s="15">
        <f t="shared" si="0"/>
        <v>120</v>
      </c>
      <c r="P53" s="15">
        <f t="shared" si="1"/>
        <v>227</v>
      </c>
      <c r="R53" s="8"/>
      <c r="T53"/>
    </row>
    <row r="54" spans="2:20" ht="23.1" customHeight="1" x14ac:dyDescent="0.25">
      <c r="B54" s="45" t="s">
        <v>81</v>
      </c>
      <c r="C54" s="50">
        <v>70</v>
      </c>
      <c r="D54" s="50">
        <v>43</v>
      </c>
      <c r="E54" s="50">
        <v>5</v>
      </c>
      <c r="F54" s="50">
        <v>38</v>
      </c>
      <c r="G54" s="50">
        <v>0</v>
      </c>
      <c r="H54" s="50">
        <v>0</v>
      </c>
      <c r="I54" s="50">
        <v>1</v>
      </c>
      <c r="J54" s="50">
        <v>2</v>
      </c>
      <c r="K54" s="50">
        <v>2</v>
      </c>
      <c r="L54" s="50">
        <v>1</v>
      </c>
      <c r="M54" s="50">
        <v>155</v>
      </c>
      <c r="N54" s="50">
        <v>0</v>
      </c>
      <c r="O54" s="15">
        <f t="shared" si="0"/>
        <v>162</v>
      </c>
      <c r="P54" s="15">
        <f t="shared" si="1"/>
        <v>317</v>
      </c>
      <c r="R54" s="8"/>
      <c r="T54"/>
    </row>
    <row r="55" spans="2:20" ht="23.1" customHeight="1" x14ac:dyDescent="0.25">
      <c r="B55" s="45" t="s">
        <v>82</v>
      </c>
      <c r="C55" s="50">
        <v>35</v>
      </c>
      <c r="D55" s="50">
        <v>22</v>
      </c>
      <c r="E55" s="50">
        <v>11</v>
      </c>
      <c r="F55" s="50">
        <v>17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99</v>
      </c>
      <c r="N55" s="50">
        <v>0</v>
      </c>
      <c r="O55" s="15">
        <f t="shared" si="0"/>
        <v>86</v>
      </c>
      <c r="P55" s="15">
        <f t="shared" si="1"/>
        <v>185</v>
      </c>
      <c r="R55" s="8"/>
      <c r="T55"/>
    </row>
    <row r="56" spans="2:20" ht="23.1" customHeight="1" x14ac:dyDescent="0.25">
      <c r="B56" s="45" t="s">
        <v>83</v>
      </c>
      <c r="C56" s="50">
        <v>70</v>
      </c>
      <c r="D56" s="50">
        <v>33</v>
      </c>
      <c r="E56" s="50">
        <v>8</v>
      </c>
      <c r="F56" s="50">
        <v>31</v>
      </c>
      <c r="G56" s="50">
        <v>0</v>
      </c>
      <c r="H56" s="50">
        <v>0</v>
      </c>
      <c r="I56" s="50">
        <v>4</v>
      </c>
      <c r="J56" s="50">
        <v>1</v>
      </c>
      <c r="K56" s="50">
        <v>0</v>
      </c>
      <c r="L56" s="50">
        <v>0</v>
      </c>
      <c r="M56" s="50">
        <v>113</v>
      </c>
      <c r="N56" s="50">
        <v>0</v>
      </c>
      <c r="O56" s="15">
        <f t="shared" si="0"/>
        <v>147</v>
      </c>
      <c r="P56" s="15">
        <f t="shared" si="1"/>
        <v>260</v>
      </c>
      <c r="R56" s="8"/>
      <c r="T56"/>
    </row>
    <row r="57" spans="2:20" ht="23.1" customHeight="1" x14ac:dyDescent="0.25">
      <c r="B57" s="45" t="s">
        <v>84</v>
      </c>
      <c r="C57" s="50">
        <v>80</v>
      </c>
      <c r="D57" s="50">
        <v>30</v>
      </c>
      <c r="E57" s="50">
        <v>18</v>
      </c>
      <c r="F57" s="50">
        <v>20</v>
      </c>
      <c r="G57" s="50">
        <v>0</v>
      </c>
      <c r="H57" s="50">
        <v>0</v>
      </c>
      <c r="I57" s="50">
        <v>1</v>
      </c>
      <c r="J57" s="50">
        <v>0</v>
      </c>
      <c r="K57" s="50">
        <v>2</v>
      </c>
      <c r="L57" s="50">
        <v>0</v>
      </c>
      <c r="M57" s="50">
        <v>119</v>
      </c>
      <c r="N57" s="50">
        <v>0</v>
      </c>
      <c r="O57" s="15">
        <f t="shared" si="0"/>
        <v>151</v>
      </c>
      <c r="P57" s="15">
        <f t="shared" si="1"/>
        <v>270</v>
      </c>
      <c r="R57" s="8"/>
      <c r="T57"/>
    </row>
    <row r="58" spans="2:20" ht="23.1" customHeight="1" x14ac:dyDescent="0.25">
      <c r="B58" s="45" t="s">
        <v>99</v>
      </c>
      <c r="C58" s="50">
        <v>10</v>
      </c>
      <c r="D58" s="50">
        <v>5</v>
      </c>
      <c r="E58" s="50">
        <v>2</v>
      </c>
      <c r="F58" s="50">
        <v>7</v>
      </c>
      <c r="G58" s="50">
        <v>1</v>
      </c>
      <c r="H58" s="50">
        <v>0</v>
      </c>
      <c r="I58" s="50">
        <v>3</v>
      </c>
      <c r="J58" s="50">
        <v>1</v>
      </c>
      <c r="K58" s="50">
        <v>1</v>
      </c>
      <c r="L58" s="50">
        <v>0</v>
      </c>
      <c r="M58" s="50">
        <v>110</v>
      </c>
      <c r="N58" s="50">
        <v>0</v>
      </c>
      <c r="O58" s="15">
        <f t="shared" ref="O58:O105" si="35">SUM(C58:L58,N58)</f>
        <v>30</v>
      </c>
      <c r="P58" s="15">
        <f t="shared" ref="P58:P105" si="36">SUM(C58:N58)</f>
        <v>140</v>
      </c>
      <c r="R58" s="8"/>
      <c r="T58"/>
    </row>
    <row r="59" spans="2:20" ht="23.1" customHeight="1" x14ac:dyDescent="0.25">
      <c r="B59" s="45" t="s">
        <v>100</v>
      </c>
      <c r="C59" s="50">
        <v>25</v>
      </c>
      <c r="D59" s="50">
        <v>8</v>
      </c>
      <c r="E59" s="50">
        <v>8</v>
      </c>
      <c r="F59" s="50">
        <v>11</v>
      </c>
      <c r="G59" s="50">
        <v>0</v>
      </c>
      <c r="H59" s="50">
        <v>0</v>
      </c>
      <c r="I59" s="50">
        <v>1</v>
      </c>
      <c r="J59" s="50">
        <v>1</v>
      </c>
      <c r="K59" s="50">
        <v>1</v>
      </c>
      <c r="L59" s="50">
        <v>1</v>
      </c>
      <c r="M59" s="50">
        <v>179</v>
      </c>
      <c r="N59" s="50">
        <v>0</v>
      </c>
      <c r="O59" s="15">
        <f t="shared" si="35"/>
        <v>56</v>
      </c>
      <c r="P59" s="15">
        <f t="shared" si="36"/>
        <v>235</v>
      </c>
      <c r="R59" s="8"/>
      <c r="T59"/>
    </row>
    <row r="60" spans="2:20" ht="23.1" customHeight="1" x14ac:dyDescent="0.25">
      <c r="B60" s="45" t="s">
        <v>101</v>
      </c>
      <c r="C60" s="50">
        <v>45</v>
      </c>
      <c r="D60" s="50">
        <v>23</v>
      </c>
      <c r="E60" s="50">
        <v>10</v>
      </c>
      <c r="F60" s="50">
        <v>12</v>
      </c>
      <c r="G60" s="50">
        <v>1</v>
      </c>
      <c r="H60" s="50">
        <v>0</v>
      </c>
      <c r="I60" s="50">
        <v>1</v>
      </c>
      <c r="J60" s="50">
        <v>1</v>
      </c>
      <c r="K60" s="50">
        <v>2</v>
      </c>
      <c r="L60" s="50">
        <v>1</v>
      </c>
      <c r="M60" s="50">
        <v>330</v>
      </c>
      <c r="N60" s="50">
        <v>0</v>
      </c>
      <c r="O60" s="15">
        <f t="shared" si="35"/>
        <v>96</v>
      </c>
      <c r="P60" s="15">
        <f t="shared" si="36"/>
        <v>426</v>
      </c>
      <c r="R60" s="8"/>
      <c r="T60"/>
    </row>
    <row r="61" spans="2:20" ht="23.1" customHeight="1" x14ac:dyDescent="0.25">
      <c r="B61" s="45" t="s">
        <v>102</v>
      </c>
      <c r="C61" s="50">
        <v>55</v>
      </c>
      <c r="D61" s="50">
        <v>17</v>
      </c>
      <c r="E61" s="50">
        <v>3</v>
      </c>
      <c r="F61" s="50">
        <v>8</v>
      </c>
      <c r="G61" s="50">
        <v>0</v>
      </c>
      <c r="H61" s="50">
        <v>0</v>
      </c>
      <c r="I61" s="50">
        <v>1</v>
      </c>
      <c r="J61" s="50">
        <v>2</v>
      </c>
      <c r="K61" s="50">
        <v>2</v>
      </c>
      <c r="L61" s="50">
        <v>0</v>
      </c>
      <c r="M61" s="50">
        <v>179</v>
      </c>
      <c r="N61" s="50">
        <v>0</v>
      </c>
      <c r="O61" s="15">
        <f t="shared" si="35"/>
        <v>88</v>
      </c>
      <c r="P61" s="15">
        <f t="shared" si="36"/>
        <v>267</v>
      </c>
      <c r="R61" s="8"/>
      <c r="T61"/>
    </row>
    <row r="62" spans="2:20" ht="23.1" customHeight="1" x14ac:dyDescent="0.25">
      <c r="B62" s="45" t="s">
        <v>107</v>
      </c>
      <c r="C62" s="50">
        <v>30</v>
      </c>
      <c r="D62" s="50">
        <v>6</v>
      </c>
      <c r="E62" s="50">
        <v>1</v>
      </c>
      <c r="F62" s="50">
        <v>6</v>
      </c>
      <c r="G62" s="50">
        <v>0</v>
      </c>
      <c r="H62" s="50">
        <v>0</v>
      </c>
      <c r="I62" s="50">
        <v>0</v>
      </c>
      <c r="J62" s="50">
        <v>2</v>
      </c>
      <c r="K62" s="50">
        <v>0</v>
      </c>
      <c r="L62" s="50">
        <v>0</v>
      </c>
      <c r="M62" s="50">
        <v>158</v>
      </c>
      <c r="N62" s="50">
        <v>0</v>
      </c>
      <c r="O62" s="15">
        <f t="shared" si="35"/>
        <v>45</v>
      </c>
      <c r="P62" s="15">
        <f t="shared" si="36"/>
        <v>203</v>
      </c>
      <c r="R62" s="8"/>
      <c r="T62"/>
    </row>
    <row r="63" spans="2:20" ht="23.1" customHeight="1" x14ac:dyDescent="0.25">
      <c r="B63" s="45" t="s">
        <v>108</v>
      </c>
      <c r="C63" s="50">
        <v>49</v>
      </c>
      <c r="D63" s="50">
        <v>10</v>
      </c>
      <c r="E63" s="50">
        <v>4</v>
      </c>
      <c r="F63" s="50">
        <v>11</v>
      </c>
      <c r="G63" s="50">
        <v>0</v>
      </c>
      <c r="H63" s="50">
        <v>0</v>
      </c>
      <c r="I63" s="50">
        <v>1</v>
      </c>
      <c r="J63" s="50">
        <v>1</v>
      </c>
      <c r="K63" s="50">
        <v>1</v>
      </c>
      <c r="L63" s="50">
        <v>0</v>
      </c>
      <c r="M63" s="50">
        <v>172</v>
      </c>
      <c r="N63" s="50">
        <v>0</v>
      </c>
      <c r="O63" s="15">
        <f t="shared" si="35"/>
        <v>77</v>
      </c>
      <c r="P63" s="15">
        <f t="shared" si="36"/>
        <v>249</v>
      </c>
      <c r="R63" s="8"/>
      <c r="T63"/>
    </row>
    <row r="64" spans="2:20" ht="23.1" customHeight="1" x14ac:dyDescent="0.25">
      <c r="B64" s="45" t="s">
        <v>109</v>
      </c>
      <c r="C64" s="50">
        <v>35</v>
      </c>
      <c r="D64" s="50">
        <v>6</v>
      </c>
      <c r="E64" s="50">
        <v>1</v>
      </c>
      <c r="F64" s="50">
        <v>20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160</v>
      </c>
      <c r="N64" s="50">
        <v>0</v>
      </c>
      <c r="O64" s="15">
        <f t="shared" si="35"/>
        <v>62</v>
      </c>
      <c r="P64" s="15">
        <f t="shared" si="36"/>
        <v>222</v>
      </c>
      <c r="R64" s="8"/>
      <c r="T64"/>
    </row>
    <row r="65" spans="2:20" ht="23.1" customHeight="1" x14ac:dyDescent="0.25">
      <c r="B65" s="45" t="s">
        <v>158</v>
      </c>
      <c r="C65" s="50">
        <v>12</v>
      </c>
      <c r="D65" s="50">
        <v>2</v>
      </c>
      <c r="E65" s="50">
        <v>0</v>
      </c>
      <c r="F65" s="50">
        <v>2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v>0</v>
      </c>
      <c r="M65" s="50">
        <v>132</v>
      </c>
      <c r="N65" s="50">
        <v>0</v>
      </c>
      <c r="O65" s="15">
        <f t="shared" si="35"/>
        <v>18</v>
      </c>
      <c r="P65" s="15">
        <f t="shared" si="36"/>
        <v>150</v>
      </c>
      <c r="R65" s="8"/>
      <c r="T65"/>
    </row>
    <row r="66" spans="2:20" ht="23.1" customHeight="1" x14ac:dyDescent="0.25">
      <c r="B66" s="45" t="s">
        <v>103</v>
      </c>
      <c r="C66" s="50">
        <v>28</v>
      </c>
      <c r="D66" s="50">
        <v>8</v>
      </c>
      <c r="E66" s="50">
        <v>4</v>
      </c>
      <c r="F66" s="50">
        <v>10</v>
      </c>
      <c r="G66" s="50">
        <v>0</v>
      </c>
      <c r="H66" s="50">
        <v>0</v>
      </c>
      <c r="I66" s="50">
        <v>1</v>
      </c>
      <c r="J66" s="50">
        <v>1</v>
      </c>
      <c r="K66" s="50">
        <v>0</v>
      </c>
      <c r="L66" s="50">
        <v>0</v>
      </c>
      <c r="M66" s="50">
        <v>104</v>
      </c>
      <c r="N66" s="50">
        <v>0</v>
      </c>
      <c r="O66" s="15">
        <f t="shared" si="35"/>
        <v>52</v>
      </c>
      <c r="P66" s="15">
        <f t="shared" si="36"/>
        <v>156</v>
      </c>
      <c r="R66" s="8"/>
      <c r="T66"/>
    </row>
    <row r="67" spans="2:20" ht="23.1" customHeight="1" x14ac:dyDescent="0.25">
      <c r="B67" s="45" t="s">
        <v>104</v>
      </c>
      <c r="C67" s="50">
        <v>20</v>
      </c>
      <c r="D67" s="50">
        <v>12</v>
      </c>
      <c r="E67" s="50">
        <v>3</v>
      </c>
      <c r="F67" s="50">
        <v>12</v>
      </c>
      <c r="G67" s="50">
        <v>5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77</v>
      </c>
      <c r="N67" s="50">
        <v>0</v>
      </c>
      <c r="O67" s="15">
        <f t="shared" si="35"/>
        <v>53</v>
      </c>
      <c r="P67" s="15">
        <f t="shared" si="36"/>
        <v>130</v>
      </c>
      <c r="R67" s="8"/>
      <c r="T67"/>
    </row>
    <row r="68" spans="2:20" ht="23.1" customHeight="1" x14ac:dyDescent="0.25">
      <c r="B68" s="45" t="s">
        <v>105</v>
      </c>
      <c r="C68" s="50">
        <v>25</v>
      </c>
      <c r="D68" s="50">
        <v>8</v>
      </c>
      <c r="E68" s="50">
        <v>1</v>
      </c>
      <c r="F68" s="50">
        <v>8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109</v>
      </c>
      <c r="N68" s="50">
        <v>0</v>
      </c>
      <c r="O68" s="15">
        <f t="shared" si="35"/>
        <v>42</v>
      </c>
      <c r="P68" s="15">
        <f t="shared" si="36"/>
        <v>151</v>
      </c>
      <c r="R68" s="8"/>
      <c r="T68"/>
    </row>
    <row r="69" spans="2:20" ht="23.1" customHeight="1" x14ac:dyDescent="0.25">
      <c r="B69" s="45" t="s">
        <v>106</v>
      </c>
      <c r="C69" s="50">
        <v>25</v>
      </c>
      <c r="D69" s="50">
        <v>6</v>
      </c>
      <c r="E69" s="50">
        <v>5</v>
      </c>
      <c r="F69" s="50">
        <v>6</v>
      </c>
      <c r="G69" s="50">
        <v>0</v>
      </c>
      <c r="H69" s="50">
        <v>0</v>
      </c>
      <c r="I69" s="50">
        <v>3</v>
      </c>
      <c r="J69" s="50">
        <v>1</v>
      </c>
      <c r="K69" s="50">
        <v>0</v>
      </c>
      <c r="L69" s="50">
        <v>0</v>
      </c>
      <c r="M69" s="50">
        <v>95</v>
      </c>
      <c r="N69" s="50">
        <v>0</v>
      </c>
      <c r="O69" s="15">
        <f t="shared" si="35"/>
        <v>46</v>
      </c>
      <c r="P69" s="15">
        <f t="shared" si="36"/>
        <v>141</v>
      </c>
      <c r="R69" s="8"/>
      <c r="T69"/>
    </row>
    <row r="70" spans="2:20" ht="23.1" customHeight="1" x14ac:dyDescent="0.25">
      <c r="B70" s="45" t="s">
        <v>110</v>
      </c>
      <c r="C70" s="50">
        <v>24</v>
      </c>
      <c r="D70" s="50">
        <v>13</v>
      </c>
      <c r="E70" s="50">
        <v>8</v>
      </c>
      <c r="F70" s="50">
        <v>5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1</v>
      </c>
      <c r="M70" s="50">
        <v>109</v>
      </c>
      <c r="N70" s="50">
        <v>0</v>
      </c>
      <c r="O70" s="15">
        <f t="shared" si="35"/>
        <v>52</v>
      </c>
      <c r="P70" s="15">
        <f t="shared" si="36"/>
        <v>161</v>
      </c>
      <c r="R70" s="8"/>
      <c r="T70"/>
    </row>
    <row r="71" spans="2:20" ht="23.1" customHeight="1" x14ac:dyDescent="0.25">
      <c r="B71" s="45" t="s">
        <v>111</v>
      </c>
      <c r="C71" s="50">
        <v>23</v>
      </c>
      <c r="D71" s="50">
        <v>13</v>
      </c>
      <c r="E71" s="50">
        <v>4</v>
      </c>
      <c r="F71" s="50">
        <v>10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48</v>
      </c>
      <c r="N71" s="50">
        <v>0</v>
      </c>
      <c r="O71" s="15">
        <f t="shared" si="35"/>
        <v>51</v>
      </c>
      <c r="P71" s="15">
        <f t="shared" si="36"/>
        <v>99</v>
      </c>
      <c r="R71" s="8"/>
      <c r="T71"/>
    </row>
    <row r="72" spans="2:20" ht="23.1" customHeight="1" x14ac:dyDescent="0.25">
      <c r="B72" s="45" t="s">
        <v>112</v>
      </c>
      <c r="C72" s="50">
        <v>32</v>
      </c>
      <c r="D72" s="50">
        <v>16</v>
      </c>
      <c r="E72" s="50">
        <v>3</v>
      </c>
      <c r="F72" s="50">
        <v>7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1</v>
      </c>
      <c r="M72" s="50">
        <v>97</v>
      </c>
      <c r="N72" s="50">
        <v>0</v>
      </c>
      <c r="O72" s="15">
        <f t="shared" si="35"/>
        <v>60</v>
      </c>
      <c r="P72" s="15">
        <f t="shared" si="36"/>
        <v>157</v>
      </c>
      <c r="R72" s="8"/>
      <c r="T72"/>
    </row>
    <row r="73" spans="2:20" ht="23.1" customHeight="1" x14ac:dyDescent="0.25">
      <c r="B73" s="45" t="s">
        <v>113</v>
      </c>
      <c r="C73" s="50">
        <v>20</v>
      </c>
      <c r="D73" s="50">
        <v>3</v>
      </c>
      <c r="E73" s="50">
        <v>5</v>
      </c>
      <c r="F73" s="50">
        <v>5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55</v>
      </c>
      <c r="N73" s="50">
        <v>0</v>
      </c>
      <c r="O73" s="15">
        <f t="shared" si="35"/>
        <v>34</v>
      </c>
      <c r="P73" s="15">
        <f t="shared" si="36"/>
        <v>89</v>
      </c>
      <c r="R73" s="8"/>
      <c r="T73"/>
    </row>
    <row r="74" spans="2:20" ht="23.1" customHeight="1" x14ac:dyDescent="0.25">
      <c r="B74" s="45" t="s">
        <v>114</v>
      </c>
      <c r="C74" s="50">
        <v>27</v>
      </c>
      <c r="D74" s="50">
        <v>17</v>
      </c>
      <c r="E74" s="50">
        <v>3</v>
      </c>
      <c r="F74" s="50">
        <v>1</v>
      </c>
      <c r="G74" s="50">
        <v>0</v>
      </c>
      <c r="H74" s="50">
        <v>0</v>
      </c>
      <c r="I74" s="50">
        <v>2</v>
      </c>
      <c r="J74" s="50">
        <v>0</v>
      </c>
      <c r="K74" s="50">
        <v>0</v>
      </c>
      <c r="L74" s="50">
        <v>0</v>
      </c>
      <c r="M74" s="50">
        <v>77</v>
      </c>
      <c r="N74" s="50">
        <v>0</v>
      </c>
      <c r="O74" s="15">
        <f t="shared" si="35"/>
        <v>50</v>
      </c>
      <c r="P74" s="15">
        <f t="shared" si="36"/>
        <v>127</v>
      </c>
      <c r="R74" s="8"/>
      <c r="T74"/>
    </row>
    <row r="75" spans="2:20" ht="23.1" customHeight="1" x14ac:dyDescent="0.25">
      <c r="B75" s="45" t="s">
        <v>115</v>
      </c>
      <c r="C75" s="50">
        <v>11</v>
      </c>
      <c r="D75" s="50">
        <v>1</v>
      </c>
      <c r="E75" s="50">
        <v>1</v>
      </c>
      <c r="F75" s="50">
        <v>0</v>
      </c>
      <c r="G75" s="50">
        <v>0</v>
      </c>
      <c r="H75" s="50">
        <v>0</v>
      </c>
      <c r="I75" s="50">
        <v>0</v>
      </c>
      <c r="J75" s="50">
        <v>4</v>
      </c>
      <c r="K75" s="50">
        <v>0</v>
      </c>
      <c r="L75" s="50">
        <v>0</v>
      </c>
      <c r="M75" s="50">
        <v>46</v>
      </c>
      <c r="N75" s="50">
        <v>0</v>
      </c>
      <c r="O75" s="15">
        <f t="shared" si="35"/>
        <v>17</v>
      </c>
      <c r="P75" s="15">
        <f t="shared" si="36"/>
        <v>63</v>
      </c>
      <c r="R75" s="8"/>
      <c r="T75"/>
    </row>
    <row r="76" spans="2:20" ht="23.1" customHeight="1" x14ac:dyDescent="0.25">
      <c r="B76" s="45" t="s">
        <v>116</v>
      </c>
      <c r="C76" s="50">
        <v>15</v>
      </c>
      <c r="D76" s="50">
        <v>12</v>
      </c>
      <c r="E76" s="50">
        <v>1</v>
      </c>
      <c r="F76" s="50">
        <v>2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40</v>
      </c>
      <c r="N76" s="50">
        <v>0</v>
      </c>
      <c r="O76" s="15">
        <f t="shared" si="35"/>
        <v>31</v>
      </c>
      <c r="P76" s="15">
        <f t="shared" si="36"/>
        <v>71</v>
      </c>
      <c r="R76" s="8"/>
      <c r="T76"/>
    </row>
    <row r="77" spans="2:20" ht="23.1" customHeight="1" x14ac:dyDescent="0.25">
      <c r="B77" s="45" t="s">
        <v>117</v>
      </c>
      <c r="C77" s="50">
        <v>14</v>
      </c>
      <c r="D77" s="50">
        <v>8</v>
      </c>
      <c r="E77" s="50">
        <v>0</v>
      </c>
      <c r="F77" s="50">
        <v>3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35</v>
      </c>
      <c r="N77" s="50">
        <v>0</v>
      </c>
      <c r="O77" s="15">
        <f t="shared" si="35"/>
        <v>26</v>
      </c>
      <c r="P77" s="15">
        <f t="shared" si="36"/>
        <v>61</v>
      </c>
      <c r="R77" s="8"/>
      <c r="T77"/>
    </row>
    <row r="78" spans="2:20" ht="23.1" customHeight="1" x14ac:dyDescent="0.25">
      <c r="B78" s="46" t="s">
        <v>118</v>
      </c>
      <c r="C78" s="50">
        <v>19</v>
      </c>
      <c r="D78" s="50">
        <v>1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16</v>
      </c>
      <c r="N78" s="50">
        <v>0</v>
      </c>
      <c r="O78" s="15">
        <f t="shared" si="35"/>
        <v>20</v>
      </c>
      <c r="P78" s="15">
        <f t="shared" si="36"/>
        <v>36</v>
      </c>
      <c r="R78" s="8"/>
      <c r="T78"/>
    </row>
    <row r="79" spans="2:20" ht="23.1" customHeight="1" x14ac:dyDescent="0.25">
      <c r="B79" s="45" t="s">
        <v>119</v>
      </c>
      <c r="C79" s="50">
        <v>17</v>
      </c>
      <c r="D79" s="50">
        <v>5</v>
      </c>
      <c r="E79" s="50">
        <v>3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31</v>
      </c>
      <c r="N79" s="50">
        <v>0</v>
      </c>
      <c r="O79" s="15">
        <f t="shared" si="35"/>
        <v>25</v>
      </c>
      <c r="P79" s="15">
        <f t="shared" si="36"/>
        <v>56</v>
      </c>
      <c r="R79" s="8"/>
      <c r="T79"/>
    </row>
    <row r="80" spans="2:20" ht="23.1" customHeight="1" x14ac:dyDescent="0.25">
      <c r="B80" s="47" t="s">
        <v>120</v>
      </c>
      <c r="C80" s="50">
        <v>15</v>
      </c>
      <c r="D80" s="50">
        <v>10</v>
      </c>
      <c r="E80" s="50">
        <v>1</v>
      </c>
      <c r="F80" s="50">
        <v>3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25</v>
      </c>
      <c r="N80" s="50">
        <v>0</v>
      </c>
      <c r="O80" s="15">
        <f t="shared" si="35"/>
        <v>30</v>
      </c>
      <c r="P80" s="15">
        <f t="shared" si="36"/>
        <v>55</v>
      </c>
      <c r="R80" s="8"/>
      <c r="T80"/>
    </row>
    <row r="81" spans="2:20" ht="23.1" customHeight="1" x14ac:dyDescent="0.25">
      <c r="B81" s="45" t="s">
        <v>121</v>
      </c>
      <c r="C81" s="50">
        <v>7</v>
      </c>
      <c r="D81" s="50">
        <v>4</v>
      </c>
      <c r="E81" s="50">
        <v>0</v>
      </c>
      <c r="F81" s="50">
        <v>2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18</v>
      </c>
      <c r="N81" s="50">
        <v>0</v>
      </c>
      <c r="O81" s="15">
        <f t="shared" si="35"/>
        <v>13</v>
      </c>
      <c r="P81" s="15">
        <f t="shared" si="36"/>
        <v>31</v>
      </c>
      <c r="R81" s="8"/>
      <c r="T81"/>
    </row>
    <row r="82" spans="2:20" ht="23.1" customHeight="1" x14ac:dyDescent="0.25">
      <c r="B82" s="46" t="s">
        <v>122</v>
      </c>
      <c r="C82" s="50">
        <v>7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31</v>
      </c>
      <c r="N82" s="50">
        <v>0</v>
      </c>
      <c r="O82" s="15">
        <f t="shared" si="35"/>
        <v>7</v>
      </c>
      <c r="P82" s="15">
        <f t="shared" si="36"/>
        <v>38</v>
      </c>
      <c r="R82" s="8"/>
      <c r="T82"/>
    </row>
    <row r="83" spans="2:20" ht="23.1" customHeight="1" x14ac:dyDescent="0.25">
      <c r="B83" s="45" t="s">
        <v>123</v>
      </c>
      <c r="C83" s="50">
        <v>6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12</v>
      </c>
      <c r="N83" s="50">
        <v>0</v>
      </c>
      <c r="O83" s="15">
        <f t="shared" si="35"/>
        <v>6</v>
      </c>
      <c r="P83" s="15">
        <f t="shared" si="36"/>
        <v>18</v>
      </c>
      <c r="R83" s="8"/>
      <c r="T83"/>
    </row>
    <row r="84" spans="2:20" ht="23.1" customHeight="1" x14ac:dyDescent="0.25">
      <c r="B84" s="47" t="s">
        <v>124</v>
      </c>
      <c r="C84" s="50">
        <v>6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7</v>
      </c>
      <c r="N84" s="50">
        <v>0</v>
      </c>
      <c r="O84" s="15">
        <f t="shared" si="35"/>
        <v>6</v>
      </c>
      <c r="P84" s="15">
        <f t="shared" si="36"/>
        <v>13</v>
      </c>
      <c r="R84" s="8"/>
      <c r="T84"/>
    </row>
    <row r="85" spans="2:20" ht="23.1" customHeight="1" x14ac:dyDescent="0.25">
      <c r="B85" s="45" t="s">
        <v>125</v>
      </c>
      <c r="C85" s="50">
        <v>10</v>
      </c>
      <c r="D85" s="50">
        <v>1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13</v>
      </c>
      <c r="N85" s="50">
        <v>0</v>
      </c>
      <c r="O85" s="15">
        <f t="shared" si="35"/>
        <v>12</v>
      </c>
      <c r="P85" s="15">
        <f t="shared" si="36"/>
        <v>25</v>
      </c>
      <c r="R85" s="8"/>
      <c r="T85"/>
    </row>
    <row r="86" spans="2:20" ht="23.1" customHeight="1" x14ac:dyDescent="0.25">
      <c r="B86" s="46" t="s">
        <v>126</v>
      </c>
      <c r="C86" s="50">
        <v>5</v>
      </c>
      <c r="D86" s="50">
        <v>3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19</v>
      </c>
      <c r="N86" s="50">
        <v>0</v>
      </c>
      <c r="O86" s="15">
        <f t="shared" si="35"/>
        <v>8</v>
      </c>
      <c r="P86" s="15">
        <f t="shared" si="36"/>
        <v>27</v>
      </c>
      <c r="R86" s="8"/>
      <c r="T86"/>
    </row>
    <row r="87" spans="2:20" ht="23.1" customHeight="1" x14ac:dyDescent="0.25">
      <c r="B87" s="45" t="s">
        <v>127</v>
      </c>
      <c r="C87" s="50">
        <v>4</v>
      </c>
      <c r="D87" s="50">
        <v>2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9</v>
      </c>
      <c r="N87" s="50">
        <v>0</v>
      </c>
      <c r="O87" s="15">
        <f t="shared" si="35"/>
        <v>7</v>
      </c>
      <c r="P87" s="15">
        <f t="shared" si="36"/>
        <v>16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2</v>
      </c>
      <c r="E88" s="50">
        <v>0</v>
      </c>
      <c r="F88" s="50">
        <v>2</v>
      </c>
      <c r="G88" s="50">
        <v>0</v>
      </c>
      <c r="H88" s="50">
        <v>0</v>
      </c>
      <c r="I88" s="50">
        <v>0</v>
      </c>
      <c r="J88" s="50">
        <v>0</v>
      </c>
      <c r="K88" s="50">
        <v>1</v>
      </c>
      <c r="L88" s="50">
        <v>0</v>
      </c>
      <c r="M88" s="50">
        <v>8</v>
      </c>
      <c r="N88" s="50">
        <v>0</v>
      </c>
      <c r="O88" s="15">
        <f t="shared" si="35"/>
        <v>7</v>
      </c>
      <c r="P88" s="15">
        <f t="shared" si="36"/>
        <v>15</v>
      </c>
      <c r="R88" s="8"/>
      <c r="T88"/>
    </row>
    <row r="89" spans="2:20" ht="23.1" customHeight="1" x14ac:dyDescent="0.25">
      <c r="B89" s="45" t="s">
        <v>129</v>
      </c>
      <c r="C89" s="50">
        <v>5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4</v>
      </c>
      <c r="N89" s="50">
        <v>0</v>
      </c>
      <c r="O89" s="15">
        <f t="shared" si="35"/>
        <v>6</v>
      </c>
      <c r="P89" s="15">
        <f t="shared" si="36"/>
        <v>10</v>
      </c>
      <c r="R89" s="8"/>
      <c r="T89"/>
    </row>
    <row r="90" spans="2:20" ht="23.1" customHeight="1" x14ac:dyDescent="0.25">
      <c r="B90" s="46" t="s">
        <v>130</v>
      </c>
      <c r="C90" s="50">
        <v>8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8</v>
      </c>
      <c r="P90" s="15">
        <f t="shared" si="36"/>
        <v>9</v>
      </c>
      <c r="R90" s="8"/>
      <c r="T90"/>
    </row>
    <row r="91" spans="2:20" ht="23.1" customHeight="1" x14ac:dyDescent="0.25">
      <c r="B91" s="45" t="s">
        <v>131</v>
      </c>
      <c r="C91" s="50">
        <v>7</v>
      </c>
      <c r="D91" s="50">
        <v>1</v>
      </c>
      <c r="E91" s="50">
        <v>0</v>
      </c>
      <c r="F91" s="50">
        <v>0</v>
      </c>
      <c r="G91" s="50">
        <v>0</v>
      </c>
      <c r="H91" s="50">
        <v>1</v>
      </c>
      <c r="I91" s="50">
        <v>0</v>
      </c>
      <c r="J91" s="50">
        <v>0</v>
      </c>
      <c r="K91" s="50">
        <v>0</v>
      </c>
      <c r="L91" s="50">
        <v>0</v>
      </c>
      <c r="M91" s="50">
        <v>8</v>
      </c>
      <c r="N91" s="50">
        <v>0</v>
      </c>
      <c r="O91" s="15">
        <f t="shared" si="35"/>
        <v>9</v>
      </c>
      <c r="P91" s="15">
        <f t="shared" si="36"/>
        <v>17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5</v>
      </c>
      <c r="N92" s="50">
        <v>0</v>
      </c>
      <c r="O92" s="15">
        <f t="shared" si="35"/>
        <v>3</v>
      </c>
      <c r="P92" s="15">
        <f t="shared" si="36"/>
        <v>8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1</v>
      </c>
      <c r="J93" s="50">
        <v>1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4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1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3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1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5</v>
      </c>
      <c r="N96" s="50">
        <v>0</v>
      </c>
      <c r="O96" s="15">
        <f t="shared" si="35"/>
        <v>0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1</v>
      </c>
      <c r="E97" s="50">
        <v>1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6</v>
      </c>
      <c r="N97" s="50">
        <v>0</v>
      </c>
      <c r="O97" s="15">
        <f t="shared" si="35"/>
        <v>8</v>
      </c>
      <c r="P97" s="15">
        <f t="shared" si="36"/>
        <v>14</v>
      </c>
      <c r="R97" s="8"/>
      <c r="T97"/>
    </row>
    <row r="98" spans="2:20" ht="23.1" customHeight="1" x14ac:dyDescent="0.25">
      <c r="B98" s="46" t="s">
        <v>138</v>
      </c>
      <c r="C98" s="50">
        <v>5</v>
      </c>
      <c r="D98" s="50">
        <v>1</v>
      </c>
      <c r="E98" s="50">
        <v>3</v>
      </c>
      <c r="F98" s="50">
        <v>10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8</v>
      </c>
      <c r="N98" s="50">
        <v>0</v>
      </c>
      <c r="O98" s="15">
        <f t="shared" si="35"/>
        <v>20</v>
      </c>
      <c r="P98" s="15">
        <f t="shared" si="36"/>
        <v>28</v>
      </c>
      <c r="R98" s="8"/>
      <c r="T98"/>
    </row>
    <row r="99" spans="2:20" ht="23.1" customHeight="1" x14ac:dyDescent="0.25">
      <c r="B99" s="45" t="s">
        <v>139</v>
      </c>
      <c r="C99" s="50">
        <v>6</v>
      </c>
      <c r="D99" s="50">
        <v>0</v>
      </c>
      <c r="E99" s="50">
        <v>2</v>
      </c>
      <c r="F99" s="50">
        <v>4</v>
      </c>
      <c r="G99" s="50">
        <v>1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15</v>
      </c>
      <c r="N99" s="50">
        <v>0</v>
      </c>
      <c r="O99" s="15">
        <f t="shared" si="35"/>
        <v>13</v>
      </c>
      <c r="P99" s="15">
        <f t="shared" si="36"/>
        <v>28</v>
      </c>
      <c r="R99" s="8"/>
      <c r="T99"/>
    </row>
    <row r="100" spans="2:20" ht="23.1" customHeight="1" x14ac:dyDescent="0.25">
      <c r="B100" s="47" t="s">
        <v>140</v>
      </c>
      <c r="C100" s="50">
        <v>15</v>
      </c>
      <c r="D100" s="50">
        <v>2</v>
      </c>
      <c r="E100" s="50">
        <v>2</v>
      </c>
      <c r="F100" s="50">
        <v>7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11</v>
      </c>
      <c r="N100" s="50">
        <v>0</v>
      </c>
      <c r="O100" s="15">
        <f t="shared" si="35"/>
        <v>26</v>
      </c>
      <c r="P100" s="15">
        <f t="shared" si="36"/>
        <v>37</v>
      </c>
      <c r="R100" s="8"/>
      <c r="T100"/>
    </row>
    <row r="101" spans="2:20" ht="23.1" customHeight="1" x14ac:dyDescent="0.25">
      <c r="B101" s="45" t="s">
        <v>141</v>
      </c>
      <c r="C101" s="50">
        <v>39</v>
      </c>
      <c r="D101" s="50">
        <v>5</v>
      </c>
      <c r="E101" s="50">
        <v>4</v>
      </c>
      <c r="F101" s="50">
        <v>13</v>
      </c>
      <c r="G101" s="50">
        <v>2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34</v>
      </c>
      <c r="N101" s="50">
        <v>0</v>
      </c>
      <c r="O101" s="15">
        <f t="shared" si="35"/>
        <v>64</v>
      </c>
      <c r="P101" s="15">
        <f t="shared" si="36"/>
        <v>98</v>
      </c>
      <c r="R101" s="8"/>
      <c r="T101"/>
    </row>
    <row r="102" spans="2:20" ht="23.1" customHeight="1" x14ac:dyDescent="0.25">
      <c r="B102" s="46" t="s">
        <v>142</v>
      </c>
      <c r="C102" s="50">
        <v>40</v>
      </c>
      <c r="D102" s="50">
        <v>30</v>
      </c>
      <c r="E102" s="50">
        <v>3</v>
      </c>
      <c r="F102" s="50">
        <v>8</v>
      </c>
      <c r="G102" s="50">
        <v>2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51</v>
      </c>
      <c r="N102" s="50">
        <v>0</v>
      </c>
      <c r="O102" s="15">
        <f t="shared" si="35"/>
        <v>83</v>
      </c>
      <c r="P102" s="15">
        <f t="shared" si="36"/>
        <v>134</v>
      </c>
      <c r="R102" s="8"/>
      <c r="T102"/>
    </row>
    <row r="103" spans="2:20" ht="23.1" customHeight="1" x14ac:dyDescent="0.25">
      <c r="B103" s="45" t="s">
        <v>143</v>
      </c>
      <c r="C103" s="50">
        <v>47</v>
      </c>
      <c r="D103" s="50">
        <v>45</v>
      </c>
      <c r="E103" s="50">
        <v>7</v>
      </c>
      <c r="F103" s="50">
        <v>3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50</v>
      </c>
      <c r="N103" s="50">
        <v>0</v>
      </c>
      <c r="O103" s="15">
        <f t="shared" si="35"/>
        <v>103</v>
      </c>
      <c r="P103" s="15">
        <f t="shared" si="36"/>
        <v>153</v>
      </c>
      <c r="R103" s="8"/>
      <c r="T103"/>
    </row>
    <row r="104" spans="2:20" ht="23.1" customHeight="1" x14ac:dyDescent="0.25">
      <c r="B104" s="47" t="s">
        <v>144</v>
      </c>
      <c r="C104" s="50">
        <v>45</v>
      </c>
      <c r="D104" s="50">
        <v>50</v>
      </c>
      <c r="E104" s="50">
        <v>25</v>
      </c>
      <c r="F104" s="50">
        <v>20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24</v>
      </c>
      <c r="N104" s="50">
        <v>0</v>
      </c>
      <c r="O104" s="15">
        <f t="shared" si="35"/>
        <v>140</v>
      </c>
      <c r="P104" s="15">
        <f t="shared" si="36"/>
        <v>164</v>
      </c>
      <c r="R104" s="8"/>
      <c r="T104"/>
    </row>
    <row r="105" spans="2:20" ht="23.1" customHeight="1" x14ac:dyDescent="0.25">
      <c r="B105" s="45" t="s">
        <v>145</v>
      </c>
      <c r="C105" s="50">
        <v>52</v>
      </c>
      <c r="D105" s="50">
        <v>30</v>
      </c>
      <c r="E105" s="50">
        <v>15</v>
      </c>
      <c r="F105" s="50">
        <v>10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33</v>
      </c>
      <c r="N105" s="50">
        <v>0</v>
      </c>
      <c r="O105" s="15">
        <f t="shared" si="35"/>
        <v>107</v>
      </c>
      <c r="P105" s="15">
        <f t="shared" si="36"/>
        <v>140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4156</v>
      </c>
      <c r="D106" s="16">
        <f t="shared" ref="D106:P106" si="37">SUM(D10:D105)</f>
        <v>1707</v>
      </c>
      <c r="E106" s="16">
        <f t="shared" si="37"/>
        <v>887</v>
      </c>
      <c r="F106" s="16">
        <f t="shared" si="37"/>
        <v>1203</v>
      </c>
      <c r="G106" s="16">
        <f t="shared" si="37"/>
        <v>61</v>
      </c>
      <c r="H106" s="16">
        <f t="shared" si="37"/>
        <v>2</v>
      </c>
      <c r="I106" s="16">
        <f t="shared" si="37"/>
        <v>194</v>
      </c>
      <c r="J106" s="16">
        <f t="shared" si="37"/>
        <v>81</v>
      </c>
      <c r="K106" s="16">
        <f t="shared" si="37"/>
        <v>85</v>
      </c>
      <c r="L106" s="16">
        <f t="shared" si="37"/>
        <v>15</v>
      </c>
      <c r="M106" s="16">
        <f t="shared" si="37"/>
        <v>8540</v>
      </c>
      <c r="N106" s="16">
        <f t="shared" si="37"/>
        <v>0</v>
      </c>
      <c r="O106" s="16">
        <f t="shared" si="37"/>
        <v>8391</v>
      </c>
      <c r="P106" s="16">
        <f t="shared" si="37"/>
        <v>16931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0.24546689504459276</v>
      </c>
      <c r="D107" s="43">
        <f t="shared" si="38"/>
        <v>0.10082097926879688</v>
      </c>
      <c r="E107" s="43">
        <f t="shared" si="38"/>
        <v>5.2389108735455672E-2</v>
      </c>
      <c r="F107" s="43">
        <f t="shared" si="38"/>
        <v>7.1053097867816425E-2</v>
      </c>
      <c r="G107" s="43">
        <f t="shared" si="38"/>
        <v>3.602858661626602E-3</v>
      </c>
      <c r="H107" s="43">
        <f t="shared" si="38"/>
        <v>1.1812651349595417E-4</v>
      </c>
      <c r="I107" s="43">
        <f t="shared" si="38"/>
        <v>1.1458271809107554E-2</v>
      </c>
      <c r="J107" s="43">
        <f t="shared" si="38"/>
        <v>4.7841237965861438E-3</v>
      </c>
      <c r="K107" s="43">
        <f t="shared" si="38"/>
        <v>5.0203768235780521E-3</v>
      </c>
      <c r="L107" s="43">
        <f t="shared" si="38"/>
        <v>8.8594885121965629E-4</v>
      </c>
      <c r="M107" s="43">
        <f t="shared" si="38"/>
        <v>0.50440021262772428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0.49529257537838162</v>
      </c>
      <c r="D108" s="44">
        <f t="shared" ref="D108:N108" si="39">D106/$O$106</f>
        <v>0.20343224883804076</v>
      </c>
      <c r="E108" s="44">
        <f t="shared" si="39"/>
        <v>0.10570849719938029</v>
      </c>
      <c r="F108" s="44">
        <f t="shared" si="39"/>
        <v>0.14336789417232748</v>
      </c>
      <c r="G108" s="44">
        <f t="shared" si="39"/>
        <v>7.269693719461328E-3</v>
      </c>
      <c r="H108" s="44">
        <f t="shared" si="39"/>
        <v>2.3835061375283043E-4</v>
      </c>
      <c r="I108" s="44">
        <f t="shared" si="39"/>
        <v>2.3120009534024551E-2</v>
      </c>
      <c r="J108" s="44">
        <f t="shared" si="39"/>
        <v>9.6531998569896315E-3</v>
      </c>
      <c r="K108" s="44">
        <f t="shared" si="39"/>
        <v>1.0129901084495293E-2</v>
      </c>
      <c r="L108" s="44">
        <f t="shared" si="39"/>
        <v>1.7876296031462281E-3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9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Kyanja -Kisaasi'!C3:G3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Kyanja-Kisaasi-24h'!D5</f>
        <v>01.08.19</v>
      </c>
      <c r="E5" s="3"/>
      <c r="F5" s="41" t="s">
        <v>1</v>
      </c>
      <c r="G5" s="66" t="str">
        <f>'01.08 Kyanja-Kisaasi-24h'!G5:H5</f>
        <v>Malcom Health center</v>
      </c>
      <c r="H5" s="67"/>
      <c r="I5" s="14"/>
      <c r="J5" s="2" t="s">
        <v>5</v>
      </c>
      <c r="K5" s="66" t="s">
        <v>179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'01.08 Kyanja-Kisaasi-24h'!K6:L6</f>
        <v>Steven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26</v>
      </c>
      <c r="D10" s="50">
        <v>26</v>
      </c>
      <c r="E10" s="50">
        <v>2</v>
      </c>
      <c r="F10" s="50">
        <v>19</v>
      </c>
      <c r="G10" s="50">
        <v>0</v>
      </c>
      <c r="H10" s="50">
        <v>0</v>
      </c>
      <c r="I10" s="50">
        <v>3</v>
      </c>
      <c r="J10" s="50">
        <v>2</v>
      </c>
      <c r="K10" s="50">
        <v>3</v>
      </c>
      <c r="L10" s="50">
        <v>0</v>
      </c>
      <c r="M10" s="50">
        <v>56</v>
      </c>
      <c r="N10" s="50">
        <v>0</v>
      </c>
      <c r="O10" s="15">
        <f t="shared" ref="O10:O73" si="0">SUM(C10:L10,N10)</f>
        <v>81</v>
      </c>
      <c r="P10" s="15">
        <f t="shared" ref="P10:P73" si="1">SUM(C10:N10)</f>
        <v>137</v>
      </c>
      <c r="R10" s="1" t="s">
        <v>6</v>
      </c>
      <c r="S10" s="17">
        <f t="shared" ref="S10:AF10" si="2">SUM(C10:C13)</f>
        <v>104</v>
      </c>
      <c r="T10" s="17">
        <f t="shared" si="2"/>
        <v>61</v>
      </c>
      <c r="U10" s="17">
        <f t="shared" si="2"/>
        <v>6</v>
      </c>
      <c r="V10" s="17">
        <f t="shared" si="2"/>
        <v>68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4</v>
      </c>
      <c r="AA10" s="17">
        <f t="shared" si="2"/>
        <v>12</v>
      </c>
      <c r="AB10" s="17">
        <f t="shared" si="2"/>
        <v>0</v>
      </c>
      <c r="AC10" s="17">
        <f t="shared" si="2"/>
        <v>357</v>
      </c>
      <c r="AD10" s="17">
        <f t="shared" si="2"/>
        <v>0</v>
      </c>
      <c r="AE10" s="31">
        <f t="shared" si="2"/>
        <v>263</v>
      </c>
      <c r="AF10" s="31">
        <f t="shared" si="2"/>
        <v>620</v>
      </c>
    </row>
    <row r="11" spans="2:32" s="6" customFormat="1" ht="23.1" customHeight="1" x14ac:dyDescent="0.25">
      <c r="B11" s="45" t="s">
        <v>38</v>
      </c>
      <c r="C11" s="50">
        <v>30</v>
      </c>
      <c r="D11" s="50">
        <v>9</v>
      </c>
      <c r="E11" s="50">
        <v>0</v>
      </c>
      <c r="F11" s="50">
        <v>8</v>
      </c>
      <c r="G11" s="50">
        <v>0</v>
      </c>
      <c r="H11" s="50">
        <v>0</v>
      </c>
      <c r="I11" s="50">
        <v>1</v>
      </c>
      <c r="J11" s="50">
        <v>1</v>
      </c>
      <c r="K11" s="50">
        <v>6</v>
      </c>
      <c r="L11" s="50">
        <v>0</v>
      </c>
      <c r="M11" s="50">
        <v>85</v>
      </c>
      <c r="N11" s="50">
        <v>0</v>
      </c>
      <c r="O11" s="15">
        <f t="shared" si="0"/>
        <v>55</v>
      </c>
      <c r="P11" s="15">
        <f t="shared" si="1"/>
        <v>140</v>
      </c>
      <c r="R11" s="1" t="s">
        <v>7</v>
      </c>
      <c r="S11" s="17">
        <f t="shared" ref="S11:AF11" si="3">SUM(C14:C17)</f>
        <v>108</v>
      </c>
      <c r="T11" s="17">
        <f t="shared" si="3"/>
        <v>36</v>
      </c>
      <c r="U11" s="17">
        <f t="shared" si="3"/>
        <v>11</v>
      </c>
      <c r="V11" s="17">
        <f t="shared" si="3"/>
        <v>125</v>
      </c>
      <c r="W11" s="17">
        <f t="shared" si="3"/>
        <v>2</v>
      </c>
      <c r="X11" s="17">
        <f t="shared" si="3"/>
        <v>0</v>
      </c>
      <c r="Y11" s="17">
        <f t="shared" si="3"/>
        <v>4</v>
      </c>
      <c r="Z11" s="17">
        <f t="shared" si="3"/>
        <v>7</v>
      </c>
      <c r="AA11" s="17">
        <f t="shared" si="3"/>
        <v>6</v>
      </c>
      <c r="AB11" s="17">
        <f t="shared" si="3"/>
        <v>0</v>
      </c>
      <c r="AC11" s="17">
        <f t="shared" si="3"/>
        <v>420</v>
      </c>
      <c r="AD11" s="17">
        <f t="shared" si="3"/>
        <v>0</v>
      </c>
      <c r="AE11" s="31">
        <f t="shared" si="3"/>
        <v>299</v>
      </c>
      <c r="AF11" s="31">
        <f t="shared" si="3"/>
        <v>719</v>
      </c>
    </row>
    <row r="12" spans="2:32" ht="23.1" customHeight="1" x14ac:dyDescent="0.25">
      <c r="B12" s="45" t="s">
        <v>39</v>
      </c>
      <c r="C12" s="50">
        <v>27</v>
      </c>
      <c r="D12" s="50">
        <v>12</v>
      </c>
      <c r="E12" s="50">
        <v>1</v>
      </c>
      <c r="F12" s="50">
        <v>19</v>
      </c>
      <c r="G12" s="50">
        <v>1</v>
      </c>
      <c r="H12" s="50">
        <v>0</v>
      </c>
      <c r="I12" s="50">
        <v>2</v>
      </c>
      <c r="J12" s="50">
        <v>0</v>
      </c>
      <c r="K12" s="50">
        <v>2</v>
      </c>
      <c r="L12" s="50">
        <v>0</v>
      </c>
      <c r="M12" s="50">
        <v>131</v>
      </c>
      <c r="N12" s="50">
        <v>0</v>
      </c>
      <c r="O12" s="15">
        <f t="shared" si="0"/>
        <v>64</v>
      </c>
      <c r="P12" s="15">
        <f t="shared" si="1"/>
        <v>195</v>
      </c>
      <c r="R12" s="1" t="s">
        <v>8</v>
      </c>
      <c r="S12" s="17">
        <f t="shared" ref="S12:AF12" si="4">SUM(C18:C21)</f>
        <v>94</v>
      </c>
      <c r="T12" s="17">
        <f t="shared" si="4"/>
        <v>54</v>
      </c>
      <c r="U12" s="17">
        <f t="shared" si="4"/>
        <v>14</v>
      </c>
      <c r="V12" s="17">
        <f t="shared" si="4"/>
        <v>99</v>
      </c>
      <c r="W12" s="17">
        <f t="shared" si="4"/>
        <v>0</v>
      </c>
      <c r="X12" s="17">
        <f t="shared" si="4"/>
        <v>0</v>
      </c>
      <c r="Y12" s="17">
        <f t="shared" si="4"/>
        <v>16</v>
      </c>
      <c r="Z12" s="17">
        <f t="shared" si="4"/>
        <v>7</v>
      </c>
      <c r="AA12" s="17">
        <f t="shared" si="4"/>
        <v>11</v>
      </c>
      <c r="AB12" s="17">
        <f t="shared" si="4"/>
        <v>0</v>
      </c>
      <c r="AC12" s="17">
        <f t="shared" si="4"/>
        <v>387</v>
      </c>
      <c r="AD12" s="17">
        <f t="shared" si="4"/>
        <v>0</v>
      </c>
      <c r="AE12" s="31">
        <f t="shared" si="4"/>
        <v>295</v>
      </c>
      <c r="AF12" s="31">
        <f t="shared" si="4"/>
        <v>682</v>
      </c>
    </row>
    <row r="13" spans="2:32" ht="23.1" customHeight="1" x14ac:dyDescent="0.25">
      <c r="B13" s="45" t="s">
        <v>40</v>
      </c>
      <c r="C13" s="50">
        <v>21</v>
      </c>
      <c r="D13" s="50">
        <v>14</v>
      </c>
      <c r="E13" s="50">
        <v>3</v>
      </c>
      <c r="F13" s="50">
        <v>22</v>
      </c>
      <c r="G13" s="50">
        <v>0</v>
      </c>
      <c r="H13" s="50">
        <v>0</v>
      </c>
      <c r="I13" s="50">
        <v>1</v>
      </c>
      <c r="J13" s="50">
        <v>1</v>
      </c>
      <c r="K13" s="50">
        <v>1</v>
      </c>
      <c r="L13" s="50">
        <v>0</v>
      </c>
      <c r="M13" s="50">
        <v>85</v>
      </c>
      <c r="N13" s="50">
        <v>0</v>
      </c>
      <c r="O13" s="15">
        <f t="shared" si="0"/>
        <v>63</v>
      </c>
      <c r="P13" s="15">
        <f t="shared" si="1"/>
        <v>148</v>
      </c>
      <c r="R13" s="1" t="s">
        <v>9</v>
      </c>
      <c r="S13" s="17">
        <f t="shared" ref="S13:AF13" si="5">SUM(C22:C25)</f>
        <v>113</v>
      </c>
      <c r="T13" s="17">
        <f t="shared" si="5"/>
        <v>48</v>
      </c>
      <c r="U13" s="17">
        <f t="shared" si="5"/>
        <v>16</v>
      </c>
      <c r="V13" s="17">
        <f t="shared" si="5"/>
        <v>78</v>
      </c>
      <c r="W13" s="17">
        <f t="shared" si="5"/>
        <v>0</v>
      </c>
      <c r="X13" s="17">
        <f t="shared" si="5"/>
        <v>1</v>
      </c>
      <c r="Y13" s="17">
        <f t="shared" si="5"/>
        <v>22</v>
      </c>
      <c r="Z13" s="17">
        <f t="shared" si="5"/>
        <v>6</v>
      </c>
      <c r="AA13" s="17">
        <f t="shared" si="5"/>
        <v>10</v>
      </c>
      <c r="AB13" s="17">
        <f t="shared" si="5"/>
        <v>0</v>
      </c>
      <c r="AC13" s="17">
        <f t="shared" si="5"/>
        <v>383</v>
      </c>
      <c r="AD13" s="17">
        <f t="shared" si="5"/>
        <v>0</v>
      </c>
      <c r="AE13" s="31">
        <f t="shared" si="5"/>
        <v>294</v>
      </c>
      <c r="AF13" s="31">
        <f t="shared" si="5"/>
        <v>677</v>
      </c>
    </row>
    <row r="14" spans="2:32" ht="23.1" customHeight="1" x14ac:dyDescent="0.25">
      <c r="B14" s="45" t="s">
        <v>41</v>
      </c>
      <c r="C14" s="50">
        <v>15</v>
      </c>
      <c r="D14" s="50">
        <v>6</v>
      </c>
      <c r="E14" s="50">
        <v>1</v>
      </c>
      <c r="F14" s="50">
        <v>30</v>
      </c>
      <c r="G14" s="50">
        <v>0</v>
      </c>
      <c r="H14" s="50">
        <v>0</v>
      </c>
      <c r="I14" s="50">
        <v>0</v>
      </c>
      <c r="J14" s="50">
        <v>2</v>
      </c>
      <c r="K14" s="50">
        <v>2</v>
      </c>
      <c r="L14" s="50">
        <v>0</v>
      </c>
      <c r="M14" s="50">
        <v>85</v>
      </c>
      <c r="N14" s="50">
        <v>0</v>
      </c>
      <c r="O14" s="15">
        <f t="shared" si="0"/>
        <v>56</v>
      </c>
      <c r="P14" s="15">
        <f t="shared" si="1"/>
        <v>141</v>
      </c>
      <c r="R14" s="1" t="s">
        <v>10</v>
      </c>
      <c r="S14" s="17">
        <f t="shared" ref="S14:AF14" si="6">SUM(C26:C29)</f>
        <v>120</v>
      </c>
      <c r="T14" s="17">
        <f t="shared" si="6"/>
        <v>40</v>
      </c>
      <c r="U14" s="17">
        <f t="shared" si="6"/>
        <v>19</v>
      </c>
      <c r="V14" s="17">
        <f t="shared" si="6"/>
        <v>51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2</v>
      </c>
      <c r="AA14" s="17">
        <f t="shared" si="6"/>
        <v>9</v>
      </c>
      <c r="AB14" s="17">
        <f t="shared" si="6"/>
        <v>0</v>
      </c>
      <c r="AC14" s="17">
        <f t="shared" si="6"/>
        <v>308</v>
      </c>
      <c r="AD14" s="17">
        <f t="shared" si="6"/>
        <v>0</v>
      </c>
      <c r="AE14" s="31">
        <f t="shared" si="6"/>
        <v>254</v>
      </c>
      <c r="AF14" s="31">
        <f t="shared" si="6"/>
        <v>562</v>
      </c>
    </row>
    <row r="15" spans="2:32" ht="23.1" customHeight="1" x14ac:dyDescent="0.25">
      <c r="B15" s="45" t="s">
        <v>42</v>
      </c>
      <c r="C15" s="50">
        <v>25</v>
      </c>
      <c r="D15" s="50">
        <v>5</v>
      </c>
      <c r="E15" s="50">
        <v>3</v>
      </c>
      <c r="F15" s="50">
        <v>36</v>
      </c>
      <c r="G15" s="50">
        <v>0</v>
      </c>
      <c r="H15" s="50">
        <v>0</v>
      </c>
      <c r="I15" s="50">
        <v>2</v>
      </c>
      <c r="J15" s="50">
        <v>2</v>
      </c>
      <c r="K15" s="50">
        <v>2</v>
      </c>
      <c r="L15" s="50">
        <v>0</v>
      </c>
      <c r="M15" s="50">
        <v>125</v>
      </c>
      <c r="N15" s="50">
        <v>0</v>
      </c>
      <c r="O15" s="15">
        <f t="shared" si="0"/>
        <v>75</v>
      </c>
      <c r="P15" s="15">
        <f t="shared" si="1"/>
        <v>200</v>
      </c>
      <c r="R15" s="1" t="s">
        <v>11</v>
      </c>
      <c r="S15" s="17">
        <f t="shared" ref="S15:AF15" si="7">SUM(C30:C33)</f>
        <v>124</v>
      </c>
      <c r="T15" s="17">
        <f t="shared" si="7"/>
        <v>49</v>
      </c>
      <c r="U15" s="17">
        <f t="shared" si="7"/>
        <v>17</v>
      </c>
      <c r="V15" s="17">
        <f t="shared" si="7"/>
        <v>51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9</v>
      </c>
      <c r="AA15" s="17">
        <f t="shared" si="7"/>
        <v>10</v>
      </c>
      <c r="AB15" s="17">
        <f t="shared" si="7"/>
        <v>2</v>
      </c>
      <c r="AC15" s="17">
        <f t="shared" si="7"/>
        <v>291</v>
      </c>
      <c r="AD15" s="17">
        <f t="shared" si="7"/>
        <v>0</v>
      </c>
      <c r="AE15" s="31">
        <f t="shared" si="7"/>
        <v>277</v>
      </c>
      <c r="AF15" s="31">
        <f t="shared" si="7"/>
        <v>568</v>
      </c>
    </row>
    <row r="16" spans="2:32" ht="23.1" customHeight="1" x14ac:dyDescent="0.25">
      <c r="B16" s="45" t="s">
        <v>43</v>
      </c>
      <c r="C16" s="50">
        <v>35</v>
      </c>
      <c r="D16" s="50">
        <v>13</v>
      </c>
      <c r="E16" s="50">
        <v>4</v>
      </c>
      <c r="F16" s="50">
        <v>28</v>
      </c>
      <c r="G16" s="50">
        <v>1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95</v>
      </c>
      <c r="N16" s="50">
        <v>0</v>
      </c>
      <c r="O16" s="15">
        <f t="shared" si="0"/>
        <v>83</v>
      </c>
      <c r="P16" s="15">
        <f t="shared" si="1"/>
        <v>178</v>
      </c>
      <c r="R16" s="1" t="s">
        <v>12</v>
      </c>
      <c r="S16" s="17">
        <f t="shared" ref="S16:AF16" si="8">SUM(C34:C37)</f>
        <v>118</v>
      </c>
      <c r="T16" s="17">
        <f t="shared" si="8"/>
        <v>52</v>
      </c>
      <c r="U16" s="17">
        <f t="shared" si="8"/>
        <v>16</v>
      </c>
      <c r="V16" s="17">
        <f t="shared" si="8"/>
        <v>63</v>
      </c>
      <c r="W16" s="17">
        <f t="shared" si="8"/>
        <v>2</v>
      </c>
      <c r="X16" s="17">
        <f t="shared" si="8"/>
        <v>0</v>
      </c>
      <c r="Y16" s="17">
        <f t="shared" si="8"/>
        <v>19</v>
      </c>
      <c r="Z16" s="17">
        <f t="shared" si="8"/>
        <v>15</v>
      </c>
      <c r="AA16" s="17">
        <f t="shared" si="8"/>
        <v>4</v>
      </c>
      <c r="AB16" s="17">
        <f t="shared" si="8"/>
        <v>0</v>
      </c>
      <c r="AC16" s="17">
        <f t="shared" si="8"/>
        <v>224</v>
      </c>
      <c r="AD16" s="17">
        <f t="shared" si="8"/>
        <v>0</v>
      </c>
      <c r="AE16" s="31">
        <f t="shared" si="8"/>
        <v>289</v>
      </c>
      <c r="AF16" s="31">
        <f t="shared" si="8"/>
        <v>513</v>
      </c>
    </row>
    <row r="17" spans="2:32" ht="23.1" customHeight="1" x14ac:dyDescent="0.25">
      <c r="B17" s="45" t="s">
        <v>44</v>
      </c>
      <c r="C17" s="50">
        <v>33</v>
      </c>
      <c r="D17" s="50">
        <v>12</v>
      </c>
      <c r="E17" s="50">
        <v>3</v>
      </c>
      <c r="F17" s="50">
        <v>31</v>
      </c>
      <c r="G17" s="50">
        <v>1</v>
      </c>
      <c r="H17" s="50">
        <v>0</v>
      </c>
      <c r="I17" s="50">
        <v>1</v>
      </c>
      <c r="J17" s="50">
        <v>2</v>
      </c>
      <c r="K17" s="50">
        <v>2</v>
      </c>
      <c r="L17" s="50">
        <v>0</v>
      </c>
      <c r="M17" s="50">
        <v>115</v>
      </c>
      <c r="N17" s="50">
        <v>0</v>
      </c>
      <c r="O17" s="15">
        <f t="shared" si="0"/>
        <v>85</v>
      </c>
      <c r="P17" s="15">
        <f t="shared" si="1"/>
        <v>200</v>
      </c>
      <c r="R17" s="1" t="s">
        <v>13</v>
      </c>
      <c r="S17" s="17">
        <f t="shared" ref="S17:AF17" si="9">SUM(C38:C41)</f>
        <v>135</v>
      </c>
      <c r="T17" s="17">
        <f t="shared" si="9"/>
        <v>49</v>
      </c>
      <c r="U17" s="17">
        <f t="shared" si="9"/>
        <v>15</v>
      </c>
      <c r="V17" s="17">
        <f t="shared" si="9"/>
        <v>58</v>
      </c>
      <c r="W17" s="17">
        <f t="shared" si="9"/>
        <v>0</v>
      </c>
      <c r="X17" s="17">
        <f t="shared" si="9"/>
        <v>0</v>
      </c>
      <c r="Y17" s="17">
        <f t="shared" si="9"/>
        <v>20</v>
      </c>
      <c r="Z17" s="17">
        <f t="shared" si="9"/>
        <v>9</v>
      </c>
      <c r="AA17" s="17">
        <f t="shared" si="9"/>
        <v>8</v>
      </c>
      <c r="AB17" s="17">
        <f t="shared" si="9"/>
        <v>0</v>
      </c>
      <c r="AC17" s="17">
        <f t="shared" si="9"/>
        <v>257</v>
      </c>
      <c r="AD17" s="17">
        <f t="shared" si="9"/>
        <v>0</v>
      </c>
      <c r="AE17" s="31">
        <f t="shared" si="9"/>
        <v>294</v>
      </c>
      <c r="AF17" s="31">
        <f t="shared" si="9"/>
        <v>551</v>
      </c>
    </row>
    <row r="18" spans="2:32" ht="23.1" customHeight="1" x14ac:dyDescent="0.25">
      <c r="B18" s="45" t="s">
        <v>45</v>
      </c>
      <c r="C18" s="50">
        <v>18</v>
      </c>
      <c r="D18" s="50">
        <v>19</v>
      </c>
      <c r="E18" s="50">
        <v>4</v>
      </c>
      <c r="F18" s="50">
        <v>19</v>
      </c>
      <c r="G18" s="50">
        <v>0</v>
      </c>
      <c r="H18" s="50">
        <v>0</v>
      </c>
      <c r="I18" s="50">
        <v>1</v>
      </c>
      <c r="J18" s="50">
        <v>1</v>
      </c>
      <c r="K18" s="50">
        <v>1</v>
      </c>
      <c r="L18" s="50">
        <v>0</v>
      </c>
      <c r="M18" s="50">
        <v>98</v>
      </c>
      <c r="N18" s="50">
        <v>0</v>
      </c>
      <c r="O18" s="15">
        <f t="shared" si="0"/>
        <v>63</v>
      </c>
      <c r="P18" s="15">
        <f t="shared" si="1"/>
        <v>161</v>
      </c>
      <c r="R18" s="1" t="s">
        <v>14</v>
      </c>
      <c r="S18" s="17">
        <f t="shared" ref="S18:AF18" si="10">SUM(C42:C45)</f>
        <v>168</v>
      </c>
      <c r="T18" s="17">
        <f t="shared" si="10"/>
        <v>66</v>
      </c>
      <c r="U18" s="17">
        <f t="shared" si="10"/>
        <v>19</v>
      </c>
      <c r="V18" s="17">
        <f t="shared" si="10"/>
        <v>55</v>
      </c>
      <c r="W18" s="17">
        <f t="shared" si="10"/>
        <v>0</v>
      </c>
      <c r="X18" s="17">
        <f t="shared" si="10"/>
        <v>0</v>
      </c>
      <c r="Y18" s="17">
        <f t="shared" si="10"/>
        <v>20</v>
      </c>
      <c r="Z18" s="17">
        <f t="shared" si="10"/>
        <v>8</v>
      </c>
      <c r="AA18" s="17">
        <f t="shared" si="10"/>
        <v>13</v>
      </c>
      <c r="AB18" s="17">
        <f t="shared" si="10"/>
        <v>0</v>
      </c>
      <c r="AC18" s="17">
        <f t="shared" si="10"/>
        <v>235</v>
      </c>
      <c r="AD18" s="17">
        <f t="shared" si="10"/>
        <v>0</v>
      </c>
      <c r="AE18" s="31">
        <f t="shared" si="10"/>
        <v>349</v>
      </c>
      <c r="AF18" s="31">
        <f t="shared" si="10"/>
        <v>584</v>
      </c>
    </row>
    <row r="19" spans="2:32" ht="23.1" customHeight="1" x14ac:dyDescent="0.25">
      <c r="B19" s="45" t="s">
        <v>46</v>
      </c>
      <c r="C19" s="50">
        <v>27</v>
      </c>
      <c r="D19" s="50">
        <v>16</v>
      </c>
      <c r="E19" s="50">
        <v>4</v>
      </c>
      <c r="F19" s="50">
        <v>27</v>
      </c>
      <c r="G19" s="50">
        <v>0</v>
      </c>
      <c r="H19" s="50">
        <v>0</v>
      </c>
      <c r="I19" s="50">
        <v>8</v>
      </c>
      <c r="J19" s="50">
        <v>1</v>
      </c>
      <c r="K19" s="50">
        <v>2</v>
      </c>
      <c r="L19" s="50">
        <v>0</v>
      </c>
      <c r="M19" s="50">
        <v>105</v>
      </c>
      <c r="N19" s="50">
        <v>0</v>
      </c>
      <c r="O19" s="15">
        <f t="shared" si="0"/>
        <v>85</v>
      </c>
      <c r="P19" s="15">
        <f t="shared" si="1"/>
        <v>190</v>
      </c>
      <c r="R19" s="1" t="s">
        <v>15</v>
      </c>
      <c r="S19" s="17">
        <f t="shared" ref="S19:AF19" si="11">SUM(C46:C49)</f>
        <v>212</v>
      </c>
      <c r="T19" s="17">
        <f t="shared" si="11"/>
        <v>91</v>
      </c>
      <c r="U19" s="17">
        <f t="shared" si="11"/>
        <v>19</v>
      </c>
      <c r="V19" s="17">
        <f t="shared" si="11"/>
        <v>74</v>
      </c>
      <c r="W19" s="17">
        <f t="shared" si="11"/>
        <v>0</v>
      </c>
      <c r="X19" s="17">
        <f t="shared" si="11"/>
        <v>1</v>
      </c>
      <c r="Y19" s="17">
        <f t="shared" si="11"/>
        <v>10</v>
      </c>
      <c r="Z19" s="17">
        <f t="shared" si="11"/>
        <v>4</v>
      </c>
      <c r="AA19" s="17">
        <f t="shared" si="11"/>
        <v>13</v>
      </c>
      <c r="AB19" s="17">
        <f t="shared" si="11"/>
        <v>0</v>
      </c>
      <c r="AC19" s="17">
        <f t="shared" si="11"/>
        <v>276</v>
      </c>
      <c r="AD19" s="17">
        <f t="shared" si="11"/>
        <v>0</v>
      </c>
      <c r="AE19" s="31">
        <f t="shared" si="11"/>
        <v>424</v>
      </c>
      <c r="AF19" s="31">
        <f t="shared" si="11"/>
        <v>700</v>
      </c>
    </row>
    <row r="20" spans="2:32" ht="23.1" customHeight="1" x14ac:dyDescent="0.25">
      <c r="B20" s="45" t="s">
        <v>47</v>
      </c>
      <c r="C20" s="50">
        <v>24</v>
      </c>
      <c r="D20" s="50">
        <v>7</v>
      </c>
      <c r="E20" s="50">
        <v>2</v>
      </c>
      <c r="F20" s="50">
        <v>32</v>
      </c>
      <c r="G20" s="50">
        <v>0</v>
      </c>
      <c r="H20" s="50">
        <v>0</v>
      </c>
      <c r="I20" s="50">
        <v>3</v>
      </c>
      <c r="J20" s="50">
        <v>2</v>
      </c>
      <c r="K20" s="50">
        <v>1</v>
      </c>
      <c r="L20" s="50">
        <v>0</v>
      </c>
      <c r="M20" s="50">
        <v>105</v>
      </c>
      <c r="N20" s="50">
        <v>0</v>
      </c>
      <c r="O20" s="15">
        <f t="shared" si="0"/>
        <v>71</v>
      </c>
      <c r="P20" s="15">
        <f t="shared" si="1"/>
        <v>176</v>
      </c>
      <c r="R20" s="1" t="s">
        <v>16</v>
      </c>
      <c r="S20" s="17">
        <f t="shared" ref="S20:AF20" si="12">SUM(C50:C53)</f>
        <v>255</v>
      </c>
      <c r="T20" s="17">
        <f t="shared" si="12"/>
        <v>168</v>
      </c>
      <c r="U20" s="17">
        <f t="shared" si="12"/>
        <v>30</v>
      </c>
      <c r="V20" s="17">
        <f t="shared" si="12"/>
        <v>50</v>
      </c>
      <c r="W20" s="17">
        <f t="shared" si="12"/>
        <v>0</v>
      </c>
      <c r="X20" s="17">
        <f t="shared" si="12"/>
        <v>0</v>
      </c>
      <c r="Y20" s="17">
        <f t="shared" si="12"/>
        <v>15</v>
      </c>
      <c r="Z20" s="17">
        <f t="shared" si="12"/>
        <v>6</v>
      </c>
      <c r="AA20" s="17">
        <f t="shared" si="12"/>
        <v>10</v>
      </c>
      <c r="AB20" s="17">
        <f t="shared" si="12"/>
        <v>0</v>
      </c>
      <c r="AC20" s="17">
        <f t="shared" si="12"/>
        <v>360</v>
      </c>
      <c r="AD20" s="17">
        <f t="shared" si="12"/>
        <v>0</v>
      </c>
      <c r="AE20" s="31">
        <f t="shared" si="12"/>
        <v>534</v>
      </c>
      <c r="AF20" s="31">
        <f t="shared" si="12"/>
        <v>894</v>
      </c>
    </row>
    <row r="21" spans="2:32" ht="23.1" customHeight="1" x14ac:dyDescent="0.25">
      <c r="B21" s="45" t="s">
        <v>48</v>
      </c>
      <c r="C21" s="50">
        <v>25</v>
      </c>
      <c r="D21" s="50">
        <v>12</v>
      </c>
      <c r="E21" s="50">
        <v>4</v>
      </c>
      <c r="F21" s="50">
        <v>21</v>
      </c>
      <c r="G21" s="50">
        <v>0</v>
      </c>
      <c r="H21" s="50">
        <v>0</v>
      </c>
      <c r="I21" s="50">
        <v>4</v>
      </c>
      <c r="J21" s="50">
        <v>3</v>
      </c>
      <c r="K21" s="50">
        <v>7</v>
      </c>
      <c r="L21" s="50">
        <v>0</v>
      </c>
      <c r="M21" s="50">
        <v>79</v>
      </c>
      <c r="N21" s="50">
        <v>0</v>
      </c>
      <c r="O21" s="15">
        <f t="shared" si="0"/>
        <v>76</v>
      </c>
      <c r="P21" s="15">
        <f t="shared" si="1"/>
        <v>155</v>
      </c>
      <c r="R21" s="36" t="s">
        <v>20</v>
      </c>
      <c r="S21" s="34">
        <f t="shared" ref="S21:AF21" si="13">SUM(C54:C57)</f>
        <v>243</v>
      </c>
      <c r="T21" s="17">
        <f t="shared" si="13"/>
        <v>72</v>
      </c>
      <c r="U21" s="17">
        <f t="shared" si="13"/>
        <v>24</v>
      </c>
      <c r="V21" s="17">
        <f t="shared" si="13"/>
        <v>54</v>
      </c>
      <c r="W21" s="17">
        <f t="shared" si="13"/>
        <v>1</v>
      </c>
      <c r="X21" s="17">
        <f t="shared" si="13"/>
        <v>2</v>
      </c>
      <c r="Y21" s="17">
        <f t="shared" si="13"/>
        <v>16</v>
      </c>
      <c r="Z21" s="17">
        <f t="shared" si="13"/>
        <v>2</v>
      </c>
      <c r="AA21" s="17">
        <f t="shared" si="13"/>
        <v>1</v>
      </c>
      <c r="AB21" s="17">
        <f t="shared" si="13"/>
        <v>0</v>
      </c>
      <c r="AC21" s="17">
        <f t="shared" si="13"/>
        <v>330</v>
      </c>
      <c r="AD21" s="17">
        <f t="shared" si="13"/>
        <v>0</v>
      </c>
      <c r="AE21" s="31">
        <f t="shared" si="13"/>
        <v>415</v>
      </c>
      <c r="AF21" s="31">
        <f t="shared" si="13"/>
        <v>745</v>
      </c>
    </row>
    <row r="22" spans="2:32" ht="23.1" customHeight="1" x14ac:dyDescent="0.25">
      <c r="B22" s="45" t="s">
        <v>49</v>
      </c>
      <c r="C22" s="50">
        <v>33</v>
      </c>
      <c r="D22" s="50">
        <v>14</v>
      </c>
      <c r="E22" s="50">
        <v>7</v>
      </c>
      <c r="F22" s="50">
        <v>18</v>
      </c>
      <c r="G22" s="50">
        <v>0</v>
      </c>
      <c r="H22" s="50">
        <v>1</v>
      </c>
      <c r="I22" s="50">
        <v>5</v>
      </c>
      <c r="J22" s="50">
        <v>4</v>
      </c>
      <c r="K22" s="50">
        <v>2</v>
      </c>
      <c r="L22" s="50">
        <v>0</v>
      </c>
      <c r="M22" s="50">
        <v>120</v>
      </c>
      <c r="N22" s="50">
        <v>0</v>
      </c>
      <c r="O22" s="15">
        <f t="shared" si="0"/>
        <v>84</v>
      </c>
      <c r="P22" s="15">
        <f t="shared" si="1"/>
        <v>204</v>
      </c>
      <c r="R22" s="36" t="s">
        <v>146</v>
      </c>
      <c r="S22" s="34">
        <f>SUM(C58:C61)</f>
        <v>301</v>
      </c>
      <c r="T22" s="34">
        <f t="shared" ref="T22:AF22" si="14">SUM(D58:D61)</f>
        <v>225</v>
      </c>
      <c r="U22" s="34">
        <f t="shared" si="14"/>
        <v>63</v>
      </c>
      <c r="V22" s="34">
        <f t="shared" si="14"/>
        <v>255</v>
      </c>
      <c r="W22" s="34">
        <f t="shared" si="14"/>
        <v>0</v>
      </c>
      <c r="X22" s="34">
        <f t="shared" si="14"/>
        <v>0</v>
      </c>
      <c r="Y22" s="34">
        <f t="shared" si="14"/>
        <v>31</v>
      </c>
      <c r="Z22" s="34">
        <f t="shared" si="14"/>
        <v>17</v>
      </c>
      <c r="AA22" s="34">
        <f t="shared" si="14"/>
        <v>9</v>
      </c>
      <c r="AB22" s="34">
        <f t="shared" si="14"/>
        <v>0</v>
      </c>
      <c r="AC22" s="34">
        <f t="shared" si="14"/>
        <v>465</v>
      </c>
      <c r="AD22" s="34">
        <f t="shared" si="14"/>
        <v>0</v>
      </c>
      <c r="AE22" s="31">
        <f t="shared" si="14"/>
        <v>901</v>
      </c>
      <c r="AF22" s="31">
        <f t="shared" si="14"/>
        <v>1366</v>
      </c>
    </row>
    <row r="23" spans="2:32" ht="23.1" customHeight="1" x14ac:dyDescent="0.25">
      <c r="B23" s="45" t="s">
        <v>50</v>
      </c>
      <c r="C23" s="50">
        <v>24</v>
      </c>
      <c r="D23" s="50">
        <v>10</v>
      </c>
      <c r="E23" s="50">
        <v>4</v>
      </c>
      <c r="F23" s="50">
        <v>19</v>
      </c>
      <c r="G23" s="50">
        <v>0</v>
      </c>
      <c r="H23" s="50">
        <v>0</v>
      </c>
      <c r="I23" s="50">
        <v>10</v>
      </c>
      <c r="J23" s="50">
        <v>0</v>
      </c>
      <c r="K23" s="50">
        <v>1</v>
      </c>
      <c r="L23" s="50">
        <v>0</v>
      </c>
      <c r="M23" s="50">
        <v>85</v>
      </c>
      <c r="N23" s="50">
        <v>0</v>
      </c>
      <c r="O23" s="15">
        <f t="shared" si="0"/>
        <v>68</v>
      </c>
      <c r="P23" s="15">
        <f t="shared" si="1"/>
        <v>153</v>
      </c>
      <c r="R23" s="36" t="s">
        <v>147</v>
      </c>
      <c r="S23" s="34">
        <f>SUM(C62:C65)</f>
        <v>244</v>
      </c>
      <c r="T23" s="34">
        <f t="shared" ref="T23:AF23" si="15">SUM(D62:D65)</f>
        <v>98</v>
      </c>
      <c r="U23" s="34">
        <f t="shared" si="15"/>
        <v>22</v>
      </c>
      <c r="V23" s="34">
        <f t="shared" si="15"/>
        <v>47</v>
      </c>
      <c r="W23" s="34">
        <f t="shared" si="15"/>
        <v>0</v>
      </c>
      <c r="X23" s="34">
        <f t="shared" si="15"/>
        <v>0</v>
      </c>
      <c r="Y23" s="34">
        <f t="shared" si="15"/>
        <v>9</v>
      </c>
      <c r="Z23" s="34">
        <f t="shared" si="15"/>
        <v>4</v>
      </c>
      <c r="AA23" s="34">
        <f t="shared" si="15"/>
        <v>1</v>
      </c>
      <c r="AB23" s="34">
        <f t="shared" si="15"/>
        <v>0</v>
      </c>
      <c r="AC23" s="34">
        <f t="shared" si="15"/>
        <v>361</v>
      </c>
      <c r="AD23" s="34">
        <f t="shared" si="15"/>
        <v>0</v>
      </c>
      <c r="AE23" s="31">
        <f t="shared" si="15"/>
        <v>425</v>
      </c>
      <c r="AF23" s="31">
        <f t="shared" si="15"/>
        <v>786</v>
      </c>
    </row>
    <row r="24" spans="2:32" ht="23.1" customHeight="1" x14ac:dyDescent="0.25">
      <c r="B24" s="45" t="s">
        <v>51</v>
      </c>
      <c r="C24" s="50">
        <v>30</v>
      </c>
      <c r="D24" s="50">
        <v>8</v>
      </c>
      <c r="E24" s="50">
        <v>2</v>
      </c>
      <c r="F24" s="50">
        <v>20</v>
      </c>
      <c r="G24" s="50">
        <v>0</v>
      </c>
      <c r="H24" s="50">
        <v>0</v>
      </c>
      <c r="I24" s="50">
        <v>3</v>
      </c>
      <c r="J24" s="50">
        <v>1</v>
      </c>
      <c r="K24" s="50">
        <v>3</v>
      </c>
      <c r="L24" s="50">
        <v>0</v>
      </c>
      <c r="M24" s="50">
        <v>95</v>
      </c>
      <c r="N24" s="50">
        <v>0</v>
      </c>
      <c r="O24" s="15">
        <f t="shared" si="0"/>
        <v>67</v>
      </c>
      <c r="P24" s="15">
        <f t="shared" si="1"/>
        <v>162</v>
      </c>
      <c r="R24" s="36" t="s">
        <v>148</v>
      </c>
      <c r="S24" s="34">
        <f>SUM(C66:C69)</f>
        <v>240</v>
      </c>
      <c r="T24" s="34">
        <f t="shared" ref="T24:AF24" si="16">SUM(D66:D69)</f>
        <v>109</v>
      </c>
      <c r="U24" s="34">
        <f t="shared" si="16"/>
        <v>23</v>
      </c>
      <c r="V24" s="34">
        <f t="shared" si="16"/>
        <v>89</v>
      </c>
      <c r="W24" s="34">
        <f t="shared" si="16"/>
        <v>0</v>
      </c>
      <c r="X24" s="34">
        <f t="shared" si="16"/>
        <v>1</v>
      </c>
      <c r="Y24" s="34">
        <f t="shared" si="16"/>
        <v>13</v>
      </c>
      <c r="Z24" s="34">
        <f t="shared" si="16"/>
        <v>6</v>
      </c>
      <c r="AA24" s="34">
        <f t="shared" si="16"/>
        <v>4</v>
      </c>
      <c r="AB24" s="34">
        <f t="shared" si="16"/>
        <v>0</v>
      </c>
      <c r="AC24" s="34">
        <f t="shared" si="16"/>
        <v>350</v>
      </c>
      <c r="AD24" s="34">
        <f t="shared" si="16"/>
        <v>0</v>
      </c>
      <c r="AE24" s="31">
        <f t="shared" si="16"/>
        <v>485</v>
      </c>
      <c r="AF24" s="31">
        <f t="shared" si="16"/>
        <v>835</v>
      </c>
    </row>
    <row r="25" spans="2:32" ht="23.1" customHeight="1" x14ac:dyDescent="0.25">
      <c r="B25" s="45" t="s">
        <v>52</v>
      </c>
      <c r="C25" s="50">
        <v>26</v>
      </c>
      <c r="D25" s="50">
        <v>16</v>
      </c>
      <c r="E25" s="50">
        <v>3</v>
      </c>
      <c r="F25" s="50">
        <v>21</v>
      </c>
      <c r="G25" s="50">
        <v>0</v>
      </c>
      <c r="H25" s="50">
        <v>0</v>
      </c>
      <c r="I25" s="50">
        <v>4</v>
      </c>
      <c r="J25" s="50">
        <v>1</v>
      </c>
      <c r="K25" s="50">
        <v>4</v>
      </c>
      <c r="L25" s="50">
        <v>0</v>
      </c>
      <c r="M25" s="50">
        <v>83</v>
      </c>
      <c r="N25" s="50">
        <v>0</v>
      </c>
      <c r="O25" s="15">
        <f t="shared" si="0"/>
        <v>75</v>
      </c>
      <c r="P25" s="15">
        <f t="shared" si="1"/>
        <v>158</v>
      </c>
      <c r="R25" s="36" t="s">
        <v>149</v>
      </c>
      <c r="S25" s="34">
        <f>SUM(C70:C73)</f>
        <v>131</v>
      </c>
      <c r="T25" s="34">
        <f t="shared" ref="T25:AF25" si="17">SUM(D70:D73)</f>
        <v>82</v>
      </c>
      <c r="U25" s="34">
        <f t="shared" si="17"/>
        <v>16</v>
      </c>
      <c r="V25" s="34">
        <f t="shared" si="17"/>
        <v>45</v>
      </c>
      <c r="W25" s="34">
        <f t="shared" si="17"/>
        <v>1</v>
      </c>
      <c r="X25" s="34">
        <f t="shared" si="17"/>
        <v>0</v>
      </c>
      <c r="Y25" s="34">
        <f t="shared" si="17"/>
        <v>7</v>
      </c>
      <c r="Z25" s="34">
        <f t="shared" si="17"/>
        <v>5</v>
      </c>
      <c r="AA25" s="34">
        <f t="shared" si="17"/>
        <v>3</v>
      </c>
      <c r="AB25" s="34">
        <f t="shared" si="17"/>
        <v>0</v>
      </c>
      <c r="AC25" s="34">
        <f t="shared" si="17"/>
        <v>292</v>
      </c>
      <c r="AD25" s="34">
        <f t="shared" si="17"/>
        <v>0</v>
      </c>
      <c r="AE25" s="31">
        <f t="shared" si="17"/>
        <v>290</v>
      </c>
      <c r="AF25" s="31">
        <f t="shared" si="17"/>
        <v>582</v>
      </c>
    </row>
    <row r="26" spans="2:32" ht="23.1" customHeight="1" x14ac:dyDescent="0.25">
      <c r="B26" s="45" t="s">
        <v>53</v>
      </c>
      <c r="C26" s="50">
        <v>25</v>
      </c>
      <c r="D26" s="50">
        <v>10</v>
      </c>
      <c r="E26" s="50">
        <v>8</v>
      </c>
      <c r="F26" s="50">
        <v>20</v>
      </c>
      <c r="G26" s="50">
        <v>0</v>
      </c>
      <c r="H26" s="50">
        <v>0</v>
      </c>
      <c r="I26" s="50">
        <v>3</v>
      </c>
      <c r="J26" s="50">
        <v>1</v>
      </c>
      <c r="K26" s="50">
        <v>3</v>
      </c>
      <c r="L26" s="50">
        <v>0</v>
      </c>
      <c r="M26" s="50">
        <v>80</v>
      </c>
      <c r="N26" s="50">
        <v>0</v>
      </c>
      <c r="O26" s="15">
        <f t="shared" si="0"/>
        <v>70</v>
      </c>
      <c r="P26" s="15">
        <f t="shared" si="1"/>
        <v>150</v>
      </c>
      <c r="R26" s="36" t="s">
        <v>150</v>
      </c>
      <c r="S26" s="34">
        <f>SUM(C74:C77)</f>
        <v>133</v>
      </c>
      <c r="T26" s="34">
        <f t="shared" ref="T26:AF26" si="18">SUM(D74:D77)</f>
        <v>43</v>
      </c>
      <c r="U26" s="34">
        <f t="shared" si="18"/>
        <v>15</v>
      </c>
      <c r="V26" s="34">
        <f t="shared" si="18"/>
        <v>34</v>
      </c>
      <c r="W26" s="34">
        <f t="shared" si="18"/>
        <v>0</v>
      </c>
      <c r="X26" s="34">
        <f t="shared" si="18"/>
        <v>0</v>
      </c>
      <c r="Y26" s="34">
        <f t="shared" si="18"/>
        <v>4</v>
      </c>
      <c r="Z26" s="34">
        <f t="shared" si="18"/>
        <v>5</v>
      </c>
      <c r="AA26" s="34">
        <f t="shared" si="18"/>
        <v>0</v>
      </c>
      <c r="AB26" s="34">
        <f t="shared" si="18"/>
        <v>0</v>
      </c>
      <c r="AC26" s="34">
        <f t="shared" si="18"/>
        <v>151</v>
      </c>
      <c r="AD26" s="34">
        <f t="shared" si="18"/>
        <v>0</v>
      </c>
      <c r="AE26" s="31">
        <f t="shared" si="18"/>
        <v>234</v>
      </c>
      <c r="AF26" s="31">
        <f t="shared" si="18"/>
        <v>385</v>
      </c>
    </row>
    <row r="27" spans="2:32" ht="23.1" customHeight="1" x14ac:dyDescent="0.25">
      <c r="B27" s="45" t="s">
        <v>54</v>
      </c>
      <c r="C27" s="50">
        <v>40</v>
      </c>
      <c r="D27" s="50">
        <v>8</v>
      </c>
      <c r="E27" s="50">
        <v>1</v>
      </c>
      <c r="F27" s="50">
        <v>14</v>
      </c>
      <c r="G27" s="50">
        <v>0</v>
      </c>
      <c r="H27" s="50">
        <v>0</v>
      </c>
      <c r="I27" s="50">
        <v>4</v>
      </c>
      <c r="J27" s="50">
        <v>0</v>
      </c>
      <c r="K27" s="50">
        <v>4</v>
      </c>
      <c r="L27" s="50">
        <v>0</v>
      </c>
      <c r="M27" s="50">
        <v>78</v>
      </c>
      <c r="N27" s="50">
        <v>0</v>
      </c>
      <c r="O27" s="15">
        <f t="shared" si="0"/>
        <v>71</v>
      </c>
      <c r="P27" s="15">
        <f t="shared" si="1"/>
        <v>149</v>
      </c>
      <c r="R27" s="36" t="s">
        <v>151</v>
      </c>
      <c r="S27" s="34">
        <f>SUM(C78:C81)</f>
        <v>123</v>
      </c>
      <c r="T27" s="34">
        <f t="shared" ref="T27:AF27" si="19">SUM(D78:D81)</f>
        <v>21</v>
      </c>
      <c r="U27" s="34">
        <f t="shared" si="19"/>
        <v>5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2</v>
      </c>
      <c r="AA27" s="34">
        <f t="shared" si="19"/>
        <v>2</v>
      </c>
      <c r="AB27" s="34">
        <f t="shared" si="19"/>
        <v>0</v>
      </c>
      <c r="AC27" s="34">
        <f t="shared" si="19"/>
        <v>140</v>
      </c>
      <c r="AD27" s="34">
        <f t="shared" si="19"/>
        <v>0</v>
      </c>
      <c r="AE27" s="31">
        <f t="shared" si="19"/>
        <v>162</v>
      </c>
      <c r="AF27" s="31">
        <f t="shared" si="19"/>
        <v>302</v>
      </c>
    </row>
    <row r="28" spans="2:32" ht="23.1" customHeight="1" x14ac:dyDescent="0.25">
      <c r="B28" s="45" t="s">
        <v>55</v>
      </c>
      <c r="C28" s="50">
        <v>31</v>
      </c>
      <c r="D28" s="50">
        <v>10</v>
      </c>
      <c r="E28" s="50">
        <v>5</v>
      </c>
      <c r="F28" s="50">
        <v>8</v>
      </c>
      <c r="G28" s="50">
        <v>0</v>
      </c>
      <c r="H28" s="50">
        <v>0</v>
      </c>
      <c r="I28" s="50">
        <v>3</v>
      </c>
      <c r="J28" s="50">
        <v>1</v>
      </c>
      <c r="K28" s="50">
        <v>1</v>
      </c>
      <c r="L28" s="50">
        <v>0</v>
      </c>
      <c r="M28" s="50">
        <v>75</v>
      </c>
      <c r="N28" s="50">
        <v>0</v>
      </c>
      <c r="O28" s="15">
        <f t="shared" si="0"/>
        <v>59</v>
      </c>
      <c r="P28" s="15">
        <f t="shared" si="1"/>
        <v>134</v>
      </c>
      <c r="R28" s="36" t="s">
        <v>152</v>
      </c>
      <c r="S28" s="34">
        <f>SUM(C82:C85)</f>
        <v>55</v>
      </c>
      <c r="T28" s="34">
        <f t="shared" ref="T28:AF28" si="20">SUM(D82:D85)</f>
        <v>11</v>
      </c>
      <c r="U28" s="34">
        <f t="shared" si="20"/>
        <v>2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47</v>
      </c>
      <c r="AD28" s="34">
        <f t="shared" si="20"/>
        <v>0</v>
      </c>
      <c r="AE28" s="31">
        <f t="shared" si="20"/>
        <v>72</v>
      </c>
      <c r="AF28" s="31">
        <f t="shared" si="20"/>
        <v>119</v>
      </c>
    </row>
    <row r="29" spans="2:32" ht="23.1" customHeight="1" x14ac:dyDescent="0.25">
      <c r="B29" s="45" t="s">
        <v>56</v>
      </c>
      <c r="C29" s="50">
        <v>24</v>
      </c>
      <c r="D29" s="50">
        <v>12</v>
      </c>
      <c r="E29" s="50">
        <v>5</v>
      </c>
      <c r="F29" s="50">
        <v>9</v>
      </c>
      <c r="G29" s="50">
        <v>0</v>
      </c>
      <c r="H29" s="50">
        <v>0</v>
      </c>
      <c r="I29" s="50">
        <v>3</v>
      </c>
      <c r="J29" s="50">
        <v>0</v>
      </c>
      <c r="K29" s="50">
        <v>1</v>
      </c>
      <c r="L29" s="50">
        <v>0</v>
      </c>
      <c r="M29" s="50">
        <v>75</v>
      </c>
      <c r="N29" s="50">
        <v>0</v>
      </c>
      <c r="O29" s="15">
        <f t="shared" si="0"/>
        <v>54</v>
      </c>
      <c r="P29" s="15">
        <f t="shared" si="1"/>
        <v>129</v>
      </c>
      <c r="R29" s="36" t="s">
        <v>153</v>
      </c>
      <c r="S29" s="34">
        <f>SUM(C86:C89)</f>
        <v>41</v>
      </c>
      <c r="T29" s="34">
        <f t="shared" ref="T29:AF29" si="21">SUM(D86:D89)</f>
        <v>13</v>
      </c>
      <c r="U29" s="34">
        <f t="shared" si="21"/>
        <v>3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4</v>
      </c>
      <c r="AB29" s="34">
        <f t="shared" si="21"/>
        <v>0</v>
      </c>
      <c r="AC29" s="34">
        <f t="shared" si="21"/>
        <v>36</v>
      </c>
      <c r="AD29" s="34">
        <f t="shared" si="21"/>
        <v>0</v>
      </c>
      <c r="AE29" s="31">
        <f t="shared" si="21"/>
        <v>64</v>
      </c>
      <c r="AF29" s="31">
        <f t="shared" si="21"/>
        <v>100</v>
      </c>
    </row>
    <row r="30" spans="2:32" ht="23.1" customHeight="1" x14ac:dyDescent="0.25">
      <c r="B30" s="45" t="s">
        <v>57</v>
      </c>
      <c r="C30" s="50">
        <v>19</v>
      </c>
      <c r="D30" s="50">
        <v>12</v>
      </c>
      <c r="E30" s="50">
        <v>3</v>
      </c>
      <c r="F30" s="50">
        <v>15</v>
      </c>
      <c r="G30" s="50">
        <v>0</v>
      </c>
      <c r="H30" s="50">
        <v>0</v>
      </c>
      <c r="I30" s="50">
        <v>3</v>
      </c>
      <c r="J30" s="50">
        <v>2</v>
      </c>
      <c r="K30" s="50">
        <v>6</v>
      </c>
      <c r="L30" s="50">
        <v>2</v>
      </c>
      <c r="M30" s="50">
        <v>55</v>
      </c>
      <c r="N30" s="50">
        <v>0</v>
      </c>
      <c r="O30" s="15">
        <f t="shared" si="0"/>
        <v>62</v>
      </c>
      <c r="P30" s="15">
        <f t="shared" si="1"/>
        <v>117</v>
      </c>
      <c r="R30" s="36" t="s">
        <v>154</v>
      </c>
      <c r="S30" s="34">
        <f>SUM(C90:C93)</f>
        <v>24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14</v>
      </c>
      <c r="AD30" s="34">
        <f t="shared" si="22"/>
        <v>0</v>
      </c>
      <c r="AE30" s="31">
        <f t="shared" si="22"/>
        <v>29</v>
      </c>
      <c r="AF30" s="31">
        <f t="shared" si="22"/>
        <v>43</v>
      </c>
    </row>
    <row r="31" spans="2:32" ht="23.1" customHeight="1" x14ac:dyDescent="0.25">
      <c r="B31" s="46" t="s">
        <v>58</v>
      </c>
      <c r="C31" s="50">
        <v>45</v>
      </c>
      <c r="D31" s="50">
        <v>12</v>
      </c>
      <c r="E31" s="50">
        <v>2</v>
      </c>
      <c r="F31" s="50">
        <v>11</v>
      </c>
      <c r="G31" s="50">
        <v>0</v>
      </c>
      <c r="H31" s="50">
        <v>0</v>
      </c>
      <c r="I31" s="50">
        <v>6</v>
      </c>
      <c r="J31" s="50">
        <v>0</v>
      </c>
      <c r="K31" s="50">
        <v>1</v>
      </c>
      <c r="L31" s="50">
        <v>0</v>
      </c>
      <c r="M31" s="50">
        <v>80</v>
      </c>
      <c r="N31" s="50">
        <v>0</v>
      </c>
      <c r="O31" s="15">
        <f t="shared" si="0"/>
        <v>77</v>
      </c>
      <c r="P31" s="15">
        <f t="shared" si="1"/>
        <v>157</v>
      </c>
      <c r="R31" s="36" t="s">
        <v>155</v>
      </c>
      <c r="S31" s="34">
        <f>SUM(C94:C97)</f>
        <v>15</v>
      </c>
      <c r="T31" s="34">
        <f t="shared" ref="T31:AF31" si="23">SUM(D94:D97)</f>
        <v>3</v>
      </c>
      <c r="U31" s="34">
        <f t="shared" si="23"/>
        <v>1</v>
      </c>
      <c r="V31" s="34">
        <f t="shared" si="23"/>
        <v>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8</v>
      </c>
      <c r="AD31" s="34">
        <f t="shared" si="23"/>
        <v>0</v>
      </c>
      <c r="AE31" s="31">
        <f t="shared" si="23"/>
        <v>24</v>
      </c>
      <c r="AF31" s="31">
        <f t="shared" si="23"/>
        <v>32</v>
      </c>
    </row>
    <row r="32" spans="2:32" ht="23.1" customHeight="1" x14ac:dyDescent="0.25">
      <c r="B32" s="46" t="s">
        <v>59</v>
      </c>
      <c r="C32" s="50">
        <v>33</v>
      </c>
      <c r="D32" s="50">
        <v>16</v>
      </c>
      <c r="E32" s="50">
        <v>5</v>
      </c>
      <c r="F32" s="50">
        <v>9</v>
      </c>
      <c r="G32" s="50">
        <v>0</v>
      </c>
      <c r="H32" s="50">
        <v>0</v>
      </c>
      <c r="I32" s="50">
        <v>1</v>
      </c>
      <c r="J32" s="50">
        <v>5</v>
      </c>
      <c r="K32" s="50">
        <v>3</v>
      </c>
      <c r="L32" s="50">
        <v>0</v>
      </c>
      <c r="M32" s="50">
        <v>66</v>
      </c>
      <c r="N32" s="50">
        <v>0</v>
      </c>
      <c r="O32" s="15">
        <f t="shared" si="0"/>
        <v>72</v>
      </c>
      <c r="P32" s="15">
        <f t="shared" si="1"/>
        <v>138</v>
      </c>
      <c r="R32" s="33" t="s">
        <v>156</v>
      </c>
      <c r="S32" s="34">
        <f>SUM(C98:C101)</f>
        <v>29</v>
      </c>
      <c r="T32" s="34">
        <f t="shared" ref="T32:AF32" si="24">SUM(D98:D101)</f>
        <v>8</v>
      </c>
      <c r="U32" s="34">
        <f t="shared" si="24"/>
        <v>5</v>
      </c>
      <c r="V32" s="34">
        <f t="shared" si="24"/>
        <v>20</v>
      </c>
      <c r="W32" s="34">
        <f t="shared" si="24"/>
        <v>4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42</v>
      </c>
      <c r="AD32" s="34">
        <f t="shared" si="24"/>
        <v>0</v>
      </c>
      <c r="AE32" s="31">
        <f t="shared" si="24"/>
        <v>67</v>
      </c>
      <c r="AF32" s="31">
        <f t="shared" si="24"/>
        <v>109</v>
      </c>
    </row>
    <row r="33" spans="2:32" ht="23.1" customHeight="1" x14ac:dyDescent="0.25">
      <c r="B33" s="45" t="s">
        <v>60</v>
      </c>
      <c r="C33" s="50">
        <v>27</v>
      </c>
      <c r="D33" s="50">
        <v>9</v>
      </c>
      <c r="E33" s="50">
        <v>7</v>
      </c>
      <c r="F33" s="50">
        <v>16</v>
      </c>
      <c r="G33" s="50">
        <v>0</v>
      </c>
      <c r="H33" s="50">
        <v>0</v>
      </c>
      <c r="I33" s="50">
        <v>5</v>
      </c>
      <c r="J33" s="50">
        <v>2</v>
      </c>
      <c r="K33" s="50">
        <v>0</v>
      </c>
      <c r="L33" s="50">
        <v>0</v>
      </c>
      <c r="M33" s="50">
        <v>90</v>
      </c>
      <c r="N33" s="50">
        <v>0</v>
      </c>
      <c r="O33" s="15">
        <f t="shared" si="0"/>
        <v>66</v>
      </c>
      <c r="P33" s="15">
        <f t="shared" si="1"/>
        <v>156</v>
      </c>
      <c r="R33" s="33" t="s">
        <v>157</v>
      </c>
      <c r="S33" s="34">
        <f>SUM(C102:C105)</f>
        <v>20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10</v>
      </c>
      <c r="AD33" s="34">
        <f t="shared" si="25"/>
        <v>0</v>
      </c>
      <c r="AE33" s="31">
        <f t="shared" si="25"/>
        <v>23</v>
      </c>
      <c r="AF33" s="31">
        <f t="shared" si="25"/>
        <v>33</v>
      </c>
    </row>
    <row r="34" spans="2:32" ht="23.1" customHeight="1" x14ac:dyDescent="0.25">
      <c r="B34" s="46" t="s">
        <v>61</v>
      </c>
      <c r="C34" s="50">
        <v>31</v>
      </c>
      <c r="D34" s="50">
        <v>21</v>
      </c>
      <c r="E34" s="50">
        <v>3</v>
      </c>
      <c r="F34" s="50">
        <v>11</v>
      </c>
      <c r="G34" s="50">
        <v>2</v>
      </c>
      <c r="H34" s="50">
        <v>0</v>
      </c>
      <c r="I34" s="50">
        <v>5</v>
      </c>
      <c r="J34" s="50">
        <v>4</v>
      </c>
      <c r="K34" s="50">
        <v>0</v>
      </c>
      <c r="L34" s="50">
        <v>0</v>
      </c>
      <c r="M34" s="50">
        <v>45</v>
      </c>
      <c r="N34" s="50">
        <v>0</v>
      </c>
      <c r="O34" s="15">
        <f t="shared" si="0"/>
        <v>77</v>
      </c>
      <c r="P34" s="15">
        <f t="shared" si="1"/>
        <v>122</v>
      </c>
      <c r="R34" s="38" t="s">
        <v>90</v>
      </c>
      <c r="S34" s="39">
        <f t="shared" ref="S34:AF34" si="26">MAX(S10:S12)</f>
        <v>108</v>
      </c>
      <c r="T34" s="39">
        <f t="shared" si="26"/>
        <v>61</v>
      </c>
      <c r="U34" s="39">
        <f t="shared" si="26"/>
        <v>14</v>
      </c>
      <c r="V34" s="39">
        <f t="shared" si="26"/>
        <v>125</v>
      </c>
      <c r="W34" s="39">
        <f t="shared" si="26"/>
        <v>2</v>
      </c>
      <c r="X34" s="39">
        <f t="shared" si="26"/>
        <v>0</v>
      </c>
      <c r="Y34" s="39">
        <f t="shared" si="26"/>
        <v>16</v>
      </c>
      <c r="Z34" s="39">
        <f t="shared" si="26"/>
        <v>7</v>
      </c>
      <c r="AA34" s="39">
        <f t="shared" si="26"/>
        <v>12</v>
      </c>
      <c r="AB34" s="39">
        <f t="shared" si="26"/>
        <v>0</v>
      </c>
      <c r="AC34" s="39">
        <f t="shared" si="26"/>
        <v>420</v>
      </c>
      <c r="AD34" s="39">
        <f t="shared" si="26"/>
        <v>0</v>
      </c>
      <c r="AE34" s="40">
        <f t="shared" si="26"/>
        <v>299</v>
      </c>
      <c r="AF34" s="40">
        <f t="shared" si="26"/>
        <v>719</v>
      </c>
    </row>
    <row r="35" spans="2:32" ht="23.1" customHeight="1" x14ac:dyDescent="0.25">
      <c r="B35" s="46" t="s">
        <v>62</v>
      </c>
      <c r="C35" s="50">
        <v>20</v>
      </c>
      <c r="D35" s="50">
        <v>6</v>
      </c>
      <c r="E35" s="50">
        <v>3</v>
      </c>
      <c r="F35" s="50">
        <v>17</v>
      </c>
      <c r="G35" s="50">
        <v>0</v>
      </c>
      <c r="H35" s="50">
        <v>0</v>
      </c>
      <c r="I35" s="50">
        <v>5</v>
      </c>
      <c r="J35" s="50">
        <v>4</v>
      </c>
      <c r="K35" s="50">
        <v>3</v>
      </c>
      <c r="L35" s="50">
        <v>0</v>
      </c>
      <c r="M35" s="50">
        <v>75</v>
      </c>
      <c r="N35" s="50">
        <v>0</v>
      </c>
      <c r="O35" s="15">
        <f t="shared" si="0"/>
        <v>58</v>
      </c>
      <c r="P35" s="15">
        <f t="shared" si="1"/>
        <v>133</v>
      </c>
      <c r="R35" s="38" t="s">
        <v>91</v>
      </c>
      <c r="S35" s="39">
        <f t="shared" ref="S35:AF35" si="27">MAX(S13:S18)</f>
        <v>168</v>
      </c>
      <c r="T35" s="39">
        <f t="shared" si="27"/>
        <v>66</v>
      </c>
      <c r="U35" s="39">
        <f t="shared" si="27"/>
        <v>19</v>
      </c>
      <c r="V35" s="39">
        <f t="shared" si="27"/>
        <v>78</v>
      </c>
      <c r="W35" s="39">
        <f t="shared" si="27"/>
        <v>2</v>
      </c>
      <c r="X35" s="39">
        <f t="shared" si="27"/>
        <v>1</v>
      </c>
      <c r="Y35" s="39">
        <f t="shared" si="27"/>
        <v>22</v>
      </c>
      <c r="Z35" s="39">
        <f t="shared" si="27"/>
        <v>15</v>
      </c>
      <c r="AA35" s="39">
        <f t="shared" si="27"/>
        <v>13</v>
      </c>
      <c r="AB35" s="39">
        <f t="shared" si="27"/>
        <v>2</v>
      </c>
      <c r="AC35" s="39">
        <f t="shared" si="27"/>
        <v>383</v>
      </c>
      <c r="AD35" s="39">
        <f t="shared" si="27"/>
        <v>0</v>
      </c>
      <c r="AE35" s="40">
        <f t="shared" si="27"/>
        <v>349</v>
      </c>
      <c r="AF35" s="40">
        <f t="shared" si="27"/>
        <v>677</v>
      </c>
    </row>
    <row r="36" spans="2:32" ht="23.1" customHeight="1" x14ac:dyDescent="0.25">
      <c r="B36" s="46" t="s">
        <v>63</v>
      </c>
      <c r="C36" s="50">
        <v>33</v>
      </c>
      <c r="D36" s="50">
        <v>10</v>
      </c>
      <c r="E36" s="50">
        <v>4</v>
      </c>
      <c r="F36" s="50">
        <v>16</v>
      </c>
      <c r="G36" s="50">
        <v>0</v>
      </c>
      <c r="H36" s="50">
        <v>0</v>
      </c>
      <c r="I36" s="50">
        <v>3</v>
      </c>
      <c r="J36" s="50">
        <v>4</v>
      </c>
      <c r="K36" s="50">
        <v>0</v>
      </c>
      <c r="L36" s="50">
        <v>0</v>
      </c>
      <c r="M36" s="50">
        <v>43</v>
      </c>
      <c r="N36" s="50">
        <v>0</v>
      </c>
      <c r="O36" s="15">
        <f t="shared" si="0"/>
        <v>70</v>
      </c>
      <c r="P36" s="15">
        <f t="shared" si="1"/>
        <v>113</v>
      </c>
      <c r="R36" s="38" t="s">
        <v>92</v>
      </c>
      <c r="S36" s="39">
        <f t="shared" ref="S36:AF36" si="28">MAX(S19:S21)</f>
        <v>255</v>
      </c>
      <c r="T36" s="39">
        <f t="shared" si="28"/>
        <v>168</v>
      </c>
      <c r="U36" s="39">
        <f t="shared" si="28"/>
        <v>30</v>
      </c>
      <c r="V36" s="39">
        <f t="shared" si="28"/>
        <v>74</v>
      </c>
      <c r="W36" s="39">
        <f t="shared" si="28"/>
        <v>1</v>
      </c>
      <c r="X36" s="39">
        <f t="shared" si="28"/>
        <v>2</v>
      </c>
      <c r="Y36" s="39">
        <f t="shared" si="28"/>
        <v>16</v>
      </c>
      <c r="Z36" s="39">
        <f t="shared" si="28"/>
        <v>6</v>
      </c>
      <c r="AA36" s="39">
        <f t="shared" si="28"/>
        <v>13</v>
      </c>
      <c r="AB36" s="39">
        <f t="shared" si="28"/>
        <v>0</v>
      </c>
      <c r="AC36" s="39">
        <f t="shared" si="28"/>
        <v>360</v>
      </c>
      <c r="AD36" s="39">
        <f t="shared" si="28"/>
        <v>0</v>
      </c>
      <c r="AE36" s="40">
        <f t="shared" si="28"/>
        <v>534</v>
      </c>
      <c r="AF36" s="40">
        <f t="shared" si="28"/>
        <v>894</v>
      </c>
    </row>
    <row r="37" spans="2:32" ht="23.1" customHeight="1" x14ac:dyDescent="0.25">
      <c r="B37" s="45" t="s">
        <v>64</v>
      </c>
      <c r="C37" s="50">
        <v>34</v>
      </c>
      <c r="D37" s="50">
        <v>15</v>
      </c>
      <c r="E37" s="50">
        <v>6</v>
      </c>
      <c r="F37" s="50">
        <v>19</v>
      </c>
      <c r="G37" s="50">
        <v>0</v>
      </c>
      <c r="H37" s="50">
        <v>0</v>
      </c>
      <c r="I37" s="50">
        <v>6</v>
      </c>
      <c r="J37" s="50">
        <v>3</v>
      </c>
      <c r="K37" s="50">
        <v>1</v>
      </c>
      <c r="L37" s="50">
        <v>0</v>
      </c>
      <c r="M37" s="50">
        <v>61</v>
      </c>
      <c r="N37" s="50">
        <v>0</v>
      </c>
      <c r="O37" s="15">
        <f t="shared" si="0"/>
        <v>84</v>
      </c>
      <c r="P37" s="15">
        <f t="shared" si="1"/>
        <v>145</v>
      </c>
      <c r="R37" s="37" t="s">
        <v>85</v>
      </c>
      <c r="S37" s="35">
        <f t="shared" ref="S37:AF37" si="29">SUM(S10:S12)</f>
        <v>306</v>
      </c>
      <c r="T37" s="16">
        <f t="shared" si="29"/>
        <v>151</v>
      </c>
      <c r="U37" s="16">
        <f t="shared" si="29"/>
        <v>31</v>
      </c>
      <c r="V37" s="16">
        <f t="shared" si="29"/>
        <v>292</v>
      </c>
      <c r="W37" s="16">
        <f t="shared" si="29"/>
        <v>3</v>
      </c>
      <c r="X37" s="16">
        <f t="shared" si="29"/>
        <v>0</v>
      </c>
      <c r="Y37" s="16">
        <f t="shared" si="29"/>
        <v>27</v>
      </c>
      <c r="Z37" s="16">
        <f t="shared" si="29"/>
        <v>18</v>
      </c>
      <c r="AA37" s="16">
        <f t="shared" si="29"/>
        <v>29</v>
      </c>
      <c r="AB37" s="16">
        <f t="shared" si="29"/>
        <v>0</v>
      </c>
      <c r="AC37" s="16">
        <f t="shared" si="29"/>
        <v>1164</v>
      </c>
      <c r="AD37" s="16">
        <f t="shared" si="29"/>
        <v>0</v>
      </c>
      <c r="AE37" s="32">
        <f t="shared" si="29"/>
        <v>857</v>
      </c>
      <c r="AF37" s="32">
        <f t="shared" si="29"/>
        <v>2021</v>
      </c>
    </row>
    <row r="38" spans="2:32" ht="23.1" customHeight="1" x14ac:dyDescent="0.25">
      <c r="B38" s="46" t="s">
        <v>65</v>
      </c>
      <c r="C38" s="50">
        <v>40</v>
      </c>
      <c r="D38" s="50">
        <v>12</v>
      </c>
      <c r="E38" s="50">
        <v>5</v>
      </c>
      <c r="F38" s="50">
        <v>16</v>
      </c>
      <c r="G38" s="50">
        <v>0</v>
      </c>
      <c r="H38" s="50">
        <v>0</v>
      </c>
      <c r="I38" s="50">
        <v>6</v>
      </c>
      <c r="J38" s="50">
        <v>3</v>
      </c>
      <c r="K38" s="50">
        <v>2</v>
      </c>
      <c r="L38" s="50">
        <v>0</v>
      </c>
      <c r="M38" s="50">
        <v>61</v>
      </c>
      <c r="N38" s="50">
        <v>0</v>
      </c>
      <c r="O38" s="15">
        <f t="shared" si="0"/>
        <v>84</v>
      </c>
      <c r="P38" s="15">
        <f t="shared" si="1"/>
        <v>145</v>
      </c>
      <c r="R38" s="28" t="s">
        <v>86</v>
      </c>
      <c r="S38" s="16">
        <f t="shared" ref="S38:AF38" si="30">SUM(S13:S18)</f>
        <v>778</v>
      </c>
      <c r="T38" s="16">
        <f t="shared" si="30"/>
        <v>304</v>
      </c>
      <c r="U38" s="16">
        <f t="shared" si="30"/>
        <v>102</v>
      </c>
      <c r="V38" s="16">
        <f t="shared" si="30"/>
        <v>356</v>
      </c>
      <c r="W38" s="16">
        <f t="shared" si="30"/>
        <v>2</v>
      </c>
      <c r="X38" s="16">
        <f t="shared" si="30"/>
        <v>1</v>
      </c>
      <c r="Y38" s="16">
        <f t="shared" si="30"/>
        <v>109</v>
      </c>
      <c r="Z38" s="16">
        <f t="shared" si="30"/>
        <v>49</v>
      </c>
      <c r="AA38" s="16">
        <f t="shared" si="30"/>
        <v>54</v>
      </c>
      <c r="AB38" s="16">
        <f t="shared" si="30"/>
        <v>2</v>
      </c>
      <c r="AC38" s="16">
        <f t="shared" si="30"/>
        <v>1698</v>
      </c>
      <c r="AD38" s="16">
        <f t="shared" si="30"/>
        <v>0</v>
      </c>
      <c r="AE38" s="32">
        <f t="shared" si="30"/>
        <v>1757</v>
      </c>
      <c r="AF38" s="32">
        <f t="shared" si="30"/>
        <v>3455</v>
      </c>
    </row>
    <row r="39" spans="2:32" ht="23.1" customHeight="1" x14ac:dyDescent="0.25">
      <c r="B39" s="46" t="s">
        <v>66</v>
      </c>
      <c r="C39" s="50">
        <v>32</v>
      </c>
      <c r="D39" s="50">
        <v>6</v>
      </c>
      <c r="E39" s="50">
        <v>4</v>
      </c>
      <c r="F39" s="50">
        <v>11</v>
      </c>
      <c r="G39" s="50">
        <v>0</v>
      </c>
      <c r="H39" s="50">
        <v>0</v>
      </c>
      <c r="I39" s="50">
        <v>1</v>
      </c>
      <c r="J39" s="50">
        <v>4</v>
      </c>
      <c r="K39" s="50">
        <v>2</v>
      </c>
      <c r="L39" s="50">
        <v>0</v>
      </c>
      <c r="M39" s="50">
        <v>70</v>
      </c>
      <c r="N39" s="50">
        <v>0</v>
      </c>
      <c r="O39" s="15">
        <f t="shared" si="0"/>
        <v>60</v>
      </c>
      <c r="P39" s="15">
        <f t="shared" si="1"/>
        <v>130</v>
      </c>
      <c r="R39" s="29" t="s">
        <v>87</v>
      </c>
      <c r="S39" s="16">
        <f t="shared" ref="S39:AF39" si="31">SUM(S19:S21)</f>
        <v>710</v>
      </c>
      <c r="T39" s="16">
        <f t="shared" si="31"/>
        <v>331</v>
      </c>
      <c r="U39" s="16">
        <f t="shared" si="31"/>
        <v>73</v>
      </c>
      <c r="V39" s="16">
        <f t="shared" si="31"/>
        <v>178</v>
      </c>
      <c r="W39" s="16">
        <f t="shared" si="31"/>
        <v>1</v>
      </c>
      <c r="X39" s="16">
        <f t="shared" si="31"/>
        <v>3</v>
      </c>
      <c r="Y39" s="16">
        <f t="shared" si="31"/>
        <v>41</v>
      </c>
      <c r="Z39" s="16">
        <f t="shared" si="31"/>
        <v>12</v>
      </c>
      <c r="AA39" s="16">
        <f t="shared" si="31"/>
        <v>24</v>
      </c>
      <c r="AB39" s="16">
        <f t="shared" si="31"/>
        <v>0</v>
      </c>
      <c r="AC39" s="16">
        <f t="shared" si="31"/>
        <v>966</v>
      </c>
      <c r="AD39" s="16">
        <f t="shared" si="31"/>
        <v>0</v>
      </c>
      <c r="AE39" s="32">
        <f t="shared" si="31"/>
        <v>1373</v>
      </c>
      <c r="AF39" s="32">
        <f t="shared" si="31"/>
        <v>2339</v>
      </c>
    </row>
    <row r="40" spans="2:32" ht="23.1" customHeight="1" x14ac:dyDescent="0.25">
      <c r="B40" s="46" t="s">
        <v>67</v>
      </c>
      <c r="C40" s="50">
        <v>30</v>
      </c>
      <c r="D40" s="50">
        <v>19</v>
      </c>
      <c r="E40" s="50">
        <v>5</v>
      </c>
      <c r="F40" s="50">
        <v>16</v>
      </c>
      <c r="G40" s="50">
        <v>0</v>
      </c>
      <c r="H40" s="50">
        <v>0</v>
      </c>
      <c r="I40" s="50">
        <v>8</v>
      </c>
      <c r="J40" s="50">
        <v>0</v>
      </c>
      <c r="K40" s="50">
        <v>3</v>
      </c>
      <c r="L40" s="50">
        <v>0</v>
      </c>
      <c r="M40" s="50">
        <v>56</v>
      </c>
      <c r="N40" s="50">
        <v>0</v>
      </c>
      <c r="O40" s="15">
        <f t="shared" si="0"/>
        <v>81</v>
      </c>
      <c r="P40" s="15">
        <f t="shared" si="1"/>
        <v>137</v>
      </c>
      <c r="R40" s="5" t="s">
        <v>17</v>
      </c>
      <c r="S40" s="16">
        <f t="shared" ref="S40:AF40" si="32">SUM(S10:S21)</f>
        <v>1794</v>
      </c>
      <c r="T40" s="16">
        <f t="shared" si="32"/>
        <v>786</v>
      </c>
      <c r="U40" s="16">
        <f t="shared" si="32"/>
        <v>206</v>
      </c>
      <c r="V40" s="16">
        <f t="shared" si="32"/>
        <v>826</v>
      </c>
      <c r="W40" s="16">
        <f t="shared" si="32"/>
        <v>6</v>
      </c>
      <c r="X40" s="16">
        <f t="shared" si="32"/>
        <v>4</v>
      </c>
      <c r="Y40" s="16">
        <f t="shared" si="32"/>
        <v>177</v>
      </c>
      <c r="Z40" s="16">
        <f t="shared" si="32"/>
        <v>79</v>
      </c>
      <c r="AA40" s="16">
        <f t="shared" si="32"/>
        <v>107</v>
      </c>
      <c r="AB40" s="16">
        <f t="shared" si="32"/>
        <v>2</v>
      </c>
      <c r="AC40" s="16">
        <f t="shared" si="32"/>
        <v>3828</v>
      </c>
      <c r="AD40" s="16">
        <f t="shared" si="32"/>
        <v>0</v>
      </c>
      <c r="AE40" s="32">
        <f t="shared" si="32"/>
        <v>3987</v>
      </c>
      <c r="AF40" s="32">
        <f t="shared" si="32"/>
        <v>7815</v>
      </c>
    </row>
    <row r="41" spans="2:32" ht="23.1" customHeight="1" x14ac:dyDescent="0.25">
      <c r="B41" s="45" t="s">
        <v>68</v>
      </c>
      <c r="C41" s="50">
        <v>33</v>
      </c>
      <c r="D41" s="50">
        <v>12</v>
      </c>
      <c r="E41" s="50">
        <v>1</v>
      </c>
      <c r="F41" s="50">
        <v>15</v>
      </c>
      <c r="G41" s="50">
        <v>0</v>
      </c>
      <c r="H41" s="50">
        <v>0</v>
      </c>
      <c r="I41" s="50">
        <v>5</v>
      </c>
      <c r="J41" s="50">
        <v>2</v>
      </c>
      <c r="K41" s="50">
        <v>1</v>
      </c>
      <c r="L41" s="50">
        <v>0</v>
      </c>
      <c r="M41" s="50">
        <v>70</v>
      </c>
      <c r="N41" s="50">
        <v>0</v>
      </c>
      <c r="O41" s="15">
        <f t="shared" si="0"/>
        <v>69</v>
      </c>
      <c r="P41" s="15">
        <f t="shared" si="1"/>
        <v>139</v>
      </c>
      <c r="R41" s="5" t="s">
        <v>159</v>
      </c>
      <c r="S41" s="16">
        <f>SUM(S10:S33)</f>
        <v>3150</v>
      </c>
      <c r="T41" s="16">
        <f t="shared" ref="T41:AF41" si="33">SUM(T10:T33)</f>
        <v>1401</v>
      </c>
      <c r="U41" s="16">
        <f t="shared" si="33"/>
        <v>363</v>
      </c>
      <c r="V41" s="16">
        <f t="shared" si="33"/>
        <v>1333</v>
      </c>
      <c r="W41" s="16">
        <f t="shared" si="33"/>
        <v>11</v>
      </c>
      <c r="X41" s="16">
        <f t="shared" si="33"/>
        <v>5</v>
      </c>
      <c r="Y41" s="16">
        <f t="shared" si="33"/>
        <v>248</v>
      </c>
      <c r="Z41" s="16">
        <f t="shared" si="33"/>
        <v>120</v>
      </c>
      <c r="AA41" s="16">
        <f t="shared" si="33"/>
        <v>130</v>
      </c>
      <c r="AB41" s="16">
        <f t="shared" si="33"/>
        <v>2</v>
      </c>
      <c r="AC41" s="16">
        <f t="shared" si="33"/>
        <v>5744</v>
      </c>
      <c r="AD41" s="16">
        <f t="shared" si="33"/>
        <v>0</v>
      </c>
      <c r="AE41" s="32">
        <f t="shared" si="33"/>
        <v>6763</v>
      </c>
      <c r="AF41" s="32">
        <f t="shared" si="33"/>
        <v>12507</v>
      </c>
    </row>
    <row r="42" spans="2:32" ht="23.1" customHeight="1" x14ac:dyDescent="0.25">
      <c r="B42" s="46" t="s">
        <v>69</v>
      </c>
      <c r="C42" s="50">
        <v>45</v>
      </c>
      <c r="D42" s="50">
        <v>13</v>
      </c>
      <c r="E42" s="50">
        <v>6</v>
      </c>
      <c r="F42" s="50">
        <v>18</v>
      </c>
      <c r="G42" s="50">
        <v>0</v>
      </c>
      <c r="H42" s="50">
        <v>0</v>
      </c>
      <c r="I42" s="50">
        <v>6</v>
      </c>
      <c r="J42" s="50">
        <v>2</v>
      </c>
      <c r="K42" s="50">
        <v>1</v>
      </c>
      <c r="L42" s="50">
        <v>0</v>
      </c>
      <c r="M42" s="50">
        <v>54</v>
      </c>
      <c r="N42" s="50">
        <v>0</v>
      </c>
      <c r="O42" s="15">
        <f t="shared" si="0"/>
        <v>91</v>
      </c>
      <c r="P42" s="15">
        <f t="shared" si="1"/>
        <v>145</v>
      </c>
      <c r="R42" s="5" t="s">
        <v>160</v>
      </c>
      <c r="S42" s="48">
        <f>S41/S40</f>
        <v>1.7558528428093645</v>
      </c>
      <c r="T42" s="48">
        <f t="shared" ref="T42:AF42" si="34">T41/T40</f>
        <v>1.782442748091603</v>
      </c>
      <c r="U42" s="48">
        <f t="shared" si="34"/>
        <v>1.7621359223300972</v>
      </c>
      <c r="V42" s="48">
        <f t="shared" si="34"/>
        <v>1.6138014527845037</v>
      </c>
      <c r="W42" s="48">
        <f t="shared" si="34"/>
        <v>1.8333333333333333</v>
      </c>
      <c r="X42" s="48">
        <f t="shared" si="34"/>
        <v>1.25</v>
      </c>
      <c r="Y42" s="48">
        <f t="shared" si="34"/>
        <v>1.4011299435028248</v>
      </c>
      <c r="Z42" s="48">
        <f t="shared" si="34"/>
        <v>1.518987341772152</v>
      </c>
      <c r="AA42" s="48">
        <f t="shared" si="34"/>
        <v>1.2149532710280373</v>
      </c>
      <c r="AB42" s="48">
        <f t="shared" si="34"/>
        <v>1</v>
      </c>
      <c r="AC42" s="48">
        <f t="shared" si="34"/>
        <v>1.5005224660397074</v>
      </c>
      <c r="AD42" s="48" t="e">
        <f t="shared" si="34"/>
        <v>#DIV/0!</v>
      </c>
      <c r="AE42" s="48">
        <f t="shared" si="34"/>
        <v>1.6962628542763982</v>
      </c>
      <c r="AF42" s="48">
        <f t="shared" si="34"/>
        <v>1.6003838771593091</v>
      </c>
    </row>
    <row r="43" spans="2:32" ht="23.1" customHeight="1" x14ac:dyDescent="0.25">
      <c r="B43" s="45" t="s">
        <v>70</v>
      </c>
      <c r="C43" s="50">
        <v>45</v>
      </c>
      <c r="D43" s="50">
        <v>11</v>
      </c>
      <c r="E43" s="50">
        <v>6</v>
      </c>
      <c r="F43" s="50">
        <v>11</v>
      </c>
      <c r="G43" s="50">
        <v>0</v>
      </c>
      <c r="H43" s="50">
        <v>0</v>
      </c>
      <c r="I43" s="50">
        <v>4</v>
      </c>
      <c r="J43" s="50">
        <v>1</v>
      </c>
      <c r="K43" s="50">
        <v>1</v>
      </c>
      <c r="L43" s="50">
        <v>0</v>
      </c>
      <c r="M43" s="50">
        <v>55</v>
      </c>
      <c r="N43" s="50">
        <v>0</v>
      </c>
      <c r="O43" s="15">
        <f t="shared" si="0"/>
        <v>79</v>
      </c>
      <c r="P43" s="15">
        <f t="shared" si="1"/>
        <v>134</v>
      </c>
    </row>
    <row r="44" spans="2:32" ht="23.1" customHeight="1" x14ac:dyDescent="0.25">
      <c r="B44" s="47" t="s">
        <v>71</v>
      </c>
      <c r="C44" s="50">
        <v>37</v>
      </c>
      <c r="D44" s="50">
        <v>19</v>
      </c>
      <c r="E44" s="50">
        <v>3</v>
      </c>
      <c r="F44" s="50">
        <v>11</v>
      </c>
      <c r="G44" s="50">
        <v>0</v>
      </c>
      <c r="H44" s="50">
        <v>0</v>
      </c>
      <c r="I44" s="50">
        <v>7</v>
      </c>
      <c r="J44" s="50">
        <v>4</v>
      </c>
      <c r="K44" s="50">
        <v>6</v>
      </c>
      <c r="L44" s="50">
        <v>0</v>
      </c>
      <c r="M44" s="50">
        <v>51</v>
      </c>
      <c r="N44" s="50">
        <v>0</v>
      </c>
      <c r="O44" s="15">
        <f t="shared" si="0"/>
        <v>87</v>
      </c>
      <c r="P44" s="15">
        <f t="shared" si="1"/>
        <v>138</v>
      </c>
    </row>
    <row r="45" spans="2:32" ht="23.1" customHeight="1" x14ac:dyDescent="0.25">
      <c r="B45" s="45" t="s">
        <v>72</v>
      </c>
      <c r="C45" s="50">
        <v>41</v>
      </c>
      <c r="D45" s="50">
        <v>23</v>
      </c>
      <c r="E45" s="50">
        <v>4</v>
      </c>
      <c r="F45" s="50">
        <v>15</v>
      </c>
      <c r="G45" s="50">
        <v>0</v>
      </c>
      <c r="H45" s="50">
        <v>0</v>
      </c>
      <c r="I45" s="50">
        <v>3</v>
      </c>
      <c r="J45" s="50">
        <v>1</v>
      </c>
      <c r="K45" s="50">
        <v>5</v>
      </c>
      <c r="L45" s="50">
        <v>0</v>
      </c>
      <c r="M45" s="50">
        <v>75</v>
      </c>
      <c r="N45" s="50">
        <v>0</v>
      </c>
      <c r="O45" s="15">
        <f t="shared" si="0"/>
        <v>92</v>
      </c>
      <c r="P45" s="15">
        <f t="shared" si="1"/>
        <v>167</v>
      </c>
    </row>
    <row r="46" spans="2:32" ht="23.1" customHeight="1" x14ac:dyDescent="0.25">
      <c r="B46" s="46" t="s">
        <v>73</v>
      </c>
      <c r="C46" s="50">
        <v>32</v>
      </c>
      <c r="D46" s="50">
        <v>21</v>
      </c>
      <c r="E46" s="50">
        <v>5</v>
      </c>
      <c r="F46" s="50">
        <v>18</v>
      </c>
      <c r="G46" s="50">
        <v>0</v>
      </c>
      <c r="H46" s="50">
        <v>0</v>
      </c>
      <c r="I46" s="50">
        <v>3</v>
      </c>
      <c r="J46" s="50">
        <v>0</v>
      </c>
      <c r="K46" s="50">
        <v>2</v>
      </c>
      <c r="L46" s="50">
        <v>0</v>
      </c>
      <c r="M46" s="50">
        <v>48</v>
      </c>
      <c r="N46" s="50">
        <v>0</v>
      </c>
      <c r="O46" s="15">
        <f t="shared" si="0"/>
        <v>81</v>
      </c>
      <c r="P46" s="15">
        <f t="shared" si="1"/>
        <v>129</v>
      </c>
      <c r="R46" s="8"/>
      <c r="T46"/>
    </row>
    <row r="47" spans="2:32" ht="23.1" customHeight="1" x14ac:dyDescent="0.25">
      <c r="B47" s="46" t="s">
        <v>74</v>
      </c>
      <c r="C47" s="50">
        <v>55</v>
      </c>
      <c r="D47" s="50">
        <v>20</v>
      </c>
      <c r="E47" s="50">
        <v>4</v>
      </c>
      <c r="F47" s="50">
        <v>13</v>
      </c>
      <c r="G47" s="50">
        <v>0</v>
      </c>
      <c r="H47" s="50">
        <v>0</v>
      </c>
      <c r="I47" s="50">
        <v>2</v>
      </c>
      <c r="J47" s="50">
        <v>4</v>
      </c>
      <c r="K47" s="50">
        <v>4</v>
      </c>
      <c r="L47" s="50">
        <v>0</v>
      </c>
      <c r="M47" s="50">
        <v>85</v>
      </c>
      <c r="N47" s="50">
        <v>0</v>
      </c>
      <c r="O47" s="15">
        <f t="shared" si="0"/>
        <v>102</v>
      </c>
      <c r="P47" s="15">
        <f t="shared" si="1"/>
        <v>187</v>
      </c>
      <c r="R47" s="8"/>
      <c r="T47"/>
    </row>
    <row r="48" spans="2:32" ht="23.1" customHeight="1" x14ac:dyDescent="0.25">
      <c r="B48" s="46" t="s">
        <v>75</v>
      </c>
      <c r="C48" s="50">
        <v>50</v>
      </c>
      <c r="D48" s="50">
        <v>20</v>
      </c>
      <c r="E48" s="50">
        <v>7</v>
      </c>
      <c r="F48" s="50">
        <v>11</v>
      </c>
      <c r="G48" s="50">
        <v>0</v>
      </c>
      <c r="H48" s="50">
        <v>1</v>
      </c>
      <c r="I48" s="50">
        <v>3</v>
      </c>
      <c r="J48" s="50">
        <v>0</v>
      </c>
      <c r="K48" s="50">
        <v>2</v>
      </c>
      <c r="L48" s="50">
        <v>0</v>
      </c>
      <c r="M48" s="50">
        <v>53</v>
      </c>
      <c r="N48" s="50">
        <v>0</v>
      </c>
      <c r="O48" s="15">
        <f t="shared" si="0"/>
        <v>94</v>
      </c>
      <c r="P48" s="15">
        <f t="shared" si="1"/>
        <v>147</v>
      </c>
      <c r="R48" s="8"/>
      <c r="T48"/>
    </row>
    <row r="49" spans="2:20" ht="23.1" customHeight="1" x14ac:dyDescent="0.25">
      <c r="B49" s="45" t="s">
        <v>76</v>
      </c>
      <c r="C49" s="50">
        <v>75</v>
      </c>
      <c r="D49" s="50">
        <v>30</v>
      </c>
      <c r="E49" s="50">
        <v>3</v>
      </c>
      <c r="F49" s="50">
        <v>32</v>
      </c>
      <c r="G49" s="50">
        <v>0</v>
      </c>
      <c r="H49" s="50">
        <v>0</v>
      </c>
      <c r="I49" s="50">
        <v>2</v>
      </c>
      <c r="J49" s="50">
        <v>0</v>
      </c>
      <c r="K49" s="50">
        <v>5</v>
      </c>
      <c r="L49" s="50">
        <v>0</v>
      </c>
      <c r="M49" s="50">
        <v>90</v>
      </c>
      <c r="N49" s="50">
        <v>0</v>
      </c>
      <c r="O49" s="15">
        <f t="shared" si="0"/>
        <v>147</v>
      </c>
      <c r="P49" s="15">
        <f t="shared" si="1"/>
        <v>237</v>
      </c>
      <c r="R49" s="8"/>
      <c r="T49"/>
    </row>
    <row r="50" spans="2:20" ht="23.1" customHeight="1" x14ac:dyDescent="0.25">
      <c r="B50" s="46" t="s">
        <v>77</v>
      </c>
      <c r="C50" s="50">
        <v>50</v>
      </c>
      <c r="D50" s="50">
        <v>70</v>
      </c>
      <c r="E50" s="50">
        <v>8</v>
      </c>
      <c r="F50" s="50">
        <v>12</v>
      </c>
      <c r="G50" s="50">
        <v>0</v>
      </c>
      <c r="H50" s="50">
        <v>0</v>
      </c>
      <c r="I50" s="50">
        <v>0</v>
      </c>
      <c r="J50" s="50">
        <v>1</v>
      </c>
      <c r="K50" s="50">
        <v>3</v>
      </c>
      <c r="L50" s="50">
        <v>0</v>
      </c>
      <c r="M50" s="50">
        <v>100</v>
      </c>
      <c r="N50" s="50">
        <v>0</v>
      </c>
      <c r="O50" s="15">
        <f t="shared" si="0"/>
        <v>144</v>
      </c>
      <c r="P50" s="15">
        <f t="shared" si="1"/>
        <v>244</v>
      </c>
      <c r="R50" s="8"/>
      <c r="T50"/>
    </row>
    <row r="51" spans="2:20" ht="23.1" customHeight="1" x14ac:dyDescent="0.25">
      <c r="B51" s="46" t="s">
        <v>78</v>
      </c>
      <c r="C51" s="50">
        <v>75</v>
      </c>
      <c r="D51" s="50">
        <v>40</v>
      </c>
      <c r="E51" s="50">
        <v>6</v>
      </c>
      <c r="F51" s="50">
        <v>15</v>
      </c>
      <c r="G51" s="50">
        <v>0</v>
      </c>
      <c r="H51" s="50">
        <v>0</v>
      </c>
      <c r="I51" s="50">
        <v>5</v>
      </c>
      <c r="J51" s="50">
        <v>3</v>
      </c>
      <c r="K51" s="50">
        <v>2</v>
      </c>
      <c r="L51" s="50">
        <v>0</v>
      </c>
      <c r="M51" s="50">
        <v>75</v>
      </c>
      <c r="N51" s="50">
        <v>0</v>
      </c>
      <c r="O51" s="15">
        <f t="shared" si="0"/>
        <v>146</v>
      </c>
      <c r="P51" s="15">
        <f t="shared" si="1"/>
        <v>221</v>
      </c>
      <c r="R51" s="8"/>
      <c r="T51"/>
    </row>
    <row r="52" spans="2:20" ht="23.1" customHeight="1" x14ac:dyDescent="0.25">
      <c r="B52" s="46" t="s">
        <v>79</v>
      </c>
      <c r="C52" s="50">
        <v>70</v>
      </c>
      <c r="D52" s="50">
        <v>41</v>
      </c>
      <c r="E52" s="50">
        <v>6</v>
      </c>
      <c r="F52" s="50">
        <v>10</v>
      </c>
      <c r="G52" s="50">
        <v>0</v>
      </c>
      <c r="H52" s="50">
        <v>0</v>
      </c>
      <c r="I52" s="50">
        <v>2</v>
      </c>
      <c r="J52" s="50">
        <v>0</v>
      </c>
      <c r="K52" s="50">
        <v>3</v>
      </c>
      <c r="L52" s="50">
        <v>0</v>
      </c>
      <c r="M52" s="50">
        <v>85</v>
      </c>
      <c r="N52" s="50">
        <v>0</v>
      </c>
      <c r="O52" s="15">
        <f t="shared" si="0"/>
        <v>132</v>
      </c>
      <c r="P52" s="15">
        <f t="shared" si="1"/>
        <v>217</v>
      </c>
      <c r="R52" s="8"/>
      <c r="T52"/>
    </row>
    <row r="53" spans="2:20" ht="23.1" customHeight="1" x14ac:dyDescent="0.25">
      <c r="B53" s="45" t="s">
        <v>80</v>
      </c>
      <c r="C53" s="50">
        <v>60</v>
      </c>
      <c r="D53" s="50">
        <v>17</v>
      </c>
      <c r="E53" s="50">
        <v>10</v>
      </c>
      <c r="F53" s="50">
        <v>13</v>
      </c>
      <c r="G53" s="50">
        <v>0</v>
      </c>
      <c r="H53" s="50">
        <v>0</v>
      </c>
      <c r="I53" s="50">
        <v>8</v>
      </c>
      <c r="J53" s="50">
        <v>2</v>
      </c>
      <c r="K53" s="50">
        <v>2</v>
      </c>
      <c r="L53" s="50">
        <v>0</v>
      </c>
      <c r="M53" s="50">
        <v>100</v>
      </c>
      <c r="N53" s="50">
        <v>0</v>
      </c>
      <c r="O53" s="15">
        <f t="shared" si="0"/>
        <v>112</v>
      </c>
      <c r="P53" s="15">
        <f t="shared" si="1"/>
        <v>212</v>
      </c>
      <c r="R53" s="8"/>
      <c r="T53"/>
    </row>
    <row r="54" spans="2:20" ht="23.1" customHeight="1" x14ac:dyDescent="0.25">
      <c r="B54" s="45" t="s">
        <v>81</v>
      </c>
      <c r="C54" s="50">
        <v>55</v>
      </c>
      <c r="D54" s="50">
        <v>22</v>
      </c>
      <c r="E54" s="50">
        <v>4</v>
      </c>
      <c r="F54" s="50">
        <v>12</v>
      </c>
      <c r="G54" s="50">
        <v>1</v>
      </c>
      <c r="H54" s="50">
        <v>2</v>
      </c>
      <c r="I54" s="50">
        <v>0</v>
      </c>
      <c r="J54" s="50">
        <v>1</v>
      </c>
      <c r="K54" s="50">
        <v>0</v>
      </c>
      <c r="L54" s="50">
        <v>0</v>
      </c>
      <c r="M54" s="50">
        <v>95</v>
      </c>
      <c r="N54" s="50">
        <v>0</v>
      </c>
      <c r="O54" s="15">
        <f t="shared" si="0"/>
        <v>97</v>
      </c>
      <c r="P54" s="15">
        <f t="shared" si="1"/>
        <v>192</v>
      </c>
      <c r="R54" s="8"/>
      <c r="T54"/>
    </row>
    <row r="55" spans="2:20" ht="23.1" customHeight="1" x14ac:dyDescent="0.25">
      <c r="B55" s="45" t="s">
        <v>82</v>
      </c>
      <c r="C55" s="50">
        <v>69</v>
      </c>
      <c r="D55" s="50">
        <v>22</v>
      </c>
      <c r="E55" s="50">
        <v>8</v>
      </c>
      <c r="F55" s="50">
        <v>13</v>
      </c>
      <c r="G55" s="50">
        <v>0</v>
      </c>
      <c r="H55" s="50">
        <v>0</v>
      </c>
      <c r="I55" s="50">
        <v>6</v>
      </c>
      <c r="J55" s="50">
        <v>0</v>
      </c>
      <c r="K55" s="50">
        <v>0</v>
      </c>
      <c r="L55" s="50">
        <v>0</v>
      </c>
      <c r="M55" s="50">
        <v>45</v>
      </c>
      <c r="N55" s="50">
        <v>0</v>
      </c>
      <c r="O55" s="15">
        <f t="shared" si="0"/>
        <v>118</v>
      </c>
      <c r="P55" s="15">
        <f t="shared" si="1"/>
        <v>163</v>
      </c>
      <c r="R55" s="8"/>
      <c r="T55"/>
    </row>
    <row r="56" spans="2:20" ht="23.1" customHeight="1" x14ac:dyDescent="0.25">
      <c r="B56" s="45" t="s">
        <v>83</v>
      </c>
      <c r="C56" s="50">
        <v>74</v>
      </c>
      <c r="D56" s="50">
        <v>13</v>
      </c>
      <c r="E56" s="50">
        <v>8</v>
      </c>
      <c r="F56" s="50">
        <v>19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100</v>
      </c>
      <c r="N56" s="50">
        <v>0</v>
      </c>
      <c r="O56" s="15">
        <f t="shared" si="0"/>
        <v>119</v>
      </c>
      <c r="P56" s="15">
        <f t="shared" si="1"/>
        <v>219</v>
      </c>
      <c r="R56" s="8"/>
      <c r="T56"/>
    </row>
    <row r="57" spans="2:20" ht="23.1" customHeight="1" x14ac:dyDescent="0.25">
      <c r="B57" s="45" t="s">
        <v>84</v>
      </c>
      <c r="C57" s="50">
        <v>45</v>
      </c>
      <c r="D57" s="50">
        <v>15</v>
      </c>
      <c r="E57" s="50">
        <v>4</v>
      </c>
      <c r="F57" s="50">
        <v>10</v>
      </c>
      <c r="G57" s="50">
        <v>0</v>
      </c>
      <c r="H57" s="50">
        <v>0</v>
      </c>
      <c r="I57" s="50">
        <v>5</v>
      </c>
      <c r="J57" s="50">
        <v>1</v>
      </c>
      <c r="K57" s="50">
        <v>1</v>
      </c>
      <c r="L57" s="50">
        <v>0</v>
      </c>
      <c r="M57" s="50">
        <v>90</v>
      </c>
      <c r="N57" s="50">
        <v>0</v>
      </c>
      <c r="O57" s="15">
        <f t="shared" si="0"/>
        <v>81</v>
      </c>
      <c r="P57" s="15">
        <f t="shared" si="1"/>
        <v>171</v>
      </c>
      <c r="R57" s="8"/>
      <c r="T57"/>
    </row>
    <row r="58" spans="2:20" ht="23.1" customHeight="1" x14ac:dyDescent="0.25">
      <c r="B58" s="45" t="s">
        <v>99</v>
      </c>
      <c r="C58" s="50">
        <v>60</v>
      </c>
      <c r="D58" s="50">
        <v>75</v>
      </c>
      <c r="E58" s="50">
        <v>10</v>
      </c>
      <c r="F58" s="50">
        <v>60</v>
      </c>
      <c r="G58" s="50">
        <v>0</v>
      </c>
      <c r="H58" s="50">
        <v>0</v>
      </c>
      <c r="I58" s="50">
        <v>6</v>
      </c>
      <c r="J58" s="50">
        <v>3</v>
      </c>
      <c r="K58" s="50">
        <v>1</v>
      </c>
      <c r="L58" s="50">
        <v>0</v>
      </c>
      <c r="M58" s="50">
        <v>90</v>
      </c>
      <c r="N58" s="50">
        <v>0</v>
      </c>
      <c r="O58" s="15">
        <f t="shared" si="0"/>
        <v>215</v>
      </c>
      <c r="P58" s="15">
        <f t="shared" si="1"/>
        <v>305</v>
      </c>
      <c r="R58" s="8"/>
      <c r="T58"/>
    </row>
    <row r="59" spans="2:20" ht="23.1" customHeight="1" x14ac:dyDescent="0.25">
      <c r="B59" s="45" t="s">
        <v>100</v>
      </c>
      <c r="C59" s="50">
        <v>75</v>
      </c>
      <c r="D59" s="50">
        <v>75</v>
      </c>
      <c r="E59" s="50">
        <v>20</v>
      </c>
      <c r="F59" s="50">
        <v>90</v>
      </c>
      <c r="G59" s="50">
        <v>0</v>
      </c>
      <c r="H59" s="50">
        <v>0</v>
      </c>
      <c r="I59" s="50">
        <v>10</v>
      </c>
      <c r="J59" s="50">
        <v>8</v>
      </c>
      <c r="K59" s="50">
        <v>6</v>
      </c>
      <c r="L59" s="50">
        <v>0</v>
      </c>
      <c r="M59" s="50">
        <v>100</v>
      </c>
      <c r="N59" s="50">
        <v>0</v>
      </c>
      <c r="O59" s="15">
        <f t="shared" si="0"/>
        <v>284</v>
      </c>
      <c r="P59" s="15">
        <f t="shared" si="1"/>
        <v>384</v>
      </c>
      <c r="R59" s="8"/>
      <c r="T59"/>
    </row>
    <row r="60" spans="2:20" ht="23.1" customHeight="1" x14ac:dyDescent="0.25">
      <c r="B60" s="45" t="s">
        <v>101</v>
      </c>
      <c r="C60" s="50">
        <v>76</v>
      </c>
      <c r="D60" s="50">
        <v>60</v>
      </c>
      <c r="E60" s="50">
        <v>20</v>
      </c>
      <c r="F60" s="50">
        <v>60</v>
      </c>
      <c r="G60" s="50">
        <v>0</v>
      </c>
      <c r="H60" s="50">
        <v>0</v>
      </c>
      <c r="I60" s="50">
        <v>7</v>
      </c>
      <c r="J60" s="50">
        <v>2</v>
      </c>
      <c r="K60" s="50">
        <v>2</v>
      </c>
      <c r="L60" s="50">
        <v>0</v>
      </c>
      <c r="M60" s="50">
        <v>155</v>
      </c>
      <c r="N60" s="50">
        <v>0</v>
      </c>
      <c r="O60" s="15">
        <f t="shared" si="0"/>
        <v>227</v>
      </c>
      <c r="P60" s="15">
        <f t="shared" si="1"/>
        <v>382</v>
      </c>
      <c r="R60" s="8"/>
      <c r="T60"/>
    </row>
    <row r="61" spans="2:20" ht="23.1" customHeight="1" x14ac:dyDescent="0.25">
      <c r="B61" s="45" t="s">
        <v>102</v>
      </c>
      <c r="C61" s="50">
        <v>90</v>
      </c>
      <c r="D61" s="50">
        <v>15</v>
      </c>
      <c r="E61" s="50">
        <v>13</v>
      </c>
      <c r="F61" s="50">
        <v>45</v>
      </c>
      <c r="G61" s="50">
        <v>0</v>
      </c>
      <c r="H61" s="50">
        <v>0</v>
      </c>
      <c r="I61" s="50">
        <v>8</v>
      </c>
      <c r="J61" s="50">
        <v>4</v>
      </c>
      <c r="K61" s="50">
        <v>0</v>
      </c>
      <c r="L61" s="50">
        <v>0</v>
      </c>
      <c r="M61" s="50">
        <v>120</v>
      </c>
      <c r="N61" s="50">
        <v>0</v>
      </c>
      <c r="O61" s="15">
        <f t="shared" si="0"/>
        <v>175</v>
      </c>
      <c r="P61" s="15">
        <f t="shared" si="1"/>
        <v>295</v>
      </c>
      <c r="R61" s="8"/>
      <c r="T61"/>
    </row>
    <row r="62" spans="2:20" ht="23.1" customHeight="1" x14ac:dyDescent="0.25">
      <c r="B62" s="45" t="s">
        <v>107</v>
      </c>
      <c r="C62" s="50">
        <v>90</v>
      </c>
      <c r="D62" s="50">
        <v>21</v>
      </c>
      <c r="E62" s="50">
        <v>7</v>
      </c>
      <c r="F62" s="50">
        <v>9</v>
      </c>
      <c r="G62" s="50">
        <v>0</v>
      </c>
      <c r="H62" s="50">
        <v>0</v>
      </c>
      <c r="I62" s="50">
        <v>1</v>
      </c>
      <c r="J62" s="50">
        <v>1</v>
      </c>
      <c r="K62" s="50">
        <v>1</v>
      </c>
      <c r="L62" s="50">
        <v>0</v>
      </c>
      <c r="M62" s="50">
        <v>80</v>
      </c>
      <c r="N62" s="50">
        <v>0</v>
      </c>
      <c r="O62" s="15">
        <f t="shared" si="0"/>
        <v>130</v>
      </c>
      <c r="P62" s="15">
        <f t="shared" si="1"/>
        <v>210</v>
      </c>
      <c r="R62" s="8"/>
      <c r="T62"/>
    </row>
    <row r="63" spans="2:20" ht="23.1" customHeight="1" x14ac:dyDescent="0.25">
      <c r="B63" s="45" t="s">
        <v>108</v>
      </c>
      <c r="C63" s="50">
        <v>60</v>
      </c>
      <c r="D63" s="50">
        <v>13</v>
      </c>
      <c r="E63" s="50">
        <v>3</v>
      </c>
      <c r="F63" s="50">
        <v>9</v>
      </c>
      <c r="G63" s="50">
        <v>0</v>
      </c>
      <c r="H63" s="50">
        <v>0</v>
      </c>
      <c r="I63" s="50">
        <v>2</v>
      </c>
      <c r="J63" s="50">
        <v>1</v>
      </c>
      <c r="K63" s="50">
        <v>0</v>
      </c>
      <c r="L63" s="50">
        <v>0</v>
      </c>
      <c r="M63" s="50">
        <v>120</v>
      </c>
      <c r="N63" s="50">
        <v>0</v>
      </c>
      <c r="O63" s="15">
        <f t="shared" si="0"/>
        <v>88</v>
      </c>
      <c r="P63" s="15">
        <f t="shared" si="1"/>
        <v>208</v>
      </c>
      <c r="R63" s="8"/>
      <c r="T63"/>
    </row>
    <row r="64" spans="2:20" ht="23.1" customHeight="1" x14ac:dyDescent="0.25">
      <c r="B64" s="45" t="s">
        <v>109</v>
      </c>
      <c r="C64" s="50">
        <v>65</v>
      </c>
      <c r="D64" s="50">
        <v>55</v>
      </c>
      <c r="E64" s="50">
        <v>7</v>
      </c>
      <c r="F64" s="50">
        <v>26</v>
      </c>
      <c r="G64" s="50">
        <v>0</v>
      </c>
      <c r="H64" s="50">
        <v>0</v>
      </c>
      <c r="I64" s="50">
        <v>5</v>
      </c>
      <c r="J64" s="50">
        <v>2</v>
      </c>
      <c r="K64" s="50">
        <v>0</v>
      </c>
      <c r="L64" s="50">
        <v>0</v>
      </c>
      <c r="M64" s="50">
        <v>100</v>
      </c>
      <c r="N64" s="50">
        <v>0</v>
      </c>
      <c r="O64" s="15">
        <f t="shared" si="0"/>
        <v>160</v>
      </c>
      <c r="P64" s="15">
        <f t="shared" si="1"/>
        <v>260</v>
      </c>
      <c r="R64" s="8"/>
      <c r="T64"/>
    </row>
    <row r="65" spans="2:20" ht="23.1" customHeight="1" x14ac:dyDescent="0.25">
      <c r="B65" s="45" t="s">
        <v>158</v>
      </c>
      <c r="C65" s="50">
        <v>29</v>
      </c>
      <c r="D65" s="50">
        <v>9</v>
      </c>
      <c r="E65" s="50">
        <v>5</v>
      </c>
      <c r="F65" s="50">
        <v>3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61</v>
      </c>
      <c r="N65" s="50">
        <v>0</v>
      </c>
      <c r="O65" s="15">
        <f t="shared" si="0"/>
        <v>47</v>
      </c>
      <c r="P65" s="15">
        <f t="shared" si="1"/>
        <v>108</v>
      </c>
      <c r="R65" s="8"/>
      <c r="T65"/>
    </row>
    <row r="66" spans="2:20" ht="23.1" customHeight="1" x14ac:dyDescent="0.25">
      <c r="B66" s="45" t="s">
        <v>103</v>
      </c>
      <c r="C66" s="50">
        <v>45</v>
      </c>
      <c r="D66" s="50">
        <v>25</v>
      </c>
      <c r="E66" s="50">
        <v>5</v>
      </c>
      <c r="F66" s="50">
        <v>45</v>
      </c>
      <c r="G66" s="50">
        <v>0</v>
      </c>
      <c r="H66" s="50">
        <v>0</v>
      </c>
      <c r="I66" s="50">
        <v>3</v>
      </c>
      <c r="J66" s="50">
        <v>1</v>
      </c>
      <c r="K66" s="50">
        <v>3</v>
      </c>
      <c r="L66" s="50">
        <v>0</v>
      </c>
      <c r="M66" s="50">
        <v>120</v>
      </c>
      <c r="N66" s="50">
        <v>0</v>
      </c>
      <c r="O66" s="15">
        <f t="shared" si="0"/>
        <v>127</v>
      </c>
      <c r="P66" s="15">
        <f t="shared" si="1"/>
        <v>247</v>
      </c>
      <c r="R66" s="8"/>
      <c r="T66"/>
    </row>
    <row r="67" spans="2:20" ht="23.1" customHeight="1" x14ac:dyDescent="0.25">
      <c r="B67" s="45" t="s">
        <v>104</v>
      </c>
      <c r="C67" s="50">
        <v>70</v>
      </c>
      <c r="D67" s="50">
        <v>18</v>
      </c>
      <c r="E67" s="50">
        <v>6</v>
      </c>
      <c r="F67" s="50">
        <v>12</v>
      </c>
      <c r="G67" s="50">
        <v>0</v>
      </c>
      <c r="H67" s="50">
        <v>0</v>
      </c>
      <c r="I67" s="50">
        <v>5</v>
      </c>
      <c r="J67" s="50">
        <v>3</v>
      </c>
      <c r="K67" s="50">
        <v>0</v>
      </c>
      <c r="L67" s="50">
        <v>0</v>
      </c>
      <c r="M67" s="50">
        <v>65</v>
      </c>
      <c r="N67" s="50">
        <v>0</v>
      </c>
      <c r="O67" s="15">
        <f t="shared" si="0"/>
        <v>114</v>
      </c>
      <c r="P67" s="15">
        <f t="shared" si="1"/>
        <v>179</v>
      </c>
      <c r="R67" s="8"/>
      <c r="T67"/>
    </row>
    <row r="68" spans="2:20" ht="23.1" customHeight="1" x14ac:dyDescent="0.25">
      <c r="B68" s="45" t="s">
        <v>105</v>
      </c>
      <c r="C68" s="50">
        <v>50</v>
      </c>
      <c r="D68" s="50">
        <v>16</v>
      </c>
      <c r="E68" s="50">
        <v>7</v>
      </c>
      <c r="F68" s="50">
        <v>22</v>
      </c>
      <c r="G68" s="50">
        <v>0</v>
      </c>
      <c r="H68" s="50">
        <v>0</v>
      </c>
      <c r="I68" s="50">
        <v>2</v>
      </c>
      <c r="J68" s="50">
        <v>1</v>
      </c>
      <c r="K68" s="50">
        <v>1</v>
      </c>
      <c r="L68" s="50">
        <v>0</v>
      </c>
      <c r="M68" s="50">
        <v>80</v>
      </c>
      <c r="N68" s="50">
        <v>0</v>
      </c>
      <c r="O68" s="15">
        <f t="shared" si="0"/>
        <v>99</v>
      </c>
      <c r="P68" s="15">
        <f t="shared" si="1"/>
        <v>179</v>
      </c>
      <c r="R68" s="8"/>
      <c r="T68"/>
    </row>
    <row r="69" spans="2:20" ht="23.1" customHeight="1" x14ac:dyDescent="0.25">
      <c r="B69" s="45" t="s">
        <v>106</v>
      </c>
      <c r="C69" s="50">
        <v>75</v>
      </c>
      <c r="D69" s="50">
        <v>50</v>
      </c>
      <c r="E69" s="50">
        <v>5</v>
      </c>
      <c r="F69" s="50">
        <v>10</v>
      </c>
      <c r="G69" s="50">
        <v>0</v>
      </c>
      <c r="H69" s="50">
        <v>1</v>
      </c>
      <c r="I69" s="50">
        <v>3</v>
      </c>
      <c r="J69" s="50">
        <v>1</v>
      </c>
      <c r="K69" s="50">
        <v>0</v>
      </c>
      <c r="L69" s="50">
        <v>0</v>
      </c>
      <c r="M69" s="50">
        <v>85</v>
      </c>
      <c r="N69" s="50">
        <v>0</v>
      </c>
      <c r="O69" s="15">
        <f t="shared" si="0"/>
        <v>145</v>
      </c>
      <c r="P69" s="15">
        <f t="shared" si="1"/>
        <v>230</v>
      </c>
      <c r="R69" s="8"/>
      <c r="T69"/>
    </row>
    <row r="70" spans="2:20" ht="23.1" customHeight="1" x14ac:dyDescent="0.25">
      <c r="B70" s="45" t="s">
        <v>110</v>
      </c>
      <c r="C70" s="50">
        <v>50</v>
      </c>
      <c r="D70" s="50">
        <v>28</v>
      </c>
      <c r="E70" s="50">
        <v>4</v>
      </c>
      <c r="F70" s="50">
        <v>15</v>
      </c>
      <c r="G70" s="50">
        <v>0</v>
      </c>
      <c r="H70" s="50">
        <v>0</v>
      </c>
      <c r="I70" s="50">
        <v>3</v>
      </c>
      <c r="J70" s="50">
        <v>3</v>
      </c>
      <c r="K70" s="50">
        <v>0</v>
      </c>
      <c r="L70" s="50">
        <v>0</v>
      </c>
      <c r="M70" s="50">
        <v>90</v>
      </c>
      <c r="N70" s="50">
        <v>0</v>
      </c>
      <c r="O70" s="15">
        <f t="shared" si="0"/>
        <v>103</v>
      </c>
      <c r="P70" s="15">
        <f t="shared" si="1"/>
        <v>193</v>
      </c>
      <c r="R70" s="8"/>
      <c r="T70"/>
    </row>
    <row r="71" spans="2:20" ht="23.1" customHeight="1" x14ac:dyDescent="0.25">
      <c r="B71" s="45" t="s">
        <v>111</v>
      </c>
      <c r="C71" s="50">
        <v>35</v>
      </c>
      <c r="D71" s="50">
        <v>16</v>
      </c>
      <c r="E71" s="50">
        <v>7</v>
      </c>
      <c r="F71" s="50">
        <v>14</v>
      </c>
      <c r="G71" s="50">
        <v>0</v>
      </c>
      <c r="H71" s="50">
        <v>0</v>
      </c>
      <c r="I71" s="50">
        <v>0</v>
      </c>
      <c r="J71" s="50">
        <v>0</v>
      </c>
      <c r="K71" s="50">
        <v>1</v>
      </c>
      <c r="L71" s="50">
        <v>0</v>
      </c>
      <c r="M71" s="50">
        <v>47</v>
      </c>
      <c r="N71" s="50">
        <v>0</v>
      </c>
      <c r="O71" s="15">
        <f t="shared" si="0"/>
        <v>73</v>
      </c>
      <c r="P71" s="15">
        <f t="shared" si="1"/>
        <v>120</v>
      </c>
      <c r="R71" s="8"/>
      <c r="T71"/>
    </row>
    <row r="72" spans="2:20" ht="23.1" customHeight="1" x14ac:dyDescent="0.25">
      <c r="B72" s="45" t="s">
        <v>112</v>
      </c>
      <c r="C72" s="50">
        <v>18</v>
      </c>
      <c r="D72" s="50">
        <v>25</v>
      </c>
      <c r="E72" s="50">
        <v>3</v>
      </c>
      <c r="F72" s="50">
        <v>8</v>
      </c>
      <c r="G72" s="50">
        <v>0</v>
      </c>
      <c r="H72" s="50">
        <v>0</v>
      </c>
      <c r="I72" s="50">
        <v>1</v>
      </c>
      <c r="J72" s="50">
        <v>1</v>
      </c>
      <c r="K72" s="50">
        <v>2</v>
      </c>
      <c r="L72" s="50">
        <v>0</v>
      </c>
      <c r="M72" s="50">
        <v>75</v>
      </c>
      <c r="N72" s="50">
        <v>0</v>
      </c>
      <c r="O72" s="15">
        <f t="shared" si="0"/>
        <v>58</v>
      </c>
      <c r="P72" s="15">
        <f t="shared" si="1"/>
        <v>133</v>
      </c>
      <c r="R72" s="8"/>
      <c r="T72"/>
    </row>
    <row r="73" spans="2:20" ht="23.1" customHeight="1" x14ac:dyDescent="0.25">
      <c r="B73" s="45" t="s">
        <v>113</v>
      </c>
      <c r="C73" s="50">
        <v>28</v>
      </c>
      <c r="D73" s="50">
        <v>13</v>
      </c>
      <c r="E73" s="50">
        <v>2</v>
      </c>
      <c r="F73" s="50">
        <v>8</v>
      </c>
      <c r="G73" s="50">
        <v>1</v>
      </c>
      <c r="H73" s="50">
        <v>0</v>
      </c>
      <c r="I73" s="50">
        <v>3</v>
      </c>
      <c r="J73" s="50">
        <v>1</v>
      </c>
      <c r="K73" s="50">
        <v>0</v>
      </c>
      <c r="L73" s="50">
        <v>0</v>
      </c>
      <c r="M73" s="50">
        <v>80</v>
      </c>
      <c r="N73" s="50">
        <v>0</v>
      </c>
      <c r="O73" s="15">
        <f t="shared" si="0"/>
        <v>56</v>
      </c>
      <c r="P73" s="15">
        <f t="shared" si="1"/>
        <v>136</v>
      </c>
      <c r="R73" s="8"/>
      <c r="T73"/>
    </row>
    <row r="74" spans="2:20" ht="23.1" customHeight="1" x14ac:dyDescent="0.25">
      <c r="B74" s="45" t="s">
        <v>114</v>
      </c>
      <c r="C74" s="50">
        <v>37</v>
      </c>
      <c r="D74" s="50">
        <v>12</v>
      </c>
      <c r="E74" s="50">
        <v>9</v>
      </c>
      <c r="F74" s="50">
        <v>18</v>
      </c>
      <c r="G74" s="50">
        <v>0</v>
      </c>
      <c r="H74" s="50">
        <v>0</v>
      </c>
      <c r="I74" s="50">
        <v>2</v>
      </c>
      <c r="J74" s="50">
        <v>2</v>
      </c>
      <c r="K74" s="50">
        <v>0</v>
      </c>
      <c r="L74" s="50">
        <v>0</v>
      </c>
      <c r="M74" s="50">
        <v>60</v>
      </c>
      <c r="N74" s="50">
        <v>0</v>
      </c>
      <c r="O74" s="15">
        <f t="shared" ref="O74:O105" si="35">SUM(C74:L74,N74)</f>
        <v>80</v>
      </c>
      <c r="P74" s="15">
        <f t="shared" ref="P74:P105" si="36">SUM(C74:N74)</f>
        <v>140</v>
      </c>
      <c r="R74" s="8"/>
      <c r="T74"/>
    </row>
    <row r="75" spans="2:20" ht="23.1" customHeight="1" x14ac:dyDescent="0.25">
      <c r="B75" s="45" t="s">
        <v>115</v>
      </c>
      <c r="C75" s="50">
        <v>25</v>
      </c>
      <c r="D75" s="50">
        <v>12</v>
      </c>
      <c r="E75" s="50">
        <v>2</v>
      </c>
      <c r="F75" s="50">
        <v>5</v>
      </c>
      <c r="G75" s="50">
        <v>0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31</v>
      </c>
      <c r="N75" s="50">
        <v>0</v>
      </c>
      <c r="O75" s="15">
        <f t="shared" si="35"/>
        <v>46</v>
      </c>
      <c r="P75" s="15">
        <f t="shared" si="36"/>
        <v>77</v>
      </c>
      <c r="R75" s="8"/>
      <c r="T75"/>
    </row>
    <row r="76" spans="2:20" ht="23.1" customHeight="1" x14ac:dyDescent="0.25">
      <c r="B76" s="45" t="s">
        <v>116</v>
      </c>
      <c r="C76" s="50">
        <v>47</v>
      </c>
      <c r="D76" s="50">
        <v>13</v>
      </c>
      <c r="E76" s="50">
        <v>3</v>
      </c>
      <c r="F76" s="50">
        <v>8</v>
      </c>
      <c r="G76" s="50">
        <v>0</v>
      </c>
      <c r="H76" s="50">
        <v>0</v>
      </c>
      <c r="I76" s="50">
        <v>1</v>
      </c>
      <c r="J76" s="50">
        <v>1</v>
      </c>
      <c r="K76" s="50">
        <v>0</v>
      </c>
      <c r="L76" s="50">
        <v>0</v>
      </c>
      <c r="M76" s="50">
        <v>44</v>
      </c>
      <c r="N76" s="50">
        <v>0</v>
      </c>
      <c r="O76" s="15">
        <f t="shared" si="35"/>
        <v>73</v>
      </c>
      <c r="P76" s="15">
        <f t="shared" si="36"/>
        <v>117</v>
      </c>
      <c r="R76" s="8"/>
      <c r="T76"/>
    </row>
    <row r="77" spans="2:20" ht="23.1" customHeight="1" x14ac:dyDescent="0.25">
      <c r="B77" s="45" t="s">
        <v>117</v>
      </c>
      <c r="C77" s="50">
        <v>24</v>
      </c>
      <c r="D77" s="50">
        <v>6</v>
      </c>
      <c r="E77" s="50">
        <v>1</v>
      </c>
      <c r="F77" s="50">
        <v>3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16</v>
      </c>
      <c r="N77" s="50">
        <v>0</v>
      </c>
      <c r="O77" s="15">
        <f t="shared" si="35"/>
        <v>35</v>
      </c>
      <c r="P77" s="15">
        <f t="shared" si="36"/>
        <v>51</v>
      </c>
      <c r="R77" s="8"/>
      <c r="T77"/>
    </row>
    <row r="78" spans="2:20" ht="23.1" customHeight="1" x14ac:dyDescent="0.25">
      <c r="B78" s="46" t="s">
        <v>118</v>
      </c>
      <c r="C78" s="50">
        <v>30</v>
      </c>
      <c r="D78" s="50">
        <v>2</v>
      </c>
      <c r="E78" s="50">
        <v>0</v>
      </c>
      <c r="F78" s="50">
        <v>2</v>
      </c>
      <c r="G78" s="50">
        <v>0</v>
      </c>
      <c r="H78" s="50">
        <v>0</v>
      </c>
      <c r="I78" s="50">
        <v>1</v>
      </c>
      <c r="J78" s="50">
        <v>1</v>
      </c>
      <c r="K78" s="50">
        <v>0</v>
      </c>
      <c r="L78" s="50">
        <v>0</v>
      </c>
      <c r="M78" s="50">
        <v>28</v>
      </c>
      <c r="N78" s="50">
        <v>0</v>
      </c>
      <c r="O78" s="15">
        <f t="shared" si="35"/>
        <v>36</v>
      </c>
      <c r="P78" s="15">
        <f t="shared" si="36"/>
        <v>64</v>
      </c>
      <c r="R78" s="8"/>
      <c r="T78"/>
    </row>
    <row r="79" spans="2:20" ht="23.1" customHeight="1" x14ac:dyDescent="0.25">
      <c r="B79" s="45" t="s">
        <v>119</v>
      </c>
      <c r="C79" s="50">
        <v>27</v>
      </c>
      <c r="D79" s="50">
        <v>5</v>
      </c>
      <c r="E79" s="50">
        <v>3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2</v>
      </c>
      <c r="L79" s="50">
        <v>0</v>
      </c>
      <c r="M79" s="50">
        <v>40</v>
      </c>
      <c r="N79" s="50">
        <v>0</v>
      </c>
      <c r="O79" s="15">
        <f t="shared" si="35"/>
        <v>38</v>
      </c>
      <c r="P79" s="15">
        <f t="shared" si="36"/>
        <v>78</v>
      </c>
      <c r="R79" s="8"/>
      <c r="T79"/>
    </row>
    <row r="80" spans="2:20" ht="23.1" customHeight="1" x14ac:dyDescent="0.25">
      <c r="B80" s="47" t="s">
        <v>120</v>
      </c>
      <c r="C80" s="50">
        <v>40</v>
      </c>
      <c r="D80" s="50">
        <v>11</v>
      </c>
      <c r="E80" s="50">
        <v>1</v>
      </c>
      <c r="F80" s="50">
        <v>2</v>
      </c>
      <c r="G80" s="50">
        <v>0</v>
      </c>
      <c r="H80" s="50">
        <v>0</v>
      </c>
      <c r="I80" s="50">
        <v>1</v>
      </c>
      <c r="J80" s="50">
        <v>1</v>
      </c>
      <c r="K80" s="50">
        <v>0</v>
      </c>
      <c r="L80" s="50">
        <v>0</v>
      </c>
      <c r="M80" s="50">
        <v>42</v>
      </c>
      <c r="N80" s="50">
        <v>0</v>
      </c>
      <c r="O80" s="15">
        <f t="shared" si="35"/>
        <v>56</v>
      </c>
      <c r="P80" s="15">
        <f t="shared" si="36"/>
        <v>98</v>
      </c>
      <c r="R80" s="8"/>
      <c r="T80"/>
    </row>
    <row r="81" spans="2:20" ht="23.1" customHeight="1" x14ac:dyDescent="0.25">
      <c r="B81" s="45" t="s">
        <v>121</v>
      </c>
      <c r="C81" s="50">
        <v>26</v>
      </c>
      <c r="D81" s="50">
        <v>3</v>
      </c>
      <c r="E81" s="50">
        <v>1</v>
      </c>
      <c r="F81" s="50">
        <v>1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30</v>
      </c>
      <c r="N81" s="50">
        <v>0</v>
      </c>
      <c r="O81" s="15">
        <f t="shared" si="35"/>
        <v>32</v>
      </c>
      <c r="P81" s="15">
        <f t="shared" si="36"/>
        <v>62</v>
      </c>
      <c r="R81" s="8"/>
      <c r="T81"/>
    </row>
    <row r="82" spans="2:20" ht="23.1" customHeight="1" x14ac:dyDescent="0.25">
      <c r="B82" s="46" t="s">
        <v>122</v>
      </c>
      <c r="C82" s="50">
        <v>15</v>
      </c>
      <c r="D82" s="50">
        <v>1</v>
      </c>
      <c r="E82" s="50">
        <v>1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8</v>
      </c>
      <c r="N82" s="50">
        <v>0</v>
      </c>
      <c r="O82" s="15">
        <f t="shared" si="35"/>
        <v>18</v>
      </c>
      <c r="P82" s="15">
        <f t="shared" si="36"/>
        <v>26</v>
      </c>
      <c r="R82" s="8"/>
      <c r="T82"/>
    </row>
    <row r="83" spans="2:20" ht="23.1" customHeight="1" x14ac:dyDescent="0.25">
      <c r="B83" s="45" t="s">
        <v>123</v>
      </c>
      <c r="C83" s="50">
        <v>20</v>
      </c>
      <c r="D83" s="50">
        <v>6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11</v>
      </c>
      <c r="N83" s="50">
        <v>0</v>
      </c>
      <c r="O83" s="15">
        <f t="shared" si="35"/>
        <v>27</v>
      </c>
      <c r="P83" s="15">
        <f t="shared" si="36"/>
        <v>38</v>
      </c>
      <c r="R83" s="8"/>
      <c r="T83"/>
    </row>
    <row r="84" spans="2:20" ht="23.1" customHeight="1" x14ac:dyDescent="0.25">
      <c r="B84" s="47" t="s">
        <v>124</v>
      </c>
      <c r="C84" s="50">
        <v>8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1</v>
      </c>
      <c r="K84" s="50">
        <v>0</v>
      </c>
      <c r="L84" s="50">
        <v>0</v>
      </c>
      <c r="M84" s="50">
        <v>13</v>
      </c>
      <c r="N84" s="50">
        <v>0</v>
      </c>
      <c r="O84" s="15">
        <f t="shared" si="35"/>
        <v>10</v>
      </c>
      <c r="P84" s="15">
        <f t="shared" si="36"/>
        <v>23</v>
      </c>
      <c r="R84" s="8"/>
      <c r="T84"/>
    </row>
    <row r="85" spans="2:20" ht="23.1" customHeight="1" x14ac:dyDescent="0.25">
      <c r="B85" s="45" t="s">
        <v>125</v>
      </c>
      <c r="C85" s="50">
        <v>12</v>
      </c>
      <c r="D85" s="50">
        <v>4</v>
      </c>
      <c r="E85" s="50">
        <v>0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15</v>
      </c>
      <c r="N85" s="50">
        <v>0</v>
      </c>
      <c r="O85" s="15">
        <f t="shared" si="35"/>
        <v>17</v>
      </c>
      <c r="P85" s="15">
        <f t="shared" si="36"/>
        <v>32</v>
      </c>
      <c r="R85" s="8"/>
      <c r="T85"/>
    </row>
    <row r="86" spans="2:20" ht="23.1" customHeight="1" x14ac:dyDescent="0.25">
      <c r="B86" s="46" t="s">
        <v>126</v>
      </c>
      <c r="C86" s="50">
        <v>5</v>
      </c>
      <c r="D86" s="50">
        <v>5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12</v>
      </c>
      <c r="N86" s="50">
        <v>0</v>
      </c>
      <c r="O86" s="15">
        <f t="shared" si="35"/>
        <v>10</v>
      </c>
      <c r="P86" s="15">
        <f t="shared" si="36"/>
        <v>22</v>
      </c>
      <c r="R86" s="8"/>
      <c r="T86"/>
    </row>
    <row r="87" spans="2:20" ht="23.1" customHeight="1" x14ac:dyDescent="0.25">
      <c r="B87" s="45" t="s">
        <v>127</v>
      </c>
      <c r="C87" s="50">
        <v>10</v>
      </c>
      <c r="D87" s="50">
        <v>5</v>
      </c>
      <c r="E87" s="50">
        <v>2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4</v>
      </c>
      <c r="L87" s="50">
        <v>0</v>
      </c>
      <c r="M87" s="50">
        <v>7</v>
      </c>
      <c r="N87" s="50">
        <v>0</v>
      </c>
      <c r="O87" s="15">
        <f t="shared" si="35"/>
        <v>22</v>
      </c>
      <c r="P87" s="15">
        <f t="shared" si="36"/>
        <v>29</v>
      </c>
      <c r="R87" s="8"/>
      <c r="T87"/>
    </row>
    <row r="88" spans="2:20" ht="23.1" customHeight="1" x14ac:dyDescent="0.25">
      <c r="B88" s="47" t="s">
        <v>128</v>
      </c>
      <c r="C88" s="50">
        <v>11</v>
      </c>
      <c r="D88" s="50">
        <v>3</v>
      </c>
      <c r="E88" s="50">
        <v>1</v>
      </c>
      <c r="F88" s="50">
        <v>1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11</v>
      </c>
      <c r="N88" s="50">
        <v>0</v>
      </c>
      <c r="O88" s="15">
        <f t="shared" si="35"/>
        <v>17</v>
      </c>
      <c r="P88" s="15">
        <f t="shared" si="36"/>
        <v>28</v>
      </c>
      <c r="R88" s="8"/>
      <c r="T88"/>
    </row>
    <row r="89" spans="2:20" ht="23.1" customHeight="1" x14ac:dyDescent="0.25">
      <c r="B89" s="45" t="s">
        <v>129</v>
      </c>
      <c r="C89" s="50">
        <v>15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6</v>
      </c>
      <c r="N89" s="50">
        <v>0</v>
      </c>
      <c r="O89" s="15">
        <f t="shared" si="35"/>
        <v>15</v>
      </c>
      <c r="P89" s="15">
        <f t="shared" si="36"/>
        <v>21</v>
      </c>
      <c r="R89" s="8"/>
      <c r="T89"/>
    </row>
    <row r="90" spans="2:20" ht="23.1" customHeight="1" x14ac:dyDescent="0.25">
      <c r="B90" s="46" t="s">
        <v>130</v>
      </c>
      <c r="C90" s="50">
        <v>7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10</v>
      </c>
      <c r="N90" s="50">
        <v>0</v>
      </c>
      <c r="O90" s="15">
        <f t="shared" si="35"/>
        <v>8</v>
      </c>
      <c r="P90" s="15">
        <f t="shared" si="36"/>
        <v>18</v>
      </c>
      <c r="R90" s="8"/>
      <c r="T90"/>
    </row>
    <row r="91" spans="2:20" ht="23.1" customHeight="1" x14ac:dyDescent="0.25">
      <c r="B91" s="45" t="s">
        <v>131</v>
      </c>
      <c r="C91" s="50">
        <v>6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8</v>
      </c>
      <c r="P91" s="15">
        <f t="shared" si="36"/>
        <v>10</v>
      </c>
      <c r="R91" s="8"/>
      <c r="T91"/>
    </row>
    <row r="92" spans="2:20" ht="23.1" customHeight="1" x14ac:dyDescent="0.25">
      <c r="B92" s="47" t="s">
        <v>132</v>
      </c>
      <c r="C92" s="50">
        <v>6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7</v>
      </c>
      <c r="P92" s="15">
        <f t="shared" si="36"/>
        <v>8</v>
      </c>
      <c r="R92" s="8"/>
      <c r="T92"/>
    </row>
    <row r="93" spans="2:20" ht="23.1" customHeight="1" x14ac:dyDescent="0.25">
      <c r="B93" s="45" t="s">
        <v>133</v>
      </c>
      <c r="C93" s="50">
        <v>5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6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5</v>
      </c>
      <c r="P94" s="15">
        <f t="shared" si="36"/>
        <v>8</v>
      </c>
      <c r="R94" s="8"/>
      <c r="T94"/>
    </row>
    <row r="95" spans="2:20" ht="23.1" customHeight="1" x14ac:dyDescent="0.25">
      <c r="B95" s="45" t="s">
        <v>135</v>
      </c>
      <c r="C95" s="50">
        <v>6</v>
      </c>
      <c r="D95" s="50">
        <v>0</v>
      </c>
      <c r="E95" s="50">
        <v>1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8</v>
      </c>
      <c r="P95" s="15">
        <f t="shared" si="36"/>
        <v>10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2</v>
      </c>
      <c r="E96" s="50">
        <v>0</v>
      </c>
      <c r="F96" s="50">
        <v>2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7</v>
      </c>
      <c r="P96" s="15">
        <f t="shared" si="36"/>
        <v>10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0</v>
      </c>
      <c r="E98" s="50">
        <v>0</v>
      </c>
      <c r="F98" s="50">
        <v>3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9</v>
      </c>
      <c r="N98" s="50">
        <v>0</v>
      </c>
      <c r="O98" s="15">
        <f t="shared" si="35"/>
        <v>8</v>
      </c>
      <c r="P98" s="15">
        <f t="shared" si="36"/>
        <v>17</v>
      </c>
      <c r="R98" s="8"/>
      <c r="T98"/>
    </row>
    <row r="99" spans="2:20" ht="23.1" customHeight="1" x14ac:dyDescent="0.25">
      <c r="B99" s="45" t="s">
        <v>139</v>
      </c>
      <c r="C99" s="50">
        <v>7</v>
      </c>
      <c r="D99" s="50">
        <v>3</v>
      </c>
      <c r="E99" s="50">
        <v>0</v>
      </c>
      <c r="F99" s="50">
        <v>5</v>
      </c>
      <c r="G99" s="50">
        <v>2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5</v>
      </c>
      <c r="N99" s="50">
        <v>0</v>
      </c>
      <c r="O99" s="15">
        <f t="shared" si="35"/>
        <v>17</v>
      </c>
      <c r="P99" s="15">
        <f t="shared" si="36"/>
        <v>22</v>
      </c>
      <c r="R99" s="8"/>
      <c r="T99"/>
    </row>
    <row r="100" spans="2:20" ht="23.1" customHeight="1" x14ac:dyDescent="0.25">
      <c r="B100" s="47" t="s">
        <v>140</v>
      </c>
      <c r="C100" s="50">
        <v>9</v>
      </c>
      <c r="D100" s="50">
        <v>1</v>
      </c>
      <c r="E100" s="50">
        <v>4</v>
      </c>
      <c r="F100" s="50">
        <v>7</v>
      </c>
      <c r="G100" s="50">
        <v>2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17</v>
      </c>
      <c r="N100" s="50">
        <v>0</v>
      </c>
      <c r="O100" s="15">
        <f t="shared" si="35"/>
        <v>23</v>
      </c>
      <c r="P100" s="15">
        <f t="shared" si="36"/>
        <v>40</v>
      </c>
      <c r="R100" s="8"/>
      <c r="T100"/>
    </row>
    <row r="101" spans="2:20" ht="23.1" customHeight="1" x14ac:dyDescent="0.25">
      <c r="B101" s="45" t="s">
        <v>141</v>
      </c>
      <c r="C101" s="50">
        <v>9</v>
      </c>
      <c r="D101" s="50">
        <v>4</v>
      </c>
      <c r="E101" s="50">
        <v>1</v>
      </c>
      <c r="F101" s="50">
        <v>5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11</v>
      </c>
      <c r="N101" s="50">
        <v>0</v>
      </c>
      <c r="O101" s="15">
        <f t="shared" si="35"/>
        <v>19</v>
      </c>
      <c r="P101" s="15">
        <f t="shared" si="36"/>
        <v>30</v>
      </c>
      <c r="R101" s="8"/>
      <c r="T101"/>
    </row>
    <row r="102" spans="2:20" ht="23.1" customHeight="1" x14ac:dyDescent="0.25">
      <c r="B102" s="46" t="s">
        <v>142</v>
      </c>
      <c r="C102" s="50">
        <v>20</v>
      </c>
      <c r="D102" s="50">
        <v>1</v>
      </c>
      <c r="E102" s="50">
        <v>1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10</v>
      </c>
      <c r="N102" s="50">
        <v>0</v>
      </c>
      <c r="O102" s="15">
        <f t="shared" si="35"/>
        <v>23</v>
      </c>
      <c r="P102" s="15">
        <f t="shared" si="36"/>
        <v>33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3150</v>
      </c>
      <c r="D106" s="16">
        <f t="shared" ref="D106:P106" si="37">SUM(D10:D105)</f>
        <v>1401</v>
      </c>
      <c r="E106" s="16">
        <f t="shared" si="37"/>
        <v>363</v>
      </c>
      <c r="F106" s="16">
        <f t="shared" si="37"/>
        <v>1333</v>
      </c>
      <c r="G106" s="16">
        <f t="shared" si="37"/>
        <v>11</v>
      </c>
      <c r="H106" s="16">
        <f t="shared" si="37"/>
        <v>5</v>
      </c>
      <c r="I106" s="16">
        <f t="shared" si="37"/>
        <v>248</v>
      </c>
      <c r="J106" s="16">
        <f t="shared" si="37"/>
        <v>120</v>
      </c>
      <c r="K106" s="16">
        <f t="shared" si="37"/>
        <v>130</v>
      </c>
      <c r="L106" s="16">
        <f t="shared" si="37"/>
        <v>2</v>
      </c>
      <c r="M106" s="16">
        <f t="shared" si="37"/>
        <v>5744</v>
      </c>
      <c r="N106" s="16">
        <f t="shared" si="37"/>
        <v>0</v>
      </c>
      <c r="O106" s="16">
        <f t="shared" si="37"/>
        <v>6763</v>
      </c>
      <c r="P106" s="16">
        <f t="shared" si="37"/>
        <v>12507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0.25185895898296956</v>
      </c>
      <c r="D107" s="43">
        <f t="shared" si="38"/>
        <v>0.11201727032861597</v>
      </c>
      <c r="E107" s="43">
        <f t="shared" si="38"/>
        <v>2.9023746701846966E-2</v>
      </c>
      <c r="F107" s="43">
        <f t="shared" si="38"/>
        <v>0.10658031502358679</v>
      </c>
      <c r="G107" s="43">
        <f t="shared" si="38"/>
        <v>8.7950747581354446E-4</v>
      </c>
      <c r="H107" s="43">
        <f t="shared" si="38"/>
        <v>3.9977612536979291E-4</v>
      </c>
      <c r="I107" s="43">
        <f t="shared" si="38"/>
        <v>1.982889581834173E-2</v>
      </c>
      <c r="J107" s="43">
        <f t="shared" si="38"/>
        <v>9.5946270088750306E-3</v>
      </c>
      <c r="K107" s="43">
        <f t="shared" si="38"/>
        <v>1.0394179259614616E-2</v>
      </c>
      <c r="L107" s="43">
        <f t="shared" si="38"/>
        <v>1.5991045014791716E-4</v>
      </c>
      <c r="M107" s="43">
        <f t="shared" si="38"/>
        <v>0.45926281282481812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0.46576962886293066</v>
      </c>
      <c r="D108" s="44">
        <f t="shared" ref="D108:N108" si="39">D106/$O$106</f>
        <v>0.20715658731332248</v>
      </c>
      <c r="E108" s="44">
        <f t="shared" si="39"/>
        <v>5.3674404849918672E-2</v>
      </c>
      <c r="F108" s="44">
        <f t="shared" si="39"/>
        <v>0.19710187786485286</v>
      </c>
      <c r="G108" s="44">
        <f t="shared" si="39"/>
        <v>1.6264971166642024E-3</v>
      </c>
      <c r="H108" s="44">
        <f t="shared" si="39"/>
        <v>7.3931687121100108E-4</v>
      </c>
      <c r="I108" s="44">
        <f t="shared" si="39"/>
        <v>3.6670116812065653E-2</v>
      </c>
      <c r="J108" s="44">
        <f t="shared" si="39"/>
        <v>1.7743604909064025E-2</v>
      </c>
      <c r="K108" s="44">
        <f t="shared" si="39"/>
        <v>1.9222238651486027E-2</v>
      </c>
      <c r="L108" s="44">
        <f t="shared" si="39"/>
        <v>2.9572674848440039E-4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J58" sqref="J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Kyanja -Kisaasi'!C3:G3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66" t="str">
        <f>'31.07 Kisaasi-Kyanja'!G5:H5</f>
        <v>Malcom Health center</v>
      </c>
      <c r="H5" s="67"/>
      <c r="I5" s="14"/>
      <c r="J5" s="2" t="s">
        <v>5</v>
      </c>
      <c r="K5" s="66" t="s">
        <v>179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Kyanja -Kisaasi'!D6:E6</f>
        <v>Kyanja</v>
      </c>
      <c r="E6" s="67"/>
      <c r="F6" s="2" t="s">
        <v>2</v>
      </c>
      <c r="G6" s="66" t="str">
        <f>'29.07 Kyanja -Kisaasi'!G6:H6</f>
        <v>Kisaasi</v>
      </c>
      <c r="H6" s="67"/>
      <c r="J6" s="2" t="s">
        <v>21</v>
      </c>
      <c r="K6" s="66" t="str">
        <f>'31.07 Kisaasi-Kyanja'!K6:L6</f>
        <v>Steven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15</v>
      </c>
      <c r="E10" s="50">
        <v>5</v>
      </c>
      <c r="F10" s="50">
        <v>25</v>
      </c>
      <c r="G10" s="50">
        <v>0</v>
      </c>
      <c r="H10" s="50">
        <v>0</v>
      </c>
      <c r="I10" s="50">
        <v>5</v>
      </c>
      <c r="J10" s="50">
        <v>0</v>
      </c>
      <c r="K10" s="50">
        <v>0</v>
      </c>
      <c r="L10" s="50">
        <v>0</v>
      </c>
      <c r="M10" s="50">
        <v>174</v>
      </c>
      <c r="N10" s="50">
        <v>0</v>
      </c>
      <c r="O10" s="15">
        <f t="shared" ref="O10:O57" si="0">SUM(C10:L10,N10)</f>
        <v>85</v>
      </c>
      <c r="P10" s="15">
        <f t="shared" ref="P10:P57" si="1">SUM(C10:N10)</f>
        <v>259</v>
      </c>
      <c r="R10" s="1" t="s">
        <v>6</v>
      </c>
      <c r="S10" s="17">
        <f t="shared" ref="S10:AF10" si="2">SUM(C10:C13)</f>
        <v>199</v>
      </c>
      <c r="T10" s="17">
        <f t="shared" si="2"/>
        <v>123</v>
      </c>
      <c r="U10" s="17">
        <f t="shared" si="2"/>
        <v>28</v>
      </c>
      <c r="V10" s="17">
        <f t="shared" si="2"/>
        <v>70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1</v>
      </c>
      <c r="AC10" s="17">
        <f t="shared" si="2"/>
        <v>818</v>
      </c>
      <c r="AD10" s="17">
        <f t="shared" si="2"/>
        <v>0</v>
      </c>
      <c r="AE10" s="31">
        <f t="shared" si="2"/>
        <v>426</v>
      </c>
      <c r="AF10" s="31">
        <f t="shared" si="2"/>
        <v>1244</v>
      </c>
    </row>
    <row r="11" spans="2:32" s="6" customFormat="1" ht="23.1" customHeight="1" x14ac:dyDescent="0.25">
      <c r="B11" s="23" t="s">
        <v>38</v>
      </c>
      <c r="C11" s="50">
        <v>51</v>
      </c>
      <c r="D11" s="50">
        <v>45</v>
      </c>
      <c r="E11" s="50">
        <v>7</v>
      </c>
      <c r="F11" s="50">
        <v>15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208</v>
      </c>
      <c r="N11" s="50">
        <v>0</v>
      </c>
      <c r="O11" s="15">
        <f t="shared" si="0"/>
        <v>118</v>
      </c>
      <c r="P11" s="15">
        <f t="shared" si="1"/>
        <v>326</v>
      </c>
      <c r="R11" s="1" t="s">
        <v>7</v>
      </c>
      <c r="S11" s="17">
        <f t="shared" ref="S11:AF11" si="3">SUM(C14:C17)</f>
        <v>246</v>
      </c>
      <c r="T11" s="17">
        <f t="shared" si="3"/>
        <v>95</v>
      </c>
      <c r="U11" s="17">
        <f t="shared" si="3"/>
        <v>16</v>
      </c>
      <c r="V11" s="17">
        <f t="shared" si="3"/>
        <v>77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5</v>
      </c>
      <c r="AA11" s="17">
        <f t="shared" si="3"/>
        <v>4</v>
      </c>
      <c r="AB11" s="17">
        <f t="shared" si="3"/>
        <v>0</v>
      </c>
      <c r="AC11" s="17">
        <f t="shared" si="3"/>
        <v>857</v>
      </c>
      <c r="AD11" s="17">
        <f t="shared" si="3"/>
        <v>0</v>
      </c>
      <c r="AE11" s="31">
        <f t="shared" si="3"/>
        <v>452</v>
      </c>
      <c r="AF11" s="31">
        <f t="shared" si="3"/>
        <v>1309</v>
      </c>
    </row>
    <row r="12" spans="2:32" ht="23.1" customHeight="1" x14ac:dyDescent="0.25">
      <c r="B12" s="23" t="s">
        <v>39</v>
      </c>
      <c r="C12" s="50">
        <v>53</v>
      </c>
      <c r="D12" s="50">
        <v>36</v>
      </c>
      <c r="E12" s="50">
        <v>6</v>
      </c>
      <c r="F12" s="50">
        <v>20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209</v>
      </c>
      <c r="N12" s="50">
        <v>0</v>
      </c>
      <c r="O12" s="15">
        <f t="shared" si="0"/>
        <v>115</v>
      </c>
      <c r="P12" s="15">
        <f t="shared" si="1"/>
        <v>324</v>
      </c>
      <c r="R12" s="1" t="s">
        <v>8</v>
      </c>
      <c r="S12" s="17">
        <f t="shared" ref="S12:AF12" si="4">SUM(C18:C21)</f>
        <v>291</v>
      </c>
      <c r="T12" s="17">
        <f t="shared" si="4"/>
        <v>294</v>
      </c>
      <c r="U12" s="17">
        <f t="shared" si="4"/>
        <v>19</v>
      </c>
      <c r="V12" s="17">
        <f t="shared" si="4"/>
        <v>54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3</v>
      </c>
      <c r="AA12" s="17">
        <f t="shared" si="4"/>
        <v>7</v>
      </c>
      <c r="AB12" s="17">
        <f t="shared" si="4"/>
        <v>0</v>
      </c>
      <c r="AC12" s="17">
        <f t="shared" si="4"/>
        <v>677</v>
      </c>
      <c r="AD12" s="17">
        <f t="shared" si="4"/>
        <v>0</v>
      </c>
      <c r="AE12" s="31">
        <f t="shared" si="4"/>
        <v>671</v>
      </c>
      <c r="AF12" s="31">
        <f t="shared" si="4"/>
        <v>1348</v>
      </c>
    </row>
    <row r="13" spans="2:32" ht="23.1" customHeight="1" x14ac:dyDescent="0.25">
      <c r="B13" s="23" t="s">
        <v>40</v>
      </c>
      <c r="C13" s="50">
        <v>60</v>
      </c>
      <c r="D13" s="50">
        <v>27</v>
      </c>
      <c r="E13" s="50">
        <v>10</v>
      </c>
      <c r="F13" s="50">
        <v>10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1</v>
      </c>
      <c r="M13" s="50">
        <v>227</v>
      </c>
      <c r="N13" s="50">
        <v>0</v>
      </c>
      <c r="O13" s="15">
        <f t="shared" si="0"/>
        <v>108</v>
      </c>
      <c r="P13" s="15">
        <f t="shared" si="1"/>
        <v>335</v>
      </c>
      <c r="R13" s="1" t="s">
        <v>9</v>
      </c>
      <c r="S13" s="17">
        <f t="shared" ref="S13:AF13" si="5">SUM(C22:C25)</f>
        <v>228</v>
      </c>
      <c r="T13" s="17">
        <f t="shared" si="5"/>
        <v>156</v>
      </c>
      <c r="U13" s="17">
        <f t="shared" si="5"/>
        <v>38</v>
      </c>
      <c r="V13" s="17">
        <f t="shared" si="5"/>
        <v>52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3</v>
      </c>
      <c r="AA13" s="17">
        <f t="shared" si="5"/>
        <v>11</v>
      </c>
      <c r="AB13" s="17">
        <f t="shared" si="5"/>
        <v>0</v>
      </c>
      <c r="AC13" s="17">
        <f t="shared" si="5"/>
        <v>473</v>
      </c>
      <c r="AD13" s="17">
        <f t="shared" si="5"/>
        <v>0</v>
      </c>
      <c r="AE13" s="31">
        <f t="shared" si="5"/>
        <v>498</v>
      </c>
      <c r="AF13" s="31">
        <f t="shared" si="5"/>
        <v>971</v>
      </c>
    </row>
    <row r="14" spans="2:32" ht="23.1" customHeight="1" x14ac:dyDescent="0.25">
      <c r="B14" s="23" t="s">
        <v>41</v>
      </c>
      <c r="C14" s="50">
        <v>54</v>
      </c>
      <c r="D14" s="50">
        <v>23</v>
      </c>
      <c r="E14" s="50">
        <v>4</v>
      </c>
      <c r="F14" s="50">
        <v>30</v>
      </c>
      <c r="G14" s="50">
        <v>0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263</v>
      </c>
      <c r="N14" s="50">
        <v>0</v>
      </c>
      <c r="O14" s="15">
        <f t="shared" si="0"/>
        <v>115</v>
      </c>
      <c r="P14" s="15">
        <f t="shared" si="1"/>
        <v>378</v>
      </c>
      <c r="R14" s="1" t="s">
        <v>10</v>
      </c>
      <c r="S14" s="17">
        <f t="shared" ref="S14:AF14" si="6">SUM(C26:C29)</f>
        <v>320</v>
      </c>
      <c r="T14" s="17">
        <f t="shared" si="6"/>
        <v>194</v>
      </c>
      <c r="U14" s="17">
        <f t="shared" si="6"/>
        <v>22</v>
      </c>
      <c r="V14" s="17">
        <f t="shared" si="6"/>
        <v>60</v>
      </c>
      <c r="W14" s="17">
        <f t="shared" si="6"/>
        <v>1</v>
      </c>
      <c r="X14" s="17">
        <f t="shared" si="6"/>
        <v>0</v>
      </c>
      <c r="Y14" s="17">
        <f t="shared" si="6"/>
        <v>15</v>
      </c>
      <c r="Z14" s="17">
        <f t="shared" si="6"/>
        <v>8</v>
      </c>
      <c r="AA14" s="17">
        <f t="shared" si="6"/>
        <v>3</v>
      </c>
      <c r="AB14" s="17">
        <f t="shared" si="6"/>
        <v>1</v>
      </c>
      <c r="AC14" s="17">
        <f t="shared" si="6"/>
        <v>650</v>
      </c>
      <c r="AD14" s="17">
        <f t="shared" si="6"/>
        <v>0</v>
      </c>
      <c r="AE14" s="31">
        <f t="shared" si="6"/>
        <v>624</v>
      </c>
      <c r="AF14" s="31">
        <f t="shared" si="6"/>
        <v>1274</v>
      </c>
    </row>
    <row r="15" spans="2:32" ht="23.1" customHeight="1" x14ac:dyDescent="0.25">
      <c r="B15" s="23" t="s">
        <v>42</v>
      </c>
      <c r="C15" s="50">
        <v>57</v>
      </c>
      <c r="D15" s="50">
        <v>24</v>
      </c>
      <c r="E15" s="50">
        <v>2</v>
      </c>
      <c r="F15" s="50">
        <v>23</v>
      </c>
      <c r="G15" s="50">
        <v>0</v>
      </c>
      <c r="H15" s="50">
        <v>0</v>
      </c>
      <c r="I15" s="50">
        <v>5</v>
      </c>
      <c r="J15" s="50">
        <v>1</v>
      </c>
      <c r="K15" s="50">
        <v>2</v>
      </c>
      <c r="L15" s="50">
        <v>0</v>
      </c>
      <c r="M15" s="50">
        <v>194</v>
      </c>
      <c r="N15" s="50">
        <v>0</v>
      </c>
      <c r="O15" s="15">
        <f t="shared" si="0"/>
        <v>114</v>
      </c>
      <c r="P15" s="15">
        <f t="shared" si="1"/>
        <v>308</v>
      </c>
      <c r="R15" s="1" t="s">
        <v>11</v>
      </c>
      <c r="S15" s="17">
        <f t="shared" ref="S15:AF15" si="7">SUM(C30:C33)</f>
        <v>260</v>
      </c>
      <c r="T15" s="17">
        <f t="shared" si="7"/>
        <v>185</v>
      </c>
      <c r="U15" s="17">
        <f t="shared" si="7"/>
        <v>32</v>
      </c>
      <c r="V15" s="17">
        <f t="shared" si="7"/>
        <v>56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6</v>
      </c>
      <c r="AA15" s="17">
        <f t="shared" si="7"/>
        <v>12</v>
      </c>
      <c r="AB15" s="17">
        <f t="shared" si="7"/>
        <v>0</v>
      </c>
      <c r="AC15" s="17">
        <f t="shared" si="7"/>
        <v>505</v>
      </c>
      <c r="AD15" s="17">
        <f t="shared" si="7"/>
        <v>0</v>
      </c>
      <c r="AE15" s="31">
        <f t="shared" si="7"/>
        <v>558</v>
      </c>
      <c r="AF15" s="31">
        <f t="shared" si="7"/>
        <v>1063</v>
      </c>
    </row>
    <row r="16" spans="2:32" ht="23.1" customHeight="1" x14ac:dyDescent="0.25">
      <c r="B16" s="23" t="s">
        <v>43</v>
      </c>
      <c r="C16" s="50">
        <v>75</v>
      </c>
      <c r="D16" s="50">
        <v>8</v>
      </c>
      <c r="E16" s="50">
        <v>3</v>
      </c>
      <c r="F16" s="50">
        <v>9</v>
      </c>
      <c r="G16" s="50">
        <v>0</v>
      </c>
      <c r="H16" s="50">
        <v>0</v>
      </c>
      <c r="I16" s="50">
        <v>0</v>
      </c>
      <c r="J16" s="50">
        <v>1</v>
      </c>
      <c r="K16" s="50">
        <v>1</v>
      </c>
      <c r="L16" s="50">
        <v>0</v>
      </c>
      <c r="M16" s="50">
        <v>221</v>
      </c>
      <c r="N16" s="50">
        <v>0</v>
      </c>
      <c r="O16" s="15">
        <f t="shared" si="0"/>
        <v>97</v>
      </c>
      <c r="P16" s="15">
        <f t="shared" si="1"/>
        <v>318</v>
      </c>
      <c r="R16" s="1" t="s">
        <v>12</v>
      </c>
      <c r="S16" s="17">
        <f t="shared" ref="S16:AF16" si="8">SUM(C34:C37)</f>
        <v>134</v>
      </c>
      <c r="T16" s="17">
        <f t="shared" si="8"/>
        <v>79</v>
      </c>
      <c r="U16" s="17">
        <f t="shared" si="8"/>
        <v>18</v>
      </c>
      <c r="V16" s="17">
        <f t="shared" si="8"/>
        <v>35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8</v>
      </c>
      <c r="AA16" s="17">
        <f t="shared" si="8"/>
        <v>10</v>
      </c>
      <c r="AB16" s="17">
        <f t="shared" si="8"/>
        <v>3</v>
      </c>
      <c r="AC16" s="17">
        <f t="shared" si="8"/>
        <v>347</v>
      </c>
      <c r="AD16" s="17">
        <f t="shared" si="8"/>
        <v>0</v>
      </c>
      <c r="AE16" s="31">
        <f t="shared" si="8"/>
        <v>292</v>
      </c>
      <c r="AF16" s="31">
        <f t="shared" si="8"/>
        <v>639</v>
      </c>
    </row>
    <row r="17" spans="2:32" ht="23.1" customHeight="1" x14ac:dyDescent="0.25">
      <c r="B17" s="23" t="s">
        <v>44</v>
      </c>
      <c r="C17" s="50">
        <v>60</v>
      </c>
      <c r="D17" s="50">
        <v>40</v>
      </c>
      <c r="E17" s="50">
        <v>7</v>
      </c>
      <c r="F17" s="50">
        <v>15</v>
      </c>
      <c r="G17" s="50">
        <v>0</v>
      </c>
      <c r="H17" s="50">
        <v>0</v>
      </c>
      <c r="I17" s="50">
        <v>1</v>
      </c>
      <c r="J17" s="50">
        <v>2</v>
      </c>
      <c r="K17" s="50">
        <v>1</v>
      </c>
      <c r="L17" s="50">
        <v>0</v>
      </c>
      <c r="M17" s="50">
        <v>179</v>
      </c>
      <c r="N17" s="50">
        <v>0</v>
      </c>
      <c r="O17" s="15">
        <f t="shared" si="0"/>
        <v>126</v>
      </c>
      <c r="P17" s="15">
        <f t="shared" si="1"/>
        <v>305</v>
      </c>
      <c r="R17" s="1" t="s">
        <v>13</v>
      </c>
      <c r="S17" s="17">
        <f t="shared" ref="S17:AF17" si="9">SUM(C38:C41)</f>
        <v>209</v>
      </c>
      <c r="T17" s="17">
        <f t="shared" si="9"/>
        <v>170</v>
      </c>
      <c r="U17" s="17">
        <f t="shared" si="9"/>
        <v>38</v>
      </c>
      <c r="V17" s="17">
        <f t="shared" si="9"/>
        <v>44</v>
      </c>
      <c r="W17" s="17">
        <f t="shared" si="9"/>
        <v>0</v>
      </c>
      <c r="X17" s="17">
        <f t="shared" si="9"/>
        <v>0</v>
      </c>
      <c r="Y17" s="17">
        <f t="shared" si="9"/>
        <v>18</v>
      </c>
      <c r="Z17" s="17">
        <f t="shared" si="9"/>
        <v>9</v>
      </c>
      <c r="AA17" s="17">
        <f t="shared" si="9"/>
        <v>8</v>
      </c>
      <c r="AB17" s="17">
        <f t="shared" si="9"/>
        <v>0</v>
      </c>
      <c r="AC17" s="17">
        <f t="shared" si="9"/>
        <v>334</v>
      </c>
      <c r="AD17" s="17">
        <f t="shared" si="9"/>
        <v>1</v>
      </c>
      <c r="AE17" s="31">
        <f t="shared" si="9"/>
        <v>497</v>
      </c>
      <c r="AF17" s="31">
        <f t="shared" si="9"/>
        <v>831</v>
      </c>
    </row>
    <row r="18" spans="2:32" ht="23.1" customHeight="1" x14ac:dyDescent="0.25">
      <c r="B18" s="23" t="s">
        <v>45</v>
      </c>
      <c r="C18" s="50">
        <v>75</v>
      </c>
      <c r="D18" s="50">
        <v>60</v>
      </c>
      <c r="E18" s="50">
        <v>5</v>
      </c>
      <c r="F18" s="50">
        <v>12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174</v>
      </c>
      <c r="N18" s="50">
        <v>0</v>
      </c>
      <c r="O18" s="15">
        <f t="shared" si="0"/>
        <v>154</v>
      </c>
      <c r="P18" s="15">
        <f t="shared" si="1"/>
        <v>328</v>
      </c>
      <c r="R18" s="1" t="s">
        <v>14</v>
      </c>
      <c r="S18" s="17">
        <f t="shared" ref="S18:AF18" si="10">SUM(C42:C45)</f>
        <v>215</v>
      </c>
      <c r="T18" s="17">
        <f t="shared" si="10"/>
        <v>182</v>
      </c>
      <c r="U18" s="17">
        <f t="shared" si="10"/>
        <v>64</v>
      </c>
      <c r="V18" s="17">
        <f t="shared" si="10"/>
        <v>71</v>
      </c>
      <c r="W18" s="17">
        <f t="shared" si="10"/>
        <v>0</v>
      </c>
      <c r="X18" s="17">
        <f t="shared" si="10"/>
        <v>0</v>
      </c>
      <c r="Y18" s="17">
        <f t="shared" si="10"/>
        <v>20</v>
      </c>
      <c r="Z18" s="17">
        <f t="shared" si="10"/>
        <v>8</v>
      </c>
      <c r="AA18" s="17">
        <f t="shared" si="10"/>
        <v>4</v>
      </c>
      <c r="AB18" s="17">
        <f t="shared" si="10"/>
        <v>0</v>
      </c>
      <c r="AC18" s="17">
        <f t="shared" si="10"/>
        <v>392</v>
      </c>
      <c r="AD18" s="17">
        <f t="shared" si="10"/>
        <v>0</v>
      </c>
      <c r="AE18" s="31">
        <f t="shared" si="10"/>
        <v>564</v>
      </c>
      <c r="AF18" s="31">
        <f t="shared" si="10"/>
        <v>956</v>
      </c>
    </row>
    <row r="19" spans="2:32" ht="23.1" customHeight="1" x14ac:dyDescent="0.25">
      <c r="B19" s="23" t="s">
        <v>46</v>
      </c>
      <c r="C19" s="50">
        <v>91</v>
      </c>
      <c r="D19" s="50">
        <v>62</v>
      </c>
      <c r="E19" s="50">
        <v>5</v>
      </c>
      <c r="F19" s="50">
        <v>22</v>
      </c>
      <c r="G19" s="50">
        <v>0</v>
      </c>
      <c r="H19" s="50">
        <v>0</v>
      </c>
      <c r="I19" s="50">
        <v>1</v>
      </c>
      <c r="J19" s="50">
        <v>3</v>
      </c>
      <c r="K19" s="50">
        <v>1</v>
      </c>
      <c r="L19" s="50">
        <v>0</v>
      </c>
      <c r="M19" s="50">
        <v>168</v>
      </c>
      <c r="N19" s="50">
        <v>0</v>
      </c>
      <c r="O19" s="15">
        <f t="shared" si="0"/>
        <v>185</v>
      </c>
      <c r="P19" s="15">
        <f t="shared" si="1"/>
        <v>353</v>
      </c>
      <c r="R19" s="1" t="s">
        <v>15</v>
      </c>
      <c r="S19" s="17">
        <f t="shared" ref="S19:AF19" si="11">SUM(C46:C49)</f>
        <v>210</v>
      </c>
      <c r="T19" s="17">
        <f t="shared" si="11"/>
        <v>125</v>
      </c>
      <c r="U19" s="17">
        <f t="shared" si="11"/>
        <v>23</v>
      </c>
      <c r="V19" s="17">
        <f t="shared" si="11"/>
        <v>47</v>
      </c>
      <c r="W19" s="17">
        <f t="shared" si="11"/>
        <v>2</v>
      </c>
      <c r="X19" s="17">
        <f t="shared" si="11"/>
        <v>0</v>
      </c>
      <c r="Y19" s="17">
        <f t="shared" si="11"/>
        <v>9</v>
      </c>
      <c r="Z19" s="17">
        <f t="shared" si="11"/>
        <v>0</v>
      </c>
      <c r="AA19" s="17">
        <f t="shared" si="11"/>
        <v>6</v>
      </c>
      <c r="AB19" s="17">
        <f t="shared" si="11"/>
        <v>0</v>
      </c>
      <c r="AC19" s="17">
        <f t="shared" si="11"/>
        <v>423</v>
      </c>
      <c r="AD19" s="17">
        <f t="shared" si="11"/>
        <v>0</v>
      </c>
      <c r="AE19" s="31">
        <f t="shared" si="11"/>
        <v>422</v>
      </c>
      <c r="AF19" s="31">
        <f t="shared" si="11"/>
        <v>845</v>
      </c>
    </row>
    <row r="20" spans="2:32" ht="23.1" customHeight="1" x14ac:dyDescent="0.25">
      <c r="B20" s="23" t="s">
        <v>47</v>
      </c>
      <c r="C20" s="50">
        <v>75</v>
      </c>
      <c r="D20" s="50">
        <v>80</v>
      </c>
      <c r="E20" s="50">
        <v>2</v>
      </c>
      <c r="F20" s="50">
        <v>10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175</v>
      </c>
      <c r="N20" s="50">
        <v>0</v>
      </c>
      <c r="O20" s="15">
        <f t="shared" si="0"/>
        <v>168</v>
      </c>
      <c r="P20" s="15">
        <f t="shared" si="1"/>
        <v>343</v>
      </c>
      <c r="R20" s="1" t="s">
        <v>16</v>
      </c>
      <c r="S20" s="17">
        <f t="shared" ref="S20:AF20" si="12">SUM(C50:C53)</f>
        <v>220</v>
      </c>
      <c r="T20" s="17">
        <f t="shared" si="12"/>
        <v>198</v>
      </c>
      <c r="U20" s="17">
        <f t="shared" si="12"/>
        <v>17</v>
      </c>
      <c r="V20" s="17">
        <f t="shared" si="12"/>
        <v>47</v>
      </c>
      <c r="W20" s="17">
        <f t="shared" si="12"/>
        <v>3</v>
      </c>
      <c r="X20" s="17">
        <f t="shared" si="12"/>
        <v>0</v>
      </c>
      <c r="Y20" s="17">
        <f t="shared" si="12"/>
        <v>11</v>
      </c>
      <c r="Z20" s="17">
        <f t="shared" si="12"/>
        <v>5</v>
      </c>
      <c r="AA20" s="17">
        <f t="shared" si="12"/>
        <v>7</v>
      </c>
      <c r="AB20" s="17">
        <f t="shared" si="12"/>
        <v>0</v>
      </c>
      <c r="AC20" s="17">
        <f t="shared" si="12"/>
        <v>436</v>
      </c>
      <c r="AD20" s="17">
        <f t="shared" si="12"/>
        <v>0</v>
      </c>
      <c r="AE20" s="31">
        <f t="shared" si="12"/>
        <v>508</v>
      </c>
      <c r="AF20" s="31">
        <f t="shared" si="12"/>
        <v>944</v>
      </c>
    </row>
    <row r="21" spans="2:32" ht="23.1" customHeight="1" x14ac:dyDescent="0.25">
      <c r="B21" s="23" t="s">
        <v>48</v>
      </c>
      <c r="C21" s="50">
        <v>50</v>
      </c>
      <c r="D21" s="50">
        <v>92</v>
      </c>
      <c r="E21" s="50">
        <v>7</v>
      </c>
      <c r="F21" s="50">
        <v>10</v>
      </c>
      <c r="G21" s="50">
        <v>0</v>
      </c>
      <c r="H21" s="50">
        <v>0</v>
      </c>
      <c r="I21" s="50">
        <v>0</v>
      </c>
      <c r="J21" s="50">
        <v>0</v>
      </c>
      <c r="K21" s="50">
        <v>5</v>
      </c>
      <c r="L21" s="50">
        <v>0</v>
      </c>
      <c r="M21" s="50">
        <v>160</v>
      </c>
      <c r="N21" s="50">
        <v>0</v>
      </c>
      <c r="O21" s="15">
        <f t="shared" si="0"/>
        <v>164</v>
      </c>
      <c r="P21" s="15">
        <f t="shared" si="1"/>
        <v>324</v>
      </c>
      <c r="R21" s="36" t="s">
        <v>20</v>
      </c>
      <c r="S21" s="34">
        <f t="shared" ref="S21:AF21" si="13">SUM(C54:C57)</f>
        <v>130</v>
      </c>
      <c r="T21" s="17">
        <f t="shared" si="13"/>
        <v>110</v>
      </c>
      <c r="U21" s="17">
        <f t="shared" si="13"/>
        <v>26</v>
      </c>
      <c r="V21" s="17">
        <f t="shared" si="13"/>
        <v>85</v>
      </c>
      <c r="W21" s="17">
        <f t="shared" si="13"/>
        <v>2</v>
      </c>
      <c r="X21" s="17">
        <f t="shared" si="13"/>
        <v>0</v>
      </c>
      <c r="Y21" s="17">
        <f t="shared" si="13"/>
        <v>5</v>
      </c>
      <c r="Z21" s="17">
        <f t="shared" si="13"/>
        <v>6</v>
      </c>
      <c r="AA21" s="17">
        <f t="shared" si="13"/>
        <v>0</v>
      </c>
      <c r="AB21" s="17">
        <f t="shared" si="13"/>
        <v>0</v>
      </c>
      <c r="AC21" s="17">
        <f t="shared" si="13"/>
        <v>491</v>
      </c>
      <c r="AD21" s="17">
        <f t="shared" si="13"/>
        <v>0</v>
      </c>
      <c r="AE21" s="31">
        <f t="shared" si="13"/>
        <v>364</v>
      </c>
      <c r="AF21" s="31">
        <f t="shared" si="13"/>
        <v>855</v>
      </c>
    </row>
    <row r="22" spans="2:32" ht="23.1" customHeight="1" x14ac:dyDescent="0.25">
      <c r="B22" s="23" t="s">
        <v>49</v>
      </c>
      <c r="C22" s="50">
        <v>43</v>
      </c>
      <c r="D22" s="50">
        <v>22</v>
      </c>
      <c r="E22" s="50">
        <v>11</v>
      </c>
      <c r="F22" s="50">
        <v>15</v>
      </c>
      <c r="G22" s="50">
        <v>0</v>
      </c>
      <c r="H22" s="50">
        <v>0</v>
      </c>
      <c r="I22" s="50">
        <v>1</v>
      </c>
      <c r="J22" s="50">
        <v>0</v>
      </c>
      <c r="K22" s="50">
        <v>3</v>
      </c>
      <c r="L22" s="50">
        <v>0</v>
      </c>
      <c r="M22" s="50">
        <v>125</v>
      </c>
      <c r="N22" s="50">
        <v>0</v>
      </c>
      <c r="O22" s="15">
        <f t="shared" si="0"/>
        <v>95</v>
      </c>
      <c r="P22" s="15">
        <f t="shared" si="1"/>
        <v>220</v>
      </c>
      <c r="R22" s="38" t="s">
        <v>90</v>
      </c>
      <c r="S22" s="39">
        <f>MAX(S10:S12)</f>
        <v>291</v>
      </c>
      <c r="T22" s="39">
        <f t="shared" ref="T22:AF22" si="14">MAX(T10:T12)</f>
        <v>294</v>
      </c>
      <c r="U22" s="39">
        <f t="shared" si="14"/>
        <v>28</v>
      </c>
      <c r="V22" s="39">
        <f t="shared" si="14"/>
        <v>77</v>
      </c>
      <c r="W22" s="39">
        <f t="shared" si="14"/>
        <v>0</v>
      </c>
      <c r="X22" s="39">
        <f t="shared" si="14"/>
        <v>0</v>
      </c>
      <c r="Y22" s="39">
        <f t="shared" si="14"/>
        <v>9</v>
      </c>
      <c r="Z22" s="39">
        <f t="shared" si="14"/>
        <v>5</v>
      </c>
      <c r="AA22" s="39">
        <f t="shared" si="14"/>
        <v>7</v>
      </c>
      <c r="AB22" s="39">
        <f t="shared" si="14"/>
        <v>1</v>
      </c>
      <c r="AC22" s="39">
        <f t="shared" si="14"/>
        <v>857</v>
      </c>
      <c r="AD22" s="39">
        <f t="shared" si="14"/>
        <v>0</v>
      </c>
      <c r="AE22" s="40">
        <f t="shared" si="14"/>
        <v>671</v>
      </c>
      <c r="AF22" s="40">
        <f t="shared" si="14"/>
        <v>1348</v>
      </c>
    </row>
    <row r="23" spans="2:32" ht="23.1" customHeight="1" x14ac:dyDescent="0.25">
      <c r="B23" s="23" t="s">
        <v>50</v>
      </c>
      <c r="C23" s="50">
        <v>75</v>
      </c>
      <c r="D23" s="50">
        <v>92</v>
      </c>
      <c r="E23" s="50">
        <v>20</v>
      </c>
      <c r="F23" s="50">
        <v>26</v>
      </c>
      <c r="G23" s="50">
        <v>0</v>
      </c>
      <c r="H23" s="50">
        <v>0</v>
      </c>
      <c r="I23" s="50">
        <v>2</v>
      </c>
      <c r="J23" s="50">
        <v>1</v>
      </c>
      <c r="K23" s="50">
        <v>4</v>
      </c>
      <c r="L23" s="50">
        <v>0</v>
      </c>
      <c r="M23" s="50">
        <v>120</v>
      </c>
      <c r="N23" s="50">
        <v>0</v>
      </c>
      <c r="O23" s="15">
        <f t="shared" si="0"/>
        <v>220</v>
      </c>
      <c r="P23" s="15">
        <f t="shared" si="1"/>
        <v>340</v>
      </c>
      <c r="R23" s="38" t="s">
        <v>91</v>
      </c>
      <c r="S23" s="39">
        <f>MAX(S13:S18)</f>
        <v>320</v>
      </c>
      <c r="T23" s="39">
        <f t="shared" ref="T23:AF23" si="15">MAX(T13:T18)</f>
        <v>194</v>
      </c>
      <c r="U23" s="39">
        <f t="shared" si="15"/>
        <v>64</v>
      </c>
      <c r="V23" s="39">
        <f t="shared" si="15"/>
        <v>71</v>
      </c>
      <c r="W23" s="39">
        <f t="shared" si="15"/>
        <v>1</v>
      </c>
      <c r="X23" s="39">
        <f t="shared" si="15"/>
        <v>0</v>
      </c>
      <c r="Y23" s="39">
        <f t="shared" si="15"/>
        <v>20</v>
      </c>
      <c r="Z23" s="39">
        <f t="shared" si="15"/>
        <v>9</v>
      </c>
      <c r="AA23" s="39">
        <f t="shared" si="15"/>
        <v>12</v>
      </c>
      <c r="AB23" s="39">
        <f t="shared" si="15"/>
        <v>3</v>
      </c>
      <c r="AC23" s="39">
        <f t="shared" si="15"/>
        <v>650</v>
      </c>
      <c r="AD23" s="39">
        <f t="shared" si="15"/>
        <v>1</v>
      </c>
      <c r="AE23" s="40">
        <f t="shared" si="15"/>
        <v>624</v>
      </c>
      <c r="AF23" s="40">
        <f t="shared" si="15"/>
        <v>1274</v>
      </c>
    </row>
    <row r="24" spans="2:32" ht="23.1" customHeight="1" x14ac:dyDescent="0.25">
      <c r="B24" s="23" t="s">
        <v>51</v>
      </c>
      <c r="C24" s="50">
        <v>80</v>
      </c>
      <c r="D24" s="50">
        <v>22</v>
      </c>
      <c r="E24" s="50">
        <v>6</v>
      </c>
      <c r="F24" s="50">
        <v>10</v>
      </c>
      <c r="G24" s="50">
        <v>0</v>
      </c>
      <c r="H24" s="50">
        <v>0</v>
      </c>
      <c r="I24" s="50">
        <v>2</v>
      </c>
      <c r="J24" s="50">
        <v>1</v>
      </c>
      <c r="K24" s="50">
        <v>3</v>
      </c>
      <c r="L24" s="50">
        <v>0</v>
      </c>
      <c r="M24" s="50">
        <v>131</v>
      </c>
      <c r="N24" s="50">
        <v>0</v>
      </c>
      <c r="O24" s="15">
        <f t="shared" si="0"/>
        <v>124</v>
      </c>
      <c r="P24" s="15">
        <f t="shared" si="1"/>
        <v>255</v>
      </c>
      <c r="R24" s="38" t="s">
        <v>92</v>
      </c>
      <c r="S24" s="39">
        <f>MAX(S19:S21)</f>
        <v>220</v>
      </c>
      <c r="T24" s="39">
        <f t="shared" ref="T24:AF24" si="16">MAX(T19:T21)</f>
        <v>198</v>
      </c>
      <c r="U24" s="39">
        <f t="shared" si="16"/>
        <v>26</v>
      </c>
      <c r="V24" s="39">
        <f t="shared" si="16"/>
        <v>85</v>
      </c>
      <c r="W24" s="39">
        <f t="shared" si="16"/>
        <v>3</v>
      </c>
      <c r="X24" s="39">
        <f t="shared" si="16"/>
        <v>0</v>
      </c>
      <c r="Y24" s="39">
        <f t="shared" si="16"/>
        <v>11</v>
      </c>
      <c r="Z24" s="39">
        <f t="shared" si="16"/>
        <v>6</v>
      </c>
      <c r="AA24" s="39">
        <f t="shared" si="16"/>
        <v>7</v>
      </c>
      <c r="AB24" s="39">
        <f t="shared" si="16"/>
        <v>0</v>
      </c>
      <c r="AC24" s="39">
        <f t="shared" si="16"/>
        <v>491</v>
      </c>
      <c r="AD24" s="39">
        <f t="shared" si="16"/>
        <v>0</v>
      </c>
      <c r="AE24" s="40">
        <f t="shared" si="16"/>
        <v>508</v>
      </c>
      <c r="AF24" s="40">
        <f t="shared" si="16"/>
        <v>944</v>
      </c>
    </row>
    <row r="25" spans="2:32" ht="23.1" customHeight="1" x14ac:dyDescent="0.25">
      <c r="B25" s="23" t="s">
        <v>52</v>
      </c>
      <c r="C25" s="50">
        <v>30</v>
      </c>
      <c r="D25" s="50">
        <v>20</v>
      </c>
      <c r="E25" s="50">
        <v>1</v>
      </c>
      <c r="F25" s="50">
        <v>1</v>
      </c>
      <c r="G25" s="50">
        <v>0</v>
      </c>
      <c r="H25" s="50">
        <v>0</v>
      </c>
      <c r="I25" s="50">
        <v>5</v>
      </c>
      <c r="J25" s="50">
        <v>1</v>
      </c>
      <c r="K25" s="50">
        <v>1</v>
      </c>
      <c r="L25" s="50">
        <v>0</v>
      </c>
      <c r="M25" s="50">
        <v>97</v>
      </c>
      <c r="N25" s="50">
        <v>0</v>
      </c>
      <c r="O25" s="15">
        <f t="shared" si="0"/>
        <v>59</v>
      </c>
      <c r="P25" s="15">
        <f t="shared" si="1"/>
        <v>156</v>
      </c>
      <c r="R25" s="37" t="s">
        <v>85</v>
      </c>
      <c r="S25" s="35">
        <f t="shared" ref="S25:AF25" si="17">SUM(S10:S12)</f>
        <v>736</v>
      </c>
      <c r="T25" s="16">
        <f t="shared" si="17"/>
        <v>512</v>
      </c>
      <c r="U25" s="16">
        <f t="shared" si="17"/>
        <v>63</v>
      </c>
      <c r="V25" s="16">
        <f t="shared" si="17"/>
        <v>201</v>
      </c>
      <c r="W25" s="16">
        <f t="shared" si="17"/>
        <v>0</v>
      </c>
      <c r="X25" s="16">
        <f t="shared" si="17"/>
        <v>0</v>
      </c>
      <c r="Y25" s="16">
        <f t="shared" si="17"/>
        <v>17</v>
      </c>
      <c r="Z25" s="16">
        <f t="shared" si="17"/>
        <v>8</v>
      </c>
      <c r="AA25" s="16">
        <f t="shared" si="17"/>
        <v>11</v>
      </c>
      <c r="AB25" s="16">
        <f t="shared" si="17"/>
        <v>1</v>
      </c>
      <c r="AC25" s="16">
        <f t="shared" si="17"/>
        <v>2352</v>
      </c>
      <c r="AD25" s="16">
        <f t="shared" si="17"/>
        <v>0</v>
      </c>
      <c r="AE25" s="32">
        <f t="shared" si="17"/>
        <v>1549</v>
      </c>
      <c r="AF25" s="32">
        <f t="shared" si="17"/>
        <v>3901</v>
      </c>
    </row>
    <row r="26" spans="2:32" ht="23.1" customHeight="1" x14ac:dyDescent="0.25">
      <c r="B26" s="23" t="s">
        <v>53</v>
      </c>
      <c r="C26" s="50">
        <v>89</v>
      </c>
      <c r="D26" s="50">
        <v>14</v>
      </c>
      <c r="E26" s="50">
        <v>6</v>
      </c>
      <c r="F26" s="50">
        <v>34</v>
      </c>
      <c r="G26" s="50">
        <v>1</v>
      </c>
      <c r="H26" s="50">
        <v>0</v>
      </c>
      <c r="I26" s="50">
        <v>10</v>
      </c>
      <c r="J26" s="50">
        <v>4</v>
      </c>
      <c r="K26" s="50">
        <v>1</v>
      </c>
      <c r="L26" s="50">
        <v>1</v>
      </c>
      <c r="M26" s="50">
        <v>146</v>
      </c>
      <c r="N26" s="50">
        <v>0</v>
      </c>
      <c r="O26" s="15">
        <f t="shared" si="0"/>
        <v>160</v>
      </c>
      <c r="P26" s="15">
        <f t="shared" si="1"/>
        <v>306</v>
      </c>
      <c r="R26" s="28" t="s">
        <v>86</v>
      </c>
      <c r="S26" s="16">
        <f t="shared" ref="S26:AF26" si="18">SUM(S13:S18)</f>
        <v>1366</v>
      </c>
      <c r="T26" s="16">
        <f t="shared" si="18"/>
        <v>966</v>
      </c>
      <c r="U26" s="16">
        <f t="shared" si="18"/>
        <v>212</v>
      </c>
      <c r="V26" s="16">
        <f t="shared" si="18"/>
        <v>318</v>
      </c>
      <c r="W26" s="16">
        <f t="shared" si="18"/>
        <v>1</v>
      </c>
      <c r="X26" s="16">
        <f t="shared" si="18"/>
        <v>0</v>
      </c>
      <c r="Y26" s="16">
        <f t="shared" si="18"/>
        <v>75</v>
      </c>
      <c r="Z26" s="16">
        <f t="shared" si="18"/>
        <v>42</v>
      </c>
      <c r="AA26" s="16">
        <f t="shared" si="18"/>
        <v>48</v>
      </c>
      <c r="AB26" s="16">
        <f t="shared" si="18"/>
        <v>4</v>
      </c>
      <c r="AC26" s="16">
        <f t="shared" si="18"/>
        <v>2701</v>
      </c>
      <c r="AD26" s="16">
        <f t="shared" si="18"/>
        <v>1</v>
      </c>
      <c r="AE26" s="32">
        <f t="shared" si="18"/>
        <v>3033</v>
      </c>
      <c r="AF26" s="32">
        <f t="shared" si="18"/>
        <v>5734</v>
      </c>
    </row>
    <row r="27" spans="2:32" ht="23.1" customHeight="1" x14ac:dyDescent="0.25">
      <c r="B27" s="23" t="s">
        <v>54</v>
      </c>
      <c r="C27" s="50">
        <v>67</v>
      </c>
      <c r="D27" s="50">
        <v>60</v>
      </c>
      <c r="E27" s="50">
        <v>12</v>
      </c>
      <c r="F27" s="50">
        <v>10</v>
      </c>
      <c r="G27" s="50">
        <v>0</v>
      </c>
      <c r="H27" s="50">
        <v>0</v>
      </c>
      <c r="I27" s="50">
        <v>3</v>
      </c>
      <c r="J27" s="50">
        <v>2</v>
      </c>
      <c r="K27" s="50">
        <v>1</v>
      </c>
      <c r="L27" s="50">
        <v>0</v>
      </c>
      <c r="M27" s="50">
        <v>138</v>
      </c>
      <c r="N27" s="50">
        <v>0</v>
      </c>
      <c r="O27" s="15">
        <f t="shared" si="0"/>
        <v>155</v>
      </c>
      <c r="P27" s="15">
        <f t="shared" si="1"/>
        <v>293</v>
      </c>
      <c r="R27" s="29" t="s">
        <v>87</v>
      </c>
      <c r="S27" s="16">
        <f t="shared" ref="S27:AF27" si="19">SUM(S19:S21)</f>
        <v>560</v>
      </c>
      <c r="T27" s="16">
        <f t="shared" si="19"/>
        <v>433</v>
      </c>
      <c r="U27" s="16">
        <f t="shared" si="19"/>
        <v>66</v>
      </c>
      <c r="V27" s="16">
        <f t="shared" si="19"/>
        <v>179</v>
      </c>
      <c r="W27" s="16">
        <f t="shared" si="19"/>
        <v>7</v>
      </c>
      <c r="X27" s="16">
        <f t="shared" si="19"/>
        <v>0</v>
      </c>
      <c r="Y27" s="16">
        <f t="shared" si="19"/>
        <v>25</v>
      </c>
      <c r="Z27" s="16">
        <f t="shared" si="19"/>
        <v>11</v>
      </c>
      <c r="AA27" s="16">
        <f t="shared" si="19"/>
        <v>13</v>
      </c>
      <c r="AB27" s="16">
        <f t="shared" si="19"/>
        <v>0</v>
      </c>
      <c r="AC27" s="16">
        <f t="shared" si="19"/>
        <v>1350</v>
      </c>
      <c r="AD27" s="16">
        <f t="shared" si="19"/>
        <v>0</v>
      </c>
      <c r="AE27" s="32">
        <f t="shared" si="19"/>
        <v>1294</v>
      </c>
      <c r="AF27" s="32">
        <f t="shared" si="19"/>
        <v>2644</v>
      </c>
    </row>
    <row r="28" spans="2:32" ht="23.1" customHeight="1" x14ac:dyDescent="0.25">
      <c r="B28" s="23" t="s">
        <v>55</v>
      </c>
      <c r="C28" s="50">
        <v>80</v>
      </c>
      <c r="D28" s="50">
        <v>35</v>
      </c>
      <c r="E28" s="50">
        <v>3</v>
      </c>
      <c r="F28" s="50">
        <v>15</v>
      </c>
      <c r="G28" s="50">
        <v>0</v>
      </c>
      <c r="H28" s="50">
        <v>0</v>
      </c>
      <c r="I28" s="50">
        <v>0</v>
      </c>
      <c r="J28" s="50">
        <v>1</v>
      </c>
      <c r="K28" s="50">
        <v>1</v>
      </c>
      <c r="L28" s="50">
        <v>0</v>
      </c>
      <c r="M28" s="50">
        <v>184</v>
      </c>
      <c r="N28" s="50">
        <v>0</v>
      </c>
      <c r="O28" s="15">
        <f t="shared" si="0"/>
        <v>135</v>
      </c>
      <c r="P28" s="15">
        <f t="shared" si="1"/>
        <v>319</v>
      </c>
      <c r="R28" s="5" t="s">
        <v>17</v>
      </c>
      <c r="S28" s="16">
        <f t="shared" ref="S28:AF28" si="20">SUM(S10:S21)</f>
        <v>2662</v>
      </c>
      <c r="T28" s="16">
        <f t="shared" si="20"/>
        <v>1911</v>
      </c>
      <c r="U28" s="16">
        <f t="shared" si="20"/>
        <v>341</v>
      </c>
      <c r="V28" s="16">
        <f t="shared" si="20"/>
        <v>698</v>
      </c>
      <c r="W28" s="16">
        <f t="shared" si="20"/>
        <v>8</v>
      </c>
      <c r="X28" s="16">
        <f t="shared" si="20"/>
        <v>0</v>
      </c>
      <c r="Y28" s="16">
        <f t="shared" si="20"/>
        <v>117</v>
      </c>
      <c r="Z28" s="16">
        <f t="shared" si="20"/>
        <v>61</v>
      </c>
      <c r="AA28" s="16">
        <f t="shared" si="20"/>
        <v>72</v>
      </c>
      <c r="AB28" s="16">
        <f t="shared" si="20"/>
        <v>5</v>
      </c>
      <c r="AC28" s="16">
        <f t="shared" si="20"/>
        <v>6403</v>
      </c>
      <c r="AD28" s="16">
        <f t="shared" si="20"/>
        <v>1</v>
      </c>
      <c r="AE28" s="32">
        <f t="shared" si="20"/>
        <v>5876</v>
      </c>
      <c r="AF28" s="32">
        <f t="shared" si="20"/>
        <v>12279</v>
      </c>
    </row>
    <row r="29" spans="2:32" ht="23.1" customHeight="1" x14ac:dyDescent="0.25">
      <c r="B29" s="23" t="s">
        <v>56</v>
      </c>
      <c r="C29" s="50">
        <v>84</v>
      </c>
      <c r="D29" s="50">
        <v>85</v>
      </c>
      <c r="E29" s="50">
        <v>1</v>
      </c>
      <c r="F29" s="50">
        <v>1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182</v>
      </c>
      <c r="N29" s="50">
        <v>0</v>
      </c>
      <c r="O29" s="15">
        <f t="shared" si="0"/>
        <v>174</v>
      </c>
      <c r="P29" s="15">
        <f t="shared" si="1"/>
        <v>356</v>
      </c>
      <c r="R29"/>
      <c r="S29" s="20"/>
      <c r="T29" s="19"/>
    </row>
    <row r="30" spans="2:32" ht="23.1" customHeight="1" x14ac:dyDescent="0.25">
      <c r="B30" s="23" t="s">
        <v>57</v>
      </c>
      <c r="C30" s="50">
        <v>70</v>
      </c>
      <c r="D30" s="50">
        <v>45</v>
      </c>
      <c r="E30" s="50">
        <v>7</v>
      </c>
      <c r="F30" s="50">
        <v>12</v>
      </c>
      <c r="G30" s="50">
        <v>0</v>
      </c>
      <c r="H30" s="50">
        <v>0</v>
      </c>
      <c r="I30" s="50">
        <v>1</v>
      </c>
      <c r="J30" s="50">
        <v>1</v>
      </c>
      <c r="K30" s="50">
        <v>4</v>
      </c>
      <c r="L30" s="50">
        <v>0</v>
      </c>
      <c r="M30" s="50">
        <v>150</v>
      </c>
      <c r="N30" s="50">
        <v>0</v>
      </c>
      <c r="O30" s="15">
        <f t="shared" si="0"/>
        <v>140</v>
      </c>
      <c r="P30" s="15">
        <f t="shared" si="1"/>
        <v>290</v>
      </c>
    </row>
    <row r="31" spans="2:32" ht="23.1" customHeight="1" x14ac:dyDescent="0.25">
      <c r="B31" s="24" t="s">
        <v>58</v>
      </c>
      <c r="C31" s="50">
        <v>65</v>
      </c>
      <c r="D31" s="50">
        <v>60</v>
      </c>
      <c r="E31" s="50">
        <v>6</v>
      </c>
      <c r="F31" s="50">
        <v>22</v>
      </c>
      <c r="G31" s="50">
        <v>0</v>
      </c>
      <c r="H31" s="50">
        <v>0</v>
      </c>
      <c r="I31" s="50">
        <v>4</v>
      </c>
      <c r="J31" s="50">
        <v>2</v>
      </c>
      <c r="K31" s="50">
        <v>4</v>
      </c>
      <c r="L31" s="50">
        <v>0</v>
      </c>
      <c r="M31" s="50">
        <v>171</v>
      </c>
      <c r="N31" s="50">
        <v>0</v>
      </c>
      <c r="O31" s="15">
        <f t="shared" si="0"/>
        <v>163</v>
      </c>
      <c r="P31" s="15">
        <f t="shared" si="1"/>
        <v>334</v>
      </c>
    </row>
    <row r="32" spans="2:32" ht="23.1" customHeight="1" x14ac:dyDescent="0.25">
      <c r="B32" s="24" t="s">
        <v>59</v>
      </c>
      <c r="C32" s="50">
        <v>65</v>
      </c>
      <c r="D32" s="50">
        <v>40</v>
      </c>
      <c r="E32" s="50">
        <v>4</v>
      </c>
      <c r="F32" s="50">
        <v>12</v>
      </c>
      <c r="G32" s="50">
        <v>0</v>
      </c>
      <c r="H32" s="50">
        <v>0</v>
      </c>
      <c r="I32" s="50">
        <v>1</v>
      </c>
      <c r="J32" s="50">
        <v>0</v>
      </c>
      <c r="K32" s="50">
        <v>2</v>
      </c>
      <c r="L32" s="50">
        <v>0</v>
      </c>
      <c r="M32" s="50">
        <v>99</v>
      </c>
      <c r="N32" s="50">
        <v>0</v>
      </c>
      <c r="O32" s="15">
        <f t="shared" si="0"/>
        <v>124</v>
      </c>
      <c r="P32" s="15">
        <f t="shared" si="1"/>
        <v>223</v>
      </c>
    </row>
    <row r="33" spans="2:20" ht="23.1" customHeight="1" x14ac:dyDescent="0.25">
      <c r="B33" s="23" t="s">
        <v>60</v>
      </c>
      <c r="C33" s="50">
        <v>60</v>
      </c>
      <c r="D33" s="50">
        <v>40</v>
      </c>
      <c r="E33" s="50">
        <v>15</v>
      </c>
      <c r="F33" s="50">
        <v>10</v>
      </c>
      <c r="G33" s="50">
        <v>0</v>
      </c>
      <c r="H33" s="50">
        <v>0</v>
      </c>
      <c r="I33" s="50">
        <v>1</v>
      </c>
      <c r="J33" s="50">
        <v>3</v>
      </c>
      <c r="K33" s="50">
        <v>2</v>
      </c>
      <c r="L33" s="50">
        <v>0</v>
      </c>
      <c r="M33" s="50">
        <v>85</v>
      </c>
      <c r="N33" s="50">
        <v>0</v>
      </c>
      <c r="O33" s="15">
        <f t="shared" si="0"/>
        <v>131</v>
      </c>
      <c r="P33" s="15">
        <f t="shared" si="1"/>
        <v>216</v>
      </c>
    </row>
    <row r="34" spans="2:20" ht="23.1" customHeight="1" x14ac:dyDescent="0.25">
      <c r="B34" s="24" t="s">
        <v>61</v>
      </c>
      <c r="C34" s="50">
        <v>28</v>
      </c>
      <c r="D34" s="50">
        <v>33</v>
      </c>
      <c r="E34" s="50">
        <v>6</v>
      </c>
      <c r="F34" s="50">
        <v>6</v>
      </c>
      <c r="G34" s="50">
        <v>0</v>
      </c>
      <c r="H34" s="50">
        <v>0</v>
      </c>
      <c r="I34" s="50">
        <v>1</v>
      </c>
      <c r="J34" s="50">
        <v>0</v>
      </c>
      <c r="K34" s="50">
        <v>4</v>
      </c>
      <c r="L34" s="50">
        <v>0</v>
      </c>
      <c r="M34" s="50">
        <v>97</v>
      </c>
      <c r="N34" s="50">
        <v>0</v>
      </c>
      <c r="O34" s="15">
        <f t="shared" si="0"/>
        <v>78</v>
      </c>
      <c r="P34" s="15">
        <f t="shared" si="1"/>
        <v>175</v>
      </c>
    </row>
    <row r="35" spans="2:20" ht="23.1" customHeight="1" x14ac:dyDescent="0.25">
      <c r="B35" s="24" t="s">
        <v>62</v>
      </c>
      <c r="C35" s="50">
        <v>14</v>
      </c>
      <c r="D35" s="50">
        <v>13</v>
      </c>
      <c r="E35" s="50">
        <v>3</v>
      </c>
      <c r="F35" s="50">
        <v>4</v>
      </c>
      <c r="G35" s="50">
        <v>0</v>
      </c>
      <c r="H35" s="50">
        <v>0</v>
      </c>
      <c r="I35" s="50">
        <v>2</v>
      </c>
      <c r="J35" s="50">
        <v>3</v>
      </c>
      <c r="K35" s="50">
        <v>1</v>
      </c>
      <c r="L35" s="50">
        <v>2</v>
      </c>
      <c r="M35" s="50">
        <v>82</v>
      </c>
      <c r="N35" s="50">
        <v>0</v>
      </c>
      <c r="O35" s="15">
        <f t="shared" si="0"/>
        <v>42</v>
      </c>
      <c r="P35" s="15">
        <f t="shared" si="1"/>
        <v>124</v>
      </c>
    </row>
    <row r="36" spans="2:20" ht="23.1" customHeight="1" x14ac:dyDescent="0.25">
      <c r="B36" s="24" t="s">
        <v>63</v>
      </c>
      <c r="C36" s="50">
        <v>40</v>
      </c>
      <c r="D36" s="50">
        <v>20</v>
      </c>
      <c r="E36" s="50">
        <v>6</v>
      </c>
      <c r="F36" s="50">
        <v>7</v>
      </c>
      <c r="G36" s="50">
        <v>0</v>
      </c>
      <c r="H36" s="50">
        <v>0</v>
      </c>
      <c r="I36" s="50">
        <v>0</v>
      </c>
      <c r="J36" s="50">
        <v>4</v>
      </c>
      <c r="K36" s="50">
        <v>3</v>
      </c>
      <c r="L36" s="50">
        <v>1</v>
      </c>
      <c r="M36" s="50">
        <v>93</v>
      </c>
      <c r="N36" s="50">
        <v>0</v>
      </c>
      <c r="O36" s="15">
        <f t="shared" si="0"/>
        <v>81</v>
      </c>
      <c r="P36" s="15">
        <f t="shared" si="1"/>
        <v>174</v>
      </c>
    </row>
    <row r="37" spans="2:20" ht="23.1" customHeight="1" x14ac:dyDescent="0.25">
      <c r="B37" s="23" t="s">
        <v>64</v>
      </c>
      <c r="C37" s="50">
        <v>52</v>
      </c>
      <c r="D37" s="50">
        <v>13</v>
      </c>
      <c r="E37" s="50">
        <v>3</v>
      </c>
      <c r="F37" s="50">
        <v>18</v>
      </c>
      <c r="G37" s="50">
        <v>0</v>
      </c>
      <c r="H37" s="50">
        <v>0</v>
      </c>
      <c r="I37" s="50">
        <v>2</v>
      </c>
      <c r="J37" s="50">
        <v>1</v>
      </c>
      <c r="K37" s="50">
        <v>2</v>
      </c>
      <c r="L37" s="50">
        <v>0</v>
      </c>
      <c r="M37" s="50">
        <v>75</v>
      </c>
      <c r="N37" s="50">
        <v>0</v>
      </c>
      <c r="O37" s="15">
        <f t="shared" si="0"/>
        <v>91</v>
      </c>
      <c r="P37" s="15">
        <f t="shared" si="1"/>
        <v>166</v>
      </c>
    </row>
    <row r="38" spans="2:20" ht="23.1" customHeight="1" x14ac:dyDescent="0.25">
      <c r="B38" s="24" t="s">
        <v>65</v>
      </c>
      <c r="C38" s="50">
        <v>45</v>
      </c>
      <c r="D38" s="50">
        <v>35</v>
      </c>
      <c r="E38" s="50">
        <v>11</v>
      </c>
      <c r="F38" s="50">
        <v>10</v>
      </c>
      <c r="G38" s="50">
        <v>0</v>
      </c>
      <c r="H38" s="50">
        <v>0</v>
      </c>
      <c r="I38" s="50">
        <v>2</v>
      </c>
      <c r="J38" s="50">
        <v>4</v>
      </c>
      <c r="K38" s="50">
        <v>1</v>
      </c>
      <c r="L38" s="50">
        <v>0</v>
      </c>
      <c r="M38" s="50">
        <v>70</v>
      </c>
      <c r="N38" s="50">
        <v>0</v>
      </c>
      <c r="O38" s="15">
        <f t="shared" si="0"/>
        <v>108</v>
      </c>
      <c r="P38" s="15">
        <f t="shared" si="1"/>
        <v>178</v>
      </c>
    </row>
    <row r="39" spans="2:20" ht="23.1" customHeight="1" x14ac:dyDescent="0.25">
      <c r="B39" s="24" t="s">
        <v>66</v>
      </c>
      <c r="C39" s="50">
        <v>60</v>
      </c>
      <c r="D39" s="50">
        <v>30</v>
      </c>
      <c r="E39" s="50">
        <v>8</v>
      </c>
      <c r="F39" s="50">
        <v>5</v>
      </c>
      <c r="G39" s="50">
        <v>0</v>
      </c>
      <c r="H39" s="50">
        <v>0</v>
      </c>
      <c r="I39" s="50">
        <v>6</v>
      </c>
      <c r="J39" s="50">
        <v>0</v>
      </c>
      <c r="K39" s="50">
        <v>0</v>
      </c>
      <c r="L39" s="50">
        <v>0</v>
      </c>
      <c r="M39" s="50">
        <v>72</v>
      </c>
      <c r="N39" s="50">
        <v>0</v>
      </c>
      <c r="O39" s="15">
        <f t="shared" si="0"/>
        <v>109</v>
      </c>
      <c r="P39" s="15">
        <f t="shared" si="1"/>
        <v>181</v>
      </c>
    </row>
    <row r="40" spans="2:20" ht="23.1" customHeight="1" x14ac:dyDescent="0.25">
      <c r="B40" s="24" t="s">
        <v>67</v>
      </c>
      <c r="C40" s="50">
        <v>64</v>
      </c>
      <c r="D40" s="50">
        <v>60</v>
      </c>
      <c r="E40" s="50">
        <v>8</v>
      </c>
      <c r="F40" s="50">
        <v>19</v>
      </c>
      <c r="G40" s="50">
        <v>0</v>
      </c>
      <c r="H40" s="50">
        <v>0</v>
      </c>
      <c r="I40" s="50">
        <v>5</v>
      </c>
      <c r="J40" s="50">
        <v>3</v>
      </c>
      <c r="K40" s="50">
        <v>4</v>
      </c>
      <c r="L40" s="50">
        <v>0</v>
      </c>
      <c r="M40" s="50">
        <v>128</v>
      </c>
      <c r="N40" s="50">
        <v>0</v>
      </c>
      <c r="O40" s="15">
        <f t="shared" si="0"/>
        <v>163</v>
      </c>
      <c r="P40" s="15">
        <f t="shared" si="1"/>
        <v>291</v>
      </c>
    </row>
    <row r="41" spans="2:20" ht="23.1" customHeight="1" x14ac:dyDescent="0.25">
      <c r="B41" s="23" t="s">
        <v>68</v>
      </c>
      <c r="C41" s="50">
        <v>40</v>
      </c>
      <c r="D41" s="50">
        <v>45</v>
      </c>
      <c r="E41" s="50">
        <v>11</v>
      </c>
      <c r="F41" s="50">
        <v>10</v>
      </c>
      <c r="G41" s="50">
        <v>0</v>
      </c>
      <c r="H41" s="50">
        <v>0</v>
      </c>
      <c r="I41" s="50">
        <v>5</v>
      </c>
      <c r="J41" s="50">
        <v>2</v>
      </c>
      <c r="K41" s="50">
        <v>3</v>
      </c>
      <c r="L41" s="50">
        <v>0</v>
      </c>
      <c r="M41" s="50">
        <v>64</v>
      </c>
      <c r="N41" s="50">
        <v>1</v>
      </c>
      <c r="O41" s="15">
        <f t="shared" si="0"/>
        <v>117</v>
      </c>
      <c r="P41" s="15">
        <f t="shared" si="1"/>
        <v>181</v>
      </c>
    </row>
    <row r="42" spans="2:20" ht="23.1" customHeight="1" x14ac:dyDescent="0.25">
      <c r="B42" s="24" t="s">
        <v>69</v>
      </c>
      <c r="C42" s="50">
        <v>45</v>
      </c>
      <c r="D42" s="50">
        <v>20</v>
      </c>
      <c r="E42" s="50">
        <v>15</v>
      </c>
      <c r="F42" s="50">
        <v>16</v>
      </c>
      <c r="G42" s="50">
        <v>0</v>
      </c>
      <c r="H42" s="50">
        <v>0</v>
      </c>
      <c r="I42" s="50">
        <v>3</v>
      </c>
      <c r="J42" s="50">
        <v>3</v>
      </c>
      <c r="K42" s="50">
        <v>1</v>
      </c>
      <c r="L42" s="50">
        <v>0</v>
      </c>
      <c r="M42" s="50">
        <v>84</v>
      </c>
      <c r="N42" s="50">
        <v>0</v>
      </c>
      <c r="O42" s="15">
        <f t="shared" si="0"/>
        <v>103</v>
      </c>
      <c r="P42" s="15">
        <f t="shared" si="1"/>
        <v>187</v>
      </c>
    </row>
    <row r="43" spans="2:20" ht="23.1" customHeight="1" x14ac:dyDescent="0.25">
      <c r="B43" s="23" t="s">
        <v>70</v>
      </c>
      <c r="C43" s="50">
        <v>60</v>
      </c>
      <c r="D43" s="50">
        <v>47</v>
      </c>
      <c r="E43" s="50">
        <v>5</v>
      </c>
      <c r="F43" s="50">
        <v>15</v>
      </c>
      <c r="G43" s="50">
        <v>0</v>
      </c>
      <c r="H43" s="50">
        <v>0</v>
      </c>
      <c r="I43" s="50">
        <v>5</v>
      </c>
      <c r="J43" s="50">
        <v>1</v>
      </c>
      <c r="K43" s="50">
        <v>0</v>
      </c>
      <c r="L43" s="50">
        <v>0</v>
      </c>
      <c r="M43" s="50">
        <v>103</v>
      </c>
      <c r="N43" s="50">
        <v>0</v>
      </c>
      <c r="O43" s="15">
        <f t="shared" si="0"/>
        <v>133</v>
      </c>
      <c r="P43" s="15">
        <f t="shared" si="1"/>
        <v>236</v>
      </c>
    </row>
    <row r="44" spans="2:20" ht="23.1" customHeight="1" x14ac:dyDescent="0.25">
      <c r="B44" s="25" t="s">
        <v>71</v>
      </c>
      <c r="C44" s="50">
        <v>50</v>
      </c>
      <c r="D44" s="50">
        <v>50</v>
      </c>
      <c r="E44" s="50">
        <v>19</v>
      </c>
      <c r="F44" s="50">
        <v>30</v>
      </c>
      <c r="G44" s="50">
        <v>0</v>
      </c>
      <c r="H44" s="50">
        <v>0</v>
      </c>
      <c r="I44" s="50">
        <v>2</v>
      </c>
      <c r="J44" s="50">
        <v>2</v>
      </c>
      <c r="K44" s="50">
        <v>2</v>
      </c>
      <c r="L44" s="50">
        <v>0</v>
      </c>
      <c r="M44" s="50">
        <v>109</v>
      </c>
      <c r="N44" s="50">
        <v>0</v>
      </c>
      <c r="O44" s="15">
        <f t="shared" si="0"/>
        <v>155</v>
      </c>
      <c r="P44" s="15">
        <f t="shared" si="1"/>
        <v>264</v>
      </c>
    </row>
    <row r="45" spans="2:20" ht="23.1" customHeight="1" x14ac:dyDescent="0.25">
      <c r="B45" s="23" t="s">
        <v>72</v>
      </c>
      <c r="C45" s="50">
        <v>60</v>
      </c>
      <c r="D45" s="50">
        <v>65</v>
      </c>
      <c r="E45" s="50">
        <v>25</v>
      </c>
      <c r="F45" s="50">
        <v>10</v>
      </c>
      <c r="G45" s="50">
        <v>0</v>
      </c>
      <c r="H45" s="50">
        <v>0</v>
      </c>
      <c r="I45" s="50">
        <v>10</v>
      </c>
      <c r="J45" s="50">
        <v>2</v>
      </c>
      <c r="K45" s="50">
        <v>1</v>
      </c>
      <c r="L45" s="50">
        <v>0</v>
      </c>
      <c r="M45" s="50">
        <v>96</v>
      </c>
      <c r="N45" s="50">
        <v>0</v>
      </c>
      <c r="O45" s="15">
        <f t="shared" si="0"/>
        <v>173</v>
      </c>
      <c r="P45" s="15">
        <f t="shared" si="1"/>
        <v>269</v>
      </c>
    </row>
    <row r="46" spans="2:20" ht="23.1" customHeight="1" x14ac:dyDescent="0.25">
      <c r="B46" s="24" t="s">
        <v>73</v>
      </c>
      <c r="C46" s="50">
        <v>35</v>
      </c>
      <c r="D46" s="50">
        <v>45</v>
      </c>
      <c r="E46" s="50">
        <v>8</v>
      </c>
      <c r="F46" s="50">
        <v>11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108</v>
      </c>
      <c r="N46" s="50">
        <v>0</v>
      </c>
      <c r="O46" s="15">
        <f t="shared" si="0"/>
        <v>99</v>
      </c>
      <c r="P46" s="15">
        <f t="shared" si="1"/>
        <v>207</v>
      </c>
      <c r="R46" s="8"/>
      <c r="T46"/>
    </row>
    <row r="47" spans="2:20" ht="23.1" customHeight="1" x14ac:dyDescent="0.25">
      <c r="B47" s="24" t="s">
        <v>74</v>
      </c>
      <c r="C47" s="50">
        <v>65</v>
      </c>
      <c r="D47" s="50">
        <v>45</v>
      </c>
      <c r="E47" s="50">
        <v>6</v>
      </c>
      <c r="F47" s="50">
        <v>3</v>
      </c>
      <c r="G47" s="50">
        <v>1</v>
      </c>
      <c r="H47" s="50">
        <v>0</v>
      </c>
      <c r="I47" s="50">
        <v>3</v>
      </c>
      <c r="J47" s="50">
        <v>0</v>
      </c>
      <c r="K47" s="50">
        <v>1</v>
      </c>
      <c r="L47" s="50">
        <v>0</v>
      </c>
      <c r="M47" s="50">
        <v>85</v>
      </c>
      <c r="N47" s="50">
        <v>0</v>
      </c>
      <c r="O47" s="15">
        <f t="shared" si="0"/>
        <v>124</v>
      </c>
      <c r="P47" s="15">
        <f t="shared" si="1"/>
        <v>209</v>
      </c>
      <c r="R47" s="8"/>
      <c r="T47"/>
    </row>
    <row r="48" spans="2:20" ht="23.1" customHeight="1" x14ac:dyDescent="0.25">
      <c r="B48" s="24" t="s">
        <v>75</v>
      </c>
      <c r="C48" s="50">
        <v>50</v>
      </c>
      <c r="D48" s="50">
        <v>15</v>
      </c>
      <c r="E48" s="50">
        <v>5</v>
      </c>
      <c r="F48" s="50">
        <v>3</v>
      </c>
      <c r="G48" s="50">
        <v>1</v>
      </c>
      <c r="H48" s="50">
        <v>0</v>
      </c>
      <c r="I48" s="50">
        <v>3</v>
      </c>
      <c r="J48" s="50">
        <v>0</v>
      </c>
      <c r="K48" s="50">
        <v>1</v>
      </c>
      <c r="L48" s="50">
        <v>0</v>
      </c>
      <c r="M48" s="50">
        <v>94</v>
      </c>
      <c r="N48" s="50">
        <v>0</v>
      </c>
      <c r="O48" s="15">
        <f t="shared" si="0"/>
        <v>78</v>
      </c>
      <c r="P48" s="15">
        <f t="shared" si="1"/>
        <v>172</v>
      </c>
      <c r="R48" s="8"/>
      <c r="T48"/>
    </row>
    <row r="49" spans="2:20" ht="23.1" customHeight="1" x14ac:dyDescent="0.25">
      <c r="B49" s="23" t="s">
        <v>76</v>
      </c>
      <c r="C49" s="50">
        <v>60</v>
      </c>
      <c r="D49" s="50">
        <v>20</v>
      </c>
      <c r="E49" s="50">
        <v>4</v>
      </c>
      <c r="F49" s="50">
        <v>30</v>
      </c>
      <c r="G49" s="50">
        <v>0</v>
      </c>
      <c r="H49" s="50">
        <v>0</v>
      </c>
      <c r="I49" s="50">
        <v>3</v>
      </c>
      <c r="J49" s="50">
        <v>0</v>
      </c>
      <c r="K49" s="50">
        <v>4</v>
      </c>
      <c r="L49" s="50">
        <v>0</v>
      </c>
      <c r="M49" s="50">
        <v>136</v>
      </c>
      <c r="N49" s="50">
        <v>0</v>
      </c>
      <c r="O49" s="15">
        <f t="shared" si="0"/>
        <v>121</v>
      </c>
      <c r="P49" s="15">
        <f t="shared" si="1"/>
        <v>257</v>
      </c>
      <c r="R49" s="8"/>
      <c r="T49"/>
    </row>
    <row r="50" spans="2:20" ht="23.1" customHeight="1" x14ac:dyDescent="0.25">
      <c r="B50" s="24" t="s">
        <v>77</v>
      </c>
      <c r="C50" s="50">
        <v>60</v>
      </c>
      <c r="D50" s="50">
        <v>81</v>
      </c>
      <c r="E50" s="50">
        <v>3</v>
      </c>
      <c r="F50" s="50">
        <v>15</v>
      </c>
      <c r="G50" s="50">
        <v>1</v>
      </c>
      <c r="H50" s="50">
        <v>0</v>
      </c>
      <c r="I50" s="50">
        <v>1</v>
      </c>
      <c r="J50" s="50">
        <v>0</v>
      </c>
      <c r="K50" s="50">
        <v>3</v>
      </c>
      <c r="L50" s="50">
        <v>0</v>
      </c>
      <c r="M50" s="50">
        <v>102</v>
      </c>
      <c r="N50" s="50">
        <v>0</v>
      </c>
      <c r="O50" s="15">
        <f t="shared" si="0"/>
        <v>164</v>
      </c>
      <c r="P50" s="15">
        <f t="shared" si="1"/>
        <v>266</v>
      </c>
      <c r="R50" s="8"/>
      <c r="T50"/>
    </row>
    <row r="51" spans="2:20" ht="23.1" customHeight="1" x14ac:dyDescent="0.25">
      <c r="B51" s="24" t="s">
        <v>78</v>
      </c>
      <c r="C51" s="50">
        <v>50</v>
      </c>
      <c r="D51" s="50">
        <v>32</v>
      </c>
      <c r="E51" s="50">
        <v>5</v>
      </c>
      <c r="F51" s="50">
        <v>14</v>
      </c>
      <c r="G51" s="50">
        <v>0</v>
      </c>
      <c r="H51" s="50">
        <v>0</v>
      </c>
      <c r="I51" s="50">
        <v>4</v>
      </c>
      <c r="J51" s="50">
        <v>1</v>
      </c>
      <c r="K51" s="50">
        <v>1</v>
      </c>
      <c r="L51" s="50">
        <v>0</v>
      </c>
      <c r="M51" s="50">
        <v>90</v>
      </c>
      <c r="N51" s="50">
        <v>0</v>
      </c>
      <c r="O51" s="15">
        <f t="shared" si="0"/>
        <v>107</v>
      </c>
      <c r="P51" s="15">
        <f t="shared" si="1"/>
        <v>197</v>
      </c>
      <c r="R51" s="8"/>
      <c r="T51"/>
    </row>
    <row r="52" spans="2:20" ht="23.1" customHeight="1" x14ac:dyDescent="0.25">
      <c r="B52" s="24" t="s">
        <v>79</v>
      </c>
      <c r="C52" s="50">
        <v>75</v>
      </c>
      <c r="D52" s="50">
        <v>55</v>
      </c>
      <c r="E52" s="50">
        <v>7</v>
      </c>
      <c r="F52" s="50">
        <v>10</v>
      </c>
      <c r="G52" s="50">
        <v>1</v>
      </c>
      <c r="H52" s="50">
        <v>0</v>
      </c>
      <c r="I52" s="50">
        <v>6</v>
      </c>
      <c r="J52" s="50">
        <v>3</v>
      </c>
      <c r="K52" s="50">
        <v>3</v>
      </c>
      <c r="L52" s="50">
        <v>0</v>
      </c>
      <c r="M52" s="50">
        <v>120</v>
      </c>
      <c r="N52" s="50">
        <v>0</v>
      </c>
      <c r="O52" s="15">
        <f t="shared" si="0"/>
        <v>160</v>
      </c>
      <c r="P52" s="15">
        <f t="shared" si="1"/>
        <v>280</v>
      </c>
      <c r="R52" s="8"/>
      <c r="T52"/>
    </row>
    <row r="53" spans="2:20" ht="23.1" customHeight="1" x14ac:dyDescent="0.25">
      <c r="B53" s="23" t="s">
        <v>80</v>
      </c>
      <c r="C53" s="50">
        <v>35</v>
      </c>
      <c r="D53" s="50">
        <v>30</v>
      </c>
      <c r="E53" s="50">
        <v>2</v>
      </c>
      <c r="F53" s="50">
        <v>8</v>
      </c>
      <c r="G53" s="50">
        <v>1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124</v>
      </c>
      <c r="N53" s="50">
        <v>0</v>
      </c>
      <c r="O53" s="15">
        <f t="shared" si="0"/>
        <v>77</v>
      </c>
      <c r="P53" s="15">
        <f t="shared" si="1"/>
        <v>201</v>
      </c>
      <c r="R53" s="8"/>
      <c r="T53"/>
    </row>
    <row r="54" spans="2:20" ht="23.1" customHeight="1" x14ac:dyDescent="0.25">
      <c r="B54" s="23" t="s">
        <v>81</v>
      </c>
      <c r="C54" s="50">
        <v>40</v>
      </c>
      <c r="D54" s="50">
        <v>13</v>
      </c>
      <c r="E54" s="50">
        <v>9</v>
      </c>
      <c r="F54" s="50">
        <v>12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114</v>
      </c>
      <c r="N54" s="50">
        <v>0</v>
      </c>
      <c r="O54" s="15">
        <f t="shared" si="0"/>
        <v>78</v>
      </c>
      <c r="P54" s="15">
        <f t="shared" si="1"/>
        <v>192</v>
      </c>
      <c r="R54" s="8"/>
      <c r="T54"/>
    </row>
    <row r="55" spans="2:20" ht="23.1" customHeight="1" x14ac:dyDescent="0.25">
      <c r="B55" s="23" t="s">
        <v>82</v>
      </c>
      <c r="C55" s="50">
        <v>20</v>
      </c>
      <c r="D55" s="50">
        <v>27</v>
      </c>
      <c r="E55" s="50">
        <v>7</v>
      </c>
      <c r="F55" s="50">
        <v>8</v>
      </c>
      <c r="G55" s="50">
        <v>1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111</v>
      </c>
      <c r="N55" s="50">
        <v>0</v>
      </c>
      <c r="O55" s="15">
        <f t="shared" si="0"/>
        <v>66</v>
      </c>
      <c r="P55" s="15">
        <f t="shared" si="1"/>
        <v>177</v>
      </c>
      <c r="R55" s="8"/>
      <c r="T55"/>
    </row>
    <row r="56" spans="2:20" ht="23.1" customHeight="1" x14ac:dyDescent="0.25">
      <c r="B56" s="23" t="s">
        <v>83</v>
      </c>
      <c r="C56" s="50">
        <v>25</v>
      </c>
      <c r="D56" s="50">
        <v>45</v>
      </c>
      <c r="E56" s="50">
        <v>1</v>
      </c>
      <c r="F56" s="50">
        <v>32</v>
      </c>
      <c r="G56" s="50">
        <v>1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112</v>
      </c>
      <c r="N56" s="50">
        <v>0</v>
      </c>
      <c r="O56" s="15">
        <f t="shared" si="0"/>
        <v>105</v>
      </c>
      <c r="P56" s="15">
        <f t="shared" si="1"/>
        <v>217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25</v>
      </c>
      <c r="E57" s="50">
        <v>9</v>
      </c>
      <c r="F57" s="50">
        <v>33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0</v>
      </c>
      <c r="M57" s="50">
        <v>154</v>
      </c>
      <c r="N57" s="50">
        <v>0</v>
      </c>
      <c r="O57" s="15">
        <f t="shared" si="0"/>
        <v>115</v>
      </c>
      <c r="P57" s="15">
        <f t="shared" si="1"/>
        <v>269</v>
      </c>
      <c r="R57" s="8"/>
      <c r="T57"/>
    </row>
    <row r="58" spans="2:20" ht="23.1" customHeight="1" x14ac:dyDescent="0.25">
      <c r="B58" s="26" t="s">
        <v>18</v>
      </c>
      <c r="C58" s="16">
        <f>SUM(C10:C57)</f>
        <v>2662</v>
      </c>
      <c r="D58" s="16">
        <f t="shared" ref="D58:P58" si="21">SUM(D10:D57)</f>
        <v>1911</v>
      </c>
      <c r="E58" s="16">
        <f t="shared" si="21"/>
        <v>341</v>
      </c>
      <c r="F58" s="16">
        <f t="shared" si="21"/>
        <v>698</v>
      </c>
      <c r="G58" s="16">
        <f t="shared" si="21"/>
        <v>8</v>
      </c>
      <c r="H58" s="16">
        <f t="shared" si="21"/>
        <v>0</v>
      </c>
      <c r="I58" s="16">
        <f t="shared" si="21"/>
        <v>117</v>
      </c>
      <c r="J58" s="16">
        <f t="shared" si="21"/>
        <v>61</v>
      </c>
      <c r="K58" s="16">
        <f t="shared" si="21"/>
        <v>72</v>
      </c>
      <c r="L58" s="16">
        <f t="shared" si="21"/>
        <v>5</v>
      </c>
      <c r="M58" s="16">
        <f t="shared" si="21"/>
        <v>6403</v>
      </c>
      <c r="N58" s="16">
        <f t="shared" si="21"/>
        <v>1</v>
      </c>
      <c r="O58" s="16">
        <f t="shared" si="21"/>
        <v>5876</v>
      </c>
      <c r="P58" s="16">
        <f t="shared" si="21"/>
        <v>12279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0.21679289844449873</v>
      </c>
      <c r="D59" s="43">
        <f t="shared" si="22"/>
        <v>0.1556315660884437</v>
      </c>
      <c r="E59" s="43">
        <f t="shared" si="22"/>
        <v>2.7770991123055623E-2</v>
      </c>
      <c r="F59" s="43">
        <f t="shared" si="22"/>
        <v>5.6845019952764884E-2</v>
      </c>
      <c r="G59" s="43">
        <f t="shared" si="22"/>
        <v>6.5151885332681819E-4</v>
      </c>
      <c r="H59" s="43">
        <f t="shared" si="22"/>
        <v>0</v>
      </c>
      <c r="I59" s="43">
        <f t="shared" si="22"/>
        <v>9.528463229904716E-3</v>
      </c>
      <c r="J59" s="43">
        <f t="shared" si="22"/>
        <v>4.9678312566169888E-3</v>
      </c>
      <c r="K59" s="43">
        <f t="shared" si="22"/>
        <v>5.8636696799413629E-3</v>
      </c>
      <c r="L59" s="43">
        <f t="shared" si="22"/>
        <v>4.0719928332926133E-4</v>
      </c>
      <c r="M59" s="43">
        <f t="shared" si="22"/>
        <v>0.52145940223145204</v>
      </c>
      <c r="N59" s="43">
        <f t="shared" si="22"/>
        <v>8.1439856665852274E-5</v>
      </c>
      <c r="R59" s="8"/>
      <c r="T59"/>
    </row>
    <row r="60" spans="2:20" ht="23.1" customHeight="1" x14ac:dyDescent="0.25">
      <c r="B60" s="42" t="s">
        <v>94</v>
      </c>
      <c r="C60" s="44">
        <f>C58/$O$58</f>
        <v>0.45302927161334239</v>
      </c>
      <c r="D60" s="44">
        <f t="shared" ref="D60:N60" si="23">D58/$O$58</f>
        <v>0.3252212389380531</v>
      </c>
      <c r="E60" s="44">
        <f t="shared" si="23"/>
        <v>5.8032675289312455E-2</v>
      </c>
      <c r="F60" s="44">
        <f t="shared" si="23"/>
        <v>0.11878829135466304</v>
      </c>
      <c r="G60" s="44">
        <f t="shared" si="23"/>
        <v>1.3614703880190605E-3</v>
      </c>
      <c r="H60" s="44">
        <f t="shared" si="23"/>
        <v>0</v>
      </c>
      <c r="I60" s="44">
        <f t="shared" si="23"/>
        <v>1.9911504424778761E-2</v>
      </c>
      <c r="J60" s="44">
        <f t="shared" si="23"/>
        <v>1.0381211708645336E-2</v>
      </c>
      <c r="K60" s="44">
        <f t="shared" si="23"/>
        <v>1.2253233492171545E-2</v>
      </c>
      <c r="L60" s="44">
        <f t="shared" si="23"/>
        <v>8.5091899251191281E-4</v>
      </c>
      <c r="M60" s="44"/>
      <c r="N60" s="44">
        <f t="shared" si="23"/>
        <v>1.7018379850238256E-4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Kisaasi-Kyanja'!C3:G3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Kyanja-Kisaasi'!D5</f>
        <v>02.08.19</v>
      </c>
      <c r="E5" s="3"/>
      <c r="F5" s="41" t="s">
        <v>1</v>
      </c>
      <c r="G5" s="66" t="str">
        <f>'02.08 Kyanja-Kisaasi'!G5:H5</f>
        <v>Malcom Health center</v>
      </c>
      <c r="H5" s="67"/>
      <c r="I5" s="14"/>
      <c r="J5" s="2" t="s">
        <v>5</v>
      </c>
      <c r="K5" s="66" t="s">
        <v>165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'02.08 Kyanja-Kisaasi'!K6:L6</f>
        <v>Steven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29</v>
      </c>
      <c r="D10" s="50">
        <v>11</v>
      </c>
      <c r="E10" s="50">
        <v>6</v>
      </c>
      <c r="F10" s="50">
        <v>16</v>
      </c>
      <c r="G10" s="50">
        <v>0</v>
      </c>
      <c r="H10" s="50">
        <v>0</v>
      </c>
      <c r="I10" s="50">
        <v>2</v>
      </c>
      <c r="J10" s="50">
        <v>2</v>
      </c>
      <c r="K10" s="50">
        <v>7</v>
      </c>
      <c r="L10" s="50">
        <v>0</v>
      </c>
      <c r="M10" s="50">
        <v>59</v>
      </c>
      <c r="N10" s="50">
        <v>0</v>
      </c>
      <c r="O10" s="15">
        <f t="shared" ref="O10:O57" si="0">SUM(C10:L10,N10)</f>
        <v>73</v>
      </c>
      <c r="P10" s="15">
        <f t="shared" ref="P10:P57" si="1">SUM(C10:N10)</f>
        <v>132</v>
      </c>
      <c r="R10" s="1" t="s">
        <v>6</v>
      </c>
      <c r="S10" s="17">
        <f t="shared" ref="S10:AF10" si="2">SUM(C10:C13)</f>
        <v>121</v>
      </c>
      <c r="T10" s="17">
        <f t="shared" si="2"/>
        <v>52</v>
      </c>
      <c r="U10" s="17">
        <f t="shared" si="2"/>
        <v>16</v>
      </c>
      <c r="V10" s="17">
        <f t="shared" si="2"/>
        <v>86</v>
      </c>
      <c r="W10" s="17">
        <f t="shared" si="2"/>
        <v>2</v>
      </c>
      <c r="X10" s="17">
        <f t="shared" si="2"/>
        <v>0</v>
      </c>
      <c r="Y10" s="17">
        <f t="shared" si="2"/>
        <v>8</v>
      </c>
      <c r="Z10" s="17">
        <f t="shared" si="2"/>
        <v>3</v>
      </c>
      <c r="AA10" s="17">
        <f t="shared" si="2"/>
        <v>13</v>
      </c>
      <c r="AB10" s="17">
        <f t="shared" si="2"/>
        <v>0</v>
      </c>
      <c r="AC10" s="17">
        <f t="shared" si="2"/>
        <v>332</v>
      </c>
      <c r="AD10" s="17">
        <f t="shared" si="2"/>
        <v>0</v>
      </c>
      <c r="AE10" s="31">
        <f t="shared" si="2"/>
        <v>301</v>
      </c>
      <c r="AF10" s="31">
        <f t="shared" si="2"/>
        <v>633</v>
      </c>
    </row>
    <row r="11" spans="2:32" s="6" customFormat="1" ht="23.1" customHeight="1" x14ac:dyDescent="0.25">
      <c r="B11" s="23" t="s">
        <v>38</v>
      </c>
      <c r="C11" s="50">
        <v>30</v>
      </c>
      <c r="D11" s="50">
        <v>20</v>
      </c>
      <c r="E11" s="50">
        <v>4</v>
      </c>
      <c r="F11" s="50">
        <v>17</v>
      </c>
      <c r="G11" s="50">
        <v>0</v>
      </c>
      <c r="H11" s="50">
        <v>0</v>
      </c>
      <c r="I11" s="50">
        <v>2</v>
      </c>
      <c r="J11" s="50">
        <v>0</v>
      </c>
      <c r="K11" s="50">
        <v>3</v>
      </c>
      <c r="L11" s="50">
        <v>0</v>
      </c>
      <c r="M11" s="50">
        <v>96</v>
      </c>
      <c r="N11" s="50">
        <v>0</v>
      </c>
      <c r="O11" s="15">
        <f t="shared" si="0"/>
        <v>76</v>
      </c>
      <c r="P11" s="15">
        <f t="shared" si="1"/>
        <v>172</v>
      </c>
      <c r="R11" s="1" t="s">
        <v>7</v>
      </c>
      <c r="S11" s="17">
        <f t="shared" ref="S11:AF11" si="3">SUM(C14:C17)</f>
        <v>95</v>
      </c>
      <c r="T11" s="17">
        <f t="shared" si="3"/>
        <v>30</v>
      </c>
      <c r="U11" s="17">
        <f t="shared" si="3"/>
        <v>8</v>
      </c>
      <c r="V11" s="17">
        <f t="shared" si="3"/>
        <v>132</v>
      </c>
      <c r="W11" s="17">
        <f t="shared" si="3"/>
        <v>1</v>
      </c>
      <c r="X11" s="17">
        <f t="shared" si="3"/>
        <v>0</v>
      </c>
      <c r="Y11" s="17">
        <f t="shared" si="3"/>
        <v>8</v>
      </c>
      <c r="Z11" s="17">
        <f t="shared" si="3"/>
        <v>6</v>
      </c>
      <c r="AA11" s="17">
        <f t="shared" si="3"/>
        <v>4</v>
      </c>
      <c r="AB11" s="17">
        <f t="shared" si="3"/>
        <v>0</v>
      </c>
      <c r="AC11" s="17">
        <f t="shared" si="3"/>
        <v>315</v>
      </c>
      <c r="AD11" s="17">
        <f t="shared" si="3"/>
        <v>0</v>
      </c>
      <c r="AE11" s="31">
        <f t="shared" si="3"/>
        <v>284</v>
      </c>
      <c r="AF11" s="31">
        <f t="shared" si="3"/>
        <v>599</v>
      </c>
    </row>
    <row r="12" spans="2:32" ht="23.1" customHeight="1" x14ac:dyDescent="0.25">
      <c r="B12" s="23" t="s">
        <v>39</v>
      </c>
      <c r="C12" s="50">
        <v>32</v>
      </c>
      <c r="D12" s="50">
        <v>11</v>
      </c>
      <c r="E12" s="50">
        <v>2</v>
      </c>
      <c r="F12" s="50">
        <v>22</v>
      </c>
      <c r="G12" s="50">
        <v>1</v>
      </c>
      <c r="H12" s="50">
        <v>0</v>
      </c>
      <c r="I12" s="50">
        <v>2</v>
      </c>
      <c r="J12" s="50">
        <v>1</v>
      </c>
      <c r="K12" s="50">
        <v>3</v>
      </c>
      <c r="L12" s="50">
        <v>0</v>
      </c>
      <c r="M12" s="50">
        <v>88</v>
      </c>
      <c r="N12" s="50">
        <v>0</v>
      </c>
      <c r="O12" s="15">
        <f t="shared" si="0"/>
        <v>74</v>
      </c>
      <c r="P12" s="15">
        <f t="shared" si="1"/>
        <v>162</v>
      </c>
      <c r="R12" s="1" t="s">
        <v>8</v>
      </c>
      <c r="S12" s="17">
        <f t="shared" ref="S12:AF12" si="4">SUM(C18:C21)</f>
        <v>95</v>
      </c>
      <c r="T12" s="17">
        <f t="shared" si="4"/>
        <v>46</v>
      </c>
      <c r="U12" s="17">
        <f t="shared" si="4"/>
        <v>16</v>
      </c>
      <c r="V12" s="17">
        <f t="shared" si="4"/>
        <v>114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6</v>
      </c>
      <c r="AA12" s="17">
        <f t="shared" si="4"/>
        <v>7</v>
      </c>
      <c r="AB12" s="17">
        <f t="shared" si="4"/>
        <v>0</v>
      </c>
      <c r="AC12" s="17">
        <f t="shared" si="4"/>
        <v>276</v>
      </c>
      <c r="AD12" s="17">
        <f t="shared" si="4"/>
        <v>0</v>
      </c>
      <c r="AE12" s="31">
        <f t="shared" si="4"/>
        <v>292</v>
      </c>
      <c r="AF12" s="31">
        <f t="shared" si="4"/>
        <v>568</v>
      </c>
    </row>
    <row r="13" spans="2:32" ht="23.1" customHeight="1" x14ac:dyDescent="0.25">
      <c r="B13" s="23" t="s">
        <v>40</v>
      </c>
      <c r="C13" s="50">
        <v>30</v>
      </c>
      <c r="D13" s="50">
        <v>10</v>
      </c>
      <c r="E13" s="50">
        <v>4</v>
      </c>
      <c r="F13" s="50">
        <v>31</v>
      </c>
      <c r="G13" s="50">
        <v>1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89</v>
      </c>
      <c r="N13" s="50">
        <v>0</v>
      </c>
      <c r="O13" s="15">
        <f t="shared" si="0"/>
        <v>78</v>
      </c>
      <c r="P13" s="15">
        <f t="shared" si="1"/>
        <v>167</v>
      </c>
      <c r="R13" s="1" t="s">
        <v>9</v>
      </c>
      <c r="S13" s="17">
        <f t="shared" ref="S13:AF13" si="5">SUM(C22:C25)</f>
        <v>104</v>
      </c>
      <c r="T13" s="17">
        <f t="shared" si="5"/>
        <v>71</v>
      </c>
      <c r="U13" s="17">
        <f t="shared" si="5"/>
        <v>30</v>
      </c>
      <c r="V13" s="17">
        <f t="shared" si="5"/>
        <v>81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8</v>
      </c>
      <c r="AA13" s="17">
        <f t="shared" si="5"/>
        <v>8</v>
      </c>
      <c r="AB13" s="17">
        <f t="shared" si="5"/>
        <v>0</v>
      </c>
      <c r="AC13" s="17">
        <f t="shared" si="5"/>
        <v>350</v>
      </c>
      <c r="AD13" s="17">
        <f t="shared" si="5"/>
        <v>0</v>
      </c>
      <c r="AE13" s="31">
        <f t="shared" si="5"/>
        <v>314</v>
      </c>
      <c r="AF13" s="31">
        <f t="shared" si="5"/>
        <v>664</v>
      </c>
    </row>
    <row r="14" spans="2:32" ht="23.1" customHeight="1" x14ac:dyDescent="0.25">
      <c r="B14" s="23" t="s">
        <v>41</v>
      </c>
      <c r="C14" s="50">
        <v>36</v>
      </c>
      <c r="D14" s="50">
        <v>12</v>
      </c>
      <c r="E14" s="50">
        <v>4</v>
      </c>
      <c r="F14" s="50">
        <v>45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100</v>
      </c>
      <c r="N14" s="50">
        <v>0</v>
      </c>
      <c r="O14" s="15">
        <f t="shared" si="0"/>
        <v>99</v>
      </c>
      <c r="P14" s="15">
        <f t="shared" si="1"/>
        <v>199</v>
      </c>
      <c r="R14" s="1" t="s">
        <v>10</v>
      </c>
      <c r="S14" s="17">
        <f t="shared" ref="S14:AF14" si="6">SUM(C26:C29)</f>
        <v>127</v>
      </c>
      <c r="T14" s="17">
        <f t="shared" si="6"/>
        <v>48</v>
      </c>
      <c r="U14" s="17">
        <f t="shared" si="6"/>
        <v>21</v>
      </c>
      <c r="V14" s="17">
        <f t="shared" si="6"/>
        <v>82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3</v>
      </c>
      <c r="AA14" s="17">
        <f t="shared" si="6"/>
        <v>11</v>
      </c>
      <c r="AB14" s="17">
        <f t="shared" si="6"/>
        <v>7</v>
      </c>
      <c r="AC14" s="17">
        <f t="shared" si="6"/>
        <v>277</v>
      </c>
      <c r="AD14" s="17">
        <f t="shared" si="6"/>
        <v>0</v>
      </c>
      <c r="AE14" s="31">
        <f t="shared" si="6"/>
        <v>301</v>
      </c>
      <c r="AF14" s="31">
        <f t="shared" si="6"/>
        <v>578</v>
      </c>
    </row>
    <row r="15" spans="2:32" ht="23.1" customHeight="1" x14ac:dyDescent="0.25">
      <c r="B15" s="23" t="s">
        <v>42</v>
      </c>
      <c r="C15" s="50">
        <v>32</v>
      </c>
      <c r="D15" s="50">
        <v>6</v>
      </c>
      <c r="E15" s="50">
        <v>1</v>
      </c>
      <c r="F15" s="50">
        <v>40</v>
      </c>
      <c r="G15" s="50">
        <v>1</v>
      </c>
      <c r="H15" s="50">
        <v>0</v>
      </c>
      <c r="I15" s="50">
        <v>4</v>
      </c>
      <c r="J15" s="50">
        <v>3</v>
      </c>
      <c r="K15" s="50">
        <v>0</v>
      </c>
      <c r="L15" s="50">
        <v>0</v>
      </c>
      <c r="M15" s="50">
        <v>66</v>
      </c>
      <c r="N15" s="50">
        <v>0</v>
      </c>
      <c r="O15" s="15">
        <f t="shared" si="0"/>
        <v>87</v>
      </c>
      <c r="P15" s="15">
        <f t="shared" si="1"/>
        <v>153</v>
      </c>
      <c r="R15" s="1" t="s">
        <v>11</v>
      </c>
      <c r="S15" s="17">
        <f t="shared" ref="S15:AF15" si="7">SUM(C30:C33)</f>
        <v>147</v>
      </c>
      <c r="T15" s="17">
        <f t="shared" si="7"/>
        <v>56</v>
      </c>
      <c r="U15" s="17">
        <f t="shared" si="7"/>
        <v>11</v>
      </c>
      <c r="V15" s="17">
        <f t="shared" si="7"/>
        <v>64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2</v>
      </c>
      <c r="AA15" s="17">
        <f t="shared" si="7"/>
        <v>3</v>
      </c>
      <c r="AB15" s="17">
        <f t="shared" si="7"/>
        <v>3</v>
      </c>
      <c r="AC15" s="17">
        <f t="shared" si="7"/>
        <v>170</v>
      </c>
      <c r="AD15" s="17">
        <f t="shared" si="7"/>
        <v>0</v>
      </c>
      <c r="AE15" s="31">
        <f t="shared" si="7"/>
        <v>290</v>
      </c>
      <c r="AF15" s="31">
        <f t="shared" si="7"/>
        <v>460</v>
      </c>
    </row>
    <row r="16" spans="2:32" ht="23.1" customHeight="1" x14ac:dyDescent="0.25">
      <c r="B16" s="23" t="s">
        <v>43</v>
      </c>
      <c r="C16" s="50">
        <v>10</v>
      </c>
      <c r="D16" s="50">
        <v>6</v>
      </c>
      <c r="E16" s="50">
        <v>1</v>
      </c>
      <c r="F16" s="50">
        <v>28</v>
      </c>
      <c r="G16" s="50">
        <v>0</v>
      </c>
      <c r="H16" s="50">
        <v>0</v>
      </c>
      <c r="I16" s="50">
        <v>1</v>
      </c>
      <c r="J16" s="50">
        <v>1</v>
      </c>
      <c r="K16" s="50">
        <v>4</v>
      </c>
      <c r="L16" s="50">
        <v>0</v>
      </c>
      <c r="M16" s="50">
        <v>91</v>
      </c>
      <c r="N16" s="50">
        <v>0</v>
      </c>
      <c r="O16" s="15">
        <f t="shared" si="0"/>
        <v>51</v>
      </c>
      <c r="P16" s="15">
        <f t="shared" si="1"/>
        <v>142</v>
      </c>
      <c r="R16" s="1" t="s">
        <v>12</v>
      </c>
      <c r="S16" s="17">
        <f t="shared" ref="S16:AF16" si="8">SUM(C34:C37)</f>
        <v>107</v>
      </c>
      <c r="T16" s="17">
        <f t="shared" si="8"/>
        <v>65</v>
      </c>
      <c r="U16" s="17">
        <f t="shared" si="8"/>
        <v>19</v>
      </c>
      <c r="V16" s="17">
        <f t="shared" si="8"/>
        <v>48</v>
      </c>
      <c r="W16" s="17">
        <f t="shared" si="8"/>
        <v>1</v>
      </c>
      <c r="X16" s="17">
        <f t="shared" si="8"/>
        <v>0</v>
      </c>
      <c r="Y16" s="17">
        <f t="shared" si="8"/>
        <v>20</v>
      </c>
      <c r="Z16" s="17">
        <f t="shared" si="8"/>
        <v>6</v>
      </c>
      <c r="AA16" s="17">
        <f t="shared" si="8"/>
        <v>7</v>
      </c>
      <c r="AB16" s="17">
        <f t="shared" si="8"/>
        <v>0</v>
      </c>
      <c r="AC16" s="17">
        <f t="shared" si="8"/>
        <v>281</v>
      </c>
      <c r="AD16" s="17">
        <f t="shared" si="8"/>
        <v>0</v>
      </c>
      <c r="AE16" s="31">
        <f t="shared" si="8"/>
        <v>273</v>
      </c>
      <c r="AF16" s="31">
        <f t="shared" si="8"/>
        <v>554</v>
      </c>
    </row>
    <row r="17" spans="2:32" ht="23.1" customHeight="1" x14ac:dyDescent="0.25">
      <c r="B17" s="23" t="s">
        <v>44</v>
      </c>
      <c r="C17" s="50">
        <v>17</v>
      </c>
      <c r="D17" s="50">
        <v>6</v>
      </c>
      <c r="E17" s="50">
        <v>2</v>
      </c>
      <c r="F17" s="50">
        <v>19</v>
      </c>
      <c r="G17" s="50">
        <v>0</v>
      </c>
      <c r="H17" s="50">
        <v>0</v>
      </c>
      <c r="I17" s="50">
        <v>1</v>
      </c>
      <c r="J17" s="50">
        <v>2</v>
      </c>
      <c r="K17" s="50">
        <v>0</v>
      </c>
      <c r="L17" s="50">
        <v>0</v>
      </c>
      <c r="M17" s="50">
        <v>58</v>
      </c>
      <c r="N17" s="50">
        <v>0</v>
      </c>
      <c r="O17" s="15">
        <f t="shared" si="0"/>
        <v>47</v>
      </c>
      <c r="P17" s="15">
        <f t="shared" si="1"/>
        <v>105</v>
      </c>
      <c r="R17" s="1" t="s">
        <v>13</v>
      </c>
      <c r="S17" s="17">
        <f t="shared" ref="S17:AF17" si="9">SUM(C38:C41)</f>
        <v>127</v>
      </c>
      <c r="T17" s="17">
        <f t="shared" si="9"/>
        <v>80</v>
      </c>
      <c r="U17" s="17">
        <f t="shared" si="9"/>
        <v>11</v>
      </c>
      <c r="V17" s="17">
        <f t="shared" si="9"/>
        <v>66</v>
      </c>
      <c r="W17" s="17">
        <f t="shared" si="9"/>
        <v>0</v>
      </c>
      <c r="X17" s="17">
        <f t="shared" si="9"/>
        <v>1</v>
      </c>
      <c r="Y17" s="17">
        <f t="shared" si="9"/>
        <v>19</v>
      </c>
      <c r="Z17" s="17">
        <f t="shared" si="9"/>
        <v>4</v>
      </c>
      <c r="AA17" s="17">
        <f t="shared" si="9"/>
        <v>5</v>
      </c>
      <c r="AB17" s="17">
        <f t="shared" si="9"/>
        <v>0</v>
      </c>
      <c r="AC17" s="17">
        <f t="shared" si="9"/>
        <v>167</v>
      </c>
      <c r="AD17" s="17">
        <f t="shared" si="9"/>
        <v>0</v>
      </c>
      <c r="AE17" s="31">
        <f t="shared" si="9"/>
        <v>313</v>
      </c>
      <c r="AF17" s="31">
        <f t="shared" si="9"/>
        <v>480</v>
      </c>
    </row>
    <row r="18" spans="2:32" ht="23.1" customHeight="1" x14ac:dyDescent="0.25">
      <c r="B18" s="23" t="s">
        <v>45</v>
      </c>
      <c r="C18" s="50">
        <v>22</v>
      </c>
      <c r="D18" s="50">
        <v>23</v>
      </c>
      <c r="E18" s="50">
        <v>4</v>
      </c>
      <c r="F18" s="50">
        <v>23</v>
      </c>
      <c r="G18" s="50">
        <v>0</v>
      </c>
      <c r="H18" s="50">
        <v>0</v>
      </c>
      <c r="I18" s="50">
        <v>2</v>
      </c>
      <c r="J18" s="50">
        <v>3</v>
      </c>
      <c r="K18" s="50">
        <v>2</v>
      </c>
      <c r="L18" s="50">
        <v>0</v>
      </c>
      <c r="M18" s="50">
        <v>100</v>
      </c>
      <c r="N18" s="50">
        <v>0</v>
      </c>
      <c r="O18" s="15">
        <f t="shared" si="0"/>
        <v>79</v>
      </c>
      <c r="P18" s="15">
        <f t="shared" si="1"/>
        <v>179</v>
      </c>
      <c r="R18" s="1" t="s">
        <v>14</v>
      </c>
      <c r="S18" s="17">
        <f t="shared" ref="S18:AF18" si="10">SUM(C42:C45)</f>
        <v>161</v>
      </c>
      <c r="T18" s="17">
        <f t="shared" si="10"/>
        <v>72</v>
      </c>
      <c r="U18" s="17">
        <f t="shared" si="10"/>
        <v>18</v>
      </c>
      <c r="V18" s="17">
        <f t="shared" si="10"/>
        <v>50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8</v>
      </c>
      <c r="AA18" s="17">
        <f t="shared" si="10"/>
        <v>12</v>
      </c>
      <c r="AB18" s="17">
        <f t="shared" si="10"/>
        <v>0</v>
      </c>
      <c r="AC18" s="17">
        <f t="shared" si="10"/>
        <v>239</v>
      </c>
      <c r="AD18" s="17">
        <f t="shared" si="10"/>
        <v>0</v>
      </c>
      <c r="AE18" s="31">
        <f t="shared" si="10"/>
        <v>333</v>
      </c>
      <c r="AF18" s="31">
        <f t="shared" si="10"/>
        <v>572</v>
      </c>
    </row>
    <row r="19" spans="2:32" ht="23.1" customHeight="1" x14ac:dyDescent="0.25">
      <c r="B19" s="23" t="s">
        <v>46</v>
      </c>
      <c r="C19" s="50">
        <v>30</v>
      </c>
      <c r="D19" s="50">
        <v>11</v>
      </c>
      <c r="E19" s="50">
        <v>5</v>
      </c>
      <c r="F19" s="50">
        <v>21</v>
      </c>
      <c r="G19" s="50">
        <v>0</v>
      </c>
      <c r="H19" s="50">
        <v>0</v>
      </c>
      <c r="I19" s="50">
        <v>1</v>
      </c>
      <c r="J19" s="50">
        <v>1</v>
      </c>
      <c r="K19" s="50">
        <v>1</v>
      </c>
      <c r="L19" s="50">
        <v>0</v>
      </c>
      <c r="M19" s="50">
        <v>90</v>
      </c>
      <c r="N19" s="50">
        <v>0</v>
      </c>
      <c r="O19" s="15">
        <f t="shared" si="0"/>
        <v>70</v>
      </c>
      <c r="P19" s="15">
        <f t="shared" si="1"/>
        <v>160</v>
      </c>
      <c r="R19" s="1" t="s">
        <v>15</v>
      </c>
      <c r="S19" s="17">
        <f t="shared" ref="S19:AF19" si="11">SUM(C46:C49)</f>
        <v>192</v>
      </c>
      <c r="T19" s="17">
        <f t="shared" si="11"/>
        <v>191</v>
      </c>
      <c r="U19" s="17">
        <f t="shared" si="11"/>
        <v>14</v>
      </c>
      <c r="V19" s="17">
        <f t="shared" si="11"/>
        <v>87</v>
      </c>
      <c r="W19" s="17">
        <f t="shared" si="11"/>
        <v>0</v>
      </c>
      <c r="X19" s="17">
        <f t="shared" si="11"/>
        <v>0</v>
      </c>
      <c r="Y19" s="17">
        <f t="shared" si="11"/>
        <v>19</v>
      </c>
      <c r="Z19" s="17">
        <f t="shared" si="11"/>
        <v>4</v>
      </c>
      <c r="AA19" s="17">
        <f t="shared" si="11"/>
        <v>11</v>
      </c>
      <c r="AB19" s="17">
        <f t="shared" si="11"/>
        <v>0</v>
      </c>
      <c r="AC19" s="17">
        <f t="shared" si="11"/>
        <v>405</v>
      </c>
      <c r="AD19" s="17">
        <f t="shared" si="11"/>
        <v>0</v>
      </c>
      <c r="AE19" s="31">
        <f t="shared" si="11"/>
        <v>518</v>
      </c>
      <c r="AF19" s="31">
        <f t="shared" si="11"/>
        <v>923</v>
      </c>
    </row>
    <row r="20" spans="2:32" ht="23.1" customHeight="1" x14ac:dyDescent="0.25">
      <c r="B20" s="23" t="s">
        <v>47</v>
      </c>
      <c r="C20" s="50">
        <v>32</v>
      </c>
      <c r="D20" s="50">
        <v>10</v>
      </c>
      <c r="E20" s="50">
        <v>6</v>
      </c>
      <c r="F20" s="50">
        <v>40</v>
      </c>
      <c r="G20" s="50">
        <v>0</v>
      </c>
      <c r="H20" s="50">
        <v>0</v>
      </c>
      <c r="I20" s="50">
        <v>3</v>
      </c>
      <c r="J20" s="50">
        <v>2</v>
      </c>
      <c r="K20" s="50">
        <v>4</v>
      </c>
      <c r="L20" s="50">
        <v>0</v>
      </c>
      <c r="M20" s="50">
        <v>65</v>
      </c>
      <c r="N20" s="50">
        <v>0</v>
      </c>
      <c r="O20" s="15">
        <f t="shared" si="0"/>
        <v>97</v>
      </c>
      <c r="P20" s="15">
        <f t="shared" si="1"/>
        <v>162</v>
      </c>
      <c r="R20" s="1" t="s">
        <v>16</v>
      </c>
      <c r="S20" s="17">
        <f t="shared" ref="S20:AF20" si="12">SUM(C50:C53)</f>
        <v>200</v>
      </c>
      <c r="T20" s="17">
        <f t="shared" si="12"/>
        <v>172</v>
      </c>
      <c r="U20" s="17">
        <f t="shared" si="12"/>
        <v>31</v>
      </c>
      <c r="V20" s="17">
        <f t="shared" si="12"/>
        <v>82</v>
      </c>
      <c r="W20" s="17">
        <f t="shared" si="12"/>
        <v>0</v>
      </c>
      <c r="X20" s="17">
        <f t="shared" si="12"/>
        <v>0</v>
      </c>
      <c r="Y20" s="17">
        <f t="shared" si="12"/>
        <v>12</v>
      </c>
      <c r="Z20" s="17">
        <f t="shared" si="12"/>
        <v>2</v>
      </c>
      <c r="AA20" s="17">
        <f t="shared" si="12"/>
        <v>3</v>
      </c>
      <c r="AB20" s="17">
        <f t="shared" si="12"/>
        <v>0</v>
      </c>
      <c r="AC20" s="17">
        <f t="shared" si="12"/>
        <v>292</v>
      </c>
      <c r="AD20" s="17">
        <f t="shared" si="12"/>
        <v>0</v>
      </c>
      <c r="AE20" s="31">
        <f t="shared" si="12"/>
        <v>502</v>
      </c>
      <c r="AF20" s="31">
        <f t="shared" si="12"/>
        <v>794</v>
      </c>
    </row>
    <row r="21" spans="2:32" ht="23.1" customHeight="1" x14ac:dyDescent="0.25">
      <c r="B21" s="23" t="s">
        <v>48</v>
      </c>
      <c r="C21" s="50">
        <v>11</v>
      </c>
      <c r="D21" s="50">
        <v>2</v>
      </c>
      <c r="E21" s="50">
        <v>1</v>
      </c>
      <c r="F21" s="50">
        <v>30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21</v>
      </c>
      <c r="N21" s="50">
        <v>0</v>
      </c>
      <c r="O21" s="15">
        <f t="shared" si="0"/>
        <v>46</v>
      </c>
      <c r="P21" s="15">
        <f t="shared" si="1"/>
        <v>67</v>
      </c>
      <c r="R21" s="36" t="s">
        <v>20</v>
      </c>
      <c r="S21" s="34">
        <f t="shared" ref="S21:AF21" si="13">SUM(C54:C57)</f>
        <v>240</v>
      </c>
      <c r="T21" s="17">
        <f t="shared" si="13"/>
        <v>222</v>
      </c>
      <c r="U21" s="17">
        <f t="shared" si="13"/>
        <v>35</v>
      </c>
      <c r="V21" s="17">
        <f t="shared" si="13"/>
        <v>137</v>
      </c>
      <c r="W21" s="17">
        <f t="shared" si="13"/>
        <v>1</v>
      </c>
      <c r="X21" s="17">
        <f t="shared" si="13"/>
        <v>0</v>
      </c>
      <c r="Y21" s="17">
        <f t="shared" si="13"/>
        <v>27</v>
      </c>
      <c r="Z21" s="17">
        <f t="shared" si="13"/>
        <v>5</v>
      </c>
      <c r="AA21" s="17">
        <f t="shared" si="13"/>
        <v>6</v>
      </c>
      <c r="AB21" s="17">
        <f t="shared" si="13"/>
        <v>0</v>
      </c>
      <c r="AC21" s="17">
        <f t="shared" si="13"/>
        <v>330</v>
      </c>
      <c r="AD21" s="17">
        <f t="shared" si="13"/>
        <v>0</v>
      </c>
      <c r="AE21" s="31">
        <f t="shared" si="13"/>
        <v>673</v>
      </c>
      <c r="AF21" s="31">
        <f t="shared" si="13"/>
        <v>1003</v>
      </c>
    </row>
    <row r="22" spans="2:32" ht="23.1" customHeight="1" x14ac:dyDescent="0.25">
      <c r="B22" s="23" t="s">
        <v>49</v>
      </c>
      <c r="C22" s="50">
        <v>23</v>
      </c>
      <c r="D22" s="50">
        <v>16</v>
      </c>
      <c r="E22" s="50">
        <v>2</v>
      </c>
      <c r="F22" s="50">
        <v>21</v>
      </c>
      <c r="G22" s="50">
        <v>0</v>
      </c>
      <c r="H22" s="50">
        <v>0</v>
      </c>
      <c r="I22" s="50">
        <v>3</v>
      </c>
      <c r="J22" s="50">
        <v>2</v>
      </c>
      <c r="K22" s="50">
        <v>2</v>
      </c>
      <c r="L22" s="50">
        <v>0</v>
      </c>
      <c r="M22" s="50">
        <v>85</v>
      </c>
      <c r="N22" s="50">
        <v>0</v>
      </c>
      <c r="O22" s="15">
        <f t="shared" si="0"/>
        <v>69</v>
      </c>
      <c r="P22" s="15">
        <f t="shared" si="1"/>
        <v>154</v>
      </c>
      <c r="R22" s="38" t="s">
        <v>90</v>
      </c>
      <c r="S22" s="39">
        <f>MAX(S10:S12)</f>
        <v>121</v>
      </c>
      <c r="T22" s="39">
        <f t="shared" ref="T22:AF22" si="14">MAX(T10:T12)</f>
        <v>52</v>
      </c>
      <c r="U22" s="39">
        <f t="shared" si="14"/>
        <v>16</v>
      </c>
      <c r="V22" s="39">
        <f t="shared" si="14"/>
        <v>132</v>
      </c>
      <c r="W22" s="39">
        <f t="shared" si="14"/>
        <v>2</v>
      </c>
      <c r="X22" s="39">
        <f t="shared" si="14"/>
        <v>0</v>
      </c>
      <c r="Y22" s="39">
        <f t="shared" si="14"/>
        <v>8</v>
      </c>
      <c r="Z22" s="39">
        <f t="shared" si="14"/>
        <v>6</v>
      </c>
      <c r="AA22" s="39">
        <f t="shared" si="14"/>
        <v>13</v>
      </c>
      <c r="AB22" s="39">
        <f t="shared" si="14"/>
        <v>0</v>
      </c>
      <c r="AC22" s="39">
        <f t="shared" si="14"/>
        <v>332</v>
      </c>
      <c r="AD22" s="39">
        <f t="shared" si="14"/>
        <v>0</v>
      </c>
      <c r="AE22" s="40">
        <f t="shared" si="14"/>
        <v>301</v>
      </c>
      <c r="AF22" s="40">
        <f t="shared" si="14"/>
        <v>633</v>
      </c>
    </row>
    <row r="23" spans="2:32" ht="23.1" customHeight="1" x14ac:dyDescent="0.25">
      <c r="B23" s="23" t="s">
        <v>50</v>
      </c>
      <c r="C23" s="50">
        <v>26</v>
      </c>
      <c r="D23" s="50">
        <v>18</v>
      </c>
      <c r="E23" s="50">
        <v>11</v>
      </c>
      <c r="F23" s="50">
        <v>27</v>
      </c>
      <c r="G23" s="50">
        <v>0</v>
      </c>
      <c r="H23" s="50">
        <v>0</v>
      </c>
      <c r="I23" s="50">
        <v>5</v>
      </c>
      <c r="J23" s="50">
        <v>4</v>
      </c>
      <c r="K23" s="50">
        <v>2</v>
      </c>
      <c r="L23" s="50">
        <v>0</v>
      </c>
      <c r="M23" s="50">
        <v>110</v>
      </c>
      <c r="N23" s="50">
        <v>0</v>
      </c>
      <c r="O23" s="15">
        <f t="shared" si="0"/>
        <v>93</v>
      </c>
      <c r="P23" s="15">
        <f t="shared" si="1"/>
        <v>203</v>
      </c>
      <c r="R23" s="38" t="s">
        <v>91</v>
      </c>
      <c r="S23" s="39">
        <f>MAX(S13:S18)</f>
        <v>161</v>
      </c>
      <c r="T23" s="39">
        <f t="shared" ref="T23:AF23" si="15">MAX(T13:T18)</f>
        <v>80</v>
      </c>
      <c r="U23" s="39">
        <f t="shared" si="15"/>
        <v>30</v>
      </c>
      <c r="V23" s="39">
        <f t="shared" si="15"/>
        <v>82</v>
      </c>
      <c r="W23" s="39">
        <f t="shared" si="15"/>
        <v>1</v>
      </c>
      <c r="X23" s="39">
        <f t="shared" si="15"/>
        <v>1</v>
      </c>
      <c r="Y23" s="39">
        <f t="shared" si="15"/>
        <v>20</v>
      </c>
      <c r="Z23" s="39">
        <f t="shared" si="15"/>
        <v>8</v>
      </c>
      <c r="AA23" s="39">
        <f t="shared" si="15"/>
        <v>12</v>
      </c>
      <c r="AB23" s="39">
        <f t="shared" si="15"/>
        <v>7</v>
      </c>
      <c r="AC23" s="39">
        <f t="shared" si="15"/>
        <v>350</v>
      </c>
      <c r="AD23" s="39">
        <f t="shared" si="15"/>
        <v>0</v>
      </c>
      <c r="AE23" s="40">
        <f t="shared" si="15"/>
        <v>333</v>
      </c>
      <c r="AF23" s="40">
        <f t="shared" si="15"/>
        <v>664</v>
      </c>
    </row>
    <row r="24" spans="2:32" ht="23.1" customHeight="1" x14ac:dyDescent="0.25">
      <c r="B24" s="23" t="s">
        <v>51</v>
      </c>
      <c r="C24" s="50">
        <v>30</v>
      </c>
      <c r="D24" s="50">
        <v>17</v>
      </c>
      <c r="E24" s="50">
        <v>8</v>
      </c>
      <c r="F24" s="50">
        <v>16</v>
      </c>
      <c r="G24" s="50">
        <v>0</v>
      </c>
      <c r="H24" s="50">
        <v>0</v>
      </c>
      <c r="I24" s="50">
        <v>3</v>
      </c>
      <c r="J24" s="50">
        <v>1</v>
      </c>
      <c r="K24" s="50">
        <v>2</v>
      </c>
      <c r="L24" s="50">
        <v>0</v>
      </c>
      <c r="M24" s="50">
        <v>90</v>
      </c>
      <c r="N24" s="50">
        <v>0</v>
      </c>
      <c r="O24" s="15">
        <f t="shared" si="0"/>
        <v>77</v>
      </c>
      <c r="P24" s="15">
        <f t="shared" si="1"/>
        <v>167</v>
      </c>
      <c r="R24" s="38" t="s">
        <v>92</v>
      </c>
      <c r="S24" s="39">
        <f>MAX(S19:S21)</f>
        <v>240</v>
      </c>
      <c r="T24" s="39">
        <f t="shared" ref="T24:AF24" si="16">MAX(T19:T21)</f>
        <v>222</v>
      </c>
      <c r="U24" s="39">
        <f t="shared" si="16"/>
        <v>35</v>
      </c>
      <c r="V24" s="39">
        <f t="shared" si="16"/>
        <v>137</v>
      </c>
      <c r="W24" s="39">
        <f t="shared" si="16"/>
        <v>1</v>
      </c>
      <c r="X24" s="39">
        <f t="shared" si="16"/>
        <v>0</v>
      </c>
      <c r="Y24" s="39">
        <f t="shared" si="16"/>
        <v>27</v>
      </c>
      <c r="Z24" s="39">
        <f t="shared" si="16"/>
        <v>5</v>
      </c>
      <c r="AA24" s="39">
        <f t="shared" si="16"/>
        <v>11</v>
      </c>
      <c r="AB24" s="39">
        <f t="shared" si="16"/>
        <v>0</v>
      </c>
      <c r="AC24" s="39">
        <f t="shared" si="16"/>
        <v>405</v>
      </c>
      <c r="AD24" s="39">
        <f t="shared" si="16"/>
        <v>0</v>
      </c>
      <c r="AE24" s="40">
        <f t="shared" si="16"/>
        <v>673</v>
      </c>
      <c r="AF24" s="40">
        <f t="shared" si="16"/>
        <v>1003</v>
      </c>
    </row>
    <row r="25" spans="2:32" ht="23.1" customHeight="1" x14ac:dyDescent="0.25">
      <c r="B25" s="23" t="s">
        <v>52</v>
      </c>
      <c r="C25" s="50">
        <v>25</v>
      </c>
      <c r="D25" s="50">
        <v>20</v>
      </c>
      <c r="E25" s="50">
        <v>9</v>
      </c>
      <c r="F25" s="50">
        <v>17</v>
      </c>
      <c r="G25" s="50">
        <v>0</v>
      </c>
      <c r="H25" s="50">
        <v>0</v>
      </c>
      <c r="I25" s="50">
        <v>1</v>
      </c>
      <c r="J25" s="50">
        <v>1</v>
      </c>
      <c r="K25" s="50">
        <v>2</v>
      </c>
      <c r="L25" s="50">
        <v>0</v>
      </c>
      <c r="M25" s="50">
        <v>65</v>
      </c>
      <c r="N25" s="50">
        <v>0</v>
      </c>
      <c r="O25" s="15">
        <f t="shared" si="0"/>
        <v>75</v>
      </c>
      <c r="P25" s="15">
        <f t="shared" si="1"/>
        <v>140</v>
      </c>
      <c r="R25" s="37" t="s">
        <v>85</v>
      </c>
      <c r="S25" s="35">
        <f t="shared" ref="S25:AF25" si="17">SUM(S10:S12)</f>
        <v>311</v>
      </c>
      <c r="T25" s="16">
        <f t="shared" si="17"/>
        <v>128</v>
      </c>
      <c r="U25" s="16">
        <f t="shared" si="17"/>
        <v>40</v>
      </c>
      <c r="V25" s="16">
        <f t="shared" si="17"/>
        <v>332</v>
      </c>
      <c r="W25" s="16">
        <f t="shared" si="17"/>
        <v>3</v>
      </c>
      <c r="X25" s="16">
        <f t="shared" si="17"/>
        <v>0</v>
      </c>
      <c r="Y25" s="16">
        <f t="shared" si="17"/>
        <v>24</v>
      </c>
      <c r="Z25" s="16">
        <f t="shared" si="17"/>
        <v>15</v>
      </c>
      <c r="AA25" s="16">
        <f t="shared" si="17"/>
        <v>24</v>
      </c>
      <c r="AB25" s="16">
        <f t="shared" si="17"/>
        <v>0</v>
      </c>
      <c r="AC25" s="16">
        <f t="shared" si="17"/>
        <v>923</v>
      </c>
      <c r="AD25" s="16">
        <f t="shared" si="17"/>
        <v>0</v>
      </c>
      <c r="AE25" s="32">
        <f t="shared" si="17"/>
        <v>877</v>
      </c>
      <c r="AF25" s="32">
        <f t="shared" si="17"/>
        <v>1800</v>
      </c>
    </row>
    <row r="26" spans="2:32" ht="23.1" customHeight="1" x14ac:dyDescent="0.25">
      <c r="B26" s="23" t="s">
        <v>53</v>
      </c>
      <c r="C26" s="50">
        <v>40</v>
      </c>
      <c r="D26" s="50">
        <v>15</v>
      </c>
      <c r="E26" s="50">
        <v>7</v>
      </c>
      <c r="F26" s="50">
        <v>12</v>
      </c>
      <c r="G26" s="50">
        <v>0</v>
      </c>
      <c r="H26" s="50">
        <v>0</v>
      </c>
      <c r="I26" s="50">
        <v>1</v>
      </c>
      <c r="J26" s="50">
        <v>2</v>
      </c>
      <c r="K26" s="50">
        <v>3</v>
      </c>
      <c r="L26" s="50">
        <v>0</v>
      </c>
      <c r="M26" s="50">
        <v>95</v>
      </c>
      <c r="N26" s="50">
        <v>0</v>
      </c>
      <c r="O26" s="15">
        <f t="shared" si="0"/>
        <v>80</v>
      </c>
      <c r="P26" s="15">
        <f t="shared" si="1"/>
        <v>175</v>
      </c>
      <c r="R26" s="28" t="s">
        <v>86</v>
      </c>
      <c r="S26" s="16">
        <f t="shared" ref="S26:AF26" si="18">SUM(S13:S18)</f>
        <v>773</v>
      </c>
      <c r="T26" s="16">
        <f t="shared" si="18"/>
        <v>392</v>
      </c>
      <c r="U26" s="16">
        <f t="shared" si="18"/>
        <v>110</v>
      </c>
      <c r="V26" s="16">
        <f t="shared" si="18"/>
        <v>391</v>
      </c>
      <c r="W26" s="16">
        <f t="shared" si="18"/>
        <v>1</v>
      </c>
      <c r="X26" s="16">
        <f t="shared" si="18"/>
        <v>1</v>
      </c>
      <c r="Y26" s="16">
        <f t="shared" si="18"/>
        <v>69</v>
      </c>
      <c r="Z26" s="16">
        <f t="shared" si="18"/>
        <v>31</v>
      </c>
      <c r="AA26" s="16">
        <f t="shared" si="18"/>
        <v>46</v>
      </c>
      <c r="AB26" s="16">
        <f t="shared" si="18"/>
        <v>10</v>
      </c>
      <c r="AC26" s="16">
        <f t="shared" si="18"/>
        <v>1484</v>
      </c>
      <c r="AD26" s="16">
        <f t="shared" si="18"/>
        <v>0</v>
      </c>
      <c r="AE26" s="32">
        <f t="shared" si="18"/>
        <v>1824</v>
      </c>
      <c r="AF26" s="32">
        <f t="shared" si="18"/>
        <v>3308</v>
      </c>
    </row>
    <row r="27" spans="2:32" ht="23.1" customHeight="1" x14ac:dyDescent="0.25">
      <c r="B27" s="23" t="s">
        <v>54</v>
      </c>
      <c r="C27" s="50">
        <v>12</v>
      </c>
      <c r="D27" s="50">
        <v>5</v>
      </c>
      <c r="E27" s="50">
        <v>2</v>
      </c>
      <c r="F27" s="50">
        <v>5</v>
      </c>
      <c r="G27" s="50">
        <v>0</v>
      </c>
      <c r="H27" s="50">
        <v>0</v>
      </c>
      <c r="I27" s="50">
        <v>0</v>
      </c>
      <c r="J27" s="50">
        <v>1</v>
      </c>
      <c r="K27" s="50">
        <v>2</v>
      </c>
      <c r="L27" s="50">
        <v>0</v>
      </c>
      <c r="M27" s="50">
        <v>40</v>
      </c>
      <c r="N27" s="50">
        <v>0</v>
      </c>
      <c r="O27" s="15">
        <f t="shared" si="0"/>
        <v>27</v>
      </c>
      <c r="P27" s="15">
        <f t="shared" si="1"/>
        <v>67</v>
      </c>
      <c r="R27" s="29" t="s">
        <v>87</v>
      </c>
      <c r="S27" s="16">
        <f t="shared" ref="S27:AF27" si="19">SUM(S19:S21)</f>
        <v>632</v>
      </c>
      <c r="T27" s="16">
        <f t="shared" si="19"/>
        <v>585</v>
      </c>
      <c r="U27" s="16">
        <f t="shared" si="19"/>
        <v>80</v>
      </c>
      <c r="V27" s="16">
        <f t="shared" si="19"/>
        <v>306</v>
      </c>
      <c r="W27" s="16">
        <f t="shared" si="19"/>
        <v>1</v>
      </c>
      <c r="X27" s="16">
        <f t="shared" si="19"/>
        <v>0</v>
      </c>
      <c r="Y27" s="16">
        <f t="shared" si="19"/>
        <v>58</v>
      </c>
      <c r="Z27" s="16">
        <f t="shared" si="19"/>
        <v>11</v>
      </c>
      <c r="AA27" s="16">
        <f t="shared" si="19"/>
        <v>20</v>
      </c>
      <c r="AB27" s="16">
        <f t="shared" si="19"/>
        <v>0</v>
      </c>
      <c r="AC27" s="16">
        <f t="shared" si="19"/>
        <v>1027</v>
      </c>
      <c r="AD27" s="16">
        <f t="shared" si="19"/>
        <v>0</v>
      </c>
      <c r="AE27" s="32">
        <f t="shared" si="19"/>
        <v>1693</v>
      </c>
      <c r="AF27" s="32">
        <f t="shared" si="19"/>
        <v>2720</v>
      </c>
    </row>
    <row r="28" spans="2:32" ht="23.1" customHeight="1" x14ac:dyDescent="0.25">
      <c r="B28" s="23" t="s">
        <v>55</v>
      </c>
      <c r="C28" s="50">
        <v>20</v>
      </c>
      <c r="D28" s="50">
        <v>14</v>
      </c>
      <c r="E28" s="50">
        <v>8</v>
      </c>
      <c r="F28" s="50">
        <v>30</v>
      </c>
      <c r="G28" s="50">
        <v>0</v>
      </c>
      <c r="H28" s="50">
        <v>0</v>
      </c>
      <c r="I28" s="50">
        <v>0</v>
      </c>
      <c r="J28" s="50">
        <v>0</v>
      </c>
      <c r="K28" s="50">
        <v>4</v>
      </c>
      <c r="L28" s="50">
        <v>0</v>
      </c>
      <c r="M28" s="50">
        <v>72</v>
      </c>
      <c r="N28" s="50">
        <v>0</v>
      </c>
      <c r="O28" s="15">
        <f t="shared" si="0"/>
        <v>76</v>
      </c>
      <c r="P28" s="15">
        <f t="shared" si="1"/>
        <v>148</v>
      </c>
      <c r="R28" s="5" t="s">
        <v>17</v>
      </c>
      <c r="S28" s="16">
        <f t="shared" ref="S28:AF28" si="20">SUM(S10:S21)</f>
        <v>1716</v>
      </c>
      <c r="T28" s="16">
        <f t="shared" si="20"/>
        <v>1105</v>
      </c>
      <c r="U28" s="16">
        <f t="shared" si="20"/>
        <v>230</v>
      </c>
      <c r="V28" s="16">
        <f t="shared" si="20"/>
        <v>1029</v>
      </c>
      <c r="W28" s="16">
        <f t="shared" si="20"/>
        <v>5</v>
      </c>
      <c r="X28" s="16">
        <f t="shared" si="20"/>
        <v>1</v>
      </c>
      <c r="Y28" s="16">
        <f t="shared" si="20"/>
        <v>151</v>
      </c>
      <c r="Z28" s="16">
        <f t="shared" si="20"/>
        <v>57</v>
      </c>
      <c r="AA28" s="16">
        <f t="shared" si="20"/>
        <v>90</v>
      </c>
      <c r="AB28" s="16">
        <f t="shared" si="20"/>
        <v>10</v>
      </c>
      <c r="AC28" s="16">
        <f t="shared" si="20"/>
        <v>3434</v>
      </c>
      <c r="AD28" s="16">
        <f t="shared" si="20"/>
        <v>0</v>
      </c>
      <c r="AE28" s="32">
        <f t="shared" si="20"/>
        <v>4394</v>
      </c>
      <c r="AF28" s="32">
        <f t="shared" si="20"/>
        <v>7828</v>
      </c>
    </row>
    <row r="29" spans="2:32" ht="23.1" customHeight="1" x14ac:dyDescent="0.25">
      <c r="B29" s="23" t="s">
        <v>56</v>
      </c>
      <c r="C29" s="50">
        <v>55</v>
      </c>
      <c r="D29" s="50">
        <v>14</v>
      </c>
      <c r="E29" s="50">
        <v>4</v>
      </c>
      <c r="F29" s="50">
        <v>35</v>
      </c>
      <c r="G29" s="50">
        <v>0</v>
      </c>
      <c r="H29" s="50">
        <v>0</v>
      </c>
      <c r="I29" s="50">
        <v>1</v>
      </c>
      <c r="J29" s="50">
        <v>0</v>
      </c>
      <c r="K29" s="50">
        <v>2</v>
      </c>
      <c r="L29" s="50">
        <v>7</v>
      </c>
      <c r="M29" s="50">
        <v>70</v>
      </c>
      <c r="N29" s="50">
        <v>0</v>
      </c>
      <c r="O29" s="15">
        <f t="shared" si="0"/>
        <v>118</v>
      </c>
      <c r="P29" s="15">
        <f t="shared" si="1"/>
        <v>188</v>
      </c>
      <c r="R29"/>
      <c r="S29" s="20"/>
      <c r="T29" s="19"/>
    </row>
    <row r="30" spans="2:32" ht="23.1" customHeight="1" x14ac:dyDescent="0.25">
      <c r="B30" s="23" t="s">
        <v>57</v>
      </c>
      <c r="C30" s="50">
        <v>22</v>
      </c>
      <c r="D30" s="50">
        <v>3</v>
      </c>
      <c r="E30" s="50">
        <v>5</v>
      </c>
      <c r="F30" s="50">
        <v>10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70</v>
      </c>
      <c r="N30" s="50">
        <v>0</v>
      </c>
      <c r="O30" s="15">
        <f t="shared" si="0"/>
        <v>43</v>
      </c>
      <c r="P30" s="15">
        <f t="shared" si="1"/>
        <v>113</v>
      </c>
    </row>
    <row r="31" spans="2:32" ht="23.1" customHeight="1" x14ac:dyDescent="0.25">
      <c r="B31" s="24" t="s">
        <v>58</v>
      </c>
      <c r="C31" s="50">
        <v>65</v>
      </c>
      <c r="D31" s="50">
        <v>50</v>
      </c>
      <c r="E31" s="50">
        <v>3</v>
      </c>
      <c r="F31" s="50">
        <v>29</v>
      </c>
      <c r="G31" s="50">
        <v>0</v>
      </c>
      <c r="H31" s="50">
        <v>0</v>
      </c>
      <c r="I31" s="50">
        <v>2</v>
      </c>
      <c r="J31" s="50">
        <v>0</v>
      </c>
      <c r="K31" s="50">
        <v>3</v>
      </c>
      <c r="L31" s="50">
        <v>2</v>
      </c>
      <c r="M31" s="50">
        <v>55</v>
      </c>
      <c r="N31" s="50">
        <v>0</v>
      </c>
      <c r="O31" s="15">
        <f t="shared" si="0"/>
        <v>154</v>
      </c>
      <c r="P31" s="15">
        <f t="shared" si="1"/>
        <v>209</v>
      </c>
    </row>
    <row r="32" spans="2:32" ht="23.1" customHeight="1" x14ac:dyDescent="0.25">
      <c r="B32" s="24" t="s">
        <v>59</v>
      </c>
      <c r="C32" s="50">
        <v>45</v>
      </c>
      <c r="D32" s="50">
        <v>2</v>
      </c>
      <c r="E32" s="50">
        <v>3</v>
      </c>
      <c r="F32" s="50">
        <v>15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1</v>
      </c>
      <c r="M32" s="50">
        <v>45</v>
      </c>
      <c r="N32" s="50">
        <v>0</v>
      </c>
      <c r="O32" s="15">
        <f t="shared" si="0"/>
        <v>67</v>
      </c>
      <c r="P32" s="15">
        <f t="shared" si="1"/>
        <v>112</v>
      </c>
    </row>
    <row r="33" spans="2:20" ht="23.1" customHeight="1" x14ac:dyDescent="0.25">
      <c r="B33" s="23" t="s">
        <v>60</v>
      </c>
      <c r="C33" s="50">
        <v>15</v>
      </c>
      <c r="D33" s="50">
        <v>1</v>
      </c>
      <c r="E33" s="50">
        <v>0</v>
      </c>
      <c r="F33" s="50">
        <v>10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26</v>
      </c>
      <c r="P33" s="15">
        <f t="shared" si="1"/>
        <v>26</v>
      </c>
    </row>
    <row r="34" spans="2:20" ht="23.1" customHeight="1" x14ac:dyDescent="0.25">
      <c r="B34" s="24" t="s">
        <v>61</v>
      </c>
      <c r="C34" s="50">
        <v>16</v>
      </c>
      <c r="D34" s="50">
        <v>12</v>
      </c>
      <c r="E34" s="50">
        <v>4</v>
      </c>
      <c r="F34" s="50">
        <v>10</v>
      </c>
      <c r="G34" s="50">
        <v>1</v>
      </c>
      <c r="H34" s="50">
        <v>0</v>
      </c>
      <c r="I34" s="50">
        <v>2</v>
      </c>
      <c r="J34" s="50">
        <v>0</v>
      </c>
      <c r="K34" s="50">
        <v>1</v>
      </c>
      <c r="L34" s="50">
        <v>0</v>
      </c>
      <c r="M34" s="50">
        <v>46</v>
      </c>
      <c r="N34" s="50">
        <v>0</v>
      </c>
      <c r="O34" s="15">
        <f t="shared" si="0"/>
        <v>46</v>
      </c>
      <c r="P34" s="15">
        <f t="shared" si="1"/>
        <v>92</v>
      </c>
    </row>
    <row r="35" spans="2:20" ht="23.1" customHeight="1" x14ac:dyDescent="0.25">
      <c r="B35" s="24" t="s">
        <v>62</v>
      </c>
      <c r="C35" s="50">
        <v>25</v>
      </c>
      <c r="D35" s="50">
        <v>16</v>
      </c>
      <c r="E35" s="50">
        <v>7</v>
      </c>
      <c r="F35" s="50">
        <v>8</v>
      </c>
      <c r="G35" s="50">
        <v>0</v>
      </c>
      <c r="H35" s="50">
        <v>0</v>
      </c>
      <c r="I35" s="50">
        <v>4</v>
      </c>
      <c r="J35" s="50">
        <v>2</v>
      </c>
      <c r="K35" s="50">
        <v>1</v>
      </c>
      <c r="L35" s="50">
        <v>0</v>
      </c>
      <c r="M35" s="50">
        <v>80</v>
      </c>
      <c r="N35" s="50">
        <v>0</v>
      </c>
      <c r="O35" s="15">
        <f t="shared" si="0"/>
        <v>63</v>
      </c>
      <c r="P35" s="15">
        <f t="shared" si="1"/>
        <v>143</v>
      </c>
    </row>
    <row r="36" spans="2:20" ht="23.1" customHeight="1" x14ac:dyDescent="0.25">
      <c r="B36" s="24" t="s">
        <v>63</v>
      </c>
      <c r="C36" s="50">
        <v>41</v>
      </c>
      <c r="D36" s="50">
        <v>22</v>
      </c>
      <c r="E36" s="50">
        <v>7</v>
      </c>
      <c r="F36" s="50">
        <v>15</v>
      </c>
      <c r="G36" s="50">
        <v>0</v>
      </c>
      <c r="H36" s="50">
        <v>0</v>
      </c>
      <c r="I36" s="50">
        <v>8</v>
      </c>
      <c r="J36" s="50">
        <v>2</v>
      </c>
      <c r="K36" s="50">
        <v>5</v>
      </c>
      <c r="L36" s="50">
        <v>0</v>
      </c>
      <c r="M36" s="50">
        <v>75</v>
      </c>
      <c r="N36" s="50">
        <v>0</v>
      </c>
      <c r="O36" s="15">
        <f t="shared" si="0"/>
        <v>100</v>
      </c>
      <c r="P36" s="15">
        <f t="shared" si="1"/>
        <v>175</v>
      </c>
    </row>
    <row r="37" spans="2:20" ht="23.1" customHeight="1" x14ac:dyDescent="0.25">
      <c r="B37" s="23" t="s">
        <v>64</v>
      </c>
      <c r="C37" s="50">
        <v>25</v>
      </c>
      <c r="D37" s="50">
        <v>15</v>
      </c>
      <c r="E37" s="50">
        <v>1</v>
      </c>
      <c r="F37" s="50">
        <v>15</v>
      </c>
      <c r="G37" s="50">
        <v>0</v>
      </c>
      <c r="H37" s="50">
        <v>0</v>
      </c>
      <c r="I37" s="50">
        <v>6</v>
      </c>
      <c r="J37" s="50">
        <v>2</v>
      </c>
      <c r="K37" s="50">
        <v>0</v>
      </c>
      <c r="L37" s="50">
        <v>0</v>
      </c>
      <c r="M37" s="50">
        <v>80</v>
      </c>
      <c r="N37" s="50">
        <v>0</v>
      </c>
      <c r="O37" s="15">
        <f t="shared" si="0"/>
        <v>64</v>
      </c>
      <c r="P37" s="15">
        <f t="shared" si="1"/>
        <v>144</v>
      </c>
    </row>
    <row r="38" spans="2:20" ht="23.1" customHeight="1" x14ac:dyDescent="0.25">
      <c r="B38" s="24" t="s">
        <v>65</v>
      </c>
      <c r="C38" s="50">
        <v>37</v>
      </c>
      <c r="D38" s="50">
        <v>18</v>
      </c>
      <c r="E38" s="50">
        <v>4</v>
      </c>
      <c r="F38" s="50">
        <v>13</v>
      </c>
      <c r="G38" s="50">
        <v>0</v>
      </c>
      <c r="H38" s="50">
        <v>0</v>
      </c>
      <c r="I38" s="50">
        <v>9</v>
      </c>
      <c r="J38" s="50">
        <v>1</v>
      </c>
      <c r="K38" s="50">
        <v>2</v>
      </c>
      <c r="L38" s="50">
        <v>0</v>
      </c>
      <c r="M38" s="50">
        <v>45</v>
      </c>
      <c r="N38" s="50">
        <v>0</v>
      </c>
      <c r="O38" s="15">
        <f t="shared" si="0"/>
        <v>84</v>
      </c>
      <c r="P38" s="15">
        <f t="shared" si="1"/>
        <v>129</v>
      </c>
    </row>
    <row r="39" spans="2:20" ht="23.1" customHeight="1" x14ac:dyDescent="0.25">
      <c r="B39" s="24" t="s">
        <v>66</v>
      </c>
      <c r="C39" s="50">
        <v>20</v>
      </c>
      <c r="D39" s="50">
        <v>20</v>
      </c>
      <c r="E39" s="50">
        <v>5</v>
      </c>
      <c r="F39" s="50">
        <v>27</v>
      </c>
      <c r="G39" s="50">
        <v>0</v>
      </c>
      <c r="H39" s="50">
        <v>0</v>
      </c>
      <c r="I39" s="50">
        <v>4</v>
      </c>
      <c r="J39" s="50">
        <v>0</v>
      </c>
      <c r="K39" s="50">
        <v>1</v>
      </c>
      <c r="L39" s="50">
        <v>0</v>
      </c>
      <c r="M39" s="50">
        <v>55</v>
      </c>
      <c r="N39" s="50">
        <v>0</v>
      </c>
      <c r="O39" s="15">
        <f t="shared" si="0"/>
        <v>77</v>
      </c>
      <c r="P39" s="15">
        <f t="shared" si="1"/>
        <v>132</v>
      </c>
    </row>
    <row r="40" spans="2:20" ht="23.1" customHeight="1" x14ac:dyDescent="0.25">
      <c r="B40" s="24" t="s">
        <v>67</v>
      </c>
      <c r="C40" s="50">
        <v>40</v>
      </c>
      <c r="D40" s="50">
        <v>22</v>
      </c>
      <c r="E40" s="50">
        <v>1</v>
      </c>
      <c r="F40" s="50">
        <v>14</v>
      </c>
      <c r="G40" s="50">
        <v>0</v>
      </c>
      <c r="H40" s="50">
        <v>1</v>
      </c>
      <c r="I40" s="50">
        <v>2</v>
      </c>
      <c r="J40" s="50">
        <v>1</v>
      </c>
      <c r="K40" s="50">
        <v>1</v>
      </c>
      <c r="L40" s="50">
        <v>0</v>
      </c>
      <c r="M40" s="50">
        <v>47</v>
      </c>
      <c r="N40" s="50">
        <v>0</v>
      </c>
      <c r="O40" s="15">
        <f t="shared" si="0"/>
        <v>82</v>
      </c>
      <c r="P40" s="15">
        <f t="shared" si="1"/>
        <v>129</v>
      </c>
    </row>
    <row r="41" spans="2:20" ht="23.1" customHeight="1" x14ac:dyDescent="0.25">
      <c r="B41" s="23" t="s">
        <v>68</v>
      </c>
      <c r="C41" s="50">
        <v>30</v>
      </c>
      <c r="D41" s="50">
        <v>20</v>
      </c>
      <c r="E41" s="50">
        <v>1</v>
      </c>
      <c r="F41" s="50">
        <v>12</v>
      </c>
      <c r="G41" s="50">
        <v>0</v>
      </c>
      <c r="H41" s="50">
        <v>0</v>
      </c>
      <c r="I41" s="50">
        <v>4</v>
      </c>
      <c r="J41" s="50">
        <v>2</v>
      </c>
      <c r="K41" s="50">
        <v>1</v>
      </c>
      <c r="L41" s="50">
        <v>0</v>
      </c>
      <c r="M41" s="50">
        <v>20</v>
      </c>
      <c r="N41" s="50">
        <v>0</v>
      </c>
      <c r="O41" s="15">
        <f t="shared" si="0"/>
        <v>70</v>
      </c>
      <c r="P41" s="15">
        <f t="shared" si="1"/>
        <v>90</v>
      </c>
    </row>
    <row r="42" spans="2:20" ht="23.1" customHeight="1" x14ac:dyDescent="0.25">
      <c r="B42" s="24" t="s">
        <v>69</v>
      </c>
      <c r="C42" s="50">
        <v>36</v>
      </c>
      <c r="D42" s="50">
        <v>24</v>
      </c>
      <c r="E42" s="50">
        <v>2</v>
      </c>
      <c r="F42" s="50">
        <v>12</v>
      </c>
      <c r="G42" s="50">
        <v>0</v>
      </c>
      <c r="H42" s="50">
        <v>0</v>
      </c>
      <c r="I42" s="50">
        <v>3</v>
      </c>
      <c r="J42" s="50">
        <v>1</v>
      </c>
      <c r="K42" s="50">
        <v>2</v>
      </c>
      <c r="L42" s="50">
        <v>0</v>
      </c>
      <c r="M42" s="50">
        <v>62</v>
      </c>
      <c r="N42" s="50">
        <v>0</v>
      </c>
      <c r="O42" s="15">
        <f t="shared" si="0"/>
        <v>80</v>
      </c>
      <c r="P42" s="15">
        <f t="shared" si="1"/>
        <v>142</v>
      </c>
    </row>
    <row r="43" spans="2:20" ht="23.1" customHeight="1" x14ac:dyDescent="0.25">
      <c r="B43" s="23" t="s">
        <v>70</v>
      </c>
      <c r="C43" s="50">
        <v>35</v>
      </c>
      <c r="D43" s="50">
        <v>15</v>
      </c>
      <c r="E43" s="50">
        <v>5</v>
      </c>
      <c r="F43" s="50">
        <v>11</v>
      </c>
      <c r="G43" s="50">
        <v>0</v>
      </c>
      <c r="H43" s="50">
        <v>0</v>
      </c>
      <c r="I43" s="50">
        <v>2</v>
      </c>
      <c r="J43" s="50">
        <v>3</v>
      </c>
      <c r="K43" s="50">
        <v>3</v>
      </c>
      <c r="L43" s="50">
        <v>0</v>
      </c>
      <c r="M43" s="50">
        <v>53</v>
      </c>
      <c r="N43" s="50">
        <v>0</v>
      </c>
      <c r="O43" s="15">
        <f t="shared" si="0"/>
        <v>74</v>
      </c>
      <c r="P43" s="15">
        <f t="shared" si="1"/>
        <v>127</v>
      </c>
    </row>
    <row r="44" spans="2:20" ht="23.1" customHeight="1" x14ac:dyDescent="0.25">
      <c r="B44" s="25" t="s">
        <v>71</v>
      </c>
      <c r="C44" s="50">
        <v>50</v>
      </c>
      <c r="D44" s="50">
        <v>20</v>
      </c>
      <c r="E44" s="50">
        <v>5</v>
      </c>
      <c r="F44" s="50">
        <v>15</v>
      </c>
      <c r="G44" s="50">
        <v>0</v>
      </c>
      <c r="H44" s="50">
        <v>0</v>
      </c>
      <c r="I44" s="50">
        <v>4</v>
      </c>
      <c r="J44" s="50">
        <v>2</v>
      </c>
      <c r="K44" s="50">
        <v>5</v>
      </c>
      <c r="L44" s="50">
        <v>0</v>
      </c>
      <c r="M44" s="50">
        <v>60</v>
      </c>
      <c r="N44" s="50">
        <v>0</v>
      </c>
      <c r="O44" s="15">
        <f t="shared" si="0"/>
        <v>101</v>
      </c>
      <c r="P44" s="15">
        <f t="shared" si="1"/>
        <v>161</v>
      </c>
    </row>
    <row r="45" spans="2:20" ht="23.1" customHeight="1" x14ac:dyDescent="0.25">
      <c r="B45" s="23" t="s">
        <v>72</v>
      </c>
      <c r="C45" s="50">
        <v>40</v>
      </c>
      <c r="D45" s="50">
        <v>13</v>
      </c>
      <c r="E45" s="50">
        <v>6</v>
      </c>
      <c r="F45" s="50">
        <v>12</v>
      </c>
      <c r="G45" s="50">
        <v>0</v>
      </c>
      <c r="H45" s="50">
        <v>0</v>
      </c>
      <c r="I45" s="50">
        <v>3</v>
      </c>
      <c r="J45" s="50">
        <v>2</v>
      </c>
      <c r="K45" s="50">
        <v>2</v>
      </c>
      <c r="L45" s="50">
        <v>0</v>
      </c>
      <c r="M45" s="50">
        <v>64</v>
      </c>
      <c r="N45" s="50">
        <v>0</v>
      </c>
      <c r="O45" s="15">
        <f t="shared" si="0"/>
        <v>78</v>
      </c>
      <c r="P45" s="15">
        <f t="shared" si="1"/>
        <v>142</v>
      </c>
    </row>
    <row r="46" spans="2:20" ht="23.1" customHeight="1" x14ac:dyDescent="0.25">
      <c r="B46" s="24" t="s">
        <v>73</v>
      </c>
      <c r="C46" s="50">
        <v>33</v>
      </c>
      <c r="D46" s="50">
        <v>31</v>
      </c>
      <c r="E46" s="50">
        <v>3</v>
      </c>
      <c r="F46" s="50">
        <v>13</v>
      </c>
      <c r="G46" s="50">
        <v>0</v>
      </c>
      <c r="H46" s="50">
        <v>0</v>
      </c>
      <c r="I46" s="50">
        <v>3</v>
      </c>
      <c r="J46" s="50">
        <v>1</v>
      </c>
      <c r="K46" s="50">
        <v>2</v>
      </c>
      <c r="L46" s="50">
        <v>0</v>
      </c>
      <c r="M46" s="50">
        <v>90</v>
      </c>
      <c r="N46" s="50">
        <v>0</v>
      </c>
      <c r="O46" s="15">
        <f t="shared" si="0"/>
        <v>86</v>
      </c>
      <c r="P46" s="15">
        <f t="shared" si="1"/>
        <v>176</v>
      </c>
      <c r="R46" s="8"/>
      <c r="T46"/>
    </row>
    <row r="47" spans="2:20" ht="23.1" customHeight="1" x14ac:dyDescent="0.25">
      <c r="B47" s="24" t="s">
        <v>74</v>
      </c>
      <c r="C47" s="50">
        <v>23</v>
      </c>
      <c r="D47" s="50">
        <v>40</v>
      </c>
      <c r="E47" s="50">
        <v>1</v>
      </c>
      <c r="F47" s="50">
        <v>4</v>
      </c>
      <c r="G47" s="50">
        <v>0</v>
      </c>
      <c r="H47" s="50">
        <v>0</v>
      </c>
      <c r="I47" s="50">
        <v>3</v>
      </c>
      <c r="J47" s="50">
        <v>0</v>
      </c>
      <c r="K47" s="50">
        <v>1</v>
      </c>
      <c r="L47" s="50">
        <v>0</v>
      </c>
      <c r="M47" s="50">
        <v>85</v>
      </c>
      <c r="N47" s="50">
        <v>0</v>
      </c>
      <c r="O47" s="15">
        <f t="shared" si="0"/>
        <v>72</v>
      </c>
      <c r="P47" s="15">
        <f t="shared" si="1"/>
        <v>157</v>
      </c>
      <c r="R47" s="8"/>
      <c r="T47"/>
    </row>
    <row r="48" spans="2:20" ht="23.1" customHeight="1" x14ac:dyDescent="0.25">
      <c r="B48" s="24" t="s">
        <v>75</v>
      </c>
      <c r="C48" s="50">
        <v>76</v>
      </c>
      <c r="D48" s="50">
        <v>45</v>
      </c>
      <c r="E48" s="50">
        <v>4</v>
      </c>
      <c r="F48" s="50">
        <v>10</v>
      </c>
      <c r="G48" s="50">
        <v>0</v>
      </c>
      <c r="H48" s="50">
        <v>0</v>
      </c>
      <c r="I48" s="50">
        <v>6</v>
      </c>
      <c r="J48" s="50">
        <v>1</v>
      </c>
      <c r="K48" s="50">
        <v>3</v>
      </c>
      <c r="L48" s="50">
        <v>0</v>
      </c>
      <c r="M48" s="50">
        <v>125</v>
      </c>
      <c r="N48" s="50">
        <v>0</v>
      </c>
      <c r="O48" s="15">
        <f t="shared" si="0"/>
        <v>145</v>
      </c>
      <c r="P48" s="15">
        <f t="shared" si="1"/>
        <v>270</v>
      </c>
      <c r="R48" s="8"/>
      <c r="T48"/>
    </row>
    <row r="49" spans="2:20" ht="23.1" customHeight="1" x14ac:dyDescent="0.25">
      <c r="B49" s="23" t="s">
        <v>76</v>
      </c>
      <c r="C49" s="50">
        <v>60</v>
      </c>
      <c r="D49" s="50">
        <v>75</v>
      </c>
      <c r="E49" s="50">
        <v>6</v>
      </c>
      <c r="F49" s="50">
        <v>60</v>
      </c>
      <c r="G49" s="50">
        <v>0</v>
      </c>
      <c r="H49" s="50">
        <v>0</v>
      </c>
      <c r="I49" s="50">
        <v>7</v>
      </c>
      <c r="J49" s="50">
        <v>2</v>
      </c>
      <c r="K49" s="50">
        <v>5</v>
      </c>
      <c r="L49" s="50">
        <v>0</v>
      </c>
      <c r="M49" s="50">
        <v>105</v>
      </c>
      <c r="N49" s="50">
        <v>0</v>
      </c>
      <c r="O49" s="15">
        <f t="shared" si="0"/>
        <v>215</v>
      </c>
      <c r="P49" s="15">
        <f t="shared" si="1"/>
        <v>320</v>
      </c>
      <c r="R49" s="8"/>
      <c r="T49"/>
    </row>
    <row r="50" spans="2:20" ht="23.1" customHeight="1" x14ac:dyDescent="0.25">
      <c r="B50" s="24" t="s">
        <v>77</v>
      </c>
      <c r="C50" s="50">
        <v>70</v>
      </c>
      <c r="D50" s="50">
        <v>34</v>
      </c>
      <c r="E50" s="50">
        <v>2</v>
      </c>
      <c r="F50" s="50">
        <v>40</v>
      </c>
      <c r="G50" s="50">
        <v>0</v>
      </c>
      <c r="H50" s="50">
        <v>0</v>
      </c>
      <c r="I50" s="50">
        <v>3</v>
      </c>
      <c r="J50" s="50">
        <v>2</v>
      </c>
      <c r="K50" s="50">
        <v>1</v>
      </c>
      <c r="L50" s="50">
        <v>0</v>
      </c>
      <c r="M50" s="50">
        <v>60</v>
      </c>
      <c r="N50" s="50">
        <v>0</v>
      </c>
      <c r="O50" s="15">
        <f t="shared" si="0"/>
        <v>152</v>
      </c>
      <c r="P50" s="15">
        <f t="shared" si="1"/>
        <v>212</v>
      </c>
      <c r="R50" s="8"/>
      <c r="T50"/>
    </row>
    <row r="51" spans="2:20" ht="23.1" customHeight="1" x14ac:dyDescent="0.25">
      <c r="B51" s="24" t="s">
        <v>78</v>
      </c>
      <c r="C51" s="50">
        <v>40</v>
      </c>
      <c r="D51" s="50">
        <v>41</v>
      </c>
      <c r="E51" s="50">
        <v>5</v>
      </c>
      <c r="F51" s="50">
        <v>9</v>
      </c>
      <c r="G51" s="50">
        <v>0</v>
      </c>
      <c r="H51" s="50">
        <v>0</v>
      </c>
      <c r="I51" s="50">
        <v>5</v>
      </c>
      <c r="J51" s="50">
        <v>0</v>
      </c>
      <c r="K51" s="50">
        <v>1</v>
      </c>
      <c r="L51" s="50">
        <v>0</v>
      </c>
      <c r="M51" s="50">
        <v>82</v>
      </c>
      <c r="N51" s="50">
        <v>0</v>
      </c>
      <c r="O51" s="15">
        <f t="shared" si="0"/>
        <v>101</v>
      </c>
      <c r="P51" s="15">
        <f t="shared" si="1"/>
        <v>183</v>
      </c>
      <c r="R51" s="8"/>
      <c r="T51"/>
    </row>
    <row r="52" spans="2:20" ht="23.1" customHeight="1" x14ac:dyDescent="0.25">
      <c r="B52" s="24" t="s">
        <v>79</v>
      </c>
      <c r="C52" s="50">
        <v>50</v>
      </c>
      <c r="D52" s="50">
        <v>42</v>
      </c>
      <c r="E52" s="50">
        <v>14</v>
      </c>
      <c r="F52" s="50">
        <v>18</v>
      </c>
      <c r="G52" s="50">
        <v>0</v>
      </c>
      <c r="H52" s="50">
        <v>0</v>
      </c>
      <c r="I52" s="50">
        <v>0</v>
      </c>
      <c r="J52" s="50">
        <v>0</v>
      </c>
      <c r="K52" s="50">
        <v>1</v>
      </c>
      <c r="L52" s="50">
        <v>0</v>
      </c>
      <c r="M52" s="50">
        <v>70</v>
      </c>
      <c r="N52" s="50">
        <v>0</v>
      </c>
      <c r="O52" s="15">
        <f t="shared" si="0"/>
        <v>125</v>
      </c>
      <c r="P52" s="15">
        <f t="shared" si="1"/>
        <v>195</v>
      </c>
      <c r="R52" s="8"/>
      <c r="T52"/>
    </row>
    <row r="53" spans="2:20" ht="23.1" customHeight="1" x14ac:dyDescent="0.25">
      <c r="B53" s="23" t="s">
        <v>80</v>
      </c>
      <c r="C53" s="50">
        <v>40</v>
      </c>
      <c r="D53" s="50">
        <v>55</v>
      </c>
      <c r="E53" s="50">
        <v>10</v>
      </c>
      <c r="F53" s="50">
        <v>15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80</v>
      </c>
      <c r="N53" s="50">
        <v>0</v>
      </c>
      <c r="O53" s="15">
        <f t="shared" si="0"/>
        <v>124</v>
      </c>
      <c r="P53" s="15">
        <f t="shared" si="1"/>
        <v>204</v>
      </c>
      <c r="R53" s="8"/>
      <c r="T53"/>
    </row>
    <row r="54" spans="2:20" ht="23.1" customHeight="1" x14ac:dyDescent="0.25">
      <c r="B54" s="23" t="s">
        <v>81</v>
      </c>
      <c r="C54" s="50">
        <v>50</v>
      </c>
      <c r="D54" s="50">
        <v>42</v>
      </c>
      <c r="E54" s="50">
        <v>9</v>
      </c>
      <c r="F54" s="50">
        <v>12</v>
      </c>
      <c r="G54" s="50">
        <v>1</v>
      </c>
      <c r="H54" s="50">
        <v>0</v>
      </c>
      <c r="I54" s="50">
        <v>1</v>
      </c>
      <c r="J54" s="50">
        <v>0</v>
      </c>
      <c r="K54" s="50">
        <v>1</v>
      </c>
      <c r="L54" s="50">
        <v>0</v>
      </c>
      <c r="M54" s="50">
        <v>120</v>
      </c>
      <c r="N54" s="50">
        <v>0</v>
      </c>
      <c r="O54" s="15">
        <f t="shared" si="0"/>
        <v>116</v>
      </c>
      <c r="P54" s="15">
        <f t="shared" si="1"/>
        <v>236</v>
      </c>
      <c r="R54" s="8"/>
      <c r="T54"/>
    </row>
    <row r="55" spans="2:20" ht="23.1" customHeight="1" x14ac:dyDescent="0.25">
      <c r="B55" s="23" t="s">
        <v>82</v>
      </c>
      <c r="C55" s="50">
        <v>60</v>
      </c>
      <c r="D55" s="50">
        <v>75</v>
      </c>
      <c r="E55" s="50">
        <v>13</v>
      </c>
      <c r="F55" s="50">
        <v>30</v>
      </c>
      <c r="G55" s="50">
        <v>0</v>
      </c>
      <c r="H55" s="50">
        <v>0</v>
      </c>
      <c r="I55" s="50">
        <v>10</v>
      </c>
      <c r="J55" s="50">
        <v>2</v>
      </c>
      <c r="K55" s="50">
        <v>0</v>
      </c>
      <c r="L55" s="50">
        <v>0</v>
      </c>
      <c r="M55" s="50">
        <v>70</v>
      </c>
      <c r="N55" s="50">
        <v>0</v>
      </c>
      <c r="O55" s="15">
        <f t="shared" si="0"/>
        <v>190</v>
      </c>
      <c r="P55" s="15">
        <f t="shared" si="1"/>
        <v>260</v>
      </c>
      <c r="R55" s="8"/>
      <c r="T55"/>
    </row>
    <row r="56" spans="2:20" ht="23.1" customHeight="1" x14ac:dyDescent="0.25">
      <c r="B56" s="23" t="s">
        <v>83</v>
      </c>
      <c r="C56" s="50">
        <v>70</v>
      </c>
      <c r="D56" s="50">
        <v>75</v>
      </c>
      <c r="E56" s="50">
        <v>10</v>
      </c>
      <c r="F56" s="50">
        <v>45</v>
      </c>
      <c r="G56" s="50">
        <v>0</v>
      </c>
      <c r="H56" s="50">
        <v>0</v>
      </c>
      <c r="I56" s="50">
        <v>1</v>
      </c>
      <c r="J56" s="50">
        <v>3</v>
      </c>
      <c r="K56" s="50">
        <v>5</v>
      </c>
      <c r="L56" s="50">
        <v>0</v>
      </c>
      <c r="M56" s="50">
        <v>80</v>
      </c>
      <c r="N56" s="50">
        <v>0</v>
      </c>
      <c r="O56" s="15">
        <f t="shared" si="0"/>
        <v>209</v>
      </c>
      <c r="P56" s="15">
        <f t="shared" si="1"/>
        <v>289</v>
      </c>
      <c r="R56" s="8"/>
      <c r="T56"/>
    </row>
    <row r="57" spans="2:20" ht="23.1" customHeight="1" x14ac:dyDescent="0.25">
      <c r="B57" s="23" t="s">
        <v>84</v>
      </c>
      <c r="C57" s="50">
        <v>60</v>
      </c>
      <c r="D57" s="50">
        <v>30</v>
      </c>
      <c r="E57" s="50">
        <v>3</v>
      </c>
      <c r="F57" s="50">
        <v>50</v>
      </c>
      <c r="G57" s="50">
        <v>0</v>
      </c>
      <c r="H57" s="50">
        <v>0</v>
      </c>
      <c r="I57" s="50">
        <v>15</v>
      </c>
      <c r="J57" s="50">
        <v>0</v>
      </c>
      <c r="K57" s="50">
        <v>0</v>
      </c>
      <c r="L57" s="50">
        <v>0</v>
      </c>
      <c r="M57" s="50">
        <v>60</v>
      </c>
      <c r="N57" s="50">
        <v>0</v>
      </c>
      <c r="O57" s="15">
        <f t="shared" si="0"/>
        <v>158</v>
      </c>
      <c r="P57" s="15">
        <f t="shared" si="1"/>
        <v>218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1716</v>
      </c>
      <c r="D58" s="16">
        <f t="shared" si="21"/>
        <v>1105</v>
      </c>
      <c r="E58" s="16">
        <f t="shared" si="21"/>
        <v>230</v>
      </c>
      <c r="F58" s="16">
        <f t="shared" si="21"/>
        <v>1029</v>
      </c>
      <c r="G58" s="16">
        <f t="shared" si="21"/>
        <v>5</v>
      </c>
      <c r="H58" s="16">
        <f t="shared" si="21"/>
        <v>1</v>
      </c>
      <c r="I58" s="16">
        <f t="shared" si="21"/>
        <v>151</v>
      </c>
      <c r="J58" s="16">
        <f t="shared" si="21"/>
        <v>57</v>
      </c>
      <c r="K58" s="16">
        <f t="shared" si="21"/>
        <v>90</v>
      </c>
      <c r="L58" s="16">
        <f t="shared" si="21"/>
        <v>10</v>
      </c>
      <c r="M58" s="16">
        <f t="shared" si="21"/>
        <v>3434</v>
      </c>
      <c r="N58" s="16">
        <f t="shared" si="21"/>
        <v>0</v>
      </c>
      <c r="O58" s="16">
        <f t="shared" si="21"/>
        <v>4394</v>
      </c>
      <c r="P58" s="16">
        <f t="shared" si="21"/>
        <v>7828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0.21921308124680633</v>
      </c>
      <c r="D59" s="43">
        <f t="shared" si="22"/>
        <v>0.14115993868165561</v>
      </c>
      <c r="E59" s="43">
        <f t="shared" si="22"/>
        <v>2.9381706693919263E-2</v>
      </c>
      <c r="F59" s="43">
        <f t="shared" si="22"/>
        <v>0.13145120081757791</v>
      </c>
      <c r="G59" s="43">
        <f t="shared" si="22"/>
        <v>6.3873275421563616E-4</v>
      </c>
      <c r="H59" s="43">
        <f t="shared" si="22"/>
        <v>1.2774655084312725E-4</v>
      </c>
      <c r="I59" s="43">
        <f t="shared" si="22"/>
        <v>1.9289729177312212E-2</v>
      </c>
      <c r="J59" s="43">
        <f t="shared" si="22"/>
        <v>7.2815533980582527E-3</v>
      </c>
      <c r="K59" s="43">
        <f t="shared" si="22"/>
        <v>1.1497189575881452E-2</v>
      </c>
      <c r="L59" s="43">
        <f t="shared" si="22"/>
        <v>1.2774655084312723E-3</v>
      </c>
      <c r="M59" s="43">
        <f t="shared" si="22"/>
        <v>0.43868165559529892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0.39053254437869822</v>
      </c>
      <c r="D60" s="44">
        <f t="shared" ref="D60:N60" si="23">D58/$O$58</f>
        <v>0.25147928994082841</v>
      </c>
      <c r="E60" s="44">
        <f t="shared" si="23"/>
        <v>5.2344105598543467E-2</v>
      </c>
      <c r="F60" s="44">
        <f t="shared" si="23"/>
        <v>0.23418297678652708</v>
      </c>
      <c r="G60" s="44">
        <f t="shared" si="23"/>
        <v>1.137915339098771E-3</v>
      </c>
      <c r="H60" s="44">
        <f t="shared" si="23"/>
        <v>2.2758306781975421E-4</v>
      </c>
      <c r="I60" s="44">
        <f t="shared" si="23"/>
        <v>3.4365043240782885E-2</v>
      </c>
      <c r="J60" s="44">
        <f t="shared" si="23"/>
        <v>1.297223486572599E-2</v>
      </c>
      <c r="K60" s="44">
        <f t="shared" si="23"/>
        <v>2.0482476103777878E-2</v>
      </c>
      <c r="L60" s="44">
        <f t="shared" si="23"/>
        <v>2.2758306781975419E-3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79" zoomScale="60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Kyanja -Kisaasi'!C3:G3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6" t="str">
        <f>'01.08 Kisaasi-Kyanja-24h'!G5:H5</f>
        <v>Malcom Health center</v>
      </c>
      <c r="H5" s="67"/>
      <c r="I5" s="14"/>
      <c r="J5" s="2" t="s">
        <v>5</v>
      </c>
      <c r="K5" s="66" t="s">
        <v>169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Kyanja -Kisaasi'!D6:E6</f>
        <v>Kyanja</v>
      </c>
      <c r="E6" s="67"/>
      <c r="F6" s="2" t="s">
        <v>2</v>
      </c>
      <c r="G6" s="66" t="str">
        <f>'29.07 Kyanja -Kisaasi'!G6:H6</f>
        <v>Kisaasi</v>
      </c>
      <c r="H6" s="67"/>
      <c r="J6" s="2" t="s">
        <v>21</v>
      </c>
      <c r="K6" s="66" t="s">
        <v>164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30</v>
      </c>
      <c r="D10" s="50">
        <v>10</v>
      </c>
      <c r="E10" s="50">
        <v>8</v>
      </c>
      <c r="F10" s="50">
        <v>30</v>
      </c>
      <c r="G10" s="50">
        <v>0</v>
      </c>
      <c r="H10" s="50">
        <v>0</v>
      </c>
      <c r="I10" s="50">
        <v>5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83</v>
      </c>
      <c r="P10" s="15">
        <f t="shared" ref="P10:P73" si="1">SUM(C10:N10)</f>
        <v>83</v>
      </c>
      <c r="R10" s="1" t="s">
        <v>6</v>
      </c>
      <c r="S10" s="17">
        <f t="shared" ref="S10:AF10" si="2">SUM(C10:C13)</f>
        <v>248</v>
      </c>
      <c r="T10" s="17">
        <f t="shared" si="2"/>
        <v>93</v>
      </c>
      <c r="U10" s="17">
        <f t="shared" si="2"/>
        <v>48</v>
      </c>
      <c r="V10" s="17">
        <f t="shared" si="2"/>
        <v>108</v>
      </c>
      <c r="W10" s="17">
        <f t="shared" si="2"/>
        <v>0</v>
      </c>
      <c r="X10" s="17">
        <f t="shared" si="2"/>
        <v>0</v>
      </c>
      <c r="Y10" s="17">
        <f t="shared" si="2"/>
        <v>15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512</v>
      </c>
      <c r="AF10" s="31">
        <f t="shared" si="2"/>
        <v>512</v>
      </c>
    </row>
    <row r="11" spans="2:32" s="6" customFormat="1" ht="23.1" customHeight="1" x14ac:dyDescent="0.25">
      <c r="B11" s="45" t="s">
        <v>38</v>
      </c>
      <c r="C11" s="50">
        <v>43</v>
      </c>
      <c r="D11" s="50">
        <v>16</v>
      </c>
      <c r="E11" s="50">
        <v>10</v>
      </c>
      <c r="F11" s="50">
        <v>27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98</v>
      </c>
      <c r="P11" s="15">
        <f t="shared" si="1"/>
        <v>98</v>
      </c>
      <c r="R11" s="1" t="s">
        <v>7</v>
      </c>
      <c r="S11" s="17">
        <f t="shared" ref="S11:AF11" si="3">SUM(C14:C17)</f>
        <v>460</v>
      </c>
      <c r="T11" s="17">
        <f t="shared" si="3"/>
        <v>182</v>
      </c>
      <c r="U11" s="17">
        <f t="shared" si="3"/>
        <v>56</v>
      </c>
      <c r="V11" s="17">
        <f t="shared" si="3"/>
        <v>112</v>
      </c>
      <c r="W11" s="17">
        <f t="shared" si="3"/>
        <v>1</v>
      </c>
      <c r="X11" s="17">
        <f t="shared" si="3"/>
        <v>0</v>
      </c>
      <c r="Y11" s="17">
        <f t="shared" si="3"/>
        <v>21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832</v>
      </c>
      <c r="AF11" s="31">
        <f t="shared" si="3"/>
        <v>832</v>
      </c>
    </row>
    <row r="12" spans="2:32" ht="23.1" customHeight="1" x14ac:dyDescent="0.25">
      <c r="B12" s="45" t="s">
        <v>39</v>
      </c>
      <c r="C12" s="50">
        <v>75</v>
      </c>
      <c r="D12" s="50">
        <v>25</v>
      </c>
      <c r="E12" s="50">
        <v>10</v>
      </c>
      <c r="F12" s="50">
        <v>16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128</v>
      </c>
      <c r="P12" s="15">
        <f t="shared" si="1"/>
        <v>128</v>
      </c>
      <c r="R12" s="1" t="s">
        <v>8</v>
      </c>
      <c r="S12" s="17">
        <f t="shared" ref="S12:AF12" si="4">SUM(C18:C21)</f>
        <v>377</v>
      </c>
      <c r="T12" s="17">
        <f t="shared" si="4"/>
        <v>100</v>
      </c>
      <c r="U12" s="17">
        <f t="shared" si="4"/>
        <v>39</v>
      </c>
      <c r="V12" s="17">
        <f t="shared" si="4"/>
        <v>73</v>
      </c>
      <c r="W12" s="17">
        <f t="shared" si="4"/>
        <v>0</v>
      </c>
      <c r="X12" s="17">
        <f t="shared" si="4"/>
        <v>0</v>
      </c>
      <c r="Y12" s="17">
        <f t="shared" si="4"/>
        <v>16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0</v>
      </c>
      <c r="AD12" s="17">
        <f t="shared" si="4"/>
        <v>0</v>
      </c>
      <c r="AE12" s="31">
        <f t="shared" si="4"/>
        <v>605</v>
      </c>
      <c r="AF12" s="31">
        <f t="shared" si="4"/>
        <v>605</v>
      </c>
    </row>
    <row r="13" spans="2:32" ht="23.1" customHeight="1" x14ac:dyDescent="0.25">
      <c r="B13" s="45" t="s">
        <v>40</v>
      </c>
      <c r="C13" s="50">
        <v>100</v>
      </c>
      <c r="D13" s="50">
        <v>42</v>
      </c>
      <c r="E13" s="50">
        <v>20</v>
      </c>
      <c r="F13" s="50">
        <v>35</v>
      </c>
      <c r="G13" s="50">
        <v>0</v>
      </c>
      <c r="H13" s="50">
        <v>0</v>
      </c>
      <c r="I13" s="50">
        <v>6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203</v>
      </c>
      <c r="P13" s="15">
        <f t="shared" si="1"/>
        <v>203</v>
      </c>
      <c r="R13" s="1" t="s">
        <v>9</v>
      </c>
      <c r="S13" s="17">
        <f t="shared" ref="S13:AF13" si="5">SUM(C22:C25)</f>
        <v>398</v>
      </c>
      <c r="T13" s="17">
        <f t="shared" si="5"/>
        <v>190</v>
      </c>
      <c r="U13" s="17">
        <f t="shared" si="5"/>
        <v>42</v>
      </c>
      <c r="V13" s="17">
        <f t="shared" si="5"/>
        <v>89</v>
      </c>
      <c r="W13" s="17">
        <f t="shared" si="5"/>
        <v>0</v>
      </c>
      <c r="X13" s="17">
        <f t="shared" si="5"/>
        <v>0</v>
      </c>
      <c r="Y13" s="17">
        <f t="shared" si="5"/>
        <v>17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0</v>
      </c>
      <c r="AD13" s="17">
        <f t="shared" si="5"/>
        <v>0</v>
      </c>
      <c r="AE13" s="31">
        <f t="shared" si="5"/>
        <v>736</v>
      </c>
      <c r="AF13" s="31">
        <f t="shared" si="5"/>
        <v>736</v>
      </c>
    </row>
    <row r="14" spans="2:32" ht="23.1" customHeight="1" x14ac:dyDescent="0.25">
      <c r="B14" s="45" t="s">
        <v>41</v>
      </c>
      <c r="C14" s="50">
        <v>85</v>
      </c>
      <c r="D14" s="50">
        <v>13</v>
      </c>
      <c r="E14" s="50">
        <v>2</v>
      </c>
      <c r="F14" s="50">
        <v>16</v>
      </c>
      <c r="G14" s="50">
        <v>0</v>
      </c>
      <c r="H14" s="50">
        <v>0</v>
      </c>
      <c r="I14" s="50">
        <v>8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124</v>
      </c>
      <c r="P14" s="15">
        <f t="shared" si="1"/>
        <v>124</v>
      </c>
      <c r="R14" s="1" t="s">
        <v>10</v>
      </c>
      <c r="S14" s="17">
        <f t="shared" ref="S14:AF14" si="6">SUM(C26:C29)</f>
        <v>410</v>
      </c>
      <c r="T14" s="17">
        <f t="shared" si="6"/>
        <v>197</v>
      </c>
      <c r="U14" s="17">
        <f t="shared" si="6"/>
        <v>44</v>
      </c>
      <c r="V14" s="17">
        <f t="shared" si="6"/>
        <v>63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0</v>
      </c>
      <c r="AD14" s="17">
        <f t="shared" si="6"/>
        <v>0</v>
      </c>
      <c r="AE14" s="31">
        <f t="shared" si="6"/>
        <v>726</v>
      </c>
      <c r="AF14" s="31">
        <f t="shared" si="6"/>
        <v>726</v>
      </c>
    </row>
    <row r="15" spans="2:32" ht="23.1" customHeight="1" x14ac:dyDescent="0.25">
      <c r="B15" s="45" t="s">
        <v>42</v>
      </c>
      <c r="C15" s="50">
        <v>150</v>
      </c>
      <c r="D15" s="50">
        <v>37</v>
      </c>
      <c r="E15" s="50">
        <v>15</v>
      </c>
      <c r="F15" s="50">
        <v>44</v>
      </c>
      <c r="G15" s="50">
        <v>1</v>
      </c>
      <c r="H15" s="50">
        <v>0</v>
      </c>
      <c r="I15" s="50">
        <v>7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254</v>
      </c>
      <c r="P15" s="15">
        <f t="shared" si="1"/>
        <v>254</v>
      </c>
      <c r="R15" s="1" t="s">
        <v>11</v>
      </c>
      <c r="S15" s="17">
        <f t="shared" ref="S15:AF15" si="7">SUM(C30:C33)</f>
        <v>360</v>
      </c>
      <c r="T15" s="17">
        <f t="shared" si="7"/>
        <v>180</v>
      </c>
      <c r="U15" s="17">
        <f t="shared" si="7"/>
        <v>38</v>
      </c>
      <c r="V15" s="17">
        <f t="shared" si="7"/>
        <v>56</v>
      </c>
      <c r="W15" s="17">
        <f t="shared" si="7"/>
        <v>0</v>
      </c>
      <c r="X15" s="17">
        <f t="shared" si="7"/>
        <v>0</v>
      </c>
      <c r="Y15" s="17">
        <f t="shared" si="7"/>
        <v>19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0</v>
      </c>
      <c r="AD15" s="17">
        <f t="shared" si="7"/>
        <v>0</v>
      </c>
      <c r="AE15" s="31">
        <f t="shared" si="7"/>
        <v>653</v>
      </c>
      <c r="AF15" s="31">
        <f t="shared" si="7"/>
        <v>653</v>
      </c>
    </row>
    <row r="16" spans="2:32" ht="23.1" customHeight="1" x14ac:dyDescent="0.25">
      <c r="B16" s="45" t="s">
        <v>43</v>
      </c>
      <c r="C16" s="50">
        <v>85</v>
      </c>
      <c r="D16" s="50">
        <v>67</v>
      </c>
      <c r="E16" s="50">
        <v>23</v>
      </c>
      <c r="F16" s="50">
        <v>35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211</v>
      </c>
      <c r="P16" s="15">
        <f t="shared" si="1"/>
        <v>211</v>
      </c>
      <c r="R16" s="1" t="s">
        <v>12</v>
      </c>
      <c r="S16" s="17">
        <f t="shared" ref="S16:AF16" si="8">SUM(C34:C37)</f>
        <v>400</v>
      </c>
      <c r="T16" s="17">
        <f t="shared" si="8"/>
        <v>129</v>
      </c>
      <c r="U16" s="17">
        <f t="shared" si="8"/>
        <v>34</v>
      </c>
      <c r="V16" s="17">
        <f t="shared" si="8"/>
        <v>36</v>
      </c>
      <c r="W16" s="17">
        <f t="shared" si="8"/>
        <v>0</v>
      </c>
      <c r="X16" s="17">
        <f t="shared" si="8"/>
        <v>0</v>
      </c>
      <c r="Y16" s="17">
        <f t="shared" si="8"/>
        <v>23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0</v>
      </c>
      <c r="AD16" s="17">
        <f t="shared" si="8"/>
        <v>0</v>
      </c>
      <c r="AE16" s="31">
        <f t="shared" si="8"/>
        <v>622</v>
      </c>
      <c r="AF16" s="31">
        <f t="shared" si="8"/>
        <v>622</v>
      </c>
    </row>
    <row r="17" spans="2:32" ht="23.1" customHeight="1" x14ac:dyDescent="0.25">
      <c r="B17" s="45" t="s">
        <v>44</v>
      </c>
      <c r="C17" s="50">
        <v>140</v>
      </c>
      <c r="D17" s="50">
        <v>65</v>
      </c>
      <c r="E17" s="50">
        <v>16</v>
      </c>
      <c r="F17" s="50">
        <v>17</v>
      </c>
      <c r="G17" s="50">
        <v>0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243</v>
      </c>
      <c r="P17" s="15">
        <f t="shared" si="1"/>
        <v>243</v>
      </c>
      <c r="R17" s="1" t="s">
        <v>13</v>
      </c>
      <c r="S17" s="17">
        <f t="shared" ref="S17:AF17" si="9">SUM(C38:C41)</f>
        <v>350</v>
      </c>
      <c r="T17" s="17">
        <f t="shared" si="9"/>
        <v>111</v>
      </c>
      <c r="U17" s="17">
        <f t="shared" si="9"/>
        <v>24</v>
      </c>
      <c r="V17" s="17">
        <f t="shared" si="9"/>
        <v>46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</v>
      </c>
      <c r="AD17" s="17">
        <f t="shared" si="9"/>
        <v>0</v>
      </c>
      <c r="AE17" s="31">
        <f t="shared" si="9"/>
        <v>541</v>
      </c>
      <c r="AF17" s="31">
        <f t="shared" si="9"/>
        <v>541</v>
      </c>
    </row>
    <row r="18" spans="2:32" ht="23.1" customHeight="1" x14ac:dyDescent="0.25">
      <c r="B18" s="45" t="s">
        <v>45</v>
      </c>
      <c r="C18" s="50">
        <v>121</v>
      </c>
      <c r="D18" s="50">
        <v>46</v>
      </c>
      <c r="E18" s="50">
        <v>22</v>
      </c>
      <c r="F18" s="50">
        <v>23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217</v>
      </c>
      <c r="P18" s="15">
        <f t="shared" si="1"/>
        <v>217</v>
      </c>
      <c r="R18" s="1" t="s">
        <v>14</v>
      </c>
      <c r="S18" s="17">
        <f t="shared" ref="S18:AF18" si="10">SUM(C42:C45)</f>
        <v>266</v>
      </c>
      <c r="T18" s="17">
        <f t="shared" si="10"/>
        <v>159</v>
      </c>
      <c r="U18" s="17">
        <f t="shared" si="10"/>
        <v>21</v>
      </c>
      <c r="V18" s="17">
        <f t="shared" si="10"/>
        <v>44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0</v>
      </c>
      <c r="AD18" s="17">
        <f t="shared" si="10"/>
        <v>0</v>
      </c>
      <c r="AE18" s="31">
        <f t="shared" si="10"/>
        <v>497</v>
      </c>
      <c r="AF18" s="31">
        <f t="shared" si="10"/>
        <v>497</v>
      </c>
    </row>
    <row r="19" spans="2:32" ht="23.1" customHeight="1" x14ac:dyDescent="0.25">
      <c r="B19" s="45" t="s">
        <v>46</v>
      </c>
      <c r="C19" s="50">
        <v>90</v>
      </c>
      <c r="D19" s="50">
        <v>25</v>
      </c>
      <c r="E19" s="50">
        <v>5</v>
      </c>
      <c r="F19" s="50">
        <v>13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136</v>
      </c>
      <c r="P19" s="15">
        <f t="shared" si="1"/>
        <v>136</v>
      </c>
      <c r="R19" s="1" t="s">
        <v>15</v>
      </c>
      <c r="S19" s="17">
        <f t="shared" ref="S19:AF19" si="11">SUM(C46:C49)</f>
        <v>144</v>
      </c>
      <c r="T19" s="17">
        <f t="shared" si="11"/>
        <v>75</v>
      </c>
      <c r="U19" s="17">
        <f t="shared" si="11"/>
        <v>27</v>
      </c>
      <c r="V19" s="17">
        <f t="shared" si="11"/>
        <v>36</v>
      </c>
      <c r="W19" s="17">
        <f t="shared" si="11"/>
        <v>1</v>
      </c>
      <c r="X19" s="17">
        <f t="shared" si="11"/>
        <v>0</v>
      </c>
      <c r="Y19" s="17">
        <f t="shared" si="11"/>
        <v>12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0</v>
      </c>
      <c r="AD19" s="17">
        <f t="shared" si="11"/>
        <v>0</v>
      </c>
      <c r="AE19" s="31">
        <f t="shared" si="11"/>
        <v>295</v>
      </c>
      <c r="AF19" s="31">
        <f t="shared" si="11"/>
        <v>295</v>
      </c>
    </row>
    <row r="20" spans="2:32" ht="23.1" customHeight="1" x14ac:dyDescent="0.25">
      <c r="B20" s="45" t="s">
        <v>47</v>
      </c>
      <c r="C20" s="50">
        <v>91</v>
      </c>
      <c r="D20" s="50">
        <v>16</v>
      </c>
      <c r="E20" s="50">
        <v>7</v>
      </c>
      <c r="F20" s="50">
        <v>14</v>
      </c>
      <c r="G20" s="50">
        <v>0</v>
      </c>
      <c r="H20" s="50">
        <v>0</v>
      </c>
      <c r="I20" s="50">
        <v>6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134</v>
      </c>
      <c r="P20" s="15">
        <f t="shared" si="1"/>
        <v>134</v>
      </c>
      <c r="R20" s="1" t="s">
        <v>16</v>
      </c>
      <c r="S20" s="17">
        <f t="shared" ref="S20:AF20" si="12">SUM(C50:C53)</f>
        <v>158</v>
      </c>
      <c r="T20" s="17">
        <f t="shared" si="12"/>
        <v>79</v>
      </c>
      <c r="U20" s="17">
        <f t="shared" si="12"/>
        <v>32</v>
      </c>
      <c r="V20" s="17">
        <f t="shared" si="12"/>
        <v>46</v>
      </c>
      <c r="W20" s="17">
        <f t="shared" si="12"/>
        <v>0</v>
      </c>
      <c r="X20" s="17">
        <f t="shared" si="12"/>
        <v>0</v>
      </c>
      <c r="Y20" s="17">
        <f t="shared" si="12"/>
        <v>14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0</v>
      </c>
      <c r="AD20" s="17">
        <f t="shared" si="12"/>
        <v>0</v>
      </c>
      <c r="AE20" s="31">
        <f t="shared" si="12"/>
        <v>329</v>
      </c>
      <c r="AF20" s="31">
        <f t="shared" si="12"/>
        <v>329</v>
      </c>
    </row>
    <row r="21" spans="2:32" ht="23.1" customHeight="1" x14ac:dyDescent="0.25">
      <c r="B21" s="45" t="s">
        <v>48</v>
      </c>
      <c r="C21" s="50">
        <v>75</v>
      </c>
      <c r="D21" s="50">
        <v>13</v>
      </c>
      <c r="E21" s="50">
        <v>5</v>
      </c>
      <c r="F21" s="50">
        <v>23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118</v>
      </c>
      <c r="P21" s="15">
        <f t="shared" si="1"/>
        <v>118</v>
      </c>
      <c r="R21" s="36" t="s">
        <v>20</v>
      </c>
      <c r="S21" s="34">
        <f t="shared" ref="S21:AF21" si="13">SUM(C54:C57)</f>
        <v>90</v>
      </c>
      <c r="T21" s="17">
        <f t="shared" si="13"/>
        <v>90</v>
      </c>
      <c r="U21" s="17">
        <f t="shared" si="13"/>
        <v>32</v>
      </c>
      <c r="V21" s="17">
        <f t="shared" si="13"/>
        <v>40</v>
      </c>
      <c r="W21" s="17">
        <f t="shared" si="13"/>
        <v>2</v>
      </c>
      <c r="X21" s="17">
        <f t="shared" si="13"/>
        <v>0</v>
      </c>
      <c r="Y21" s="17">
        <f t="shared" si="13"/>
        <v>9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0</v>
      </c>
      <c r="AD21" s="17">
        <f t="shared" si="13"/>
        <v>0</v>
      </c>
      <c r="AE21" s="31">
        <f t="shared" si="13"/>
        <v>263</v>
      </c>
      <c r="AF21" s="31">
        <f t="shared" si="13"/>
        <v>263</v>
      </c>
    </row>
    <row r="22" spans="2:32" ht="23.1" customHeight="1" x14ac:dyDescent="0.25">
      <c r="B22" s="45" t="s">
        <v>49</v>
      </c>
      <c r="C22" s="50">
        <v>95</v>
      </c>
      <c r="D22" s="50">
        <v>45</v>
      </c>
      <c r="E22" s="50">
        <v>7</v>
      </c>
      <c r="F22" s="50">
        <v>30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181</v>
      </c>
      <c r="P22" s="15">
        <f t="shared" si="1"/>
        <v>181</v>
      </c>
      <c r="R22" s="36" t="s">
        <v>146</v>
      </c>
      <c r="S22" s="34">
        <f>SUM(C58:C61)</f>
        <v>149</v>
      </c>
      <c r="T22" s="34">
        <f t="shared" ref="T22:AF22" si="14">SUM(D58:D61)</f>
        <v>110</v>
      </c>
      <c r="U22" s="34">
        <f t="shared" si="14"/>
        <v>24</v>
      </c>
      <c r="V22" s="34">
        <f t="shared" si="14"/>
        <v>34</v>
      </c>
      <c r="W22" s="34">
        <f t="shared" si="14"/>
        <v>1</v>
      </c>
      <c r="X22" s="34">
        <f t="shared" si="14"/>
        <v>0</v>
      </c>
      <c r="Y22" s="34">
        <f t="shared" si="14"/>
        <v>11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173</v>
      </c>
      <c r="AD22" s="34">
        <f t="shared" si="14"/>
        <v>0</v>
      </c>
      <c r="AE22" s="31">
        <f t="shared" si="14"/>
        <v>329</v>
      </c>
      <c r="AF22" s="31">
        <f t="shared" si="14"/>
        <v>502</v>
      </c>
    </row>
    <row r="23" spans="2:32" ht="23.1" customHeight="1" x14ac:dyDescent="0.25">
      <c r="B23" s="45" t="s">
        <v>50</v>
      </c>
      <c r="C23" s="50">
        <v>140</v>
      </c>
      <c r="D23" s="50">
        <v>30</v>
      </c>
      <c r="E23" s="50">
        <v>8</v>
      </c>
      <c r="F23" s="50">
        <v>11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190</v>
      </c>
      <c r="P23" s="15">
        <f t="shared" si="1"/>
        <v>190</v>
      </c>
      <c r="R23" s="36" t="s">
        <v>147</v>
      </c>
      <c r="S23" s="34">
        <f>SUM(C62:C65)</f>
        <v>197</v>
      </c>
      <c r="T23" s="34">
        <f t="shared" ref="T23:AF23" si="15">SUM(D62:D65)</f>
        <v>72</v>
      </c>
      <c r="U23" s="34">
        <f t="shared" si="15"/>
        <v>29</v>
      </c>
      <c r="V23" s="34">
        <f t="shared" si="15"/>
        <v>35</v>
      </c>
      <c r="W23" s="34">
        <f t="shared" si="15"/>
        <v>0</v>
      </c>
      <c r="X23" s="34">
        <f t="shared" si="15"/>
        <v>0</v>
      </c>
      <c r="Y23" s="34">
        <f t="shared" si="15"/>
        <v>11</v>
      </c>
      <c r="Z23" s="34">
        <f t="shared" si="15"/>
        <v>3</v>
      </c>
      <c r="AA23" s="34">
        <f t="shared" si="15"/>
        <v>4</v>
      </c>
      <c r="AB23" s="34">
        <f t="shared" si="15"/>
        <v>0</v>
      </c>
      <c r="AC23" s="34">
        <f t="shared" si="15"/>
        <v>165</v>
      </c>
      <c r="AD23" s="34">
        <f t="shared" si="15"/>
        <v>0</v>
      </c>
      <c r="AE23" s="31">
        <f t="shared" si="15"/>
        <v>351</v>
      </c>
      <c r="AF23" s="31">
        <f t="shared" si="15"/>
        <v>516</v>
      </c>
    </row>
    <row r="24" spans="2:32" ht="23.1" customHeight="1" x14ac:dyDescent="0.25">
      <c r="B24" s="45" t="s">
        <v>51</v>
      </c>
      <c r="C24" s="50">
        <v>150</v>
      </c>
      <c r="D24" s="50">
        <v>80</v>
      </c>
      <c r="E24" s="50">
        <v>12</v>
      </c>
      <c r="F24" s="50">
        <v>25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272</v>
      </c>
      <c r="P24" s="15">
        <f t="shared" si="1"/>
        <v>272</v>
      </c>
      <c r="R24" s="36" t="s">
        <v>148</v>
      </c>
      <c r="S24" s="34">
        <f>SUM(C66:C69)</f>
        <v>325</v>
      </c>
      <c r="T24" s="34">
        <f t="shared" ref="T24:AF24" si="16">SUM(D66:D69)</f>
        <v>76</v>
      </c>
      <c r="U24" s="34">
        <f t="shared" si="16"/>
        <v>15</v>
      </c>
      <c r="V24" s="34">
        <f t="shared" si="16"/>
        <v>70</v>
      </c>
      <c r="W24" s="34">
        <f t="shared" si="16"/>
        <v>0</v>
      </c>
      <c r="X24" s="34">
        <f t="shared" si="16"/>
        <v>0</v>
      </c>
      <c r="Y24" s="34">
        <f t="shared" si="16"/>
        <v>7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327</v>
      </c>
      <c r="AD24" s="34">
        <f t="shared" si="16"/>
        <v>0</v>
      </c>
      <c r="AE24" s="31">
        <f t="shared" si="16"/>
        <v>495</v>
      </c>
      <c r="AF24" s="31">
        <f t="shared" si="16"/>
        <v>822</v>
      </c>
    </row>
    <row r="25" spans="2:32" ht="23.1" customHeight="1" x14ac:dyDescent="0.25">
      <c r="B25" s="45" t="s">
        <v>52</v>
      </c>
      <c r="C25" s="50">
        <v>13</v>
      </c>
      <c r="D25" s="50">
        <v>35</v>
      </c>
      <c r="E25" s="50">
        <v>15</v>
      </c>
      <c r="F25" s="50">
        <v>23</v>
      </c>
      <c r="G25" s="50">
        <v>0</v>
      </c>
      <c r="H25" s="50">
        <v>0</v>
      </c>
      <c r="I25" s="50">
        <v>7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93</v>
      </c>
      <c r="P25" s="15">
        <f t="shared" si="1"/>
        <v>93</v>
      </c>
      <c r="R25" s="36" t="s">
        <v>149</v>
      </c>
      <c r="S25" s="34">
        <f>SUM(C70:C73)</f>
        <v>208</v>
      </c>
      <c r="T25" s="34">
        <f t="shared" ref="T25:AF25" si="17">SUM(D70:D73)</f>
        <v>101</v>
      </c>
      <c r="U25" s="34">
        <f t="shared" si="17"/>
        <v>19</v>
      </c>
      <c r="V25" s="34">
        <f t="shared" si="17"/>
        <v>61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3</v>
      </c>
      <c r="AA25" s="34">
        <f t="shared" si="17"/>
        <v>0</v>
      </c>
      <c r="AB25" s="34">
        <f t="shared" si="17"/>
        <v>0</v>
      </c>
      <c r="AC25" s="34">
        <f t="shared" si="17"/>
        <v>285</v>
      </c>
      <c r="AD25" s="34">
        <f t="shared" si="17"/>
        <v>0</v>
      </c>
      <c r="AE25" s="31">
        <f t="shared" si="17"/>
        <v>396</v>
      </c>
      <c r="AF25" s="31">
        <f t="shared" si="17"/>
        <v>681</v>
      </c>
    </row>
    <row r="26" spans="2:32" ht="23.1" customHeight="1" x14ac:dyDescent="0.25">
      <c r="B26" s="45" t="s">
        <v>53</v>
      </c>
      <c r="C26" s="50">
        <v>105</v>
      </c>
      <c r="D26" s="50">
        <v>52</v>
      </c>
      <c r="E26" s="50">
        <v>11</v>
      </c>
      <c r="F26" s="50">
        <v>15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187</v>
      </c>
      <c r="P26" s="15">
        <f t="shared" si="1"/>
        <v>187</v>
      </c>
      <c r="R26" s="36" t="s">
        <v>150</v>
      </c>
      <c r="S26" s="34">
        <f>SUM(C74:C77)</f>
        <v>161</v>
      </c>
      <c r="T26" s="34">
        <f t="shared" ref="T26:AF26" si="18">SUM(D74:D77)</f>
        <v>52</v>
      </c>
      <c r="U26" s="34">
        <f t="shared" si="18"/>
        <v>7</v>
      </c>
      <c r="V26" s="34">
        <f t="shared" si="18"/>
        <v>25</v>
      </c>
      <c r="W26" s="34">
        <f t="shared" si="18"/>
        <v>0</v>
      </c>
      <c r="X26" s="34">
        <f t="shared" si="18"/>
        <v>0</v>
      </c>
      <c r="Y26" s="34">
        <f t="shared" si="18"/>
        <v>5</v>
      </c>
      <c r="Z26" s="34">
        <f t="shared" si="18"/>
        <v>4</v>
      </c>
      <c r="AA26" s="34">
        <f t="shared" si="18"/>
        <v>0</v>
      </c>
      <c r="AB26" s="34">
        <f t="shared" si="18"/>
        <v>0</v>
      </c>
      <c r="AC26" s="34">
        <f t="shared" si="18"/>
        <v>228</v>
      </c>
      <c r="AD26" s="34">
        <f t="shared" si="18"/>
        <v>0</v>
      </c>
      <c r="AE26" s="31">
        <f t="shared" si="18"/>
        <v>254</v>
      </c>
      <c r="AF26" s="31">
        <f t="shared" si="18"/>
        <v>482</v>
      </c>
    </row>
    <row r="27" spans="2:32" ht="23.1" customHeight="1" x14ac:dyDescent="0.25">
      <c r="B27" s="45" t="s">
        <v>54</v>
      </c>
      <c r="C27" s="50">
        <v>100</v>
      </c>
      <c r="D27" s="50">
        <v>35</v>
      </c>
      <c r="E27" s="50">
        <v>15</v>
      </c>
      <c r="F27" s="50">
        <v>20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173</v>
      </c>
      <c r="P27" s="15">
        <f t="shared" si="1"/>
        <v>173</v>
      </c>
      <c r="R27" s="36" t="s">
        <v>151</v>
      </c>
      <c r="S27" s="34">
        <f>SUM(C78:C81)</f>
        <v>111</v>
      </c>
      <c r="T27" s="34">
        <f t="shared" ref="T27:AF27" si="19">SUM(D78:D81)</f>
        <v>31</v>
      </c>
      <c r="U27" s="34">
        <f t="shared" si="19"/>
        <v>7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1</v>
      </c>
      <c r="AA27" s="34">
        <f t="shared" si="19"/>
        <v>3</v>
      </c>
      <c r="AB27" s="34">
        <f t="shared" si="19"/>
        <v>0</v>
      </c>
      <c r="AC27" s="34">
        <f t="shared" si="19"/>
        <v>105</v>
      </c>
      <c r="AD27" s="34">
        <f t="shared" si="19"/>
        <v>0</v>
      </c>
      <c r="AE27" s="31">
        <f t="shared" si="19"/>
        <v>165</v>
      </c>
      <c r="AF27" s="31">
        <f t="shared" si="19"/>
        <v>270</v>
      </c>
    </row>
    <row r="28" spans="2:32" ht="23.1" customHeight="1" x14ac:dyDescent="0.25">
      <c r="B28" s="45" t="s">
        <v>55</v>
      </c>
      <c r="C28" s="50">
        <v>115</v>
      </c>
      <c r="D28" s="50">
        <v>60</v>
      </c>
      <c r="E28" s="50">
        <v>11</v>
      </c>
      <c r="F28" s="50">
        <v>20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211</v>
      </c>
      <c r="P28" s="15">
        <f t="shared" si="1"/>
        <v>211</v>
      </c>
      <c r="R28" s="36" t="s">
        <v>152</v>
      </c>
      <c r="S28" s="34">
        <f>SUM(C82:C85)</f>
        <v>49</v>
      </c>
      <c r="T28" s="34">
        <f t="shared" ref="T28:AF28" si="20">SUM(D82:D85)</f>
        <v>14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93</v>
      </c>
      <c r="AD28" s="34">
        <f t="shared" si="20"/>
        <v>0</v>
      </c>
      <c r="AE28" s="31">
        <f t="shared" si="20"/>
        <v>67</v>
      </c>
      <c r="AF28" s="31">
        <f t="shared" si="20"/>
        <v>160</v>
      </c>
    </row>
    <row r="29" spans="2:32" ht="23.1" customHeight="1" x14ac:dyDescent="0.25">
      <c r="B29" s="45" t="s">
        <v>56</v>
      </c>
      <c r="C29" s="50">
        <v>90</v>
      </c>
      <c r="D29" s="50">
        <v>50</v>
      </c>
      <c r="E29" s="50">
        <v>7</v>
      </c>
      <c r="F29" s="50">
        <v>8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155</v>
      </c>
      <c r="P29" s="15">
        <f t="shared" si="1"/>
        <v>155</v>
      </c>
      <c r="R29" s="36" t="s">
        <v>153</v>
      </c>
      <c r="S29" s="34">
        <f>SUM(C86:C89)</f>
        <v>59</v>
      </c>
      <c r="T29" s="34">
        <f t="shared" ref="T29:AF29" si="21">SUM(D86:D89)</f>
        <v>11</v>
      </c>
      <c r="U29" s="34">
        <f t="shared" si="21"/>
        <v>4</v>
      </c>
      <c r="V29" s="34">
        <f t="shared" si="21"/>
        <v>8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76</v>
      </c>
      <c r="AD29" s="34">
        <f t="shared" si="21"/>
        <v>0</v>
      </c>
      <c r="AE29" s="31">
        <f t="shared" si="21"/>
        <v>82</v>
      </c>
      <c r="AF29" s="31">
        <f t="shared" si="21"/>
        <v>158</v>
      </c>
    </row>
    <row r="30" spans="2:32" ht="23.1" customHeight="1" x14ac:dyDescent="0.25">
      <c r="B30" s="45" t="s">
        <v>57</v>
      </c>
      <c r="C30" s="50">
        <v>90</v>
      </c>
      <c r="D30" s="50">
        <v>60</v>
      </c>
      <c r="E30" s="50">
        <v>8</v>
      </c>
      <c r="F30" s="50">
        <v>10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171</v>
      </c>
      <c r="P30" s="15">
        <f t="shared" si="1"/>
        <v>171</v>
      </c>
      <c r="R30" s="36" t="s">
        <v>154</v>
      </c>
      <c r="S30" s="34">
        <f>SUM(C90:C93)</f>
        <v>47</v>
      </c>
      <c r="T30" s="34">
        <f t="shared" ref="T30:AF30" si="22">SUM(D90:D93)</f>
        <v>7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50</v>
      </c>
      <c r="AD30" s="34">
        <f t="shared" si="22"/>
        <v>0</v>
      </c>
      <c r="AE30" s="31">
        <f t="shared" si="22"/>
        <v>57</v>
      </c>
      <c r="AF30" s="31">
        <f t="shared" si="22"/>
        <v>107</v>
      </c>
    </row>
    <row r="31" spans="2:32" ht="23.1" customHeight="1" x14ac:dyDescent="0.25">
      <c r="B31" s="46" t="s">
        <v>58</v>
      </c>
      <c r="C31" s="50">
        <v>110</v>
      </c>
      <c r="D31" s="50">
        <v>30</v>
      </c>
      <c r="E31" s="50">
        <v>13</v>
      </c>
      <c r="F31" s="50">
        <v>20</v>
      </c>
      <c r="G31" s="50">
        <v>0</v>
      </c>
      <c r="H31" s="50">
        <v>0</v>
      </c>
      <c r="I31" s="50">
        <v>9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182</v>
      </c>
      <c r="P31" s="15">
        <f t="shared" si="1"/>
        <v>182</v>
      </c>
      <c r="R31" s="36" t="s">
        <v>155</v>
      </c>
      <c r="S31" s="34">
        <f>SUM(C94:C97)</f>
        <v>58</v>
      </c>
      <c r="T31" s="34">
        <f t="shared" ref="T31:AF31" si="23">SUM(D94:D97)</f>
        <v>0</v>
      </c>
      <c r="U31" s="34">
        <f t="shared" si="23"/>
        <v>6</v>
      </c>
      <c r="V31" s="34">
        <f t="shared" si="23"/>
        <v>6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62</v>
      </c>
      <c r="AD31" s="34">
        <f t="shared" si="23"/>
        <v>0</v>
      </c>
      <c r="AE31" s="31">
        <f t="shared" si="23"/>
        <v>71</v>
      </c>
      <c r="AF31" s="31">
        <f t="shared" si="23"/>
        <v>133</v>
      </c>
    </row>
    <row r="32" spans="2:32" ht="23.1" customHeight="1" x14ac:dyDescent="0.25">
      <c r="B32" s="46" t="s">
        <v>59</v>
      </c>
      <c r="C32" s="50">
        <v>80</v>
      </c>
      <c r="D32" s="50">
        <v>40</v>
      </c>
      <c r="E32" s="50">
        <v>10</v>
      </c>
      <c r="F32" s="50">
        <v>15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15">
        <f t="shared" si="0"/>
        <v>145</v>
      </c>
      <c r="P32" s="15">
        <f t="shared" si="1"/>
        <v>145</v>
      </c>
      <c r="R32" s="33" t="s">
        <v>156</v>
      </c>
      <c r="S32" s="34">
        <f>SUM(C98:C101)</f>
        <v>69</v>
      </c>
      <c r="T32" s="34">
        <f t="shared" ref="T32:AF32" si="24">SUM(D98:D101)</f>
        <v>2</v>
      </c>
      <c r="U32" s="34">
        <f t="shared" si="24"/>
        <v>3</v>
      </c>
      <c r="V32" s="34">
        <f t="shared" si="24"/>
        <v>20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43</v>
      </c>
      <c r="AD32" s="34">
        <f t="shared" si="24"/>
        <v>0</v>
      </c>
      <c r="AE32" s="31">
        <f t="shared" si="24"/>
        <v>95</v>
      </c>
      <c r="AF32" s="31">
        <f t="shared" si="24"/>
        <v>138</v>
      </c>
    </row>
    <row r="33" spans="2:32" ht="23.1" customHeight="1" x14ac:dyDescent="0.25">
      <c r="B33" s="45" t="s">
        <v>60</v>
      </c>
      <c r="C33" s="50">
        <v>80</v>
      </c>
      <c r="D33" s="50">
        <v>50</v>
      </c>
      <c r="E33" s="50">
        <v>7</v>
      </c>
      <c r="F33" s="50">
        <v>11</v>
      </c>
      <c r="G33" s="50">
        <v>0</v>
      </c>
      <c r="H33" s="50">
        <v>0</v>
      </c>
      <c r="I33" s="50">
        <v>7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155</v>
      </c>
      <c r="P33" s="15">
        <f t="shared" si="1"/>
        <v>155</v>
      </c>
      <c r="R33" s="33" t="s">
        <v>157</v>
      </c>
      <c r="S33" s="34">
        <f>SUM(C102:C105)</f>
        <v>43</v>
      </c>
      <c r="T33" s="34">
        <f t="shared" ref="T33:AF33" si="25">SUM(D102:D105)</f>
        <v>11</v>
      </c>
      <c r="U33" s="34">
        <f t="shared" si="25"/>
        <v>7</v>
      </c>
      <c r="V33" s="34">
        <f t="shared" si="25"/>
        <v>28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1</v>
      </c>
      <c r="AB33" s="34">
        <f t="shared" si="25"/>
        <v>0</v>
      </c>
      <c r="AC33" s="34">
        <f t="shared" si="25"/>
        <v>112</v>
      </c>
      <c r="AD33" s="34">
        <f t="shared" si="25"/>
        <v>0</v>
      </c>
      <c r="AE33" s="31">
        <f t="shared" si="25"/>
        <v>92</v>
      </c>
      <c r="AF33" s="31">
        <f t="shared" si="25"/>
        <v>204</v>
      </c>
    </row>
    <row r="34" spans="2:32" ht="23.1" customHeight="1" x14ac:dyDescent="0.25">
      <c r="B34" s="46" t="s">
        <v>61</v>
      </c>
      <c r="C34" s="50">
        <v>95</v>
      </c>
      <c r="D34" s="50">
        <v>33</v>
      </c>
      <c r="E34" s="50">
        <v>5</v>
      </c>
      <c r="F34" s="50">
        <v>12</v>
      </c>
      <c r="G34" s="50">
        <v>0</v>
      </c>
      <c r="H34" s="50">
        <v>0</v>
      </c>
      <c r="I34" s="50">
        <v>5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150</v>
      </c>
      <c r="P34" s="15">
        <f t="shared" si="1"/>
        <v>150</v>
      </c>
      <c r="R34" s="38" t="s">
        <v>90</v>
      </c>
      <c r="S34" s="39">
        <f t="shared" ref="S34:AF34" si="26">MAX(S10:S12)</f>
        <v>460</v>
      </c>
      <c r="T34" s="39">
        <f t="shared" si="26"/>
        <v>182</v>
      </c>
      <c r="U34" s="39">
        <f t="shared" si="26"/>
        <v>56</v>
      </c>
      <c r="V34" s="39">
        <f t="shared" si="26"/>
        <v>112</v>
      </c>
      <c r="W34" s="39">
        <f t="shared" si="26"/>
        <v>1</v>
      </c>
      <c r="X34" s="39">
        <f t="shared" si="26"/>
        <v>0</v>
      </c>
      <c r="Y34" s="39">
        <f t="shared" si="26"/>
        <v>21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0</v>
      </c>
      <c r="AD34" s="39">
        <f t="shared" si="26"/>
        <v>0</v>
      </c>
      <c r="AE34" s="40">
        <f t="shared" si="26"/>
        <v>832</v>
      </c>
      <c r="AF34" s="40">
        <f t="shared" si="26"/>
        <v>832</v>
      </c>
    </row>
    <row r="35" spans="2:32" ht="23.1" customHeight="1" x14ac:dyDescent="0.25">
      <c r="B35" s="46" t="s">
        <v>62</v>
      </c>
      <c r="C35" s="50">
        <v>125</v>
      </c>
      <c r="D35" s="50">
        <v>30</v>
      </c>
      <c r="E35" s="50">
        <v>11</v>
      </c>
      <c r="F35" s="50">
        <v>5</v>
      </c>
      <c r="G35" s="50">
        <v>0</v>
      </c>
      <c r="H35" s="50">
        <v>0</v>
      </c>
      <c r="I35" s="50">
        <v>10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181</v>
      </c>
      <c r="P35" s="15">
        <f t="shared" si="1"/>
        <v>181</v>
      </c>
      <c r="R35" s="38" t="s">
        <v>91</v>
      </c>
      <c r="S35" s="39">
        <f t="shared" ref="S35:AF35" si="27">MAX(S13:S18)</f>
        <v>410</v>
      </c>
      <c r="T35" s="39">
        <f t="shared" si="27"/>
        <v>197</v>
      </c>
      <c r="U35" s="39">
        <f t="shared" si="27"/>
        <v>44</v>
      </c>
      <c r="V35" s="39">
        <f t="shared" si="27"/>
        <v>89</v>
      </c>
      <c r="W35" s="39">
        <f t="shared" si="27"/>
        <v>0</v>
      </c>
      <c r="X35" s="39">
        <f t="shared" si="27"/>
        <v>0</v>
      </c>
      <c r="Y35" s="39">
        <f t="shared" si="27"/>
        <v>23</v>
      </c>
      <c r="Z35" s="39">
        <f t="shared" si="27"/>
        <v>0</v>
      </c>
      <c r="AA35" s="39">
        <f t="shared" si="27"/>
        <v>0</v>
      </c>
      <c r="AB35" s="39">
        <f t="shared" si="27"/>
        <v>0</v>
      </c>
      <c r="AC35" s="39">
        <f t="shared" si="27"/>
        <v>0</v>
      </c>
      <c r="AD35" s="39">
        <f t="shared" si="27"/>
        <v>0</v>
      </c>
      <c r="AE35" s="40">
        <f t="shared" si="27"/>
        <v>736</v>
      </c>
      <c r="AF35" s="40">
        <f t="shared" si="27"/>
        <v>736</v>
      </c>
    </row>
    <row r="36" spans="2:32" ht="23.1" customHeight="1" x14ac:dyDescent="0.25">
      <c r="B36" s="46" t="s">
        <v>63</v>
      </c>
      <c r="C36" s="50">
        <v>60</v>
      </c>
      <c r="D36" s="50">
        <v>26</v>
      </c>
      <c r="E36" s="50">
        <v>8</v>
      </c>
      <c r="F36" s="50">
        <v>13</v>
      </c>
      <c r="G36" s="50">
        <v>0</v>
      </c>
      <c r="H36" s="50">
        <v>0</v>
      </c>
      <c r="I36" s="50">
        <v>6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113</v>
      </c>
      <c r="P36" s="15">
        <f t="shared" si="1"/>
        <v>113</v>
      </c>
      <c r="R36" s="38" t="s">
        <v>92</v>
      </c>
      <c r="S36" s="39">
        <f t="shared" ref="S36:AF36" si="28">MAX(S19:S21)</f>
        <v>158</v>
      </c>
      <c r="T36" s="39">
        <f t="shared" si="28"/>
        <v>90</v>
      </c>
      <c r="U36" s="39">
        <f t="shared" si="28"/>
        <v>32</v>
      </c>
      <c r="V36" s="39">
        <f t="shared" si="28"/>
        <v>46</v>
      </c>
      <c r="W36" s="39">
        <f t="shared" si="28"/>
        <v>2</v>
      </c>
      <c r="X36" s="39">
        <f t="shared" si="28"/>
        <v>0</v>
      </c>
      <c r="Y36" s="39">
        <f t="shared" si="28"/>
        <v>14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0</v>
      </c>
      <c r="AD36" s="39">
        <f t="shared" si="28"/>
        <v>0</v>
      </c>
      <c r="AE36" s="40">
        <f t="shared" si="28"/>
        <v>329</v>
      </c>
      <c r="AF36" s="40">
        <f t="shared" si="28"/>
        <v>329</v>
      </c>
    </row>
    <row r="37" spans="2:32" ht="23.1" customHeight="1" x14ac:dyDescent="0.25">
      <c r="B37" s="45" t="s">
        <v>64</v>
      </c>
      <c r="C37" s="50">
        <v>120</v>
      </c>
      <c r="D37" s="50">
        <v>40</v>
      </c>
      <c r="E37" s="50">
        <v>10</v>
      </c>
      <c r="F37" s="50">
        <v>6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178</v>
      </c>
      <c r="P37" s="15">
        <f t="shared" si="1"/>
        <v>178</v>
      </c>
      <c r="R37" s="37" t="s">
        <v>85</v>
      </c>
      <c r="S37" s="35">
        <f t="shared" ref="S37:AF37" si="29">SUM(S10:S12)</f>
        <v>1085</v>
      </c>
      <c r="T37" s="16">
        <f t="shared" si="29"/>
        <v>375</v>
      </c>
      <c r="U37" s="16">
        <f t="shared" si="29"/>
        <v>143</v>
      </c>
      <c r="V37" s="16">
        <f t="shared" si="29"/>
        <v>293</v>
      </c>
      <c r="W37" s="16">
        <f t="shared" si="29"/>
        <v>1</v>
      </c>
      <c r="X37" s="16">
        <f t="shared" si="29"/>
        <v>0</v>
      </c>
      <c r="Y37" s="16">
        <f t="shared" si="29"/>
        <v>52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0</v>
      </c>
      <c r="AD37" s="16">
        <f t="shared" si="29"/>
        <v>0</v>
      </c>
      <c r="AE37" s="32">
        <f t="shared" si="29"/>
        <v>1949</v>
      </c>
      <c r="AF37" s="32">
        <f t="shared" si="29"/>
        <v>1949</v>
      </c>
    </row>
    <row r="38" spans="2:32" ht="23.1" customHeight="1" x14ac:dyDescent="0.25">
      <c r="B38" s="46" t="s">
        <v>65</v>
      </c>
      <c r="C38" s="50">
        <v>100</v>
      </c>
      <c r="D38" s="50">
        <v>11</v>
      </c>
      <c r="E38" s="50">
        <v>5</v>
      </c>
      <c r="F38" s="50">
        <v>10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129</v>
      </c>
      <c r="P38" s="15">
        <f t="shared" si="1"/>
        <v>129</v>
      </c>
      <c r="R38" s="28" t="s">
        <v>86</v>
      </c>
      <c r="S38" s="16">
        <f t="shared" ref="S38:AF38" si="30">SUM(S13:S18)</f>
        <v>2184</v>
      </c>
      <c r="T38" s="16">
        <f t="shared" si="30"/>
        <v>966</v>
      </c>
      <c r="U38" s="16">
        <f t="shared" si="30"/>
        <v>203</v>
      </c>
      <c r="V38" s="16">
        <f t="shared" si="30"/>
        <v>334</v>
      </c>
      <c r="W38" s="16">
        <f t="shared" si="30"/>
        <v>0</v>
      </c>
      <c r="X38" s="16">
        <f t="shared" si="30"/>
        <v>0</v>
      </c>
      <c r="Y38" s="16">
        <f t="shared" si="30"/>
        <v>88</v>
      </c>
      <c r="Z38" s="16">
        <f t="shared" si="30"/>
        <v>0</v>
      </c>
      <c r="AA38" s="16">
        <f t="shared" si="30"/>
        <v>0</v>
      </c>
      <c r="AB38" s="16">
        <f t="shared" si="30"/>
        <v>0</v>
      </c>
      <c r="AC38" s="16">
        <f t="shared" si="30"/>
        <v>0</v>
      </c>
      <c r="AD38" s="16">
        <f t="shared" si="30"/>
        <v>0</v>
      </c>
      <c r="AE38" s="32">
        <f t="shared" si="30"/>
        <v>3775</v>
      </c>
      <c r="AF38" s="32">
        <f t="shared" si="30"/>
        <v>3775</v>
      </c>
    </row>
    <row r="39" spans="2:32" ht="23.1" customHeight="1" x14ac:dyDescent="0.25">
      <c r="B39" s="46" t="s">
        <v>66</v>
      </c>
      <c r="C39" s="50">
        <v>80</v>
      </c>
      <c r="D39" s="50">
        <v>25</v>
      </c>
      <c r="E39" s="50">
        <v>10</v>
      </c>
      <c r="F39" s="50">
        <v>20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137</v>
      </c>
      <c r="P39" s="15">
        <f t="shared" si="1"/>
        <v>137</v>
      </c>
      <c r="R39" s="29" t="s">
        <v>87</v>
      </c>
      <c r="S39" s="16">
        <f t="shared" ref="S39:AF39" si="31">SUM(S19:S21)</f>
        <v>392</v>
      </c>
      <c r="T39" s="16">
        <f t="shared" si="31"/>
        <v>244</v>
      </c>
      <c r="U39" s="16">
        <f t="shared" si="31"/>
        <v>91</v>
      </c>
      <c r="V39" s="16">
        <f t="shared" si="31"/>
        <v>122</v>
      </c>
      <c r="W39" s="16">
        <f t="shared" si="31"/>
        <v>3</v>
      </c>
      <c r="X39" s="16">
        <f t="shared" si="31"/>
        <v>0</v>
      </c>
      <c r="Y39" s="16">
        <f t="shared" si="31"/>
        <v>35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0</v>
      </c>
      <c r="AD39" s="16">
        <f t="shared" si="31"/>
        <v>0</v>
      </c>
      <c r="AE39" s="32">
        <f t="shared" si="31"/>
        <v>887</v>
      </c>
      <c r="AF39" s="32">
        <f t="shared" si="31"/>
        <v>887</v>
      </c>
    </row>
    <row r="40" spans="2:32" ht="23.1" customHeight="1" x14ac:dyDescent="0.25">
      <c r="B40" s="46" t="s">
        <v>67</v>
      </c>
      <c r="C40" s="50">
        <v>90</v>
      </c>
      <c r="D40" s="50">
        <v>45</v>
      </c>
      <c r="E40" s="50">
        <v>4</v>
      </c>
      <c r="F40" s="50">
        <v>6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150</v>
      </c>
      <c r="P40" s="15">
        <f t="shared" si="1"/>
        <v>150</v>
      </c>
      <c r="R40" s="5" t="s">
        <v>17</v>
      </c>
      <c r="S40" s="16">
        <f t="shared" ref="S40:AF40" si="32">SUM(S10:S21)</f>
        <v>3661</v>
      </c>
      <c r="T40" s="16">
        <f t="shared" si="32"/>
        <v>1585</v>
      </c>
      <c r="U40" s="16">
        <f t="shared" si="32"/>
        <v>437</v>
      </c>
      <c r="V40" s="16">
        <f t="shared" si="32"/>
        <v>749</v>
      </c>
      <c r="W40" s="16">
        <f t="shared" si="32"/>
        <v>4</v>
      </c>
      <c r="X40" s="16">
        <f t="shared" si="32"/>
        <v>0</v>
      </c>
      <c r="Y40" s="16">
        <f t="shared" si="32"/>
        <v>175</v>
      </c>
      <c r="Z40" s="16">
        <f t="shared" si="32"/>
        <v>0</v>
      </c>
      <c r="AA40" s="16">
        <f t="shared" si="32"/>
        <v>0</v>
      </c>
      <c r="AB40" s="16">
        <f t="shared" si="32"/>
        <v>0</v>
      </c>
      <c r="AC40" s="16">
        <f t="shared" si="32"/>
        <v>0</v>
      </c>
      <c r="AD40" s="16">
        <f t="shared" si="32"/>
        <v>0</v>
      </c>
      <c r="AE40" s="32">
        <f t="shared" si="32"/>
        <v>6611</v>
      </c>
      <c r="AF40" s="32">
        <f t="shared" si="32"/>
        <v>6611</v>
      </c>
    </row>
    <row r="41" spans="2:32" ht="23.1" customHeight="1" x14ac:dyDescent="0.25">
      <c r="B41" s="45" t="s">
        <v>68</v>
      </c>
      <c r="C41" s="50">
        <v>80</v>
      </c>
      <c r="D41" s="50">
        <v>30</v>
      </c>
      <c r="E41" s="50">
        <v>5</v>
      </c>
      <c r="F41" s="50">
        <v>10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125</v>
      </c>
      <c r="P41" s="15">
        <f t="shared" si="1"/>
        <v>125</v>
      </c>
      <c r="R41" s="5" t="s">
        <v>159</v>
      </c>
      <c r="S41" s="16">
        <f>SUM(S10:S33)</f>
        <v>5137</v>
      </c>
      <c r="T41" s="16">
        <f t="shared" ref="T41:AF41" si="33">SUM(T10:T33)</f>
        <v>2072</v>
      </c>
      <c r="U41" s="16">
        <f t="shared" si="33"/>
        <v>563</v>
      </c>
      <c r="V41" s="16">
        <f t="shared" si="33"/>
        <v>1043</v>
      </c>
      <c r="W41" s="16">
        <f t="shared" si="33"/>
        <v>5</v>
      </c>
      <c r="X41" s="16">
        <f t="shared" si="33"/>
        <v>1</v>
      </c>
      <c r="Y41" s="16">
        <f t="shared" si="33"/>
        <v>222</v>
      </c>
      <c r="Z41" s="16">
        <f t="shared" si="33"/>
        <v>13</v>
      </c>
      <c r="AA41" s="16">
        <f t="shared" si="33"/>
        <v>9</v>
      </c>
      <c r="AB41" s="16">
        <f t="shared" si="33"/>
        <v>0</v>
      </c>
      <c r="AC41" s="16">
        <f t="shared" si="33"/>
        <v>1719</v>
      </c>
      <c r="AD41" s="16">
        <f t="shared" si="33"/>
        <v>0</v>
      </c>
      <c r="AE41" s="32">
        <f t="shared" si="33"/>
        <v>9065</v>
      </c>
      <c r="AF41" s="32">
        <f t="shared" si="33"/>
        <v>10784</v>
      </c>
    </row>
    <row r="42" spans="2:32" ht="23.1" customHeight="1" x14ac:dyDescent="0.25">
      <c r="B42" s="46" t="s">
        <v>69</v>
      </c>
      <c r="C42" s="50">
        <v>100</v>
      </c>
      <c r="D42" s="50">
        <v>20</v>
      </c>
      <c r="E42" s="50">
        <v>4</v>
      </c>
      <c r="F42" s="50">
        <v>10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136</v>
      </c>
      <c r="P42" s="15">
        <f t="shared" si="1"/>
        <v>136</v>
      </c>
      <c r="R42" s="5" t="s">
        <v>160</v>
      </c>
      <c r="S42" s="48">
        <f>S41/S40</f>
        <v>1.4031685331876536</v>
      </c>
      <c r="T42" s="48">
        <f t="shared" ref="T42:AF42" si="34">T41/T40</f>
        <v>1.3072555205047318</v>
      </c>
      <c r="U42" s="48">
        <f t="shared" si="34"/>
        <v>1.2883295194508009</v>
      </c>
      <c r="V42" s="48">
        <f t="shared" si="34"/>
        <v>1.3925233644859814</v>
      </c>
      <c r="W42" s="48">
        <f t="shared" si="34"/>
        <v>1.25</v>
      </c>
      <c r="X42" s="48" t="e">
        <f t="shared" si="34"/>
        <v>#DIV/0!</v>
      </c>
      <c r="Y42" s="48">
        <f t="shared" si="34"/>
        <v>1.2685714285714285</v>
      </c>
      <c r="Z42" s="48" t="e">
        <f t="shared" si="34"/>
        <v>#DIV/0!</v>
      </c>
      <c r="AA42" s="48" t="e">
        <f t="shared" si="34"/>
        <v>#DIV/0!</v>
      </c>
      <c r="AB42" s="48" t="e">
        <f t="shared" si="34"/>
        <v>#DIV/0!</v>
      </c>
      <c r="AC42" s="48" t="e">
        <f t="shared" si="34"/>
        <v>#DIV/0!</v>
      </c>
      <c r="AD42" s="48" t="e">
        <f t="shared" si="34"/>
        <v>#DIV/0!</v>
      </c>
      <c r="AE42" s="48">
        <f t="shared" si="34"/>
        <v>1.3711995159582513</v>
      </c>
      <c r="AF42" s="48">
        <f t="shared" si="34"/>
        <v>1.6312206927847528</v>
      </c>
    </row>
    <row r="43" spans="2:32" ht="23.1" customHeight="1" x14ac:dyDescent="0.25">
      <c r="B43" s="45" t="s">
        <v>70</v>
      </c>
      <c r="C43" s="50">
        <v>70</v>
      </c>
      <c r="D43" s="50">
        <v>60</v>
      </c>
      <c r="E43" s="50">
        <v>10</v>
      </c>
      <c r="F43" s="50">
        <v>10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152</v>
      </c>
      <c r="P43" s="15">
        <f t="shared" si="1"/>
        <v>152</v>
      </c>
    </row>
    <row r="44" spans="2:32" ht="23.1" customHeight="1" x14ac:dyDescent="0.25">
      <c r="B44" s="47" t="s">
        <v>71</v>
      </c>
      <c r="C44" s="50">
        <v>50</v>
      </c>
      <c r="D44" s="50">
        <v>36</v>
      </c>
      <c r="E44" s="50">
        <v>2</v>
      </c>
      <c r="F44" s="50">
        <v>13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104</v>
      </c>
      <c r="P44" s="15">
        <f t="shared" si="1"/>
        <v>104</v>
      </c>
    </row>
    <row r="45" spans="2:32" ht="23.1" customHeight="1" x14ac:dyDescent="0.25">
      <c r="B45" s="45" t="s">
        <v>72</v>
      </c>
      <c r="C45" s="50">
        <v>46</v>
      </c>
      <c r="D45" s="50">
        <v>43</v>
      </c>
      <c r="E45" s="50">
        <v>5</v>
      </c>
      <c r="F45" s="50">
        <v>11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105</v>
      </c>
      <c r="P45" s="15">
        <f t="shared" si="1"/>
        <v>105</v>
      </c>
    </row>
    <row r="46" spans="2:32" ht="23.1" customHeight="1" x14ac:dyDescent="0.25">
      <c r="B46" s="46" t="s">
        <v>73</v>
      </c>
      <c r="C46" s="50">
        <v>45</v>
      </c>
      <c r="D46" s="50">
        <v>20</v>
      </c>
      <c r="E46" s="50">
        <v>6</v>
      </c>
      <c r="F46" s="50">
        <v>15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87</v>
      </c>
      <c r="P46" s="15">
        <f t="shared" si="1"/>
        <v>87</v>
      </c>
      <c r="R46" s="8"/>
      <c r="T46"/>
    </row>
    <row r="47" spans="2:32" ht="23.1" customHeight="1" x14ac:dyDescent="0.25">
      <c r="B47" s="46" t="s">
        <v>74</v>
      </c>
      <c r="C47" s="50">
        <v>48</v>
      </c>
      <c r="D47" s="50">
        <v>21</v>
      </c>
      <c r="E47" s="50">
        <v>2</v>
      </c>
      <c r="F47" s="50">
        <v>7</v>
      </c>
      <c r="G47" s="50">
        <v>0</v>
      </c>
      <c r="H47" s="50">
        <v>0</v>
      </c>
      <c r="I47" s="50">
        <v>8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86</v>
      </c>
      <c r="P47" s="15">
        <f t="shared" si="1"/>
        <v>86</v>
      </c>
      <c r="R47" s="8"/>
      <c r="T47"/>
    </row>
    <row r="48" spans="2:32" ht="23.1" customHeight="1" x14ac:dyDescent="0.25">
      <c r="B48" s="46" t="s">
        <v>75</v>
      </c>
      <c r="C48" s="50">
        <v>31</v>
      </c>
      <c r="D48" s="50">
        <v>17</v>
      </c>
      <c r="E48" s="50">
        <v>5</v>
      </c>
      <c r="F48" s="50">
        <v>7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60</v>
      </c>
      <c r="P48" s="15">
        <f t="shared" si="1"/>
        <v>60</v>
      </c>
      <c r="R48" s="8"/>
      <c r="T48"/>
    </row>
    <row r="49" spans="2:20" ht="23.1" customHeight="1" x14ac:dyDescent="0.25">
      <c r="B49" s="45" t="s">
        <v>76</v>
      </c>
      <c r="C49" s="50">
        <v>20</v>
      </c>
      <c r="D49" s="50">
        <v>17</v>
      </c>
      <c r="E49" s="50">
        <v>14</v>
      </c>
      <c r="F49" s="50">
        <v>7</v>
      </c>
      <c r="G49" s="50">
        <v>1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62</v>
      </c>
      <c r="P49" s="15">
        <f t="shared" si="1"/>
        <v>62</v>
      </c>
      <c r="R49" s="8"/>
      <c r="T49"/>
    </row>
    <row r="50" spans="2:20" ht="23.1" customHeight="1" x14ac:dyDescent="0.25">
      <c r="B50" s="46" t="s">
        <v>77</v>
      </c>
      <c r="C50" s="50">
        <v>38</v>
      </c>
      <c r="D50" s="50">
        <v>31</v>
      </c>
      <c r="E50" s="50">
        <v>12</v>
      </c>
      <c r="F50" s="50">
        <v>15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97</v>
      </c>
      <c r="P50" s="15">
        <f t="shared" si="1"/>
        <v>97</v>
      </c>
      <c r="R50" s="8"/>
      <c r="T50"/>
    </row>
    <row r="51" spans="2:20" ht="23.1" customHeight="1" x14ac:dyDescent="0.25">
      <c r="B51" s="46" t="s">
        <v>78</v>
      </c>
      <c r="C51" s="50">
        <v>40</v>
      </c>
      <c r="D51" s="50">
        <v>15</v>
      </c>
      <c r="E51" s="50">
        <v>8</v>
      </c>
      <c r="F51" s="50">
        <v>7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72</v>
      </c>
      <c r="P51" s="15">
        <f t="shared" si="1"/>
        <v>72</v>
      </c>
      <c r="R51" s="8"/>
      <c r="T51"/>
    </row>
    <row r="52" spans="2:20" ht="23.1" customHeight="1" x14ac:dyDescent="0.25">
      <c r="B52" s="46" t="s">
        <v>79</v>
      </c>
      <c r="C52" s="50">
        <v>35</v>
      </c>
      <c r="D52" s="50">
        <v>13</v>
      </c>
      <c r="E52" s="50">
        <v>7</v>
      </c>
      <c r="F52" s="50">
        <v>12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71</v>
      </c>
      <c r="P52" s="15">
        <f t="shared" si="1"/>
        <v>71</v>
      </c>
      <c r="R52" s="8"/>
      <c r="T52"/>
    </row>
    <row r="53" spans="2:20" ht="23.1" customHeight="1" x14ac:dyDescent="0.25">
      <c r="B53" s="45" t="s">
        <v>80</v>
      </c>
      <c r="C53" s="50">
        <v>45</v>
      </c>
      <c r="D53" s="50">
        <v>20</v>
      </c>
      <c r="E53" s="50">
        <v>5</v>
      </c>
      <c r="F53" s="50">
        <v>12</v>
      </c>
      <c r="G53" s="50">
        <v>0</v>
      </c>
      <c r="H53" s="50">
        <v>0</v>
      </c>
      <c r="I53" s="50">
        <v>7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89</v>
      </c>
      <c r="P53" s="15">
        <f t="shared" si="1"/>
        <v>89</v>
      </c>
      <c r="R53" s="8"/>
      <c r="T53"/>
    </row>
    <row r="54" spans="2:20" ht="23.1" customHeight="1" x14ac:dyDescent="0.25">
      <c r="B54" s="45" t="s">
        <v>81</v>
      </c>
      <c r="C54" s="50">
        <v>35</v>
      </c>
      <c r="D54" s="50">
        <v>18</v>
      </c>
      <c r="E54" s="50">
        <v>6</v>
      </c>
      <c r="F54" s="50">
        <v>7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68</v>
      </c>
      <c r="P54" s="15">
        <f t="shared" si="1"/>
        <v>68</v>
      </c>
      <c r="R54" s="8"/>
      <c r="T54"/>
    </row>
    <row r="55" spans="2:20" ht="23.1" customHeight="1" x14ac:dyDescent="0.25">
      <c r="B55" s="45" t="s">
        <v>82</v>
      </c>
      <c r="C55" s="50">
        <v>14</v>
      </c>
      <c r="D55" s="50">
        <v>25</v>
      </c>
      <c r="E55" s="50">
        <v>16</v>
      </c>
      <c r="F55" s="50">
        <v>17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73</v>
      </c>
      <c r="P55" s="15">
        <f t="shared" si="1"/>
        <v>73</v>
      </c>
      <c r="R55" s="8"/>
      <c r="T55"/>
    </row>
    <row r="56" spans="2:20" ht="23.1" customHeight="1" x14ac:dyDescent="0.25">
      <c r="B56" s="45" t="s">
        <v>83</v>
      </c>
      <c r="C56" s="50">
        <v>18</v>
      </c>
      <c r="D56" s="50">
        <v>12</v>
      </c>
      <c r="E56" s="50">
        <v>2</v>
      </c>
      <c r="F56" s="50">
        <v>4</v>
      </c>
      <c r="G56" s="50">
        <v>1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39</v>
      </c>
      <c r="P56" s="15">
        <f t="shared" si="1"/>
        <v>39</v>
      </c>
      <c r="R56" s="8"/>
      <c r="T56"/>
    </row>
    <row r="57" spans="2:20" ht="23.1" customHeight="1" x14ac:dyDescent="0.25">
      <c r="B57" s="45" t="s">
        <v>84</v>
      </c>
      <c r="C57" s="50">
        <v>23</v>
      </c>
      <c r="D57" s="50">
        <v>35</v>
      </c>
      <c r="E57" s="50">
        <v>8</v>
      </c>
      <c r="F57" s="50">
        <v>12</v>
      </c>
      <c r="G57" s="50">
        <v>1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83</v>
      </c>
      <c r="P57" s="15">
        <f t="shared" si="1"/>
        <v>83</v>
      </c>
      <c r="R57" s="8"/>
      <c r="T57"/>
    </row>
    <row r="58" spans="2:20" ht="23.1" customHeight="1" x14ac:dyDescent="0.25">
      <c r="B58" s="45" t="s">
        <v>99</v>
      </c>
      <c r="C58" s="50">
        <v>33</v>
      </c>
      <c r="D58" s="50">
        <v>20</v>
      </c>
      <c r="E58" s="50">
        <v>3</v>
      </c>
      <c r="F58" s="50">
        <v>3</v>
      </c>
      <c r="G58" s="50">
        <v>0</v>
      </c>
      <c r="H58" s="50">
        <v>0</v>
      </c>
      <c r="I58" s="50">
        <v>6</v>
      </c>
      <c r="J58" s="50">
        <v>0</v>
      </c>
      <c r="K58" s="50">
        <v>0</v>
      </c>
      <c r="L58" s="50">
        <v>0</v>
      </c>
      <c r="M58" s="50">
        <v>60</v>
      </c>
      <c r="N58" s="50">
        <v>0</v>
      </c>
      <c r="O58" s="15">
        <f t="shared" si="0"/>
        <v>65</v>
      </c>
      <c r="P58" s="15">
        <f t="shared" si="1"/>
        <v>125</v>
      </c>
      <c r="R58" s="8"/>
      <c r="T58"/>
    </row>
    <row r="59" spans="2:20" ht="23.1" customHeight="1" x14ac:dyDescent="0.25">
      <c r="B59" s="45" t="s">
        <v>100</v>
      </c>
      <c r="C59" s="50">
        <v>40</v>
      </c>
      <c r="D59" s="50">
        <v>35</v>
      </c>
      <c r="E59" s="50">
        <v>7</v>
      </c>
      <c r="F59" s="50">
        <v>6</v>
      </c>
      <c r="G59" s="50">
        <v>1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40</v>
      </c>
      <c r="N59" s="50">
        <v>0</v>
      </c>
      <c r="O59" s="15">
        <f t="shared" si="0"/>
        <v>92</v>
      </c>
      <c r="P59" s="15">
        <f t="shared" si="1"/>
        <v>132</v>
      </c>
      <c r="R59" s="8"/>
      <c r="T59"/>
    </row>
    <row r="60" spans="2:20" ht="23.1" customHeight="1" x14ac:dyDescent="0.25">
      <c r="B60" s="45" t="s">
        <v>101</v>
      </c>
      <c r="C60" s="50">
        <v>31</v>
      </c>
      <c r="D60" s="50">
        <v>25</v>
      </c>
      <c r="E60" s="50">
        <v>4</v>
      </c>
      <c r="F60" s="50">
        <v>10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43</v>
      </c>
      <c r="N60" s="50">
        <v>0</v>
      </c>
      <c r="O60" s="15">
        <f t="shared" si="0"/>
        <v>70</v>
      </c>
      <c r="P60" s="15">
        <f t="shared" si="1"/>
        <v>113</v>
      </c>
      <c r="R60" s="8"/>
      <c r="T60"/>
    </row>
    <row r="61" spans="2:20" ht="23.1" customHeight="1" x14ac:dyDescent="0.25">
      <c r="B61" s="45" t="s">
        <v>102</v>
      </c>
      <c r="C61" s="50">
        <v>45</v>
      </c>
      <c r="D61" s="50">
        <v>30</v>
      </c>
      <c r="E61" s="50">
        <v>10</v>
      </c>
      <c r="F61" s="50">
        <v>15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0</v>
      </c>
      <c r="M61" s="50">
        <v>30</v>
      </c>
      <c r="N61" s="50">
        <v>0</v>
      </c>
      <c r="O61" s="15">
        <f t="shared" si="0"/>
        <v>102</v>
      </c>
      <c r="P61" s="15">
        <f t="shared" si="1"/>
        <v>132</v>
      </c>
      <c r="R61" s="8"/>
      <c r="T61"/>
    </row>
    <row r="62" spans="2:20" ht="23.1" customHeight="1" x14ac:dyDescent="0.25">
      <c r="B62" s="45" t="s">
        <v>107</v>
      </c>
      <c r="C62" s="50">
        <v>60</v>
      </c>
      <c r="D62" s="50">
        <v>31</v>
      </c>
      <c r="E62" s="50">
        <v>7</v>
      </c>
      <c r="F62" s="50">
        <v>5</v>
      </c>
      <c r="G62" s="50">
        <v>0</v>
      </c>
      <c r="H62" s="50">
        <v>0</v>
      </c>
      <c r="I62" s="50">
        <v>4</v>
      </c>
      <c r="J62" s="50">
        <v>3</v>
      </c>
      <c r="K62" s="50">
        <v>0</v>
      </c>
      <c r="L62" s="50">
        <v>0</v>
      </c>
      <c r="M62" s="50">
        <v>30</v>
      </c>
      <c r="N62" s="50">
        <v>0</v>
      </c>
      <c r="O62" s="15">
        <f t="shared" si="0"/>
        <v>110</v>
      </c>
      <c r="P62" s="15">
        <f t="shared" si="1"/>
        <v>140</v>
      </c>
      <c r="R62" s="8"/>
      <c r="T62"/>
    </row>
    <row r="63" spans="2:20" ht="23.1" customHeight="1" x14ac:dyDescent="0.25">
      <c r="B63" s="45" t="s">
        <v>108</v>
      </c>
      <c r="C63" s="50">
        <v>42</v>
      </c>
      <c r="D63" s="50">
        <v>2</v>
      </c>
      <c r="E63" s="50">
        <v>3</v>
      </c>
      <c r="F63" s="50">
        <v>6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15</v>
      </c>
      <c r="N63" s="50">
        <v>0</v>
      </c>
      <c r="O63" s="15">
        <f t="shared" si="0"/>
        <v>55</v>
      </c>
      <c r="P63" s="15">
        <f t="shared" si="1"/>
        <v>70</v>
      </c>
      <c r="R63" s="8"/>
      <c r="T63"/>
    </row>
    <row r="64" spans="2:20" ht="23.1" customHeight="1" x14ac:dyDescent="0.25">
      <c r="B64" s="45" t="s">
        <v>109</v>
      </c>
      <c r="C64" s="50">
        <v>52</v>
      </c>
      <c r="D64" s="50">
        <v>20</v>
      </c>
      <c r="E64" s="50">
        <v>5</v>
      </c>
      <c r="F64" s="50">
        <v>11</v>
      </c>
      <c r="G64" s="50">
        <v>0</v>
      </c>
      <c r="H64" s="50">
        <v>0</v>
      </c>
      <c r="I64" s="50">
        <v>4</v>
      </c>
      <c r="J64" s="50">
        <v>0</v>
      </c>
      <c r="K64" s="50">
        <v>2</v>
      </c>
      <c r="L64" s="50">
        <v>0</v>
      </c>
      <c r="M64" s="50">
        <v>50</v>
      </c>
      <c r="N64" s="50">
        <v>0</v>
      </c>
      <c r="O64" s="15">
        <f t="shared" si="0"/>
        <v>94</v>
      </c>
      <c r="P64" s="15">
        <f t="shared" si="1"/>
        <v>144</v>
      </c>
      <c r="R64" s="8"/>
      <c r="T64"/>
    </row>
    <row r="65" spans="2:20" ht="23.1" customHeight="1" x14ac:dyDescent="0.25">
      <c r="B65" s="45" t="s">
        <v>158</v>
      </c>
      <c r="C65" s="50">
        <v>43</v>
      </c>
      <c r="D65" s="50">
        <v>19</v>
      </c>
      <c r="E65" s="50">
        <v>14</v>
      </c>
      <c r="F65" s="50">
        <v>13</v>
      </c>
      <c r="G65" s="50">
        <v>0</v>
      </c>
      <c r="H65" s="50">
        <v>0</v>
      </c>
      <c r="I65" s="50">
        <v>1</v>
      </c>
      <c r="J65" s="50">
        <v>0</v>
      </c>
      <c r="K65" s="50">
        <v>2</v>
      </c>
      <c r="L65" s="50">
        <v>0</v>
      </c>
      <c r="M65" s="50">
        <v>70</v>
      </c>
      <c r="N65" s="50">
        <v>0</v>
      </c>
      <c r="O65" s="15">
        <f t="shared" si="0"/>
        <v>92</v>
      </c>
      <c r="P65" s="15">
        <f t="shared" si="1"/>
        <v>162</v>
      </c>
      <c r="R65" s="8"/>
      <c r="T65"/>
    </row>
    <row r="66" spans="2:20" ht="23.1" customHeight="1" x14ac:dyDescent="0.25">
      <c r="B66" s="45" t="s">
        <v>103</v>
      </c>
      <c r="C66" s="50">
        <v>90</v>
      </c>
      <c r="D66" s="50">
        <v>23</v>
      </c>
      <c r="E66" s="50">
        <v>5</v>
      </c>
      <c r="F66" s="50">
        <v>13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105</v>
      </c>
      <c r="N66" s="50">
        <v>0</v>
      </c>
      <c r="O66" s="15">
        <f t="shared" si="0"/>
        <v>133</v>
      </c>
      <c r="P66" s="15">
        <f t="shared" si="1"/>
        <v>238</v>
      </c>
      <c r="R66" s="8"/>
      <c r="T66"/>
    </row>
    <row r="67" spans="2:20" ht="23.1" customHeight="1" x14ac:dyDescent="0.25">
      <c r="B67" s="45" t="s">
        <v>104</v>
      </c>
      <c r="C67" s="50">
        <v>95</v>
      </c>
      <c r="D67" s="50">
        <v>20</v>
      </c>
      <c r="E67" s="50">
        <v>3</v>
      </c>
      <c r="F67" s="50">
        <v>21</v>
      </c>
      <c r="G67" s="50">
        <v>0</v>
      </c>
      <c r="H67" s="50">
        <v>0</v>
      </c>
      <c r="I67" s="50">
        <v>1</v>
      </c>
      <c r="J67" s="50">
        <v>1</v>
      </c>
      <c r="K67" s="50">
        <v>0</v>
      </c>
      <c r="L67" s="50">
        <v>0</v>
      </c>
      <c r="M67" s="50">
        <v>92</v>
      </c>
      <c r="N67" s="50">
        <v>0</v>
      </c>
      <c r="O67" s="15">
        <f t="shared" si="0"/>
        <v>141</v>
      </c>
      <c r="P67" s="15">
        <f t="shared" si="1"/>
        <v>233</v>
      </c>
      <c r="R67" s="8"/>
      <c r="T67"/>
    </row>
    <row r="68" spans="2:20" ht="23.1" customHeight="1" x14ac:dyDescent="0.25">
      <c r="B68" s="45" t="s">
        <v>105</v>
      </c>
      <c r="C68" s="50">
        <v>70</v>
      </c>
      <c r="D68" s="50">
        <v>21</v>
      </c>
      <c r="E68" s="50">
        <v>2</v>
      </c>
      <c r="F68" s="50">
        <v>11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0</v>
      </c>
      <c r="M68" s="50">
        <v>74</v>
      </c>
      <c r="N68" s="50">
        <v>0</v>
      </c>
      <c r="O68" s="15">
        <f t="shared" si="0"/>
        <v>105</v>
      </c>
      <c r="P68" s="15">
        <f t="shared" si="1"/>
        <v>179</v>
      </c>
      <c r="R68" s="8"/>
      <c r="T68"/>
    </row>
    <row r="69" spans="2:20" ht="23.1" customHeight="1" x14ac:dyDescent="0.25">
      <c r="B69" s="45" t="s">
        <v>106</v>
      </c>
      <c r="C69" s="50">
        <v>70</v>
      </c>
      <c r="D69" s="50">
        <v>12</v>
      </c>
      <c r="E69" s="50">
        <v>5</v>
      </c>
      <c r="F69" s="50">
        <v>25</v>
      </c>
      <c r="G69" s="50">
        <v>0</v>
      </c>
      <c r="H69" s="50">
        <v>0</v>
      </c>
      <c r="I69" s="50">
        <v>4</v>
      </c>
      <c r="J69" s="50">
        <v>0</v>
      </c>
      <c r="K69" s="50">
        <v>0</v>
      </c>
      <c r="L69" s="50">
        <v>0</v>
      </c>
      <c r="M69" s="50">
        <v>56</v>
      </c>
      <c r="N69" s="50">
        <v>0</v>
      </c>
      <c r="O69" s="15">
        <f t="shared" si="0"/>
        <v>116</v>
      </c>
      <c r="P69" s="15">
        <f t="shared" si="1"/>
        <v>172</v>
      </c>
      <c r="R69" s="8"/>
      <c r="T69"/>
    </row>
    <row r="70" spans="2:20" ht="23.1" customHeight="1" x14ac:dyDescent="0.25">
      <c r="B70" s="45" t="s">
        <v>110</v>
      </c>
      <c r="C70" s="50">
        <v>60</v>
      </c>
      <c r="D70" s="50">
        <v>17</v>
      </c>
      <c r="E70" s="50">
        <v>7</v>
      </c>
      <c r="F70" s="50">
        <v>31</v>
      </c>
      <c r="G70" s="50">
        <v>0</v>
      </c>
      <c r="H70" s="50">
        <v>0</v>
      </c>
      <c r="I70" s="50">
        <v>2</v>
      </c>
      <c r="J70" s="50">
        <v>1</v>
      </c>
      <c r="K70" s="50">
        <v>0</v>
      </c>
      <c r="L70" s="50">
        <v>0</v>
      </c>
      <c r="M70" s="50">
        <v>80</v>
      </c>
      <c r="N70" s="50">
        <v>0</v>
      </c>
      <c r="O70" s="15">
        <f t="shared" si="0"/>
        <v>118</v>
      </c>
      <c r="P70" s="15">
        <f t="shared" si="1"/>
        <v>198</v>
      </c>
      <c r="R70" s="8"/>
      <c r="T70"/>
    </row>
    <row r="71" spans="2:20" ht="23.1" customHeight="1" x14ac:dyDescent="0.25">
      <c r="B71" s="45" t="s">
        <v>111</v>
      </c>
      <c r="C71" s="50">
        <v>65</v>
      </c>
      <c r="D71" s="50">
        <v>45</v>
      </c>
      <c r="E71" s="50">
        <v>4</v>
      </c>
      <c r="F71" s="50">
        <v>15</v>
      </c>
      <c r="G71" s="50">
        <v>0</v>
      </c>
      <c r="H71" s="50">
        <v>0</v>
      </c>
      <c r="I71" s="50">
        <v>1</v>
      </c>
      <c r="J71" s="50">
        <v>1</v>
      </c>
      <c r="K71" s="50">
        <v>0</v>
      </c>
      <c r="L71" s="50">
        <v>0</v>
      </c>
      <c r="M71" s="50">
        <v>80</v>
      </c>
      <c r="N71" s="50">
        <v>0</v>
      </c>
      <c r="O71" s="15">
        <f t="shared" si="0"/>
        <v>131</v>
      </c>
      <c r="P71" s="15">
        <f t="shared" si="1"/>
        <v>211</v>
      </c>
      <c r="R71" s="8"/>
      <c r="T71"/>
    </row>
    <row r="72" spans="2:20" ht="23.1" customHeight="1" x14ac:dyDescent="0.25">
      <c r="B72" s="45" t="s">
        <v>112</v>
      </c>
      <c r="C72" s="50">
        <v>41</v>
      </c>
      <c r="D72" s="50">
        <v>36</v>
      </c>
      <c r="E72" s="50">
        <v>4</v>
      </c>
      <c r="F72" s="50">
        <v>11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80</v>
      </c>
      <c r="N72" s="50">
        <v>0</v>
      </c>
      <c r="O72" s="15">
        <f t="shared" si="0"/>
        <v>93</v>
      </c>
      <c r="P72" s="15">
        <f t="shared" si="1"/>
        <v>173</v>
      </c>
      <c r="R72" s="8"/>
      <c r="T72"/>
    </row>
    <row r="73" spans="2:20" ht="23.1" customHeight="1" x14ac:dyDescent="0.25">
      <c r="B73" s="45" t="s">
        <v>113</v>
      </c>
      <c r="C73" s="50">
        <v>42</v>
      </c>
      <c r="D73" s="50">
        <v>3</v>
      </c>
      <c r="E73" s="50">
        <v>4</v>
      </c>
      <c r="F73" s="50">
        <v>4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45</v>
      </c>
      <c r="N73" s="50">
        <v>0</v>
      </c>
      <c r="O73" s="15">
        <f t="shared" si="0"/>
        <v>54</v>
      </c>
      <c r="P73" s="15">
        <f t="shared" si="1"/>
        <v>99</v>
      </c>
      <c r="R73" s="8"/>
      <c r="T73"/>
    </row>
    <row r="74" spans="2:20" ht="23.1" customHeight="1" x14ac:dyDescent="0.25">
      <c r="B74" s="45" t="s">
        <v>114</v>
      </c>
      <c r="C74" s="50">
        <v>38</v>
      </c>
      <c r="D74" s="50">
        <v>17</v>
      </c>
      <c r="E74" s="50">
        <v>1</v>
      </c>
      <c r="F74" s="50">
        <v>7</v>
      </c>
      <c r="G74" s="50">
        <v>0</v>
      </c>
      <c r="H74" s="50">
        <v>0</v>
      </c>
      <c r="I74" s="50">
        <v>0</v>
      </c>
      <c r="J74" s="50">
        <v>3</v>
      </c>
      <c r="K74" s="50">
        <v>0</v>
      </c>
      <c r="L74" s="50">
        <v>0</v>
      </c>
      <c r="M74" s="50">
        <v>65</v>
      </c>
      <c r="N74" s="50">
        <v>0</v>
      </c>
      <c r="O74" s="15">
        <f t="shared" ref="O74:O105" si="35">SUM(C74:L74,N74)</f>
        <v>66</v>
      </c>
      <c r="P74" s="15">
        <f t="shared" ref="P74:P105" si="36">SUM(C74:N74)</f>
        <v>131</v>
      </c>
      <c r="R74" s="8"/>
      <c r="T74"/>
    </row>
    <row r="75" spans="2:20" ht="23.1" customHeight="1" x14ac:dyDescent="0.25">
      <c r="B75" s="45" t="s">
        <v>115</v>
      </c>
      <c r="C75" s="50">
        <v>53</v>
      </c>
      <c r="D75" s="50">
        <v>13</v>
      </c>
      <c r="E75" s="50">
        <v>2</v>
      </c>
      <c r="F75" s="50">
        <v>9</v>
      </c>
      <c r="G75" s="50">
        <v>0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70</v>
      </c>
      <c r="N75" s="50">
        <v>0</v>
      </c>
      <c r="O75" s="15">
        <f t="shared" si="35"/>
        <v>79</v>
      </c>
      <c r="P75" s="15">
        <f t="shared" si="36"/>
        <v>149</v>
      </c>
      <c r="R75" s="8"/>
      <c r="T75"/>
    </row>
    <row r="76" spans="2:20" ht="23.1" customHeight="1" x14ac:dyDescent="0.25">
      <c r="B76" s="45" t="s">
        <v>116</v>
      </c>
      <c r="C76" s="50">
        <v>42</v>
      </c>
      <c r="D76" s="50">
        <v>16</v>
      </c>
      <c r="E76" s="50">
        <v>2</v>
      </c>
      <c r="F76" s="50">
        <v>6</v>
      </c>
      <c r="G76" s="50">
        <v>0</v>
      </c>
      <c r="H76" s="50">
        <v>0</v>
      </c>
      <c r="I76" s="50">
        <v>2</v>
      </c>
      <c r="J76" s="50">
        <v>0</v>
      </c>
      <c r="K76" s="50">
        <v>0</v>
      </c>
      <c r="L76" s="50">
        <v>0</v>
      </c>
      <c r="M76" s="50">
        <v>40</v>
      </c>
      <c r="N76" s="50">
        <v>0</v>
      </c>
      <c r="O76" s="15">
        <f t="shared" si="35"/>
        <v>68</v>
      </c>
      <c r="P76" s="15">
        <f t="shared" si="36"/>
        <v>108</v>
      </c>
      <c r="R76" s="8"/>
      <c r="T76"/>
    </row>
    <row r="77" spans="2:20" ht="23.1" customHeight="1" x14ac:dyDescent="0.25">
      <c r="B77" s="45" t="s">
        <v>117</v>
      </c>
      <c r="C77" s="50">
        <v>28</v>
      </c>
      <c r="D77" s="50">
        <v>6</v>
      </c>
      <c r="E77" s="50">
        <v>2</v>
      </c>
      <c r="F77" s="50">
        <v>3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0</v>
      </c>
      <c r="M77" s="50">
        <v>53</v>
      </c>
      <c r="N77" s="50">
        <v>0</v>
      </c>
      <c r="O77" s="15">
        <f t="shared" si="35"/>
        <v>41</v>
      </c>
      <c r="P77" s="15">
        <f t="shared" si="36"/>
        <v>94</v>
      </c>
      <c r="R77" s="8"/>
      <c r="T77"/>
    </row>
    <row r="78" spans="2:20" ht="23.1" customHeight="1" x14ac:dyDescent="0.25">
      <c r="B78" s="46" t="s">
        <v>118</v>
      </c>
      <c r="C78" s="50">
        <v>40</v>
      </c>
      <c r="D78" s="50">
        <v>14</v>
      </c>
      <c r="E78" s="50">
        <v>3</v>
      </c>
      <c r="F78" s="50">
        <v>2</v>
      </c>
      <c r="G78" s="50">
        <v>0</v>
      </c>
      <c r="H78" s="50">
        <v>0</v>
      </c>
      <c r="I78" s="50">
        <v>3</v>
      </c>
      <c r="J78" s="50">
        <v>0</v>
      </c>
      <c r="K78" s="50">
        <v>3</v>
      </c>
      <c r="L78" s="50">
        <v>0</v>
      </c>
      <c r="M78" s="50">
        <v>28</v>
      </c>
      <c r="N78" s="50">
        <v>0</v>
      </c>
      <c r="O78" s="15">
        <f t="shared" si="35"/>
        <v>65</v>
      </c>
      <c r="P78" s="15">
        <f t="shared" si="36"/>
        <v>93</v>
      </c>
      <c r="R78" s="8"/>
      <c r="T78"/>
    </row>
    <row r="79" spans="2:20" ht="23.1" customHeight="1" x14ac:dyDescent="0.25">
      <c r="B79" s="45" t="s">
        <v>119</v>
      </c>
      <c r="C79" s="50">
        <v>26</v>
      </c>
      <c r="D79" s="50">
        <v>9</v>
      </c>
      <c r="E79" s="50">
        <v>2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39</v>
      </c>
      <c r="N79" s="50">
        <v>0</v>
      </c>
      <c r="O79" s="15">
        <f t="shared" si="35"/>
        <v>38</v>
      </c>
      <c r="P79" s="15">
        <f t="shared" si="36"/>
        <v>77</v>
      </c>
      <c r="R79" s="8"/>
      <c r="T79"/>
    </row>
    <row r="80" spans="2:20" ht="23.1" customHeight="1" x14ac:dyDescent="0.25">
      <c r="B80" s="47" t="s">
        <v>120</v>
      </c>
      <c r="C80" s="50">
        <v>16</v>
      </c>
      <c r="D80" s="50">
        <v>3</v>
      </c>
      <c r="E80" s="50">
        <v>2</v>
      </c>
      <c r="F80" s="50">
        <v>2</v>
      </c>
      <c r="G80" s="50">
        <v>0</v>
      </c>
      <c r="H80" s="50">
        <v>0</v>
      </c>
      <c r="I80" s="50">
        <v>2</v>
      </c>
      <c r="J80" s="50">
        <v>1</v>
      </c>
      <c r="K80" s="50">
        <v>0</v>
      </c>
      <c r="L80" s="50">
        <v>0</v>
      </c>
      <c r="M80" s="50">
        <v>19</v>
      </c>
      <c r="N80" s="50">
        <v>0</v>
      </c>
      <c r="O80" s="15">
        <f t="shared" si="35"/>
        <v>26</v>
      </c>
      <c r="P80" s="15">
        <f t="shared" si="36"/>
        <v>45</v>
      </c>
      <c r="R80" s="8"/>
      <c r="T80"/>
    </row>
    <row r="81" spans="2:20" ht="23.1" customHeight="1" x14ac:dyDescent="0.25">
      <c r="B81" s="45" t="s">
        <v>121</v>
      </c>
      <c r="C81" s="50">
        <v>29</v>
      </c>
      <c r="D81" s="50">
        <v>5</v>
      </c>
      <c r="E81" s="50">
        <v>0</v>
      </c>
      <c r="F81" s="50">
        <v>1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19</v>
      </c>
      <c r="N81" s="50">
        <v>0</v>
      </c>
      <c r="O81" s="15">
        <f t="shared" si="35"/>
        <v>36</v>
      </c>
      <c r="P81" s="15">
        <f t="shared" si="36"/>
        <v>55</v>
      </c>
      <c r="R81" s="8"/>
      <c r="T81"/>
    </row>
    <row r="82" spans="2:20" ht="23.1" customHeight="1" x14ac:dyDescent="0.25">
      <c r="B82" s="46" t="s">
        <v>122</v>
      </c>
      <c r="C82" s="50">
        <v>15</v>
      </c>
      <c r="D82" s="50">
        <v>5</v>
      </c>
      <c r="E82" s="50">
        <v>2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29</v>
      </c>
      <c r="N82" s="50">
        <v>0</v>
      </c>
      <c r="O82" s="15">
        <f t="shared" si="35"/>
        <v>22</v>
      </c>
      <c r="P82" s="15">
        <f t="shared" si="36"/>
        <v>51</v>
      </c>
      <c r="R82" s="8"/>
      <c r="T82"/>
    </row>
    <row r="83" spans="2:20" ht="23.1" customHeight="1" x14ac:dyDescent="0.25">
      <c r="B83" s="45" t="s">
        <v>123</v>
      </c>
      <c r="C83" s="50">
        <v>16</v>
      </c>
      <c r="D83" s="50">
        <v>3</v>
      </c>
      <c r="E83" s="50">
        <v>1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32</v>
      </c>
      <c r="N83" s="50">
        <v>0</v>
      </c>
      <c r="O83" s="15">
        <f t="shared" si="35"/>
        <v>21</v>
      </c>
      <c r="P83" s="15">
        <f t="shared" si="36"/>
        <v>53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2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15</v>
      </c>
      <c r="N84" s="50">
        <v>0</v>
      </c>
      <c r="O84" s="15">
        <f t="shared" si="35"/>
        <v>9</v>
      </c>
      <c r="P84" s="15">
        <f t="shared" si="36"/>
        <v>24</v>
      </c>
      <c r="R84" s="8"/>
      <c r="T84"/>
    </row>
    <row r="85" spans="2:20" ht="23.1" customHeight="1" x14ac:dyDescent="0.25">
      <c r="B85" s="45" t="s">
        <v>125</v>
      </c>
      <c r="C85" s="50">
        <v>11</v>
      </c>
      <c r="D85" s="50">
        <v>4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17</v>
      </c>
      <c r="N85" s="50">
        <v>0</v>
      </c>
      <c r="O85" s="15">
        <f t="shared" si="35"/>
        <v>15</v>
      </c>
      <c r="P85" s="15">
        <f t="shared" si="36"/>
        <v>32</v>
      </c>
      <c r="R85" s="8"/>
      <c r="T85"/>
    </row>
    <row r="86" spans="2:20" ht="23.1" customHeight="1" x14ac:dyDescent="0.25">
      <c r="B86" s="46" t="s">
        <v>126</v>
      </c>
      <c r="C86" s="50">
        <v>10</v>
      </c>
      <c r="D86" s="50">
        <v>5</v>
      </c>
      <c r="E86" s="50">
        <v>1</v>
      </c>
      <c r="F86" s="50">
        <v>3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24</v>
      </c>
      <c r="N86" s="50">
        <v>0</v>
      </c>
      <c r="O86" s="15">
        <f t="shared" si="35"/>
        <v>19</v>
      </c>
      <c r="P86" s="15">
        <f t="shared" si="36"/>
        <v>43</v>
      </c>
      <c r="R86" s="8"/>
      <c r="T86"/>
    </row>
    <row r="87" spans="2:20" ht="23.1" customHeight="1" x14ac:dyDescent="0.25">
      <c r="B87" s="45" t="s">
        <v>127</v>
      </c>
      <c r="C87" s="50">
        <v>14</v>
      </c>
      <c r="D87" s="50">
        <v>1</v>
      </c>
      <c r="E87" s="50">
        <v>0</v>
      </c>
      <c r="F87" s="50">
        <v>5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20</v>
      </c>
      <c r="N87" s="50">
        <v>0</v>
      </c>
      <c r="O87" s="15">
        <f t="shared" si="35"/>
        <v>20</v>
      </c>
      <c r="P87" s="15">
        <f t="shared" si="36"/>
        <v>40</v>
      </c>
      <c r="R87" s="8"/>
      <c r="T87"/>
    </row>
    <row r="88" spans="2:20" ht="23.1" customHeight="1" x14ac:dyDescent="0.25">
      <c r="B88" s="47" t="s">
        <v>128</v>
      </c>
      <c r="C88" s="50">
        <v>25</v>
      </c>
      <c r="D88" s="50">
        <v>4</v>
      </c>
      <c r="E88" s="50">
        <v>3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12</v>
      </c>
      <c r="N88" s="50">
        <v>0</v>
      </c>
      <c r="O88" s="15">
        <f t="shared" si="35"/>
        <v>32</v>
      </c>
      <c r="P88" s="15">
        <f t="shared" si="36"/>
        <v>44</v>
      </c>
      <c r="R88" s="8"/>
      <c r="T88"/>
    </row>
    <row r="89" spans="2:20" ht="23.1" customHeight="1" x14ac:dyDescent="0.25">
      <c r="B89" s="45" t="s">
        <v>129</v>
      </c>
      <c r="C89" s="50">
        <v>10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20</v>
      </c>
      <c r="N89" s="50">
        <v>0</v>
      </c>
      <c r="O89" s="15">
        <f t="shared" si="35"/>
        <v>11</v>
      </c>
      <c r="P89" s="15">
        <f t="shared" si="36"/>
        <v>31</v>
      </c>
      <c r="R89" s="8"/>
      <c r="T89"/>
    </row>
    <row r="90" spans="2:20" ht="23.1" customHeight="1" x14ac:dyDescent="0.25">
      <c r="B90" s="46" t="s">
        <v>130</v>
      </c>
      <c r="C90" s="50">
        <v>10</v>
      </c>
      <c r="D90" s="50">
        <v>3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1</v>
      </c>
      <c r="L90" s="50">
        <v>0</v>
      </c>
      <c r="M90" s="50">
        <v>19</v>
      </c>
      <c r="N90" s="50">
        <v>0</v>
      </c>
      <c r="O90" s="15">
        <f t="shared" si="35"/>
        <v>14</v>
      </c>
      <c r="P90" s="15">
        <f t="shared" si="36"/>
        <v>33</v>
      </c>
      <c r="R90" s="8"/>
      <c r="T90"/>
    </row>
    <row r="91" spans="2:20" ht="23.1" customHeight="1" x14ac:dyDescent="0.25">
      <c r="B91" s="45" t="s">
        <v>131</v>
      </c>
      <c r="C91" s="50">
        <v>9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14</v>
      </c>
      <c r="N91" s="50">
        <v>0</v>
      </c>
      <c r="O91" s="15">
        <f t="shared" si="35"/>
        <v>10</v>
      </c>
      <c r="P91" s="15">
        <f t="shared" si="36"/>
        <v>24</v>
      </c>
      <c r="R91" s="8"/>
      <c r="T91"/>
    </row>
    <row r="92" spans="2:20" ht="23.1" customHeight="1" x14ac:dyDescent="0.25">
      <c r="B92" s="47" t="s">
        <v>132</v>
      </c>
      <c r="C92" s="50">
        <v>11</v>
      </c>
      <c r="D92" s="50">
        <v>3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11</v>
      </c>
      <c r="N92" s="50">
        <v>0</v>
      </c>
      <c r="O92" s="15">
        <f t="shared" si="35"/>
        <v>15</v>
      </c>
      <c r="P92" s="15">
        <f t="shared" si="36"/>
        <v>26</v>
      </c>
      <c r="R92" s="8"/>
      <c r="T92"/>
    </row>
    <row r="93" spans="2:20" ht="23.1" customHeight="1" x14ac:dyDescent="0.25">
      <c r="B93" s="45" t="s">
        <v>133</v>
      </c>
      <c r="C93" s="50">
        <v>17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6</v>
      </c>
      <c r="N93" s="50">
        <v>0</v>
      </c>
      <c r="O93" s="15">
        <f t="shared" si="35"/>
        <v>18</v>
      </c>
      <c r="P93" s="15">
        <f t="shared" si="36"/>
        <v>24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12</v>
      </c>
      <c r="N94" s="50">
        <v>0</v>
      </c>
      <c r="O94" s="15">
        <f t="shared" si="35"/>
        <v>9</v>
      </c>
      <c r="P94" s="15">
        <f t="shared" si="36"/>
        <v>21</v>
      </c>
      <c r="R94" s="8"/>
      <c r="T94"/>
    </row>
    <row r="95" spans="2:20" ht="23.1" customHeight="1" x14ac:dyDescent="0.25">
      <c r="B95" s="45" t="s">
        <v>135</v>
      </c>
      <c r="C95" s="50">
        <v>12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11</v>
      </c>
      <c r="N95" s="50">
        <v>0</v>
      </c>
      <c r="O95" s="15">
        <f t="shared" si="35"/>
        <v>13</v>
      </c>
      <c r="P95" s="15">
        <f t="shared" si="36"/>
        <v>24</v>
      </c>
      <c r="R95" s="8"/>
      <c r="T95"/>
    </row>
    <row r="96" spans="2:20" ht="23.1" customHeight="1" x14ac:dyDescent="0.25">
      <c r="B96" s="47" t="s">
        <v>136</v>
      </c>
      <c r="C96" s="50">
        <v>18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20</v>
      </c>
      <c r="N96" s="50">
        <v>0</v>
      </c>
      <c r="O96" s="15">
        <f t="shared" si="35"/>
        <v>19</v>
      </c>
      <c r="P96" s="15">
        <f t="shared" si="36"/>
        <v>39</v>
      </c>
      <c r="R96" s="8"/>
      <c r="T96"/>
    </row>
    <row r="97" spans="2:20" ht="23.1" customHeight="1" x14ac:dyDescent="0.25">
      <c r="B97" s="45" t="s">
        <v>137</v>
      </c>
      <c r="C97" s="50">
        <v>20</v>
      </c>
      <c r="D97" s="50">
        <v>0</v>
      </c>
      <c r="E97" s="50">
        <v>5</v>
      </c>
      <c r="F97" s="50">
        <v>5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19</v>
      </c>
      <c r="N97" s="50">
        <v>0</v>
      </c>
      <c r="O97" s="15">
        <f t="shared" si="35"/>
        <v>30</v>
      </c>
      <c r="P97" s="15">
        <f t="shared" si="36"/>
        <v>49</v>
      </c>
      <c r="R97" s="8"/>
      <c r="T97"/>
    </row>
    <row r="98" spans="2:20" ht="23.1" customHeight="1" x14ac:dyDescent="0.25">
      <c r="B98" s="46" t="s">
        <v>138</v>
      </c>
      <c r="C98" s="50">
        <v>14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10</v>
      </c>
      <c r="N98" s="50">
        <v>0</v>
      </c>
      <c r="O98" s="15">
        <f t="shared" si="35"/>
        <v>15</v>
      </c>
      <c r="P98" s="15">
        <f t="shared" si="36"/>
        <v>25</v>
      </c>
      <c r="R98" s="8"/>
      <c r="T98"/>
    </row>
    <row r="99" spans="2:20" ht="23.1" customHeight="1" x14ac:dyDescent="0.25">
      <c r="B99" s="45" t="s">
        <v>139</v>
      </c>
      <c r="C99" s="50">
        <v>10</v>
      </c>
      <c r="D99" s="50">
        <v>2</v>
      </c>
      <c r="E99" s="50">
        <v>2</v>
      </c>
      <c r="F99" s="50">
        <v>1</v>
      </c>
      <c r="G99" s="50">
        <v>0</v>
      </c>
      <c r="H99" s="50">
        <v>1</v>
      </c>
      <c r="I99" s="50">
        <v>0</v>
      </c>
      <c r="J99" s="50">
        <v>0</v>
      </c>
      <c r="K99" s="50">
        <v>0</v>
      </c>
      <c r="L99" s="50">
        <v>0</v>
      </c>
      <c r="M99" s="50">
        <v>11</v>
      </c>
      <c r="N99" s="50">
        <v>0</v>
      </c>
      <c r="O99" s="15">
        <f t="shared" si="35"/>
        <v>16</v>
      </c>
      <c r="P99" s="15">
        <f t="shared" si="36"/>
        <v>27</v>
      </c>
      <c r="R99" s="8"/>
      <c r="T99"/>
    </row>
    <row r="100" spans="2:20" ht="23.1" customHeight="1" x14ac:dyDescent="0.25">
      <c r="B100" s="47" t="s">
        <v>140</v>
      </c>
      <c r="C100" s="50">
        <v>21</v>
      </c>
      <c r="D100" s="50">
        <v>0</v>
      </c>
      <c r="E100" s="50">
        <v>0</v>
      </c>
      <c r="F100" s="50">
        <v>11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16</v>
      </c>
      <c r="N100" s="50">
        <v>0</v>
      </c>
      <c r="O100" s="15">
        <f t="shared" si="35"/>
        <v>32</v>
      </c>
      <c r="P100" s="15">
        <f t="shared" si="36"/>
        <v>48</v>
      </c>
      <c r="R100" s="8"/>
      <c r="T100"/>
    </row>
    <row r="101" spans="2:20" ht="23.1" customHeight="1" x14ac:dyDescent="0.25">
      <c r="B101" s="45" t="s">
        <v>141</v>
      </c>
      <c r="C101" s="50">
        <v>24</v>
      </c>
      <c r="D101" s="50">
        <v>0</v>
      </c>
      <c r="E101" s="50">
        <v>0</v>
      </c>
      <c r="F101" s="50">
        <v>8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6</v>
      </c>
      <c r="N101" s="50">
        <v>0</v>
      </c>
      <c r="O101" s="15">
        <f t="shared" si="35"/>
        <v>32</v>
      </c>
      <c r="P101" s="15">
        <f t="shared" si="36"/>
        <v>38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1</v>
      </c>
      <c r="E102" s="50">
        <v>1</v>
      </c>
      <c r="F102" s="50">
        <v>10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14</v>
      </c>
      <c r="N102" s="50">
        <v>0</v>
      </c>
      <c r="O102" s="15">
        <f t="shared" si="35"/>
        <v>20</v>
      </c>
      <c r="P102" s="15">
        <f t="shared" si="36"/>
        <v>34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4</v>
      </c>
      <c r="E103" s="50">
        <v>1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18</v>
      </c>
      <c r="N103" s="50">
        <v>0</v>
      </c>
      <c r="O103" s="15">
        <f t="shared" si="35"/>
        <v>16</v>
      </c>
      <c r="P103" s="15">
        <f t="shared" si="36"/>
        <v>34</v>
      </c>
      <c r="R103" s="8"/>
      <c r="T103"/>
    </row>
    <row r="104" spans="2:20" ht="23.1" customHeight="1" x14ac:dyDescent="0.25">
      <c r="B104" s="47" t="s">
        <v>144</v>
      </c>
      <c r="C104" s="50">
        <v>7</v>
      </c>
      <c r="D104" s="50">
        <v>6</v>
      </c>
      <c r="E104" s="50">
        <v>1</v>
      </c>
      <c r="F104" s="50">
        <v>6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30</v>
      </c>
      <c r="N104" s="50">
        <v>0</v>
      </c>
      <c r="O104" s="15">
        <f t="shared" si="35"/>
        <v>21</v>
      </c>
      <c r="P104" s="15">
        <f t="shared" si="36"/>
        <v>51</v>
      </c>
      <c r="R104" s="8"/>
      <c r="T104"/>
    </row>
    <row r="105" spans="2:20" ht="23.1" customHeight="1" x14ac:dyDescent="0.25">
      <c r="B105" s="45" t="s">
        <v>145</v>
      </c>
      <c r="C105" s="50">
        <v>20</v>
      </c>
      <c r="D105" s="50">
        <v>0</v>
      </c>
      <c r="E105" s="50">
        <v>4</v>
      </c>
      <c r="F105" s="50">
        <v>10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50</v>
      </c>
      <c r="N105" s="50">
        <v>0</v>
      </c>
      <c r="O105" s="15">
        <f t="shared" si="35"/>
        <v>35</v>
      </c>
      <c r="P105" s="15">
        <f t="shared" si="36"/>
        <v>85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5137</v>
      </c>
      <c r="D106" s="16">
        <f t="shared" ref="D106:P106" si="37">SUM(D10:D105)</f>
        <v>2072</v>
      </c>
      <c r="E106" s="16">
        <f t="shared" si="37"/>
        <v>563</v>
      </c>
      <c r="F106" s="16">
        <f t="shared" si="37"/>
        <v>1043</v>
      </c>
      <c r="G106" s="16">
        <f t="shared" si="37"/>
        <v>5</v>
      </c>
      <c r="H106" s="16">
        <f t="shared" si="37"/>
        <v>1</v>
      </c>
      <c r="I106" s="16">
        <f t="shared" si="37"/>
        <v>222</v>
      </c>
      <c r="J106" s="16">
        <f t="shared" si="37"/>
        <v>13</v>
      </c>
      <c r="K106" s="16">
        <f t="shared" si="37"/>
        <v>9</v>
      </c>
      <c r="L106" s="16">
        <f t="shared" si="37"/>
        <v>0</v>
      </c>
      <c r="M106" s="16">
        <f t="shared" si="37"/>
        <v>1719</v>
      </c>
      <c r="N106" s="16">
        <f t="shared" si="37"/>
        <v>0</v>
      </c>
      <c r="O106" s="16">
        <f t="shared" si="37"/>
        <v>9065</v>
      </c>
      <c r="P106" s="16">
        <f t="shared" si="37"/>
        <v>10784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0.47635385756676557</v>
      </c>
      <c r="D107" s="43">
        <f t="shared" si="38"/>
        <v>0.19213649851632048</v>
      </c>
      <c r="E107" s="43">
        <f t="shared" si="38"/>
        <v>5.2206973293768548E-2</v>
      </c>
      <c r="F107" s="43">
        <f t="shared" si="38"/>
        <v>9.6717359050445109E-2</v>
      </c>
      <c r="G107" s="43">
        <f t="shared" si="38"/>
        <v>4.6364985163204749E-4</v>
      </c>
      <c r="H107" s="43">
        <f t="shared" si="38"/>
        <v>9.2729970326409499E-5</v>
      </c>
      <c r="I107" s="43">
        <f t="shared" si="38"/>
        <v>2.0586053412462908E-2</v>
      </c>
      <c r="J107" s="43">
        <f t="shared" si="38"/>
        <v>1.2054896142433234E-3</v>
      </c>
      <c r="K107" s="43">
        <f t="shared" si="38"/>
        <v>8.3456973293768544E-4</v>
      </c>
      <c r="L107" s="43">
        <f t="shared" si="38"/>
        <v>0</v>
      </c>
      <c r="M107" s="43">
        <f t="shared" si="38"/>
        <v>0.15940281899109793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0.56668505239933809</v>
      </c>
      <c r="D108" s="44">
        <f t="shared" ref="D108:N108" si="39">D106/$O$106</f>
        <v>0.22857142857142856</v>
      </c>
      <c r="E108" s="44">
        <f t="shared" si="39"/>
        <v>6.2107004964147824E-2</v>
      </c>
      <c r="F108" s="44">
        <f t="shared" si="39"/>
        <v>0.11505791505791506</v>
      </c>
      <c r="G108" s="44">
        <f t="shared" si="39"/>
        <v>5.5157198014340876E-4</v>
      </c>
      <c r="H108" s="44">
        <f t="shared" si="39"/>
        <v>1.1031439602868175E-4</v>
      </c>
      <c r="I108" s="44">
        <f t="shared" si="39"/>
        <v>2.4489795918367346E-2</v>
      </c>
      <c r="J108" s="44">
        <f t="shared" si="39"/>
        <v>1.4340871483728627E-3</v>
      </c>
      <c r="K108" s="44">
        <f t="shared" si="39"/>
        <v>9.9282956425813564E-4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7" zoomScale="60" workbookViewId="0">
      <selection activeCell="D87" sqref="D8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Kyanja -Kisaasi'!C3:G3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Kyanja-Kisaasi-24h'!D5</f>
        <v>03.08.19</v>
      </c>
      <c r="E5" s="3"/>
      <c r="F5" s="41" t="s">
        <v>1</v>
      </c>
      <c r="G5" s="66" t="str">
        <f>'03.08 Kyanja-Kisaasi-24h'!G5:H5</f>
        <v>Malcom Health center</v>
      </c>
      <c r="H5" s="67"/>
      <c r="I5" s="14"/>
      <c r="J5" s="2" t="s">
        <v>5</v>
      </c>
      <c r="K5" s="66" t="s">
        <v>176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'03.08 Kyanja-Kisaasi-24h'!K6:L6</f>
        <v>Denis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30</v>
      </c>
      <c r="D10" s="50">
        <v>12</v>
      </c>
      <c r="E10" s="50">
        <v>6</v>
      </c>
      <c r="F10" s="50">
        <v>14</v>
      </c>
      <c r="G10" s="50">
        <v>1</v>
      </c>
      <c r="H10" s="50">
        <v>0</v>
      </c>
      <c r="I10" s="50">
        <v>6</v>
      </c>
      <c r="J10" s="50">
        <v>1</v>
      </c>
      <c r="K10" s="50">
        <v>5</v>
      </c>
      <c r="L10" s="50">
        <v>0</v>
      </c>
      <c r="M10" s="50">
        <v>57</v>
      </c>
      <c r="N10" s="50">
        <v>0</v>
      </c>
      <c r="O10" s="15">
        <f t="shared" ref="O10:O73" si="0">SUM(C10:L10,N10)</f>
        <v>75</v>
      </c>
      <c r="P10" s="15">
        <f t="shared" ref="P10:P73" si="1">SUM(C10:N10)</f>
        <v>132</v>
      </c>
      <c r="R10" s="1" t="s">
        <v>6</v>
      </c>
      <c r="S10" s="17">
        <f t="shared" ref="S10:AF10" si="2">SUM(C10:C13)</f>
        <v>95</v>
      </c>
      <c r="T10" s="17">
        <f t="shared" si="2"/>
        <v>38</v>
      </c>
      <c r="U10" s="17">
        <f t="shared" si="2"/>
        <v>25</v>
      </c>
      <c r="V10" s="17">
        <f t="shared" si="2"/>
        <v>66</v>
      </c>
      <c r="W10" s="17">
        <f t="shared" si="2"/>
        <v>5</v>
      </c>
      <c r="X10" s="17">
        <f t="shared" si="2"/>
        <v>0</v>
      </c>
      <c r="Y10" s="17">
        <f t="shared" si="2"/>
        <v>13</v>
      </c>
      <c r="Z10" s="17">
        <f t="shared" si="2"/>
        <v>2</v>
      </c>
      <c r="AA10" s="17">
        <f t="shared" si="2"/>
        <v>17</v>
      </c>
      <c r="AB10" s="17">
        <f t="shared" si="2"/>
        <v>0</v>
      </c>
      <c r="AC10" s="17">
        <f t="shared" si="2"/>
        <v>215</v>
      </c>
      <c r="AD10" s="17">
        <f t="shared" si="2"/>
        <v>0</v>
      </c>
      <c r="AE10" s="31">
        <f t="shared" si="2"/>
        <v>261</v>
      </c>
      <c r="AF10" s="31">
        <f t="shared" si="2"/>
        <v>476</v>
      </c>
    </row>
    <row r="11" spans="2:32" s="6" customFormat="1" ht="23.1" customHeight="1" x14ac:dyDescent="0.25">
      <c r="B11" s="45" t="s">
        <v>38</v>
      </c>
      <c r="C11" s="50">
        <v>11</v>
      </c>
      <c r="D11" s="50">
        <v>10</v>
      </c>
      <c r="E11" s="50">
        <v>3</v>
      </c>
      <c r="F11" s="50">
        <v>12</v>
      </c>
      <c r="G11" s="50">
        <v>2</v>
      </c>
      <c r="H11" s="50">
        <v>0</v>
      </c>
      <c r="I11" s="50">
        <v>3</v>
      </c>
      <c r="J11" s="50">
        <v>0</v>
      </c>
      <c r="K11" s="50">
        <v>3</v>
      </c>
      <c r="L11" s="50">
        <v>0</v>
      </c>
      <c r="M11" s="50">
        <v>44</v>
      </c>
      <c r="N11" s="50">
        <v>0</v>
      </c>
      <c r="O11" s="15">
        <f t="shared" si="0"/>
        <v>44</v>
      </c>
      <c r="P11" s="15">
        <f t="shared" si="1"/>
        <v>88</v>
      </c>
      <c r="R11" s="1" t="s">
        <v>7</v>
      </c>
      <c r="S11" s="17">
        <f t="shared" ref="S11:AF11" si="3">SUM(C14:C17)</f>
        <v>101</v>
      </c>
      <c r="T11" s="17">
        <f t="shared" si="3"/>
        <v>55</v>
      </c>
      <c r="U11" s="17">
        <f t="shared" si="3"/>
        <v>15</v>
      </c>
      <c r="V11" s="17">
        <f t="shared" si="3"/>
        <v>73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5</v>
      </c>
      <c r="AA11" s="17">
        <f t="shared" si="3"/>
        <v>5</v>
      </c>
      <c r="AB11" s="17">
        <f t="shared" si="3"/>
        <v>0</v>
      </c>
      <c r="AC11" s="17">
        <f t="shared" si="3"/>
        <v>328</v>
      </c>
      <c r="AD11" s="17">
        <f t="shared" si="3"/>
        <v>0</v>
      </c>
      <c r="AE11" s="31">
        <f t="shared" si="3"/>
        <v>261</v>
      </c>
      <c r="AF11" s="31">
        <f t="shared" si="3"/>
        <v>589</v>
      </c>
    </row>
    <row r="12" spans="2:32" ht="23.1" customHeight="1" x14ac:dyDescent="0.25">
      <c r="B12" s="45" t="s">
        <v>39</v>
      </c>
      <c r="C12" s="50">
        <v>30</v>
      </c>
      <c r="D12" s="50">
        <v>7</v>
      </c>
      <c r="E12" s="50">
        <v>10</v>
      </c>
      <c r="F12" s="50">
        <v>20</v>
      </c>
      <c r="G12" s="50">
        <v>0</v>
      </c>
      <c r="H12" s="50">
        <v>0</v>
      </c>
      <c r="I12" s="50">
        <v>3</v>
      </c>
      <c r="J12" s="50">
        <v>1</v>
      </c>
      <c r="K12" s="50">
        <v>4</v>
      </c>
      <c r="L12" s="50">
        <v>0</v>
      </c>
      <c r="M12" s="50">
        <v>54</v>
      </c>
      <c r="N12" s="50">
        <v>0</v>
      </c>
      <c r="O12" s="15">
        <f t="shared" si="0"/>
        <v>75</v>
      </c>
      <c r="P12" s="15">
        <f t="shared" si="1"/>
        <v>129</v>
      </c>
      <c r="R12" s="1" t="s">
        <v>8</v>
      </c>
      <c r="S12" s="17">
        <f t="shared" ref="S12:AF12" si="4">SUM(C18:C21)</f>
        <v>134</v>
      </c>
      <c r="T12" s="17">
        <f t="shared" si="4"/>
        <v>47</v>
      </c>
      <c r="U12" s="17">
        <f t="shared" si="4"/>
        <v>31</v>
      </c>
      <c r="V12" s="17">
        <f t="shared" si="4"/>
        <v>94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8</v>
      </c>
      <c r="AA12" s="17">
        <f t="shared" si="4"/>
        <v>18</v>
      </c>
      <c r="AB12" s="17">
        <f t="shared" si="4"/>
        <v>0</v>
      </c>
      <c r="AC12" s="17">
        <f t="shared" si="4"/>
        <v>399</v>
      </c>
      <c r="AD12" s="17">
        <f t="shared" si="4"/>
        <v>0</v>
      </c>
      <c r="AE12" s="31">
        <f t="shared" si="4"/>
        <v>341</v>
      </c>
      <c r="AF12" s="31">
        <f t="shared" si="4"/>
        <v>740</v>
      </c>
    </row>
    <row r="13" spans="2:32" ht="23.1" customHeight="1" x14ac:dyDescent="0.25">
      <c r="B13" s="45" t="s">
        <v>40</v>
      </c>
      <c r="C13" s="50">
        <v>24</v>
      </c>
      <c r="D13" s="50">
        <v>9</v>
      </c>
      <c r="E13" s="50">
        <v>6</v>
      </c>
      <c r="F13" s="50">
        <v>20</v>
      </c>
      <c r="G13" s="50">
        <v>2</v>
      </c>
      <c r="H13" s="50">
        <v>0</v>
      </c>
      <c r="I13" s="50">
        <v>1</v>
      </c>
      <c r="J13" s="50">
        <v>0</v>
      </c>
      <c r="K13" s="50">
        <v>5</v>
      </c>
      <c r="L13" s="50">
        <v>0</v>
      </c>
      <c r="M13" s="50">
        <v>60</v>
      </c>
      <c r="N13" s="50">
        <v>0</v>
      </c>
      <c r="O13" s="15">
        <f t="shared" si="0"/>
        <v>67</v>
      </c>
      <c r="P13" s="15">
        <f t="shared" si="1"/>
        <v>127</v>
      </c>
      <c r="R13" s="1" t="s">
        <v>9</v>
      </c>
      <c r="S13" s="17">
        <f t="shared" ref="S13:AF13" si="5">SUM(C22:C25)</f>
        <v>198</v>
      </c>
      <c r="T13" s="17">
        <f t="shared" si="5"/>
        <v>51</v>
      </c>
      <c r="U13" s="17">
        <f t="shared" si="5"/>
        <v>16</v>
      </c>
      <c r="V13" s="17">
        <f t="shared" si="5"/>
        <v>95</v>
      </c>
      <c r="W13" s="17">
        <f t="shared" si="5"/>
        <v>0</v>
      </c>
      <c r="X13" s="17">
        <f t="shared" si="5"/>
        <v>0</v>
      </c>
      <c r="Y13" s="17">
        <f t="shared" si="5"/>
        <v>18</v>
      </c>
      <c r="Z13" s="17">
        <f t="shared" si="5"/>
        <v>7</v>
      </c>
      <c r="AA13" s="17">
        <f t="shared" si="5"/>
        <v>2</v>
      </c>
      <c r="AB13" s="17">
        <f t="shared" si="5"/>
        <v>0</v>
      </c>
      <c r="AC13" s="17">
        <f t="shared" si="5"/>
        <v>540</v>
      </c>
      <c r="AD13" s="17">
        <f t="shared" si="5"/>
        <v>0</v>
      </c>
      <c r="AE13" s="31">
        <f t="shared" si="5"/>
        <v>387</v>
      </c>
      <c r="AF13" s="31">
        <f t="shared" si="5"/>
        <v>927</v>
      </c>
    </row>
    <row r="14" spans="2:32" ht="23.1" customHeight="1" x14ac:dyDescent="0.25">
      <c r="B14" s="45" t="s">
        <v>41</v>
      </c>
      <c r="C14" s="50">
        <v>23</v>
      </c>
      <c r="D14" s="50">
        <v>15</v>
      </c>
      <c r="E14" s="50">
        <v>2</v>
      </c>
      <c r="F14" s="50">
        <v>16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63</v>
      </c>
      <c r="N14" s="50">
        <v>0</v>
      </c>
      <c r="O14" s="15">
        <f t="shared" si="0"/>
        <v>56</v>
      </c>
      <c r="P14" s="15">
        <f t="shared" si="1"/>
        <v>119</v>
      </c>
      <c r="R14" s="1" t="s">
        <v>10</v>
      </c>
      <c r="S14" s="17">
        <f t="shared" ref="S14:AF14" si="6">SUM(C26:C29)</f>
        <v>179</v>
      </c>
      <c r="T14" s="17">
        <f t="shared" si="6"/>
        <v>94</v>
      </c>
      <c r="U14" s="17">
        <f t="shared" si="6"/>
        <v>25</v>
      </c>
      <c r="V14" s="17">
        <f t="shared" si="6"/>
        <v>58</v>
      </c>
      <c r="W14" s="17">
        <f t="shared" si="6"/>
        <v>1</v>
      </c>
      <c r="X14" s="17">
        <f t="shared" si="6"/>
        <v>0</v>
      </c>
      <c r="Y14" s="17">
        <f t="shared" si="6"/>
        <v>15</v>
      </c>
      <c r="Z14" s="17">
        <f t="shared" si="6"/>
        <v>2</v>
      </c>
      <c r="AA14" s="17">
        <f t="shared" si="6"/>
        <v>14</v>
      </c>
      <c r="AB14" s="17">
        <f t="shared" si="6"/>
        <v>0</v>
      </c>
      <c r="AC14" s="17">
        <f t="shared" si="6"/>
        <v>410</v>
      </c>
      <c r="AD14" s="17">
        <f t="shared" si="6"/>
        <v>0</v>
      </c>
      <c r="AE14" s="31">
        <f t="shared" si="6"/>
        <v>388</v>
      </c>
      <c r="AF14" s="31">
        <f t="shared" si="6"/>
        <v>798</v>
      </c>
    </row>
    <row r="15" spans="2:32" ht="23.1" customHeight="1" x14ac:dyDescent="0.25">
      <c r="B15" s="45" t="s">
        <v>42</v>
      </c>
      <c r="C15" s="50">
        <v>12</v>
      </c>
      <c r="D15" s="50">
        <v>11</v>
      </c>
      <c r="E15" s="50">
        <v>6</v>
      </c>
      <c r="F15" s="50">
        <v>15</v>
      </c>
      <c r="G15" s="50">
        <v>0</v>
      </c>
      <c r="H15" s="50">
        <v>0</v>
      </c>
      <c r="I15" s="50">
        <v>1</v>
      </c>
      <c r="J15" s="50">
        <v>3</v>
      </c>
      <c r="K15" s="50">
        <v>3</v>
      </c>
      <c r="L15" s="50">
        <v>0</v>
      </c>
      <c r="M15" s="50">
        <v>78</v>
      </c>
      <c r="N15" s="50">
        <v>0</v>
      </c>
      <c r="O15" s="15">
        <f t="shared" si="0"/>
        <v>51</v>
      </c>
      <c r="P15" s="15">
        <f t="shared" si="1"/>
        <v>129</v>
      </c>
      <c r="R15" s="1" t="s">
        <v>11</v>
      </c>
      <c r="S15" s="17">
        <f t="shared" ref="S15:AF15" si="7">SUM(C30:C33)</f>
        <v>202</v>
      </c>
      <c r="T15" s="17">
        <f t="shared" si="7"/>
        <v>82</v>
      </c>
      <c r="U15" s="17">
        <f t="shared" si="7"/>
        <v>28</v>
      </c>
      <c r="V15" s="17">
        <f t="shared" si="7"/>
        <v>53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5</v>
      </c>
      <c r="AA15" s="17">
        <f t="shared" si="7"/>
        <v>6</v>
      </c>
      <c r="AB15" s="17">
        <f t="shared" si="7"/>
        <v>0</v>
      </c>
      <c r="AC15" s="17">
        <f t="shared" si="7"/>
        <v>350</v>
      </c>
      <c r="AD15" s="17">
        <f t="shared" si="7"/>
        <v>0</v>
      </c>
      <c r="AE15" s="31">
        <f t="shared" si="7"/>
        <v>389</v>
      </c>
      <c r="AF15" s="31">
        <f t="shared" si="7"/>
        <v>739</v>
      </c>
    </row>
    <row r="16" spans="2:32" ht="23.1" customHeight="1" x14ac:dyDescent="0.25">
      <c r="B16" s="45" t="s">
        <v>43</v>
      </c>
      <c r="C16" s="50">
        <v>26</v>
      </c>
      <c r="D16" s="50">
        <v>13</v>
      </c>
      <c r="E16" s="50">
        <v>2</v>
      </c>
      <c r="F16" s="50">
        <v>19</v>
      </c>
      <c r="G16" s="50">
        <v>0</v>
      </c>
      <c r="H16" s="50">
        <v>0</v>
      </c>
      <c r="I16" s="50">
        <v>4</v>
      </c>
      <c r="J16" s="50">
        <v>1</v>
      </c>
      <c r="K16" s="50">
        <v>1</v>
      </c>
      <c r="L16" s="50">
        <v>0</v>
      </c>
      <c r="M16" s="50">
        <v>92</v>
      </c>
      <c r="N16" s="50">
        <v>0</v>
      </c>
      <c r="O16" s="15">
        <f t="shared" si="0"/>
        <v>66</v>
      </c>
      <c r="P16" s="15">
        <f t="shared" si="1"/>
        <v>158</v>
      </c>
      <c r="R16" s="1" t="s">
        <v>12</v>
      </c>
      <c r="S16" s="17">
        <f t="shared" ref="S16:AF16" si="8">SUM(C34:C37)</f>
        <v>308</v>
      </c>
      <c r="T16" s="17">
        <f t="shared" si="8"/>
        <v>57</v>
      </c>
      <c r="U16" s="17">
        <f t="shared" si="8"/>
        <v>23</v>
      </c>
      <c r="V16" s="17">
        <f t="shared" si="8"/>
        <v>56</v>
      </c>
      <c r="W16" s="17">
        <f t="shared" si="8"/>
        <v>0</v>
      </c>
      <c r="X16" s="17">
        <f t="shared" si="8"/>
        <v>0</v>
      </c>
      <c r="Y16" s="17">
        <f t="shared" si="8"/>
        <v>16</v>
      </c>
      <c r="Z16" s="17">
        <f t="shared" si="8"/>
        <v>6</v>
      </c>
      <c r="AA16" s="17">
        <f t="shared" si="8"/>
        <v>2</v>
      </c>
      <c r="AB16" s="17">
        <f t="shared" si="8"/>
        <v>0</v>
      </c>
      <c r="AC16" s="17">
        <f t="shared" si="8"/>
        <v>350</v>
      </c>
      <c r="AD16" s="17">
        <f t="shared" si="8"/>
        <v>0</v>
      </c>
      <c r="AE16" s="31">
        <f t="shared" si="8"/>
        <v>468</v>
      </c>
      <c r="AF16" s="31">
        <f t="shared" si="8"/>
        <v>818</v>
      </c>
    </row>
    <row r="17" spans="2:32" ht="23.1" customHeight="1" x14ac:dyDescent="0.25">
      <c r="B17" s="45" t="s">
        <v>44</v>
      </c>
      <c r="C17" s="50">
        <v>40</v>
      </c>
      <c r="D17" s="50">
        <v>16</v>
      </c>
      <c r="E17" s="50">
        <v>5</v>
      </c>
      <c r="F17" s="50">
        <v>23</v>
      </c>
      <c r="G17" s="50">
        <v>0</v>
      </c>
      <c r="H17" s="50">
        <v>0</v>
      </c>
      <c r="I17" s="50">
        <v>2</v>
      </c>
      <c r="J17" s="50">
        <v>1</v>
      </c>
      <c r="K17" s="50">
        <v>1</v>
      </c>
      <c r="L17" s="50">
        <v>0</v>
      </c>
      <c r="M17" s="50">
        <v>95</v>
      </c>
      <c r="N17" s="50">
        <v>0</v>
      </c>
      <c r="O17" s="15">
        <f t="shared" si="0"/>
        <v>88</v>
      </c>
      <c r="P17" s="15">
        <f t="shared" si="1"/>
        <v>183</v>
      </c>
      <c r="R17" s="1" t="s">
        <v>13</v>
      </c>
      <c r="S17" s="17">
        <f t="shared" ref="S17:AF17" si="9">SUM(C38:C41)</f>
        <v>265</v>
      </c>
      <c r="T17" s="17">
        <f t="shared" si="9"/>
        <v>108</v>
      </c>
      <c r="U17" s="17">
        <f t="shared" si="9"/>
        <v>22</v>
      </c>
      <c r="V17" s="17">
        <f t="shared" si="9"/>
        <v>80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6</v>
      </c>
      <c r="AA17" s="17">
        <f t="shared" si="9"/>
        <v>2</v>
      </c>
      <c r="AB17" s="17">
        <f t="shared" si="9"/>
        <v>1</v>
      </c>
      <c r="AC17" s="17">
        <f t="shared" si="9"/>
        <v>245</v>
      </c>
      <c r="AD17" s="17">
        <f t="shared" si="9"/>
        <v>0</v>
      </c>
      <c r="AE17" s="31">
        <f t="shared" si="9"/>
        <v>495</v>
      </c>
      <c r="AF17" s="31">
        <f t="shared" si="9"/>
        <v>740</v>
      </c>
    </row>
    <row r="18" spans="2:32" ht="23.1" customHeight="1" x14ac:dyDescent="0.25">
      <c r="B18" s="45" t="s">
        <v>45</v>
      </c>
      <c r="C18" s="50">
        <v>26</v>
      </c>
      <c r="D18" s="50">
        <v>17</v>
      </c>
      <c r="E18" s="50">
        <v>4</v>
      </c>
      <c r="F18" s="50">
        <v>23</v>
      </c>
      <c r="G18" s="50">
        <v>0</v>
      </c>
      <c r="H18" s="50">
        <v>0</v>
      </c>
      <c r="I18" s="50">
        <v>2</v>
      </c>
      <c r="J18" s="50">
        <v>2</v>
      </c>
      <c r="K18" s="50">
        <v>5</v>
      </c>
      <c r="L18" s="50">
        <v>0</v>
      </c>
      <c r="M18" s="50">
        <v>82</v>
      </c>
      <c r="N18" s="50">
        <v>0</v>
      </c>
      <c r="O18" s="15">
        <f t="shared" si="0"/>
        <v>79</v>
      </c>
      <c r="P18" s="15">
        <f t="shared" si="1"/>
        <v>161</v>
      </c>
      <c r="R18" s="1" t="s">
        <v>14</v>
      </c>
      <c r="S18" s="17">
        <f t="shared" ref="S18:AF18" si="10">SUM(C42:C45)</f>
        <v>176</v>
      </c>
      <c r="T18" s="17">
        <f t="shared" si="10"/>
        <v>109</v>
      </c>
      <c r="U18" s="17">
        <f t="shared" si="10"/>
        <v>39</v>
      </c>
      <c r="V18" s="17">
        <f t="shared" si="10"/>
        <v>63</v>
      </c>
      <c r="W18" s="17">
        <f t="shared" si="10"/>
        <v>0</v>
      </c>
      <c r="X18" s="17">
        <f t="shared" si="10"/>
        <v>0</v>
      </c>
      <c r="Y18" s="17">
        <f t="shared" si="10"/>
        <v>28</v>
      </c>
      <c r="Z18" s="17">
        <f t="shared" si="10"/>
        <v>9</v>
      </c>
      <c r="AA18" s="17">
        <f t="shared" si="10"/>
        <v>4</v>
      </c>
      <c r="AB18" s="17">
        <f t="shared" si="10"/>
        <v>0</v>
      </c>
      <c r="AC18" s="17">
        <f t="shared" si="10"/>
        <v>311</v>
      </c>
      <c r="AD18" s="17">
        <f t="shared" si="10"/>
        <v>0</v>
      </c>
      <c r="AE18" s="31">
        <f t="shared" si="10"/>
        <v>428</v>
      </c>
      <c r="AF18" s="31">
        <f t="shared" si="10"/>
        <v>739</v>
      </c>
    </row>
    <row r="19" spans="2:32" ht="23.1" customHeight="1" x14ac:dyDescent="0.25">
      <c r="B19" s="45" t="s">
        <v>46</v>
      </c>
      <c r="C19" s="50">
        <v>34</v>
      </c>
      <c r="D19" s="50">
        <v>13</v>
      </c>
      <c r="E19" s="50">
        <v>9</v>
      </c>
      <c r="F19" s="50">
        <v>29</v>
      </c>
      <c r="G19" s="50">
        <v>0</v>
      </c>
      <c r="H19" s="50">
        <v>0</v>
      </c>
      <c r="I19" s="50">
        <v>4</v>
      </c>
      <c r="J19" s="50">
        <v>2</v>
      </c>
      <c r="K19" s="50">
        <v>3</v>
      </c>
      <c r="L19" s="50">
        <v>0</v>
      </c>
      <c r="M19" s="50">
        <v>92</v>
      </c>
      <c r="N19" s="50">
        <v>0</v>
      </c>
      <c r="O19" s="15">
        <f t="shared" si="0"/>
        <v>94</v>
      </c>
      <c r="P19" s="15">
        <f t="shared" si="1"/>
        <v>186</v>
      </c>
      <c r="R19" s="1" t="s">
        <v>15</v>
      </c>
      <c r="S19" s="17">
        <f t="shared" ref="S19:AF19" si="11">SUM(C46:C49)</f>
        <v>208</v>
      </c>
      <c r="T19" s="17">
        <f t="shared" si="11"/>
        <v>90</v>
      </c>
      <c r="U19" s="17">
        <f t="shared" si="11"/>
        <v>20</v>
      </c>
      <c r="V19" s="17">
        <f t="shared" si="11"/>
        <v>82</v>
      </c>
      <c r="W19" s="17">
        <f t="shared" si="11"/>
        <v>0</v>
      </c>
      <c r="X19" s="17">
        <f t="shared" si="11"/>
        <v>0</v>
      </c>
      <c r="Y19" s="17">
        <f t="shared" si="11"/>
        <v>15</v>
      </c>
      <c r="Z19" s="17">
        <f t="shared" si="11"/>
        <v>8</v>
      </c>
      <c r="AA19" s="17">
        <f t="shared" si="11"/>
        <v>3</v>
      </c>
      <c r="AB19" s="17">
        <f t="shared" si="11"/>
        <v>0</v>
      </c>
      <c r="AC19" s="17">
        <f t="shared" si="11"/>
        <v>358</v>
      </c>
      <c r="AD19" s="17">
        <f t="shared" si="11"/>
        <v>0</v>
      </c>
      <c r="AE19" s="31">
        <f t="shared" si="11"/>
        <v>426</v>
      </c>
      <c r="AF19" s="31">
        <f t="shared" si="11"/>
        <v>784</v>
      </c>
    </row>
    <row r="20" spans="2:32" ht="23.1" customHeight="1" x14ac:dyDescent="0.25">
      <c r="B20" s="45" t="s">
        <v>47</v>
      </c>
      <c r="C20" s="50">
        <v>48</v>
      </c>
      <c r="D20" s="50">
        <v>11</v>
      </c>
      <c r="E20" s="50">
        <v>7</v>
      </c>
      <c r="F20" s="50">
        <v>26</v>
      </c>
      <c r="G20" s="50">
        <v>0</v>
      </c>
      <c r="H20" s="50">
        <v>0</v>
      </c>
      <c r="I20" s="50">
        <v>1</v>
      </c>
      <c r="J20" s="50">
        <v>1</v>
      </c>
      <c r="K20" s="50">
        <v>6</v>
      </c>
      <c r="L20" s="50">
        <v>0</v>
      </c>
      <c r="M20" s="50">
        <v>105</v>
      </c>
      <c r="N20" s="50">
        <v>0</v>
      </c>
      <c r="O20" s="15">
        <f t="shared" si="0"/>
        <v>100</v>
      </c>
      <c r="P20" s="15">
        <f t="shared" si="1"/>
        <v>205</v>
      </c>
      <c r="R20" s="1" t="s">
        <v>16</v>
      </c>
      <c r="S20" s="17">
        <f t="shared" ref="S20:AF20" si="12">SUM(C50:C53)</f>
        <v>215</v>
      </c>
      <c r="T20" s="17">
        <f t="shared" si="12"/>
        <v>69</v>
      </c>
      <c r="U20" s="17">
        <f t="shared" si="12"/>
        <v>25</v>
      </c>
      <c r="V20" s="17">
        <f t="shared" si="12"/>
        <v>65</v>
      </c>
      <c r="W20" s="17">
        <f t="shared" si="12"/>
        <v>0</v>
      </c>
      <c r="X20" s="17">
        <f t="shared" si="12"/>
        <v>0</v>
      </c>
      <c r="Y20" s="17">
        <f t="shared" si="12"/>
        <v>22</v>
      </c>
      <c r="Z20" s="17">
        <f t="shared" si="12"/>
        <v>11</v>
      </c>
      <c r="AA20" s="17">
        <f t="shared" si="12"/>
        <v>0</v>
      </c>
      <c r="AB20" s="17">
        <f t="shared" si="12"/>
        <v>1</v>
      </c>
      <c r="AC20" s="17">
        <f t="shared" si="12"/>
        <v>400</v>
      </c>
      <c r="AD20" s="17">
        <f t="shared" si="12"/>
        <v>0</v>
      </c>
      <c r="AE20" s="31">
        <f t="shared" si="12"/>
        <v>408</v>
      </c>
      <c r="AF20" s="31">
        <f t="shared" si="12"/>
        <v>808</v>
      </c>
    </row>
    <row r="21" spans="2:32" ht="23.1" customHeight="1" x14ac:dyDescent="0.25">
      <c r="B21" s="45" t="s">
        <v>48</v>
      </c>
      <c r="C21" s="50">
        <v>26</v>
      </c>
      <c r="D21" s="50">
        <v>6</v>
      </c>
      <c r="E21" s="50">
        <v>11</v>
      </c>
      <c r="F21" s="50">
        <v>16</v>
      </c>
      <c r="G21" s="50">
        <v>0</v>
      </c>
      <c r="H21" s="50">
        <v>0</v>
      </c>
      <c r="I21" s="50">
        <v>2</v>
      </c>
      <c r="J21" s="50">
        <v>3</v>
      </c>
      <c r="K21" s="50">
        <v>4</v>
      </c>
      <c r="L21" s="50">
        <v>0</v>
      </c>
      <c r="M21" s="50">
        <v>120</v>
      </c>
      <c r="N21" s="50">
        <v>0</v>
      </c>
      <c r="O21" s="15">
        <f t="shared" si="0"/>
        <v>68</v>
      </c>
      <c r="P21" s="15">
        <f t="shared" si="1"/>
        <v>188</v>
      </c>
      <c r="R21" s="36" t="s">
        <v>20</v>
      </c>
      <c r="S21" s="34">
        <f t="shared" ref="S21:AF21" si="13">SUM(C54:C57)</f>
        <v>181</v>
      </c>
      <c r="T21" s="17">
        <f t="shared" si="13"/>
        <v>76</v>
      </c>
      <c r="U21" s="17">
        <f t="shared" si="13"/>
        <v>18</v>
      </c>
      <c r="V21" s="17">
        <f t="shared" si="13"/>
        <v>67</v>
      </c>
      <c r="W21" s="17">
        <f t="shared" si="13"/>
        <v>0</v>
      </c>
      <c r="X21" s="17">
        <f t="shared" si="13"/>
        <v>1</v>
      </c>
      <c r="Y21" s="17">
        <f t="shared" si="13"/>
        <v>12</v>
      </c>
      <c r="Z21" s="17">
        <f t="shared" si="13"/>
        <v>6</v>
      </c>
      <c r="AA21" s="17">
        <f t="shared" si="13"/>
        <v>0</v>
      </c>
      <c r="AB21" s="17">
        <f t="shared" si="13"/>
        <v>0</v>
      </c>
      <c r="AC21" s="17">
        <f t="shared" si="13"/>
        <v>350</v>
      </c>
      <c r="AD21" s="17">
        <f t="shared" si="13"/>
        <v>1</v>
      </c>
      <c r="AE21" s="31">
        <f t="shared" si="13"/>
        <v>362</v>
      </c>
      <c r="AF21" s="31">
        <f t="shared" si="13"/>
        <v>712</v>
      </c>
    </row>
    <row r="22" spans="2:32" ht="23.1" customHeight="1" x14ac:dyDescent="0.25">
      <c r="B22" s="45" t="s">
        <v>49</v>
      </c>
      <c r="C22" s="50">
        <v>41</v>
      </c>
      <c r="D22" s="50">
        <v>12</v>
      </c>
      <c r="E22" s="50">
        <v>2</v>
      </c>
      <c r="F22" s="50">
        <v>30</v>
      </c>
      <c r="G22" s="50">
        <v>0</v>
      </c>
      <c r="H22" s="50">
        <v>0</v>
      </c>
      <c r="I22" s="50">
        <v>6</v>
      </c>
      <c r="J22" s="50">
        <v>2</v>
      </c>
      <c r="K22" s="50">
        <v>1</v>
      </c>
      <c r="L22" s="50">
        <v>0</v>
      </c>
      <c r="M22" s="50">
        <v>115</v>
      </c>
      <c r="N22" s="50">
        <v>0</v>
      </c>
      <c r="O22" s="15">
        <f t="shared" si="0"/>
        <v>94</v>
      </c>
      <c r="P22" s="15">
        <f t="shared" si="1"/>
        <v>209</v>
      </c>
      <c r="R22" s="36" t="s">
        <v>146</v>
      </c>
      <c r="S22" s="34">
        <f>SUM(C58:C61)</f>
        <v>243</v>
      </c>
      <c r="T22" s="34">
        <f t="shared" ref="T22:AF22" si="14">SUM(D58:D61)</f>
        <v>178</v>
      </c>
      <c r="U22" s="34">
        <f t="shared" si="14"/>
        <v>16</v>
      </c>
      <c r="V22" s="34">
        <f t="shared" si="14"/>
        <v>85</v>
      </c>
      <c r="W22" s="34">
        <f t="shared" si="14"/>
        <v>0</v>
      </c>
      <c r="X22" s="34">
        <f t="shared" si="14"/>
        <v>0</v>
      </c>
      <c r="Y22" s="34">
        <f t="shared" si="14"/>
        <v>11</v>
      </c>
      <c r="Z22" s="34">
        <f t="shared" si="14"/>
        <v>1</v>
      </c>
      <c r="AA22" s="34">
        <f t="shared" si="14"/>
        <v>1</v>
      </c>
      <c r="AB22" s="34">
        <f t="shared" si="14"/>
        <v>0</v>
      </c>
      <c r="AC22" s="34">
        <f t="shared" si="14"/>
        <v>278</v>
      </c>
      <c r="AD22" s="34">
        <f t="shared" si="14"/>
        <v>0</v>
      </c>
      <c r="AE22" s="31">
        <f t="shared" si="14"/>
        <v>535</v>
      </c>
      <c r="AF22" s="31">
        <f t="shared" si="14"/>
        <v>813</v>
      </c>
    </row>
    <row r="23" spans="2:32" ht="23.1" customHeight="1" x14ac:dyDescent="0.25">
      <c r="B23" s="45" t="s">
        <v>50</v>
      </c>
      <c r="C23" s="50">
        <v>45</v>
      </c>
      <c r="D23" s="50">
        <v>15</v>
      </c>
      <c r="E23" s="50">
        <v>3</v>
      </c>
      <c r="F23" s="50">
        <v>25</v>
      </c>
      <c r="G23" s="50">
        <v>0</v>
      </c>
      <c r="H23" s="50">
        <v>0</v>
      </c>
      <c r="I23" s="50">
        <v>7</v>
      </c>
      <c r="J23" s="50">
        <v>1</v>
      </c>
      <c r="K23" s="50">
        <v>1</v>
      </c>
      <c r="L23" s="50">
        <v>0</v>
      </c>
      <c r="M23" s="50">
        <v>170</v>
      </c>
      <c r="N23" s="50">
        <v>0</v>
      </c>
      <c r="O23" s="15">
        <f t="shared" si="0"/>
        <v>97</v>
      </c>
      <c r="P23" s="15">
        <f t="shared" si="1"/>
        <v>267</v>
      </c>
      <c r="R23" s="36" t="s">
        <v>147</v>
      </c>
      <c r="S23" s="34">
        <f>SUM(C62:C65)</f>
        <v>247</v>
      </c>
      <c r="T23" s="34">
        <f t="shared" ref="T23:AF23" si="15">SUM(D62:D65)</f>
        <v>87</v>
      </c>
      <c r="U23" s="34">
        <f t="shared" si="15"/>
        <v>11</v>
      </c>
      <c r="V23" s="34">
        <f t="shared" si="15"/>
        <v>67</v>
      </c>
      <c r="W23" s="34">
        <f t="shared" si="15"/>
        <v>0</v>
      </c>
      <c r="X23" s="34">
        <f t="shared" si="15"/>
        <v>0</v>
      </c>
      <c r="Y23" s="34">
        <f t="shared" si="15"/>
        <v>13</v>
      </c>
      <c r="Z23" s="34">
        <f t="shared" si="15"/>
        <v>4</v>
      </c>
      <c r="AA23" s="34">
        <f t="shared" si="15"/>
        <v>1</v>
      </c>
      <c r="AB23" s="34">
        <f t="shared" si="15"/>
        <v>0</v>
      </c>
      <c r="AC23" s="34">
        <f t="shared" si="15"/>
        <v>403</v>
      </c>
      <c r="AD23" s="34">
        <f t="shared" si="15"/>
        <v>0</v>
      </c>
      <c r="AE23" s="31">
        <f t="shared" si="15"/>
        <v>430</v>
      </c>
      <c r="AF23" s="31">
        <f t="shared" si="15"/>
        <v>833</v>
      </c>
    </row>
    <row r="24" spans="2:32" ht="23.1" customHeight="1" x14ac:dyDescent="0.25">
      <c r="B24" s="45" t="s">
        <v>51</v>
      </c>
      <c r="C24" s="50">
        <v>50</v>
      </c>
      <c r="D24" s="50">
        <v>10</v>
      </c>
      <c r="E24" s="50">
        <v>5</v>
      </c>
      <c r="F24" s="50">
        <v>25</v>
      </c>
      <c r="G24" s="50">
        <v>0</v>
      </c>
      <c r="H24" s="50">
        <v>0</v>
      </c>
      <c r="I24" s="50">
        <v>3</v>
      </c>
      <c r="J24" s="50">
        <v>4</v>
      </c>
      <c r="K24" s="50">
        <v>0</v>
      </c>
      <c r="L24" s="50">
        <v>0</v>
      </c>
      <c r="M24" s="50">
        <v>110</v>
      </c>
      <c r="N24" s="50">
        <v>0</v>
      </c>
      <c r="O24" s="15">
        <f t="shared" si="0"/>
        <v>97</v>
      </c>
      <c r="P24" s="15">
        <f t="shared" si="1"/>
        <v>207</v>
      </c>
      <c r="R24" s="36" t="s">
        <v>148</v>
      </c>
      <c r="S24" s="34">
        <f>SUM(C66:C69)</f>
        <v>221</v>
      </c>
      <c r="T24" s="34">
        <f t="shared" ref="T24:AF24" si="16">SUM(D66:D69)</f>
        <v>110</v>
      </c>
      <c r="U24" s="34">
        <f t="shared" si="16"/>
        <v>21</v>
      </c>
      <c r="V24" s="34">
        <f t="shared" si="16"/>
        <v>80</v>
      </c>
      <c r="W24" s="34">
        <f t="shared" si="16"/>
        <v>0</v>
      </c>
      <c r="X24" s="34">
        <f t="shared" si="16"/>
        <v>0</v>
      </c>
      <c r="Y24" s="34">
        <f t="shared" si="16"/>
        <v>11</v>
      </c>
      <c r="Z24" s="34">
        <f t="shared" si="16"/>
        <v>4</v>
      </c>
      <c r="AA24" s="34">
        <f t="shared" si="16"/>
        <v>4</v>
      </c>
      <c r="AB24" s="34">
        <f t="shared" si="16"/>
        <v>3</v>
      </c>
      <c r="AC24" s="34">
        <f t="shared" si="16"/>
        <v>388</v>
      </c>
      <c r="AD24" s="34">
        <f t="shared" si="16"/>
        <v>0</v>
      </c>
      <c r="AE24" s="31">
        <f t="shared" si="16"/>
        <v>454</v>
      </c>
      <c r="AF24" s="31">
        <f t="shared" si="16"/>
        <v>842</v>
      </c>
    </row>
    <row r="25" spans="2:32" ht="23.1" customHeight="1" x14ac:dyDescent="0.25">
      <c r="B25" s="45" t="s">
        <v>52</v>
      </c>
      <c r="C25" s="50">
        <v>62</v>
      </c>
      <c r="D25" s="50">
        <v>14</v>
      </c>
      <c r="E25" s="50">
        <v>6</v>
      </c>
      <c r="F25" s="50">
        <v>15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145</v>
      </c>
      <c r="N25" s="50">
        <v>0</v>
      </c>
      <c r="O25" s="15">
        <f t="shared" si="0"/>
        <v>99</v>
      </c>
      <c r="P25" s="15">
        <f t="shared" si="1"/>
        <v>244</v>
      </c>
      <c r="R25" s="36" t="s">
        <v>149</v>
      </c>
      <c r="S25" s="34">
        <f>SUM(C70:C73)</f>
        <v>212</v>
      </c>
      <c r="T25" s="34">
        <f t="shared" ref="T25:AF25" si="17">SUM(D70:D73)</f>
        <v>168</v>
      </c>
      <c r="U25" s="34">
        <f t="shared" si="17"/>
        <v>17</v>
      </c>
      <c r="V25" s="34">
        <f t="shared" si="17"/>
        <v>71</v>
      </c>
      <c r="W25" s="34">
        <f t="shared" si="17"/>
        <v>1</v>
      </c>
      <c r="X25" s="34">
        <f t="shared" si="17"/>
        <v>0</v>
      </c>
      <c r="Y25" s="34">
        <f t="shared" si="17"/>
        <v>23</v>
      </c>
      <c r="Z25" s="34">
        <f t="shared" si="17"/>
        <v>3</v>
      </c>
      <c r="AA25" s="34">
        <f t="shared" si="17"/>
        <v>3</v>
      </c>
      <c r="AB25" s="34">
        <f t="shared" si="17"/>
        <v>1</v>
      </c>
      <c r="AC25" s="34">
        <f t="shared" si="17"/>
        <v>241</v>
      </c>
      <c r="AD25" s="34">
        <f t="shared" si="17"/>
        <v>0</v>
      </c>
      <c r="AE25" s="31">
        <f t="shared" si="17"/>
        <v>499</v>
      </c>
      <c r="AF25" s="31">
        <f t="shared" si="17"/>
        <v>740</v>
      </c>
    </row>
    <row r="26" spans="2:32" ht="23.1" customHeight="1" x14ac:dyDescent="0.25">
      <c r="B26" s="45" t="s">
        <v>53</v>
      </c>
      <c r="C26" s="50">
        <v>45</v>
      </c>
      <c r="D26" s="50">
        <v>31</v>
      </c>
      <c r="E26" s="50">
        <v>5</v>
      </c>
      <c r="F26" s="50">
        <v>15</v>
      </c>
      <c r="G26" s="50">
        <v>0</v>
      </c>
      <c r="H26" s="50">
        <v>0</v>
      </c>
      <c r="I26" s="50">
        <v>5</v>
      </c>
      <c r="J26" s="50">
        <v>0</v>
      </c>
      <c r="K26" s="50">
        <v>3</v>
      </c>
      <c r="L26" s="50">
        <v>0</v>
      </c>
      <c r="M26" s="50">
        <v>120</v>
      </c>
      <c r="N26" s="50">
        <v>0</v>
      </c>
      <c r="O26" s="15">
        <f t="shared" si="0"/>
        <v>104</v>
      </c>
      <c r="P26" s="15">
        <f t="shared" si="1"/>
        <v>224</v>
      </c>
      <c r="R26" s="36" t="s">
        <v>150</v>
      </c>
      <c r="S26" s="34">
        <f>SUM(C74:C77)</f>
        <v>156</v>
      </c>
      <c r="T26" s="34">
        <f t="shared" ref="T26:AF26" si="18">SUM(D74:D77)</f>
        <v>96</v>
      </c>
      <c r="U26" s="34">
        <f t="shared" si="18"/>
        <v>21</v>
      </c>
      <c r="V26" s="34">
        <f t="shared" si="18"/>
        <v>34</v>
      </c>
      <c r="W26" s="34">
        <f t="shared" si="18"/>
        <v>0</v>
      </c>
      <c r="X26" s="34">
        <f t="shared" si="18"/>
        <v>0</v>
      </c>
      <c r="Y26" s="34">
        <f t="shared" si="18"/>
        <v>6</v>
      </c>
      <c r="Z26" s="34">
        <f t="shared" si="18"/>
        <v>0</v>
      </c>
      <c r="AA26" s="34">
        <f t="shared" si="18"/>
        <v>1</v>
      </c>
      <c r="AB26" s="34">
        <f t="shared" si="18"/>
        <v>1</v>
      </c>
      <c r="AC26" s="34">
        <f t="shared" si="18"/>
        <v>185</v>
      </c>
      <c r="AD26" s="34">
        <f t="shared" si="18"/>
        <v>0</v>
      </c>
      <c r="AE26" s="31">
        <f t="shared" si="18"/>
        <v>315</v>
      </c>
      <c r="AF26" s="31">
        <f t="shared" si="18"/>
        <v>500</v>
      </c>
    </row>
    <row r="27" spans="2:32" ht="23.1" customHeight="1" x14ac:dyDescent="0.25">
      <c r="B27" s="45" t="s">
        <v>54</v>
      </c>
      <c r="C27" s="50">
        <v>41</v>
      </c>
      <c r="D27" s="50">
        <v>23</v>
      </c>
      <c r="E27" s="50">
        <v>8</v>
      </c>
      <c r="F27" s="50">
        <v>14</v>
      </c>
      <c r="G27" s="50">
        <v>1</v>
      </c>
      <c r="H27" s="50">
        <v>0</v>
      </c>
      <c r="I27" s="50">
        <v>4</v>
      </c>
      <c r="J27" s="50">
        <v>1</v>
      </c>
      <c r="K27" s="50">
        <v>6</v>
      </c>
      <c r="L27" s="50">
        <v>0</v>
      </c>
      <c r="M27" s="50">
        <v>100</v>
      </c>
      <c r="N27" s="50">
        <v>0</v>
      </c>
      <c r="O27" s="15">
        <f t="shared" si="0"/>
        <v>98</v>
      </c>
      <c r="P27" s="15">
        <f t="shared" si="1"/>
        <v>198</v>
      </c>
      <c r="R27" s="36" t="s">
        <v>151</v>
      </c>
      <c r="S27" s="34">
        <f>SUM(C78:C81)</f>
        <v>134</v>
      </c>
      <c r="T27" s="34">
        <f t="shared" ref="T27:AF27" si="19">SUM(D78:D81)</f>
        <v>54</v>
      </c>
      <c r="U27" s="34">
        <f t="shared" si="19"/>
        <v>8</v>
      </c>
      <c r="V27" s="34">
        <f t="shared" si="19"/>
        <v>33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1</v>
      </c>
      <c r="AA27" s="34">
        <f t="shared" si="19"/>
        <v>0</v>
      </c>
      <c r="AB27" s="34">
        <f t="shared" si="19"/>
        <v>1</v>
      </c>
      <c r="AC27" s="34">
        <f t="shared" si="19"/>
        <v>129</v>
      </c>
      <c r="AD27" s="34">
        <f t="shared" si="19"/>
        <v>0</v>
      </c>
      <c r="AE27" s="31">
        <f t="shared" si="19"/>
        <v>237</v>
      </c>
      <c r="AF27" s="31">
        <f t="shared" si="19"/>
        <v>366</v>
      </c>
    </row>
    <row r="28" spans="2:32" ht="23.1" customHeight="1" x14ac:dyDescent="0.25">
      <c r="B28" s="45" t="s">
        <v>55</v>
      </c>
      <c r="C28" s="50">
        <v>45</v>
      </c>
      <c r="D28" s="50">
        <v>20</v>
      </c>
      <c r="E28" s="50">
        <v>8</v>
      </c>
      <c r="F28" s="50">
        <v>15</v>
      </c>
      <c r="G28" s="50">
        <v>0</v>
      </c>
      <c r="H28" s="50">
        <v>0</v>
      </c>
      <c r="I28" s="50">
        <v>2</v>
      </c>
      <c r="J28" s="50">
        <v>1</v>
      </c>
      <c r="K28" s="50">
        <v>4</v>
      </c>
      <c r="L28" s="50">
        <v>0</v>
      </c>
      <c r="M28" s="50">
        <v>90</v>
      </c>
      <c r="N28" s="50">
        <v>0</v>
      </c>
      <c r="O28" s="15">
        <f t="shared" si="0"/>
        <v>95</v>
      </c>
      <c r="P28" s="15">
        <f t="shared" si="1"/>
        <v>185</v>
      </c>
      <c r="R28" s="36" t="s">
        <v>152</v>
      </c>
      <c r="S28" s="34">
        <f>SUM(C82:C85)</f>
        <v>92</v>
      </c>
      <c r="T28" s="34">
        <f t="shared" ref="T28:AF28" si="20">SUM(D82:D85)</f>
        <v>22</v>
      </c>
      <c r="U28" s="34">
        <f t="shared" si="20"/>
        <v>1</v>
      </c>
      <c r="V28" s="34">
        <f t="shared" si="20"/>
        <v>7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1</v>
      </c>
      <c r="AC28" s="34">
        <f t="shared" si="20"/>
        <v>111</v>
      </c>
      <c r="AD28" s="34">
        <f t="shared" si="20"/>
        <v>0</v>
      </c>
      <c r="AE28" s="31">
        <f t="shared" si="20"/>
        <v>125</v>
      </c>
      <c r="AF28" s="31">
        <f t="shared" si="20"/>
        <v>236</v>
      </c>
    </row>
    <row r="29" spans="2:32" ht="23.1" customHeight="1" x14ac:dyDescent="0.25">
      <c r="B29" s="45" t="s">
        <v>56</v>
      </c>
      <c r="C29" s="50">
        <v>48</v>
      </c>
      <c r="D29" s="50">
        <v>20</v>
      </c>
      <c r="E29" s="50">
        <v>4</v>
      </c>
      <c r="F29" s="50">
        <v>14</v>
      </c>
      <c r="G29" s="50">
        <v>0</v>
      </c>
      <c r="H29" s="50">
        <v>0</v>
      </c>
      <c r="I29" s="50">
        <v>4</v>
      </c>
      <c r="J29" s="50">
        <v>0</v>
      </c>
      <c r="K29" s="50">
        <v>1</v>
      </c>
      <c r="L29" s="50">
        <v>0</v>
      </c>
      <c r="M29" s="50">
        <v>100</v>
      </c>
      <c r="N29" s="50">
        <v>0</v>
      </c>
      <c r="O29" s="15">
        <f t="shared" si="0"/>
        <v>91</v>
      </c>
      <c r="P29" s="15">
        <f t="shared" si="1"/>
        <v>191</v>
      </c>
      <c r="R29" s="36" t="s">
        <v>153</v>
      </c>
      <c r="S29" s="34">
        <f>SUM(C86:C89)</f>
        <v>53</v>
      </c>
      <c r="T29" s="34">
        <f t="shared" ref="T29:AF29" si="21">SUM(D86:D89)</f>
        <v>10</v>
      </c>
      <c r="U29" s="34">
        <f t="shared" si="21"/>
        <v>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4</v>
      </c>
      <c r="AA29" s="34">
        <f t="shared" si="21"/>
        <v>0</v>
      </c>
      <c r="AB29" s="34">
        <f t="shared" si="21"/>
        <v>0</v>
      </c>
      <c r="AC29" s="34">
        <f t="shared" si="21"/>
        <v>87</v>
      </c>
      <c r="AD29" s="34">
        <f t="shared" si="21"/>
        <v>0</v>
      </c>
      <c r="AE29" s="31">
        <f t="shared" si="21"/>
        <v>76</v>
      </c>
      <c r="AF29" s="31">
        <f t="shared" si="21"/>
        <v>163</v>
      </c>
    </row>
    <row r="30" spans="2:32" ht="23.1" customHeight="1" x14ac:dyDescent="0.25">
      <c r="B30" s="45" t="s">
        <v>57</v>
      </c>
      <c r="C30" s="50">
        <v>58</v>
      </c>
      <c r="D30" s="50">
        <v>22</v>
      </c>
      <c r="E30" s="50">
        <v>4</v>
      </c>
      <c r="F30" s="50">
        <v>14</v>
      </c>
      <c r="G30" s="50">
        <v>0</v>
      </c>
      <c r="H30" s="50">
        <v>0</v>
      </c>
      <c r="I30" s="50">
        <v>4</v>
      </c>
      <c r="J30" s="50">
        <v>1</v>
      </c>
      <c r="K30" s="50">
        <v>3</v>
      </c>
      <c r="L30" s="50">
        <v>0</v>
      </c>
      <c r="M30" s="50">
        <v>100</v>
      </c>
      <c r="N30" s="50">
        <v>0</v>
      </c>
      <c r="O30" s="15">
        <f t="shared" si="0"/>
        <v>106</v>
      </c>
      <c r="P30" s="15">
        <f t="shared" si="1"/>
        <v>206</v>
      </c>
      <c r="R30" s="36" t="s">
        <v>154</v>
      </c>
      <c r="S30" s="34">
        <f>SUM(C90:C93)</f>
        <v>35</v>
      </c>
      <c r="T30" s="34">
        <f t="shared" ref="T30:AF30" si="22">SUM(D90:D93)</f>
        <v>2</v>
      </c>
      <c r="U30" s="34">
        <f t="shared" si="22"/>
        <v>5</v>
      </c>
      <c r="V30" s="34">
        <f t="shared" si="22"/>
        <v>0</v>
      </c>
      <c r="W30" s="34">
        <f t="shared" si="22"/>
        <v>1</v>
      </c>
      <c r="X30" s="34">
        <f t="shared" si="22"/>
        <v>0</v>
      </c>
      <c r="Y30" s="34">
        <f t="shared" si="22"/>
        <v>3</v>
      </c>
      <c r="Z30" s="34">
        <f t="shared" si="22"/>
        <v>1</v>
      </c>
      <c r="AA30" s="34">
        <f t="shared" si="22"/>
        <v>2</v>
      </c>
      <c r="AB30" s="34">
        <f t="shared" si="22"/>
        <v>2</v>
      </c>
      <c r="AC30" s="34">
        <f t="shared" si="22"/>
        <v>57</v>
      </c>
      <c r="AD30" s="34">
        <f t="shared" si="22"/>
        <v>0</v>
      </c>
      <c r="AE30" s="31">
        <f t="shared" si="22"/>
        <v>51</v>
      </c>
      <c r="AF30" s="31">
        <f t="shared" si="22"/>
        <v>108</v>
      </c>
    </row>
    <row r="31" spans="2:32" ht="23.1" customHeight="1" x14ac:dyDescent="0.25">
      <c r="B31" s="46" t="s">
        <v>58</v>
      </c>
      <c r="C31" s="50">
        <v>36</v>
      </c>
      <c r="D31" s="50">
        <v>20</v>
      </c>
      <c r="E31" s="50">
        <v>8</v>
      </c>
      <c r="F31" s="50">
        <v>12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80</v>
      </c>
      <c r="N31" s="50">
        <v>0</v>
      </c>
      <c r="O31" s="15">
        <f t="shared" si="0"/>
        <v>81</v>
      </c>
      <c r="P31" s="15">
        <f t="shared" si="1"/>
        <v>161</v>
      </c>
      <c r="R31" s="36" t="s">
        <v>155</v>
      </c>
      <c r="S31" s="34">
        <f>SUM(C94:C97)</f>
        <v>27</v>
      </c>
      <c r="T31" s="34">
        <f t="shared" ref="T31:AF31" si="23">SUM(D94:D97)</f>
        <v>1</v>
      </c>
      <c r="U31" s="34">
        <f t="shared" si="23"/>
        <v>6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5</v>
      </c>
      <c r="AA31" s="34">
        <f t="shared" si="23"/>
        <v>0</v>
      </c>
      <c r="AB31" s="34">
        <f t="shared" si="23"/>
        <v>5</v>
      </c>
      <c r="AC31" s="34">
        <f t="shared" si="23"/>
        <v>61</v>
      </c>
      <c r="AD31" s="34">
        <f t="shared" si="23"/>
        <v>0</v>
      </c>
      <c r="AE31" s="31">
        <f t="shared" si="23"/>
        <v>45</v>
      </c>
      <c r="AF31" s="31">
        <f t="shared" si="23"/>
        <v>106</v>
      </c>
    </row>
    <row r="32" spans="2:32" ht="23.1" customHeight="1" x14ac:dyDescent="0.25">
      <c r="B32" s="46" t="s">
        <v>59</v>
      </c>
      <c r="C32" s="50">
        <v>53</v>
      </c>
      <c r="D32" s="50">
        <v>23</v>
      </c>
      <c r="E32" s="50">
        <v>6</v>
      </c>
      <c r="F32" s="50">
        <v>12</v>
      </c>
      <c r="G32" s="50">
        <v>1</v>
      </c>
      <c r="H32" s="50">
        <v>0</v>
      </c>
      <c r="I32" s="50">
        <v>2</v>
      </c>
      <c r="J32" s="50">
        <v>2</v>
      </c>
      <c r="K32" s="50">
        <v>1</v>
      </c>
      <c r="L32" s="50">
        <v>0</v>
      </c>
      <c r="M32" s="50">
        <v>80</v>
      </c>
      <c r="N32" s="50">
        <v>0</v>
      </c>
      <c r="O32" s="15">
        <f t="shared" si="0"/>
        <v>100</v>
      </c>
      <c r="P32" s="15">
        <f t="shared" si="1"/>
        <v>180</v>
      </c>
      <c r="R32" s="33" t="s">
        <v>156</v>
      </c>
      <c r="S32" s="34">
        <f>SUM(C98:C101)</f>
        <v>38</v>
      </c>
      <c r="T32" s="34">
        <f t="shared" ref="T32:AF32" si="24">SUM(D98:D101)</f>
        <v>4</v>
      </c>
      <c r="U32" s="34">
        <f t="shared" si="24"/>
        <v>8</v>
      </c>
      <c r="V32" s="34">
        <f t="shared" si="24"/>
        <v>5</v>
      </c>
      <c r="W32" s="34">
        <f t="shared" si="24"/>
        <v>1</v>
      </c>
      <c r="X32" s="34">
        <f t="shared" si="24"/>
        <v>0</v>
      </c>
      <c r="Y32" s="34">
        <f t="shared" si="24"/>
        <v>3</v>
      </c>
      <c r="Z32" s="34">
        <f t="shared" si="24"/>
        <v>2</v>
      </c>
      <c r="AA32" s="34">
        <f t="shared" si="24"/>
        <v>1</v>
      </c>
      <c r="AB32" s="34">
        <f t="shared" si="24"/>
        <v>3</v>
      </c>
      <c r="AC32" s="34">
        <f t="shared" si="24"/>
        <v>90</v>
      </c>
      <c r="AD32" s="34">
        <f t="shared" si="24"/>
        <v>0</v>
      </c>
      <c r="AE32" s="31">
        <f t="shared" si="24"/>
        <v>65</v>
      </c>
      <c r="AF32" s="31">
        <f t="shared" si="24"/>
        <v>155</v>
      </c>
    </row>
    <row r="33" spans="2:32" ht="23.1" customHeight="1" x14ac:dyDescent="0.25">
      <c r="B33" s="45" t="s">
        <v>60</v>
      </c>
      <c r="C33" s="50">
        <v>55</v>
      </c>
      <c r="D33" s="50">
        <v>17</v>
      </c>
      <c r="E33" s="50">
        <v>10</v>
      </c>
      <c r="F33" s="50">
        <v>15</v>
      </c>
      <c r="G33" s="50">
        <v>0</v>
      </c>
      <c r="H33" s="50">
        <v>0</v>
      </c>
      <c r="I33" s="50">
        <v>1</v>
      </c>
      <c r="J33" s="50">
        <v>2</v>
      </c>
      <c r="K33" s="50">
        <v>2</v>
      </c>
      <c r="L33" s="50">
        <v>0</v>
      </c>
      <c r="M33" s="50">
        <v>90</v>
      </c>
      <c r="N33" s="50">
        <v>0</v>
      </c>
      <c r="O33" s="15">
        <f t="shared" si="0"/>
        <v>102</v>
      </c>
      <c r="P33" s="15">
        <f t="shared" si="1"/>
        <v>192</v>
      </c>
      <c r="R33" s="33" t="s">
        <v>157</v>
      </c>
      <c r="S33" s="34">
        <f>SUM(C102:C105)</f>
        <v>31</v>
      </c>
      <c r="T33" s="34">
        <f t="shared" ref="T33:AF33" si="25">SUM(D102:D105)</f>
        <v>7</v>
      </c>
      <c r="U33" s="34">
        <f t="shared" si="25"/>
        <v>2</v>
      </c>
      <c r="V33" s="34">
        <f t="shared" si="25"/>
        <v>12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0</v>
      </c>
      <c r="AA33" s="34">
        <f t="shared" si="25"/>
        <v>3</v>
      </c>
      <c r="AB33" s="34">
        <f t="shared" si="25"/>
        <v>0</v>
      </c>
      <c r="AC33" s="34">
        <f t="shared" si="25"/>
        <v>48</v>
      </c>
      <c r="AD33" s="34">
        <f t="shared" si="25"/>
        <v>0</v>
      </c>
      <c r="AE33" s="31">
        <f t="shared" si="25"/>
        <v>58</v>
      </c>
      <c r="AF33" s="31">
        <f t="shared" si="25"/>
        <v>106</v>
      </c>
    </row>
    <row r="34" spans="2:32" ht="23.1" customHeight="1" x14ac:dyDescent="0.25">
      <c r="B34" s="46" t="s">
        <v>61</v>
      </c>
      <c r="C34" s="50">
        <v>43</v>
      </c>
      <c r="D34" s="50">
        <v>16</v>
      </c>
      <c r="E34" s="50">
        <v>7</v>
      </c>
      <c r="F34" s="50">
        <v>21</v>
      </c>
      <c r="G34" s="50">
        <v>0</v>
      </c>
      <c r="H34" s="50">
        <v>0</v>
      </c>
      <c r="I34" s="50">
        <v>4</v>
      </c>
      <c r="J34" s="50">
        <v>2</v>
      </c>
      <c r="K34" s="50">
        <v>2</v>
      </c>
      <c r="L34" s="50">
        <v>0</v>
      </c>
      <c r="M34" s="50">
        <v>100</v>
      </c>
      <c r="N34" s="50">
        <v>0</v>
      </c>
      <c r="O34" s="15">
        <f t="shared" si="0"/>
        <v>95</v>
      </c>
      <c r="P34" s="15">
        <f t="shared" si="1"/>
        <v>195</v>
      </c>
      <c r="R34" s="38" t="s">
        <v>90</v>
      </c>
      <c r="S34" s="39">
        <f t="shared" ref="S34:AF34" si="26">MAX(S10:S12)</f>
        <v>134</v>
      </c>
      <c r="T34" s="39">
        <f t="shared" si="26"/>
        <v>55</v>
      </c>
      <c r="U34" s="39">
        <f t="shared" si="26"/>
        <v>31</v>
      </c>
      <c r="V34" s="39">
        <f t="shared" si="26"/>
        <v>94</v>
      </c>
      <c r="W34" s="39">
        <f t="shared" si="26"/>
        <v>5</v>
      </c>
      <c r="X34" s="39">
        <f t="shared" si="26"/>
        <v>0</v>
      </c>
      <c r="Y34" s="39">
        <f t="shared" si="26"/>
        <v>13</v>
      </c>
      <c r="Z34" s="39">
        <f t="shared" si="26"/>
        <v>8</v>
      </c>
      <c r="AA34" s="39">
        <f t="shared" si="26"/>
        <v>18</v>
      </c>
      <c r="AB34" s="39">
        <f t="shared" si="26"/>
        <v>0</v>
      </c>
      <c r="AC34" s="39">
        <f t="shared" si="26"/>
        <v>399</v>
      </c>
      <c r="AD34" s="39">
        <f t="shared" si="26"/>
        <v>0</v>
      </c>
      <c r="AE34" s="40">
        <f t="shared" si="26"/>
        <v>341</v>
      </c>
      <c r="AF34" s="40">
        <f t="shared" si="26"/>
        <v>740</v>
      </c>
    </row>
    <row r="35" spans="2:32" ht="23.1" customHeight="1" x14ac:dyDescent="0.25">
      <c r="B35" s="46" t="s">
        <v>62</v>
      </c>
      <c r="C35" s="50">
        <v>55</v>
      </c>
      <c r="D35" s="50">
        <v>18</v>
      </c>
      <c r="E35" s="50">
        <v>4</v>
      </c>
      <c r="F35" s="50">
        <v>18</v>
      </c>
      <c r="G35" s="50">
        <v>0</v>
      </c>
      <c r="H35" s="50">
        <v>0</v>
      </c>
      <c r="I35" s="50">
        <v>2</v>
      </c>
      <c r="J35" s="50">
        <v>3</v>
      </c>
      <c r="K35" s="50">
        <v>0</v>
      </c>
      <c r="L35" s="50">
        <v>0</v>
      </c>
      <c r="M35" s="50">
        <v>90</v>
      </c>
      <c r="N35" s="50">
        <v>0</v>
      </c>
      <c r="O35" s="15">
        <f t="shared" si="0"/>
        <v>100</v>
      </c>
      <c r="P35" s="15">
        <f t="shared" si="1"/>
        <v>190</v>
      </c>
      <c r="R35" s="38" t="s">
        <v>91</v>
      </c>
      <c r="S35" s="39">
        <f t="shared" ref="S35:AF35" si="27">MAX(S13:S18)</f>
        <v>308</v>
      </c>
      <c r="T35" s="39">
        <f t="shared" si="27"/>
        <v>109</v>
      </c>
      <c r="U35" s="39">
        <f t="shared" si="27"/>
        <v>39</v>
      </c>
      <c r="V35" s="39">
        <f t="shared" si="27"/>
        <v>95</v>
      </c>
      <c r="W35" s="39">
        <f t="shared" si="27"/>
        <v>1</v>
      </c>
      <c r="X35" s="39">
        <f t="shared" si="27"/>
        <v>0</v>
      </c>
      <c r="Y35" s="39">
        <f t="shared" si="27"/>
        <v>28</v>
      </c>
      <c r="Z35" s="39">
        <f t="shared" si="27"/>
        <v>9</v>
      </c>
      <c r="AA35" s="39">
        <f t="shared" si="27"/>
        <v>14</v>
      </c>
      <c r="AB35" s="39">
        <f t="shared" si="27"/>
        <v>1</v>
      </c>
      <c r="AC35" s="39">
        <f t="shared" si="27"/>
        <v>540</v>
      </c>
      <c r="AD35" s="39">
        <f t="shared" si="27"/>
        <v>0</v>
      </c>
      <c r="AE35" s="40">
        <f t="shared" si="27"/>
        <v>495</v>
      </c>
      <c r="AF35" s="40">
        <f t="shared" si="27"/>
        <v>927</v>
      </c>
    </row>
    <row r="36" spans="2:32" ht="23.1" customHeight="1" x14ac:dyDescent="0.25">
      <c r="B36" s="46" t="s">
        <v>63</v>
      </c>
      <c r="C36" s="50">
        <v>100</v>
      </c>
      <c r="D36" s="50">
        <v>8</v>
      </c>
      <c r="E36" s="50">
        <v>1</v>
      </c>
      <c r="F36" s="50">
        <v>10</v>
      </c>
      <c r="G36" s="50">
        <v>0</v>
      </c>
      <c r="H36" s="50">
        <v>0</v>
      </c>
      <c r="I36" s="50">
        <v>6</v>
      </c>
      <c r="J36" s="50">
        <v>1</v>
      </c>
      <c r="K36" s="50">
        <v>0</v>
      </c>
      <c r="L36" s="50">
        <v>0</v>
      </c>
      <c r="M36" s="50">
        <v>85</v>
      </c>
      <c r="N36" s="50">
        <v>0</v>
      </c>
      <c r="O36" s="15">
        <f t="shared" si="0"/>
        <v>126</v>
      </c>
      <c r="P36" s="15">
        <f t="shared" si="1"/>
        <v>211</v>
      </c>
      <c r="R36" s="38" t="s">
        <v>92</v>
      </c>
      <c r="S36" s="39">
        <f t="shared" ref="S36:AF36" si="28">MAX(S19:S21)</f>
        <v>215</v>
      </c>
      <c r="T36" s="39">
        <f t="shared" si="28"/>
        <v>90</v>
      </c>
      <c r="U36" s="39">
        <f t="shared" si="28"/>
        <v>25</v>
      </c>
      <c r="V36" s="39">
        <f t="shared" si="28"/>
        <v>82</v>
      </c>
      <c r="W36" s="39">
        <f t="shared" si="28"/>
        <v>0</v>
      </c>
      <c r="X36" s="39">
        <f t="shared" si="28"/>
        <v>1</v>
      </c>
      <c r="Y36" s="39">
        <f t="shared" si="28"/>
        <v>22</v>
      </c>
      <c r="Z36" s="39">
        <f t="shared" si="28"/>
        <v>11</v>
      </c>
      <c r="AA36" s="39">
        <f t="shared" si="28"/>
        <v>3</v>
      </c>
      <c r="AB36" s="39">
        <f t="shared" si="28"/>
        <v>1</v>
      </c>
      <c r="AC36" s="39">
        <f t="shared" si="28"/>
        <v>400</v>
      </c>
      <c r="AD36" s="39">
        <f t="shared" si="28"/>
        <v>1</v>
      </c>
      <c r="AE36" s="40">
        <f t="shared" si="28"/>
        <v>426</v>
      </c>
      <c r="AF36" s="40">
        <f t="shared" si="28"/>
        <v>808</v>
      </c>
    </row>
    <row r="37" spans="2:32" ht="23.1" customHeight="1" x14ac:dyDescent="0.25">
      <c r="B37" s="45" t="s">
        <v>64</v>
      </c>
      <c r="C37" s="50">
        <v>110</v>
      </c>
      <c r="D37" s="50">
        <v>15</v>
      </c>
      <c r="E37" s="50">
        <v>11</v>
      </c>
      <c r="F37" s="50">
        <v>7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75</v>
      </c>
      <c r="N37" s="50">
        <v>0</v>
      </c>
      <c r="O37" s="15">
        <f t="shared" si="0"/>
        <v>147</v>
      </c>
      <c r="P37" s="15">
        <f t="shared" si="1"/>
        <v>222</v>
      </c>
      <c r="R37" s="37" t="s">
        <v>85</v>
      </c>
      <c r="S37" s="35">
        <f t="shared" ref="S37:AF37" si="29">SUM(S10:S12)</f>
        <v>330</v>
      </c>
      <c r="T37" s="16">
        <f t="shared" si="29"/>
        <v>140</v>
      </c>
      <c r="U37" s="16">
        <f t="shared" si="29"/>
        <v>71</v>
      </c>
      <c r="V37" s="16">
        <f t="shared" si="29"/>
        <v>233</v>
      </c>
      <c r="W37" s="16">
        <f t="shared" si="29"/>
        <v>5</v>
      </c>
      <c r="X37" s="16">
        <f t="shared" si="29"/>
        <v>0</v>
      </c>
      <c r="Y37" s="16">
        <f t="shared" si="29"/>
        <v>29</v>
      </c>
      <c r="Z37" s="16">
        <f t="shared" si="29"/>
        <v>15</v>
      </c>
      <c r="AA37" s="16">
        <f t="shared" si="29"/>
        <v>40</v>
      </c>
      <c r="AB37" s="16">
        <f t="shared" si="29"/>
        <v>0</v>
      </c>
      <c r="AC37" s="16">
        <f t="shared" si="29"/>
        <v>942</v>
      </c>
      <c r="AD37" s="16">
        <f t="shared" si="29"/>
        <v>0</v>
      </c>
      <c r="AE37" s="32">
        <f t="shared" si="29"/>
        <v>863</v>
      </c>
      <c r="AF37" s="32">
        <f t="shared" si="29"/>
        <v>1805</v>
      </c>
    </row>
    <row r="38" spans="2:32" ht="23.1" customHeight="1" x14ac:dyDescent="0.25">
      <c r="B38" s="46" t="s">
        <v>65</v>
      </c>
      <c r="C38" s="50">
        <v>70</v>
      </c>
      <c r="D38" s="50">
        <v>17</v>
      </c>
      <c r="E38" s="50">
        <v>6</v>
      </c>
      <c r="F38" s="50">
        <v>12</v>
      </c>
      <c r="G38" s="50">
        <v>0</v>
      </c>
      <c r="H38" s="50">
        <v>0</v>
      </c>
      <c r="I38" s="50">
        <v>4</v>
      </c>
      <c r="J38" s="50">
        <v>1</v>
      </c>
      <c r="K38" s="50">
        <v>2</v>
      </c>
      <c r="L38" s="50">
        <v>1</v>
      </c>
      <c r="M38" s="50">
        <v>30</v>
      </c>
      <c r="N38" s="50">
        <v>0</v>
      </c>
      <c r="O38" s="15">
        <f t="shared" si="0"/>
        <v>113</v>
      </c>
      <c r="P38" s="15">
        <f t="shared" si="1"/>
        <v>143</v>
      </c>
      <c r="R38" s="28" t="s">
        <v>86</v>
      </c>
      <c r="S38" s="16">
        <f t="shared" ref="S38:AF38" si="30">SUM(S13:S18)</f>
        <v>1328</v>
      </c>
      <c r="T38" s="16">
        <f t="shared" si="30"/>
        <v>501</v>
      </c>
      <c r="U38" s="16">
        <f t="shared" si="30"/>
        <v>153</v>
      </c>
      <c r="V38" s="16">
        <f t="shared" si="30"/>
        <v>405</v>
      </c>
      <c r="W38" s="16">
        <f t="shared" si="30"/>
        <v>2</v>
      </c>
      <c r="X38" s="16">
        <f t="shared" si="30"/>
        <v>0</v>
      </c>
      <c r="Y38" s="16">
        <f t="shared" si="30"/>
        <v>100</v>
      </c>
      <c r="Z38" s="16">
        <f t="shared" si="30"/>
        <v>35</v>
      </c>
      <c r="AA38" s="16">
        <f t="shared" si="30"/>
        <v>30</v>
      </c>
      <c r="AB38" s="16">
        <f t="shared" si="30"/>
        <v>1</v>
      </c>
      <c r="AC38" s="16">
        <f t="shared" si="30"/>
        <v>2206</v>
      </c>
      <c r="AD38" s="16">
        <f t="shared" si="30"/>
        <v>0</v>
      </c>
      <c r="AE38" s="32">
        <f t="shared" si="30"/>
        <v>2555</v>
      </c>
      <c r="AF38" s="32">
        <f t="shared" si="30"/>
        <v>4761</v>
      </c>
    </row>
    <row r="39" spans="2:32" ht="23.1" customHeight="1" x14ac:dyDescent="0.25">
      <c r="B39" s="46" t="s">
        <v>66</v>
      </c>
      <c r="C39" s="50">
        <v>30</v>
      </c>
      <c r="D39" s="50">
        <v>21</v>
      </c>
      <c r="E39" s="50">
        <v>7</v>
      </c>
      <c r="F39" s="50">
        <v>12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55</v>
      </c>
      <c r="N39" s="50">
        <v>0</v>
      </c>
      <c r="O39" s="15">
        <f t="shared" si="0"/>
        <v>71</v>
      </c>
      <c r="P39" s="15">
        <f t="shared" si="1"/>
        <v>126</v>
      </c>
      <c r="R39" s="29" t="s">
        <v>87</v>
      </c>
      <c r="S39" s="16">
        <f t="shared" ref="S39:AF39" si="31">SUM(S19:S21)</f>
        <v>604</v>
      </c>
      <c r="T39" s="16">
        <f t="shared" si="31"/>
        <v>235</v>
      </c>
      <c r="U39" s="16">
        <f t="shared" si="31"/>
        <v>63</v>
      </c>
      <c r="V39" s="16">
        <f t="shared" si="31"/>
        <v>214</v>
      </c>
      <c r="W39" s="16">
        <f t="shared" si="31"/>
        <v>0</v>
      </c>
      <c r="X39" s="16">
        <f t="shared" si="31"/>
        <v>1</v>
      </c>
      <c r="Y39" s="16">
        <f t="shared" si="31"/>
        <v>49</v>
      </c>
      <c r="Z39" s="16">
        <f t="shared" si="31"/>
        <v>25</v>
      </c>
      <c r="AA39" s="16">
        <f t="shared" si="31"/>
        <v>3</v>
      </c>
      <c r="AB39" s="16">
        <f t="shared" si="31"/>
        <v>1</v>
      </c>
      <c r="AC39" s="16">
        <f t="shared" si="31"/>
        <v>1108</v>
      </c>
      <c r="AD39" s="16">
        <f t="shared" si="31"/>
        <v>1</v>
      </c>
      <c r="AE39" s="32">
        <f t="shared" si="31"/>
        <v>1196</v>
      </c>
      <c r="AF39" s="32">
        <f t="shared" si="31"/>
        <v>2304</v>
      </c>
    </row>
    <row r="40" spans="2:32" ht="23.1" customHeight="1" x14ac:dyDescent="0.25">
      <c r="B40" s="46" t="s">
        <v>67</v>
      </c>
      <c r="C40" s="50">
        <v>75</v>
      </c>
      <c r="D40" s="50">
        <v>40</v>
      </c>
      <c r="E40" s="50">
        <v>5</v>
      </c>
      <c r="F40" s="50">
        <v>26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0</v>
      </c>
      <c r="M40" s="50">
        <v>60</v>
      </c>
      <c r="N40" s="50">
        <v>0</v>
      </c>
      <c r="O40" s="15">
        <f t="shared" si="0"/>
        <v>151</v>
      </c>
      <c r="P40" s="15">
        <f t="shared" si="1"/>
        <v>211</v>
      </c>
      <c r="R40" s="5" t="s">
        <v>17</v>
      </c>
      <c r="S40" s="16">
        <f t="shared" ref="S40:AF40" si="32">SUM(S10:S21)</f>
        <v>2262</v>
      </c>
      <c r="T40" s="16">
        <f t="shared" si="32"/>
        <v>876</v>
      </c>
      <c r="U40" s="16">
        <f t="shared" si="32"/>
        <v>287</v>
      </c>
      <c r="V40" s="16">
        <f t="shared" si="32"/>
        <v>852</v>
      </c>
      <c r="W40" s="16">
        <f t="shared" si="32"/>
        <v>7</v>
      </c>
      <c r="X40" s="16">
        <f t="shared" si="32"/>
        <v>1</v>
      </c>
      <c r="Y40" s="16">
        <f t="shared" si="32"/>
        <v>178</v>
      </c>
      <c r="Z40" s="16">
        <f t="shared" si="32"/>
        <v>75</v>
      </c>
      <c r="AA40" s="16">
        <f t="shared" si="32"/>
        <v>73</v>
      </c>
      <c r="AB40" s="16">
        <f t="shared" si="32"/>
        <v>2</v>
      </c>
      <c r="AC40" s="16">
        <f t="shared" si="32"/>
        <v>4256</v>
      </c>
      <c r="AD40" s="16">
        <f t="shared" si="32"/>
        <v>1</v>
      </c>
      <c r="AE40" s="32">
        <f t="shared" si="32"/>
        <v>4614</v>
      </c>
      <c r="AF40" s="32">
        <f t="shared" si="32"/>
        <v>8870</v>
      </c>
    </row>
    <row r="41" spans="2:32" ht="23.1" customHeight="1" x14ac:dyDescent="0.25">
      <c r="B41" s="45" t="s">
        <v>68</v>
      </c>
      <c r="C41" s="50">
        <v>90</v>
      </c>
      <c r="D41" s="50">
        <v>30</v>
      </c>
      <c r="E41" s="50">
        <v>4</v>
      </c>
      <c r="F41" s="50">
        <v>30</v>
      </c>
      <c r="G41" s="50">
        <v>0</v>
      </c>
      <c r="H41" s="50">
        <v>0</v>
      </c>
      <c r="I41" s="50">
        <v>2</v>
      </c>
      <c r="J41" s="50">
        <v>4</v>
      </c>
      <c r="K41" s="50">
        <v>0</v>
      </c>
      <c r="L41" s="50">
        <v>0</v>
      </c>
      <c r="M41" s="50">
        <v>100</v>
      </c>
      <c r="N41" s="50">
        <v>0</v>
      </c>
      <c r="O41" s="15">
        <f t="shared" si="0"/>
        <v>160</v>
      </c>
      <c r="P41" s="15">
        <f t="shared" si="1"/>
        <v>260</v>
      </c>
      <c r="R41" s="5" t="s">
        <v>159</v>
      </c>
      <c r="S41" s="16">
        <f>SUM(S10:S33)</f>
        <v>3751</v>
      </c>
      <c r="T41" s="16">
        <f t="shared" ref="T41:AF41" si="33">SUM(T10:T33)</f>
        <v>1615</v>
      </c>
      <c r="U41" s="16">
        <f t="shared" si="33"/>
        <v>408</v>
      </c>
      <c r="V41" s="16">
        <f t="shared" si="33"/>
        <v>1246</v>
      </c>
      <c r="W41" s="16">
        <f t="shared" si="33"/>
        <v>10</v>
      </c>
      <c r="X41" s="16">
        <f t="shared" si="33"/>
        <v>1</v>
      </c>
      <c r="Y41" s="16">
        <f t="shared" si="33"/>
        <v>264</v>
      </c>
      <c r="Z41" s="16">
        <f t="shared" si="33"/>
        <v>100</v>
      </c>
      <c r="AA41" s="16">
        <f t="shared" si="33"/>
        <v>89</v>
      </c>
      <c r="AB41" s="16">
        <f t="shared" si="33"/>
        <v>19</v>
      </c>
      <c r="AC41" s="16">
        <f t="shared" si="33"/>
        <v>6334</v>
      </c>
      <c r="AD41" s="16">
        <f t="shared" si="33"/>
        <v>1</v>
      </c>
      <c r="AE41" s="32">
        <f t="shared" si="33"/>
        <v>7504</v>
      </c>
      <c r="AF41" s="32">
        <f t="shared" si="33"/>
        <v>13838</v>
      </c>
    </row>
    <row r="42" spans="2:32" ht="23.1" customHeight="1" x14ac:dyDescent="0.25">
      <c r="B42" s="46" t="s">
        <v>69</v>
      </c>
      <c r="C42" s="50">
        <v>68</v>
      </c>
      <c r="D42" s="50">
        <v>38</v>
      </c>
      <c r="E42" s="50">
        <v>13</v>
      </c>
      <c r="F42" s="50">
        <v>24</v>
      </c>
      <c r="G42" s="50">
        <v>0</v>
      </c>
      <c r="H42" s="50">
        <v>0</v>
      </c>
      <c r="I42" s="50">
        <v>11</v>
      </c>
      <c r="J42" s="50">
        <v>3</v>
      </c>
      <c r="K42" s="50">
        <v>2</v>
      </c>
      <c r="L42" s="50">
        <v>0</v>
      </c>
      <c r="M42" s="50">
        <v>80</v>
      </c>
      <c r="N42" s="50">
        <v>0</v>
      </c>
      <c r="O42" s="15">
        <f t="shared" si="0"/>
        <v>159</v>
      </c>
      <c r="P42" s="15">
        <f t="shared" si="1"/>
        <v>239</v>
      </c>
      <c r="R42" s="5" t="s">
        <v>160</v>
      </c>
      <c r="S42" s="48">
        <f>S41/S40</f>
        <v>1.6582670203359859</v>
      </c>
      <c r="T42" s="48">
        <f t="shared" ref="T42:AF42" si="34">T41/T40</f>
        <v>1.8436073059360731</v>
      </c>
      <c r="U42" s="48">
        <f t="shared" si="34"/>
        <v>1.4216027874564461</v>
      </c>
      <c r="V42" s="48">
        <f t="shared" si="34"/>
        <v>1.4624413145539905</v>
      </c>
      <c r="W42" s="48">
        <f t="shared" si="34"/>
        <v>1.4285714285714286</v>
      </c>
      <c r="X42" s="48">
        <f t="shared" si="34"/>
        <v>1</v>
      </c>
      <c r="Y42" s="48">
        <f t="shared" si="34"/>
        <v>1.4831460674157304</v>
      </c>
      <c r="Z42" s="48">
        <f t="shared" si="34"/>
        <v>1.3333333333333333</v>
      </c>
      <c r="AA42" s="48">
        <f t="shared" si="34"/>
        <v>1.2191780821917808</v>
      </c>
      <c r="AB42" s="48">
        <f t="shared" si="34"/>
        <v>9.5</v>
      </c>
      <c r="AC42" s="48">
        <f t="shared" si="34"/>
        <v>1.4882518796992481</v>
      </c>
      <c r="AD42" s="48">
        <f t="shared" si="34"/>
        <v>1</v>
      </c>
      <c r="AE42" s="48">
        <f t="shared" si="34"/>
        <v>1.6263545730385782</v>
      </c>
      <c r="AF42" s="48">
        <f t="shared" si="34"/>
        <v>1.5600901916572718</v>
      </c>
    </row>
    <row r="43" spans="2:32" ht="23.1" customHeight="1" x14ac:dyDescent="0.25">
      <c r="B43" s="45" t="s">
        <v>70</v>
      </c>
      <c r="C43" s="50">
        <v>35</v>
      </c>
      <c r="D43" s="50">
        <v>30</v>
      </c>
      <c r="E43" s="50">
        <v>6</v>
      </c>
      <c r="F43" s="50">
        <v>10</v>
      </c>
      <c r="G43" s="50">
        <v>0</v>
      </c>
      <c r="H43" s="50">
        <v>0</v>
      </c>
      <c r="I43" s="50">
        <v>3</v>
      </c>
      <c r="J43" s="50">
        <v>3</v>
      </c>
      <c r="K43" s="50">
        <v>0</v>
      </c>
      <c r="L43" s="50">
        <v>0</v>
      </c>
      <c r="M43" s="50">
        <v>61</v>
      </c>
      <c r="N43" s="50">
        <v>0</v>
      </c>
      <c r="O43" s="15">
        <f t="shared" si="0"/>
        <v>87</v>
      </c>
      <c r="P43" s="15">
        <f t="shared" si="1"/>
        <v>148</v>
      </c>
    </row>
    <row r="44" spans="2:32" ht="23.1" customHeight="1" x14ac:dyDescent="0.25">
      <c r="B44" s="47" t="s">
        <v>71</v>
      </c>
      <c r="C44" s="50">
        <v>50</v>
      </c>
      <c r="D44" s="50">
        <v>30</v>
      </c>
      <c r="E44" s="50">
        <v>10</v>
      </c>
      <c r="F44" s="50">
        <v>16</v>
      </c>
      <c r="G44" s="50">
        <v>0</v>
      </c>
      <c r="H44" s="50">
        <v>0</v>
      </c>
      <c r="I44" s="50">
        <v>8</v>
      </c>
      <c r="J44" s="50">
        <v>2</v>
      </c>
      <c r="K44" s="50">
        <v>2</v>
      </c>
      <c r="L44" s="50">
        <v>0</v>
      </c>
      <c r="M44" s="50">
        <v>110</v>
      </c>
      <c r="N44" s="50">
        <v>0</v>
      </c>
      <c r="O44" s="15">
        <f t="shared" si="0"/>
        <v>118</v>
      </c>
      <c r="P44" s="15">
        <f t="shared" si="1"/>
        <v>228</v>
      </c>
    </row>
    <row r="45" spans="2:32" ht="23.1" customHeight="1" x14ac:dyDescent="0.25">
      <c r="B45" s="45" t="s">
        <v>72</v>
      </c>
      <c r="C45" s="50">
        <v>23</v>
      </c>
      <c r="D45" s="50">
        <v>11</v>
      </c>
      <c r="E45" s="50">
        <v>10</v>
      </c>
      <c r="F45" s="50">
        <v>13</v>
      </c>
      <c r="G45" s="50">
        <v>0</v>
      </c>
      <c r="H45" s="50">
        <v>0</v>
      </c>
      <c r="I45" s="50">
        <v>6</v>
      </c>
      <c r="J45" s="50">
        <v>1</v>
      </c>
      <c r="K45" s="50">
        <v>0</v>
      </c>
      <c r="L45" s="50">
        <v>0</v>
      </c>
      <c r="M45" s="50">
        <v>60</v>
      </c>
      <c r="N45" s="50">
        <v>0</v>
      </c>
      <c r="O45" s="15">
        <f t="shared" si="0"/>
        <v>64</v>
      </c>
      <c r="P45" s="15">
        <f t="shared" si="1"/>
        <v>124</v>
      </c>
    </row>
    <row r="46" spans="2:32" ht="23.1" customHeight="1" x14ac:dyDescent="0.25">
      <c r="B46" s="46" t="s">
        <v>73</v>
      </c>
      <c r="C46" s="50">
        <v>33</v>
      </c>
      <c r="D46" s="50">
        <v>30</v>
      </c>
      <c r="E46" s="50">
        <v>7</v>
      </c>
      <c r="F46" s="50">
        <v>20</v>
      </c>
      <c r="G46" s="50">
        <v>0</v>
      </c>
      <c r="H46" s="50">
        <v>0</v>
      </c>
      <c r="I46" s="50">
        <v>1</v>
      </c>
      <c r="J46" s="50">
        <v>2</v>
      </c>
      <c r="K46" s="50">
        <v>1</v>
      </c>
      <c r="L46" s="50">
        <v>0</v>
      </c>
      <c r="M46" s="50">
        <v>60</v>
      </c>
      <c r="N46" s="50">
        <v>0</v>
      </c>
      <c r="O46" s="15">
        <f t="shared" si="0"/>
        <v>94</v>
      </c>
      <c r="P46" s="15">
        <f t="shared" si="1"/>
        <v>154</v>
      </c>
      <c r="R46" s="8"/>
      <c r="T46"/>
    </row>
    <row r="47" spans="2:32" ht="23.1" customHeight="1" x14ac:dyDescent="0.25">
      <c r="B47" s="46" t="s">
        <v>74</v>
      </c>
      <c r="C47" s="50">
        <v>60</v>
      </c>
      <c r="D47" s="50">
        <v>20</v>
      </c>
      <c r="E47" s="50">
        <v>8</v>
      </c>
      <c r="F47" s="50">
        <v>22</v>
      </c>
      <c r="G47" s="50">
        <v>0</v>
      </c>
      <c r="H47" s="50">
        <v>0</v>
      </c>
      <c r="I47" s="50">
        <v>8</v>
      </c>
      <c r="J47" s="50">
        <v>4</v>
      </c>
      <c r="K47" s="50">
        <v>1</v>
      </c>
      <c r="L47" s="50">
        <v>0</v>
      </c>
      <c r="M47" s="50">
        <v>100</v>
      </c>
      <c r="N47" s="50">
        <v>0</v>
      </c>
      <c r="O47" s="15">
        <f t="shared" si="0"/>
        <v>123</v>
      </c>
      <c r="P47" s="15">
        <f t="shared" si="1"/>
        <v>223</v>
      </c>
      <c r="R47" s="8"/>
      <c r="T47"/>
    </row>
    <row r="48" spans="2:32" ht="23.1" customHeight="1" x14ac:dyDescent="0.25">
      <c r="B48" s="46" t="s">
        <v>75</v>
      </c>
      <c r="C48" s="50">
        <v>70</v>
      </c>
      <c r="D48" s="50">
        <v>15</v>
      </c>
      <c r="E48" s="50">
        <v>3</v>
      </c>
      <c r="F48" s="50">
        <v>31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100</v>
      </c>
      <c r="N48" s="50">
        <v>0</v>
      </c>
      <c r="O48" s="15">
        <f t="shared" si="0"/>
        <v>120</v>
      </c>
      <c r="P48" s="15">
        <f t="shared" si="1"/>
        <v>220</v>
      </c>
      <c r="R48" s="8"/>
      <c r="T48"/>
    </row>
    <row r="49" spans="2:20" ht="23.1" customHeight="1" x14ac:dyDescent="0.25">
      <c r="B49" s="45" t="s">
        <v>76</v>
      </c>
      <c r="C49" s="50">
        <v>45</v>
      </c>
      <c r="D49" s="50">
        <v>25</v>
      </c>
      <c r="E49" s="50">
        <v>2</v>
      </c>
      <c r="F49" s="50">
        <v>9</v>
      </c>
      <c r="G49" s="50">
        <v>0</v>
      </c>
      <c r="H49" s="50">
        <v>0</v>
      </c>
      <c r="I49" s="50">
        <v>5</v>
      </c>
      <c r="J49" s="50">
        <v>2</v>
      </c>
      <c r="K49" s="50">
        <v>1</v>
      </c>
      <c r="L49" s="50">
        <v>0</v>
      </c>
      <c r="M49" s="50">
        <v>98</v>
      </c>
      <c r="N49" s="50">
        <v>0</v>
      </c>
      <c r="O49" s="15">
        <f t="shared" si="0"/>
        <v>89</v>
      </c>
      <c r="P49" s="15">
        <f t="shared" si="1"/>
        <v>187</v>
      </c>
      <c r="R49" s="8"/>
      <c r="T49"/>
    </row>
    <row r="50" spans="2:20" ht="23.1" customHeight="1" x14ac:dyDescent="0.25">
      <c r="B50" s="46" t="s">
        <v>77</v>
      </c>
      <c r="C50" s="50">
        <v>45</v>
      </c>
      <c r="D50" s="50">
        <v>14</v>
      </c>
      <c r="E50" s="50">
        <v>7</v>
      </c>
      <c r="F50" s="50">
        <v>13</v>
      </c>
      <c r="G50" s="50">
        <v>0</v>
      </c>
      <c r="H50" s="50">
        <v>0</v>
      </c>
      <c r="I50" s="50">
        <v>9</v>
      </c>
      <c r="J50" s="50">
        <v>2</v>
      </c>
      <c r="K50" s="50">
        <v>0</v>
      </c>
      <c r="L50" s="50">
        <v>0</v>
      </c>
      <c r="M50" s="50">
        <v>60</v>
      </c>
      <c r="N50" s="50">
        <v>0</v>
      </c>
      <c r="O50" s="15">
        <f t="shared" si="0"/>
        <v>90</v>
      </c>
      <c r="P50" s="15">
        <f t="shared" si="1"/>
        <v>150</v>
      </c>
      <c r="R50" s="8"/>
      <c r="T50"/>
    </row>
    <row r="51" spans="2:20" ht="23.1" customHeight="1" x14ac:dyDescent="0.25">
      <c r="B51" s="46" t="s">
        <v>78</v>
      </c>
      <c r="C51" s="50">
        <v>60</v>
      </c>
      <c r="D51" s="50">
        <v>19</v>
      </c>
      <c r="E51" s="50">
        <v>3</v>
      </c>
      <c r="F51" s="50">
        <v>14</v>
      </c>
      <c r="G51" s="50">
        <v>0</v>
      </c>
      <c r="H51" s="50">
        <v>0</v>
      </c>
      <c r="I51" s="50">
        <v>5</v>
      </c>
      <c r="J51" s="50">
        <v>2</v>
      </c>
      <c r="K51" s="50">
        <v>0</v>
      </c>
      <c r="L51" s="50">
        <v>0</v>
      </c>
      <c r="M51" s="50">
        <v>80</v>
      </c>
      <c r="N51" s="50">
        <v>0</v>
      </c>
      <c r="O51" s="15">
        <f t="shared" si="0"/>
        <v>103</v>
      </c>
      <c r="P51" s="15">
        <f t="shared" si="1"/>
        <v>183</v>
      </c>
      <c r="R51" s="8"/>
      <c r="T51"/>
    </row>
    <row r="52" spans="2:20" ht="23.1" customHeight="1" x14ac:dyDescent="0.25">
      <c r="B52" s="46" t="s">
        <v>79</v>
      </c>
      <c r="C52" s="50">
        <v>60</v>
      </c>
      <c r="D52" s="50">
        <v>21</v>
      </c>
      <c r="E52" s="50">
        <v>4</v>
      </c>
      <c r="F52" s="50">
        <v>19</v>
      </c>
      <c r="G52" s="50">
        <v>0</v>
      </c>
      <c r="H52" s="50">
        <v>0</v>
      </c>
      <c r="I52" s="50">
        <v>4</v>
      </c>
      <c r="J52" s="50">
        <v>2</v>
      </c>
      <c r="K52" s="50">
        <v>0</v>
      </c>
      <c r="L52" s="50">
        <v>0</v>
      </c>
      <c r="M52" s="50">
        <v>95</v>
      </c>
      <c r="N52" s="50">
        <v>0</v>
      </c>
      <c r="O52" s="15">
        <f t="shared" si="0"/>
        <v>110</v>
      </c>
      <c r="P52" s="15">
        <f t="shared" si="1"/>
        <v>205</v>
      </c>
      <c r="R52" s="8"/>
      <c r="T52"/>
    </row>
    <row r="53" spans="2:20" ht="23.1" customHeight="1" x14ac:dyDescent="0.25">
      <c r="B53" s="45" t="s">
        <v>80</v>
      </c>
      <c r="C53" s="50">
        <v>50</v>
      </c>
      <c r="D53" s="50">
        <v>15</v>
      </c>
      <c r="E53" s="50">
        <v>11</v>
      </c>
      <c r="F53" s="50">
        <v>19</v>
      </c>
      <c r="G53" s="50">
        <v>0</v>
      </c>
      <c r="H53" s="50">
        <v>0</v>
      </c>
      <c r="I53" s="50">
        <v>4</v>
      </c>
      <c r="J53" s="50">
        <v>5</v>
      </c>
      <c r="K53" s="50">
        <v>0</v>
      </c>
      <c r="L53" s="50">
        <v>1</v>
      </c>
      <c r="M53" s="50">
        <v>165</v>
      </c>
      <c r="N53" s="50">
        <v>0</v>
      </c>
      <c r="O53" s="15">
        <f t="shared" si="0"/>
        <v>105</v>
      </c>
      <c r="P53" s="15">
        <f t="shared" si="1"/>
        <v>270</v>
      </c>
      <c r="R53" s="8"/>
      <c r="T53"/>
    </row>
    <row r="54" spans="2:20" ht="23.1" customHeight="1" x14ac:dyDescent="0.25">
      <c r="B54" s="45" t="s">
        <v>81</v>
      </c>
      <c r="C54" s="50">
        <v>60</v>
      </c>
      <c r="D54" s="50">
        <v>22</v>
      </c>
      <c r="E54" s="50">
        <v>8</v>
      </c>
      <c r="F54" s="50">
        <v>20</v>
      </c>
      <c r="G54" s="50">
        <v>0</v>
      </c>
      <c r="H54" s="50">
        <v>0</v>
      </c>
      <c r="I54" s="50">
        <v>5</v>
      </c>
      <c r="J54" s="50">
        <v>3</v>
      </c>
      <c r="K54" s="50">
        <v>0</v>
      </c>
      <c r="L54" s="50">
        <v>0</v>
      </c>
      <c r="M54" s="50">
        <v>90</v>
      </c>
      <c r="N54" s="50">
        <v>0</v>
      </c>
      <c r="O54" s="15">
        <f t="shared" si="0"/>
        <v>118</v>
      </c>
      <c r="P54" s="15">
        <f t="shared" si="1"/>
        <v>208</v>
      </c>
      <c r="R54" s="8"/>
      <c r="T54"/>
    </row>
    <row r="55" spans="2:20" ht="23.1" customHeight="1" x14ac:dyDescent="0.25">
      <c r="B55" s="45" t="s">
        <v>82</v>
      </c>
      <c r="C55" s="50">
        <v>90</v>
      </c>
      <c r="D55" s="50">
        <v>30</v>
      </c>
      <c r="E55" s="50">
        <v>3</v>
      </c>
      <c r="F55" s="50">
        <v>15</v>
      </c>
      <c r="G55" s="50">
        <v>0</v>
      </c>
      <c r="H55" s="50">
        <v>1</v>
      </c>
      <c r="I55" s="50">
        <v>2</v>
      </c>
      <c r="J55" s="50">
        <v>1</v>
      </c>
      <c r="K55" s="50">
        <v>0</v>
      </c>
      <c r="L55" s="50">
        <v>0</v>
      </c>
      <c r="M55" s="50">
        <v>90</v>
      </c>
      <c r="N55" s="50">
        <v>0</v>
      </c>
      <c r="O55" s="15">
        <f t="shared" si="0"/>
        <v>142</v>
      </c>
      <c r="P55" s="15">
        <f t="shared" si="1"/>
        <v>232</v>
      </c>
      <c r="R55" s="8"/>
      <c r="T55"/>
    </row>
    <row r="56" spans="2:20" ht="23.1" customHeight="1" x14ac:dyDescent="0.25">
      <c r="B56" s="45" t="s">
        <v>83</v>
      </c>
      <c r="C56" s="50">
        <v>21</v>
      </c>
      <c r="D56" s="50">
        <v>10</v>
      </c>
      <c r="E56" s="50">
        <v>2</v>
      </c>
      <c r="F56" s="50">
        <v>7</v>
      </c>
      <c r="G56" s="50">
        <v>0</v>
      </c>
      <c r="H56" s="50">
        <v>0</v>
      </c>
      <c r="I56" s="50">
        <v>1</v>
      </c>
      <c r="J56" s="50">
        <v>2</v>
      </c>
      <c r="K56" s="50">
        <v>0</v>
      </c>
      <c r="L56" s="50">
        <v>0</v>
      </c>
      <c r="M56" s="50">
        <v>80</v>
      </c>
      <c r="N56" s="50">
        <v>1</v>
      </c>
      <c r="O56" s="15">
        <f t="shared" si="0"/>
        <v>44</v>
      </c>
      <c r="P56" s="15">
        <f t="shared" si="1"/>
        <v>124</v>
      </c>
      <c r="R56" s="8"/>
      <c r="T56"/>
    </row>
    <row r="57" spans="2:20" ht="23.1" customHeight="1" x14ac:dyDescent="0.25">
      <c r="B57" s="45" t="s">
        <v>84</v>
      </c>
      <c r="C57" s="50">
        <v>10</v>
      </c>
      <c r="D57" s="50">
        <v>14</v>
      </c>
      <c r="E57" s="50">
        <v>5</v>
      </c>
      <c r="F57" s="50">
        <v>25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90</v>
      </c>
      <c r="N57" s="50">
        <v>0</v>
      </c>
      <c r="O57" s="15">
        <f t="shared" si="0"/>
        <v>58</v>
      </c>
      <c r="P57" s="15">
        <f t="shared" si="1"/>
        <v>148</v>
      </c>
      <c r="R57" s="8"/>
      <c r="T57"/>
    </row>
    <row r="58" spans="2:20" ht="23.1" customHeight="1" x14ac:dyDescent="0.25">
      <c r="B58" s="45" t="s">
        <v>99</v>
      </c>
      <c r="C58" s="50">
        <v>33</v>
      </c>
      <c r="D58" s="50">
        <v>8</v>
      </c>
      <c r="E58" s="50">
        <v>1</v>
      </c>
      <c r="F58" s="50">
        <v>5</v>
      </c>
      <c r="G58" s="50">
        <v>0</v>
      </c>
      <c r="H58" s="50">
        <v>0</v>
      </c>
      <c r="I58" s="50">
        <v>1</v>
      </c>
      <c r="J58" s="50">
        <v>1</v>
      </c>
      <c r="K58" s="50">
        <v>0</v>
      </c>
      <c r="L58" s="50">
        <v>0</v>
      </c>
      <c r="M58" s="50">
        <v>58</v>
      </c>
      <c r="N58" s="50">
        <v>0</v>
      </c>
      <c r="O58" s="15">
        <f t="shared" si="0"/>
        <v>49</v>
      </c>
      <c r="P58" s="15">
        <f t="shared" si="1"/>
        <v>107</v>
      </c>
      <c r="R58" s="8"/>
      <c r="T58"/>
    </row>
    <row r="59" spans="2:20" ht="23.1" customHeight="1" x14ac:dyDescent="0.25">
      <c r="B59" s="45" t="s">
        <v>100</v>
      </c>
      <c r="C59" s="50">
        <v>45</v>
      </c>
      <c r="D59" s="50">
        <v>50</v>
      </c>
      <c r="E59" s="50">
        <v>5</v>
      </c>
      <c r="F59" s="50">
        <v>10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50</v>
      </c>
      <c r="N59" s="50">
        <v>0</v>
      </c>
      <c r="O59" s="15">
        <f t="shared" si="0"/>
        <v>110</v>
      </c>
      <c r="P59" s="15">
        <f t="shared" si="1"/>
        <v>160</v>
      </c>
      <c r="R59" s="8"/>
      <c r="T59"/>
    </row>
    <row r="60" spans="2:20" ht="23.1" customHeight="1" x14ac:dyDescent="0.25">
      <c r="B60" s="45" t="s">
        <v>101</v>
      </c>
      <c r="C60" s="50">
        <v>75</v>
      </c>
      <c r="D60" s="50">
        <v>60</v>
      </c>
      <c r="E60" s="50">
        <v>10</v>
      </c>
      <c r="F60" s="50">
        <v>30</v>
      </c>
      <c r="G60" s="50">
        <v>0</v>
      </c>
      <c r="H60" s="50">
        <v>0</v>
      </c>
      <c r="I60" s="50">
        <v>5</v>
      </c>
      <c r="J60" s="50">
        <v>0</v>
      </c>
      <c r="K60" s="50">
        <v>0</v>
      </c>
      <c r="L60" s="50">
        <v>0</v>
      </c>
      <c r="M60" s="50">
        <v>80</v>
      </c>
      <c r="N60" s="50">
        <v>0</v>
      </c>
      <c r="O60" s="15">
        <f t="shared" si="0"/>
        <v>180</v>
      </c>
      <c r="P60" s="15">
        <f t="shared" si="1"/>
        <v>260</v>
      </c>
      <c r="R60" s="8"/>
      <c r="T60"/>
    </row>
    <row r="61" spans="2:20" ht="23.1" customHeight="1" x14ac:dyDescent="0.25">
      <c r="B61" s="45" t="s">
        <v>102</v>
      </c>
      <c r="C61" s="50">
        <v>90</v>
      </c>
      <c r="D61" s="50">
        <v>60</v>
      </c>
      <c r="E61" s="50">
        <v>0</v>
      </c>
      <c r="F61" s="50">
        <v>40</v>
      </c>
      <c r="G61" s="50">
        <v>0</v>
      </c>
      <c r="H61" s="50">
        <v>0</v>
      </c>
      <c r="I61" s="50">
        <v>5</v>
      </c>
      <c r="J61" s="50">
        <v>0</v>
      </c>
      <c r="K61" s="50">
        <v>1</v>
      </c>
      <c r="L61" s="50">
        <v>0</v>
      </c>
      <c r="M61" s="50">
        <v>90</v>
      </c>
      <c r="N61" s="50">
        <v>0</v>
      </c>
      <c r="O61" s="15">
        <f t="shared" si="0"/>
        <v>196</v>
      </c>
      <c r="P61" s="15">
        <f t="shared" si="1"/>
        <v>286</v>
      </c>
      <c r="R61" s="8"/>
      <c r="T61"/>
    </row>
    <row r="62" spans="2:20" ht="23.1" customHeight="1" x14ac:dyDescent="0.25">
      <c r="B62" s="45" t="s">
        <v>107</v>
      </c>
      <c r="C62" s="50">
        <v>48</v>
      </c>
      <c r="D62" s="50">
        <v>16</v>
      </c>
      <c r="E62" s="50">
        <v>2</v>
      </c>
      <c r="F62" s="50">
        <v>10</v>
      </c>
      <c r="G62" s="50">
        <v>0</v>
      </c>
      <c r="H62" s="50">
        <v>0</v>
      </c>
      <c r="I62" s="50">
        <v>3</v>
      </c>
      <c r="J62" s="50">
        <v>2</v>
      </c>
      <c r="K62" s="50">
        <v>0</v>
      </c>
      <c r="L62" s="50">
        <v>0</v>
      </c>
      <c r="M62" s="50">
        <v>95</v>
      </c>
      <c r="N62" s="50">
        <v>0</v>
      </c>
      <c r="O62" s="15">
        <f t="shared" si="0"/>
        <v>81</v>
      </c>
      <c r="P62" s="15">
        <f t="shared" si="1"/>
        <v>176</v>
      </c>
      <c r="R62" s="8"/>
      <c r="T62"/>
    </row>
    <row r="63" spans="2:20" ht="23.1" customHeight="1" x14ac:dyDescent="0.25">
      <c r="B63" s="45" t="s">
        <v>108</v>
      </c>
      <c r="C63" s="50">
        <v>89</v>
      </c>
      <c r="D63" s="50">
        <v>31</v>
      </c>
      <c r="E63" s="50">
        <v>4</v>
      </c>
      <c r="F63" s="50">
        <v>30</v>
      </c>
      <c r="G63" s="50">
        <v>0</v>
      </c>
      <c r="H63" s="50">
        <v>0</v>
      </c>
      <c r="I63" s="50">
        <v>2</v>
      </c>
      <c r="J63" s="50">
        <v>2</v>
      </c>
      <c r="K63" s="50">
        <v>1</v>
      </c>
      <c r="L63" s="50">
        <v>0</v>
      </c>
      <c r="M63" s="50">
        <v>103</v>
      </c>
      <c r="N63" s="50">
        <v>0</v>
      </c>
      <c r="O63" s="15">
        <f t="shared" si="0"/>
        <v>159</v>
      </c>
      <c r="P63" s="15">
        <f t="shared" si="1"/>
        <v>262</v>
      </c>
      <c r="R63" s="8"/>
      <c r="T63"/>
    </row>
    <row r="64" spans="2:20" ht="23.1" customHeight="1" x14ac:dyDescent="0.25">
      <c r="B64" s="45" t="s">
        <v>109</v>
      </c>
      <c r="C64" s="50">
        <v>50</v>
      </c>
      <c r="D64" s="50">
        <v>18</v>
      </c>
      <c r="E64" s="50">
        <v>3</v>
      </c>
      <c r="F64" s="50">
        <v>8</v>
      </c>
      <c r="G64" s="50">
        <v>0</v>
      </c>
      <c r="H64" s="50">
        <v>0</v>
      </c>
      <c r="I64" s="50">
        <v>3</v>
      </c>
      <c r="J64" s="50">
        <v>0</v>
      </c>
      <c r="K64" s="50">
        <v>0</v>
      </c>
      <c r="L64" s="50">
        <v>0</v>
      </c>
      <c r="M64" s="50">
        <v>100</v>
      </c>
      <c r="N64" s="50">
        <v>0</v>
      </c>
      <c r="O64" s="15">
        <f t="shared" si="0"/>
        <v>82</v>
      </c>
      <c r="P64" s="15">
        <f t="shared" si="1"/>
        <v>182</v>
      </c>
      <c r="R64" s="8"/>
      <c r="T64"/>
    </row>
    <row r="65" spans="2:20" ht="23.1" customHeight="1" x14ac:dyDescent="0.25">
      <c r="B65" s="45" t="s">
        <v>158</v>
      </c>
      <c r="C65" s="50">
        <v>60</v>
      </c>
      <c r="D65" s="50">
        <v>22</v>
      </c>
      <c r="E65" s="50">
        <v>2</v>
      </c>
      <c r="F65" s="50">
        <v>19</v>
      </c>
      <c r="G65" s="50">
        <v>0</v>
      </c>
      <c r="H65" s="50">
        <v>0</v>
      </c>
      <c r="I65" s="50">
        <v>5</v>
      </c>
      <c r="J65" s="50">
        <v>0</v>
      </c>
      <c r="K65" s="50">
        <v>0</v>
      </c>
      <c r="L65" s="50">
        <v>0</v>
      </c>
      <c r="M65" s="50">
        <v>105</v>
      </c>
      <c r="N65" s="50">
        <v>0</v>
      </c>
      <c r="O65" s="15">
        <f t="shared" si="0"/>
        <v>108</v>
      </c>
      <c r="P65" s="15">
        <f t="shared" si="1"/>
        <v>213</v>
      </c>
      <c r="R65" s="8"/>
      <c r="T65"/>
    </row>
    <row r="66" spans="2:20" ht="23.1" customHeight="1" x14ac:dyDescent="0.25">
      <c r="B66" s="45" t="s">
        <v>103</v>
      </c>
      <c r="C66" s="50">
        <v>40</v>
      </c>
      <c r="D66" s="50">
        <v>24</v>
      </c>
      <c r="E66" s="50">
        <v>4</v>
      </c>
      <c r="F66" s="50">
        <v>29</v>
      </c>
      <c r="G66" s="50">
        <v>0</v>
      </c>
      <c r="H66" s="50">
        <v>0</v>
      </c>
      <c r="I66" s="50">
        <v>1</v>
      </c>
      <c r="J66" s="50">
        <v>0</v>
      </c>
      <c r="K66" s="50">
        <v>1</v>
      </c>
      <c r="L66" s="50">
        <v>0</v>
      </c>
      <c r="M66" s="50">
        <v>100</v>
      </c>
      <c r="N66" s="50">
        <v>0</v>
      </c>
      <c r="O66" s="15">
        <f t="shared" si="0"/>
        <v>99</v>
      </c>
      <c r="P66" s="15">
        <f t="shared" si="1"/>
        <v>199</v>
      </c>
      <c r="R66" s="8"/>
      <c r="T66"/>
    </row>
    <row r="67" spans="2:20" ht="23.1" customHeight="1" x14ac:dyDescent="0.25">
      <c r="B67" s="45" t="s">
        <v>104</v>
      </c>
      <c r="C67" s="50">
        <v>53</v>
      </c>
      <c r="D67" s="50">
        <v>29</v>
      </c>
      <c r="E67" s="50">
        <v>5</v>
      </c>
      <c r="F67" s="50">
        <v>17</v>
      </c>
      <c r="G67" s="50">
        <v>0</v>
      </c>
      <c r="H67" s="50">
        <v>0</v>
      </c>
      <c r="I67" s="50">
        <v>2</v>
      </c>
      <c r="J67" s="50">
        <v>2</v>
      </c>
      <c r="K67" s="50">
        <v>0</v>
      </c>
      <c r="L67" s="50">
        <v>1</v>
      </c>
      <c r="M67" s="50">
        <v>110</v>
      </c>
      <c r="N67" s="50">
        <v>0</v>
      </c>
      <c r="O67" s="15">
        <f t="shared" si="0"/>
        <v>109</v>
      </c>
      <c r="P67" s="15">
        <f t="shared" si="1"/>
        <v>219</v>
      </c>
      <c r="R67" s="8"/>
      <c r="T67"/>
    </row>
    <row r="68" spans="2:20" ht="23.1" customHeight="1" x14ac:dyDescent="0.25">
      <c r="B68" s="45" t="s">
        <v>105</v>
      </c>
      <c r="C68" s="50">
        <v>53</v>
      </c>
      <c r="D68" s="50">
        <v>27</v>
      </c>
      <c r="E68" s="50">
        <v>7</v>
      </c>
      <c r="F68" s="50">
        <v>14</v>
      </c>
      <c r="G68" s="50">
        <v>0</v>
      </c>
      <c r="H68" s="50">
        <v>0</v>
      </c>
      <c r="I68" s="50">
        <v>3</v>
      </c>
      <c r="J68" s="50">
        <v>0</v>
      </c>
      <c r="K68" s="50">
        <v>1</v>
      </c>
      <c r="L68" s="50">
        <v>0</v>
      </c>
      <c r="M68" s="50">
        <v>85</v>
      </c>
      <c r="N68" s="50">
        <v>0</v>
      </c>
      <c r="O68" s="15">
        <f t="shared" si="0"/>
        <v>105</v>
      </c>
      <c r="P68" s="15">
        <f t="shared" si="1"/>
        <v>190</v>
      </c>
      <c r="R68" s="8"/>
      <c r="T68"/>
    </row>
    <row r="69" spans="2:20" ht="23.1" customHeight="1" x14ac:dyDescent="0.25">
      <c r="B69" s="45" t="s">
        <v>106</v>
      </c>
      <c r="C69" s="50">
        <v>75</v>
      </c>
      <c r="D69" s="50">
        <v>30</v>
      </c>
      <c r="E69" s="50">
        <v>5</v>
      </c>
      <c r="F69" s="50">
        <v>20</v>
      </c>
      <c r="G69" s="50">
        <v>0</v>
      </c>
      <c r="H69" s="50">
        <v>0</v>
      </c>
      <c r="I69" s="50">
        <v>5</v>
      </c>
      <c r="J69" s="50">
        <v>2</v>
      </c>
      <c r="K69" s="50">
        <v>2</v>
      </c>
      <c r="L69" s="50">
        <v>2</v>
      </c>
      <c r="M69" s="50">
        <v>93</v>
      </c>
      <c r="N69" s="50">
        <v>0</v>
      </c>
      <c r="O69" s="15">
        <f t="shared" si="0"/>
        <v>141</v>
      </c>
      <c r="P69" s="15">
        <f t="shared" si="1"/>
        <v>234</v>
      </c>
      <c r="R69" s="8"/>
      <c r="T69"/>
    </row>
    <row r="70" spans="2:20" ht="23.1" customHeight="1" x14ac:dyDescent="0.25">
      <c r="B70" s="45" t="s">
        <v>110</v>
      </c>
      <c r="C70" s="50">
        <v>50</v>
      </c>
      <c r="D70" s="50">
        <v>38</v>
      </c>
      <c r="E70" s="50">
        <v>6</v>
      </c>
      <c r="F70" s="50">
        <v>22</v>
      </c>
      <c r="G70" s="50">
        <v>0</v>
      </c>
      <c r="H70" s="50">
        <v>0</v>
      </c>
      <c r="I70" s="50">
        <v>7</v>
      </c>
      <c r="J70" s="50">
        <v>0</v>
      </c>
      <c r="K70" s="50">
        <v>0</v>
      </c>
      <c r="L70" s="50">
        <v>1</v>
      </c>
      <c r="M70" s="50">
        <v>70</v>
      </c>
      <c r="N70" s="50">
        <v>0</v>
      </c>
      <c r="O70" s="15">
        <f t="shared" si="0"/>
        <v>124</v>
      </c>
      <c r="P70" s="15">
        <f t="shared" si="1"/>
        <v>194</v>
      </c>
      <c r="R70" s="8"/>
      <c r="T70"/>
    </row>
    <row r="71" spans="2:20" ht="23.1" customHeight="1" x14ac:dyDescent="0.25">
      <c r="B71" s="45" t="s">
        <v>111</v>
      </c>
      <c r="C71" s="50">
        <v>49</v>
      </c>
      <c r="D71" s="50">
        <v>42</v>
      </c>
      <c r="E71" s="50">
        <v>6</v>
      </c>
      <c r="F71" s="50">
        <v>16</v>
      </c>
      <c r="G71" s="50">
        <v>0</v>
      </c>
      <c r="H71" s="50">
        <v>0</v>
      </c>
      <c r="I71" s="50">
        <v>8</v>
      </c>
      <c r="J71" s="50">
        <v>0</v>
      </c>
      <c r="K71" s="50">
        <v>1</v>
      </c>
      <c r="L71" s="50">
        <v>0</v>
      </c>
      <c r="M71" s="50">
        <v>69</v>
      </c>
      <c r="N71" s="50">
        <v>0</v>
      </c>
      <c r="O71" s="15">
        <f t="shared" si="0"/>
        <v>122</v>
      </c>
      <c r="P71" s="15">
        <f t="shared" si="1"/>
        <v>191</v>
      </c>
      <c r="R71" s="8"/>
      <c r="T71"/>
    </row>
    <row r="72" spans="2:20" ht="23.1" customHeight="1" x14ac:dyDescent="0.25">
      <c r="B72" s="45" t="s">
        <v>112</v>
      </c>
      <c r="C72" s="50">
        <v>60</v>
      </c>
      <c r="D72" s="50">
        <v>37</v>
      </c>
      <c r="E72" s="50">
        <v>3</v>
      </c>
      <c r="F72" s="50">
        <v>17</v>
      </c>
      <c r="G72" s="50">
        <v>0</v>
      </c>
      <c r="H72" s="50">
        <v>0</v>
      </c>
      <c r="I72" s="50">
        <v>5</v>
      </c>
      <c r="J72" s="50">
        <v>1</v>
      </c>
      <c r="K72" s="50">
        <v>1</v>
      </c>
      <c r="L72" s="50">
        <v>0</v>
      </c>
      <c r="M72" s="50">
        <v>63</v>
      </c>
      <c r="N72" s="50">
        <v>0</v>
      </c>
      <c r="O72" s="15">
        <f t="shared" si="0"/>
        <v>124</v>
      </c>
      <c r="P72" s="15">
        <f t="shared" si="1"/>
        <v>187</v>
      </c>
      <c r="R72" s="8"/>
      <c r="T72"/>
    </row>
    <row r="73" spans="2:20" ht="23.1" customHeight="1" x14ac:dyDescent="0.25">
      <c r="B73" s="45" t="s">
        <v>113</v>
      </c>
      <c r="C73" s="50">
        <v>53</v>
      </c>
      <c r="D73" s="50">
        <v>51</v>
      </c>
      <c r="E73" s="50">
        <v>2</v>
      </c>
      <c r="F73" s="50">
        <v>16</v>
      </c>
      <c r="G73" s="50">
        <v>1</v>
      </c>
      <c r="H73" s="50">
        <v>0</v>
      </c>
      <c r="I73" s="50">
        <v>3</v>
      </c>
      <c r="J73" s="50">
        <v>2</v>
      </c>
      <c r="K73" s="50">
        <v>1</v>
      </c>
      <c r="L73" s="50">
        <v>0</v>
      </c>
      <c r="M73" s="50">
        <v>39</v>
      </c>
      <c r="N73" s="50">
        <v>0</v>
      </c>
      <c r="O73" s="15">
        <f t="shared" si="0"/>
        <v>129</v>
      </c>
      <c r="P73" s="15">
        <f t="shared" si="1"/>
        <v>168</v>
      </c>
      <c r="R73" s="8"/>
      <c r="T73"/>
    </row>
    <row r="74" spans="2:20" ht="23.1" customHeight="1" x14ac:dyDescent="0.25">
      <c r="B74" s="45" t="s">
        <v>114</v>
      </c>
      <c r="C74" s="50">
        <v>48</v>
      </c>
      <c r="D74" s="50">
        <v>38</v>
      </c>
      <c r="E74" s="50">
        <v>7</v>
      </c>
      <c r="F74" s="50">
        <v>11</v>
      </c>
      <c r="G74" s="50">
        <v>0</v>
      </c>
      <c r="H74" s="50">
        <v>0</v>
      </c>
      <c r="I74" s="50">
        <v>4</v>
      </c>
      <c r="J74" s="50">
        <v>0</v>
      </c>
      <c r="K74" s="50">
        <v>0</v>
      </c>
      <c r="L74" s="50">
        <v>0</v>
      </c>
      <c r="M74" s="50">
        <v>63</v>
      </c>
      <c r="N74" s="50">
        <v>0</v>
      </c>
      <c r="O74" s="15">
        <f t="shared" ref="O74:O105" si="35">SUM(C74:L74,N74)</f>
        <v>108</v>
      </c>
      <c r="P74" s="15">
        <f t="shared" ref="P74:P105" si="36">SUM(C74:N74)</f>
        <v>171</v>
      </c>
      <c r="R74" s="8"/>
      <c r="T74"/>
    </row>
    <row r="75" spans="2:20" ht="23.1" customHeight="1" x14ac:dyDescent="0.25">
      <c r="B75" s="45" t="s">
        <v>115</v>
      </c>
      <c r="C75" s="50">
        <v>39</v>
      </c>
      <c r="D75" s="50">
        <v>15</v>
      </c>
      <c r="E75" s="50">
        <v>3</v>
      </c>
      <c r="F75" s="50">
        <v>11</v>
      </c>
      <c r="G75" s="50">
        <v>0</v>
      </c>
      <c r="H75" s="50">
        <v>0</v>
      </c>
      <c r="I75" s="50">
        <v>1</v>
      </c>
      <c r="J75" s="50">
        <v>0</v>
      </c>
      <c r="K75" s="50">
        <v>1</v>
      </c>
      <c r="L75" s="50">
        <v>0</v>
      </c>
      <c r="M75" s="50">
        <v>34</v>
      </c>
      <c r="N75" s="50">
        <v>0</v>
      </c>
      <c r="O75" s="15">
        <f t="shared" si="35"/>
        <v>70</v>
      </c>
      <c r="P75" s="15">
        <f t="shared" si="36"/>
        <v>104</v>
      </c>
      <c r="R75" s="8"/>
      <c r="T75"/>
    </row>
    <row r="76" spans="2:20" ht="23.1" customHeight="1" x14ac:dyDescent="0.25">
      <c r="B76" s="45" t="s">
        <v>116</v>
      </c>
      <c r="C76" s="50">
        <v>42</v>
      </c>
      <c r="D76" s="50">
        <v>32</v>
      </c>
      <c r="E76" s="50">
        <v>8</v>
      </c>
      <c r="F76" s="50">
        <v>12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1</v>
      </c>
      <c r="M76" s="50">
        <v>49</v>
      </c>
      <c r="N76" s="50">
        <v>0</v>
      </c>
      <c r="O76" s="15">
        <f t="shared" si="35"/>
        <v>96</v>
      </c>
      <c r="P76" s="15">
        <f t="shared" si="36"/>
        <v>145</v>
      </c>
      <c r="R76" s="8"/>
      <c r="T76"/>
    </row>
    <row r="77" spans="2:20" ht="23.1" customHeight="1" x14ac:dyDescent="0.25">
      <c r="B77" s="45" t="s">
        <v>117</v>
      </c>
      <c r="C77" s="50">
        <v>27</v>
      </c>
      <c r="D77" s="50">
        <v>11</v>
      </c>
      <c r="E77" s="50">
        <v>3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39</v>
      </c>
      <c r="N77" s="50">
        <v>0</v>
      </c>
      <c r="O77" s="15">
        <f t="shared" si="35"/>
        <v>41</v>
      </c>
      <c r="P77" s="15">
        <f t="shared" si="36"/>
        <v>80</v>
      </c>
      <c r="R77" s="8"/>
      <c r="T77"/>
    </row>
    <row r="78" spans="2:20" ht="23.1" customHeight="1" x14ac:dyDescent="0.25">
      <c r="B78" s="46" t="s">
        <v>118</v>
      </c>
      <c r="C78" s="50">
        <v>42</v>
      </c>
      <c r="D78" s="50">
        <v>19</v>
      </c>
      <c r="E78" s="50">
        <v>2</v>
      </c>
      <c r="F78" s="50">
        <v>19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52</v>
      </c>
      <c r="N78" s="50">
        <v>0</v>
      </c>
      <c r="O78" s="15">
        <f t="shared" si="35"/>
        <v>83</v>
      </c>
      <c r="P78" s="15">
        <f t="shared" si="36"/>
        <v>135</v>
      </c>
      <c r="R78" s="8"/>
      <c r="T78"/>
    </row>
    <row r="79" spans="2:20" ht="23.1" customHeight="1" x14ac:dyDescent="0.25">
      <c r="B79" s="45" t="s">
        <v>119</v>
      </c>
      <c r="C79" s="50">
        <v>21</v>
      </c>
      <c r="D79" s="50">
        <v>7</v>
      </c>
      <c r="E79" s="50">
        <v>1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18</v>
      </c>
      <c r="N79" s="50">
        <v>0</v>
      </c>
      <c r="O79" s="15">
        <f t="shared" si="35"/>
        <v>31</v>
      </c>
      <c r="P79" s="15">
        <f t="shared" si="36"/>
        <v>49</v>
      </c>
      <c r="R79" s="8"/>
      <c r="T79"/>
    </row>
    <row r="80" spans="2:20" ht="23.1" customHeight="1" x14ac:dyDescent="0.25">
      <c r="B80" s="47" t="s">
        <v>120</v>
      </c>
      <c r="C80" s="50">
        <v>39</v>
      </c>
      <c r="D80" s="50">
        <v>17</v>
      </c>
      <c r="E80" s="50">
        <v>3</v>
      </c>
      <c r="F80" s="50">
        <v>9</v>
      </c>
      <c r="G80" s="50">
        <v>0</v>
      </c>
      <c r="H80" s="50">
        <v>0</v>
      </c>
      <c r="I80" s="50">
        <v>3</v>
      </c>
      <c r="J80" s="50">
        <v>0</v>
      </c>
      <c r="K80" s="50">
        <v>0</v>
      </c>
      <c r="L80" s="50">
        <v>1</v>
      </c>
      <c r="M80" s="50">
        <v>26</v>
      </c>
      <c r="N80" s="50">
        <v>0</v>
      </c>
      <c r="O80" s="15">
        <f t="shared" si="35"/>
        <v>72</v>
      </c>
      <c r="P80" s="15">
        <f t="shared" si="36"/>
        <v>98</v>
      </c>
      <c r="R80" s="8"/>
      <c r="T80"/>
    </row>
    <row r="81" spans="2:20" ht="23.1" customHeight="1" x14ac:dyDescent="0.25">
      <c r="B81" s="45" t="s">
        <v>121</v>
      </c>
      <c r="C81" s="50">
        <v>32</v>
      </c>
      <c r="D81" s="50">
        <v>11</v>
      </c>
      <c r="E81" s="50">
        <v>2</v>
      </c>
      <c r="F81" s="50">
        <v>3</v>
      </c>
      <c r="G81" s="50">
        <v>0</v>
      </c>
      <c r="H81" s="50">
        <v>0</v>
      </c>
      <c r="I81" s="50">
        <v>2</v>
      </c>
      <c r="J81" s="50">
        <v>1</v>
      </c>
      <c r="K81" s="50">
        <v>0</v>
      </c>
      <c r="L81" s="50">
        <v>0</v>
      </c>
      <c r="M81" s="50">
        <v>33</v>
      </c>
      <c r="N81" s="50">
        <v>0</v>
      </c>
      <c r="O81" s="15">
        <f t="shared" si="35"/>
        <v>51</v>
      </c>
      <c r="P81" s="15">
        <f t="shared" si="36"/>
        <v>84</v>
      </c>
      <c r="R81" s="8"/>
      <c r="T81"/>
    </row>
    <row r="82" spans="2:20" ht="23.1" customHeight="1" x14ac:dyDescent="0.25">
      <c r="B82" s="46" t="s">
        <v>122</v>
      </c>
      <c r="C82" s="50">
        <v>33</v>
      </c>
      <c r="D82" s="50">
        <v>7</v>
      </c>
      <c r="E82" s="50">
        <v>1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22</v>
      </c>
      <c r="N82" s="50">
        <v>0</v>
      </c>
      <c r="O82" s="15">
        <f t="shared" si="35"/>
        <v>42</v>
      </c>
      <c r="P82" s="15">
        <f t="shared" si="36"/>
        <v>64</v>
      </c>
      <c r="R82" s="8"/>
      <c r="T82"/>
    </row>
    <row r="83" spans="2:20" ht="23.1" customHeight="1" x14ac:dyDescent="0.25">
      <c r="B83" s="45" t="s">
        <v>123</v>
      </c>
      <c r="C83" s="50">
        <v>22</v>
      </c>
      <c r="D83" s="50">
        <v>7</v>
      </c>
      <c r="E83" s="50">
        <v>0</v>
      </c>
      <c r="F83" s="50">
        <v>2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1</v>
      </c>
      <c r="M83" s="50">
        <v>29</v>
      </c>
      <c r="N83" s="50">
        <v>0</v>
      </c>
      <c r="O83" s="15">
        <f t="shared" si="35"/>
        <v>32</v>
      </c>
      <c r="P83" s="15">
        <f t="shared" si="36"/>
        <v>61</v>
      </c>
      <c r="R83" s="8"/>
      <c r="T83"/>
    </row>
    <row r="84" spans="2:20" ht="23.1" customHeight="1" x14ac:dyDescent="0.25">
      <c r="B84" s="47" t="s">
        <v>124</v>
      </c>
      <c r="C84" s="50">
        <v>21</v>
      </c>
      <c r="D84" s="50">
        <v>6</v>
      </c>
      <c r="E84" s="50">
        <v>0</v>
      </c>
      <c r="F84" s="50">
        <v>2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39</v>
      </c>
      <c r="N84" s="50">
        <v>0</v>
      </c>
      <c r="O84" s="15">
        <f t="shared" si="35"/>
        <v>29</v>
      </c>
      <c r="P84" s="15">
        <f t="shared" si="36"/>
        <v>68</v>
      </c>
      <c r="R84" s="8"/>
      <c r="T84"/>
    </row>
    <row r="85" spans="2:20" ht="23.1" customHeight="1" x14ac:dyDescent="0.25">
      <c r="B85" s="45" t="s">
        <v>125</v>
      </c>
      <c r="C85" s="50">
        <v>16</v>
      </c>
      <c r="D85" s="50">
        <v>2</v>
      </c>
      <c r="E85" s="50">
        <v>0</v>
      </c>
      <c r="F85" s="50">
        <v>3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21</v>
      </c>
      <c r="N85" s="50">
        <v>0</v>
      </c>
      <c r="O85" s="15">
        <f t="shared" si="35"/>
        <v>22</v>
      </c>
      <c r="P85" s="15">
        <f t="shared" si="36"/>
        <v>43</v>
      </c>
      <c r="R85" s="8"/>
      <c r="T85"/>
    </row>
    <row r="86" spans="2:20" ht="23.1" customHeight="1" x14ac:dyDescent="0.25">
      <c r="B86" s="46" t="s">
        <v>126</v>
      </c>
      <c r="C86" s="50">
        <v>13</v>
      </c>
      <c r="D86" s="50">
        <v>3</v>
      </c>
      <c r="E86" s="50">
        <v>1</v>
      </c>
      <c r="F86" s="50">
        <v>0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v>0</v>
      </c>
      <c r="M86" s="50">
        <v>17</v>
      </c>
      <c r="N86" s="50">
        <v>0</v>
      </c>
      <c r="O86" s="15">
        <f t="shared" si="35"/>
        <v>19</v>
      </c>
      <c r="P86" s="15">
        <f t="shared" si="36"/>
        <v>36</v>
      </c>
      <c r="R86" s="8"/>
      <c r="T86"/>
    </row>
    <row r="87" spans="2:20" ht="23.1" customHeight="1" x14ac:dyDescent="0.25">
      <c r="B87" s="45" t="s">
        <v>127</v>
      </c>
      <c r="C87" s="50">
        <v>20</v>
      </c>
      <c r="D87" s="50">
        <v>4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23</v>
      </c>
      <c r="N87" s="50">
        <v>0</v>
      </c>
      <c r="O87" s="15">
        <f t="shared" si="35"/>
        <v>25</v>
      </c>
      <c r="P87" s="15">
        <f t="shared" si="36"/>
        <v>48</v>
      </c>
      <c r="R87" s="8"/>
      <c r="T87"/>
    </row>
    <row r="88" spans="2:20" ht="23.1" customHeight="1" x14ac:dyDescent="0.25">
      <c r="B88" s="47" t="s">
        <v>128</v>
      </c>
      <c r="C88" s="50">
        <v>8</v>
      </c>
      <c r="D88" s="50">
        <v>0</v>
      </c>
      <c r="E88" s="50">
        <v>3</v>
      </c>
      <c r="F88" s="50">
        <v>0</v>
      </c>
      <c r="G88" s="50">
        <v>0</v>
      </c>
      <c r="H88" s="50">
        <v>0</v>
      </c>
      <c r="I88" s="50">
        <v>0</v>
      </c>
      <c r="J88" s="50">
        <v>2</v>
      </c>
      <c r="K88" s="50">
        <v>0</v>
      </c>
      <c r="L88" s="50">
        <v>0</v>
      </c>
      <c r="M88" s="50">
        <v>14</v>
      </c>
      <c r="N88" s="50">
        <v>0</v>
      </c>
      <c r="O88" s="15">
        <f t="shared" si="35"/>
        <v>13</v>
      </c>
      <c r="P88" s="15">
        <f t="shared" si="36"/>
        <v>27</v>
      </c>
      <c r="R88" s="8"/>
      <c r="T88"/>
    </row>
    <row r="89" spans="2:20" ht="23.1" customHeight="1" x14ac:dyDescent="0.25">
      <c r="B89" s="45" t="s">
        <v>129</v>
      </c>
      <c r="C89" s="50">
        <v>12</v>
      </c>
      <c r="D89" s="50">
        <v>3</v>
      </c>
      <c r="E89" s="50">
        <v>1</v>
      </c>
      <c r="F89" s="50">
        <v>0</v>
      </c>
      <c r="G89" s="50">
        <v>0</v>
      </c>
      <c r="H89" s="50">
        <v>0</v>
      </c>
      <c r="I89" s="50">
        <v>1</v>
      </c>
      <c r="J89" s="50">
        <v>2</v>
      </c>
      <c r="K89" s="50">
        <v>0</v>
      </c>
      <c r="L89" s="50">
        <v>0</v>
      </c>
      <c r="M89" s="50">
        <v>33</v>
      </c>
      <c r="N89" s="50">
        <v>0</v>
      </c>
      <c r="O89" s="15">
        <f t="shared" si="35"/>
        <v>19</v>
      </c>
      <c r="P89" s="15">
        <f t="shared" si="36"/>
        <v>52</v>
      </c>
      <c r="R89" s="8"/>
      <c r="T89"/>
    </row>
    <row r="90" spans="2:20" ht="23.1" customHeight="1" x14ac:dyDescent="0.25">
      <c r="B90" s="46" t="s">
        <v>130</v>
      </c>
      <c r="C90" s="50">
        <v>6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2</v>
      </c>
      <c r="M90" s="50">
        <v>12</v>
      </c>
      <c r="N90" s="50">
        <v>0</v>
      </c>
      <c r="O90" s="15">
        <f t="shared" si="35"/>
        <v>9</v>
      </c>
      <c r="P90" s="15">
        <f t="shared" si="36"/>
        <v>21</v>
      </c>
      <c r="R90" s="8"/>
      <c r="T90"/>
    </row>
    <row r="91" spans="2:20" ht="23.1" customHeight="1" x14ac:dyDescent="0.25">
      <c r="B91" s="45" t="s">
        <v>131</v>
      </c>
      <c r="C91" s="50">
        <v>9</v>
      </c>
      <c r="D91" s="50">
        <v>0</v>
      </c>
      <c r="E91" s="50">
        <v>2</v>
      </c>
      <c r="F91" s="50">
        <v>0</v>
      </c>
      <c r="G91" s="50">
        <v>0</v>
      </c>
      <c r="H91" s="50">
        <v>0</v>
      </c>
      <c r="I91" s="50">
        <v>3</v>
      </c>
      <c r="J91" s="50">
        <v>0</v>
      </c>
      <c r="K91" s="50">
        <v>0</v>
      </c>
      <c r="L91" s="50">
        <v>0</v>
      </c>
      <c r="M91" s="50">
        <v>15</v>
      </c>
      <c r="N91" s="50">
        <v>0</v>
      </c>
      <c r="O91" s="15">
        <f t="shared" si="35"/>
        <v>14</v>
      </c>
      <c r="P91" s="15">
        <f t="shared" si="36"/>
        <v>29</v>
      </c>
      <c r="R91" s="8"/>
      <c r="T91"/>
    </row>
    <row r="92" spans="2:20" ht="23.1" customHeight="1" x14ac:dyDescent="0.25">
      <c r="B92" s="47" t="s">
        <v>132</v>
      </c>
      <c r="C92" s="50">
        <v>5</v>
      </c>
      <c r="D92" s="50">
        <v>1</v>
      </c>
      <c r="E92" s="50">
        <v>3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9</v>
      </c>
      <c r="N92" s="50">
        <v>0</v>
      </c>
      <c r="O92" s="15">
        <f t="shared" si="35"/>
        <v>10</v>
      </c>
      <c r="P92" s="15">
        <f t="shared" si="36"/>
        <v>19</v>
      </c>
      <c r="R92" s="8"/>
      <c r="T92"/>
    </row>
    <row r="93" spans="2:20" ht="23.1" customHeight="1" x14ac:dyDescent="0.25">
      <c r="B93" s="45" t="s">
        <v>133</v>
      </c>
      <c r="C93" s="50">
        <v>15</v>
      </c>
      <c r="D93" s="50">
        <v>0</v>
      </c>
      <c r="E93" s="50">
        <v>0</v>
      </c>
      <c r="F93" s="50">
        <v>0</v>
      </c>
      <c r="G93" s="50">
        <v>1</v>
      </c>
      <c r="H93" s="50">
        <v>0</v>
      </c>
      <c r="I93" s="50">
        <v>0</v>
      </c>
      <c r="J93" s="50">
        <v>0</v>
      </c>
      <c r="K93" s="50">
        <v>2</v>
      </c>
      <c r="L93" s="50">
        <v>0</v>
      </c>
      <c r="M93" s="50">
        <v>21</v>
      </c>
      <c r="N93" s="50">
        <v>0</v>
      </c>
      <c r="O93" s="15">
        <f t="shared" si="35"/>
        <v>18</v>
      </c>
      <c r="P93" s="15">
        <f t="shared" si="36"/>
        <v>39</v>
      </c>
      <c r="R93" s="8"/>
      <c r="T93"/>
    </row>
    <row r="94" spans="2:20" ht="23.1" customHeight="1" x14ac:dyDescent="0.25">
      <c r="B94" s="46" t="s">
        <v>134</v>
      </c>
      <c r="C94" s="50">
        <v>5</v>
      </c>
      <c r="D94" s="50">
        <v>1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2</v>
      </c>
      <c r="M94" s="50">
        <v>13</v>
      </c>
      <c r="N94" s="50">
        <v>0</v>
      </c>
      <c r="O94" s="15">
        <f t="shared" si="35"/>
        <v>9</v>
      </c>
      <c r="P94" s="15">
        <f t="shared" si="36"/>
        <v>22</v>
      </c>
      <c r="R94" s="8"/>
      <c r="T94"/>
    </row>
    <row r="95" spans="2:20" ht="23.1" customHeight="1" x14ac:dyDescent="0.25">
      <c r="B95" s="45" t="s">
        <v>135</v>
      </c>
      <c r="C95" s="50">
        <v>8</v>
      </c>
      <c r="D95" s="50">
        <v>0</v>
      </c>
      <c r="E95" s="50">
        <v>3</v>
      </c>
      <c r="F95" s="50">
        <v>0</v>
      </c>
      <c r="G95" s="50">
        <v>0</v>
      </c>
      <c r="H95" s="50">
        <v>0</v>
      </c>
      <c r="I95" s="50">
        <v>0</v>
      </c>
      <c r="J95" s="50">
        <v>3</v>
      </c>
      <c r="K95" s="50">
        <v>0</v>
      </c>
      <c r="L95" s="50">
        <v>0</v>
      </c>
      <c r="M95" s="50">
        <v>14</v>
      </c>
      <c r="N95" s="50">
        <v>0</v>
      </c>
      <c r="O95" s="15">
        <f t="shared" si="35"/>
        <v>14</v>
      </c>
      <c r="P95" s="15">
        <f t="shared" si="36"/>
        <v>28</v>
      </c>
      <c r="R95" s="8"/>
      <c r="T95"/>
    </row>
    <row r="96" spans="2:20" ht="23.1" customHeight="1" x14ac:dyDescent="0.25">
      <c r="B96" s="47" t="s">
        <v>136</v>
      </c>
      <c r="C96" s="50">
        <v>10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2</v>
      </c>
      <c r="M96" s="50">
        <v>12</v>
      </c>
      <c r="N96" s="50">
        <v>0</v>
      </c>
      <c r="O96" s="15">
        <f t="shared" si="35"/>
        <v>13</v>
      </c>
      <c r="P96" s="15">
        <f t="shared" si="36"/>
        <v>25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2</v>
      </c>
      <c r="F97" s="50">
        <v>0</v>
      </c>
      <c r="G97" s="50">
        <v>0</v>
      </c>
      <c r="H97" s="50">
        <v>0</v>
      </c>
      <c r="I97" s="50">
        <v>0</v>
      </c>
      <c r="J97" s="50">
        <v>2</v>
      </c>
      <c r="K97" s="50">
        <v>0</v>
      </c>
      <c r="L97" s="50">
        <v>1</v>
      </c>
      <c r="M97" s="50">
        <v>22</v>
      </c>
      <c r="N97" s="50">
        <v>0</v>
      </c>
      <c r="O97" s="15">
        <f t="shared" si="35"/>
        <v>9</v>
      </c>
      <c r="P97" s="15">
        <f t="shared" si="36"/>
        <v>31</v>
      </c>
      <c r="R97" s="8"/>
      <c r="T97"/>
    </row>
    <row r="98" spans="2:20" ht="23.1" customHeight="1" x14ac:dyDescent="0.25">
      <c r="B98" s="46" t="s">
        <v>138</v>
      </c>
      <c r="C98" s="50">
        <v>10</v>
      </c>
      <c r="D98" s="50">
        <v>3</v>
      </c>
      <c r="E98" s="50">
        <v>2</v>
      </c>
      <c r="F98" s="50">
        <v>0</v>
      </c>
      <c r="G98" s="50">
        <v>1</v>
      </c>
      <c r="H98" s="50">
        <v>0</v>
      </c>
      <c r="I98" s="50">
        <v>0</v>
      </c>
      <c r="J98" s="50">
        <v>0</v>
      </c>
      <c r="K98" s="50">
        <v>1</v>
      </c>
      <c r="L98" s="50">
        <v>0</v>
      </c>
      <c r="M98" s="50">
        <v>24</v>
      </c>
      <c r="N98" s="50">
        <v>0</v>
      </c>
      <c r="O98" s="15">
        <f t="shared" si="35"/>
        <v>17</v>
      </c>
      <c r="P98" s="15">
        <f t="shared" si="36"/>
        <v>41</v>
      </c>
      <c r="R98" s="8"/>
      <c r="T98"/>
    </row>
    <row r="99" spans="2:20" ht="23.1" customHeight="1" x14ac:dyDescent="0.25">
      <c r="B99" s="45" t="s">
        <v>139</v>
      </c>
      <c r="C99" s="50">
        <v>6</v>
      </c>
      <c r="D99" s="50">
        <v>0</v>
      </c>
      <c r="E99" s="50">
        <v>4</v>
      </c>
      <c r="F99" s="50">
        <v>0</v>
      </c>
      <c r="G99" s="50">
        <v>0</v>
      </c>
      <c r="H99" s="50">
        <v>0</v>
      </c>
      <c r="I99" s="50">
        <v>2</v>
      </c>
      <c r="J99" s="50">
        <v>0</v>
      </c>
      <c r="K99" s="50">
        <v>0</v>
      </c>
      <c r="L99" s="50">
        <v>3</v>
      </c>
      <c r="M99" s="50">
        <v>17</v>
      </c>
      <c r="N99" s="50">
        <v>0</v>
      </c>
      <c r="O99" s="15">
        <f t="shared" si="35"/>
        <v>15</v>
      </c>
      <c r="P99" s="15">
        <f t="shared" si="36"/>
        <v>32</v>
      </c>
      <c r="R99" s="8"/>
      <c r="T99"/>
    </row>
    <row r="100" spans="2:20" ht="23.1" customHeight="1" x14ac:dyDescent="0.25">
      <c r="B100" s="47" t="s">
        <v>140</v>
      </c>
      <c r="C100" s="50">
        <v>14</v>
      </c>
      <c r="D100" s="50">
        <v>1</v>
      </c>
      <c r="E100" s="50">
        <v>1</v>
      </c>
      <c r="F100" s="50">
        <v>2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29</v>
      </c>
      <c r="N100" s="50">
        <v>0</v>
      </c>
      <c r="O100" s="15">
        <f t="shared" si="35"/>
        <v>19</v>
      </c>
      <c r="P100" s="15">
        <f t="shared" si="36"/>
        <v>48</v>
      </c>
      <c r="R100" s="8"/>
      <c r="T100"/>
    </row>
    <row r="101" spans="2:20" ht="23.1" customHeight="1" x14ac:dyDescent="0.25">
      <c r="B101" s="45" t="s">
        <v>141</v>
      </c>
      <c r="C101" s="50">
        <v>8</v>
      </c>
      <c r="D101" s="50">
        <v>0</v>
      </c>
      <c r="E101" s="50">
        <v>1</v>
      </c>
      <c r="F101" s="50">
        <v>3</v>
      </c>
      <c r="G101" s="50">
        <v>0</v>
      </c>
      <c r="H101" s="50">
        <v>0</v>
      </c>
      <c r="I101" s="50">
        <v>0</v>
      </c>
      <c r="J101" s="50">
        <v>2</v>
      </c>
      <c r="K101" s="50">
        <v>0</v>
      </c>
      <c r="L101" s="50">
        <v>0</v>
      </c>
      <c r="M101" s="50">
        <v>20</v>
      </c>
      <c r="N101" s="50">
        <v>0</v>
      </c>
      <c r="O101" s="15">
        <f t="shared" si="35"/>
        <v>14</v>
      </c>
      <c r="P101" s="15">
        <f t="shared" si="36"/>
        <v>34</v>
      </c>
      <c r="R101" s="8"/>
      <c r="T101"/>
    </row>
    <row r="102" spans="2:20" ht="23.1" customHeight="1" x14ac:dyDescent="0.25">
      <c r="B102" s="46" t="s">
        <v>142</v>
      </c>
      <c r="C102" s="50">
        <v>9</v>
      </c>
      <c r="D102" s="50">
        <v>2</v>
      </c>
      <c r="E102" s="50">
        <v>0</v>
      </c>
      <c r="F102" s="50">
        <v>7</v>
      </c>
      <c r="G102" s="50">
        <v>0</v>
      </c>
      <c r="H102" s="50">
        <v>0</v>
      </c>
      <c r="I102" s="50">
        <v>0</v>
      </c>
      <c r="J102" s="50">
        <v>0</v>
      </c>
      <c r="K102" s="50">
        <v>3</v>
      </c>
      <c r="L102" s="50">
        <v>0</v>
      </c>
      <c r="M102" s="50">
        <v>19</v>
      </c>
      <c r="N102" s="50">
        <v>0</v>
      </c>
      <c r="O102" s="15">
        <f t="shared" si="35"/>
        <v>21</v>
      </c>
      <c r="P102" s="15">
        <f t="shared" si="36"/>
        <v>40</v>
      </c>
      <c r="R102" s="8"/>
      <c r="T102"/>
    </row>
    <row r="103" spans="2:20" ht="23.1" customHeight="1" x14ac:dyDescent="0.25">
      <c r="B103" s="45" t="s">
        <v>143</v>
      </c>
      <c r="C103" s="50">
        <v>7</v>
      </c>
      <c r="D103" s="50">
        <v>1</v>
      </c>
      <c r="E103" s="50">
        <v>2</v>
      </c>
      <c r="F103" s="50">
        <v>0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14</v>
      </c>
      <c r="N103" s="50">
        <v>0</v>
      </c>
      <c r="O103" s="15">
        <f t="shared" si="35"/>
        <v>11</v>
      </c>
      <c r="P103" s="15">
        <f t="shared" si="36"/>
        <v>25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2</v>
      </c>
      <c r="E104" s="50">
        <v>0</v>
      </c>
      <c r="F104" s="50">
        <v>1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6</v>
      </c>
      <c r="N104" s="50">
        <v>0</v>
      </c>
      <c r="O104" s="15">
        <f t="shared" si="35"/>
        <v>12</v>
      </c>
      <c r="P104" s="15">
        <f t="shared" si="36"/>
        <v>18</v>
      </c>
      <c r="R104" s="8"/>
      <c r="T104"/>
    </row>
    <row r="105" spans="2:20" ht="23.1" customHeight="1" x14ac:dyDescent="0.25">
      <c r="B105" s="45" t="s">
        <v>145</v>
      </c>
      <c r="C105" s="50">
        <v>7</v>
      </c>
      <c r="D105" s="50">
        <v>2</v>
      </c>
      <c r="E105" s="50">
        <v>0</v>
      </c>
      <c r="F105" s="50">
        <v>4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9</v>
      </c>
      <c r="N105" s="50">
        <v>0</v>
      </c>
      <c r="O105" s="15">
        <f t="shared" si="35"/>
        <v>14</v>
      </c>
      <c r="P105" s="15">
        <f t="shared" si="36"/>
        <v>23</v>
      </c>
      <c r="R105" s="8"/>
      <c r="T105"/>
    </row>
    <row r="106" spans="2:20" ht="23.1" customHeight="1" x14ac:dyDescent="0.25">
      <c r="B106" s="26" t="s">
        <v>18</v>
      </c>
      <c r="C106" s="16" t="s">
        <v>177</v>
      </c>
      <c r="D106" s="16">
        <f t="shared" ref="D106:P106" si="37">SUM(D10:D105)</f>
        <v>1615</v>
      </c>
      <c r="E106" s="16">
        <f t="shared" si="37"/>
        <v>408</v>
      </c>
      <c r="F106" s="16">
        <f t="shared" si="37"/>
        <v>1246</v>
      </c>
      <c r="G106" s="16">
        <f t="shared" si="37"/>
        <v>10</v>
      </c>
      <c r="H106" s="16">
        <f t="shared" si="37"/>
        <v>1</v>
      </c>
      <c r="I106" s="16">
        <f t="shared" si="37"/>
        <v>264</v>
      </c>
      <c r="J106" s="16">
        <f t="shared" si="37"/>
        <v>100</v>
      </c>
      <c r="K106" s="16">
        <f t="shared" si="37"/>
        <v>89</v>
      </c>
      <c r="L106" s="16">
        <f t="shared" si="37"/>
        <v>19</v>
      </c>
      <c r="M106" s="16">
        <f t="shared" si="37"/>
        <v>6334</v>
      </c>
      <c r="N106" s="16">
        <f t="shared" si="37"/>
        <v>1</v>
      </c>
      <c r="O106" s="16">
        <f t="shared" si="37"/>
        <v>7504</v>
      </c>
      <c r="P106" s="16">
        <f t="shared" si="37"/>
        <v>13838</v>
      </c>
      <c r="R106" s="8"/>
      <c r="T106"/>
    </row>
    <row r="107" spans="2:20" ht="23.1" customHeight="1" x14ac:dyDescent="0.25">
      <c r="B107" s="26" t="s">
        <v>93</v>
      </c>
      <c r="C107" s="43" t="e">
        <f t="shared" ref="C107:N107" si="38">C106/$P$106</f>
        <v>#VALUE!</v>
      </c>
      <c r="D107" s="43">
        <f t="shared" si="38"/>
        <v>0.1167076167076167</v>
      </c>
      <c r="E107" s="43">
        <f t="shared" si="38"/>
        <v>2.9484029484029485E-2</v>
      </c>
      <c r="F107" s="43">
        <f t="shared" si="38"/>
        <v>9.0041913571325335E-2</v>
      </c>
      <c r="G107" s="43">
        <f t="shared" si="38"/>
        <v>7.2264778147131093E-4</v>
      </c>
      <c r="H107" s="43">
        <f t="shared" si="38"/>
        <v>7.2264778147131093E-5</v>
      </c>
      <c r="I107" s="43">
        <f t="shared" si="38"/>
        <v>1.9077901430842606E-2</v>
      </c>
      <c r="J107" s="43">
        <f t="shared" si="38"/>
        <v>7.2264778147131089E-3</v>
      </c>
      <c r="K107" s="43">
        <f t="shared" si="38"/>
        <v>6.4315652550946669E-3</v>
      </c>
      <c r="L107" s="43">
        <f t="shared" si="38"/>
        <v>1.3730307847954907E-3</v>
      </c>
      <c r="M107" s="43">
        <f t="shared" si="38"/>
        <v>0.4577251047839283</v>
      </c>
      <c r="N107" s="43">
        <f t="shared" si="38"/>
        <v>7.2264778147131093E-5</v>
      </c>
      <c r="R107" s="8"/>
      <c r="T107"/>
    </row>
    <row r="108" spans="2:20" ht="23.1" customHeight="1" x14ac:dyDescent="0.25">
      <c r="B108" s="42" t="s">
        <v>94</v>
      </c>
      <c r="C108" s="44" t="e">
        <f>C106/$O$106</f>
        <v>#VALUE!</v>
      </c>
      <c r="D108" s="44">
        <f t="shared" ref="D108:N108" si="39">D106/$O$106</f>
        <v>0.21521855010660981</v>
      </c>
      <c r="E108" s="44">
        <f t="shared" si="39"/>
        <v>5.4371002132196165E-2</v>
      </c>
      <c r="F108" s="44">
        <f t="shared" si="39"/>
        <v>0.16604477611940299</v>
      </c>
      <c r="G108" s="44">
        <f t="shared" si="39"/>
        <v>1.3326226012793177E-3</v>
      </c>
      <c r="H108" s="44">
        <f t="shared" si="39"/>
        <v>1.3326226012793177E-4</v>
      </c>
      <c r="I108" s="44">
        <f t="shared" si="39"/>
        <v>3.5181236673773986E-2</v>
      </c>
      <c r="J108" s="44">
        <f t="shared" si="39"/>
        <v>1.3326226012793176E-2</v>
      </c>
      <c r="K108" s="44">
        <f t="shared" si="39"/>
        <v>1.1860341151385928E-2</v>
      </c>
      <c r="L108" s="44">
        <f t="shared" si="39"/>
        <v>2.5319829424307037E-3</v>
      </c>
      <c r="M108" s="44"/>
      <c r="N108" s="44">
        <f t="shared" si="39"/>
        <v>1.3326226012793177E-4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Kyanja -Kisaasi'!C3:G3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6" t="str">
        <f>'03.08 Kisaasi-Kyanja-24h'!G5:H5</f>
        <v>Malcom Health center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Kyanja -Kisaasi'!D6:E6</f>
        <v>Kyanja</v>
      </c>
      <c r="E6" s="67"/>
      <c r="F6" s="2" t="s">
        <v>2</v>
      </c>
      <c r="G6" s="66" t="str">
        <f>'29.07 Kyanja -Kisaasi'!G6:H6</f>
        <v>Kisaasi</v>
      </c>
      <c r="H6" s="67"/>
      <c r="J6" s="2" t="s">
        <v>21</v>
      </c>
      <c r="K6" s="66" t="s">
        <v>164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31</v>
      </c>
      <c r="D10" s="50">
        <v>6</v>
      </c>
      <c r="E10" s="50">
        <v>18</v>
      </c>
      <c r="F10" s="50">
        <v>18</v>
      </c>
      <c r="G10" s="50">
        <v>1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83</v>
      </c>
      <c r="N10" s="50">
        <v>0</v>
      </c>
      <c r="O10" s="15">
        <f t="shared" ref="O10:O57" si="0">SUM(C10:L10,N10)</f>
        <v>75</v>
      </c>
      <c r="P10" s="15">
        <f t="shared" ref="P10:P57" si="1">SUM(C10:N10)</f>
        <v>158</v>
      </c>
      <c r="R10" s="1" t="s">
        <v>6</v>
      </c>
      <c r="S10" s="17">
        <f t="shared" ref="S10:AF10" si="2">SUM(C10:C13)</f>
        <v>118</v>
      </c>
      <c r="T10" s="17">
        <f t="shared" si="2"/>
        <v>33</v>
      </c>
      <c r="U10" s="17">
        <f t="shared" si="2"/>
        <v>39</v>
      </c>
      <c r="V10" s="17">
        <f t="shared" si="2"/>
        <v>66</v>
      </c>
      <c r="W10" s="17">
        <f t="shared" si="2"/>
        <v>2</v>
      </c>
      <c r="X10" s="17">
        <f t="shared" si="2"/>
        <v>0</v>
      </c>
      <c r="Y10" s="17">
        <f t="shared" si="2"/>
        <v>7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324</v>
      </c>
      <c r="AD10" s="17">
        <f t="shared" si="2"/>
        <v>0</v>
      </c>
      <c r="AE10" s="31">
        <f t="shared" si="2"/>
        <v>266</v>
      </c>
      <c r="AF10" s="31">
        <f t="shared" si="2"/>
        <v>590</v>
      </c>
    </row>
    <row r="11" spans="2:32" s="6" customFormat="1" ht="23.1" customHeight="1" x14ac:dyDescent="0.25">
      <c r="B11" s="23" t="s">
        <v>38</v>
      </c>
      <c r="C11" s="50">
        <v>17</v>
      </c>
      <c r="D11" s="50">
        <v>6</v>
      </c>
      <c r="E11" s="50">
        <v>6</v>
      </c>
      <c r="F11" s="50">
        <v>17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81</v>
      </c>
      <c r="N11" s="50">
        <v>0</v>
      </c>
      <c r="O11" s="15">
        <f t="shared" si="0"/>
        <v>48</v>
      </c>
      <c r="P11" s="15">
        <f t="shared" si="1"/>
        <v>129</v>
      </c>
      <c r="R11" s="1" t="s">
        <v>7</v>
      </c>
      <c r="S11" s="17">
        <f t="shared" ref="S11:AF11" si="3">SUM(C14:C17)</f>
        <v>199</v>
      </c>
      <c r="T11" s="17">
        <f t="shared" si="3"/>
        <v>75</v>
      </c>
      <c r="U11" s="17">
        <f t="shared" si="3"/>
        <v>16</v>
      </c>
      <c r="V11" s="17">
        <f t="shared" si="3"/>
        <v>51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408</v>
      </c>
      <c r="AD11" s="17">
        <f t="shared" si="3"/>
        <v>0</v>
      </c>
      <c r="AE11" s="31">
        <f t="shared" si="3"/>
        <v>351</v>
      </c>
      <c r="AF11" s="31">
        <f t="shared" si="3"/>
        <v>759</v>
      </c>
    </row>
    <row r="12" spans="2:32" ht="23.1" customHeight="1" x14ac:dyDescent="0.25">
      <c r="B12" s="23" t="s">
        <v>39</v>
      </c>
      <c r="C12" s="50">
        <v>30</v>
      </c>
      <c r="D12" s="50">
        <v>6</v>
      </c>
      <c r="E12" s="50">
        <v>9</v>
      </c>
      <c r="F12" s="50">
        <v>13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73</v>
      </c>
      <c r="N12" s="50">
        <v>0</v>
      </c>
      <c r="O12" s="15">
        <f t="shared" si="0"/>
        <v>58</v>
      </c>
      <c r="P12" s="15">
        <f t="shared" si="1"/>
        <v>131</v>
      </c>
      <c r="R12" s="1" t="s">
        <v>8</v>
      </c>
      <c r="S12" s="17">
        <f t="shared" ref="S12:AF12" si="4">SUM(C18:C21)</f>
        <v>221</v>
      </c>
      <c r="T12" s="17">
        <f t="shared" si="4"/>
        <v>119</v>
      </c>
      <c r="U12" s="17">
        <f t="shared" si="4"/>
        <v>18</v>
      </c>
      <c r="V12" s="17">
        <f t="shared" si="4"/>
        <v>59</v>
      </c>
      <c r="W12" s="17">
        <f t="shared" si="4"/>
        <v>0</v>
      </c>
      <c r="X12" s="17">
        <f t="shared" si="4"/>
        <v>0</v>
      </c>
      <c r="Y12" s="17">
        <f t="shared" si="4"/>
        <v>19</v>
      </c>
      <c r="Z12" s="17">
        <f t="shared" si="4"/>
        <v>4</v>
      </c>
      <c r="AA12" s="17">
        <f t="shared" si="4"/>
        <v>3</v>
      </c>
      <c r="AB12" s="17">
        <f t="shared" si="4"/>
        <v>0</v>
      </c>
      <c r="AC12" s="17">
        <f t="shared" si="4"/>
        <v>488</v>
      </c>
      <c r="AD12" s="17">
        <f t="shared" si="4"/>
        <v>0</v>
      </c>
      <c r="AE12" s="31">
        <f t="shared" si="4"/>
        <v>443</v>
      </c>
      <c r="AF12" s="31">
        <f t="shared" si="4"/>
        <v>931</v>
      </c>
    </row>
    <row r="13" spans="2:32" ht="23.1" customHeight="1" x14ac:dyDescent="0.25">
      <c r="B13" s="23" t="s">
        <v>40</v>
      </c>
      <c r="C13" s="50">
        <v>40</v>
      </c>
      <c r="D13" s="50">
        <v>15</v>
      </c>
      <c r="E13" s="50">
        <v>6</v>
      </c>
      <c r="F13" s="50">
        <v>18</v>
      </c>
      <c r="G13" s="50">
        <v>1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87</v>
      </c>
      <c r="N13" s="50">
        <v>0</v>
      </c>
      <c r="O13" s="15">
        <f t="shared" si="0"/>
        <v>85</v>
      </c>
      <c r="P13" s="15">
        <f t="shared" si="1"/>
        <v>172</v>
      </c>
      <c r="R13" s="1" t="s">
        <v>9</v>
      </c>
      <c r="S13" s="17">
        <f t="shared" ref="S13:AF13" si="5">SUM(C22:C25)</f>
        <v>215</v>
      </c>
      <c r="T13" s="17">
        <f t="shared" si="5"/>
        <v>74</v>
      </c>
      <c r="U13" s="17">
        <f t="shared" si="5"/>
        <v>29</v>
      </c>
      <c r="V13" s="17">
        <f t="shared" si="5"/>
        <v>49</v>
      </c>
      <c r="W13" s="17">
        <f t="shared" si="5"/>
        <v>0</v>
      </c>
      <c r="X13" s="17">
        <f t="shared" si="5"/>
        <v>1</v>
      </c>
      <c r="Y13" s="17">
        <f t="shared" si="5"/>
        <v>5</v>
      </c>
      <c r="Z13" s="17">
        <f t="shared" si="5"/>
        <v>1</v>
      </c>
      <c r="AA13" s="17">
        <f t="shared" si="5"/>
        <v>3</v>
      </c>
      <c r="AB13" s="17">
        <f t="shared" si="5"/>
        <v>0</v>
      </c>
      <c r="AC13" s="17">
        <f t="shared" si="5"/>
        <v>271</v>
      </c>
      <c r="AD13" s="17">
        <f t="shared" si="5"/>
        <v>0</v>
      </c>
      <c r="AE13" s="31">
        <f t="shared" si="5"/>
        <v>377</v>
      </c>
      <c r="AF13" s="31">
        <f t="shared" si="5"/>
        <v>648</v>
      </c>
    </row>
    <row r="14" spans="2:32" ht="23.1" customHeight="1" x14ac:dyDescent="0.25">
      <c r="B14" s="23" t="s">
        <v>41</v>
      </c>
      <c r="C14" s="50">
        <v>13</v>
      </c>
      <c r="D14" s="50">
        <v>10</v>
      </c>
      <c r="E14" s="50">
        <v>3</v>
      </c>
      <c r="F14" s="50">
        <v>12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83</v>
      </c>
      <c r="N14" s="50">
        <v>0</v>
      </c>
      <c r="O14" s="15">
        <f t="shared" si="0"/>
        <v>41</v>
      </c>
      <c r="P14" s="15">
        <f t="shared" si="1"/>
        <v>124</v>
      </c>
      <c r="R14" s="1" t="s">
        <v>10</v>
      </c>
      <c r="S14" s="17">
        <f t="shared" ref="S14:AF14" si="6">SUM(C26:C29)</f>
        <v>321</v>
      </c>
      <c r="T14" s="17">
        <f t="shared" si="6"/>
        <v>121</v>
      </c>
      <c r="U14" s="17">
        <f t="shared" si="6"/>
        <v>28</v>
      </c>
      <c r="V14" s="17">
        <f t="shared" si="6"/>
        <v>54</v>
      </c>
      <c r="W14" s="17">
        <f t="shared" si="6"/>
        <v>1</v>
      </c>
      <c r="X14" s="17">
        <f t="shared" si="6"/>
        <v>0</v>
      </c>
      <c r="Y14" s="17">
        <f t="shared" si="6"/>
        <v>9</v>
      </c>
      <c r="Z14" s="17">
        <f t="shared" si="6"/>
        <v>4</v>
      </c>
      <c r="AA14" s="17">
        <f t="shared" si="6"/>
        <v>1</v>
      </c>
      <c r="AB14" s="17">
        <f t="shared" si="6"/>
        <v>0</v>
      </c>
      <c r="AC14" s="17">
        <f t="shared" si="6"/>
        <v>367</v>
      </c>
      <c r="AD14" s="17">
        <f t="shared" si="6"/>
        <v>0</v>
      </c>
      <c r="AE14" s="31">
        <f t="shared" si="6"/>
        <v>539</v>
      </c>
      <c r="AF14" s="31">
        <f t="shared" si="6"/>
        <v>906</v>
      </c>
    </row>
    <row r="15" spans="2:32" ht="23.1" customHeight="1" x14ac:dyDescent="0.25">
      <c r="B15" s="23" t="s">
        <v>42</v>
      </c>
      <c r="C15" s="50">
        <v>70</v>
      </c>
      <c r="D15" s="50">
        <v>25</v>
      </c>
      <c r="E15" s="50">
        <v>7</v>
      </c>
      <c r="F15" s="50">
        <v>16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105</v>
      </c>
      <c r="N15" s="50">
        <v>0</v>
      </c>
      <c r="O15" s="15">
        <f t="shared" si="0"/>
        <v>122</v>
      </c>
      <c r="P15" s="15">
        <f t="shared" si="1"/>
        <v>227</v>
      </c>
      <c r="R15" s="1" t="s">
        <v>11</v>
      </c>
      <c r="S15" s="17">
        <f t="shared" ref="S15:AF15" si="7">SUM(C30:C33)</f>
        <v>204</v>
      </c>
      <c r="T15" s="17">
        <f t="shared" si="7"/>
        <v>84</v>
      </c>
      <c r="U15" s="17">
        <f t="shared" si="7"/>
        <v>21</v>
      </c>
      <c r="V15" s="17">
        <f t="shared" si="7"/>
        <v>40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4</v>
      </c>
      <c r="AA15" s="17">
        <f t="shared" si="7"/>
        <v>1</v>
      </c>
      <c r="AB15" s="17">
        <f t="shared" si="7"/>
        <v>0</v>
      </c>
      <c r="AC15" s="17">
        <f t="shared" si="7"/>
        <v>388</v>
      </c>
      <c r="AD15" s="17">
        <f t="shared" si="7"/>
        <v>0</v>
      </c>
      <c r="AE15" s="31">
        <f t="shared" si="7"/>
        <v>366</v>
      </c>
      <c r="AF15" s="31">
        <f t="shared" si="7"/>
        <v>754</v>
      </c>
    </row>
    <row r="16" spans="2:32" ht="23.1" customHeight="1" x14ac:dyDescent="0.25">
      <c r="B16" s="23" t="s">
        <v>43</v>
      </c>
      <c r="C16" s="50">
        <v>65</v>
      </c>
      <c r="D16" s="50">
        <v>13</v>
      </c>
      <c r="E16" s="50">
        <v>3</v>
      </c>
      <c r="F16" s="50">
        <v>12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120</v>
      </c>
      <c r="N16" s="50">
        <v>0</v>
      </c>
      <c r="O16" s="15">
        <f t="shared" si="0"/>
        <v>94</v>
      </c>
      <c r="P16" s="15">
        <f t="shared" si="1"/>
        <v>214</v>
      </c>
      <c r="R16" s="1" t="s">
        <v>12</v>
      </c>
      <c r="S16" s="17">
        <f t="shared" ref="S16:AF16" si="8">SUM(C34:C37)</f>
        <v>245</v>
      </c>
      <c r="T16" s="17">
        <f t="shared" si="8"/>
        <v>99</v>
      </c>
      <c r="U16" s="17">
        <f t="shared" si="8"/>
        <v>22</v>
      </c>
      <c r="V16" s="17">
        <f t="shared" si="8"/>
        <v>45</v>
      </c>
      <c r="W16" s="17">
        <f t="shared" si="8"/>
        <v>0</v>
      </c>
      <c r="X16" s="17">
        <f t="shared" si="8"/>
        <v>2</v>
      </c>
      <c r="Y16" s="17">
        <f t="shared" si="8"/>
        <v>7</v>
      </c>
      <c r="Z16" s="17">
        <f t="shared" si="8"/>
        <v>6</v>
      </c>
      <c r="AA16" s="17">
        <f t="shared" si="8"/>
        <v>2</v>
      </c>
      <c r="AB16" s="17">
        <f t="shared" si="8"/>
        <v>2</v>
      </c>
      <c r="AC16" s="17">
        <f t="shared" si="8"/>
        <v>352</v>
      </c>
      <c r="AD16" s="17">
        <f t="shared" si="8"/>
        <v>0</v>
      </c>
      <c r="AE16" s="31">
        <f t="shared" si="8"/>
        <v>430</v>
      </c>
      <c r="AF16" s="31">
        <f t="shared" si="8"/>
        <v>782</v>
      </c>
    </row>
    <row r="17" spans="2:32" ht="23.1" customHeight="1" x14ac:dyDescent="0.25">
      <c r="B17" s="23" t="s">
        <v>44</v>
      </c>
      <c r="C17" s="50">
        <v>51</v>
      </c>
      <c r="D17" s="50">
        <v>27</v>
      </c>
      <c r="E17" s="50">
        <v>3</v>
      </c>
      <c r="F17" s="50">
        <v>11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100</v>
      </c>
      <c r="N17" s="50">
        <v>0</v>
      </c>
      <c r="O17" s="15">
        <f t="shared" si="0"/>
        <v>94</v>
      </c>
      <c r="P17" s="15">
        <f t="shared" si="1"/>
        <v>194</v>
      </c>
      <c r="R17" s="1" t="s">
        <v>13</v>
      </c>
      <c r="S17" s="17">
        <f t="shared" ref="S17:AF17" si="9">SUM(C38:C41)</f>
        <v>267</v>
      </c>
      <c r="T17" s="17">
        <f t="shared" si="9"/>
        <v>104</v>
      </c>
      <c r="U17" s="17">
        <f t="shared" si="9"/>
        <v>26</v>
      </c>
      <c r="V17" s="17">
        <f t="shared" si="9"/>
        <v>28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3</v>
      </c>
      <c r="AB17" s="17">
        <f t="shared" si="9"/>
        <v>2</v>
      </c>
      <c r="AC17" s="17">
        <f t="shared" si="9"/>
        <v>388</v>
      </c>
      <c r="AD17" s="17">
        <f t="shared" si="9"/>
        <v>0</v>
      </c>
      <c r="AE17" s="31">
        <f t="shared" si="9"/>
        <v>439</v>
      </c>
      <c r="AF17" s="31">
        <f t="shared" si="9"/>
        <v>827</v>
      </c>
    </row>
    <row r="18" spans="2:32" ht="23.1" customHeight="1" x14ac:dyDescent="0.25">
      <c r="B18" s="23" t="s">
        <v>45</v>
      </c>
      <c r="C18" s="50">
        <v>60</v>
      </c>
      <c r="D18" s="50">
        <v>42</v>
      </c>
      <c r="E18" s="50">
        <v>5</v>
      </c>
      <c r="F18" s="50">
        <v>6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110</v>
      </c>
      <c r="N18" s="50">
        <v>0</v>
      </c>
      <c r="O18" s="15">
        <f t="shared" si="0"/>
        <v>119</v>
      </c>
      <c r="P18" s="15">
        <f t="shared" si="1"/>
        <v>229</v>
      </c>
      <c r="R18" s="1" t="s">
        <v>14</v>
      </c>
      <c r="S18" s="17">
        <f t="shared" ref="S18:AF18" si="10">SUM(C42:C45)</f>
        <v>237</v>
      </c>
      <c r="T18" s="17">
        <f t="shared" si="10"/>
        <v>79</v>
      </c>
      <c r="U18" s="17">
        <f t="shared" si="10"/>
        <v>22</v>
      </c>
      <c r="V18" s="17">
        <f t="shared" si="10"/>
        <v>44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414</v>
      </c>
      <c r="AD18" s="17">
        <f t="shared" si="10"/>
        <v>0</v>
      </c>
      <c r="AE18" s="31">
        <f t="shared" si="10"/>
        <v>394</v>
      </c>
      <c r="AF18" s="31">
        <f t="shared" si="10"/>
        <v>808</v>
      </c>
    </row>
    <row r="19" spans="2:32" ht="23.1" customHeight="1" x14ac:dyDescent="0.25">
      <c r="B19" s="23" t="s">
        <v>46</v>
      </c>
      <c r="C19" s="50">
        <v>71</v>
      </c>
      <c r="D19" s="50">
        <v>21</v>
      </c>
      <c r="E19" s="50">
        <v>4</v>
      </c>
      <c r="F19" s="50">
        <v>21</v>
      </c>
      <c r="G19" s="50">
        <v>0</v>
      </c>
      <c r="H19" s="50">
        <v>0</v>
      </c>
      <c r="I19" s="50">
        <v>3</v>
      </c>
      <c r="J19" s="50">
        <v>1</v>
      </c>
      <c r="K19" s="50">
        <v>1</v>
      </c>
      <c r="L19" s="50">
        <v>0</v>
      </c>
      <c r="M19" s="50">
        <v>130</v>
      </c>
      <c r="N19" s="50">
        <v>0</v>
      </c>
      <c r="O19" s="15">
        <f t="shared" si="0"/>
        <v>122</v>
      </c>
      <c r="P19" s="15">
        <f t="shared" si="1"/>
        <v>252</v>
      </c>
      <c r="R19" s="1" t="s">
        <v>15</v>
      </c>
      <c r="S19" s="17">
        <f t="shared" ref="S19:AF19" si="11">SUM(C46:C49)</f>
        <v>285</v>
      </c>
      <c r="T19" s="17">
        <f t="shared" si="11"/>
        <v>73</v>
      </c>
      <c r="U19" s="17">
        <f t="shared" si="11"/>
        <v>22</v>
      </c>
      <c r="V19" s="17">
        <f t="shared" si="11"/>
        <v>43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10</v>
      </c>
      <c r="AA19" s="17">
        <f t="shared" si="11"/>
        <v>1</v>
      </c>
      <c r="AB19" s="17">
        <f t="shared" si="11"/>
        <v>0</v>
      </c>
      <c r="AC19" s="17">
        <f t="shared" si="11"/>
        <v>386</v>
      </c>
      <c r="AD19" s="17">
        <f t="shared" si="11"/>
        <v>0</v>
      </c>
      <c r="AE19" s="31">
        <f t="shared" si="11"/>
        <v>444</v>
      </c>
      <c r="AF19" s="31">
        <f t="shared" si="11"/>
        <v>830</v>
      </c>
    </row>
    <row r="20" spans="2:32" ht="23.1" customHeight="1" x14ac:dyDescent="0.25">
      <c r="B20" s="23" t="s">
        <v>47</v>
      </c>
      <c r="C20" s="50">
        <v>55</v>
      </c>
      <c r="D20" s="50">
        <v>23</v>
      </c>
      <c r="E20" s="50">
        <v>4</v>
      </c>
      <c r="F20" s="50">
        <v>20</v>
      </c>
      <c r="G20" s="50">
        <v>0</v>
      </c>
      <c r="H20" s="50">
        <v>0</v>
      </c>
      <c r="I20" s="50">
        <v>1</v>
      </c>
      <c r="J20" s="50">
        <v>1</v>
      </c>
      <c r="K20" s="50">
        <v>2</v>
      </c>
      <c r="L20" s="50">
        <v>0</v>
      </c>
      <c r="M20" s="50">
        <v>133</v>
      </c>
      <c r="N20" s="50">
        <v>0</v>
      </c>
      <c r="O20" s="15">
        <f t="shared" si="0"/>
        <v>106</v>
      </c>
      <c r="P20" s="15">
        <f t="shared" si="1"/>
        <v>239</v>
      </c>
      <c r="R20" s="1" t="s">
        <v>16</v>
      </c>
      <c r="S20" s="17">
        <f t="shared" ref="S20:AF20" si="12">SUM(C50:C53)</f>
        <v>242</v>
      </c>
      <c r="T20" s="17">
        <f t="shared" si="12"/>
        <v>62</v>
      </c>
      <c r="U20" s="17">
        <f t="shared" si="12"/>
        <v>23</v>
      </c>
      <c r="V20" s="17">
        <f t="shared" si="12"/>
        <v>40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354</v>
      </c>
      <c r="AD20" s="17">
        <f t="shared" si="12"/>
        <v>0</v>
      </c>
      <c r="AE20" s="31">
        <f t="shared" si="12"/>
        <v>378</v>
      </c>
      <c r="AF20" s="31">
        <f t="shared" si="12"/>
        <v>732</v>
      </c>
    </row>
    <row r="21" spans="2:32" ht="23.1" customHeight="1" x14ac:dyDescent="0.25">
      <c r="B21" s="23" t="s">
        <v>48</v>
      </c>
      <c r="C21" s="50">
        <v>35</v>
      </c>
      <c r="D21" s="50">
        <v>33</v>
      </c>
      <c r="E21" s="50">
        <v>5</v>
      </c>
      <c r="F21" s="50">
        <v>12</v>
      </c>
      <c r="G21" s="50">
        <v>0</v>
      </c>
      <c r="H21" s="50">
        <v>0</v>
      </c>
      <c r="I21" s="50">
        <v>10</v>
      </c>
      <c r="J21" s="50">
        <v>1</v>
      </c>
      <c r="K21" s="50">
        <v>0</v>
      </c>
      <c r="L21" s="50">
        <v>0</v>
      </c>
      <c r="M21" s="50">
        <v>115</v>
      </c>
      <c r="N21" s="50">
        <v>0</v>
      </c>
      <c r="O21" s="15">
        <f t="shared" si="0"/>
        <v>96</v>
      </c>
      <c r="P21" s="15">
        <f t="shared" si="1"/>
        <v>211</v>
      </c>
      <c r="R21" s="36" t="s">
        <v>20</v>
      </c>
      <c r="S21" s="34">
        <f t="shared" ref="S21:AF21" si="13">SUM(C54:C57)</f>
        <v>119</v>
      </c>
      <c r="T21" s="17">
        <f t="shared" si="13"/>
        <v>30</v>
      </c>
      <c r="U21" s="17">
        <f t="shared" si="13"/>
        <v>25</v>
      </c>
      <c r="V21" s="17">
        <f t="shared" si="13"/>
        <v>66</v>
      </c>
      <c r="W21" s="17">
        <f t="shared" si="13"/>
        <v>1</v>
      </c>
      <c r="X21" s="17">
        <f t="shared" si="13"/>
        <v>0</v>
      </c>
      <c r="Y21" s="17">
        <f t="shared" si="13"/>
        <v>7</v>
      </c>
      <c r="Z21" s="17">
        <f t="shared" si="13"/>
        <v>5</v>
      </c>
      <c r="AA21" s="17">
        <f t="shared" si="13"/>
        <v>3</v>
      </c>
      <c r="AB21" s="17">
        <f t="shared" si="13"/>
        <v>0</v>
      </c>
      <c r="AC21" s="17">
        <f t="shared" si="13"/>
        <v>376</v>
      </c>
      <c r="AD21" s="17">
        <f t="shared" si="13"/>
        <v>0</v>
      </c>
      <c r="AE21" s="31">
        <f t="shared" si="13"/>
        <v>256</v>
      </c>
      <c r="AF21" s="31">
        <f t="shared" si="13"/>
        <v>632</v>
      </c>
    </row>
    <row r="22" spans="2:32" ht="23.1" customHeight="1" x14ac:dyDescent="0.25">
      <c r="B22" s="23" t="s">
        <v>49</v>
      </c>
      <c r="C22" s="50">
        <v>65</v>
      </c>
      <c r="D22" s="50">
        <v>33</v>
      </c>
      <c r="E22" s="50">
        <v>13</v>
      </c>
      <c r="F22" s="50">
        <v>20</v>
      </c>
      <c r="G22" s="50">
        <v>0</v>
      </c>
      <c r="H22" s="50">
        <v>0</v>
      </c>
      <c r="I22" s="50">
        <v>2</v>
      </c>
      <c r="J22" s="50">
        <v>1</v>
      </c>
      <c r="K22" s="50">
        <v>1</v>
      </c>
      <c r="L22" s="50">
        <v>0</v>
      </c>
      <c r="M22" s="50">
        <v>95</v>
      </c>
      <c r="N22" s="50">
        <v>0</v>
      </c>
      <c r="O22" s="15">
        <f t="shared" si="0"/>
        <v>135</v>
      </c>
      <c r="P22" s="15">
        <f t="shared" si="1"/>
        <v>230</v>
      </c>
      <c r="R22" s="38" t="s">
        <v>90</v>
      </c>
      <c r="S22" s="39">
        <f>MAX(S10:S12)</f>
        <v>221</v>
      </c>
      <c r="T22" s="39">
        <f t="shared" ref="T22:AF22" si="14">MAX(T10:T12)</f>
        <v>119</v>
      </c>
      <c r="U22" s="39">
        <f t="shared" si="14"/>
        <v>39</v>
      </c>
      <c r="V22" s="39">
        <f t="shared" si="14"/>
        <v>66</v>
      </c>
      <c r="W22" s="39">
        <f t="shared" si="14"/>
        <v>2</v>
      </c>
      <c r="X22" s="39">
        <f t="shared" si="14"/>
        <v>0</v>
      </c>
      <c r="Y22" s="39">
        <f t="shared" si="14"/>
        <v>19</v>
      </c>
      <c r="Z22" s="39">
        <f t="shared" si="14"/>
        <v>4</v>
      </c>
      <c r="AA22" s="39">
        <f t="shared" si="14"/>
        <v>3</v>
      </c>
      <c r="AB22" s="39">
        <f t="shared" si="14"/>
        <v>0</v>
      </c>
      <c r="AC22" s="39">
        <f t="shared" si="14"/>
        <v>488</v>
      </c>
      <c r="AD22" s="39">
        <f t="shared" si="14"/>
        <v>0</v>
      </c>
      <c r="AE22" s="40">
        <f t="shared" si="14"/>
        <v>443</v>
      </c>
      <c r="AF22" s="40">
        <f t="shared" si="14"/>
        <v>931</v>
      </c>
    </row>
    <row r="23" spans="2:32" ht="23.1" customHeight="1" x14ac:dyDescent="0.25">
      <c r="B23" s="23" t="s">
        <v>50</v>
      </c>
      <c r="C23" s="50">
        <v>60</v>
      </c>
      <c r="D23" s="50">
        <v>21</v>
      </c>
      <c r="E23" s="50">
        <v>5</v>
      </c>
      <c r="F23" s="50">
        <v>12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55</v>
      </c>
      <c r="N23" s="50">
        <v>0</v>
      </c>
      <c r="O23" s="15">
        <f t="shared" si="0"/>
        <v>99</v>
      </c>
      <c r="P23" s="15">
        <f t="shared" si="1"/>
        <v>154</v>
      </c>
      <c r="R23" s="38" t="s">
        <v>91</v>
      </c>
      <c r="S23" s="39">
        <f>MAX(S13:S18)</f>
        <v>321</v>
      </c>
      <c r="T23" s="39">
        <f t="shared" ref="T23:AF23" si="15">MAX(T13:T18)</f>
        <v>121</v>
      </c>
      <c r="U23" s="39">
        <f t="shared" si="15"/>
        <v>29</v>
      </c>
      <c r="V23" s="39">
        <f t="shared" si="15"/>
        <v>54</v>
      </c>
      <c r="W23" s="39">
        <f t="shared" si="15"/>
        <v>1</v>
      </c>
      <c r="X23" s="39">
        <f t="shared" si="15"/>
        <v>2</v>
      </c>
      <c r="Y23" s="39">
        <f t="shared" si="15"/>
        <v>12</v>
      </c>
      <c r="Z23" s="39">
        <f t="shared" si="15"/>
        <v>6</v>
      </c>
      <c r="AA23" s="39">
        <f t="shared" si="15"/>
        <v>3</v>
      </c>
      <c r="AB23" s="39">
        <f t="shared" si="15"/>
        <v>2</v>
      </c>
      <c r="AC23" s="39">
        <f t="shared" si="15"/>
        <v>414</v>
      </c>
      <c r="AD23" s="39">
        <f t="shared" si="15"/>
        <v>0</v>
      </c>
      <c r="AE23" s="40">
        <f t="shared" si="15"/>
        <v>539</v>
      </c>
      <c r="AF23" s="40">
        <f t="shared" si="15"/>
        <v>906</v>
      </c>
    </row>
    <row r="24" spans="2:32" ht="23.1" customHeight="1" x14ac:dyDescent="0.25">
      <c r="B24" s="23" t="s">
        <v>51</v>
      </c>
      <c r="C24" s="50">
        <v>70</v>
      </c>
      <c r="D24" s="50">
        <v>12</v>
      </c>
      <c r="E24" s="50">
        <v>6</v>
      </c>
      <c r="F24" s="50">
        <v>12</v>
      </c>
      <c r="G24" s="50">
        <v>0</v>
      </c>
      <c r="H24" s="50">
        <v>1</v>
      </c>
      <c r="I24" s="50">
        <v>0</v>
      </c>
      <c r="J24" s="50">
        <v>0</v>
      </c>
      <c r="K24" s="50">
        <v>2</v>
      </c>
      <c r="L24" s="50">
        <v>0</v>
      </c>
      <c r="M24" s="50">
        <v>62</v>
      </c>
      <c r="N24" s="50">
        <v>0</v>
      </c>
      <c r="O24" s="15">
        <f t="shared" si="0"/>
        <v>103</v>
      </c>
      <c r="P24" s="15">
        <f t="shared" si="1"/>
        <v>165</v>
      </c>
      <c r="R24" s="38" t="s">
        <v>92</v>
      </c>
      <c r="S24" s="39">
        <f>MAX(S19:S21)</f>
        <v>285</v>
      </c>
      <c r="T24" s="39">
        <f t="shared" ref="T24:AF24" si="16">MAX(T19:T21)</f>
        <v>73</v>
      </c>
      <c r="U24" s="39">
        <f t="shared" si="16"/>
        <v>25</v>
      </c>
      <c r="V24" s="39">
        <f t="shared" si="16"/>
        <v>66</v>
      </c>
      <c r="W24" s="39">
        <f t="shared" si="16"/>
        <v>1</v>
      </c>
      <c r="X24" s="39">
        <f t="shared" si="16"/>
        <v>0</v>
      </c>
      <c r="Y24" s="39">
        <f t="shared" si="16"/>
        <v>10</v>
      </c>
      <c r="Z24" s="39">
        <f t="shared" si="16"/>
        <v>10</v>
      </c>
      <c r="AA24" s="39">
        <f t="shared" si="16"/>
        <v>3</v>
      </c>
      <c r="AB24" s="39">
        <f t="shared" si="16"/>
        <v>0</v>
      </c>
      <c r="AC24" s="39">
        <f t="shared" si="16"/>
        <v>386</v>
      </c>
      <c r="AD24" s="39">
        <f t="shared" si="16"/>
        <v>0</v>
      </c>
      <c r="AE24" s="40">
        <f t="shared" si="16"/>
        <v>444</v>
      </c>
      <c r="AF24" s="40">
        <f t="shared" si="16"/>
        <v>830</v>
      </c>
    </row>
    <row r="25" spans="2:32" ht="23.1" customHeight="1" x14ac:dyDescent="0.25">
      <c r="B25" s="23" t="s">
        <v>52</v>
      </c>
      <c r="C25" s="50">
        <v>20</v>
      </c>
      <c r="D25" s="50">
        <v>8</v>
      </c>
      <c r="E25" s="50">
        <v>5</v>
      </c>
      <c r="F25" s="50">
        <v>5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59</v>
      </c>
      <c r="N25" s="50">
        <v>0</v>
      </c>
      <c r="O25" s="15">
        <f t="shared" si="0"/>
        <v>40</v>
      </c>
      <c r="P25" s="15">
        <f t="shared" si="1"/>
        <v>99</v>
      </c>
      <c r="R25" s="37" t="s">
        <v>85</v>
      </c>
      <c r="S25" s="35">
        <f t="shared" ref="S25:AF25" si="17">SUM(S10:S12)</f>
        <v>538</v>
      </c>
      <c r="T25" s="16">
        <f t="shared" si="17"/>
        <v>227</v>
      </c>
      <c r="U25" s="16">
        <f t="shared" si="17"/>
        <v>73</v>
      </c>
      <c r="V25" s="16">
        <f t="shared" si="17"/>
        <v>176</v>
      </c>
      <c r="W25" s="16">
        <f t="shared" si="17"/>
        <v>2</v>
      </c>
      <c r="X25" s="16">
        <f t="shared" si="17"/>
        <v>0</v>
      </c>
      <c r="Y25" s="16">
        <f t="shared" si="17"/>
        <v>35</v>
      </c>
      <c r="Z25" s="16">
        <f t="shared" si="17"/>
        <v>6</v>
      </c>
      <c r="AA25" s="16">
        <f t="shared" si="17"/>
        <v>3</v>
      </c>
      <c r="AB25" s="16">
        <f t="shared" si="17"/>
        <v>0</v>
      </c>
      <c r="AC25" s="16">
        <f t="shared" si="17"/>
        <v>1220</v>
      </c>
      <c r="AD25" s="16">
        <f t="shared" si="17"/>
        <v>0</v>
      </c>
      <c r="AE25" s="32">
        <f t="shared" si="17"/>
        <v>1060</v>
      </c>
      <c r="AF25" s="32">
        <f t="shared" si="17"/>
        <v>2280</v>
      </c>
    </row>
    <row r="26" spans="2:32" ht="23.1" customHeight="1" x14ac:dyDescent="0.25">
      <c r="B26" s="23" t="s">
        <v>53</v>
      </c>
      <c r="C26" s="50">
        <v>70</v>
      </c>
      <c r="D26" s="50">
        <v>21</v>
      </c>
      <c r="E26" s="50">
        <v>10</v>
      </c>
      <c r="F26" s="50">
        <v>10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75</v>
      </c>
      <c r="N26" s="50">
        <v>0</v>
      </c>
      <c r="O26" s="15">
        <f t="shared" si="0"/>
        <v>114</v>
      </c>
      <c r="P26" s="15">
        <f t="shared" si="1"/>
        <v>189</v>
      </c>
      <c r="R26" s="28" t="s">
        <v>86</v>
      </c>
      <c r="S26" s="16">
        <f t="shared" ref="S26:AF26" si="18">SUM(S13:S18)</f>
        <v>1489</v>
      </c>
      <c r="T26" s="16">
        <f t="shared" si="18"/>
        <v>561</v>
      </c>
      <c r="U26" s="16">
        <f t="shared" si="18"/>
        <v>148</v>
      </c>
      <c r="V26" s="16">
        <f t="shared" si="18"/>
        <v>260</v>
      </c>
      <c r="W26" s="16">
        <f t="shared" si="18"/>
        <v>1</v>
      </c>
      <c r="X26" s="16">
        <f t="shared" si="18"/>
        <v>3</v>
      </c>
      <c r="Y26" s="16">
        <f t="shared" si="18"/>
        <v>51</v>
      </c>
      <c r="Z26" s="16">
        <f t="shared" si="18"/>
        <v>17</v>
      </c>
      <c r="AA26" s="16">
        <f t="shared" si="18"/>
        <v>11</v>
      </c>
      <c r="AB26" s="16">
        <f t="shared" si="18"/>
        <v>4</v>
      </c>
      <c r="AC26" s="16">
        <f t="shared" si="18"/>
        <v>2180</v>
      </c>
      <c r="AD26" s="16">
        <f t="shared" si="18"/>
        <v>0</v>
      </c>
      <c r="AE26" s="32">
        <f t="shared" si="18"/>
        <v>2545</v>
      </c>
      <c r="AF26" s="32">
        <f t="shared" si="18"/>
        <v>4725</v>
      </c>
    </row>
    <row r="27" spans="2:32" ht="23.1" customHeight="1" x14ac:dyDescent="0.25">
      <c r="B27" s="23" t="s">
        <v>54</v>
      </c>
      <c r="C27" s="50">
        <v>105</v>
      </c>
      <c r="D27" s="50">
        <v>50</v>
      </c>
      <c r="E27" s="50">
        <v>12</v>
      </c>
      <c r="F27" s="50">
        <v>15</v>
      </c>
      <c r="G27" s="50">
        <v>0</v>
      </c>
      <c r="H27" s="50">
        <v>0</v>
      </c>
      <c r="I27" s="50">
        <v>1</v>
      </c>
      <c r="J27" s="50">
        <v>1</v>
      </c>
      <c r="K27" s="50">
        <v>1</v>
      </c>
      <c r="L27" s="50">
        <v>0</v>
      </c>
      <c r="M27" s="50">
        <v>93</v>
      </c>
      <c r="N27" s="50">
        <v>0</v>
      </c>
      <c r="O27" s="15">
        <f t="shared" si="0"/>
        <v>185</v>
      </c>
      <c r="P27" s="15">
        <f t="shared" si="1"/>
        <v>278</v>
      </c>
      <c r="R27" s="29" t="s">
        <v>87</v>
      </c>
      <c r="S27" s="16">
        <f t="shared" ref="S27:AF27" si="19">SUM(S19:S21)</f>
        <v>646</v>
      </c>
      <c r="T27" s="16">
        <f t="shared" si="19"/>
        <v>165</v>
      </c>
      <c r="U27" s="16">
        <f t="shared" si="19"/>
        <v>70</v>
      </c>
      <c r="V27" s="16">
        <f t="shared" si="19"/>
        <v>149</v>
      </c>
      <c r="W27" s="16">
        <f t="shared" si="19"/>
        <v>1</v>
      </c>
      <c r="X27" s="16">
        <f t="shared" si="19"/>
        <v>0</v>
      </c>
      <c r="Y27" s="16">
        <f t="shared" si="19"/>
        <v>24</v>
      </c>
      <c r="Z27" s="16">
        <f t="shared" si="19"/>
        <v>18</v>
      </c>
      <c r="AA27" s="16">
        <f t="shared" si="19"/>
        <v>5</v>
      </c>
      <c r="AB27" s="16">
        <f t="shared" si="19"/>
        <v>0</v>
      </c>
      <c r="AC27" s="16">
        <f t="shared" si="19"/>
        <v>1116</v>
      </c>
      <c r="AD27" s="16">
        <f t="shared" si="19"/>
        <v>0</v>
      </c>
      <c r="AE27" s="32">
        <f t="shared" si="19"/>
        <v>1078</v>
      </c>
      <c r="AF27" s="32">
        <f t="shared" si="19"/>
        <v>2194</v>
      </c>
    </row>
    <row r="28" spans="2:32" ht="23.1" customHeight="1" x14ac:dyDescent="0.25">
      <c r="B28" s="23" t="s">
        <v>55</v>
      </c>
      <c r="C28" s="50">
        <v>95</v>
      </c>
      <c r="D28" s="50">
        <v>25</v>
      </c>
      <c r="E28" s="50">
        <v>3</v>
      </c>
      <c r="F28" s="50">
        <v>11</v>
      </c>
      <c r="G28" s="50">
        <v>1</v>
      </c>
      <c r="H28" s="50">
        <v>0</v>
      </c>
      <c r="I28" s="50">
        <v>3</v>
      </c>
      <c r="J28" s="50">
        <v>2</v>
      </c>
      <c r="K28" s="50">
        <v>0</v>
      </c>
      <c r="L28" s="50">
        <v>0</v>
      </c>
      <c r="M28" s="50">
        <v>103</v>
      </c>
      <c r="N28" s="50">
        <v>0</v>
      </c>
      <c r="O28" s="15">
        <f t="shared" si="0"/>
        <v>140</v>
      </c>
      <c r="P28" s="15">
        <f t="shared" si="1"/>
        <v>243</v>
      </c>
      <c r="R28" s="5" t="s">
        <v>17</v>
      </c>
      <c r="S28" s="16">
        <f t="shared" ref="S28:AF28" si="20">SUM(S10:S21)</f>
        <v>2673</v>
      </c>
      <c r="T28" s="16">
        <f t="shared" si="20"/>
        <v>953</v>
      </c>
      <c r="U28" s="16">
        <f t="shared" si="20"/>
        <v>291</v>
      </c>
      <c r="V28" s="16">
        <f t="shared" si="20"/>
        <v>585</v>
      </c>
      <c r="W28" s="16">
        <f t="shared" si="20"/>
        <v>4</v>
      </c>
      <c r="X28" s="16">
        <f t="shared" si="20"/>
        <v>3</v>
      </c>
      <c r="Y28" s="16">
        <f t="shared" si="20"/>
        <v>110</v>
      </c>
      <c r="Z28" s="16">
        <f t="shared" si="20"/>
        <v>41</v>
      </c>
      <c r="AA28" s="16">
        <f t="shared" si="20"/>
        <v>19</v>
      </c>
      <c r="AB28" s="16">
        <f t="shared" si="20"/>
        <v>4</v>
      </c>
      <c r="AC28" s="16">
        <f t="shared" si="20"/>
        <v>4516</v>
      </c>
      <c r="AD28" s="16">
        <f t="shared" si="20"/>
        <v>0</v>
      </c>
      <c r="AE28" s="32">
        <f t="shared" si="20"/>
        <v>4683</v>
      </c>
      <c r="AF28" s="32">
        <f t="shared" si="20"/>
        <v>9199</v>
      </c>
    </row>
    <row r="29" spans="2:32" ht="23.1" customHeight="1" x14ac:dyDescent="0.25">
      <c r="B29" s="23" t="s">
        <v>56</v>
      </c>
      <c r="C29" s="50">
        <v>51</v>
      </c>
      <c r="D29" s="50">
        <v>25</v>
      </c>
      <c r="E29" s="50">
        <v>3</v>
      </c>
      <c r="F29" s="50">
        <v>18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96</v>
      </c>
      <c r="N29" s="50">
        <v>0</v>
      </c>
      <c r="O29" s="15">
        <f t="shared" si="0"/>
        <v>100</v>
      </c>
      <c r="P29" s="15">
        <f t="shared" si="1"/>
        <v>196</v>
      </c>
      <c r="R29"/>
      <c r="S29" s="20"/>
      <c r="T29" s="19"/>
    </row>
    <row r="30" spans="2:32" ht="23.1" customHeight="1" x14ac:dyDescent="0.25">
      <c r="B30" s="23" t="s">
        <v>57</v>
      </c>
      <c r="C30" s="50">
        <v>61</v>
      </c>
      <c r="D30" s="50">
        <v>25</v>
      </c>
      <c r="E30" s="50">
        <v>3</v>
      </c>
      <c r="F30" s="50">
        <v>5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v>0</v>
      </c>
      <c r="M30" s="50">
        <v>100</v>
      </c>
      <c r="N30" s="50">
        <v>0</v>
      </c>
      <c r="O30" s="15">
        <f t="shared" si="0"/>
        <v>99</v>
      </c>
      <c r="P30" s="15">
        <f t="shared" si="1"/>
        <v>199</v>
      </c>
    </row>
    <row r="31" spans="2:32" ht="23.1" customHeight="1" x14ac:dyDescent="0.25">
      <c r="B31" s="24" t="s">
        <v>58</v>
      </c>
      <c r="C31" s="50">
        <v>32</v>
      </c>
      <c r="D31" s="50">
        <v>16</v>
      </c>
      <c r="E31" s="50">
        <v>11</v>
      </c>
      <c r="F31" s="50">
        <v>11</v>
      </c>
      <c r="G31" s="50">
        <v>0</v>
      </c>
      <c r="H31" s="50">
        <v>0</v>
      </c>
      <c r="I31" s="50">
        <v>0</v>
      </c>
      <c r="J31" s="50">
        <v>3</v>
      </c>
      <c r="K31" s="50">
        <v>1</v>
      </c>
      <c r="L31" s="50">
        <v>0</v>
      </c>
      <c r="M31" s="50">
        <v>93</v>
      </c>
      <c r="N31" s="50">
        <v>0</v>
      </c>
      <c r="O31" s="15">
        <f t="shared" si="0"/>
        <v>74</v>
      </c>
      <c r="P31" s="15">
        <f t="shared" si="1"/>
        <v>167</v>
      </c>
    </row>
    <row r="32" spans="2:32" ht="23.1" customHeight="1" x14ac:dyDescent="0.25">
      <c r="B32" s="24" t="s">
        <v>59</v>
      </c>
      <c r="C32" s="50">
        <v>80</v>
      </c>
      <c r="D32" s="50">
        <v>31</v>
      </c>
      <c r="E32" s="50">
        <v>7</v>
      </c>
      <c r="F32" s="50">
        <v>16</v>
      </c>
      <c r="G32" s="50">
        <v>0</v>
      </c>
      <c r="H32" s="50">
        <v>0</v>
      </c>
      <c r="I32" s="50">
        <v>5</v>
      </c>
      <c r="J32" s="50">
        <v>1</v>
      </c>
      <c r="K32" s="50">
        <v>0</v>
      </c>
      <c r="L32" s="50">
        <v>0</v>
      </c>
      <c r="M32" s="50">
        <v>113</v>
      </c>
      <c r="N32" s="50">
        <v>0</v>
      </c>
      <c r="O32" s="15">
        <f t="shared" si="0"/>
        <v>140</v>
      </c>
      <c r="P32" s="15">
        <f t="shared" si="1"/>
        <v>253</v>
      </c>
    </row>
    <row r="33" spans="2:20" ht="23.1" customHeight="1" x14ac:dyDescent="0.25">
      <c r="B33" s="23" t="s">
        <v>60</v>
      </c>
      <c r="C33" s="50">
        <v>31</v>
      </c>
      <c r="D33" s="50">
        <v>12</v>
      </c>
      <c r="E33" s="50">
        <v>0</v>
      </c>
      <c r="F33" s="50">
        <v>8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82</v>
      </c>
      <c r="N33" s="50">
        <v>0</v>
      </c>
      <c r="O33" s="15">
        <f t="shared" si="0"/>
        <v>53</v>
      </c>
      <c r="P33" s="15">
        <f t="shared" si="1"/>
        <v>135</v>
      </c>
    </row>
    <row r="34" spans="2:20" ht="23.1" customHeight="1" x14ac:dyDescent="0.25">
      <c r="B34" s="24" t="s">
        <v>61</v>
      </c>
      <c r="C34" s="50">
        <v>45</v>
      </c>
      <c r="D34" s="50">
        <v>25</v>
      </c>
      <c r="E34" s="50">
        <v>5</v>
      </c>
      <c r="F34" s="50">
        <v>13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92</v>
      </c>
      <c r="N34" s="50">
        <v>0</v>
      </c>
      <c r="O34" s="15">
        <f t="shared" si="0"/>
        <v>89</v>
      </c>
      <c r="P34" s="15">
        <f t="shared" si="1"/>
        <v>181</v>
      </c>
    </row>
    <row r="35" spans="2:20" ht="23.1" customHeight="1" x14ac:dyDescent="0.25">
      <c r="B35" s="24" t="s">
        <v>62</v>
      </c>
      <c r="C35" s="50">
        <v>55</v>
      </c>
      <c r="D35" s="50">
        <v>25</v>
      </c>
      <c r="E35" s="50">
        <v>4</v>
      </c>
      <c r="F35" s="50">
        <v>13</v>
      </c>
      <c r="G35" s="50">
        <v>0</v>
      </c>
      <c r="H35" s="50">
        <v>2</v>
      </c>
      <c r="I35" s="50">
        <v>4</v>
      </c>
      <c r="J35" s="50">
        <v>2</v>
      </c>
      <c r="K35" s="50">
        <v>0</v>
      </c>
      <c r="L35" s="50">
        <v>1</v>
      </c>
      <c r="M35" s="50">
        <v>107</v>
      </c>
      <c r="N35" s="50">
        <v>0</v>
      </c>
      <c r="O35" s="15">
        <f t="shared" si="0"/>
        <v>106</v>
      </c>
      <c r="P35" s="15">
        <f t="shared" si="1"/>
        <v>213</v>
      </c>
    </row>
    <row r="36" spans="2:20" ht="23.1" customHeight="1" x14ac:dyDescent="0.25">
      <c r="B36" s="24" t="s">
        <v>63</v>
      </c>
      <c r="C36" s="50">
        <v>80</v>
      </c>
      <c r="D36" s="50">
        <v>31</v>
      </c>
      <c r="E36" s="50">
        <v>4</v>
      </c>
      <c r="F36" s="50">
        <v>7</v>
      </c>
      <c r="G36" s="50">
        <v>0</v>
      </c>
      <c r="H36" s="50">
        <v>0</v>
      </c>
      <c r="I36" s="50">
        <v>1</v>
      </c>
      <c r="J36" s="50">
        <v>2</v>
      </c>
      <c r="K36" s="50">
        <v>1</v>
      </c>
      <c r="L36" s="50">
        <v>1</v>
      </c>
      <c r="M36" s="50">
        <v>85</v>
      </c>
      <c r="N36" s="50">
        <v>0</v>
      </c>
      <c r="O36" s="15">
        <f t="shared" si="0"/>
        <v>127</v>
      </c>
      <c r="P36" s="15">
        <f t="shared" si="1"/>
        <v>212</v>
      </c>
    </row>
    <row r="37" spans="2:20" ht="23.1" customHeight="1" x14ac:dyDescent="0.25">
      <c r="B37" s="23" t="s">
        <v>64</v>
      </c>
      <c r="C37" s="50">
        <v>65</v>
      </c>
      <c r="D37" s="50">
        <v>18</v>
      </c>
      <c r="E37" s="50">
        <v>9</v>
      </c>
      <c r="F37" s="50">
        <v>12</v>
      </c>
      <c r="G37" s="50">
        <v>0</v>
      </c>
      <c r="H37" s="50">
        <v>0</v>
      </c>
      <c r="I37" s="50">
        <v>2</v>
      </c>
      <c r="J37" s="50">
        <v>1</v>
      </c>
      <c r="K37" s="50">
        <v>1</v>
      </c>
      <c r="L37" s="50">
        <v>0</v>
      </c>
      <c r="M37" s="50">
        <v>68</v>
      </c>
      <c r="N37" s="50">
        <v>0</v>
      </c>
      <c r="O37" s="15">
        <f t="shared" si="0"/>
        <v>108</v>
      </c>
      <c r="P37" s="15">
        <f t="shared" si="1"/>
        <v>176</v>
      </c>
    </row>
    <row r="38" spans="2:20" ht="23.1" customHeight="1" x14ac:dyDescent="0.25">
      <c r="B38" s="24" t="s">
        <v>65</v>
      </c>
      <c r="C38" s="50">
        <v>66</v>
      </c>
      <c r="D38" s="50">
        <v>15</v>
      </c>
      <c r="E38" s="50">
        <v>3</v>
      </c>
      <c r="F38" s="50">
        <v>6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99</v>
      </c>
      <c r="N38" s="50">
        <v>0</v>
      </c>
      <c r="O38" s="15">
        <f t="shared" si="0"/>
        <v>92</v>
      </c>
      <c r="P38" s="15">
        <f t="shared" si="1"/>
        <v>191</v>
      </c>
    </row>
    <row r="39" spans="2:20" ht="23.1" customHeight="1" x14ac:dyDescent="0.25">
      <c r="B39" s="24" t="s">
        <v>66</v>
      </c>
      <c r="C39" s="50">
        <v>75</v>
      </c>
      <c r="D39" s="50">
        <v>20</v>
      </c>
      <c r="E39" s="50">
        <v>10</v>
      </c>
      <c r="F39" s="50">
        <v>6</v>
      </c>
      <c r="G39" s="50">
        <v>0</v>
      </c>
      <c r="H39" s="50">
        <v>0</v>
      </c>
      <c r="I39" s="50">
        <v>6</v>
      </c>
      <c r="J39" s="50">
        <v>0</v>
      </c>
      <c r="K39" s="50">
        <v>1</v>
      </c>
      <c r="L39" s="50">
        <v>1</v>
      </c>
      <c r="M39" s="50">
        <v>82</v>
      </c>
      <c r="N39" s="50">
        <v>0</v>
      </c>
      <c r="O39" s="15">
        <f t="shared" si="0"/>
        <v>119</v>
      </c>
      <c r="P39" s="15">
        <f t="shared" si="1"/>
        <v>201</v>
      </c>
    </row>
    <row r="40" spans="2:20" ht="23.1" customHeight="1" x14ac:dyDescent="0.25">
      <c r="B40" s="24" t="s">
        <v>67</v>
      </c>
      <c r="C40" s="50">
        <v>56</v>
      </c>
      <c r="D40" s="50">
        <v>22</v>
      </c>
      <c r="E40" s="50">
        <v>3</v>
      </c>
      <c r="F40" s="50">
        <v>11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0</v>
      </c>
      <c r="M40" s="50">
        <v>116</v>
      </c>
      <c r="N40" s="50">
        <v>0</v>
      </c>
      <c r="O40" s="15">
        <f t="shared" si="0"/>
        <v>93</v>
      </c>
      <c r="P40" s="15">
        <f t="shared" si="1"/>
        <v>209</v>
      </c>
    </row>
    <row r="41" spans="2:20" ht="23.1" customHeight="1" x14ac:dyDescent="0.25">
      <c r="B41" s="23" t="s">
        <v>68</v>
      </c>
      <c r="C41" s="50">
        <v>70</v>
      </c>
      <c r="D41" s="50">
        <v>47</v>
      </c>
      <c r="E41" s="50">
        <v>10</v>
      </c>
      <c r="F41" s="50">
        <v>5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1</v>
      </c>
      <c r="M41" s="50">
        <v>91</v>
      </c>
      <c r="N41" s="50">
        <v>0</v>
      </c>
      <c r="O41" s="15">
        <f t="shared" si="0"/>
        <v>135</v>
      </c>
      <c r="P41" s="15">
        <f t="shared" si="1"/>
        <v>226</v>
      </c>
    </row>
    <row r="42" spans="2:20" ht="23.1" customHeight="1" x14ac:dyDescent="0.25">
      <c r="B42" s="24" t="s">
        <v>69</v>
      </c>
      <c r="C42" s="50">
        <v>80</v>
      </c>
      <c r="D42" s="50">
        <v>20</v>
      </c>
      <c r="E42" s="50">
        <v>10</v>
      </c>
      <c r="F42" s="50">
        <v>15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100</v>
      </c>
      <c r="N42" s="50">
        <v>0</v>
      </c>
      <c r="O42" s="15">
        <f t="shared" si="0"/>
        <v>127</v>
      </c>
      <c r="P42" s="15">
        <f t="shared" si="1"/>
        <v>227</v>
      </c>
    </row>
    <row r="43" spans="2:20" ht="23.1" customHeight="1" x14ac:dyDescent="0.25">
      <c r="B43" s="23" t="s">
        <v>70</v>
      </c>
      <c r="C43" s="50">
        <v>45</v>
      </c>
      <c r="D43" s="50">
        <v>16</v>
      </c>
      <c r="E43" s="50">
        <v>3</v>
      </c>
      <c r="F43" s="50">
        <v>7</v>
      </c>
      <c r="G43" s="50">
        <v>0</v>
      </c>
      <c r="H43" s="50">
        <v>0</v>
      </c>
      <c r="I43" s="50">
        <v>3</v>
      </c>
      <c r="J43" s="50">
        <v>1</v>
      </c>
      <c r="K43" s="50">
        <v>0</v>
      </c>
      <c r="L43" s="50">
        <v>0</v>
      </c>
      <c r="M43" s="50">
        <v>106</v>
      </c>
      <c r="N43" s="50">
        <v>0</v>
      </c>
      <c r="O43" s="15">
        <f t="shared" si="0"/>
        <v>75</v>
      </c>
      <c r="P43" s="15">
        <f t="shared" si="1"/>
        <v>181</v>
      </c>
    </row>
    <row r="44" spans="2:20" ht="23.1" customHeight="1" x14ac:dyDescent="0.25">
      <c r="B44" s="25" t="s">
        <v>71</v>
      </c>
      <c r="C44" s="50">
        <v>57</v>
      </c>
      <c r="D44" s="50">
        <v>28</v>
      </c>
      <c r="E44" s="50">
        <v>4</v>
      </c>
      <c r="F44" s="50">
        <v>21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88</v>
      </c>
      <c r="N44" s="50">
        <v>0</v>
      </c>
      <c r="O44" s="15">
        <f t="shared" si="0"/>
        <v>113</v>
      </c>
      <c r="P44" s="15">
        <f t="shared" si="1"/>
        <v>201</v>
      </c>
    </row>
    <row r="45" spans="2:20" ht="23.1" customHeight="1" x14ac:dyDescent="0.25">
      <c r="B45" s="23" t="s">
        <v>72</v>
      </c>
      <c r="C45" s="50">
        <v>55</v>
      </c>
      <c r="D45" s="50">
        <v>15</v>
      </c>
      <c r="E45" s="50">
        <v>5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1</v>
      </c>
      <c r="L45" s="50">
        <v>0</v>
      </c>
      <c r="M45" s="50">
        <v>120</v>
      </c>
      <c r="N45" s="50">
        <v>0</v>
      </c>
      <c r="O45" s="15">
        <f t="shared" si="0"/>
        <v>79</v>
      </c>
      <c r="P45" s="15">
        <f t="shared" si="1"/>
        <v>199</v>
      </c>
    </row>
    <row r="46" spans="2:20" ht="23.1" customHeight="1" x14ac:dyDescent="0.25">
      <c r="B46" s="24" t="s">
        <v>73</v>
      </c>
      <c r="C46" s="50">
        <v>80</v>
      </c>
      <c r="D46" s="50">
        <v>21</v>
      </c>
      <c r="E46" s="50">
        <v>6</v>
      </c>
      <c r="F46" s="50">
        <v>10</v>
      </c>
      <c r="G46" s="50">
        <v>0</v>
      </c>
      <c r="H46" s="50">
        <v>0</v>
      </c>
      <c r="I46" s="50">
        <v>3</v>
      </c>
      <c r="J46" s="50">
        <v>2</v>
      </c>
      <c r="K46" s="50">
        <v>1</v>
      </c>
      <c r="L46" s="50">
        <v>0</v>
      </c>
      <c r="M46" s="50">
        <v>105</v>
      </c>
      <c r="N46" s="50">
        <v>0</v>
      </c>
      <c r="O46" s="15">
        <f t="shared" si="0"/>
        <v>123</v>
      </c>
      <c r="P46" s="15">
        <f t="shared" si="1"/>
        <v>228</v>
      </c>
      <c r="R46" s="8"/>
      <c r="T46"/>
    </row>
    <row r="47" spans="2:20" ht="23.1" customHeight="1" x14ac:dyDescent="0.25">
      <c r="B47" s="24" t="s">
        <v>74</v>
      </c>
      <c r="C47" s="50">
        <v>80</v>
      </c>
      <c r="D47" s="50">
        <v>14</v>
      </c>
      <c r="E47" s="50">
        <v>1</v>
      </c>
      <c r="F47" s="50">
        <v>9</v>
      </c>
      <c r="G47" s="50">
        <v>0</v>
      </c>
      <c r="H47" s="50">
        <v>0</v>
      </c>
      <c r="I47" s="50">
        <v>3</v>
      </c>
      <c r="J47" s="50">
        <v>3</v>
      </c>
      <c r="K47" s="50">
        <v>0</v>
      </c>
      <c r="L47" s="50">
        <v>0</v>
      </c>
      <c r="M47" s="50">
        <v>98</v>
      </c>
      <c r="N47" s="50">
        <v>0</v>
      </c>
      <c r="O47" s="15">
        <f t="shared" si="0"/>
        <v>110</v>
      </c>
      <c r="P47" s="15">
        <f t="shared" si="1"/>
        <v>208</v>
      </c>
      <c r="R47" s="8"/>
      <c r="T47"/>
    </row>
    <row r="48" spans="2:20" ht="23.1" customHeight="1" x14ac:dyDescent="0.25">
      <c r="B48" s="24" t="s">
        <v>75</v>
      </c>
      <c r="C48" s="50">
        <v>70</v>
      </c>
      <c r="D48" s="50">
        <v>15</v>
      </c>
      <c r="E48" s="50">
        <v>7</v>
      </c>
      <c r="F48" s="50">
        <v>11</v>
      </c>
      <c r="G48" s="50">
        <v>0</v>
      </c>
      <c r="H48" s="50">
        <v>0</v>
      </c>
      <c r="I48" s="50">
        <v>0</v>
      </c>
      <c r="J48" s="50">
        <v>3</v>
      </c>
      <c r="K48" s="50">
        <v>0</v>
      </c>
      <c r="L48" s="50">
        <v>0</v>
      </c>
      <c r="M48" s="50">
        <v>93</v>
      </c>
      <c r="N48" s="50">
        <v>0</v>
      </c>
      <c r="O48" s="15">
        <f t="shared" si="0"/>
        <v>106</v>
      </c>
      <c r="P48" s="15">
        <f t="shared" si="1"/>
        <v>199</v>
      </c>
      <c r="R48" s="8"/>
      <c r="T48"/>
    </row>
    <row r="49" spans="2:20" ht="23.1" customHeight="1" x14ac:dyDescent="0.25">
      <c r="B49" s="23" t="s">
        <v>76</v>
      </c>
      <c r="C49" s="50">
        <v>55</v>
      </c>
      <c r="D49" s="50">
        <v>23</v>
      </c>
      <c r="E49" s="50">
        <v>8</v>
      </c>
      <c r="F49" s="50">
        <v>13</v>
      </c>
      <c r="G49" s="50">
        <v>0</v>
      </c>
      <c r="H49" s="50">
        <v>0</v>
      </c>
      <c r="I49" s="50">
        <v>4</v>
      </c>
      <c r="J49" s="50">
        <v>2</v>
      </c>
      <c r="K49" s="50">
        <v>0</v>
      </c>
      <c r="L49" s="50">
        <v>0</v>
      </c>
      <c r="M49" s="50">
        <v>90</v>
      </c>
      <c r="N49" s="50">
        <v>0</v>
      </c>
      <c r="O49" s="15">
        <f t="shared" si="0"/>
        <v>105</v>
      </c>
      <c r="P49" s="15">
        <f t="shared" si="1"/>
        <v>195</v>
      </c>
      <c r="R49" s="8"/>
      <c r="T49"/>
    </row>
    <row r="50" spans="2:20" ht="23.1" customHeight="1" x14ac:dyDescent="0.25">
      <c r="B50" s="24" t="s">
        <v>77</v>
      </c>
      <c r="C50" s="50">
        <v>70</v>
      </c>
      <c r="D50" s="50">
        <v>15</v>
      </c>
      <c r="E50" s="50">
        <v>6</v>
      </c>
      <c r="F50" s="50">
        <v>15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110</v>
      </c>
      <c r="N50" s="50">
        <v>0</v>
      </c>
      <c r="O50" s="15">
        <f t="shared" si="0"/>
        <v>107</v>
      </c>
      <c r="P50" s="15">
        <f t="shared" si="1"/>
        <v>217</v>
      </c>
      <c r="R50" s="8"/>
      <c r="T50"/>
    </row>
    <row r="51" spans="2:20" ht="23.1" customHeight="1" x14ac:dyDescent="0.25">
      <c r="B51" s="24" t="s">
        <v>78</v>
      </c>
      <c r="C51" s="50">
        <v>46</v>
      </c>
      <c r="D51" s="50">
        <v>18</v>
      </c>
      <c r="E51" s="50">
        <v>8</v>
      </c>
      <c r="F51" s="50">
        <v>10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85</v>
      </c>
      <c r="N51" s="50">
        <v>0</v>
      </c>
      <c r="O51" s="15">
        <f t="shared" si="0"/>
        <v>86</v>
      </c>
      <c r="P51" s="15">
        <f t="shared" si="1"/>
        <v>171</v>
      </c>
      <c r="R51" s="8"/>
      <c r="T51"/>
    </row>
    <row r="52" spans="2:20" ht="23.1" customHeight="1" x14ac:dyDescent="0.25">
      <c r="B52" s="24" t="s">
        <v>79</v>
      </c>
      <c r="C52" s="50">
        <v>66</v>
      </c>
      <c r="D52" s="50">
        <v>11</v>
      </c>
      <c r="E52" s="50">
        <v>4</v>
      </c>
      <c r="F52" s="50">
        <v>10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88</v>
      </c>
      <c r="N52" s="50">
        <v>0</v>
      </c>
      <c r="O52" s="15">
        <f t="shared" si="0"/>
        <v>94</v>
      </c>
      <c r="P52" s="15">
        <f t="shared" si="1"/>
        <v>182</v>
      </c>
      <c r="R52" s="8"/>
      <c r="T52"/>
    </row>
    <row r="53" spans="2:20" ht="23.1" customHeight="1" x14ac:dyDescent="0.25">
      <c r="B53" s="23" t="s">
        <v>80</v>
      </c>
      <c r="C53" s="50">
        <v>60</v>
      </c>
      <c r="D53" s="50">
        <v>18</v>
      </c>
      <c r="E53" s="50">
        <v>5</v>
      </c>
      <c r="F53" s="50">
        <v>5</v>
      </c>
      <c r="G53" s="50">
        <v>0</v>
      </c>
      <c r="H53" s="50">
        <v>0</v>
      </c>
      <c r="I53" s="50">
        <v>1</v>
      </c>
      <c r="J53" s="50">
        <v>1</v>
      </c>
      <c r="K53" s="50">
        <v>1</v>
      </c>
      <c r="L53" s="50">
        <v>0</v>
      </c>
      <c r="M53" s="50">
        <v>71</v>
      </c>
      <c r="N53" s="50">
        <v>0</v>
      </c>
      <c r="O53" s="15">
        <f t="shared" si="0"/>
        <v>91</v>
      </c>
      <c r="P53" s="15">
        <f t="shared" si="1"/>
        <v>162</v>
      </c>
      <c r="R53" s="8"/>
      <c r="T53"/>
    </row>
    <row r="54" spans="2:20" ht="23.1" customHeight="1" x14ac:dyDescent="0.25">
      <c r="B54" s="23" t="s">
        <v>81</v>
      </c>
      <c r="C54" s="50">
        <v>32</v>
      </c>
      <c r="D54" s="50">
        <v>3</v>
      </c>
      <c r="E54" s="50">
        <v>6</v>
      </c>
      <c r="F54" s="50">
        <v>18</v>
      </c>
      <c r="G54" s="50">
        <v>0</v>
      </c>
      <c r="H54" s="50">
        <v>0</v>
      </c>
      <c r="I54" s="50">
        <v>0</v>
      </c>
      <c r="J54" s="50">
        <v>1</v>
      </c>
      <c r="K54" s="50">
        <v>2</v>
      </c>
      <c r="L54" s="50">
        <v>0</v>
      </c>
      <c r="M54" s="50">
        <v>70</v>
      </c>
      <c r="N54" s="50">
        <v>0</v>
      </c>
      <c r="O54" s="15">
        <f t="shared" si="0"/>
        <v>62</v>
      </c>
      <c r="P54" s="15">
        <f t="shared" si="1"/>
        <v>132</v>
      </c>
      <c r="R54" s="8"/>
      <c r="T54"/>
    </row>
    <row r="55" spans="2:20" ht="23.1" customHeight="1" x14ac:dyDescent="0.25">
      <c r="B55" s="23" t="s">
        <v>82</v>
      </c>
      <c r="C55" s="50">
        <v>17</v>
      </c>
      <c r="D55" s="50">
        <v>6</v>
      </c>
      <c r="E55" s="50">
        <v>6</v>
      </c>
      <c r="F55" s="50">
        <v>17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100</v>
      </c>
      <c r="N55" s="50">
        <v>0</v>
      </c>
      <c r="O55" s="15">
        <f t="shared" si="0"/>
        <v>48</v>
      </c>
      <c r="P55" s="15">
        <f t="shared" si="1"/>
        <v>148</v>
      </c>
      <c r="R55" s="8"/>
      <c r="T55"/>
    </row>
    <row r="56" spans="2:20" ht="23.1" customHeight="1" x14ac:dyDescent="0.25">
      <c r="B56" s="23" t="s">
        <v>83</v>
      </c>
      <c r="C56" s="50">
        <v>30</v>
      </c>
      <c r="D56" s="50">
        <v>6</v>
      </c>
      <c r="E56" s="50">
        <v>7</v>
      </c>
      <c r="F56" s="50">
        <v>13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104</v>
      </c>
      <c r="N56" s="50">
        <v>0</v>
      </c>
      <c r="O56" s="15">
        <f t="shared" si="0"/>
        <v>57</v>
      </c>
      <c r="P56" s="15">
        <f t="shared" si="1"/>
        <v>161</v>
      </c>
      <c r="R56" s="8"/>
      <c r="T56"/>
    </row>
    <row r="57" spans="2:20" ht="23.1" customHeight="1" x14ac:dyDescent="0.25">
      <c r="B57" s="23" t="s">
        <v>84</v>
      </c>
      <c r="C57" s="50">
        <v>40</v>
      </c>
      <c r="D57" s="50">
        <v>15</v>
      </c>
      <c r="E57" s="50">
        <v>6</v>
      </c>
      <c r="F57" s="50">
        <v>18</v>
      </c>
      <c r="G57" s="50">
        <v>1</v>
      </c>
      <c r="H57" s="50">
        <v>0</v>
      </c>
      <c r="I57" s="50">
        <v>5</v>
      </c>
      <c r="J57" s="50">
        <v>3</v>
      </c>
      <c r="K57" s="50">
        <v>1</v>
      </c>
      <c r="L57" s="50">
        <v>0</v>
      </c>
      <c r="M57" s="50">
        <v>102</v>
      </c>
      <c r="N57" s="50">
        <v>0</v>
      </c>
      <c r="O57" s="15">
        <f t="shared" si="0"/>
        <v>89</v>
      </c>
      <c r="P57" s="15">
        <f t="shared" si="1"/>
        <v>191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2673</v>
      </c>
      <c r="D58" s="16">
        <f t="shared" si="21"/>
        <v>953</v>
      </c>
      <c r="E58" s="16">
        <f t="shared" si="21"/>
        <v>291</v>
      </c>
      <c r="F58" s="16">
        <f t="shared" si="21"/>
        <v>585</v>
      </c>
      <c r="G58" s="16">
        <f t="shared" si="21"/>
        <v>4</v>
      </c>
      <c r="H58" s="16">
        <f t="shared" si="21"/>
        <v>3</v>
      </c>
      <c r="I58" s="16">
        <f t="shared" si="21"/>
        <v>110</v>
      </c>
      <c r="J58" s="16">
        <f t="shared" si="21"/>
        <v>41</v>
      </c>
      <c r="K58" s="16">
        <f t="shared" si="21"/>
        <v>19</v>
      </c>
      <c r="L58" s="16">
        <f t="shared" si="21"/>
        <v>4</v>
      </c>
      <c r="M58" s="16">
        <f t="shared" si="21"/>
        <v>4516</v>
      </c>
      <c r="N58" s="16">
        <f t="shared" si="21"/>
        <v>0</v>
      </c>
      <c r="O58" s="16">
        <f t="shared" si="21"/>
        <v>4683</v>
      </c>
      <c r="P58" s="16">
        <f t="shared" si="21"/>
        <v>9199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0.29057506250679421</v>
      </c>
      <c r="D59" s="43">
        <f t="shared" si="22"/>
        <v>0.10359821719752146</v>
      </c>
      <c r="E59" s="43">
        <f t="shared" si="22"/>
        <v>3.1633873247092076E-2</v>
      </c>
      <c r="F59" s="43">
        <f t="shared" si="22"/>
        <v>6.3593868898793343E-2</v>
      </c>
      <c r="G59" s="43">
        <f t="shared" si="22"/>
        <v>4.3482987281226221E-4</v>
      </c>
      <c r="H59" s="43">
        <f t="shared" si="22"/>
        <v>3.2612240460919666E-4</v>
      </c>
      <c r="I59" s="43">
        <f t="shared" si="22"/>
        <v>1.195782150233721E-2</v>
      </c>
      <c r="J59" s="43">
        <f t="shared" si="22"/>
        <v>4.4570061963256878E-3</v>
      </c>
      <c r="K59" s="43">
        <f t="shared" si="22"/>
        <v>2.0654418958582456E-3</v>
      </c>
      <c r="L59" s="43">
        <f t="shared" si="22"/>
        <v>4.3482987281226221E-4</v>
      </c>
      <c r="M59" s="43">
        <f t="shared" si="22"/>
        <v>0.49092292640504404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0.5707879564381807</v>
      </c>
      <c r="D60" s="44">
        <f t="shared" ref="D60:N60" si="23">D58/$O$58</f>
        <v>0.20350202861413624</v>
      </c>
      <c r="E60" s="44">
        <f t="shared" si="23"/>
        <v>6.2139654067905191E-2</v>
      </c>
      <c r="F60" s="44">
        <f t="shared" si="23"/>
        <v>0.12491992312620115</v>
      </c>
      <c r="G60" s="44">
        <f t="shared" si="23"/>
        <v>8.5415332052103351E-4</v>
      </c>
      <c r="H60" s="44">
        <f t="shared" si="23"/>
        <v>6.406149903907751E-4</v>
      </c>
      <c r="I60" s="44">
        <f t="shared" si="23"/>
        <v>2.3489216314328421E-2</v>
      </c>
      <c r="J60" s="44">
        <f t="shared" si="23"/>
        <v>8.7550715353405945E-3</v>
      </c>
      <c r="K60" s="44">
        <f t="shared" si="23"/>
        <v>4.0572282724749094E-3</v>
      </c>
      <c r="L60" s="44">
        <f t="shared" si="23"/>
        <v>8.5415332052103351E-4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Kisaasi-Kyanja'!C3:G3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6" t="str">
        <f>'04.08 Kyanja-Kisaasi'!G5:H5</f>
        <v>Malcom Health center</v>
      </c>
      <c r="H5" s="67"/>
      <c r="I5" s="14"/>
      <c r="J5" s="2" t="s">
        <v>5</v>
      </c>
      <c r="K5" s="66" t="s">
        <v>173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'04.08 Kyanja-Kisaasi'!K6:L6</f>
        <v>Denis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2</v>
      </c>
      <c r="E10" s="50">
        <v>0</v>
      </c>
      <c r="F10" s="50">
        <v>5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44</v>
      </c>
      <c r="T10" s="17">
        <f t="shared" si="2"/>
        <v>17</v>
      </c>
      <c r="U10" s="17">
        <f t="shared" si="2"/>
        <v>4</v>
      </c>
      <c r="V10" s="17">
        <f t="shared" si="2"/>
        <v>53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143</v>
      </c>
      <c r="AD10" s="17">
        <f t="shared" si="2"/>
        <v>0</v>
      </c>
      <c r="AE10" s="31">
        <f t="shared" si="2"/>
        <v>128</v>
      </c>
      <c r="AF10" s="31">
        <f t="shared" si="2"/>
        <v>271</v>
      </c>
    </row>
    <row r="11" spans="2:32" s="6" customFormat="1" ht="23.1" customHeight="1" x14ac:dyDescent="0.25">
      <c r="B11" s="23" t="s">
        <v>38</v>
      </c>
      <c r="C11" s="50">
        <v>17</v>
      </c>
      <c r="D11" s="50">
        <v>5</v>
      </c>
      <c r="E11" s="50">
        <v>2</v>
      </c>
      <c r="F11" s="50">
        <v>18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37</v>
      </c>
      <c r="N11" s="50">
        <v>0</v>
      </c>
      <c r="O11" s="15">
        <f t="shared" si="0"/>
        <v>43</v>
      </c>
      <c r="P11" s="15">
        <f t="shared" si="1"/>
        <v>80</v>
      </c>
      <c r="R11" s="1" t="s">
        <v>7</v>
      </c>
      <c r="S11" s="17">
        <f t="shared" ref="S11:AF11" si="3">SUM(C14:C17)</f>
        <v>90</v>
      </c>
      <c r="T11" s="17">
        <f t="shared" si="3"/>
        <v>41</v>
      </c>
      <c r="U11" s="17">
        <f t="shared" si="3"/>
        <v>16</v>
      </c>
      <c r="V11" s="17">
        <f t="shared" si="3"/>
        <v>78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0</v>
      </c>
      <c r="AA11" s="17">
        <f t="shared" si="3"/>
        <v>6</v>
      </c>
      <c r="AB11" s="17">
        <f t="shared" si="3"/>
        <v>0</v>
      </c>
      <c r="AC11" s="17">
        <f t="shared" si="3"/>
        <v>308</v>
      </c>
      <c r="AD11" s="17">
        <f t="shared" si="3"/>
        <v>0</v>
      </c>
      <c r="AE11" s="31">
        <f t="shared" si="3"/>
        <v>237</v>
      </c>
      <c r="AF11" s="31">
        <f t="shared" si="3"/>
        <v>545</v>
      </c>
    </row>
    <row r="12" spans="2:32" ht="23.1" customHeight="1" x14ac:dyDescent="0.25">
      <c r="B12" s="23" t="s">
        <v>39</v>
      </c>
      <c r="C12" s="50">
        <v>6</v>
      </c>
      <c r="D12" s="50">
        <v>4</v>
      </c>
      <c r="E12" s="50">
        <v>1</v>
      </c>
      <c r="F12" s="50">
        <v>13</v>
      </c>
      <c r="G12" s="50">
        <v>0</v>
      </c>
      <c r="H12" s="50">
        <v>0</v>
      </c>
      <c r="I12" s="50">
        <v>2</v>
      </c>
      <c r="J12" s="50">
        <v>0</v>
      </c>
      <c r="K12" s="50">
        <v>2</v>
      </c>
      <c r="L12" s="50">
        <v>0</v>
      </c>
      <c r="M12" s="50">
        <v>51</v>
      </c>
      <c r="N12" s="50">
        <v>0</v>
      </c>
      <c r="O12" s="15">
        <f t="shared" si="0"/>
        <v>28</v>
      </c>
      <c r="P12" s="15">
        <f t="shared" si="1"/>
        <v>79</v>
      </c>
      <c r="R12" s="1" t="s">
        <v>8</v>
      </c>
      <c r="S12" s="17">
        <f t="shared" ref="S12:AF12" si="4">SUM(C18:C21)</f>
        <v>104</v>
      </c>
      <c r="T12" s="17">
        <f t="shared" si="4"/>
        <v>66</v>
      </c>
      <c r="U12" s="17">
        <f t="shared" si="4"/>
        <v>12</v>
      </c>
      <c r="V12" s="17">
        <f t="shared" si="4"/>
        <v>58</v>
      </c>
      <c r="W12" s="17">
        <f t="shared" si="4"/>
        <v>0</v>
      </c>
      <c r="X12" s="17">
        <f t="shared" si="4"/>
        <v>0</v>
      </c>
      <c r="Y12" s="17">
        <f t="shared" si="4"/>
        <v>22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247</v>
      </c>
      <c r="AD12" s="17">
        <f t="shared" si="4"/>
        <v>0</v>
      </c>
      <c r="AE12" s="31">
        <f t="shared" si="4"/>
        <v>265</v>
      </c>
      <c r="AF12" s="31">
        <f t="shared" si="4"/>
        <v>512</v>
      </c>
    </row>
    <row r="13" spans="2:32" ht="23.1" customHeight="1" x14ac:dyDescent="0.25">
      <c r="B13" s="23" t="s">
        <v>40</v>
      </c>
      <c r="C13" s="50">
        <v>17</v>
      </c>
      <c r="D13" s="50">
        <v>6</v>
      </c>
      <c r="E13" s="50">
        <v>1</v>
      </c>
      <c r="F13" s="50">
        <v>17</v>
      </c>
      <c r="G13" s="50">
        <v>1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52</v>
      </c>
      <c r="N13" s="50">
        <v>0</v>
      </c>
      <c r="O13" s="15">
        <f t="shared" si="0"/>
        <v>45</v>
      </c>
      <c r="P13" s="15">
        <f t="shared" si="1"/>
        <v>97</v>
      </c>
      <c r="R13" s="1" t="s">
        <v>9</v>
      </c>
      <c r="S13" s="17">
        <f t="shared" ref="S13:AF13" si="5">SUM(C22:C25)</f>
        <v>130</v>
      </c>
      <c r="T13" s="17">
        <f t="shared" si="5"/>
        <v>102</v>
      </c>
      <c r="U13" s="17">
        <f t="shared" si="5"/>
        <v>13</v>
      </c>
      <c r="V13" s="17">
        <f t="shared" si="5"/>
        <v>75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274</v>
      </c>
      <c r="AD13" s="17">
        <f t="shared" si="5"/>
        <v>0</v>
      </c>
      <c r="AE13" s="31">
        <f t="shared" si="5"/>
        <v>334</v>
      </c>
      <c r="AF13" s="31">
        <f t="shared" si="5"/>
        <v>608</v>
      </c>
    </row>
    <row r="14" spans="2:32" ht="23.1" customHeight="1" x14ac:dyDescent="0.25">
      <c r="B14" s="23" t="s">
        <v>41</v>
      </c>
      <c r="C14" s="50">
        <v>24</v>
      </c>
      <c r="D14" s="50">
        <v>7</v>
      </c>
      <c r="E14" s="50">
        <v>3</v>
      </c>
      <c r="F14" s="50">
        <v>24</v>
      </c>
      <c r="G14" s="50">
        <v>0</v>
      </c>
      <c r="H14" s="50">
        <v>0</v>
      </c>
      <c r="I14" s="50">
        <v>1</v>
      </c>
      <c r="J14" s="50">
        <v>0</v>
      </c>
      <c r="K14" s="50">
        <v>2</v>
      </c>
      <c r="L14" s="50">
        <v>0</v>
      </c>
      <c r="M14" s="50">
        <v>56</v>
      </c>
      <c r="N14" s="50">
        <v>0</v>
      </c>
      <c r="O14" s="15">
        <f t="shared" si="0"/>
        <v>61</v>
      </c>
      <c r="P14" s="15">
        <f t="shared" si="1"/>
        <v>117</v>
      </c>
      <c r="R14" s="1" t="s">
        <v>10</v>
      </c>
      <c r="S14" s="17">
        <f t="shared" ref="S14:AF14" si="6">SUM(C26:C29)</f>
        <v>144</v>
      </c>
      <c r="T14" s="17">
        <f t="shared" si="6"/>
        <v>98</v>
      </c>
      <c r="U14" s="17">
        <f t="shared" si="6"/>
        <v>13</v>
      </c>
      <c r="V14" s="17">
        <f t="shared" si="6"/>
        <v>63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0</v>
      </c>
      <c r="AA14" s="17">
        <f t="shared" si="6"/>
        <v>2</v>
      </c>
      <c r="AB14" s="17">
        <f t="shared" si="6"/>
        <v>0</v>
      </c>
      <c r="AC14" s="17">
        <f t="shared" si="6"/>
        <v>227</v>
      </c>
      <c r="AD14" s="17">
        <f t="shared" si="6"/>
        <v>0</v>
      </c>
      <c r="AE14" s="31">
        <f t="shared" si="6"/>
        <v>332</v>
      </c>
      <c r="AF14" s="31">
        <f t="shared" si="6"/>
        <v>559</v>
      </c>
    </row>
    <row r="15" spans="2:32" ht="23.1" customHeight="1" x14ac:dyDescent="0.25">
      <c r="B15" s="23" t="s">
        <v>42</v>
      </c>
      <c r="C15" s="50">
        <v>14</v>
      </c>
      <c r="D15" s="50">
        <v>9</v>
      </c>
      <c r="E15" s="50">
        <v>7</v>
      </c>
      <c r="F15" s="50">
        <v>13</v>
      </c>
      <c r="G15" s="50">
        <v>0</v>
      </c>
      <c r="H15" s="50">
        <v>0</v>
      </c>
      <c r="I15" s="50">
        <v>2</v>
      </c>
      <c r="J15" s="50">
        <v>0</v>
      </c>
      <c r="K15" s="50">
        <v>1</v>
      </c>
      <c r="L15" s="50">
        <v>0</v>
      </c>
      <c r="M15" s="50">
        <v>67</v>
      </c>
      <c r="N15" s="50">
        <v>0</v>
      </c>
      <c r="O15" s="15">
        <f t="shared" si="0"/>
        <v>46</v>
      </c>
      <c r="P15" s="15">
        <f t="shared" si="1"/>
        <v>113</v>
      </c>
      <c r="R15" s="1" t="s">
        <v>11</v>
      </c>
      <c r="S15" s="17">
        <f t="shared" ref="S15:AF15" si="7">SUM(C30:C33)</f>
        <v>190</v>
      </c>
      <c r="T15" s="17">
        <f t="shared" si="7"/>
        <v>125</v>
      </c>
      <c r="U15" s="17">
        <f t="shared" si="7"/>
        <v>18</v>
      </c>
      <c r="V15" s="17">
        <f t="shared" si="7"/>
        <v>68</v>
      </c>
      <c r="W15" s="17">
        <f t="shared" si="7"/>
        <v>0</v>
      </c>
      <c r="X15" s="17">
        <f t="shared" si="7"/>
        <v>0</v>
      </c>
      <c r="Y15" s="17">
        <f t="shared" si="7"/>
        <v>19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364</v>
      </c>
      <c r="AD15" s="17">
        <f t="shared" si="7"/>
        <v>0</v>
      </c>
      <c r="AE15" s="31">
        <f t="shared" si="7"/>
        <v>420</v>
      </c>
      <c r="AF15" s="31">
        <f t="shared" si="7"/>
        <v>784</v>
      </c>
    </row>
    <row r="16" spans="2:32" ht="23.1" customHeight="1" x14ac:dyDescent="0.25">
      <c r="B16" s="23" t="s">
        <v>43</v>
      </c>
      <c r="C16" s="50">
        <v>28</v>
      </c>
      <c r="D16" s="50">
        <v>15</v>
      </c>
      <c r="E16" s="50">
        <v>4</v>
      </c>
      <c r="F16" s="50">
        <v>26</v>
      </c>
      <c r="G16" s="50">
        <v>0</v>
      </c>
      <c r="H16" s="50">
        <v>0</v>
      </c>
      <c r="I16" s="50">
        <v>3</v>
      </c>
      <c r="J16" s="50">
        <v>0</v>
      </c>
      <c r="K16" s="50">
        <v>3</v>
      </c>
      <c r="L16" s="50">
        <v>0</v>
      </c>
      <c r="M16" s="50">
        <v>125</v>
      </c>
      <c r="N16" s="50">
        <v>0</v>
      </c>
      <c r="O16" s="15">
        <f t="shared" si="0"/>
        <v>79</v>
      </c>
      <c r="P16" s="15">
        <f t="shared" si="1"/>
        <v>204</v>
      </c>
      <c r="R16" s="1" t="s">
        <v>12</v>
      </c>
      <c r="S16" s="17">
        <f t="shared" ref="S16:AF16" si="8">SUM(C34:C37)</f>
        <v>185</v>
      </c>
      <c r="T16" s="17">
        <f t="shared" si="8"/>
        <v>189</v>
      </c>
      <c r="U16" s="17">
        <f t="shared" si="8"/>
        <v>19</v>
      </c>
      <c r="V16" s="17">
        <f t="shared" si="8"/>
        <v>72</v>
      </c>
      <c r="W16" s="17">
        <f t="shared" si="8"/>
        <v>0</v>
      </c>
      <c r="X16" s="17">
        <f t="shared" si="8"/>
        <v>0</v>
      </c>
      <c r="Y16" s="17">
        <f t="shared" si="8"/>
        <v>19</v>
      </c>
      <c r="Z16" s="17">
        <f t="shared" si="8"/>
        <v>3</v>
      </c>
      <c r="AA16" s="17">
        <f t="shared" si="8"/>
        <v>0</v>
      </c>
      <c r="AB16" s="17">
        <f t="shared" si="8"/>
        <v>1</v>
      </c>
      <c r="AC16" s="17">
        <f t="shared" si="8"/>
        <v>281</v>
      </c>
      <c r="AD16" s="17">
        <f t="shared" si="8"/>
        <v>0</v>
      </c>
      <c r="AE16" s="31">
        <f t="shared" si="8"/>
        <v>488</v>
      </c>
      <c r="AF16" s="31">
        <f t="shared" si="8"/>
        <v>769</v>
      </c>
    </row>
    <row r="17" spans="2:32" ht="23.1" customHeight="1" x14ac:dyDescent="0.25">
      <c r="B17" s="23" t="s">
        <v>44</v>
      </c>
      <c r="C17" s="50">
        <v>24</v>
      </c>
      <c r="D17" s="50">
        <v>10</v>
      </c>
      <c r="E17" s="50">
        <v>2</v>
      </c>
      <c r="F17" s="50">
        <v>15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60</v>
      </c>
      <c r="N17" s="50">
        <v>0</v>
      </c>
      <c r="O17" s="15">
        <f t="shared" si="0"/>
        <v>51</v>
      </c>
      <c r="P17" s="15">
        <f t="shared" si="1"/>
        <v>111</v>
      </c>
      <c r="R17" s="1" t="s">
        <v>13</v>
      </c>
      <c r="S17" s="17">
        <f t="shared" ref="S17:AF17" si="9">SUM(C38:C41)</f>
        <v>322</v>
      </c>
      <c r="T17" s="17">
        <f t="shared" si="9"/>
        <v>116</v>
      </c>
      <c r="U17" s="17">
        <f t="shared" si="9"/>
        <v>23</v>
      </c>
      <c r="V17" s="17">
        <f t="shared" si="9"/>
        <v>55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3</v>
      </c>
      <c r="AA17" s="17">
        <f t="shared" si="9"/>
        <v>1</v>
      </c>
      <c r="AB17" s="17">
        <f t="shared" si="9"/>
        <v>0</v>
      </c>
      <c r="AC17" s="17">
        <f t="shared" si="9"/>
        <v>270</v>
      </c>
      <c r="AD17" s="17">
        <f t="shared" si="9"/>
        <v>0</v>
      </c>
      <c r="AE17" s="31">
        <f t="shared" si="9"/>
        <v>536</v>
      </c>
      <c r="AF17" s="31">
        <f t="shared" si="9"/>
        <v>806</v>
      </c>
    </row>
    <row r="18" spans="2:32" ht="23.1" customHeight="1" x14ac:dyDescent="0.25">
      <c r="B18" s="23" t="s">
        <v>45</v>
      </c>
      <c r="C18" s="50">
        <v>20</v>
      </c>
      <c r="D18" s="50">
        <v>12</v>
      </c>
      <c r="E18" s="50">
        <v>4</v>
      </c>
      <c r="F18" s="50">
        <v>20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67</v>
      </c>
      <c r="N18" s="50">
        <v>0</v>
      </c>
      <c r="O18" s="15">
        <f t="shared" si="0"/>
        <v>60</v>
      </c>
      <c r="P18" s="15">
        <f t="shared" si="1"/>
        <v>127</v>
      </c>
      <c r="R18" s="1" t="s">
        <v>14</v>
      </c>
      <c r="S18" s="17">
        <f t="shared" ref="S18:AF18" si="10">SUM(C42:C45)</f>
        <v>227</v>
      </c>
      <c r="T18" s="17">
        <f t="shared" si="10"/>
        <v>92</v>
      </c>
      <c r="U18" s="17">
        <f t="shared" si="10"/>
        <v>18</v>
      </c>
      <c r="V18" s="17">
        <f t="shared" si="10"/>
        <v>74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5</v>
      </c>
      <c r="AA18" s="17">
        <f t="shared" si="10"/>
        <v>1</v>
      </c>
      <c r="AB18" s="17">
        <f t="shared" si="10"/>
        <v>0</v>
      </c>
      <c r="AC18" s="17">
        <f t="shared" si="10"/>
        <v>367</v>
      </c>
      <c r="AD18" s="17">
        <f t="shared" si="10"/>
        <v>0</v>
      </c>
      <c r="AE18" s="31">
        <f t="shared" si="10"/>
        <v>422</v>
      </c>
      <c r="AF18" s="31">
        <f t="shared" si="10"/>
        <v>789</v>
      </c>
    </row>
    <row r="19" spans="2:32" ht="23.1" customHeight="1" x14ac:dyDescent="0.25">
      <c r="B19" s="23" t="s">
        <v>46</v>
      </c>
      <c r="C19" s="50">
        <v>27</v>
      </c>
      <c r="D19" s="50">
        <v>17</v>
      </c>
      <c r="E19" s="50">
        <v>4</v>
      </c>
      <c r="F19" s="50">
        <v>15</v>
      </c>
      <c r="G19" s="50">
        <v>0</v>
      </c>
      <c r="H19" s="50">
        <v>0</v>
      </c>
      <c r="I19" s="50">
        <v>8</v>
      </c>
      <c r="J19" s="50">
        <v>0</v>
      </c>
      <c r="K19" s="50">
        <v>0</v>
      </c>
      <c r="L19" s="50">
        <v>0</v>
      </c>
      <c r="M19" s="50">
        <v>70</v>
      </c>
      <c r="N19" s="50">
        <v>0</v>
      </c>
      <c r="O19" s="15">
        <f t="shared" si="0"/>
        <v>71</v>
      </c>
      <c r="P19" s="15">
        <f t="shared" si="1"/>
        <v>141</v>
      </c>
      <c r="R19" s="1" t="s">
        <v>15</v>
      </c>
      <c r="S19" s="17">
        <f t="shared" ref="S19:AF19" si="11">SUM(C46:C49)</f>
        <v>231</v>
      </c>
      <c r="T19" s="17">
        <f t="shared" si="11"/>
        <v>137</v>
      </c>
      <c r="U19" s="17">
        <f t="shared" si="11"/>
        <v>22</v>
      </c>
      <c r="V19" s="17">
        <f t="shared" si="11"/>
        <v>61</v>
      </c>
      <c r="W19" s="17">
        <f t="shared" si="11"/>
        <v>0</v>
      </c>
      <c r="X19" s="17">
        <f t="shared" si="11"/>
        <v>0</v>
      </c>
      <c r="Y19" s="17">
        <f t="shared" si="11"/>
        <v>24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272</v>
      </c>
      <c r="AD19" s="17">
        <f t="shared" si="11"/>
        <v>0</v>
      </c>
      <c r="AE19" s="31">
        <f t="shared" si="11"/>
        <v>478</v>
      </c>
      <c r="AF19" s="31">
        <f t="shared" si="11"/>
        <v>750</v>
      </c>
    </row>
    <row r="20" spans="2:32" ht="23.1" customHeight="1" x14ac:dyDescent="0.25">
      <c r="B20" s="23" t="s">
        <v>47</v>
      </c>
      <c r="C20" s="50">
        <v>26</v>
      </c>
      <c r="D20" s="50">
        <v>12</v>
      </c>
      <c r="E20" s="50">
        <v>4</v>
      </c>
      <c r="F20" s="50">
        <v>13</v>
      </c>
      <c r="G20" s="50">
        <v>0</v>
      </c>
      <c r="H20" s="50">
        <v>0</v>
      </c>
      <c r="I20" s="50">
        <v>3</v>
      </c>
      <c r="J20" s="50">
        <v>0</v>
      </c>
      <c r="K20" s="50">
        <v>1</v>
      </c>
      <c r="L20" s="50">
        <v>0</v>
      </c>
      <c r="M20" s="50">
        <v>50</v>
      </c>
      <c r="N20" s="50">
        <v>0</v>
      </c>
      <c r="O20" s="15">
        <f t="shared" si="0"/>
        <v>59</v>
      </c>
      <c r="P20" s="15">
        <f t="shared" si="1"/>
        <v>109</v>
      </c>
      <c r="R20" s="1" t="s">
        <v>16</v>
      </c>
      <c r="S20" s="17">
        <f t="shared" ref="S20:AF20" si="12">SUM(C50:C53)</f>
        <v>207</v>
      </c>
      <c r="T20" s="17">
        <f t="shared" si="12"/>
        <v>194</v>
      </c>
      <c r="U20" s="17">
        <f t="shared" si="12"/>
        <v>24</v>
      </c>
      <c r="V20" s="17">
        <f t="shared" si="12"/>
        <v>46</v>
      </c>
      <c r="W20" s="17">
        <f t="shared" si="12"/>
        <v>0</v>
      </c>
      <c r="X20" s="17">
        <f t="shared" si="12"/>
        <v>0</v>
      </c>
      <c r="Y20" s="17">
        <f t="shared" si="12"/>
        <v>20</v>
      </c>
      <c r="Z20" s="17">
        <f t="shared" si="12"/>
        <v>2</v>
      </c>
      <c r="AA20" s="17">
        <f t="shared" si="12"/>
        <v>2</v>
      </c>
      <c r="AB20" s="17">
        <f t="shared" si="12"/>
        <v>0</v>
      </c>
      <c r="AC20" s="17">
        <f t="shared" si="12"/>
        <v>294</v>
      </c>
      <c r="AD20" s="17">
        <f t="shared" si="12"/>
        <v>0</v>
      </c>
      <c r="AE20" s="31">
        <f t="shared" si="12"/>
        <v>495</v>
      </c>
      <c r="AF20" s="31">
        <f t="shared" si="12"/>
        <v>789</v>
      </c>
    </row>
    <row r="21" spans="2:32" ht="23.1" customHeight="1" x14ac:dyDescent="0.25">
      <c r="B21" s="23" t="s">
        <v>48</v>
      </c>
      <c r="C21" s="50">
        <v>31</v>
      </c>
      <c r="D21" s="50">
        <v>25</v>
      </c>
      <c r="E21" s="50">
        <v>0</v>
      </c>
      <c r="F21" s="50">
        <v>10</v>
      </c>
      <c r="G21" s="50">
        <v>0</v>
      </c>
      <c r="H21" s="50">
        <v>0</v>
      </c>
      <c r="I21" s="50">
        <v>7</v>
      </c>
      <c r="J21" s="50">
        <v>2</v>
      </c>
      <c r="K21" s="50">
        <v>0</v>
      </c>
      <c r="L21" s="50">
        <v>0</v>
      </c>
      <c r="M21" s="50">
        <v>60</v>
      </c>
      <c r="N21" s="50">
        <v>0</v>
      </c>
      <c r="O21" s="15">
        <f t="shared" si="0"/>
        <v>75</v>
      </c>
      <c r="P21" s="15">
        <f t="shared" si="1"/>
        <v>135</v>
      </c>
      <c r="R21" s="36" t="s">
        <v>20</v>
      </c>
      <c r="S21" s="34">
        <f t="shared" ref="S21:AF21" si="13">SUM(C54:C57)</f>
        <v>206</v>
      </c>
      <c r="T21" s="17">
        <f t="shared" si="13"/>
        <v>195</v>
      </c>
      <c r="U21" s="17">
        <f t="shared" si="13"/>
        <v>9</v>
      </c>
      <c r="V21" s="17">
        <f t="shared" si="13"/>
        <v>72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289</v>
      </c>
      <c r="AD21" s="17">
        <f t="shared" si="13"/>
        <v>0</v>
      </c>
      <c r="AE21" s="31">
        <f t="shared" si="13"/>
        <v>496</v>
      </c>
      <c r="AF21" s="31">
        <f t="shared" si="13"/>
        <v>785</v>
      </c>
    </row>
    <row r="22" spans="2:32" ht="23.1" customHeight="1" x14ac:dyDescent="0.25">
      <c r="B22" s="23" t="s">
        <v>49</v>
      </c>
      <c r="C22" s="50">
        <v>38</v>
      </c>
      <c r="D22" s="50">
        <v>32</v>
      </c>
      <c r="E22" s="50">
        <v>4</v>
      </c>
      <c r="F22" s="50">
        <v>20</v>
      </c>
      <c r="G22" s="50">
        <v>0</v>
      </c>
      <c r="H22" s="50">
        <v>0</v>
      </c>
      <c r="I22" s="50">
        <v>3</v>
      </c>
      <c r="J22" s="50">
        <v>0</v>
      </c>
      <c r="K22" s="50">
        <v>1</v>
      </c>
      <c r="L22" s="50">
        <v>0</v>
      </c>
      <c r="M22" s="50">
        <v>111</v>
      </c>
      <c r="N22" s="50">
        <v>0</v>
      </c>
      <c r="O22" s="15">
        <f t="shared" si="0"/>
        <v>98</v>
      </c>
      <c r="P22" s="15">
        <f t="shared" si="1"/>
        <v>209</v>
      </c>
      <c r="R22" s="38" t="s">
        <v>90</v>
      </c>
      <c r="S22" s="39">
        <f>MAX(S10:S12)</f>
        <v>104</v>
      </c>
      <c r="T22" s="39">
        <f t="shared" ref="T22:AF22" si="14">MAX(T10:T12)</f>
        <v>66</v>
      </c>
      <c r="U22" s="39">
        <f t="shared" si="14"/>
        <v>16</v>
      </c>
      <c r="V22" s="39">
        <f t="shared" si="14"/>
        <v>78</v>
      </c>
      <c r="W22" s="39">
        <f t="shared" si="14"/>
        <v>1</v>
      </c>
      <c r="X22" s="39">
        <f t="shared" si="14"/>
        <v>0</v>
      </c>
      <c r="Y22" s="39">
        <f t="shared" si="14"/>
        <v>22</v>
      </c>
      <c r="Z22" s="39">
        <f t="shared" si="14"/>
        <v>2</v>
      </c>
      <c r="AA22" s="39">
        <f t="shared" si="14"/>
        <v>6</v>
      </c>
      <c r="AB22" s="39">
        <f t="shared" si="14"/>
        <v>0</v>
      </c>
      <c r="AC22" s="39">
        <f t="shared" si="14"/>
        <v>308</v>
      </c>
      <c r="AD22" s="39">
        <f t="shared" si="14"/>
        <v>0</v>
      </c>
      <c r="AE22" s="40">
        <f t="shared" si="14"/>
        <v>265</v>
      </c>
      <c r="AF22" s="40">
        <f t="shared" si="14"/>
        <v>545</v>
      </c>
    </row>
    <row r="23" spans="2:32" ht="23.1" customHeight="1" x14ac:dyDescent="0.25">
      <c r="B23" s="23" t="s">
        <v>50</v>
      </c>
      <c r="C23" s="50">
        <v>35</v>
      </c>
      <c r="D23" s="50">
        <v>33</v>
      </c>
      <c r="E23" s="50">
        <v>3</v>
      </c>
      <c r="F23" s="50">
        <v>20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70</v>
      </c>
      <c r="N23" s="50">
        <v>0</v>
      </c>
      <c r="O23" s="15">
        <f t="shared" si="0"/>
        <v>94</v>
      </c>
      <c r="P23" s="15">
        <f t="shared" si="1"/>
        <v>164</v>
      </c>
      <c r="R23" s="38" t="s">
        <v>91</v>
      </c>
      <c r="S23" s="39">
        <f>MAX(S13:S18)</f>
        <v>322</v>
      </c>
      <c r="T23" s="39">
        <f t="shared" ref="T23:AF23" si="15">MAX(T13:T18)</f>
        <v>189</v>
      </c>
      <c r="U23" s="39">
        <f t="shared" si="15"/>
        <v>23</v>
      </c>
      <c r="V23" s="39">
        <f t="shared" si="15"/>
        <v>75</v>
      </c>
      <c r="W23" s="39">
        <f t="shared" si="15"/>
        <v>0</v>
      </c>
      <c r="X23" s="39">
        <f t="shared" si="15"/>
        <v>0</v>
      </c>
      <c r="Y23" s="39">
        <f t="shared" si="15"/>
        <v>19</v>
      </c>
      <c r="Z23" s="39">
        <f t="shared" si="15"/>
        <v>5</v>
      </c>
      <c r="AA23" s="39">
        <f t="shared" si="15"/>
        <v>2</v>
      </c>
      <c r="AB23" s="39">
        <f t="shared" si="15"/>
        <v>1</v>
      </c>
      <c r="AC23" s="39">
        <f t="shared" si="15"/>
        <v>367</v>
      </c>
      <c r="AD23" s="39">
        <f t="shared" si="15"/>
        <v>0</v>
      </c>
      <c r="AE23" s="40">
        <f t="shared" si="15"/>
        <v>536</v>
      </c>
      <c r="AF23" s="40">
        <f t="shared" si="15"/>
        <v>806</v>
      </c>
    </row>
    <row r="24" spans="2:32" ht="23.1" customHeight="1" x14ac:dyDescent="0.25">
      <c r="B24" s="23" t="s">
        <v>51</v>
      </c>
      <c r="C24" s="50">
        <v>35</v>
      </c>
      <c r="D24" s="50">
        <v>16</v>
      </c>
      <c r="E24" s="50">
        <v>5</v>
      </c>
      <c r="F24" s="50">
        <v>20</v>
      </c>
      <c r="G24" s="50">
        <v>0</v>
      </c>
      <c r="H24" s="50">
        <v>0</v>
      </c>
      <c r="I24" s="50">
        <v>5</v>
      </c>
      <c r="J24" s="50">
        <v>0</v>
      </c>
      <c r="K24" s="50">
        <v>1</v>
      </c>
      <c r="L24" s="50">
        <v>0</v>
      </c>
      <c r="M24" s="50">
        <v>63</v>
      </c>
      <c r="N24" s="50">
        <v>0</v>
      </c>
      <c r="O24" s="15">
        <f t="shared" si="0"/>
        <v>82</v>
      </c>
      <c r="P24" s="15">
        <f t="shared" si="1"/>
        <v>145</v>
      </c>
      <c r="R24" s="38" t="s">
        <v>92</v>
      </c>
      <c r="S24" s="39">
        <f>MAX(S19:S21)</f>
        <v>231</v>
      </c>
      <c r="T24" s="39">
        <f t="shared" ref="T24:AF24" si="16">MAX(T19:T21)</f>
        <v>195</v>
      </c>
      <c r="U24" s="39">
        <f t="shared" si="16"/>
        <v>24</v>
      </c>
      <c r="V24" s="39">
        <f t="shared" si="16"/>
        <v>72</v>
      </c>
      <c r="W24" s="39">
        <f t="shared" si="16"/>
        <v>0</v>
      </c>
      <c r="X24" s="39">
        <f t="shared" si="16"/>
        <v>0</v>
      </c>
      <c r="Y24" s="39">
        <f t="shared" si="16"/>
        <v>24</v>
      </c>
      <c r="Z24" s="39">
        <f t="shared" si="16"/>
        <v>2</v>
      </c>
      <c r="AA24" s="39">
        <f t="shared" si="16"/>
        <v>2</v>
      </c>
      <c r="AB24" s="39">
        <f t="shared" si="16"/>
        <v>0</v>
      </c>
      <c r="AC24" s="39">
        <f t="shared" si="16"/>
        <v>294</v>
      </c>
      <c r="AD24" s="39">
        <f t="shared" si="16"/>
        <v>0</v>
      </c>
      <c r="AE24" s="40">
        <f t="shared" si="16"/>
        <v>496</v>
      </c>
      <c r="AF24" s="40">
        <f t="shared" si="16"/>
        <v>789</v>
      </c>
    </row>
    <row r="25" spans="2:32" ht="23.1" customHeight="1" x14ac:dyDescent="0.25">
      <c r="B25" s="23" t="s">
        <v>52</v>
      </c>
      <c r="C25" s="50">
        <v>22</v>
      </c>
      <c r="D25" s="50">
        <v>21</v>
      </c>
      <c r="E25" s="50">
        <v>1</v>
      </c>
      <c r="F25" s="50">
        <v>15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30</v>
      </c>
      <c r="N25" s="50">
        <v>0</v>
      </c>
      <c r="O25" s="15">
        <f t="shared" si="0"/>
        <v>60</v>
      </c>
      <c r="P25" s="15">
        <f t="shared" si="1"/>
        <v>90</v>
      </c>
      <c r="R25" s="37" t="s">
        <v>85</v>
      </c>
      <c r="S25" s="35">
        <f t="shared" ref="S25:AF25" si="17">SUM(S10:S12)</f>
        <v>238</v>
      </c>
      <c r="T25" s="16">
        <f t="shared" si="17"/>
        <v>124</v>
      </c>
      <c r="U25" s="16">
        <f t="shared" si="17"/>
        <v>32</v>
      </c>
      <c r="V25" s="16">
        <f t="shared" si="17"/>
        <v>189</v>
      </c>
      <c r="W25" s="16">
        <f t="shared" si="17"/>
        <v>1</v>
      </c>
      <c r="X25" s="16">
        <f t="shared" si="17"/>
        <v>0</v>
      </c>
      <c r="Y25" s="16">
        <f t="shared" si="17"/>
        <v>35</v>
      </c>
      <c r="Z25" s="16">
        <f t="shared" si="17"/>
        <v>2</v>
      </c>
      <c r="AA25" s="16">
        <f t="shared" si="17"/>
        <v>9</v>
      </c>
      <c r="AB25" s="16">
        <f t="shared" si="17"/>
        <v>0</v>
      </c>
      <c r="AC25" s="16">
        <f t="shared" si="17"/>
        <v>698</v>
      </c>
      <c r="AD25" s="16">
        <f t="shared" si="17"/>
        <v>0</v>
      </c>
      <c r="AE25" s="32">
        <f t="shared" si="17"/>
        <v>630</v>
      </c>
      <c r="AF25" s="32">
        <f t="shared" si="17"/>
        <v>1328</v>
      </c>
    </row>
    <row r="26" spans="2:32" ht="23.1" customHeight="1" x14ac:dyDescent="0.25">
      <c r="B26" s="23" t="s">
        <v>53</v>
      </c>
      <c r="C26" s="50">
        <v>25</v>
      </c>
      <c r="D26" s="50">
        <v>11</v>
      </c>
      <c r="E26" s="50">
        <v>3</v>
      </c>
      <c r="F26" s="50">
        <v>11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0</v>
      </c>
      <c r="M26" s="50">
        <v>35</v>
      </c>
      <c r="N26" s="50">
        <v>0</v>
      </c>
      <c r="O26" s="15">
        <f t="shared" si="0"/>
        <v>52</v>
      </c>
      <c r="P26" s="15">
        <f t="shared" si="1"/>
        <v>87</v>
      </c>
      <c r="R26" s="28" t="s">
        <v>86</v>
      </c>
      <c r="S26" s="16">
        <f t="shared" ref="S26:AF26" si="18">SUM(S13:S18)</f>
        <v>1198</v>
      </c>
      <c r="T26" s="16">
        <f t="shared" si="18"/>
        <v>722</v>
      </c>
      <c r="U26" s="16">
        <f t="shared" si="18"/>
        <v>104</v>
      </c>
      <c r="V26" s="16">
        <f t="shared" si="18"/>
        <v>407</v>
      </c>
      <c r="W26" s="16">
        <f t="shared" si="18"/>
        <v>0</v>
      </c>
      <c r="X26" s="16">
        <f t="shared" si="18"/>
        <v>0</v>
      </c>
      <c r="Y26" s="16">
        <f t="shared" si="18"/>
        <v>83</v>
      </c>
      <c r="Z26" s="16">
        <f t="shared" si="18"/>
        <v>11</v>
      </c>
      <c r="AA26" s="16">
        <f t="shared" si="18"/>
        <v>6</v>
      </c>
      <c r="AB26" s="16">
        <f t="shared" si="18"/>
        <v>1</v>
      </c>
      <c r="AC26" s="16">
        <f t="shared" si="18"/>
        <v>1783</v>
      </c>
      <c r="AD26" s="16">
        <f t="shared" si="18"/>
        <v>0</v>
      </c>
      <c r="AE26" s="32">
        <f t="shared" si="18"/>
        <v>2532</v>
      </c>
      <c r="AF26" s="32">
        <f t="shared" si="18"/>
        <v>4315</v>
      </c>
    </row>
    <row r="27" spans="2:32" ht="23.1" customHeight="1" x14ac:dyDescent="0.25">
      <c r="B27" s="23" t="s">
        <v>54</v>
      </c>
      <c r="C27" s="50">
        <v>30</v>
      </c>
      <c r="D27" s="50">
        <v>26</v>
      </c>
      <c r="E27" s="50">
        <v>2</v>
      </c>
      <c r="F27" s="50">
        <v>25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50</v>
      </c>
      <c r="N27" s="50">
        <v>0</v>
      </c>
      <c r="O27" s="15">
        <f t="shared" si="0"/>
        <v>87</v>
      </c>
      <c r="P27" s="15">
        <f t="shared" si="1"/>
        <v>137</v>
      </c>
      <c r="R27" s="29" t="s">
        <v>87</v>
      </c>
      <c r="S27" s="16">
        <f t="shared" ref="S27:AF27" si="19">SUM(S19:S21)</f>
        <v>644</v>
      </c>
      <c r="T27" s="16">
        <f t="shared" si="19"/>
        <v>526</v>
      </c>
      <c r="U27" s="16">
        <f t="shared" si="19"/>
        <v>55</v>
      </c>
      <c r="V27" s="16">
        <f t="shared" si="19"/>
        <v>179</v>
      </c>
      <c r="W27" s="16">
        <f t="shared" si="19"/>
        <v>0</v>
      </c>
      <c r="X27" s="16">
        <f t="shared" si="19"/>
        <v>0</v>
      </c>
      <c r="Y27" s="16">
        <f t="shared" si="19"/>
        <v>57</v>
      </c>
      <c r="Z27" s="16">
        <f t="shared" si="19"/>
        <v>4</v>
      </c>
      <c r="AA27" s="16">
        <f t="shared" si="19"/>
        <v>4</v>
      </c>
      <c r="AB27" s="16">
        <f t="shared" si="19"/>
        <v>0</v>
      </c>
      <c r="AC27" s="16">
        <f t="shared" si="19"/>
        <v>855</v>
      </c>
      <c r="AD27" s="16">
        <f t="shared" si="19"/>
        <v>0</v>
      </c>
      <c r="AE27" s="32">
        <f t="shared" si="19"/>
        <v>1469</v>
      </c>
      <c r="AF27" s="32">
        <f t="shared" si="19"/>
        <v>2324</v>
      </c>
    </row>
    <row r="28" spans="2:32" ht="23.1" customHeight="1" x14ac:dyDescent="0.25">
      <c r="B28" s="23" t="s">
        <v>55</v>
      </c>
      <c r="C28" s="50">
        <v>65</v>
      </c>
      <c r="D28" s="50">
        <v>35</v>
      </c>
      <c r="E28" s="50">
        <v>4</v>
      </c>
      <c r="F28" s="50">
        <v>21</v>
      </c>
      <c r="G28" s="50">
        <v>0</v>
      </c>
      <c r="H28" s="50">
        <v>0</v>
      </c>
      <c r="I28" s="50">
        <v>6</v>
      </c>
      <c r="J28" s="50">
        <v>0</v>
      </c>
      <c r="K28" s="50">
        <v>0</v>
      </c>
      <c r="L28" s="50">
        <v>0</v>
      </c>
      <c r="M28" s="50">
        <v>80</v>
      </c>
      <c r="N28" s="50">
        <v>0</v>
      </c>
      <c r="O28" s="15">
        <f t="shared" si="0"/>
        <v>131</v>
      </c>
      <c r="P28" s="15">
        <f t="shared" si="1"/>
        <v>211</v>
      </c>
      <c r="R28" s="5" t="s">
        <v>17</v>
      </c>
      <c r="S28" s="16">
        <f t="shared" ref="S28:AF28" si="20">SUM(S10:S21)</f>
        <v>2080</v>
      </c>
      <c r="T28" s="16">
        <f t="shared" si="20"/>
        <v>1372</v>
      </c>
      <c r="U28" s="16">
        <f t="shared" si="20"/>
        <v>191</v>
      </c>
      <c r="V28" s="16">
        <f t="shared" si="20"/>
        <v>775</v>
      </c>
      <c r="W28" s="16">
        <f t="shared" si="20"/>
        <v>1</v>
      </c>
      <c r="X28" s="16">
        <f t="shared" si="20"/>
        <v>0</v>
      </c>
      <c r="Y28" s="16">
        <f t="shared" si="20"/>
        <v>175</v>
      </c>
      <c r="Z28" s="16">
        <f t="shared" si="20"/>
        <v>17</v>
      </c>
      <c r="AA28" s="16">
        <f t="shared" si="20"/>
        <v>19</v>
      </c>
      <c r="AB28" s="16">
        <f t="shared" si="20"/>
        <v>1</v>
      </c>
      <c r="AC28" s="16">
        <f t="shared" si="20"/>
        <v>3336</v>
      </c>
      <c r="AD28" s="16">
        <f t="shared" si="20"/>
        <v>0</v>
      </c>
      <c r="AE28" s="32">
        <f t="shared" si="20"/>
        <v>4631</v>
      </c>
      <c r="AF28" s="32">
        <f t="shared" si="20"/>
        <v>7967</v>
      </c>
    </row>
    <row r="29" spans="2:32" ht="23.1" customHeight="1" x14ac:dyDescent="0.25">
      <c r="B29" s="23" t="s">
        <v>56</v>
      </c>
      <c r="C29" s="50">
        <v>24</v>
      </c>
      <c r="D29" s="50">
        <v>26</v>
      </c>
      <c r="E29" s="50">
        <v>4</v>
      </c>
      <c r="F29" s="50">
        <v>6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0</v>
      </c>
      <c r="M29" s="50">
        <v>62</v>
      </c>
      <c r="N29" s="50">
        <v>0</v>
      </c>
      <c r="O29" s="15">
        <f t="shared" si="0"/>
        <v>62</v>
      </c>
      <c r="P29" s="15">
        <f t="shared" si="1"/>
        <v>124</v>
      </c>
      <c r="R29"/>
      <c r="S29" s="20"/>
      <c r="T29" s="19"/>
    </row>
    <row r="30" spans="2:32" ht="23.1" customHeight="1" x14ac:dyDescent="0.25">
      <c r="B30" s="23" t="s">
        <v>57</v>
      </c>
      <c r="C30" s="50">
        <v>42</v>
      </c>
      <c r="D30" s="50">
        <v>31</v>
      </c>
      <c r="E30" s="50">
        <v>3</v>
      </c>
      <c r="F30" s="50">
        <v>20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102</v>
      </c>
      <c r="N30" s="50">
        <v>0</v>
      </c>
      <c r="O30" s="15">
        <f t="shared" si="0"/>
        <v>100</v>
      </c>
      <c r="P30" s="15">
        <f t="shared" si="1"/>
        <v>202</v>
      </c>
    </row>
    <row r="31" spans="2:32" ht="23.1" customHeight="1" x14ac:dyDescent="0.25">
      <c r="B31" s="24" t="s">
        <v>58</v>
      </c>
      <c r="C31" s="50">
        <v>41</v>
      </c>
      <c r="D31" s="50">
        <v>30</v>
      </c>
      <c r="E31" s="50">
        <v>5</v>
      </c>
      <c r="F31" s="50">
        <v>14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86</v>
      </c>
      <c r="N31" s="50">
        <v>0</v>
      </c>
      <c r="O31" s="15">
        <f t="shared" si="0"/>
        <v>92</v>
      </c>
      <c r="P31" s="15">
        <f t="shared" si="1"/>
        <v>178</v>
      </c>
    </row>
    <row r="32" spans="2:32" ht="23.1" customHeight="1" x14ac:dyDescent="0.25">
      <c r="B32" s="24" t="s">
        <v>59</v>
      </c>
      <c r="C32" s="50">
        <v>59</v>
      </c>
      <c r="D32" s="50">
        <v>31</v>
      </c>
      <c r="E32" s="50">
        <v>3</v>
      </c>
      <c r="F32" s="50">
        <v>17</v>
      </c>
      <c r="G32" s="50">
        <v>0</v>
      </c>
      <c r="H32" s="50">
        <v>0</v>
      </c>
      <c r="I32" s="50">
        <v>8</v>
      </c>
      <c r="J32" s="50">
        <v>0</v>
      </c>
      <c r="K32" s="50">
        <v>0</v>
      </c>
      <c r="L32" s="50">
        <v>0</v>
      </c>
      <c r="M32" s="50">
        <v>81</v>
      </c>
      <c r="N32" s="50">
        <v>0</v>
      </c>
      <c r="O32" s="15">
        <f t="shared" si="0"/>
        <v>118</v>
      </c>
      <c r="P32" s="15">
        <f t="shared" si="1"/>
        <v>199</v>
      </c>
    </row>
    <row r="33" spans="2:20" ht="23.1" customHeight="1" x14ac:dyDescent="0.25">
      <c r="B33" s="23" t="s">
        <v>60</v>
      </c>
      <c r="C33" s="50">
        <v>48</v>
      </c>
      <c r="D33" s="50">
        <v>33</v>
      </c>
      <c r="E33" s="50">
        <v>7</v>
      </c>
      <c r="F33" s="50">
        <v>17</v>
      </c>
      <c r="G33" s="50">
        <v>0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95</v>
      </c>
      <c r="N33" s="50">
        <v>0</v>
      </c>
      <c r="O33" s="15">
        <f t="shared" si="0"/>
        <v>110</v>
      </c>
      <c r="P33" s="15">
        <f t="shared" si="1"/>
        <v>205</v>
      </c>
    </row>
    <row r="34" spans="2:20" ht="23.1" customHeight="1" x14ac:dyDescent="0.25">
      <c r="B34" s="24" t="s">
        <v>61</v>
      </c>
      <c r="C34" s="50">
        <v>50</v>
      </c>
      <c r="D34" s="50">
        <v>52</v>
      </c>
      <c r="E34" s="50">
        <v>5</v>
      </c>
      <c r="F34" s="50">
        <v>18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1</v>
      </c>
      <c r="M34" s="50">
        <v>70</v>
      </c>
      <c r="N34" s="50">
        <v>0</v>
      </c>
      <c r="O34" s="15">
        <f t="shared" si="0"/>
        <v>129</v>
      </c>
      <c r="P34" s="15">
        <f t="shared" si="1"/>
        <v>199</v>
      </c>
    </row>
    <row r="35" spans="2:20" ht="23.1" customHeight="1" x14ac:dyDescent="0.25">
      <c r="B35" s="24" t="s">
        <v>62</v>
      </c>
      <c r="C35" s="50">
        <v>32</v>
      </c>
      <c r="D35" s="50">
        <v>41</v>
      </c>
      <c r="E35" s="50">
        <v>6</v>
      </c>
      <c r="F35" s="50">
        <v>12</v>
      </c>
      <c r="G35" s="50">
        <v>0</v>
      </c>
      <c r="H35" s="50">
        <v>0</v>
      </c>
      <c r="I35" s="50">
        <v>6</v>
      </c>
      <c r="J35" s="50">
        <v>2</v>
      </c>
      <c r="K35" s="50">
        <v>0</v>
      </c>
      <c r="L35" s="50">
        <v>0</v>
      </c>
      <c r="M35" s="50">
        <v>71</v>
      </c>
      <c r="N35" s="50">
        <v>0</v>
      </c>
      <c r="O35" s="15">
        <f t="shared" si="0"/>
        <v>99</v>
      </c>
      <c r="P35" s="15">
        <f t="shared" si="1"/>
        <v>170</v>
      </c>
    </row>
    <row r="36" spans="2:20" ht="23.1" customHeight="1" x14ac:dyDescent="0.25">
      <c r="B36" s="24" t="s">
        <v>63</v>
      </c>
      <c r="C36" s="50">
        <v>51</v>
      </c>
      <c r="D36" s="50">
        <v>55</v>
      </c>
      <c r="E36" s="50">
        <v>6</v>
      </c>
      <c r="F36" s="50">
        <v>20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65</v>
      </c>
      <c r="N36" s="50">
        <v>0</v>
      </c>
      <c r="O36" s="15">
        <f t="shared" si="0"/>
        <v>135</v>
      </c>
      <c r="P36" s="15">
        <f t="shared" si="1"/>
        <v>200</v>
      </c>
    </row>
    <row r="37" spans="2:20" ht="23.1" customHeight="1" x14ac:dyDescent="0.25">
      <c r="B37" s="23" t="s">
        <v>64</v>
      </c>
      <c r="C37" s="50">
        <v>52</v>
      </c>
      <c r="D37" s="50">
        <v>41</v>
      </c>
      <c r="E37" s="50">
        <v>2</v>
      </c>
      <c r="F37" s="50">
        <v>22</v>
      </c>
      <c r="G37" s="50">
        <v>0</v>
      </c>
      <c r="H37" s="50">
        <v>0</v>
      </c>
      <c r="I37" s="50">
        <v>7</v>
      </c>
      <c r="J37" s="50">
        <v>1</v>
      </c>
      <c r="K37" s="50">
        <v>0</v>
      </c>
      <c r="L37" s="50">
        <v>0</v>
      </c>
      <c r="M37" s="50">
        <v>75</v>
      </c>
      <c r="N37" s="50">
        <v>0</v>
      </c>
      <c r="O37" s="15">
        <f t="shared" si="0"/>
        <v>125</v>
      </c>
      <c r="P37" s="15">
        <f t="shared" si="1"/>
        <v>200</v>
      </c>
    </row>
    <row r="38" spans="2:20" ht="23.1" customHeight="1" x14ac:dyDescent="0.25">
      <c r="B38" s="24" t="s">
        <v>65</v>
      </c>
      <c r="C38" s="50">
        <v>101</v>
      </c>
      <c r="D38" s="50">
        <v>32</v>
      </c>
      <c r="E38" s="50">
        <v>4</v>
      </c>
      <c r="F38" s="50">
        <v>12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45</v>
      </c>
      <c r="N38" s="50">
        <v>0</v>
      </c>
      <c r="O38" s="15">
        <f t="shared" si="0"/>
        <v>153</v>
      </c>
      <c r="P38" s="15">
        <f t="shared" si="1"/>
        <v>198</v>
      </c>
    </row>
    <row r="39" spans="2:20" ht="23.1" customHeight="1" x14ac:dyDescent="0.25">
      <c r="B39" s="24" t="s">
        <v>66</v>
      </c>
      <c r="C39" s="50">
        <v>56</v>
      </c>
      <c r="D39" s="50">
        <v>25</v>
      </c>
      <c r="E39" s="50">
        <v>6</v>
      </c>
      <c r="F39" s="50">
        <v>12</v>
      </c>
      <c r="G39" s="50">
        <v>0</v>
      </c>
      <c r="H39" s="50">
        <v>0</v>
      </c>
      <c r="I39" s="50">
        <v>4</v>
      </c>
      <c r="J39" s="50">
        <v>1</v>
      </c>
      <c r="K39" s="50">
        <v>0</v>
      </c>
      <c r="L39" s="50">
        <v>0</v>
      </c>
      <c r="M39" s="50">
        <v>68</v>
      </c>
      <c r="N39" s="50">
        <v>0</v>
      </c>
      <c r="O39" s="15">
        <f t="shared" si="0"/>
        <v>104</v>
      </c>
      <c r="P39" s="15">
        <f t="shared" si="1"/>
        <v>172</v>
      </c>
    </row>
    <row r="40" spans="2:20" ht="23.1" customHeight="1" x14ac:dyDescent="0.25">
      <c r="B40" s="24" t="s">
        <v>67</v>
      </c>
      <c r="C40" s="50">
        <v>85</v>
      </c>
      <c r="D40" s="50">
        <v>32</v>
      </c>
      <c r="E40" s="50">
        <v>7</v>
      </c>
      <c r="F40" s="50">
        <v>19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0</v>
      </c>
      <c r="M40" s="50">
        <v>87</v>
      </c>
      <c r="N40" s="50">
        <v>0</v>
      </c>
      <c r="O40" s="15">
        <f t="shared" si="0"/>
        <v>148</v>
      </c>
      <c r="P40" s="15">
        <f t="shared" si="1"/>
        <v>235</v>
      </c>
    </row>
    <row r="41" spans="2:20" ht="23.1" customHeight="1" x14ac:dyDescent="0.25">
      <c r="B41" s="23" t="s">
        <v>68</v>
      </c>
      <c r="C41" s="50">
        <v>80</v>
      </c>
      <c r="D41" s="50">
        <v>27</v>
      </c>
      <c r="E41" s="50">
        <v>6</v>
      </c>
      <c r="F41" s="50">
        <v>12</v>
      </c>
      <c r="G41" s="50">
        <v>0</v>
      </c>
      <c r="H41" s="50">
        <v>0</v>
      </c>
      <c r="I41" s="50">
        <v>4</v>
      </c>
      <c r="J41" s="50">
        <v>1</v>
      </c>
      <c r="K41" s="50">
        <v>1</v>
      </c>
      <c r="L41" s="50">
        <v>0</v>
      </c>
      <c r="M41" s="50">
        <v>70</v>
      </c>
      <c r="N41" s="50">
        <v>0</v>
      </c>
      <c r="O41" s="15">
        <f t="shared" si="0"/>
        <v>131</v>
      </c>
      <c r="P41" s="15">
        <f t="shared" si="1"/>
        <v>201</v>
      </c>
    </row>
    <row r="42" spans="2:20" ht="23.1" customHeight="1" x14ac:dyDescent="0.25">
      <c r="B42" s="24" t="s">
        <v>69</v>
      </c>
      <c r="C42" s="50">
        <v>52</v>
      </c>
      <c r="D42" s="50">
        <v>33</v>
      </c>
      <c r="E42" s="50">
        <v>6</v>
      </c>
      <c r="F42" s="50">
        <v>23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85</v>
      </c>
      <c r="N42" s="50">
        <v>0</v>
      </c>
      <c r="O42" s="15">
        <f t="shared" si="0"/>
        <v>115</v>
      </c>
      <c r="P42" s="15">
        <f t="shared" si="1"/>
        <v>200</v>
      </c>
    </row>
    <row r="43" spans="2:20" ht="23.1" customHeight="1" x14ac:dyDescent="0.25">
      <c r="B43" s="23" t="s">
        <v>70</v>
      </c>
      <c r="C43" s="50">
        <v>40</v>
      </c>
      <c r="D43" s="50">
        <v>17</v>
      </c>
      <c r="E43" s="50">
        <v>3</v>
      </c>
      <c r="F43" s="50">
        <v>8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76</v>
      </c>
      <c r="N43" s="50">
        <v>0</v>
      </c>
      <c r="O43" s="15">
        <f t="shared" si="0"/>
        <v>70</v>
      </c>
      <c r="P43" s="15">
        <f t="shared" si="1"/>
        <v>146</v>
      </c>
    </row>
    <row r="44" spans="2:20" ht="23.1" customHeight="1" x14ac:dyDescent="0.25">
      <c r="B44" s="25" t="s">
        <v>71</v>
      </c>
      <c r="C44" s="50">
        <v>60</v>
      </c>
      <c r="D44" s="50">
        <v>22</v>
      </c>
      <c r="E44" s="50">
        <v>3</v>
      </c>
      <c r="F44" s="50">
        <v>13</v>
      </c>
      <c r="G44" s="50">
        <v>0</v>
      </c>
      <c r="H44" s="50">
        <v>0</v>
      </c>
      <c r="I44" s="50">
        <v>2</v>
      </c>
      <c r="J44" s="50">
        <v>2</v>
      </c>
      <c r="K44" s="50">
        <v>0</v>
      </c>
      <c r="L44" s="50">
        <v>0</v>
      </c>
      <c r="M44" s="50">
        <v>81</v>
      </c>
      <c r="N44" s="50">
        <v>0</v>
      </c>
      <c r="O44" s="15">
        <f t="shared" si="0"/>
        <v>102</v>
      </c>
      <c r="P44" s="15">
        <f t="shared" si="1"/>
        <v>183</v>
      </c>
    </row>
    <row r="45" spans="2:20" ht="23.1" customHeight="1" x14ac:dyDescent="0.25">
      <c r="B45" s="23" t="s">
        <v>72</v>
      </c>
      <c r="C45" s="50">
        <v>75</v>
      </c>
      <c r="D45" s="50">
        <v>20</v>
      </c>
      <c r="E45" s="50">
        <v>6</v>
      </c>
      <c r="F45" s="50">
        <v>30</v>
      </c>
      <c r="G45" s="50">
        <v>0</v>
      </c>
      <c r="H45" s="50">
        <v>0</v>
      </c>
      <c r="I45" s="50">
        <v>1</v>
      </c>
      <c r="J45" s="50">
        <v>2</v>
      </c>
      <c r="K45" s="50">
        <v>1</v>
      </c>
      <c r="L45" s="50">
        <v>0</v>
      </c>
      <c r="M45" s="50">
        <v>125</v>
      </c>
      <c r="N45" s="50">
        <v>0</v>
      </c>
      <c r="O45" s="15">
        <f t="shared" si="0"/>
        <v>135</v>
      </c>
      <c r="P45" s="15">
        <f t="shared" si="1"/>
        <v>260</v>
      </c>
    </row>
    <row r="46" spans="2:20" ht="23.1" customHeight="1" x14ac:dyDescent="0.25">
      <c r="B46" s="24" t="s">
        <v>73</v>
      </c>
      <c r="C46" s="50">
        <v>80</v>
      </c>
      <c r="D46" s="50">
        <v>30</v>
      </c>
      <c r="E46" s="50">
        <v>9</v>
      </c>
      <c r="F46" s="50">
        <v>20</v>
      </c>
      <c r="G46" s="50">
        <v>0</v>
      </c>
      <c r="H46" s="50">
        <v>0</v>
      </c>
      <c r="I46" s="50">
        <v>7</v>
      </c>
      <c r="J46" s="50">
        <v>2</v>
      </c>
      <c r="K46" s="50">
        <v>0</v>
      </c>
      <c r="L46" s="50">
        <v>0</v>
      </c>
      <c r="M46" s="50">
        <v>103</v>
      </c>
      <c r="N46" s="50">
        <v>0</v>
      </c>
      <c r="O46" s="15">
        <f t="shared" si="0"/>
        <v>148</v>
      </c>
      <c r="P46" s="15">
        <f t="shared" si="1"/>
        <v>251</v>
      </c>
      <c r="R46" s="8"/>
      <c r="T46"/>
    </row>
    <row r="47" spans="2:20" ht="23.1" customHeight="1" x14ac:dyDescent="0.25">
      <c r="B47" s="24" t="s">
        <v>74</v>
      </c>
      <c r="C47" s="50">
        <v>42</v>
      </c>
      <c r="D47" s="50">
        <v>39</v>
      </c>
      <c r="E47" s="50">
        <v>6</v>
      </c>
      <c r="F47" s="50">
        <v>10</v>
      </c>
      <c r="G47" s="50">
        <v>0</v>
      </c>
      <c r="H47" s="50">
        <v>0</v>
      </c>
      <c r="I47" s="50">
        <v>9</v>
      </c>
      <c r="J47" s="50">
        <v>0</v>
      </c>
      <c r="K47" s="50">
        <v>1</v>
      </c>
      <c r="L47" s="50">
        <v>0</v>
      </c>
      <c r="M47" s="50">
        <v>45</v>
      </c>
      <c r="N47" s="50">
        <v>0</v>
      </c>
      <c r="O47" s="15">
        <f t="shared" si="0"/>
        <v>107</v>
      </c>
      <c r="P47" s="15">
        <f t="shared" si="1"/>
        <v>152</v>
      </c>
      <c r="R47" s="8"/>
      <c r="T47"/>
    </row>
    <row r="48" spans="2:20" ht="23.1" customHeight="1" x14ac:dyDescent="0.25">
      <c r="B48" s="24" t="s">
        <v>75</v>
      </c>
      <c r="C48" s="50">
        <v>57</v>
      </c>
      <c r="D48" s="50">
        <v>45</v>
      </c>
      <c r="E48" s="50">
        <v>3</v>
      </c>
      <c r="F48" s="50">
        <v>17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44</v>
      </c>
      <c r="N48" s="50">
        <v>0</v>
      </c>
      <c r="O48" s="15">
        <f t="shared" si="0"/>
        <v>126</v>
      </c>
      <c r="P48" s="15">
        <f t="shared" si="1"/>
        <v>170</v>
      </c>
      <c r="R48" s="8"/>
      <c r="T48"/>
    </row>
    <row r="49" spans="2:20" ht="23.1" customHeight="1" x14ac:dyDescent="0.25">
      <c r="B49" s="23" t="s">
        <v>76</v>
      </c>
      <c r="C49" s="50">
        <v>52</v>
      </c>
      <c r="D49" s="50">
        <v>23</v>
      </c>
      <c r="E49" s="50">
        <v>4</v>
      </c>
      <c r="F49" s="50">
        <v>14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80</v>
      </c>
      <c r="N49" s="50">
        <v>0</v>
      </c>
      <c r="O49" s="15">
        <f t="shared" si="0"/>
        <v>97</v>
      </c>
      <c r="P49" s="15">
        <f t="shared" si="1"/>
        <v>177</v>
      </c>
      <c r="R49" s="8"/>
      <c r="T49"/>
    </row>
    <row r="50" spans="2:20" ht="23.1" customHeight="1" x14ac:dyDescent="0.25">
      <c r="B50" s="24" t="s">
        <v>77</v>
      </c>
      <c r="C50" s="50">
        <v>52</v>
      </c>
      <c r="D50" s="50">
        <v>51</v>
      </c>
      <c r="E50" s="50">
        <v>6</v>
      </c>
      <c r="F50" s="50">
        <v>7</v>
      </c>
      <c r="G50" s="50">
        <v>0</v>
      </c>
      <c r="H50" s="50">
        <v>0</v>
      </c>
      <c r="I50" s="50">
        <v>7</v>
      </c>
      <c r="J50" s="50">
        <v>0</v>
      </c>
      <c r="K50" s="50">
        <v>0</v>
      </c>
      <c r="L50" s="50">
        <v>0</v>
      </c>
      <c r="M50" s="50">
        <v>89</v>
      </c>
      <c r="N50" s="50">
        <v>0</v>
      </c>
      <c r="O50" s="15">
        <f t="shared" si="0"/>
        <v>123</v>
      </c>
      <c r="P50" s="15">
        <f t="shared" si="1"/>
        <v>212</v>
      </c>
      <c r="R50" s="8"/>
      <c r="T50"/>
    </row>
    <row r="51" spans="2:20" ht="23.1" customHeight="1" x14ac:dyDescent="0.25">
      <c r="B51" s="24" t="s">
        <v>78</v>
      </c>
      <c r="C51" s="50">
        <v>40</v>
      </c>
      <c r="D51" s="50">
        <v>31</v>
      </c>
      <c r="E51" s="50">
        <v>7</v>
      </c>
      <c r="F51" s="50">
        <v>10</v>
      </c>
      <c r="G51" s="50">
        <v>0</v>
      </c>
      <c r="H51" s="50">
        <v>0</v>
      </c>
      <c r="I51" s="50">
        <v>5</v>
      </c>
      <c r="J51" s="50">
        <v>0</v>
      </c>
      <c r="K51" s="50">
        <v>0</v>
      </c>
      <c r="L51" s="50">
        <v>0</v>
      </c>
      <c r="M51" s="50">
        <v>61</v>
      </c>
      <c r="N51" s="50">
        <v>0</v>
      </c>
      <c r="O51" s="15">
        <f t="shared" si="0"/>
        <v>93</v>
      </c>
      <c r="P51" s="15">
        <f t="shared" si="1"/>
        <v>154</v>
      </c>
      <c r="R51" s="8"/>
      <c r="T51"/>
    </row>
    <row r="52" spans="2:20" ht="23.1" customHeight="1" x14ac:dyDescent="0.25">
      <c r="B52" s="24" t="s">
        <v>79</v>
      </c>
      <c r="C52" s="50">
        <v>50</v>
      </c>
      <c r="D52" s="50">
        <v>37</v>
      </c>
      <c r="E52" s="50">
        <v>4</v>
      </c>
      <c r="F52" s="50">
        <v>19</v>
      </c>
      <c r="G52" s="50">
        <v>0</v>
      </c>
      <c r="H52" s="50">
        <v>0</v>
      </c>
      <c r="I52" s="50">
        <v>4</v>
      </c>
      <c r="J52" s="50">
        <v>2</v>
      </c>
      <c r="K52" s="50">
        <v>2</v>
      </c>
      <c r="L52" s="50">
        <v>0</v>
      </c>
      <c r="M52" s="50">
        <v>64</v>
      </c>
      <c r="N52" s="50">
        <v>0</v>
      </c>
      <c r="O52" s="15">
        <f t="shared" si="0"/>
        <v>118</v>
      </c>
      <c r="P52" s="15">
        <f t="shared" si="1"/>
        <v>182</v>
      </c>
      <c r="R52" s="8"/>
      <c r="T52"/>
    </row>
    <row r="53" spans="2:20" ht="23.1" customHeight="1" x14ac:dyDescent="0.25">
      <c r="B53" s="23" t="s">
        <v>80</v>
      </c>
      <c r="C53" s="50">
        <v>65</v>
      </c>
      <c r="D53" s="50">
        <v>75</v>
      </c>
      <c r="E53" s="50">
        <v>7</v>
      </c>
      <c r="F53" s="50">
        <v>10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80</v>
      </c>
      <c r="N53" s="50">
        <v>0</v>
      </c>
      <c r="O53" s="15">
        <f t="shared" si="0"/>
        <v>161</v>
      </c>
      <c r="P53" s="15">
        <f t="shared" si="1"/>
        <v>241</v>
      </c>
      <c r="R53" s="8"/>
      <c r="T53"/>
    </row>
    <row r="54" spans="2:20" ht="23.1" customHeight="1" x14ac:dyDescent="0.25">
      <c r="B54" s="23" t="s">
        <v>81</v>
      </c>
      <c r="C54" s="50">
        <v>60</v>
      </c>
      <c r="D54" s="50">
        <v>60</v>
      </c>
      <c r="E54" s="50">
        <v>2</v>
      </c>
      <c r="F54" s="50">
        <v>20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75</v>
      </c>
      <c r="N54" s="50">
        <v>0</v>
      </c>
      <c r="O54" s="15">
        <f t="shared" si="0"/>
        <v>144</v>
      </c>
      <c r="P54" s="15">
        <f t="shared" si="1"/>
        <v>219</v>
      </c>
      <c r="R54" s="8"/>
      <c r="T54"/>
    </row>
    <row r="55" spans="2:20" ht="23.1" customHeight="1" x14ac:dyDescent="0.25">
      <c r="B55" s="23" t="s">
        <v>82</v>
      </c>
      <c r="C55" s="50">
        <v>53</v>
      </c>
      <c r="D55" s="50">
        <v>32</v>
      </c>
      <c r="E55" s="50">
        <v>1</v>
      </c>
      <c r="F55" s="50">
        <v>11</v>
      </c>
      <c r="G55" s="50">
        <v>0</v>
      </c>
      <c r="H55" s="50">
        <v>0</v>
      </c>
      <c r="I55" s="50">
        <v>4</v>
      </c>
      <c r="J55" s="50">
        <v>0</v>
      </c>
      <c r="K55" s="50">
        <v>1</v>
      </c>
      <c r="L55" s="50">
        <v>0</v>
      </c>
      <c r="M55" s="50">
        <v>52</v>
      </c>
      <c r="N55" s="50">
        <v>0</v>
      </c>
      <c r="O55" s="15">
        <f t="shared" si="0"/>
        <v>102</v>
      </c>
      <c r="P55" s="15">
        <f t="shared" si="1"/>
        <v>154</v>
      </c>
      <c r="R55" s="8"/>
      <c r="T55"/>
    </row>
    <row r="56" spans="2:20" ht="23.1" customHeight="1" x14ac:dyDescent="0.25">
      <c r="B56" s="23" t="s">
        <v>83</v>
      </c>
      <c r="C56" s="50">
        <v>43</v>
      </c>
      <c r="D56" s="50">
        <v>53</v>
      </c>
      <c r="E56" s="50">
        <v>4</v>
      </c>
      <c r="F56" s="50">
        <v>31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82</v>
      </c>
      <c r="N56" s="50">
        <v>0</v>
      </c>
      <c r="O56" s="15">
        <f t="shared" si="0"/>
        <v>136</v>
      </c>
      <c r="P56" s="15">
        <f t="shared" si="1"/>
        <v>218</v>
      </c>
      <c r="R56" s="8"/>
      <c r="T56"/>
    </row>
    <row r="57" spans="2:20" ht="23.1" customHeight="1" x14ac:dyDescent="0.25">
      <c r="B57" s="23" t="s">
        <v>84</v>
      </c>
      <c r="C57" s="50">
        <v>50</v>
      </c>
      <c r="D57" s="50">
        <v>50</v>
      </c>
      <c r="E57" s="50">
        <v>2</v>
      </c>
      <c r="F57" s="50">
        <v>10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80</v>
      </c>
      <c r="N57" s="50">
        <v>0</v>
      </c>
      <c r="O57" s="15">
        <f t="shared" si="0"/>
        <v>114</v>
      </c>
      <c r="P57" s="15">
        <f t="shared" si="1"/>
        <v>194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2080</v>
      </c>
      <c r="D58" s="16">
        <f t="shared" si="21"/>
        <v>1372</v>
      </c>
      <c r="E58" s="16">
        <f t="shared" si="21"/>
        <v>191</v>
      </c>
      <c r="F58" s="16">
        <f t="shared" si="21"/>
        <v>775</v>
      </c>
      <c r="G58" s="16">
        <f t="shared" si="21"/>
        <v>1</v>
      </c>
      <c r="H58" s="16">
        <f t="shared" si="21"/>
        <v>0</v>
      </c>
      <c r="I58" s="16">
        <f t="shared" si="21"/>
        <v>175</v>
      </c>
      <c r="J58" s="16">
        <f t="shared" si="21"/>
        <v>17</v>
      </c>
      <c r="K58" s="16">
        <f t="shared" si="21"/>
        <v>19</v>
      </c>
      <c r="L58" s="16">
        <f t="shared" si="21"/>
        <v>1</v>
      </c>
      <c r="M58" s="16">
        <f t="shared" si="21"/>
        <v>3336</v>
      </c>
      <c r="N58" s="16">
        <f t="shared" si="21"/>
        <v>0</v>
      </c>
      <c r="O58" s="16">
        <f t="shared" si="21"/>
        <v>4631</v>
      </c>
      <c r="P58" s="16">
        <f t="shared" si="21"/>
        <v>7967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0.2610769423873478</v>
      </c>
      <c r="D59" s="43">
        <f t="shared" si="22"/>
        <v>0.17221036776703905</v>
      </c>
      <c r="E59" s="43">
        <f t="shared" si="22"/>
        <v>2.3973892305761264E-2</v>
      </c>
      <c r="F59" s="43">
        <f t="shared" si="22"/>
        <v>9.727626459143969E-2</v>
      </c>
      <c r="G59" s="43">
        <f t="shared" si="22"/>
        <v>1.2551776076314799E-4</v>
      </c>
      <c r="H59" s="43">
        <f t="shared" si="22"/>
        <v>0</v>
      </c>
      <c r="I59" s="43">
        <f t="shared" si="22"/>
        <v>2.1965608133550897E-2</v>
      </c>
      <c r="J59" s="43">
        <f t="shared" si="22"/>
        <v>2.1338019329735156E-3</v>
      </c>
      <c r="K59" s="43">
        <f t="shared" si="22"/>
        <v>2.3848374544998118E-3</v>
      </c>
      <c r="L59" s="43">
        <f t="shared" si="22"/>
        <v>1.2551776076314799E-4</v>
      </c>
      <c r="M59" s="43">
        <f t="shared" si="22"/>
        <v>0.41872724990586169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0.44914705247246817</v>
      </c>
      <c r="D60" s="44">
        <f t="shared" ref="D60:N60" si="23">D58/$O$58</f>
        <v>0.2962643057654934</v>
      </c>
      <c r="E60" s="44">
        <f t="shared" si="23"/>
        <v>4.1243791837616069E-2</v>
      </c>
      <c r="F60" s="44">
        <f t="shared" si="23"/>
        <v>0.16735046426257827</v>
      </c>
      <c r="G60" s="44">
        <f t="shared" si="23"/>
        <v>2.1593608291945585E-4</v>
      </c>
      <c r="H60" s="44">
        <f t="shared" si="23"/>
        <v>0</v>
      </c>
      <c r="I60" s="44">
        <f t="shared" si="23"/>
        <v>3.7788814510904774E-2</v>
      </c>
      <c r="J60" s="44">
        <f t="shared" si="23"/>
        <v>3.6709134096307495E-3</v>
      </c>
      <c r="K60" s="44">
        <f t="shared" si="23"/>
        <v>4.1027855754696609E-3</v>
      </c>
      <c r="L60" s="44">
        <f t="shared" si="23"/>
        <v>2.1593608291945585E-4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85" zoomScale="60" workbookViewId="0">
      <selection activeCell="AD54" sqref="AD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'04.08 Kisaasi-Kyanja'!C3:G3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'04.08 Kyanja-Kisaasi'!G5:H5</f>
        <v>Malcom Health center</v>
      </c>
      <c r="H5" s="67"/>
      <c r="I5" s="14"/>
      <c r="J5" s="2" t="s">
        <v>5</v>
      </c>
      <c r="K5" s="66" t="str">
        <f>'04.08 Kyanja-Kisaasi'!K5:L5</f>
        <v>Shamim &amp; Elly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'04.08 Kyanja-Kisaasi'!D6:E6</f>
        <v>Kyanja</v>
      </c>
      <c r="E6" s="67"/>
      <c r="F6" s="2" t="s">
        <v>2</v>
      </c>
      <c r="G6" s="66" t="str">
        <f>'04.08 Kyanja-Kisaasi'!G6:H6</f>
        <v>Kisaasi</v>
      </c>
      <c r="H6" s="67"/>
      <c r="J6" s="2" t="s">
        <v>21</v>
      </c>
      <c r="K6" s="66" t="str">
        <f>'04.08 Kyanja-Kisaasi'!K6:L6</f>
        <v>Denis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Kyanja -Kisaasi'!C10,'30.07 Kyanja-Kisaasi'!C10,'31.07 Kyanja-Kisaasi'!C10,'02.08 Kyanja-Kisaasi'!C10,'01.08 Kyanja-Kisaasi-24h'!C10,'03.08 Kyanja-Kisaasi-24h'!C10,'04.08 Kyanja-Kisaasi'!C10)</f>
        <v>44.857142857142854</v>
      </c>
      <c r="D10" s="49">
        <f>AVERAGE('29.07 Kyanja -Kisaasi'!D10,'30.07 Kyanja-Kisaasi'!D10,'31.07 Kyanja-Kisaasi'!D10,'02.08 Kyanja-Kisaasi'!D10,'01.08 Kyanja-Kisaasi-24h'!D10,'03.08 Kyanja-Kisaasi-24h'!D10,'04.08 Kyanja-Kisaasi'!D10)</f>
        <v>15.285714285714286</v>
      </c>
      <c r="E10" s="49">
        <f>AVERAGE('29.07 Kyanja -Kisaasi'!E10,'30.07 Kyanja-Kisaasi'!E10,'31.07 Kyanja-Kisaasi'!E10,'02.08 Kyanja-Kisaasi'!E10,'01.08 Kyanja-Kisaasi-24h'!E10,'03.08 Kyanja-Kisaasi-24h'!E10,'04.08 Kyanja-Kisaasi'!E10)</f>
        <v>7.8571428571428568</v>
      </c>
      <c r="F10" s="49">
        <f>AVERAGE('29.07 Kyanja -Kisaasi'!F10,'30.07 Kyanja-Kisaasi'!F10,'31.07 Kyanja-Kisaasi'!F10,'02.08 Kyanja-Kisaasi'!F10,'01.08 Kyanja-Kisaasi-24h'!F10,'03.08 Kyanja-Kisaasi-24h'!F10,'04.08 Kyanja-Kisaasi'!F10)</f>
        <v>17.714285714285715</v>
      </c>
      <c r="G10" s="49">
        <f>AVERAGE('29.07 Kyanja -Kisaasi'!G10,'30.07 Kyanja-Kisaasi'!G10,'31.07 Kyanja-Kisaasi'!G10,'02.08 Kyanja-Kisaasi'!G10,'01.08 Kyanja-Kisaasi-24h'!G10,'03.08 Kyanja-Kisaasi-24h'!G10,'04.08 Kyanja-Kisaasi'!G10)</f>
        <v>0.14285714285714285</v>
      </c>
      <c r="H10" s="49">
        <f>AVERAGE('29.07 Kyanja -Kisaasi'!H10,'30.07 Kyanja-Kisaasi'!H10,'31.07 Kyanja-Kisaasi'!H10,'02.08 Kyanja-Kisaasi'!H10,'01.08 Kyanja-Kisaasi-24h'!H10,'03.08 Kyanja-Kisaasi-24h'!H10,'04.08 Kyanja-Kisaasi'!H10)</f>
        <v>0.14285714285714285</v>
      </c>
      <c r="I10" s="49">
        <f>AVERAGE('29.07 Kyanja -Kisaasi'!I10,'30.07 Kyanja-Kisaasi'!I10,'31.07 Kyanja-Kisaasi'!I10,'02.08 Kyanja-Kisaasi'!I10,'01.08 Kyanja-Kisaasi-24h'!I10,'03.08 Kyanja-Kisaasi-24h'!I10,'04.08 Kyanja-Kisaasi'!I10)</f>
        <v>3.4285714285714284</v>
      </c>
      <c r="J10" s="49">
        <f>AVERAGE('29.07 Kyanja -Kisaasi'!J10,'30.07 Kyanja-Kisaasi'!J10,'31.07 Kyanja-Kisaasi'!J10,'02.08 Kyanja-Kisaasi'!J10,'01.08 Kyanja-Kisaasi-24h'!J10,'03.08 Kyanja-Kisaasi-24h'!J10,'04.08 Kyanja-Kisaasi'!J10)</f>
        <v>1</v>
      </c>
      <c r="K10" s="49">
        <f>AVERAGE('29.07 Kyanja -Kisaasi'!K10,'30.07 Kyanja-Kisaasi'!K10,'31.07 Kyanja-Kisaasi'!K10,'02.08 Kyanja-Kisaasi'!K10,'01.08 Kyanja-Kisaasi-24h'!K10,'03.08 Kyanja-Kisaasi-24h'!K10,'04.08 Kyanja-Kisaasi'!K10)</f>
        <v>1.5714285714285714</v>
      </c>
      <c r="L10" s="49">
        <f>AVERAGE('29.07 Kyanja -Kisaasi'!L10,'30.07 Kyanja-Kisaasi'!L10,'31.07 Kyanja-Kisaasi'!L10,'02.08 Kyanja-Kisaasi'!L10,'01.08 Kyanja-Kisaasi-24h'!L10,'03.08 Kyanja-Kisaasi-24h'!L10,'04.08 Kyanja-Kisaasi'!L10)</f>
        <v>0</v>
      </c>
      <c r="M10" s="49">
        <f>AVERAGE('29.07 Kyanja -Kisaasi'!M10,'30.07 Kyanja-Kisaasi'!M10,'31.07 Kyanja-Kisaasi'!M10,'02.08 Kyanja-Kisaasi'!M10,'01.08 Kyanja-Kisaasi-24h'!M10,'03.08 Kyanja-Kisaasi-24h'!M10,'04.08 Kyanja-Kisaasi'!M10)</f>
        <v>98.857142857142861</v>
      </c>
      <c r="N10" s="49">
        <f>AVERAGE('29.07 Kyanja -Kisaasi'!N10,'30.07 Kyanja-Kisaasi'!N10,'31.07 Kyanja-Kisaasi'!N10,'02.08 Kyanja-Kisaasi'!N10,'01.08 Kyanja-Kisaasi-24h'!N10,'03.08 Kyanja-Kisaasi-24h'!N10,'04.08 Kyanja-Kisaasi'!N10)</f>
        <v>0</v>
      </c>
      <c r="O10" s="15">
        <f t="shared" ref="O10:O57" si="0">SUM(C10:L10,N10)</f>
        <v>92</v>
      </c>
      <c r="P10" s="15">
        <f t="shared" ref="P10:P57" si="1">SUM(C10:N10)</f>
        <v>190.85714285714286</v>
      </c>
      <c r="R10" s="1" t="s">
        <v>6</v>
      </c>
      <c r="S10" s="17">
        <f t="shared" ref="S10:AF10" si="2">SUM(C10:C13)</f>
        <v>212.14285714285717</v>
      </c>
      <c r="T10" s="17">
        <f t="shared" si="2"/>
        <v>78.857142857142861</v>
      </c>
      <c r="U10" s="17">
        <f t="shared" si="2"/>
        <v>32.714285714285715</v>
      </c>
      <c r="V10" s="17">
        <f t="shared" si="2"/>
        <v>77.285714285714292</v>
      </c>
      <c r="W10" s="17">
        <f t="shared" si="2"/>
        <v>6.8571428571428577</v>
      </c>
      <c r="X10" s="17">
        <f t="shared" si="2"/>
        <v>0.14285714285714285</v>
      </c>
      <c r="Y10" s="17">
        <f t="shared" si="2"/>
        <v>10.285714285714286</v>
      </c>
      <c r="Z10" s="17">
        <f t="shared" si="2"/>
        <v>2</v>
      </c>
      <c r="AA10" s="17">
        <f t="shared" si="2"/>
        <v>5.5714285714285712</v>
      </c>
      <c r="AB10" s="17">
        <f t="shared" si="2"/>
        <v>0.2857142857142857</v>
      </c>
      <c r="AC10" s="17">
        <f t="shared" si="2"/>
        <v>465.71428571428567</v>
      </c>
      <c r="AD10" s="17">
        <f t="shared" si="2"/>
        <v>0</v>
      </c>
      <c r="AE10" s="31">
        <f t="shared" si="2"/>
        <v>426.14285714285711</v>
      </c>
      <c r="AF10" s="31">
        <f t="shared" si="2"/>
        <v>891.85714285714266</v>
      </c>
    </row>
    <row r="11" spans="2:32" s="6" customFormat="1" ht="23.1" customHeight="1" x14ac:dyDescent="0.25">
      <c r="B11" s="23" t="s">
        <v>38</v>
      </c>
      <c r="C11" s="49">
        <f>AVERAGE('29.07 Kyanja -Kisaasi'!C11,'30.07 Kyanja-Kisaasi'!C11,'31.07 Kyanja-Kisaasi'!C11,'02.08 Kyanja-Kisaasi'!C11,'01.08 Kyanja-Kisaasi-24h'!C11,'03.08 Kyanja-Kisaasi-24h'!C11,'04.08 Kyanja-Kisaasi'!C11)</f>
        <v>46.714285714285715</v>
      </c>
      <c r="D11" s="49">
        <f>AVERAGE('29.07 Kyanja -Kisaasi'!D11,'30.07 Kyanja-Kisaasi'!D11,'31.07 Kyanja-Kisaasi'!D11,'02.08 Kyanja-Kisaasi'!D11,'01.08 Kyanja-Kisaasi-24h'!D11,'03.08 Kyanja-Kisaasi-24h'!D11,'04.08 Kyanja-Kisaasi'!D11)</f>
        <v>17.428571428571427</v>
      </c>
      <c r="E11" s="49">
        <f>AVERAGE('29.07 Kyanja -Kisaasi'!E11,'30.07 Kyanja-Kisaasi'!E11,'31.07 Kyanja-Kisaasi'!E11,'02.08 Kyanja-Kisaasi'!E11,'01.08 Kyanja-Kisaasi-24h'!E11,'03.08 Kyanja-Kisaasi-24h'!E11,'04.08 Kyanja-Kisaasi'!E11)</f>
        <v>9.8571428571428577</v>
      </c>
      <c r="F11" s="49">
        <f>AVERAGE('29.07 Kyanja -Kisaasi'!F11,'30.07 Kyanja-Kisaasi'!F11,'31.07 Kyanja-Kisaasi'!F11,'02.08 Kyanja-Kisaasi'!F11,'01.08 Kyanja-Kisaasi-24h'!F11,'03.08 Kyanja-Kisaasi-24h'!F11,'04.08 Kyanja-Kisaasi'!F11)</f>
        <v>15.142857142857142</v>
      </c>
      <c r="G11" s="49">
        <f>AVERAGE('29.07 Kyanja -Kisaasi'!G11,'30.07 Kyanja-Kisaasi'!G11,'31.07 Kyanja-Kisaasi'!G11,'02.08 Kyanja-Kisaasi'!G11,'01.08 Kyanja-Kisaasi-24h'!G11,'03.08 Kyanja-Kisaasi-24h'!G11,'04.08 Kyanja-Kisaasi'!G11)</f>
        <v>6.2857142857142856</v>
      </c>
      <c r="H11" s="49">
        <f>AVERAGE('29.07 Kyanja -Kisaasi'!H11,'30.07 Kyanja-Kisaasi'!H11,'31.07 Kyanja-Kisaasi'!H11,'02.08 Kyanja-Kisaasi'!H11,'01.08 Kyanja-Kisaasi-24h'!H11,'03.08 Kyanja-Kisaasi-24h'!H11,'04.08 Kyanja-Kisaasi'!H11)</f>
        <v>0</v>
      </c>
      <c r="I11" s="49">
        <f>AVERAGE('29.07 Kyanja -Kisaasi'!I11,'30.07 Kyanja-Kisaasi'!I11,'31.07 Kyanja-Kisaasi'!I11,'02.08 Kyanja-Kisaasi'!I11,'01.08 Kyanja-Kisaasi-24h'!I11,'03.08 Kyanja-Kisaasi-24h'!I11,'04.08 Kyanja-Kisaasi'!I11)</f>
        <v>1</v>
      </c>
      <c r="J11" s="49">
        <f>AVERAGE('29.07 Kyanja -Kisaasi'!J11,'30.07 Kyanja-Kisaasi'!J11,'31.07 Kyanja-Kisaasi'!J11,'02.08 Kyanja-Kisaasi'!J11,'01.08 Kyanja-Kisaasi-24h'!J11,'03.08 Kyanja-Kisaasi-24h'!J11,'04.08 Kyanja-Kisaasi'!J11)</f>
        <v>0</v>
      </c>
      <c r="K11" s="49">
        <f>AVERAGE('29.07 Kyanja -Kisaasi'!K11,'30.07 Kyanja-Kisaasi'!K11,'31.07 Kyanja-Kisaasi'!K11,'02.08 Kyanja-Kisaasi'!K11,'01.08 Kyanja-Kisaasi-24h'!K11,'03.08 Kyanja-Kisaasi-24h'!K11,'04.08 Kyanja-Kisaasi'!K11)</f>
        <v>1.5714285714285714</v>
      </c>
      <c r="L11" s="49">
        <f>AVERAGE('29.07 Kyanja -Kisaasi'!L11,'30.07 Kyanja-Kisaasi'!L11,'31.07 Kyanja-Kisaasi'!L11,'02.08 Kyanja-Kisaasi'!L11,'01.08 Kyanja-Kisaasi-24h'!L11,'03.08 Kyanja-Kisaasi-24h'!L11,'04.08 Kyanja-Kisaasi'!L11)</f>
        <v>0.14285714285714285</v>
      </c>
      <c r="M11" s="49">
        <f>AVERAGE('29.07 Kyanja -Kisaasi'!M11,'30.07 Kyanja-Kisaasi'!M11,'31.07 Kyanja-Kisaasi'!M11,'02.08 Kyanja-Kisaasi'!M11,'01.08 Kyanja-Kisaasi-24h'!M11,'03.08 Kyanja-Kisaasi-24h'!M11,'04.08 Kyanja-Kisaasi'!M11)</f>
        <v>108.14285714285714</v>
      </c>
      <c r="N11" s="49">
        <f>AVERAGE('29.07 Kyanja -Kisaasi'!N11,'30.07 Kyanja-Kisaasi'!N11,'31.07 Kyanja-Kisaasi'!N11,'02.08 Kyanja-Kisaasi'!N11,'01.08 Kyanja-Kisaasi-24h'!N11,'03.08 Kyanja-Kisaasi-24h'!N11,'04.08 Kyanja-Kisaasi'!N11)</f>
        <v>0</v>
      </c>
      <c r="O11" s="15">
        <f t="shared" si="0"/>
        <v>98.142857142857139</v>
      </c>
      <c r="P11" s="15">
        <f t="shared" si="1"/>
        <v>206.28571428571428</v>
      </c>
      <c r="R11" s="1" t="s">
        <v>7</v>
      </c>
      <c r="S11" s="17">
        <f t="shared" ref="S11:AF11" si="3">SUM(C14:C17)</f>
        <v>261.57142857142856</v>
      </c>
      <c r="T11" s="17">
        <f t="shared" si="3"/>
        <v>100.28571428571429</v>
      </c>
      <c r="U11" s="17">
        <f t="shared" si="3"/>
        <v>84.285714285714292</v>
      </c>
      <c r="V11" s="17">
        <f t="shared" si="3"/>
        <v>120.57142857142857</v>
      </c>
      <c r="W11" s="17">
        <f t="shared" si="3"/>
        <v>0.5714285714285714</v>
      </c>
      <c r="X11" s="17">
        <f t="shared" si="3"/>
        <v>0.2857142857142857</v>
      </c>
      <c r="Y11" s="17">
        <f t="shared" si="3"/>
        <v>15.857142857142858</v>
      </c>
      <c r="Z11" s="17">
        <f t="shared" si="3"/>
        <v>3.8571428571428572</v>
      </c>
      <c r="AA11" s="17">
        <f t="shared" si="3"/>
        <v>4.1428571428571432</v>
      </c>
      <c r="AB11" s="17">
        <f t="shared" si="3"/>
        <v>0.42857142857142855</v>
      </c>
      <c r="AC11" s="17">
        <f t="shared" si="3"/>
        <v>502.71428571428572</v>
      </c>
      <c r="AD11" s="17">
        <f t="shared" si="3"/>
        <v>0</v>
      </c>
      <c r="AE11" s="31">
        <f t="shared" si="3"/>
        <v>591.85714285714289</v>
      </c>
      <c r="AF11" s="31">
        <f t="shared" si="3"/>
        <v>1094.5714285714284</v>
      </c>
    </row>
    <row r="12" spans="2:32" ht="23.1" customHeight="1" x14ac:dyDescent="0.25">
      <c r="B12" s="23" t="s">
        <v>39</v>
      </c>
      <c r="C12" s="49">
        <f>AVERAGE('29.07 Kyanja -Kisaasi'!C12,'30.07 Kyanja-Kisaasi'!C12,'31.07 Kyanja-Kisaasi'!C12,'02.08 Kyanja-Kisaasi'!C12,'01.08 Kyanja-Kisaasi-24h'!C12,'03.08 Kyanja-Kisaasi-24h'!C12,'04.08 Kyanja-Kisaasi'!C12)</f>
        <v>55.285714285714285</v>
      </c>
      <c r="D12" s="49">
        <f>AVERAGE('29.07 Kyanja -Kisaasi'!D12,'30.07 Kyanja-Kisaasi'!D12,'31.07 Kyanja-Kisaasi'!D12,'02.08 Kyanja-Kisaasi'!D12,'01.08 Kyanja-Kisaasi-24h'!D12,'03.08 Kyanja-Kisaasi-24h'!D12,'04.08 Kyanja-Kisaasi'!D12)</f>
        <v>19.571428571428573</v>
      </c>
      <c r="E12" s="49">
        <f>AVERAGE('29.07 Kyanja -Kisaasi'!E12,'30.07 Kyanja-Kisaasi'!E12,'31.07 Kyanja-Kisaasi'!E12,'02.08 Kyanja-Kisaasi'!E12,'01.08 Kyanja-Kisaasi-24h'!E12,'03.08 Kyanja-Kisaasi-24h'!E12,'04.08 Kyanja-Kisaasi'!E12)</f>
        <v>6.4285714285714288</v>
      </c>
      <c r="F12" s="49">
        <f>AVERAGE('29.07 Kyanja -Kisaasi'!F12,'30.07 Kyanja-Kisaasi'!F12,'31.07 Kyanja-Kisaasi'!F12,'02.08 Kyanja-Kisaasi'!F12,'01.08 Kyanja-Kisaasi-24h'!F12,'03.08 Kyanja-Kisaasi-24h'!F12,'04.08 Kyanja-Kisaasi'!F12)</f>
        <v>19.714285714285715</v>
      </c>
      <c r="G12" s="49">
        <f>AVERAGE('29.07 Kyanja -Kisaasi'!G12,'30.07 Kyanja-Kisaasi'!G12,'31.07 Kyanja-Kisaasi'!G12,'02.08 Kyanja-Kisaasi'!G12,'01.08 Kyanja-Kisaasi-24h'!G12,'03.08 Kyanja-Kisaasi-24h'!G12,'04.08 Kyanja-Kisaasi'!G12)</f>
        <v>0.14285714285714285</v>
      </c>
      <c r="H12" s="49">
        <f>AVERAGE('29.07 Kyanja -Kisaasi'!H12,'30.07 Kyanja-Kisaasi'!H12,'31.07 Kyanja-Kisaasi'!H12,'02.08 Kyanja-Kisaasi'!H12,'01.08 Kyanja-Kisaasi-24h'!H12,'03.08 Kyanja-Kisaasi-24h'!H12,'04.08 Kyanja-Kisaasi'!H12)</f>
        <v>0</v>
      </c>
      <c r="I12" s="49">
        <f>AVERAGE('29.07 Kyanja -Kisaasi'!I12,'30.07 Kyanja-Kisaasi'!I12,'31.07 Kyanja-Kisaasi'!I12,'02.08 Kyanja-Kisaasi'!I12,'01.08 Kyanja-Kisaasi-24h'!I12,'03.08 Kyanja-Kisaasi-24h'!I12,'04.08 Kyanja-Kisaasi'!I12)</f>
        <v>2.2857142857142856</v>
      </c>
      <c r="J12" s="49">
        <f>AVERAGE('29.07 Kyanja -Kisaasi'!J12,'30.07 Kyanja-Kisaasi'!J12,'31.07 Kyanja-Kisaasi'!J12,'02.08 Kyanja-Kisaasi'!J12,'01.08 Kyanja-Kisaasi-24h'!J12,'03.08 Kyanja-Kisaasi-24h'!J12,'04.08 Kyanja-Kisaasi'!J12)</f>
        <v>0.5714285714285714</v>
      </c>
      <c r="K12" s="49">
        <f>AVERAGE('29.07 Kyanja -Kisaasi'!K12,'30.07 Kyanja-Kisaasi'!K12,'31.07 Kyanja-Kisaasi'!K12,'02.08 Kyanja-Kisaasi'!K12,'01.08 Kyanja-Kisaasi-24h'!K12,'03.08 Kyanja-Kisaasi-24h'!K12,'04.08 Kyanja-Kisaasi'!K12)</f>
        <v>1</v>
      </c>
      <c r="L12" s="49">
        <f>AVERAGE('29.07 Kyanja -Kisaasi'!L12,'30.07 Kyanja-Kisaasi'!L12,'31.07 Kyanja-Kisaasi'!L12,'02.08 Kyanja-Kisaasi'!L12,'01.08 Kyanja-Kisaasi-24h'!L12,'03.08 Kyanja-Kisaasi-24h'!L12,'04.08 Kyanja-Kisaasi'!L12)</f>
        <v>0</v>
      </c>
      <c r="M12" s="49">
        <f>AVERAGE('29.07 Kyanja -Kisaasi'!M12,'30.07 Kyanja-Kisaasi'!M12,'31.07 Kyanja-Kisaasi'!M12,'02.08 Kyanja-Kisaasi'!M12,'01.08 Kyanja-Kisaasi-24h'!M12,'03.08 Kyanja-Kisaasi-24h'!M12,'04.08 Kyanja-Kisaasi'!M12)</f>
        <v>125.28571428571429</v>
      </c>
      <c r="N12" s="49">
        <f>AVERAGE('29.07 Kyanja -Kisaasi'!N12,'30.07 Kyanja-Kisaasi'!N12,'31.07 Kyanja-Kisaasi'!N12,'02.08 Kyanja-Kisaasi'!N12,'01.08 Kyanja-Kisaasi-24h'!N12,'03.08 Kyanja-Kisaasi-24h'!N12,'04.08 Kyanja-Kisaasi'!N12)</f>
        <v>0</v>
      </c>
      <c r="O12" s="15">
        <f t="shared" si="0"/>
        <v>105</v>
      </c>
      <c r="P12" s="15">
        <f t="shared" si="1"/>
        <v>230.28571428571428</v>
      </c>
      <c r="R12" s="1" t="s">
        <v>8</v>
      </c>
      <c r="S12" s="17">
        <f t="shared" ref="S12:AF12" si="4">SUM(C18:C21)</f>
        <v>242.28571428571428</v>
      </c>
      <c r="T12" s="17">
        <f t="shared" si="4"/>
        <v>112.57142857142857</v>
      </c>
      <c r="U12" s="17">
        <f t="shared" si="4"/>
        <v>23.142857142857142</v>
      </c>
      <c r="V12" s="17">
        <f t="shared" si="4"/>
        <v>80.714285714285708</v>
      </c>
      <c r="W12" s="17">
        <f t="shared" si="4"/>
        <v>0</v>
      </c>
      <c r="X12" s="17">
        <f t="shared" si="4"/>
        <v>0</v>
      </c>
      <c r="Y12" s="17">
        <f t="shared" si="4"/>
        <v>16.428571428571431</v>
      </c>
      <c r="Z12" s="17">
        <f t="shared" si="4"/>
        <v>5</v>
      </c>
      <c r="AA12" s="17">
        <f t="shared" si="4"/>
        <v>9.4285714285714288</v>
      </c>
      <c r="AB12" s="17">
        <f t="shared" si="4"/>
        <v>0.71428571428571419</v>
      </c>
      <c r="AC12" s="17">
        <f t="shared" si="4"/>
        <v>477.85714285714283</v>
      </c>
      <c r="AD12" s="17">
        <f t="shared" si="4"/>
        <v>0</v>
      </c>
      <c r="AE12" s="31">
        <f t="shared" si="4"/>
        <v>490.28571428571428</v>
      </c>
      <c r="AF12" s="31">
        <f t="shared" si="4"/>
        <v>968.14285714285711</v>
      </c>
    </row>
    <row r="13" spans="2:32" ht="23.1" customHeight="1" x14ac:dyDescent="0.25">
      <c r="B13" s="23" t="s">
        <v>40</v>
      </c>
      <c r="C13" s="49">
        <f>AVERAGE('29.07 Kyanja -Kisaasi'!C13,'30.07 Kyanja-Kisaasi'!C13,'31.07 Kyanja-Kisaasi'!C13,'02.08 Kyanja-Kisaasi'!C13,'01.08 Kyanja-Kisaasi-24h'!C13,'03.08 Kyanja-Kisaasi-24h'!C13,'04.08 Kyanja-Kisaasi'!C13)</f>
        <v>65.285714285714292</v>
      </c>
      <c r="D13" s="49">
        <f>AVERAGE('29.07 Kyanja -Kisaasi'!D13,'30.07 Kyanja-Kisaasi'!D13,'31.07 Kyanja-Kisaasi'!D13,'02.08 Kyanja-Kisaasi'!D13,'01.08 Kyanja-Kisaasi-24h'!D13,'03.08 Kyanja-Kisaasi-24h'!D13,'04.08 Kyanja-Kisaasi'!D13)</f>
        <v>26.571428571428573</v>
      </c>
      <c r="E13" s="49">
        <f>AVERAGE('29.07 Kyanja -Kisaasi'!E13,'30.07 Kyanja-Kisaasi'!E13,'31.07 Kyanja-Kisaasi'!E13,'02.08 Kyanja-Kisaasi'!E13,'01.08 Kyanja-Kisaasi-24h'!E13,'03.08 Kyanja-Kisaasi-24h'!E13,'04.08 Kyanja-Kisaasi'!E13)</f>
        <v>8.5714285714285712</v>
      </c>
      <c r="F13" s="49">
        <f>AVERAGE('29.07 Kyanja -Kisaasi'!F13,'30.07 Kyanja-Kisaasi'!F13,'31.07 Kyanja-Kisaasi'!F13,'02.08 Kyanja-Kisaasi'!F13,'01.08 Kyanja-Kisaasi-24h'!F13,'03.08 Kyanja-Kisaasi-24h'!F13,'04.08 Kyanja-Kisaasi'!F13)</f>
        <v>24.714285714285715</v>
      </c>
      <c r="G13" s="49">
        <f>AVERAGE('29.07 Kyanja -Kisaasi'!G13,'30.07 Kyanja-Kisaasi'!G13,'31.07 Kyanja-Kisaasi'!G13,'02.08 Kyanja-Kisaasi'!G13,'01.08 Kyanja-Kisaasi-24h'!G13,'03.08 Kyanja-Kisaasi-24h'!G13,'04.08 Kyanja-Kisaasi'!G13)</f>
        <v>0.2857142857142857</v>
      </c>
      <c r="H13" s="49">
        <f>AVERAGE('29.07 Kyanja -Kisaasi'!H13,'30.07 Kyanja-Kisaasi'!H13,'31.07 Kyanja-Kisaasi'!H13,'02.08 Kyanja-Kisaasi'!H13,'01.08 Kyanja-Kisaasi-24h'!H13,'03.08 Kyanja-Kisaasi-24h'!H13,'04.08 Kyanja-Kisaasi'!H13)</f>
        <v>0</v>
      </c>
      <c r="I13" s="49">
        <f>AVERAGE('29.07 Kyanja -Kisaasi'!I13,'30.07 Kyanja-Kisaasi'!I13,'31.07 Kyanja-Kisaasi'!I13,'02.08 Kyanja-Kisaasi'!I13,'01.08 Kyanja-Kisaasi-24h'!I13,'03.08 Kyanja-Kisaasi-24h'!I13,'04.08 Kyanja-Kisaasi'!I13)</f>
        <v>3.5714285714285716</v>
      </c>
      <c r="J13" s="49">
        <f>AVERAGE('29.07 Kyanja -Kisaasi'!J13,'30.07 Kyanja-Kisaasi'!J13,'31.07 Kyanja-Kisaasi'!J13,'02.08 Kyanja-Kisaasi'!J13,'01.08 Kyanja-Kisaasi-24h'!J13,'03.08 Kyanja-Kisaasi-24h'!J13,'04.08 Kyanja-Kisaasi'!J13)</f>
        <v>0.42857142857142855</v>
      </c>
      <c r="K13" s="49">
        <f>AVERAGE('29.07 Kyanja -Kisaasi'!K13,'30.07 Kyanja-Kisaasi'!K13,'31.07 Kyanja-Kisaasi'!K13,'02.08 Kyanja-Kisaasi'!K13,'01.08 Kyanja-Kisaasi-24h'!K13,'03.08 Kyanja-Kisaasi-24h'!K13,'04.08 Kyanja-Kisaasi'!K13)</f>
        <v>1.4285714285714286</v>
      </c>
      <c r="L13" s="49">
        <f>AVERAGE('29.07 Kyanja -Kisaasi'!L13,'30.07 Kyanja-Kisaasi'!L13,'31.07 Kyanja-Kisaasi'!L13,'02.08 Kyanja-Kisaasi'!L13,'01.08 Kyanja-Kisaasi-24h'!L13,'03.08 Kyanja-Kisaasi-24h'!L13,'04.08 Kyanja-Kisaasi'!L13)</f>
        <v>0.14285714285714285</v>
      </c>
      <c r="M13" s="49">
        <f>AVERAGE('29.07 Kyanja -Kisaasi'!M13,'30.07 Kyanja-Kisaasi'!M13,'31.07 Kyanja-Kisaasi'!M13,'02.08 Kyanja-Kisaasi'!M13,'01.08 Kyanja-Kisaasi-24h'!M13,'03.08 Kyanja-Kisaasi-24h'!M13,'04.08 Kyanja-Kisaasi'!M13)</f>
        <v>133.42857142857142</v>
      </c>
      <c r="N13" s="49">
        <f>AVERAGE('29.07 Kyanja -Kisaasi'!N13,'30.07 Kyanja-Kisaasi'!N13,'31.07 Kyanja-Kisaasi'!N13,'02.08 Kyanja-Kisaasi'!N13,'01.08 Kyanja-Kisaasi-24h'!N13,'03.08 Kyanja-Kisaasi-24h'!N13,'04.08 Kyanja-Kisaasi'!N13)</f>
        <v>0</v>
      </c>
      <c r="O13" s="15">
        <f t="shared" si="0"/>
        <v>130.99999999999997</v>
      </c>
      <c r="P13" s="15">
        <f t="shared" si="1"/>
        <v>264.42857142857139</v>
      </c>
      <c r="R13" s="1" t="s">
        <v>9</v>
      </c>
      <c r="S13" s="17">
        <f t="shared" ref="S13:AF13" si="5">SUM(C22:C25)</f>
        <v>233.85714285714286</v>
      </c>
      <c r="T13" s="17">
        <f t="shared" si="5"/>
        <v>95.142857142857139</v>
      </c>
      <c r="U13" s="17">
        <f t="shared" si="5"/>
        <v>30.571428571428569</v>
      </c>
      <c r="V13" s="17">
        <f t="shared" si="5"/>
        <v>67</v>
      </c>
      <c r="W13" s="17">
        <f t="shared" si="5"/>
        <v>0</v>
      </c>
      <c r="X13" s="17">
        <f t="shared" si="5"/>
        <v>0.14285714285714285</v>
      </c>
      <c r="Y13" s="17">
        <f t="shared" si="5"/>
        <v>16.142857142857142</v>
      </c>
      <c r="Z13" s="17">
        <f t="shared" si="5"/>
        <v>4.7142857142857144</v>
      </c>
      <c r="AA13" s="17">
        <f t="shared" si="5"/>
        <v>8.2857142857142865</v>
      </c>
      <c r="AB13" s="17">
        <f t="shared" si="5"/>
        <v>0.8571428571428571</v>
      </c>
      <c r="AC13" s="17">
        <f t="shared" si="5"/>
        <v>340.71428571428572</v>
      </c>
      <c r="AD13" s="17">
        <f t="shared" si="5"/>
        <v>0</v>
      </c>
      <c r="AE13" s="31">
        <f t="shared" si="5"/>
        <v>456.71428571428567</v>
      </c>
      <c r="AF13" s="31">
        <f t="shared" si="5"/>
        <v>797.42857142857133</v>
      </c>
    </row>
    <row r="14" spans="2:32" ht="23.1" customHeight="1" x14ac:dyDescent="0.25">
      <c r="B14" s="23" t="s">
        <v>41</v>
      </c>
      <c r="C14" s="49">
        <f>AVERAGE('29.07 Kyanja -Kisaasi'!C14,'30.07 Kyanja-Kisaasi'!C14,'31.07 Kyanja-Kisaasi'!C14,'02.08 Kyanja-Kisaasi'!C14,'01.08 Kyanja-Kisaasi-24h'!C14,'03.08 Kyanja-Kisaasi-24h'!C14,'04.08 Kyanja-Kisaasi'!C14)</f>
        <v>55</v>
      </c>
      <c r="D14" s="49">
        <f>AVERAGE('29.07 Kyanja -Kisaasi'!D14,'30.07 Kyanja-Kisaasi'!D14,'31.07 Kyanja-Kisaasi'!D14,'02.08 Kyanja-Kisaasi'!D14,'01.08 Kyanja-Kisaasi-24h'!D14,'03.08 Kyanja-Kisaasi-24h'!D14,'04.08 Kyanja-Kisaasi'!D14)</f>
        <v>16.714285714285715</v>
      </c>
      <c r="E14" s="49">
        <f>AVERAGE('29.07 Kyanja -Kisaasi'!E14,'30.07 Kyanja-Kisaasi'!E14,'31.07 Kyanja-Kisaasi'!E14,'02.08 Kyanja-Kisaasi'!E14,'01.08 Kyanja-Kisaasi-24h'!E14,'03.08 Kyanja-Kisaasi-24h'!E14,'04.08 Kyanja-Kisaasi'!E14)</f>
        <v>4.7142857142857144</v>
      </c>
      <c r="F14" s="49">
        <f>AVERAGE('29.07 Kyanja -Kisaasi'!F14,'30.07 Kyanja-Kisaasi'!F14,'31.07 Kyanja-Kisaasi'!F14,'02.08 Kyanja-Kisaasi'!F14,'01.08 Kyanja-Kisaasi-24h'!F14,'03.08 Kyanja-Kisaasi-24h'!F14,'04.08 Kyanja-Kisaasi'!F14)</f>
        <v>30</v>
      </c>
      <c r="G14" s="49">
        <f>AVERAGE('29.07 Kyanja -Kisaasi'!G14,'30.07 Kyanja-Kisaasi'!G14,'31.07 Kyanja-Kisaasi'!G14,'02.08 Kyanja-Kisaasi'!G14,'01.08 Kyanja-Kisaasi-24h'!G14,'03.08 Kyanja-Kisaasi-24h'!G14,'04.08 Kyanja-Kisaasi'!G14)</f>
        <v>0.14285714285714285</v>
      </c>
      <c r="H14" s="49">
        <f>AVERAGE('29.07 Kyanja -Kisaasi'!H14,'30.07 Kyanja-Kisaasi'!H14,'31.07 Kyanja-Kisaasi'!H14,'02.08 Kyanja-Kisaasi'!H14,'01.08 Kyanja-Kisaasi-24h'!H14,'03.08 Kyanja-Kisaasi-24h'!H14,'04.08 Kyanja-Kisaasi'!H14)</f>
        <v>0</v>
      </c>
      <c r="I14" s="49">
        <f>AVERAGE('29.07 Kyanja -Kisaasi'!I14,'30.07 Kyanja-Kisaasi'!I14,'31.07 Kyanja-Kisaasi'!I14,'02.08 Kyanja-Kisaasi'!I14,'01.08 Kyanja-Kisaasi-24h'!I14,'03.08 Kyanja-Kisaasi-24h'!I14,'04.08 Kyanja-Kisaasi'!I14)</f>
        <v>5</v>
      </c>
      <c r="J14" s="49">
        <f>AVERAGE('29.07 Kyanja -Kisaasi'!J14,'30.07 Kyanja-Kisaasi'!J14,'31.07 Kyanja-Kisaasi'!J14,'02.08 Kyanja-Kisaasi'!J14,'01.08 Kyanja-Kisaasi-24h'!J14,'03.08 Kyanja-Kisaasi-24h'!J14,'04.08 Kyanja-Kisaasi'!J14)</f>
        <v>0.42857142857142855</v>
      </c>
      <c r="K14" s="49">
        <f>AVERAGE('29.07 Kyanja -Kisaasi'!K14,'30.07 Kyanja-Kisaasi'!K14,'31.07 Kyanja-Kisaasi'!K14,'02.08 Kyanja-Kisaasi'!K14,'01.08 Kyanja-Kisaasi-24h'!K14,'03.08 Kyanja-Kisaasi-24h'!K14,'04.08 Kyanja-Kisaasi'!K14)</f>
        <v>0.2857142857142857</v>
      </c>
      <c r="L14" s="49">
        <f>AVERAGE('29.07 Kyanja -Kisaasi'!L14,'30.07 Kyanja-Kisaasi'!L14,'31.07 Kyanja-Kisaasi'!L14,'02.08 Kyanja-Kisaasi'!L14,'01.08 Kyanja-Kisaasi-24h'!L14,'03.08 Kyanja-Kisaasi-24h'!L14,'04.08 Kyanja-Kisaasi'!L14)</f>
        <v>0</v>
      </c>
      <c r="M14" s="49">
        <f>AVERAGE('29.07 Kyanja -Kisaasi'!M14,'30.07 Kyanja-Kisaasi'!M14,'31.07 Kyanja-Kisaasi'!M14,'02.08 Kyanja-Kisaasi'!M14,'01.08 Kyanja-Kisaasi-24h'!M14,'03.08 Kyanja-Kisaasi-24h'!M14,'04.08 Kyanja-Kisaasi'!M14)</f>
        <v>128.85714285714286</v>
      </c>
      <c r="N14" s="49">
        <f>AVERAGE('29.07 Kyanja -Kisaasi'!N14,'30.07 Kyanja-Kisaasi'!N14,'31.07 Kyanja-Kisaasi'!N14,'02.08 Kyanja-Kisaasi'!N14,'01.08 Kyanja-Kisaasi-24h'!N14,'03.08 Kyanja-Kisaasi-24h'!N14,'04.08 Kyanja-Kisaasi'!N14)</f>
        <v>0</v>
      </c>
      <c r="O14" s="15">
        <f t="shared" si="0"/>
        <v>112.28571428571429</v>
      </c>
      <c r="P14" s="15">
        <f t="shared" si="1"/>
        <v>241.14285714285717</v>
      </c>
      <c r="R14" s="1" t="s">
        <v>10</v>
      </c>
      <c r="S14" s="17">
        <f t="shared" ref="S14:AF14" si="6">SUM(C26:C29)</f>
        <v>250.14285714285714</v>
      </c>
      <c r="T14" s="17">
        <f t="shared" si="6"/>
        <v>105.42857142857142</v>
      </c>
      <c r="U14" s="17">
        <f t="shared" si="6"/>
        <v>26.428571428571427</v>
      </c>
      <c r="V14" s="17">
        <f t="shared" si="6"/>
        <v>62.571428571428569</v>
      </c>
      <c r="W14" s="17">
        <f t="shared" si="6"/>
        <v>0.85714285714285698</v>
      </c>
      <c r="X14" s="17">
        <f t="shared" si="6"/>
        <v>0</v>
      </c>
      <c r="Y14" s="17">
        <f t="shared" si="6"/>
        <v>17.142857142857142</v>
      </c>
      <c r="Z14" s="17">
        <f t="shared" si="6"/>
        <v>6.4285714285714288</v>
      </c>
      <c r="AA14" s="17">
        <f t="shared" si="6"/>
        <v>8.5714285714285712</v>
      </c>
      <c r="AB14" s="17">
        <f t="shared" si="6"/>
        <v>1.4285714285714284</v>
      </c>
      <c r="AC14" s="17">
        <f t="shared" si="6"/>
        <v>348.57142857142856</v>
      </c>
      <c r="AD14" s="17">
        <f t="shared" si="6"/>
        <v>0</v>
      </c>
      <c r="AE14" s="31">
        <f t="shared" si="6"/>
        <v>479.00000000000006</v>
      </c>
      <c r="AF14" s="31">
        <f t="shared" si="6"/>
        <v>827.57142857142867</v>
      </c>
    </row>
    <row r="15" spans="2:32" ht="23.1" customHeight="1" x14ac:dyDescent="0.25">
      <c r="B15" s="23" t="s">
        <v>42</v>
      </c>
      <c r="C15" s="49">
        <f>AVERAGE('29.07 Kyanja -Kisaasi'!C15,'30.07 Kyanja-Kisaasi'!C15,'31.07 Kyanja-Kisaasi'!C15,'02.08 Kyanja-Kisaasi'!C15,'01.08 Kyanja-Kisaasi-24h'!C15,'03.08 Kyanja-Kisaasi-24h'!C15,'04.08 Kyanja-Kisaasi'!C15)</f>
        <v>76.142857142857139</v>
      </c>
      <c r="D15" s="49">
        <f>AVERAGE('29.07 Kyanja -Kisaasi'!D15,'30.07 Kyanja-Kisaasi'!D15,'31.07 Kyanja-Kisaasi'!D15,'02.08 Kyanja-Kisaasi'!D15,'01.08 Kyanja-Kisaasi-24h'!D15,'03.08 Kyanja-Kisaasi-24h'!D15,'04.08 Kyanja-Kisaasi'!D15)</f>
        <v>24</v>
      </c>
      <c r="E15" s="49">
        <f>AVERAGE('29.07 Kyanja -Kisaasi'!E15,'30.07 Kyanja-Kisaasi'!E15,'31.07 Kyanja-Kisaasi'!E15,'02.08 Kyanja-Kisaasi'!E15,'01.08 Kyanja-Kisaasi-24h'!E15,'03.08 Kyanja-Kisaasi-24h'!E15,'04.08 Kyanja-Kisaasi'!E15)</f>
        <v>8.8571428571428577</v>
      </c>
      <c r="F15" s="49">
        <f>AVERAGE('29.07 Kyanja -Kisaasi'!F15,'30.07 Kyanja-Kisaasi'!F15,'31.07 Kyanja-Kisaasi'!F15,'02.08 Kyanja-Kisaasi'!F15,'01.08 Kyanja-Kisaasi-24h'!F15,'03.08 Kyanja-Kisaasi-24h'!F15,'04.08 Kyanja-Kisaasi'!F15)</f>
        <v>39.142857142857146</v>
      </c>
      <c r="G15" s="49">
        <f>AVERAGE('29.07 Kyanja -Kisaasi'!G15,'30.07 Kyanja-Kisaasi'!G15,'31.07 Kyanja-Kisaasi'!G15,'02.08 Kyanja-Kisaasi'!G15,'01.08 Kyanja-Kisaasi-24h'!G15,'03.08 Kyanja-Kisaasi-24h'!G15,'04.08 Kyanja-Kisaasi'!G15)</f>
        <v>0.14285714285714285</v>
      </c>
      <c r="H15" s="49">
        <f>AVERAGE('29.07 Kyanja -Kisaasi'!H15,'30.07 Kyanja-Kisaasi'!H15,'31.07 Kyanja-Kisaasi'!H15,'02.08 Kyanja-Kisaasi'!H15,'01.08 Kyanja-Kisaasi-24h'!H15,'03.08 Kyanja-Kisaasi-24h'!H15,'04.08 Kyanja-Kisaasi'!H15)</f>
        <v>0</v>
      </c>
      <c r="I15" s="49">
        <f>AVERAGE('29.07 Kyanja -Kisaasi'!I15,'30.07 Kyanja-Kisaasi'!I15,'31.07 Kyanja-Kisaasi'!I15,'02.08 Kyanja-Kisaasi'!I15,'01.08 Kyanja-Kisaasi-24h'!I15,'03.08 Kyanja-Kisaasi-24h'!I15,'04.08 Kyanja-Kisaasi'!I15)</f>
        <v>5.5714285714285712</v>
      </c>
      <c r="J15" s="49">
        <f>AVERAGE('29.07 Kyanja -Kisaasi'!J15,'30.07 Kyanja-Kisaasi'!J15,'31.07 Kyanja-Kisaasi'!J15,'02.08 Kyanja-Kisaasi'!J15,'01.08 Kyanja-Kisaasi-24h'!J15,'03.08 Kyanja-Kisaasi-24h'!J15,'04.08 Kyanja-Kisaasi'!J15)</f>
        <v>1.4285714285714286</v>
      </c>
      <c r="K15" s="49">
        <f>AVERAGE('29.07 Kyanja -Kisaasi'!K15,'30.07 Kyanja-Kisaasi'!K15,'31.07 Kyanja-Kisaasi'!K15,'02.08 Kyanja-Kisaasi'!K15,'01.08 Kyanja-Kisaasi-24h'!K15,'03.08 Kyanja-Kisaasi-24h'!K15,'04.08 Kyanja-Kisaasi'!K15)</f>
        <v>1.4285714285714286</v>
      </c>
      <c r="L15" s="49">
        <f>AVERAGE('29.07 Kyanja -Kisaasi'!L15,'30.07 Kyanja-Kisaasi'!L15,'31.07 Kyanja-Kisaasi'!L15,'02.08 Kyanja-Kisaasi'!L15,'01.08 Kyanja-Kisaasi-24h'!L15,'03.08 Kyanja-Kisaasi-24h'!L15,'04.08 Kyanja-Kisaasi'!L15)</f>
        <v>0</v>
      </c>
      <c r="M15" s="49">
        <f>AVERAGE('29.07 Kyanja -Kisaasi'!M15,'30.07 Kyanja-Kisaasi'!M15,'31.07 Kyanja-Kisaasi'!M15,'02.08 Kyanja-Kisaasi'!M15,'01.08 Kyanja-Kisaasi-24h'!M15,'03.08 Kyanja-Kisaasi-24h'!M15,'04.08 Kyanja-Kisaasi'!M15)</f>
        <v>123.71428571428571</v>
      </c>
      <c r="N15" s="49">
        <f>AVERAGE('29.07 Kyanja -Kisaasi'!N15,'30.07 Kyanja-Kisaasi'!N15,'31.07 Kyanja-Kisaasi'!N15,'02.08 Kyanja-Kisaasi'!N15,'01.08 Kyanja-Kisaasi-24h'!N15,'03.08 Kyanja-Kisaasi-24h'!N15,'04.08 Kyanja-Kisaasi'!N15)</f>
        <v>0</v>
      </c>
      <c r="O15" s="15">
        <f t="shared" si="0"/>
        <v>156.71428571428569</v>
      </c>
      <c r="P15" s="15">
        <f t="shared" si="1"/>
        <v>280.42857142857139</v>
      </c>
      <c r="R15" s="1" t="s">
        <v>11</v>
      </c>
      <c r="S15" s="17">
        <f t="shared" ref="S15:AF15" si="7">SUM(C30:C33)</f>
        <v>207.42857142857144</v>
      </c>
      <c r="T15" s="17">
        <f t="shared" si="7"/>
        <v>94.571428571428584</v>
      </c>
      <c r="U15" s="17">
        <f t="shared" si="7"/>
        <v>23.714285714285715</v>
      </c>
      <c r="V15" s="17">
        <f t="shared" si="7"/>
        <v>45.428571428571431</v>
      </c>
      <c r="W15" s="17">
        <f t="shared" si="7"/>
        <v>0.14285714285714285</v>
      </c>
      <c r="X15" s="17">
        <f t="shared" si="7"/>
        <v>0</v>
      </c>
      <c r="Y15" s="17">
        <f t="shared" si="7"/>
        <v>17</v>
      </c>
      <c r="Z15" s="17">
        <f t="shared" si="7"/>
        <v>6.4285714285714288</v>
      </c>
      <c r="AA15" s="17">
        <f t="shared" si="7"/>
        <v>7.5714285714285712</v>
      </c>
      <c r="AB15" s="17">
        <f t="shared" si="7"/>
        <v>0.85714285714285698</v>
      </c>
      <c r="AC15" s="17">
        <f t="shared" si="7"/>
        <v>333.14285714285717</v>
      </c>
      <c r="AD15" s="17">
        <f t="shared" si="7"/>
        <v>0</v>
      </c>
      <c r="AE15" s="31">
        <f t="shared" si="7"/>
        <v>403.14285714285711</v>
      </c>
      <c r="AF15" s="31">
        <f t="shared" si="7"/>
        <v>736.28571428571422</v>
      </c>
    </row>
    <row r="16" spans="2:32" ht="23.1" customHeight="1" x14ac:dyDescent="0.25">
      <c r="B16" s="23" t="s">
        <v>43</v>
      </c>
      <c r="C16" s="49">
        <f>AVERAGE('29.07 Kyanja -Kisaasi'!C16,'30.07 Kyanja-Kisaasi'!C16,'31.07 Kyanja-Kisaasi'!C16,'02.08 Kyanja-Kisaasi'!C16,'01.08 Kyanja-Kisaasi-24h'!C16,'03.08 Kyanja-Kisaasi-24h'!C16,'04.08 Kyanja-Kisaasi'!C16)</f>
        <v>65.714285714285708</v>
      </c>
      <c r="D16" s="49">
        <f>AVERAGE('29.07 Kyanja -Kisaasi'!D16,'30.07 Kyanja-Kisaasi'!D16,'31.07 Kyanja-Kisaasi'!D16,'02.08 Kyanja-Kisaasi'!D16,'01.08 Kyanja-Kisaasi-24h'!D16,'03.08 Kyanja-Kisaasi-24h'!D16,'04.08 Kyanja-Kisaasi'!D16)</f>
        <v>29</v>
      </c>
      <c r="E16" s="49">
        <f>AVERAGE('29.07 Kyanja -Kisaasi'!E16,'30.07 Kyanja-Kisaasi'!E16,'31.07 Kyanja-Kisaasi'!E16,'02.08 Kyanja-Kisaasi'!E16,'01.08 Kyanja-Kisaasi-24h'!E16,'03.08 Kyanja-Kisaasi-24h'!E16,'04.08 Kyanja-Kisaasi'!E16)</f>
        <v>63.428571428571431</v>
      </c>
      <c r="F16" s="49">
        <f>AVERAGE('29.07 Kyanja -Kisaasi'!F16,'30.07 Kyanja-Kisaasi'!F16,'31.07 Kyanja-Kisaasi'!F16,'02.08 Kyanja-Kisaasi'!F16,'01.08 Kyanja-Kisaasi-24h'!F16,'03.08 Kyanja-Kisaasi-24h'!F16,'04.08 Kyanja-Kisaasi'!F16)</f>
        <v>30.428571428571427</v>
      </c>
      <c r="G16" s="49">
        <f>AVERAGE('29.07 Kyanja -Kisaasi'!G16,'30.07 Kyanja-Kisaasi'!G16,'31.07 Kyanja-Kisaasi'!G16,'02.08 Kyanja-Kisaasi'!G16,'01.08 Kyanja-Kisaasi-24h'!G16,'03.08 Kyanja-Kisaasi-24h'!G16,'04.08 Kyanja-Kisaasi'!G16)</f>
        <v>0.14285714285714285</v>
      </c>
      <c r="H16" s="49">
        <f>AVERAGE('29.07 Kyanja -Kisaasi'!H16,'30.07 Kyanja-Kisaasi'!H16,'31.07 Kyanja-Kisaasi'!H16,'02.08 Kyanja-Kisaasi'!H16,'01.08 Kyanja-Kisaasi-24h'!H16,'03.08 Kyanja-Kisaasi-24h'!H16,'04.08 Kyanja-Kisaasi'!H16)</f>
        <v>0</v>
      </c>
      <c r="I16" s="49">
        <f>AVERAGE('29.07 Kyanja -Kisaasi'!I16,'30.07 Kyanja-Kisaasi'!I16,'31.07 Kyanja-Kisaasi'!I16,'02.08 Kyanja-Kisaasi'!I16,'01.08 Kyanja-Kisaasi-24h'!I16,'03.08 Kyanja-Kisaasi-24h'!I16,'04.08 Kyanja-Kisaasi'!I16)</f>
        <v>2.5714285714285716</v>
      </c>
      <c r="J16" s="49">
        <f>AVERAGE('29.07 Kyanja -Kisaasi'!J16,'30.07 Kyanja-Kisaasi'!J16,'31.07 Kyanja-Kisaasi'!J16,'02.08 Kyanja-Kisaasi'!J16,'01.08 Kyanja-Kisaasi-24h'!J16,'03.08 Kyanja-Kisaasi-24h'!J16,'04.08 Kyanja-Kisaasi'!J16)</f>
        <v>1</v>
      </c>
      <c r="K16" s="49">
        <f>AVERAGE('29.07 Kyanja -Kisaasi'!K16,'30.07 Kyanja-Kisaasi'!K16,'31.07 Kyanja-Kisaasi'!K16,'02.08 Kyanja-Kisaasi'!K16,'01.08 Kyanja-Kisaasi-24h'!K16,'03.08 Kyanja-Kisaasi-24h'!K16,'04.08 Kyanja-Kisaasi'!K16)</f>
        <v>1.1428571428571428</v>
      </c>
      <c r="L16" s="49">
        <f>AVERAGE('29.07 Kyanja -Kisaasi'!L16,'30.07 Kyanja-Kisaasi'!L16,'31.07 Kyanja-Kisaasi'!L16,'02.08 Kyanja-Kisaasi'!L16,'01.08 Kyanja-Kisaasi-24h'!L16,'03.08 Kyanja-Kisaasi-24h'!L16,'04.08 Kyanja-Kisaasi'!L16)</f>
        <v>0.14285714285714285</v>
      </c>
      <c r="M16" s="49">
        <f>AVERAGE('29.07 Kyanja -Kisaasi'!M16,'30.07 Kyanja-Kisaasi'!M16,'31.07 Kyanja-Kisaasi'!M16,'02.08 Kyanja-Kisaasi'!M16,'01.08 Kyanja-Kisaasi-24h'!M16,'03.08 Kyanja-Kisaasi-24h'!M16,'04.08 Kyanja-Kisaasi'!M16)</f>
        <v>133.42857142857142</v>
      </c>
      <c r="N16" s="49">
        <f>AVERAGE('29.07 Kyanja -Kisaasi'!N16,'30.07 Kyanja-Kisaasi'!N16,'31.07 Kyanja-Kisaasi'!N16,'02.08 Kyanja-Kisaasi'!N16,'01.08 Kyanja-Kisaasi-24h'!N16,'03.08 Kyanja-Kisaasi-24h'!N16,'04.08 Kyanja-Kisaasi'!N16)</f>
        <v>0</v>
      </c>
      <c r="O16" s="15">
        <f t="shared" si="0"/>
        <v>193.57142857142856</v>
      </c>
      <c r="P16" s="15">
        <f t="shared" si="1"/>
        <v>327</v>
      </c>
      <c r="R16" s="1" t="s">
        <v>12</v>
      </c>
      <c r="S16" s="17">
        <f t="shared" ref="S16:AF16" si="8">SUM(C34:C37)</f>
        <v>192</v>
      </c>
      <c r="T16" s="17">
        <f t="shared" si="8"/>
        <v>94.285714285714278</v>
      </c>
      <c r="U16" s="17">
        <f t="shared" si="8"/>
        <v>24.714285714285712</v>
      </c>
      <c r="V16" s="17">
        <f t="shared" si="8"/>
        <v>52.428571428571431</v>
      </c>
      <c r="W16" s="17">
        <f t="shared" si="8"/>
        <v>0.5714285714285714</v>
      </c>
      <c r="X16" s="17">
        <f t="shared" si="8"/>
        <v>0.71428571428571419</v>
      </c>
      <c r="Y16" s="17">
        <f t="shared" si="8"/>
        <v>15.428571428571429</v>
      </c>
      <c r="Z16" s="17">
        <f t="shared" si="8"/>
        <v>9.4285714285714288</v>
      </c>
      <c r="AA16" s="17">
        <f t="shared" si="8"/>
        <v>6.1428571428571423</v>
      </c>
      <c r="AB16" s="17">
        <f t="shared" si="8"/>
        <v>2</v>
      </c>
      <c r="AC16" s="17">
        <f t="shared" si="8"/>
        <v>313.71428571428572</v>
      </c>
      <c r="AD16" s="17">
        <f t="shared" si="8"/>
        <v>0</v>
      </c>
      <c r="AE16" s="31">
        <f t="shared" si="8"/>
        <v>397.71428571428572</v>
      </c>
      <c r="AF16" s="31">
        <f t="shared" si="8"/>
        <v>711.42857142857156</v>
      </c>
    </row>
    <row r="17" spans="2:32" ht="23.1" customHeight="1" x14ac:dyDescent="0.25">
      <c r="B17" s="23" t="s">
        <v>44</v>
      </c>
      <c r="C17" s="49">
        <f>AVERAGE('29.07 Kyanja -Kisaasi'!C17,'30.07 Kyanja-Kisaasi'!C17,'31.07 Kyanja-Kisaasi'!C17,'02.08 Kyanja-Kisaasi'!C17,'01.08 Kyanja-Kisaasi-24h'!C17,'03.08 Kyanja-Kisaasi-24h'!C17,'04.08 Kyanja-Kisaasi'!C17)</f>
        <v>64.714285714285708</v>
      </c>
      <c r="D17" s="49">
        <f>AVERAGE('29.07 Kyanja -Kisaasi'!D17,'30.07 Kyanja-Kisaasi'!D17,'31.07 Kyanja-Kisaasi'!D17,'02.08 Kyanja-Kisaasi'!D17,'01.08 Kyanja-Kisaasi-24h'!D17,'03.08 Kyanja-Kisaasi-24h'!D17,'04.08 Kyanja-Kisaasi'!D17)</f>
        <v>30.571428571428573</v>
      </c>
      <c r="E17" s="49">
        <f>AVERAGE('29.07 Kyanja -Kisaasi'!E17,'30.07 Kyanja-Kisaasi'!E17,'31.07 Kyanja-Kisaasi'!E17,'02.08 Kyanja-Kisaasi'!E17,'01.08 Kyanja-Kisaasi-24h'!E17,'03.08 Kyanja-Kisaasi-24h'!E17,'04.08 Kyanja-Kisaasi'!E17)</f>
        <v>7.2857142857142856</v>
      </c>
      <c r="F17" s="49">
        <f>AVERAGE('29.07 Kyanja -Kisaasi'!F17,'30.07 Kyanja-Kisaasi'!F17,'31.07 Kyanja-Kisaasi'!F17,'02.08 Kyanja-Kisaasi'!F17,'01.08 Kyanja-Kisaasi-24h'!F17,'03.08 Kyanja-Kisaasi-24h'!F17,'04.08 Kyanja-Kisaasi'!F17)</f>
        <v>21</v>
      </c>
      <c r="G17" s="49">
        <f>AVERAGE('29.07 Kyanja -Kisaasi'!G17,'30.07 Kyanja-Kisaasi'!G17,'31.07 Kyanja-Kisaasi'!G17,'02.08 Kyanja-Kisaasi'!G17,'01.08 Kyanja-Kisaasi-24h'!G17,'03.08 Kyanja-Kisaasi-24h'!G17,'04.08 Kyanja-Kisaasi'!G17)</f>
        <v>0.14285714285714285</v>
      </c>
      <c r="H17" s="49">
        <f>AVERAGE('29.07 Kyanja -Kisaasi'!H17,'30.07 Kyanja-Kisaasi'!H17,'31.07 Kyanja-Kisaasi'!H17,'02.08 Kyanja-Kisaasi'!H17,'01.08 Kyanja-Kisaasi-24h'!H17,'03.08 Kyanja-Kisaasi-24h'!H17,'04.08 Kyanja-Kisaasi'!H17)</f>
        <v>0.2857142857142857</v>
      </c>
      <c r="I17" s="49">
        <f>AVERAGE('29.07 Kyanja -Kisaasi'!I17,'30.07 Kyanja-Kisaasi'!I17,'31.07 Kyanja-Kisaasi'!I17,'02.08 Kyanja-Kisaasi'!I17,'01.08 Kyanja-Kisaasi-24h'!I17,'03.08 Kyanja-Kisaasi-24h'!I17,'04.08 Kyanja-Kisaasi'!I17)</f>
        <v>2.7142857142857144</v>
      </c>
      <c r="J17" s="49">
        <f>AVERAGE('29.07 Kyanja -Kisaasi'!J17,'30.07 Kyanja-Kisaasi'!J17,'31.07 Kyanja-Kisaasi'!J17,'02.08 Kyanja-Kisaasi'!J17,'01.08 Kyanja-Kisaasi-24h'!J17,'03.08 Kyanja-Kisaasi-24h'!J17,'04.08 Kyanja-Kisaasi'!J17)</f>
        <v>1</v>
      </c>
      <c r="K17" s="49">
        <f>AVERAGE('29.07 Kyanja -Kisaasi'!K17,'30.07 Kyanja-Kisaasi'!K17,'31.07 Kyanja-Kisaasi'!K17,'02.08 Kyanja-Kisaasi'!K17,'01.08 Kyanja-Kisaasi-24h'!K17,'03.08 Kyanja-Kisaasi-24h'!K17,'04.08 Kyanja-Kisaasi'!K17)</f>
        <v>1.2857142857142858</v>
      </c>
      <c r="L17" s="49">
        <f>AVERAGE('29.07 Kyanja -Kisaasi'!L17,'30.07 Kyanja-Kisaasi'!L17,'31.07 Kyanja-Kisaasi'!L17,'02.08 Kyanja-Kisaasi'!L17,'01.08 Kyanja-Kisaasi-24h'!L17,'03.08 Kyanja-Kisaasi-24h'!L17,'04.08 Kyanja-Kisaasi'!L17)</f>
        <v>0.2857142857142857</v>
      </c>
      <c r="M17" s="49">
        <f>AVERAGE('29.07 Kyanja -Kisaasi'!M17,'30.07 Kyanja-Kisaasi'!M17,'31.07 Kyanja-Kisaasi'!M17,'02.08 Kyanja-Kisaasi'!M17,'01.08 Kyanja-Kisaasi-24h'!M17,'03.08 Kyanja-Kisaasi-24h'!M17,'04.08 Kyanja-Kisaasi'!M17)</f>
        <v>116.71428571428571</v>
      </c>
      <c r="N17" s="49">
        <f>AVERAGE('29.07 Kyanja -Kisaasi'!N17,'30.07 Kyanja-Kisaasi'!N17,'31.07 Kyanja-Kisaasi'!N17,'02.08 Kyanja-Kisaasi'!N17,'01.08 Kyanja-Kisaasi-24h'!N17,'03.08 Kyanja-Kisaasi-24h'!N17,'04.08 Kyanja-Kisaasi'!N17)</f>
        <v>0</v>
      </c>
      <c r="O17" s="15">
        <f t="shared" si="0"/>
        <v>129.28571428571428</v>
      </c>
      <c r="P17" s="15">
        <f t="shared" si="1"/>
        <v>246</v>
      </c>
      <c r="R17" s="1" t="s">
        <v>13</v>
      </c>
      <c r="S17" s="17">
        <f t="shared" ref="S17:AF17" si="9">SUM(C38:C41)</f>
        <v>207.14285714285714</v>
      </c>
      <c r="T17" s="17">
        <f t="shared" si="9"/>
        <v>105.57142857142857</v>
      </c>
      <c r="U17" s="17">
        <f t="shared" si="9"/>
        <v>25.857142857142854</v>
      </c>
      <c r="V17" s="17">
        <f t="shared" si="9"/>
        <v>47.285714285714285</v>
      </c>
      <c r="W17" s="17">
        <f t="shared" si="9"/>
        <v>0.14285714285714285</v>
      </c>
      <c r="X17" s="17">
        <f t="shared" si="9"/>
        <v>0.42857142857142855</v>
      </c>
      <c r="Y17" s="17">
        <f t="shared" si="9"/>
        <v>16</v>
      </c>
      <c r="Z17" s="17">
        <f t="shared" si="9"/>
        <v>6.4285714285714288</v>
      </c>
      <c r="AA17" s="17">
        <f t="shared" si="9"/>
        <v>5.7142857142857144</v>
      </c>
      <c r="AB17" s="17">
        <f t="shared" si="9"/>
        <v>0.85714285714285698</v>
      </c>
      <c r="AC17" s="17">
        <f t="shared" si="9"/>
        <v>333</v>
      </c>
      <c r="AD17" s="17">
        <f t="shared" si="9"/>
        <v>0.14285714285714285</v>
      </c>
      <c r="AE17" s="31">
        <f t="shared" si="9"/>
        <v>415.57142857142861</v>
      </c>
      <c r="AF17" s="31">
        <f t="shared" si="9"/>
        <v>748.57142857142856</v>
      </c>
    </row>
    <row r="18" spans="2:32" ht="23.1" customHeight="1" x14ac:dyDescent="0.25">
      <c r="B18" s="23" t="s">
        <v>45</v>
      </c>
      <c r="C18" s="49">
        <f>AVERAGE('29.07 Kyanja -Kisaasi'!C18,'30.07 Kyanja-Kisaasi'!C18,'31.07 Kyanja-Kisaasi'!C18,'02.08 Kyanja-Kisaasi'!C18,'01.08 Kyanja-Kisaasi-24h'!C18,'03.08 Kyanja-Kisaasi-24h'!C18,'04.08 Kyanja-Kisaasi'!C18)</f>
        <v>65.714285714285708</v>
      </c>
      <c r="D18" s="49">
        <f>AVERAGE('29.07 Kyanja -Kisaasi'!D18,'30.07 Kyanja-Kisaasi'!D18,'31.07 Kyanja-Kisaasi'!D18,'02.08 Kyanja-Kisaasi'!D18,'01.08 Kyanja-Kisaasi-24h'!D18,'03.08 Kyanja-Kisaasi-24h'!D18,'04.08 Kyanja-Kisaasi'!D18)</f>
        <v>31.428571428571427</v>
      </c>
      <c r="E18" s="49">
        <f>AVERAGE('29.07 Kyanja -Kisaasi'!E18,'30.07 Kyanja-Kisaasi'!E18,'31.07 Kyanja-Kisaasi'!E18,'02.08 Kyanja-Kisaasi'!E18,'01.08 Kyanja-Kisaasi-24h'!E18,'03.08 Kyanja-Kisaasi-24h'!E18,'04.08 Kyanja-Kisaasi'!E18)</f>
        <v>8</v>
      </c>
      <c r="F18" s="49">
        <f>AVERAGE('29.07 Kyanja -Kisaasi'!F18,'30.07 Kyanja-Kisaasi'!F18,'31.07 Kyanja-Kisaasi'!F18,'02.08 Kyanja-Kisaasi'!F18,'01.08 Kyanja-Kisaasi-24h'!F18,'03.08 Kyanja-Kisaasi-24h'!F18,'04.08 Kyanja-Kisaasi'!F18)</f>
        <v>18</v>
      </c>
      <c r="G18" s="49">
        <f>AVERAGE('29.07 Kyanja -Kisaasi'!G18,'30.07 Kyanja-Kisaasi'!G18,'31.07 Kyanja-Kisaasi'!G18,'02.08 Kyanja-Kisaasi'!G18,'01.08 Kyanja-Kisaasi-24h'!G18,'03.08 Kyanja-Kisaasi-24h'!G18,'04.08 Kyanja-Kisaasi'!G18)</f>
        <v>0</v>
      </c>
      <c r="H18" s="49">
        <f>AVERAGE('29.07 Kyanja -Kisaasi'!H18,'30.07 Kyanja-Kisaasi'!H18,'31.07 Kyanja-Kisaasi'!H18,'02.08 Kyanja-Kisaasi'!H18,'01.08 Kyanja-Kisaasi-24h'!H18,'03.08 Kyanja-Kisaasi-24h'!H18,'04.08 Kyanja-Kisaasi'!H18)</f>
        <v>0</v>
      </c>
      <c r="I18" s="49">
        <f>AVERAGE('29.07 Kyanja -Kisaasi'!I18,'30.07 Kyanja-Kisaasi'!I18,'31.07 Kyanja-Kisaasi'!I18,'02.08 Kyanja-Kisaasi'!I18,'01.08 Kyanja-Kisaasi-24h'!I18,'03.08 Kyanja-Kisaasi-24h'!I18,'04.08 Kyanja-Kisaasi'!I18)</f>
        <v>4.7142857142857144</v>
      </c>
      <c r="J18" s="49">
        <f>AVERAGE('29.07 Kyanja -Kisaasi'!J18,'30.07 Kyanja-Kisaasi'!J18,'31.07 Kyanja-Kisaasi'!J18,'02.08 Kyanja-Kisaasi'!J18,'01.08 Kyanja-Kisaasi-24h'!J18,'03.08 Kyanja-Kisaasi-24h'!J18,'04.08 Kyanja-Kisaasi'!J18)</f>
        <v>1</v>
      </c>
      <c r="K18" s="49">
        <f>AVERAGE('29.07 Kyanja -Kisaasi'!K18,'30.07 Kyanja-Kisaasi'!K18,'31.07 Kyanja-Kisaasi'!K18,'02.08 Kyanja-Kisaasi'!K18,'01.08 Kyanja-Kisaasi-24h'!K18,'03.08 Kyanja-Kisaasi-24h'!K18,'04.08 Kyanja-Kisaasi'!K18)</f>
        <v>2.5714285714285716</v>
      </c>
      <c r="L18" s="49">
        <f>AVERAGE('29.07 Kyanja -Kisaasi'!L18,'30.07 Kyanja-Kisaasi'!L18,'31.07 Kyanja-Kisaasi'!L18,'02.08 Kyanja-Kisaasi'!L18,'01.08 Kyanja-Kisaasi-24h'!L18,'03.08 Kyanja-Kisaasi-24h'!L18,'04.08 Kyanja-Kisaasi'!L18)</f>
        <v>0.42857142857142855</v>
      </c>
      <c r="M18" s="49">
        <f>AVERAGE('29.07 Kyanja -Kisaasi'!M18,'30.07 Kyanja-Kisaasi'!M18,'31.07 Kyanja-Kisaasi'!M18,'02.08 Kyanja-Kisaasi'!M18,'01.08 Kyanja-Kisaasi-24h'!M18,'03.08 Kyanja-Kisaasi-24h'!M18,'04.08 Kyanja-Kisaasi'!M18)</f>
        <v>126.85714285714286</v>
      </c>
      <c r="N18" s="49">
        <f>AVERAGE('29.07 Kyanja -Kisaasi'!N18,'30.07 Kyanja-Kisaasi'!N18,'31.07 Kyanja-Kisaasi'!N18,'02.08 Kyanja-Kisaasi'!N18,'01.08 Kyanja-Kisaasi-24h'!N18,'03.08 Kyanja-Kisaasi-24h'!N18,'04.08 Kyanja-Kisaasi'!N18)</f>
        <v>0</v>
      </c>
      <c r="O18" s="15">
        <f t="shared" si="0"/>
        <v>131.85714285714283</v>
      </c>
      <c r="P18" s="15">
        <f t="shared" si="1"/>
        <v>258.71428571428567</v>
      </c>
      <c r="R18" s="1" t="s">
        <v>14</v>
      </c>
      <c r="S18" s="17">
        <f t="shared" ref="S18:AF18" si="10">SUM(C42:C45)</f>
        <v>176.57142857142856</v>
      </c>
      <c r="T18" s="17">
        <f t="shared" si="10"/>
        <v>109.28571428571429</v>
      </c>
      <c r="U18" s="17">
        <f t="shared" si="10"/>
        <v>28.714285714285715</v>
      </c>
      <c r="V18" s="17">
        <f t="shared" si="10"/>
        <v>50.142857142857139</v>
      </c>
      <c r="W18" s="17">
        <f t="shared" si="10"/>
        <v>0.42857142857142855</v>
      </c>
      <c r="X18" s="17">
        <f t="shared" si="10"/>
        <v>0</v>
      </c>
      <c r="Y18" s="17">
        <f t="shared" si="10"/>
        <v>14.142857142857144</v>
      </c>
      <c r="Z18" s="17">
        <f t="shared" si="10"/>
        <v>7.5714285714285712</v>
      </c>
      <c r="AA18" s="17">
        <f t="shared" si="10"/>
        <v>7.5714285714285712</v>
      </c>
      <c r="AB18" s="17">
        <f t="shared" si="10"/>
        <v>0.14285714285714285</v>
      </c>
      <c r="AC18" s="17">
        <f t="shared" si="10"/>
        <v>331.14285714285711</v>
      </c>
      <c r="AD18" s="17">
        <f t="shared" si="10"/>
        <v>0.14285714285714285</v>
      </c>
      <c r="AE18" s="31">
        <f t="shared" si="10"/>
        <v>394.71428571428567</v>
      </c>
      <c r="AF18" s="31">
        <f t="shared" si="10"/>
        <v>725.85714285714289</v>
      </c>
    </row>
    <row r="19" spans="2:32" ht="23.1" customHeight="1" x14ac:dyDescent="0.25">
      <c r="B19" s="23" t="s">
        <v>46</v>
      </c>
      <c r="C19" s="49">
        <f>AVERAGE('29.07 Kyanja -Kisaasi'!C19,'30.07 Kyanja-Kisaasi'!C19,'31.07 Kyanja-Kisaasi'!C19,'02.08 Kyanja-Kisaasi'!C19,'01.08 Kyanja-Kisaasi-24h'!C19,'03.08 Kyanja-Kisaasi-24h'!C19,'04.08 Kyanja-Kisaasi'!C19)</f>
        <v>62.428571428571431</v>
      </c>
      <c r="D19" s="49">
        <f>AVERAGE('29.07 Kyanja -Kisaasi'!D19,'30.07 Kyanja-Kisaasi'!D19,'31.07 Kyanja-Kisaasi'!D19,'02.08 Kyanja-Kisaasi'!D19,'01.08 Kyanja-Kisaasi-24h'!D19,'03.08 Kyanja-Kisaasi-24h'!D19,'04.08 Kyanja-Kisaasi'!D19)</f>
        <v>25</v>
      </c>
      <c r="E19" s="49">
        <f>AVERAGE('29.07 Kyanja -Kisaasi'!E19,'30.07 Kyanja-Kisaasi'!E19,'31.07 Kyanja-Kisaasi'!E19,'02.08 Kyanja-Kisaasi'!E19,'01.08 Kyanja-Kisaasi-24h'!E19,'03.08 Kyanja-Kisaasi-24h'!E19,'04.08 Kyanja-Kisaasi'!E19)</f>
        <v>4.5714285714285712</v>
      </c>
      <c r="F19" s="49">
        <f>AVERAGE('29.07 Kyanja -Kisaasi'!F19,'30.07 Kyanja-Kisaasi'!F19,'31.07 Kyanja-Kisaasi'!F19,'02.08 Kyanja-Kisaasi'!F19,'01.08 Kyanja-Kisaasi-24h'!F19,'03.08 Kyanja-Kisaasi-24h'!F19,'04.08 Kyanja-Kisaasi'!F19)</f>
        <v>22</v>
      </c>
      <c r="G19" s="49">
        <f>AVERAGE('29.07 Kyanja -Kisaasi'!G19,'30.07 Kyanja-Kisaasi'!G19,'31.07 Kyanja-Kisaasi'!G19,'02.08 Kyanja-Kisaasi'!G19,'01.08 Kyanja-Kisaasi-24h'!G19,'03.08 Kyanja-Kisaasi-24h'!G19,'04.08 Kyanja-Kisaasi'!G19)</f>
        <v>0</v>
      </c>
      <c r="H19" s="49">
        <f>AVERAGE('29.07 Kyanja -Kisaasi'!H19,'30.07 Kyanja-Kisaasi'!H19,'31.07 Kyanja-Kisaasi'!H19,'02.08 Kyanja-Kisaasi'!H19,'01.08 Kyanja-Kisaasi-24h'!H19,'03.08 Kyanja-Kisaasi-24h'!H19,'04.08 Kyanja-Kisaasi'!H19)</f>
        <v>0</v>
      </c>
      <c r="I19" s="49">
        <f>AVERAGE('29.07 Kyanja -Kisaasi'!I19,'30.07 Kyanja-Kisaasi'!I19,'31.07 Kyanja-Kisaasi'!I19,'02.08 Kyanja-Kisaasi'!I19,'01.08 Kyanja-Kisaasi-24h'!I19,'03.08 Kyanja-Kisaasi-24h'!I19,'04.08 Kyanja-Kisaasi'!I19)</f>
        <v>4</v>
      </c>
      <c r="J19" s="49">
        <f>AVERAGE('29.07 Kyanja -Kisaasi'!J19,'30.07 Kyanja-Kisaasi'!J19,'31.07 Kyanja-Kisaasi'!J19,'02.08 Kyanja-Kisaasi'!J19,'01.08 Kyanja-Kisaasi-24h'!J19,'03.08 Kyanja-Kisaasi-24h'!J19,'04.08 Kyanja-Kisaasi'!J19)</f>
        <v>1.8571428571428572</v>
      </c>
      <c r="K19" s="49">
        <f>AVERAGE('29.07 Kyanja -Kisaasi'!K19,'30.07 Kyanja-Kisaasi'!K19,'31.07 Kyanja-Kisaasi'!K19,'02.08 Kyanja-Kisaasi'!K19,'01.08 Kyanja-Kisaasi-24h'!K19,'03.08 Kyanja-Kisaasi-24h'!K19,'04.08 Kyanja-Kisaasi'!K19)</f>
        <v>3</v>
      </c>
      <c r="L19" s="49">
        <f>AVERAGE('29.07 Kyanja -Kisaasi'!L19,'30.07 Kyanja-Kisaasi'!L19,'31.07 Kyanja-Kisaasi'!L19,'02.08 Kyanja-Kisaasi'!L19,'01.08 Kyanja-Kisaasi-24h'!L19,'03.08 Kyanja-Kisaasi-24h'!L19,'04.08 Kyanja-Kisaasi'!L19)</f>
        <v>0.2857142857142857</v>
      </c>
      <c r="M19" s="49">
        <f>AVERAGE('29.07 Kyanja -Kisaasi'!M19,'30.07 Kyanja-Kisaasi'!M19,'31.07 Kyanja-Kisaasi'!M19,'02.08 Kyanja-Kisaasi'!M19,'01.08 Kyanja-Kisaasi-24h'!M19,'03.08 Kyanja-Kisaasi-24h'!M19,'04.08 Kyanja-Kisaasi'!M19)</f>
        <v>123.42857142857143</v>
      </c>
      <c r="N19" s="49">
        <f>AVERAGE('29.07 Kyanja -Kisaasi'!N19,'30.07 Kyanja-Kisaasi'!N19,'31.07 Kyanja-Kisaasi'!N19,'02.08 Kyanja-Kisaasi'!N19,'01.08 Kyanja-Kisaasi-24h'!N19,'03.08 Kyanja-Kisaasi-24h'!N19,'04.08 Kyanja-Kisaasi'!N19)</f>
        <v>0</v>
      </c>
      <c r="O19" s="15">
        <f t="shared" si="0"/>
        <v>123.14285714285715</v>
      </c>
      <c r="P19" s="15">
        <f t="shared" si="1"/>
        <v>246.57142857142858</v>
      </c>
      <c r="R19" s="1" t="s">
        <v>15</v>
      </c>
      <c r="S19" s="17">
        <f t="shared" ref="S19:AF19" si="11">SUM(C46:C49)</f>
        <v>218.28571428571428</v>
      </c>
      <c r="T19" s="17">
        <f t="shared" si="11"/>
        <v>103.42857142857143</v>
      </c>
      <c r="U19" s="17">
        <f t="shared" si="11"/>
        <v>27.999999999999996</v>
      </c>
      <c r="V19" s="17">
        <f t="shared" si="11"/>
        <v>53.857142857142854</v>
      </c>
      <c r="W19" s="17">
        <f t="shared" si="11"/>
        <v>1.1428571428571428</v>
      </c>
      <c r="X19" s="17">
        <f t="shared" si="11"/>
        <v>0</v>
      </c>
      <c r="Y19" s="17">
        <f t="shared" si="11"/>
        <v>14.571428571428573</v>
      </c>
      <c r="Z19" s="17">
        <f t="shared" si="11"/>
        <v>6.4285714285714288</v>
      </c>
      <c r="AA19" s="17">
        <f t="shared" si="11"/>
        <v>6.8571428571428568</v>
      </c>
      <c r="AB19" s="17">
        <f t="shared" si="11"/>
        <v>0.5714285714285714</v>
      </c>
      <c r="AC19" s="17">
        <f t="shared" si="11"/>
        <v>362.14285714285711</v>
      </c>
      <c r="AD19" s="17">
        <f t="shared" si="11"/>
        <v>0</v>
      </c>
      <c r="AE19" s="31">
        <f t="shared" si="11"/>
        <v>433.14285714285711</v>
      </c>
      <c r="AF19" s="31">
        <f t="shared" si="11"/>
        <v>795.28571428571422</v>
      </c>
    </row>
    <row r="20" spans="2:32" ht="23.1" customHeight="1" x14ac:dyDescent="0.25">
      <c r="B20" s="23" t="s">
        <v>47</v>
      </c>
      <c r="C20" s="49">
        <f>AVERAGE('29.07 Kyanja -Kisaasi'!C20,'30.07 Kyanja-Kisaasi'!C20,'31.07 Kyanja-Kisaasi'!C20,'02.08 Kyanja-Kisaasi'!C20,'01.08 Kyanja-Kisaasi-24h'!C20,'03.08 Kyanja-Kisaasi-24h'!C20,'04.08 Kyanja-Kisaasi'!C20)</f>
        <v>63.142857142857146</v>
      </c>
      <c r="D20" s="49">
        <f>AVERAGE('29.07 Kyanja -Kisaasi'!D20,'30.07 Kyanja-Kisaasi'!D20,'31.07 Kyanja-Kisaasi'!D20,'02.08 Kyanja-Kisaasi'!D20,'01.08 Kyanja-Kisaasi-24h'!D20,'03.08 Kyanja-Kisaasi-24h'!D20,'04.08 Kyanja-Kisaasi'!D20)</f>
        <v>25.571428571428573</v>
      </c>
      <c r="E20" s="49">
        <f>AVERAGE('29.07 Kyanja -Kisaasi'!E20,'30.07 Kyanja-Kisaasi'!E20,'31.07 Kyanja-Kisaasi'!E20,'02.08 Kyanja-Kisaasi'!E20,'01.08 Kyanja-Kisaasi-24h'!E20,'03.08 Kyanja-Kisaasi-24h'!E20,'04.08 Kyanja-Kisaasi'!E20)</f>
        <v>5.5714285714285712</v>
      </c>
      <c r="F20" s="49">
        <f>AVERAGE('29.07 Kyanja -Kisaasi'!F20,'30.07 Kyanja-Kisaasi'!F20,'31.07 Kyanja-Kisaasi'!F20,'02.08 Kyanja-Kisaasi'!F20,'01.08 Kyanja-Kisaasi-24h'!F20,'03.08 Kyanja-Kisaasi-24h'!F20,'04.08 Kyanja-Kisaasi'!F20)</f>
        <v>18.571428571428573</v>
      </c>
      <c r="G20" s="49">
        <f>AVERAGE('29.07 Kyanja -Kisaasi'!G20,'30.07 Kyanja-Kisaasi'!G20,'31.07 Kyanja-Kisaasi'!G20,'02.08 Kyanja-Kisaasi'!G20,'01.08 Kyanja-Kisaasi-24h'!G20,'03.08 Kyanja-Kisaasi-24h'!G20,'04.08 Kyanja-Kisaasi'!G20)</f>
        <v>0</v>
      </c>
      <c r="H20" s="49">
        <f>AVERAGE('29.07 Kyanja -Kisaasi'!H20,'30.07 Kyanja-Kisaasi'!H20,'31.07 Kyanja-Kisaasi'!H20,'02.08 Kyanja-Kisaasi'!H20,'01.08 Kyanja-Kisaasi-24h'!H20,'03.08 Kyanja-Kisaasi-24h'!H20,'04.08 Kyanja-Kisaasi'!H20)</f>
        <v>0</v>
      </c>
      <c r="I20" s="49">
        <f>AVERAGE('29.07 Kyanja -Kisaasi'!I20,'30.07 Kyanja-Kisaasi'!I20,'31.07 Kyanja-Kisaasi'!I20,'02.08 Kyanja-Kisaasi'!I20,'01.08 Kyanja-Kisaasi-24h'!I20,'03.08 Kyanja-Kisaasi-24h'!I20,'04.08 Kyanja-Kisaasi'!I20)</f>
        <v>3.4285714285714284</v>
      </c>
      <c r="J20" s="49">
        <f>AVERAGE('29.07 Kyanja -Kisaasi'!J20,'30.07 Kyanja-Kisaasi'!J20,'31.07 Kyanja-Kisaasi'!J20,'02.08 Kyanja-Kisaasi'!J20,'01.08 Kyanja-Kisaasi-24h'!J20,'03.08 Kyanja-Kisaasi-24h'!J20,'04.08 Kyanja-Kisaasi'!J20)</f>
        <v>1.2857142857142858</v>
      </c>
      <c r="K20" s="49">
        <f>AVERAGE('29.07 Kyanja -Kisaasi'!K20,'30.07 Kyanja-Kisaasi'!K20,'31.07 Kyanja-Kisaasi'!K20,'02.08 Kyanja-Kisaasi'!K20,'01.08 Kyanja-Kisaasi-24h'!K20,'03.08 Kyanja-Kisaasi-24h'!K20,'04.08 Kyanja-Kisaasi'!K20)</f>
        <v>1.7142857142857142</v>
      </c>
      <c r="L20" s="49">
        <f>AVERAGE('29.07 Kyanja -Kisaasi'!L20,'30.07 Kyanja-Kisaasi'!L20,'31.07 Kyanja-Kisaasi'!L20,'02.08 Kyanja-Kisaasi'!L20,'01.08 Kyanja-Kisaasi-24h'!L20,'03.08 Kyanja-Kisaasi-24h'!L20,'04.08 Kyanja-Kisaasi'!L20)</f>
        <v>0</v>
      </c>
      <c r="M20" s="49">
        <f>AVERAGE('29.07 Kyanja -Kisaasi'!M20,'30.07 Kyanja-Kisaasi'!M20,'31.07 Kyanja-Kisaasi'!M20,'02.08 Kyanja-Kisaasi'!M20,'01.08 Kyanja-Kisaasi-24h'!M20,'03.08 Kyanja-Kisaasi-24h'!M20,'04.08 Kyanja-Kisaasi'!M20)</f>
        <v>115.28571428571429</v>
      </c>
      <c r="N20" s="49">
        <f>AVERAGE('29.07 Kyanja -Kisaasi'!N20,'30.07 Kyanja-Kisaasi'!N20,'31.07 Kyanja-Kisaasi'!N20,'02.08 Kyanja-Kisaasi'!N20,'01.08 Kyanja-Kisaasi-24h'!N20,'03.08 Kyanja-Kisaasi-24h'!N20,'04.08 Kyanja-Kisaasi'!N20)</f>
        <v>0</v>
      </c>
      <c r="O20" s="15">
        <f t="shared" si="0"/>
        <v>119.28571428571429</v>
      </c>
      <c r="P20" s="15">
        <f t="shared" si="1"/>
        <v>234.57142857142858</v>
      </c>
      <c r="R20" s="1" t="s">
        <v>16</v>
      </c>
      <c r="S20" s="17">
        <f t="shared" ref="S20:AF20" si="12">SUM(C50:C53)</f>
        <v>267.57142857142856</v>
      </c>
      <c r="T20" s="17">
        <f t="shared" si="12"/>
        <v>159.42857142857142</v>
      </c>
      <c r="U20" s="17">
        <f t="shared" si="12"/>
        <v>34.571428571428569</v>
      </c>
      <c r="V20" s="17">
        <f t="shared" si="12"/>
        <v>69.714285714285722</v>
      </c>
      <c r="W20" s="17">
        <f t="shared" si="12"/>
        <v>1.1428571428571428</v>
      </c>
      <c r="X20" s="17">
        <f t="shared" si="12"/>
        <v>0</v>
      </c>
      <c r="Y20" s="17">
        <f t="shared" si="12"/>
        <v>10.714285714285714</v>
      </c>
      <c r="Z20" s="17">
        <f t="shared" si="12"/>
        <v>4.2857142857142865</v>
      </c>
      <c r="AA20" s="17">
        <f t="shared" si="12"/>
        <v>4.5714285714285712</v>
      </c>
      <c r="AB20" s="17">
        <f t="shared" si="12"/>
        <v>0.8571428571428571</v>
      </c>
      <c r="AC20" s="17">
        <f t="shared" si="12"/>
        <v>408.28571428571428</v>
      </c>
      <c r="AD20" s="17">
        <f t="shared" si="12"/>
        <v>0</v>
      </c>
      <c r="AE20" s="31">
        <f t="shared" si="12"/>
        <v>552.85714285714289</v>
      </c>
      <c r="AF20" s="31">
        <f t="shared" si="12"/>
        <v>961.14285714285711</v>
      </c>
    </row>
    <row r="21" spans="2:32" ht="23.1" customHeight="1" x14ac:dyDescent="0.25">
      <c r="B21" s="23" t="s">
        <v>48</v>
      </c>
      <c r="C21" s="49">
        <f>AVERAGE('29.07 Kyanja -Kisaasi'!C21,'30.07 Kyanja-Kisaasi'!C21,'31.07 Kyanja-Kisaasi'!C21,'02.08 Kyanja-Kisaasi'!C21,'01.08 Kyanja-Kisaasi-24h'!C21,'03.08 Kyanja-Kisaasi-24h'!C21,'04.08 Kyanja-Kisaasi'!C21)</f>
        <v>51</v>
      </c>
      <c r="D21" s="49">
        <f>AVERAGE('29.07 Kyanja -Kisaasi'!D21,'30.07 Kyanja-Kisaasi'!D21,'31.07 Kyanja-Kisaasi'!D21,'02.08 Kyanja-Kisaasi'!D21,'01.08 Kyanja-Kisaasi-24h'!D21,'03.08 Kyanja-Kisaasi-24h'!D21,'04.08 Kyanja-Kisaasi'!D21)</f>
        <v>30.571428571428573</v>
      </c>
      <c r="E21" s="49">
        <f>AVERAGE('29.07 Kyanja -Kisaasi'!E21,'30.07 Kyanja-Kisaasi'!E21,'31.07 Kyanja-Kisaasi'!E21,'02.08 Kyanja-Kisaasi'!E21,'01.08 Kyanja-Kisaasi-24h'!E21,'03.08 Kyanja-Kisaasi-24h'!E21,'04.08 Kyanja-Kisaasi'!E21)</f>
        <v>5</v>
      </c>
      <c r="F21" s="49">
        <f>AVERAGE('29.07 Kyanja -Kisaasi'!F21,'30.07 Kyanja-Kisaasi'!F21,'31.07 Kyanja-Kisaasi'!F21,'02.08 Kyanja-Kisaasi'!F21,'01.08 Kyanja-Kisaasi-24h'!F21,'03.08 Kyanja-Kisaasi-24h'!F21,'04.08 Kyanja-Kisaasi'!F21)</f>
        <v>22.142857142857142</v>
      </c>
      <c r="G21" s="49">
        <f>AVERAGE('29.07 Kyanja -Kisaasi'!G21,'30.07 Kyanja-Kisaasi'!G21,'31.07 Kyanja-Kisaasi'!G21,'02.08 Kyanja-Kisaasi'!G21,'01.08 Kyanja-Kisaasi-24h'!G21,'03.08 Kyanja-Kisaasi-24h'!G21,'04.08 Kyanja-Kisaasi'!G21)</f>
        <v>0</v>
      </c>
      <c r="H21" s="49">
        <f>AVERAGE('29.07 Kyanja -Kisaasi'!H21,'30.07 Kyanja-Kisaasi'!H21,'31.07 Kyanja-Kisaasi'!H21,'02.08 Kyanja-Kisaasi'!H21,'01.08 Kyanja-Kisaasi-24h'!H21,'03.08 Kyanja-Kisaasi-24h'!H21,'04.08 Kyanja-Kisaasi'!H21)</f>
        <v>0</v>
      </c>
      <c r="I21" s="49">
        <f>AVERAGE('29.07 Kyanja -Kisaasi'!I21,'30.07 Kyanja-Kisaasi'!I21,'31.07 Kyanja-Kisaasi'!I21,'02.08 Kyanja-Kisaasi'!I21,'01.08 Kyanja-Kisaasi-24h'!I21,'03.08 Kyanja-Kisaasi-24h'!I21,'04.08 Kyanja-Kisaasi'!I21)</f>
        <v>4.2857142857142856</v>
      </c>
      <c r="J21" s="49">
        <f>AVERAGE('29.07 Kyanja -Kisaasi'!J21,'30.07 Kyanja-Kisaasi'!J21,'31.07 Kyanja-Kisaasi'!J21,'02.08 Kyanja-Kisaasi'!J21,'01.08 Kyanja-Kisaasi-24h'!J21,'03.08 Kyanja-Kisaasi-24h'!J21,'04.08 Kyanja-Kisaasi'!J21)</f>
        <v>0.8571428571428571</v>
      </c>
      <c r="K21" s="49">
        <f>AVERAGE('29.07 Kyanja -Kisaasi'!K21,'30.07 Kyanja-Kisaasi'!K21,'31.07 Kyanja-Kisaasi'!K21,'02.08 Kyanja-Kisaasi'!K21,'01.08 Kyanja-Kisaasi-24h'!K21,'03.08 Kyanja-Kisaasi-24h'!K21,'04.08 Kyanja-Kisaasi'!K21)</f>
        <v>2.1428571428571428</v>
      </c>
      <c r="L21" s="49">
        <f>AVERAGE('29.07 Kyanja -Kisaasi'!L21,'30.07 Kyanja-Kisaasi'!L21,'31.07 Kyanja-Kisaasi'!L21,'02.08 Kyanja-Kisaasi'!L21,'01.08 Kyanja-Kisaasi-24h'!L21,'03.08 Kyanja-Kisaasi-24h'!L21,'04.08 Kyanja-Kisaasi'!L21)</f>
        <v>0</v>
      </c>
      <c r="M21" s="49">
        <f>AVERAGE('29.07 Kyanja -Kisaasi'!M21,'30.07 Kyanja-Kisaasi'!M21,'31.07 Kyanja-Kisaasi'!M21,'02.08 Kyanja-Kisaasi'!M21,'01.08 Kyanja-Kisaasi-24h'!M21,'03.08 Kyanja-Kisaasi-24h'!M21,'04.08 Kyanja-Kisaasi'!M21)</f>
        <v>112.28571428571429</v>
      </c>
      <c r="N21" s="49">
        <f>AVERAGE('29.07 Kyanja -Kisaasi'!N21,'30.07 Kyanja-Kisaasi'!N21,'31.07 Kyanja-Kisaasi'!N21,'02.08 Kyanja-Kisaasi'!N21,'01.08 Kyanja-Kisaasi-24h'!N21,'03.08 Kyanja-Kisaasi-24h'!N21,'04.08 Kyanja-Kisaasi'!N21)</f>
        <v>0</v>
      </c>
      <c r="O21" s="15">
        <f t="shared" si="0"/>
        <v>116</v>
      </c>
      <c r="P21" s="15">
        <f t="shared" si="1"/>
        <v>228.28571428571428</v>
      </c>
      <c r="R21" s="36" t="s">
        <v>20</v>
      </c>
      <c r="S21" s="34">
        <f t="shared" ref="S21:S33" si="13">SUM(C54:C57)</f>
        <v>244.85714285714286</v>
      </c>
      <c r="T21" s="34">
        <f t="shared" ref="T21:T33" si="14">SUM(D54:D57)</f>
        <v>179</v>
      </c>
      <c r="U21" s="34">
        <f t="shared" ref="U21:U33" si="15">SUM(E54:E57)</f>
        <v>35</v>
      </c>
      <c r="V21" s="34">
        <f t="shared" ref="V21:V33" si="16">SUM(F54:F57)</f>
        <v>115.57142857142857</v>
      </c>
      <c r="W21" s="34">
        <f t="shared" ref="W21:W33" si="17">SUM(G54:G57)</f>
        <v>0.99999999999999989</v>
      </c>
      <c r="X21" s="34">
        <f t="shared" ref="X21:X33" si="18">SUM(H54:H57)</f>
        <v>0</v>
      </c>
      <c r="Y21" s="34">
        <f t="shared" ref="Y21:Y33" si="19">SUM(I54:I57)</f>
        <v>7.7142857142857135</v>
      </c>
      <c r="Z21" s="34">
        <f t="shared" ref="Z21:Z33" si="20">SUM(J54:J57)</f>
        <v>5.2857142857142856</v>
      </c>
      <c r="AA21" s="34">
        <f t="shared" ref="AA21:AA33" si="21">SUM(K54:K57)</f>
        <v>2.8571428571428572</v>
      </c>
      <c r="AB21" s="34">
        <f t="shared" ref="AB21:AB33" si="22">SUM(L54:L57)</f>
        <v>0.14285714285714285</v>
      </c>
      <c r="AC21" s="34">
        <f t="shared" ref="AC21:AC33" si="23">SUM(M54:M57)</f>
        <v>443.28571428571433</v>
      </c>
      <c r="AD21" s="34">
        <f t="shared" ref="AD21:AD33" si="24">SUM(N54:N57)</f>
        <v>0</v>
      </c>
      <c r="AE21" s="52">
        <f t="shared" ref="AE21:AE33" si="25">SUM(O54:O57)</f>
        <v>591.42857142857133</v>
      </c>
      <c r="AF21" s="52">
        <f t="shared" ref="AF21:AF33" si="26">SUM(P54:P57)</f>
        <v>1034.7142857142858</v>
      </c>
    </row>
    <row r="22" spans="2:32" ht="23.1" customHeight="1" x14ac:dyDescent="0.25">
      <c r="B22" s="23" t="s">
        <v>49</v>
      </c>
      <c r="C22" s="49">
        <f>AVERAGE('29.07 Kyanja -Kisaasi'!C22,'30.07 Kyanja-Kisaasi'!C22,'31.07 Kyanja-Kisaasi'!C22,'02.08 Kyanja-Kisaasi'!C22,'01.08 Kyanja-Kisaasi-24h'!C22,'03.08 Kyanja-Kisaasi-24h'!C22,'04.08 Kyanja-Kisaasi'!C22)</f>
        <v>58</v>
      </c>
      <c r="D22" s="49">
        <f>AVERAGE('29.07 Kyanja -Kisaasi'!D22,'30.07 Kyanja-Kisaasi'!D22,'31.07 Kyanja-Kisaasi'!D22,'02.08 Kyanja-Kisaasi'!D22,'01.08 Kyanja-Kisaasi-24h'!D22,'03.08 Kyanja-Kisaasi-24h'!D22,'04.08 Kyanja-Kisaasi'!D22)</f>
        <v>26.285714285714285</v>
      </c>
      <c r="E22" s="49">
        <f>AVERAGE('29.07 Kyanja -Kisaasi'!E22,'30.07 Kyanja-Kisaasi'!E22,'31.07 Kyanja-Kisaasi'!E22,'02.08 Kyanja-Kisaasi'!E22,'01.08 Kyanja-Kisaasi-24h'!E22,'03.08 Kyanja-Kisaasi-24h'!E22,'04.08 Kyanja-Kisaasi'!E22)</f>
        <v>7.2857142857142856</v>
      </c>
      <c r="F22" s="49">
        <f>AVERAGE('29.07 Kyanja -Kisaasi'!F22,'30.07 Kyanja-Kisaasi'!F22,'31.07 Kyanja-Kisaasi'!F22,'02.08 Kyanja-Kisaasi'!F22,'01.08 Kyanja-Kisaasi-24h'!F22,'03.08 Kyanja-Kisaasi-24h'!F22,'04.08 Kyanja-Kisaasi'!F22)</f>
        <v>22.142857142857142</v>
      </c>
      <c r="G22" s="49">
        <f>AVERAGE('29.07 Kyanja -Kisaasi'!G22,'30.07 Kyanja-Kisaasi'!G22,'31.07 Kyanja-Kisaasi'!G22,'02.08 Kyanja-Kisaasi'!G22,'01.08 Kyanja-Kisaasi-24h'!G22,'03.08 Kyanja-Kisaasi-24h'!G22,'04.08 Kyanja-Kisaasi'!G22)</f>
        <v>0</v>
      </c>
      <c r="H22" s="49">
        <f>AVERAGE('29.07 Kyanja -Kisaasi'!H22,'30.07 Kyanja-Kisaasi'!H22,'31.07 Kyanja-Kisaasi'!H22,'02.08 Kyanja-Kisaasi'!H22,'01.08 Kyanja-Kisaasi-24h'!H22,'03.08 Kyanja-Kisaasi-24h'!H22,'04.08 Kyanja-Kisaasi'!H22)</f>
        <v>0</v>
      </c>
      <c r="I22" s="49">
        <f>AVERAGE('29.07 Kyanja -Kisaasi'!I22,'30.07 Kyanja-Kisaasi'!I22,'31.07 Kyanja-Kisaasi'!I22,'02.08 Kyanja-Kisaasi'!I22,'01.08 Kyanja-Kisaasi-24h'!I22,'03.08 Kyanja-Kisaasi-24h'!I22,'04.08 Kyanja-Kisaasi'!I22)</f>
        <v>3.7142857142857144</v>
      </c>
      <c r="J22" s="49">
        <f>AVERAGE('29.07 Kyanja -Kisaasi'!J22,'30.07 Kyanja-Kisaasi'!J22,'31.07 Kyanja-Kisaasi'!J22,'02.08 Kyanja-Kisaasi'!J22,'01.08 Kyanja-Kisaasi-24h'!J22,'03.08 Kyanja-Kisaasi-24h'!J22,'04.08 Kyanja-Kisaasi'!J22)</f>
        <v>0.7142857142857143</v>
      </c>
      <c r="K22" s="49">
        <f>AVERAGE('29.07 Kyanja -Kisaasi'!K22,'30.07 Kyanja-Kisaasi'!K22,'31.07 Kyanja-Kisaasi'!K22,'02.08 Kyanja-Kisaasi'!K22,'01.08 Kyanja-Kisaasi-24h'!K22,'03.08 Kyanja-Kisaasi-24h'!K22,'04.08 Kyanja-Kisaasi'!K22)</f>
        <v>2.5714285714285716</v>
      </c>
      <c r="L22" s="49">
        <f>AVERAGE('29.07 Kyanja -Kisaasi'!L22,'30.07 Kyanja-Kisaasi'!L22,'31.07 Kyanja-Kisaasi'!L22,'02.08 Kyanja-Kisaasi'!L22,'01.08 Kyanja-Kisaasi-24h'!L22,'03.08 Kyanja-Kisaasi-24h'!L22,'04.08 Kyanja-Kisaasi'!L22)</f>
        <v>0.2857142857142857</v>
      </c>
      <c r="M22" s="49">
        <f>AVERAGE('29.07 Kyanja -Kisaasi'!M22,'30.07 Kyanja-Kisaasi'!M22,'31.07 Kyanja-Kisaasi'!M22,'02.08 Kyanja-Kisaasi'!M22,'01.08 Kyanja-Kisaasi-24h'!M22,'03.08 Kyanja-Kisaasi-24h'!M22,'04.08 Kyanja-Kisaasi'!M22)</f>
        <v>93.857142857142861</v>
      </c>
      <c r="N22" s="49">
        <f>AVERAGE('29.07 Kyanja -Kisaasi'!N22,'30.07 Kyanja-Kisaasi'!N22,'31.07 Kyanja-Kisaasi'!N22,'02.08 Kyanja-Kisaasi'!N22,'01.08 Kyanja-Kisaasi-24h'!N22,'03.08 Kyanja-Kisaasi-24h'!N22,'04.08 Kyanja-Kisaasi'!N22)</f>
        <v>0</v>
      </c>
      <c r="O22" s="15">
        <f t="shared" si="0"/>
        <v>120.99999999999999</v>
      </c>
      <c r="P22" s="15">
        <f t="shared" si="1"/>
        <v>214.85714285714283</v>
      </c>
      <c r="R22" s="1" t="s">
        <v>146</v>
      </c>
      <c r="S22" s="34">
        <f t="shared" si="13"/>
        <v>206.78571428571428</v>
      </c>
      <c r="T22" s="34">
        <f t="shared" si="14"/>
        <v>152.64285714285714</v>
      </c>
      <c r="U22" s="34">
        <f t="shared" si="15"/>
        <v>30.357142857142858</v>
      </c>
      <c r="V22" s="34">
        <f t="shared" si="16"/>
        <v>92.571428571428569</v>
      </c>
      <c r="W22" s="34">
        <f t="shared" si="17"/>
        <v>1.2142857142857142</v>
      </c>
      <c r="X22" s="34">
        <f t="shared" si="18"/>
        <v>0</v>
      </c>
      <c r="Y22" s="34">
        <f t="shared" si="19"/>
        <v>10.5</v>
      </c>
      <c r="Z22" s="34">
        <f t="shared" si="20"/>
        <v>4.6428571428571432</v>
      </c>
      <c r="AA22" s="34">
        <f t="shared" si="21"/>
        <v>2.5</v>
      </c>
      <c r="AB22" s="34">
        <f t="shared" si="22"/>
        <v>0</v>
      </c>
      <c r="AC22" s="34">
        <f t="shared" si="23"/>
        <v>417</v>
      </c>
      <c r="AD22" s="34">
        <f t="shared" si="24"/>
        <v>0</v>
      </c>
      <c r="AE22" s="52">
        <f t="shared" si="25"/>
        <v>501.21428571428567</v>
      </c>
      <c r="AF22" s="52">
        <f t="shared" si="26"/>
        <v>918.21428571428567</v>
      </c>
    </row>
    <row r="23" spans="2:32" ht="23.1" customHeight="1" x14ac:dyDescent="0.25">
      <c r="B23" s="23" t="s">
        <v>50</v>
      </c>
      <c r="C23" s="49">
        <f>AVERAGE('29.07 Kyanja -Kisaasi'!C23,'30.07 Kyanja-Kisaasi'!C23,'31.07 Kyanja-Kisaasi'!C23,'02.08 Kyanja-Kisaasi'!C23,'01.08 Kyanja-Kisaasi-24h'!C23,'03.08 Kyanja-Kisaasi-24h'!C23,'04.08 Kyanja-Kisaasi'!C23)</f>
        <v>70.285714285714292</v>
      </c>
      <c r="D23" s="49">
        <f>AVERAGE('29.07 Kyanja -Kisaasi'!D23,'30.07 Kyanja-Kisaasi'!D23,'31.07 Kyanja-Kisaasi'!D23,'02.08 Kyanja-Kisaasi'!D23,'01.08 Kyanja-Kisaasi-24h'!D23,'03.08 Kyanja-Kisaasi-24h'!D23,'04.08 Kyanja-Kisaasi'!D23)</f>
        <v>27.571428571428573</v>
      </c>
      <c r="E23" s="49">
        <f>AVERAGE('29.07 Kyanja -Kisaasi'!E23,'30.07 Kyanja-Kisaasi'!E23,'31.07 Kyanja-Kisaasi'!E23,'02.08 Kyanja-Kisaasi'!E23,'01.08 Kyanja-Kisaasi-24h'!E23,'03.08 Kyanja-Kisaasi-24h'!E23,'04.08 Kyanja-Kisaasi'!E23)</f>
        <v>9.8571428571428577</v>
      </c>
      <c r="F23" s="49">
        <f>AVERAGE('29.07 Kyanja -Kisaasi'!F23,'30.07 Kyanja-Kisaasi'!F23,'31.07 Kyanja-Kisaasi'!F23,'02.08 Kyanja-Kisaasi'!F23,'01.08 Kyanja-Kisaasi-24h'!F23,'03.08 Kyanja-Kisaasi-24h'!F23,'04.08 Kyanja-Kisaasi'!F23)</f>
        <v>18.142857142857142</v>
      </c>
      <c r="G23" s="49">
        <f>AVERAGE('29.07 Kyanja -Kisaasi'!G23,'30.07 Kyanja-Kisaasi'!G23,'31.07 Kyanja-Kisaasi'!G23,'02.08 Kyanja-Kisaasi'!G23,'01.08 Kyanja-Kisaasi-24h'!G23,'03.08 Kyanja-Kisaasi-24h'!G23,'04.08 Kyanja-Kisaasi'!G23)</f>
        <v>0</v>
      </c>
      <c r="H23" s="49">
        <f>AVERAGE('29.07 Kyanja -Kisaasi'!H23,'30.07 Kyanja-Kisaasi'!H23,'31.07 Kyanja-Kisaasi'!H23,'02.08 Kyanja-Kisaasi'!H23,'01.08 Kyanja-Kisaasi-24h'!H23,'03.08 Kyanja-Kisaasi-24h'!H23,'04.08 Kyanja-Kisaasi'!H23)</f>
        <v>0</v>
      </c>
      <c r="I23" s="49">
        <f>AVERAGE('29.07 Kyanja -Kisaasi'!I23,'30.07 Kyanja-Kisaasi'!I23,'31.07 Kyanja-Kisaasi'!I23,'02.08 Kyanja-Kisaasi'!I23,'01.08 Kyanja-Kisaasi-24h'!I23,'03.08 Kyanja-Kisaasi-24h'!I23,'04.08 Kyanja-Kisaasi'!I23)</f>
        <v>3.8571428571428572</v>
      </c>
      <c r="J23" s="49">
        <f>AVERAGE('29.07 Kyanja -Kisaasi'!J23,'30.07 Kyanja-Kisaasi'!J23,'31.07 Kyanja-Kisaasi'!J23,'02.08 Kyanja-Kisaasi'!J23,'01.08 Kyanja-Kisaasi-24h'!J23,'03.08 Kyanja-Kisaasi-24h'!J23,'04.08 Kyanja-Kisaasi'!J23)</f>
        <v>1.1428571428571428</v>
      </c>
      <c r="K23" s="49">
        <f>AVERAGE('29.07 Kyanja -Kisaasi'!K23,'30.07 Kyanja-Kisaasi'!K23,'31.07 Kyanja-Kisaasi'!K23,'02.08 Kyanja-Kisaasi'!K23,'01.08 Kyanja-Kisaasi-24h'!K23,'03.08 Kyanja-Kisaasi-24h'!K23,'04.08 Kyanja-Kisaasi'!K23)</f>
        <v>1.8571428571428572</v>
      </c>
      <c r="L23" s="49">
        <f>AVERAGE('29.07 Kyanja -Kisaasi'!L23,'30.07 Kyanja-Kisaasi'!L23,'31.07 Kyanja-Kisaasi'!L23,'02.08 Kyanja-Kisaasi'!L23,'01.08 Kyanja-Kisaasi-24h'!L23,'03.08 Kyanja-Kisaasi-24h'!L23,'04.08 Kyanja-Kisaasi'!L23)</f>
        <v>0.14285714285714285</v>
      </c>
      <c r="M23" s="49">
        <f>AVERAGE('29.07 Kyanja -Kisaasi'!M23,'30.07 Kyanja-Kisaasi'!M23,'31.07 Kyanja-Kisaasi'!M23,'02.08 Kyanja-Kisaasi'!M23,'01.08 Kyanja-Kisaasi-24h'!M23,'03.08 Kyanja-Kisaasi-24h'!M23,'04.08 Kyanja-Kisaasi'!M23)</f>
        <v>85.428571428571431</v>
      </c>
      <c r="N23" s="49">
        <f>AVERAGE('29.07 Kyanja -Kisaasi'!N23,'30.07 Kyanja-Kisaasi'!N23,'31.07 Kyanja-Kisaasi'!N23,'02.08 Kyanja-Kisaasi'!N23,'01.08 Kyanja-Kisaasi-24h'!N23,'03.08 Kyanja-Kisaasi-24h'!N23,'04.08 Kyanja-Kisaasi'!N23)</f>
        <v>0</v>
      </c>
      <c r="O23" s="15">
        <f t="shared" si="0"/>
        <v>132.85714285714286</v>
      </c>
      <c r="P23" s="15">
        <f t="shared" si="1"/>
        <v>218.28571428571428</v>
      </c>
      <c r="R23" s="1" t="s">
        <v>147</v>
      </c>
      <c r="S23" s="34">
        <f t="shared" si="13"/>
        <v>191.28571428571428</v>
      </c>
      <c r="T23" s="34">
        <f t="shared" si="14"/>
        <v>131.28571428571428</v>
      </c>
      <c r="U23" s="34">
        <f t="shared" si="15"/>
        <v>27.571428571428569</v>
      </c>
      <c r="V23" s="34">
        <f t="shared" si="16"/>
        <v>79.071428571428569</v>
      </c>
      <c r="W23" s="34">
        <f t="shared" si="17"/>
        <v>1.5714285714285714</v>
      </c>
      <c r="X23" s="34">
        <f t="shared" si="18"/>
        <v>0</v>
      </c>
      <c r="Y23" s="34">
        <f t="shared" si="19"/>
        <v>10.5</v>
      </c>
      <c r="Z23" s="34">
        <f t="shared" si="20"/>
        <v>3</v>
      </c>
      <c r="AA23" s="34">
        <f t="shared" si="21"/>
        <v>2.2857142857142856</v>
      </c>
      <c r="AB23" s="34">
        <f t="shared" si="22"/>
        <v>0.5</v>
      </c>
      <c r="AC23" s="34">
        <f t="shared" si="23"/>
        <v>421.5</v>
      </c>
      <c r="AD23" s="34">
        <f t="shared" si="24"/>
        <v>0</v>
      </c>
      <c r="AE23" s="52">
        <f t="shared" si="25"/>
        <v>447.07142857142856</v>
      </c>
      <c r="AF23" s="52">
        <f t="shared" si="26"/>
        <v>868.57142857142856</v>
      </c>
    </row>
    <row r="24" spans="2:32" ht="23.1" customHeight="1" x14ac:dyDescent="0.25">
      <c r="B24" s="23" t="s">
        <v>51</v>
      </c>
      <c r="C24" s="49">
        <f>AVERAGE('29.07 Kyanja -Kisaasi'!C24,'30.07 Kyanja-Kisaasi'!C24,'31.07 Kyanja-Kisaasi'!C24,'02.08 Kyanja-Kisaasi'!C24,'01.08 Kyanja-Kisaasi-24h'!C24,'03.08 Kyanja-Kisaasi-24h'!C24,'04.08 Kyanja-Kisaasi'!C24)</f>
        <v>71.714285714285708</v>
      </c>
      <c r="D24" s="49">
        <f>AVERAGE('29.07 Kyanja -Kisaasi'!D24,'30.07 Kyanja-Kisaasi'!D24,'31.07 Kyanja-Kisaasi'!D24,'02.08 Kyanja-Kisaasi'!D24,'01.08 Kyanja-Kisaasi-24h'!D24,'03.08 Kyanja-Kisaasi-24h'!D24,'04.08 Kyanja-Kisaasi'!D24)</f>
        <v>25.571428571428573</v>
      </c>
      <c r="E24" s="49">
        <f>AVERAGE('29.07 Kyanja -Kisaasi'!E24,'30.07 Kyanja-Kisaasi'!E24,'31.07 Kyanja-Kisaasi'!E24,'02.08 Kyanja-Kisaasi'!E24,'01.08 Kyanja-Kisaasi-24h'!E24,'03.08 Kyanja-Kisaasi-24h'!E24,'04.08 Kyanja-Kisaasi'!E24)</f>
        <v>8</v>
      </c>
      <c r="F24" s="49">
        <f>AVERAGE('29.07 Kyanja -Kisaasi'!F24,'30.07 Kyanja-Kisaasi'!F24,'31.07 Kyanja-Kisaasi'!F24,'02.08 Kyanja-Kisaasi'!F24,'01.08 Kyanja-Kisaasi-24h'!F24,'03.08 Kyanja-Kisaasi-24h'!F24,'04.08 Kyanja-Kisaasi'!F24)</f>
        <v>14.571428571428571</v>
      </c>
      <c r="G24" s="49">
        <f>AVERAGE('29.07 Kyanja -Kisaasi'!G24,'30.07 Kyanja-Kisaasi'!G24,'31.07 Kyanja-Kisaasi'!G24,'02.08 Kyanja-Kisaasi'!G24,'01.08 Kyanja-Kisaasi-24h'!G24,'03.08 Kyanja-Kisaasi-24h'!G24,'04.08 Kyanja-Kisaasi'!G24)</f>
        <v>0</v>
      </c>
      <c r="H24" s="49">
        <f>AVERAGE('29.07 Kyanja -Kisaasi'!H24,'30.07 Kyanja-Kisaasi'!H24,'31.07 Kyanja-Kisaasi'!H24,'02.08 Kyanja-Kisaasi'!H24,'01.08 Kyanja-Kisaasi-24h'!H24,'03.08 Kyanja-Kisaasi-24h'!H24,'04.08 Kyanja-Kisaasi'!H24)</f>
        <v>0.14285714285714285</v>
      </c>
      <c r="I24" s="49">
        <f>AVERAGE('29.07 Kyanja -Kisaasi'!I24,'30.07 Kyanja-Kisaasi'!I24,'31.07 Kyanja-Kisaasi'!I24,'02.08 Kyanja-Kisaasi'!I24,'01.08 Kyanja-Kisaasi-24h'!I24,'03.08 Kyanja-Kisaasi-24h'!I24,'04.08 Kyanja-Kisaasi'!I24)</f>
        <v>3.7142857142857144</v>
      </c>
      <c r="J24" s="49">
        <f>AVERAGE('29.07 Kyanja -Kisaasi'!J24,'30.07 Kyanja-Kisaasi'!J24,'31.07 Kyanja-Kisaasi'!J24,'02.08 Kyanja-Kisaasi'!J24,'01.08 Kyanja-Kisaasi-24h'!J24,'03.08 Kyanja-Kisaasi-24h'!J24,'04.08 Kyanja-Kisaasi'!J24)</f>
        <v>1.1428571428571428</v>
      </c>
      <c r="K24" s="49">
        <f>AVERAGE('29.07 Kyanja -Kisaasi'!K24,'30.07 Kyanja-Kisaasi'!K24,'31.07 Kyanja-Kisaasi'!K24,'02.08 Kyanja-Kisaasi'!K24,'01.08 Kyanja-Kisaasi-24h'!K24,'03.08 Kyanja-Kisaasi-24h'!K24,'04.08 Kyanja-Kisaasi'!K24)</f>
        <v>2.4285714285714284</v>
      </c>
      <c r="L24" s="49">
        <f>AVERAGE('29.07 Kyanja -Kisaasi'!L24,'30.07 Kyanja-Kisaasi'!L24,'31.07 Kyanja-Kisaasi'!L24,'02.08 Kyanja-Kisaasi'!L24,'01.08 Kyanja-Kisaasi-24h'!L24,'03.08 Kyanja-Kisaasi-24h'!L24,'04.08 Kyanja-Kisaasi'!L24)</f>
        <v>0.14285714285714285</v>
      </c>
      <c r="M24" s="49">
        <f>AVERAGE('29.07 Kyanja -Kisaasi'!M24,'30.07 Kyanja-Kisaasi'!M24,'31.07 Kyanja-Kisaasi'!M24,'02.08 Kyanja-Kisaasi'!M24,'01.08 Kyanja-Kisaasi-24h'!M24,'03.08 Kyanja-Kisaasi-24h'!M24,'04.08 Kyanja-Kisaasi'!M24)</f>
        <v>86</v>
      </c>
      <c r="N24" s="49">
        <f>AVERAGE('29.07 Kyanja -Kisaasi'!N24,'30.07 Kyanja-Kisaasi'!N24,'31.07 Kyanja-Kisaasi'!N24,'02.08 Kyanja-Kisaasi'!N24,'01.08 Kyanja-Kisaasi-24h'!N24,'03.08 Kyanja-Kisaasi-24h'!N24,'04.08 Kyanja-Kisaasi'!N24)</f>
        <v>0</v>
      </c>
      <c r="O24" s="15">
        <f t="shared" si="0"/>
        <v>127.4285714285714</v>
      </c>
      <c r="P24" s="15">
        <f t="shared" si="1"/>
        <v>213.42857142857139</v>
      </c>
      <c r="R24" s="1" t="s">
        <v>148</v>
      </c>
      <c r="S24" s="34">
        <f t="shared" si="13"/>
        <v>166</v>
      </c>
      <c r="T24" s="34">
        <f t="shared" si="14"/>
        <v>104.42857142857143</v>
      </c>
      <c r="U24" s="34">
        <f t="shared" si="15"/>
        <v>29</v>
      </c>
      <c r="V24" s="34">
        <f t="shared" si="16"/>
        <v>55.928571428571431</v>
      </c>
      <c r="W24" s="34">
        <f t="shared" si="17"/>
        <v>1.7857142857142856</v>
      </c>
      <c r="X24" s="34">
        <f t="shared" si="18"/>
        <v>0</v>
      </c>
      <c r="Y24" s="34">
        <f t="shared" si="19"/>
        <v>9.4285714285714288</v>
      </c>
      <c r="Z24" s="34">
        <f t="shared" si="20"/>
        <v>2.7857142857142856</v>
      </c>
      <c r="AA24" s="34">
        <f t="shared" si="21"/>
        <v>2.8571428571428572</v>
      </c>
      <c r="AB24" s="34">
        <f t="shared" si="22"/>
        <v>1</v>
      </c>
      <c r="AC24" s="34">
        <f t="shared" si="23"/>
        <v>493.85714285714289</v>
      </c>
      <c r="AD24" s="34">
        <f t="shared" si="24"/>
        <v>0</v>
      </c>
      <c r="AE24" s="52">
        <f t="shared" si="25"/>
        <v>373.21428571428567</v>
      </c>
      <c r="AF24" s="52">
        <f t="shared" si="26"/>
        <v>867.07142857142856</v>
      </c>
    </row>
    <row r="25" spans="2:32" ht="23.1" customHeight="1" x14ac:dyDescent="0.25">
      <c r="B25" s="23" t="s">
        <v>52</v>
      </c>
      <c r="C25" s="49">
        <f>AVERAGE('29.07 Kyanja -Kisaasi'!C25,'30.07 Kyanja-Kisaasi'!C25,'31.07 Kyanja-Kisaasi'!C25,'02.08 Kyanja-Kisaasi'!C25,'01.08 Kyanja-Kisaasi-24h'!C25,'03.08 Kyanja-Kisaasi-24h'!C25,'04.08 Kyanja-Kisaasi'!C25)</f>
        <v>33.857142857142854</v>
      </c>
      <c r="D25" s="49">
        <f>AVERAGE('29.07 Kyanja -Kisaasi'!D25,'30.07 Kyanja-Kisaasi'!D25,'31.07 Kyanja-Kisaasi'!D25,'02.08 Kyanja-Kisaasi'!D25,'01.08 Kyanja-Kisaasi-24h'!D25,'03.08 Kyanja-Kisaasi-24h'!D25,'04.08 Kyanja-Kisaasi'!D25)</f>
        <v>15.714285714285714</v>
      </c>
      <c r="E25" s="49">
        <f>AVERAGE('29.07 Kyanja -Kisaasi'!E25,'30.07 Kyanja-Kisaasi'!E25,'31.07 Kyanja-Kisaasi'!E25,'02.08 Kyanja-Kisaasi'!E25,'01.08 Kyanja-Kisaasi-24h'!E25,'03.08 Kyanja-Kisaasi-24h'!E25,'04.08 Kyanja-Kisaasi'!E25)</f>
        <v>5.4285714285714288</v>
      </c>
      <c r="F25" s="49">
        <f>AVERAGE('29.07 Kyanja -Kisaasi'!F25,'30.07 Kyanja-Kisaasi'!F25,'31.07 Kyanja-Kisaasi'!F25,'02.08 Kyanja-Kisaasi'!F25,'01.08 Kyanja-Kisaasi-24h'!F25,'03.08 Kyanja-Kisaasi-24h'!F25,'04.08 Kyanja-Kisaasi'!F25)</f>
        <v>12.142857142857142</v>
      </c>
      <c r="G25" s="49">
        <f>AVERAGE('29.07 Kyanja -Kisaasi'!G25,'30.07 Kyanja-Kisaasi'!G25,'31.07 Kyanja-Kisaasi'!G25,'02.08 Kyanja-Kisaasi'!G25,'01.08 Kyanja-Kisaasi-24h'!G25,'03.08 Kyanja-Kisaasi-24h'!G25,'04.08 Kyanja-Kisaasi'!G25)</f>
        <v>0</v>
      </c>
      <c r="H25" s="49">
        <f>AVERAGE('29.07 Kyanja -Kisaasi'!H25,'30.07 Kyanja-Kisaasi'!H25,'31.07 Kyanja-Kisaasi'!H25,'02.08 Kyanja-Kisaasi'!H25,'01.08 Kyanja-Kisaasi-24h'!H25,'03.08 Kyanja-Kisaasi-24h'!H25,'04.08 Kyanja-Kisaasi'!H25)</f>
        <v>0</v>
      </c>
      <c r="I25" s="49">
        <f>AVERAGE('29.07 Kyanja -Kisaasi'!I25,'30.07 Kyanja-Kisaasi'!I25,'31.07 Kyanja-Kisaasi'!I25,'02.08 Kyanja-Kisaasi'!I25,'01.08 Kyanja-Kisaasi-24h'!I25,'03.08 Kyanja-Kisaasi-24h'!I25,'04.08 Kyanja-Kisaasi'!I25)</f>
        <v>4.8571428571428568</v>
      </c>
      <c r="J25" s="49">
        <f>AVERAGE('29.07 Kyanja -Kisaasi'!J25,'30.07 Kyanja-Kisaasi'!J25,'31.07 Kyanja-Kisaasi'!J25,'02.08 Kyanja-Kisaasi'!J25,'01.08 Kyanja-Kisaasi-24h'!J25,'03.08 Kyanja-Kisaasi-24h'!J25,'04.08 Kyanja-Kisaasi'!J25)</f>
        <v>1.7142857142857142</v>
      </c>
      <c r="K25" s="49">
        <f>AVERAGE('29.07 Kyanja -Kisaasi'!K25,'30.07 Kyanja-Kisaasi'!K25,'31.07 Kyanja-Kisaasi'!K25,'02.08 Kyanja-Kisaasi'!K25,'01.08 Kyanja-Kisaasi-24h'!K25,'03.08 Kyanja-Kisaasi-24h'!K25,'04.08 Kyanja-Kisaasi'!K25)</f>
        <v>1.4285714285714286</v>
      </c>
      <c r="L25" s="49">
        <f>AVERAGE('29.07 Kyanja -Kisaasi'!L25,'30.07 Kyanja-Kisaasi'!L25,'31.07 Kyanja-Kisaasi'!L25,'02.08 Kyanja-Kisaasi'!L25,'01.08 Kyanja-Kisaasi-24h'!L25,'03.08 Kyanja-Kisaasi-24h'!L25,'04.08 Kyanja-Kisaasi'!L25)</f>
        <v>0.2857142857142857</v>
      </c>
      <c r="M25" s="49">
        <f>AVERAGE('29.07 Kyanja -Kisaasi'!M25,'30.07 Kyanja-Kisaasi'!M25,'31.07 Kyanja-Kisaasi'!M25,'02.08 Kyanja-Kisaasi'!M25,'01.08 Kyanja-Kisaasi-24h'!M25,'03.08 Kyanja-Kisaasi-24h'!M25,'04.08 Kyanja-Kisaasi'!M25)</f>
        <v>75.428571428571431</v>
      </c>
      <c r="N25" s="49">
        <f>AVERAGE('29.07 Kyanja -Kisaasi'!N25,'30.07 Kyanja-Kisaasi'!N25,'31.07 Kyanja-Kisaasi'!N25,'02.08 Kyanja-Kisaasi'!N25,'01.08 Kyanja-Kisaasi-24h'!N25,'03.08 Kyanja-Kisaasi-24h'!N25,'04.08 Kyanja-Kisaasi'!N25)</f>
        <v>0</v>
      </c>
      <c r="O25" s="15">
        <f t="shared" si="0"/>
        <v>75.428571428571431</v>
      </c>
      <c r="P25" s="15">
        <f t="shared" si="1"/>
        <v>150.85714285714286</v>
      </c>
      <c r="R25" s="1" t="s">
        <v>149</v>
      </c>
      <c r="S25" s="34">
        <f t="shared" si="13"/>
        <v>142</v>
      </c>
      <c r="T25" s="34">
        <f t="shared" si="14"/>
        <v>81.5</v>
      </c>
      <c r="U25" s="34">
        <f t="shared" si="15"/>
        <v>23.5</v>
      </c>
      <c r="V25" s="34">
        <f t="shared" si="16"/>
        <v>36</v>
      </c>
      <c r="W25" s="34">
        <f t="shared" si="17"/>
        <v>1.5</v>
      </c>
      <c r="X25" s="34">
        <f t="shared" si="18"/>
        <v>0</v>
      </c>
      <c r="Y25" s="34">
        <f t="shared" si="19"/>
        <v>8.5</v>
      </c>
      <c r="Z25" s="34">
        <f t="shared" si="20"/>
        <v>2.5</v>
      </c>
      <c r="AA25" s="34">
        <f t="shared" si="21"/>
        <v>3</v>
      </c>
      <c r="AB25" s="34">
        <f t="shared" si="22"/>
        <v>1</v>
      </c>
      <c r="AC25" s="34">
        <f t="shared" si="23"/>
        <v>485.5</v>
      </c>
      <c r="AD25" s="34">
        <f t="shared" si="24"/>
        <v>0</v>
      </c>
      <c r="AE25" s="52">
        <f t="shared" si="25"/>
        <v>299.5</v>
      </c>
      <c r="AF25" s="52">
        <f t="shared" si="26"/>
        <v>785</v>
      </c>
    </row>
    <row r="26" spans="2:32" ht="23.1" customHeight="1" x14ac:dyDescent="0.25">
      <c r="B26" s="23" t="s">
        <v>53</v>
      </c>
      <c r="C26" s="49">
        <f>AVERAGE('29.07 Kyanja -Kisaasi'!C26,'30.07 Kyanja-Kisaasi'!C26,'31.07 Kyanja-Kisaasi'!C26,'02.08 Kyanja-Kisaasi'!C26,'01.08 Kyanja-Kisaasi-24h'!C26,'03.08 Kyanja-Kisaasi-24h'!C26,'04.08 Kyanja-Kisaasi'!C26)</f>
        <v>63.857142857142854</v>
      </c>
      <c r="D26" s="49">
        <f>AVERAGE('29.07 Kyanja -Kisaasi'!D26,'30.07 Kyanja-Kisaasi'!D26,'31.07 Kyanja-Kisaasi'!D26,'02.08 Kyanja-Kisaasi'!D26,'01.08 Kyanja-Kisaasi-24h'!D26,'03.08 Kyanja-Kisaasi-24h'!D26,'04.08 Kyanja-Kisaasi'!D26)</f>
        <v>22.285714285714285</v>
      </c>
      <c r="E26" s="49">
        <f>AVERAGE('29.07 Kyanja -Kisaasi'!E26,'30.07 Kyanja-Kisaasi'!E26,'31.07 Kyanja-Kisaasi'!E26,'02.08 Kyanja-Kisaasi'!E26,'01.08 Kyanja-Kisaasi-24h'!E26,'03.08 Kyanja-Kisaasi-24h'!E26,'04.08 Kyanja-Kisaasi'!E26)</f>
        <v>7</v>
      </c>
      <c r="F26" s="49">
        <f>AVERAGE('29.07 Kyanja -Kisaasi'!F26,'30.07 Kyanja-Kisaasi'!F26,'31.07 Kyanja-Kisaasi'!F26,'02.08 Kyanja-Kisaasi'!F26,'01.08 Kyanja-Kisaasi-24h'!F26,'03.08 Kyanja-Kisaasi-24h'!F26,'04.08 Kyanja-Kisaasi'!F26)</f>
        <v>18.428571428571427</v>
      </c>
      <c r="G26" s="49">
        <f>AVERAGE('29.07 Kyanja -Kisaasi'!G26,'30.07 Kyanja-Kisaasi'!G26,'31.07 Kyanja-Kisaasi'!G26,'02.08 Kyanja-Kisaasi'!G26,'01.08 Kyanja-Kisaasi-24h'!G26,'03.08 Kyanja-Kisaasi-24h'!G26,'04.08 Kyanja-Kisaasi'!G26)</f>
        <v>0.2857142857142857</v>
      </c>
      <c r="H26" s="49">
        <f>AVERAGE('29.07 Kyanja -Kisaasi'!H26,'30.07 Kyanja-Kisaasi'!H26,'31.07 Kyanja-Kisaasi'!H26,'02.08 Kyanja-Kisaasi'!H26,'01.08 Kyanja-Kisaasi-24h'!H26,'03.08 Kyanja-Kisaasi-24h'!H26,'04.08 Kyanja-Kisaasi'!H26)</f>
        <v>0</v>
      </c>
      <c r="I26" s="49">
        <f>AVERAGE('29.07 Kyanja -Kisaasi'!I26,'30.07 Kyanja-Kisaasi'!I26,'31.07 Kyanja-Kisaasi'!I26,'02.08 Kyanja-Kisaasi'!I26,'01.08 Kyanja-Kisaasi-24h'!I26,'03.08 Kyanja-Kisaasi-24h'!I26,'04.08 Kyanja-Kisaasi'!I26)</f>
        <v>5.5714285714285712</v>
      </c>
      <c r="J26" s="49">
        <f>AVERAGE('29.07 Kyanja -Kisaasi'!J26,'30.07 Kyanja-Kisaasi'!J26,'31.07 Kyanja-Kisaasi'!J26,'02.08 Kyanja-Kisaasi'!J26,'01.08 Kyanja-Kisaasi-24h'!J26,'03.08 Kyanja-Kisaasi-24h'!J26,'04.08 Kyanja-Kisaasi'!J26)</f>
        <v>2.5714285714285716</v>
      </c>
      <c r="K26" s="49">
        <f>AVERAGE('29.07 Kyanja -Kisaasi'!K26,'30.07 Kyanja-Kisaasi'!K26,'31.07 Kyanja-Kisaasi'!K26,'02.08 Kyanja-Kisaasi'!K26,'01.08 Kyanja-Kisaasi-24h'!K26,'03.08 Kyanja-Kisaasi-24h'!K26,'04.08 Kyanja-Kisaasi'!K26)</f>
        <v>1.5714285714285714</v>
      </c>
      <c r="L26" s="49">
        <f>AVERAGE('29.07 Kyanja -Kisaasi'!L26,'30.07 Kyanja-Kisaasi'!L26,'31.07 Kyanja-Kisaasi'!L26,'02.08 Kyanja-Kisaasi'!L26,'01.08 Kyanja-Kisaasi-24h'!L26,'03.08 Kyanja-Kisaasi-24h'!L26,'04.08 Kyanja-Kisaasi'!L26)</f>
        <v>0.2857142857142857</v>
      </c>
      <c r="M26" s="49">
        <f>AVERAGE('29.07 Kyanja -Kisaasi'!M26,'30.07 Kyanja-Kisaasi'!M26,'31.07 Kyanja-Kisaasi'!M26,'02.08 Kyanja-Kisaasi'!M26,'01.08 Kyanja-Kisaasi-24h'!M26,'03.08 Kyanja-Kisaasi-24h'!M26,'04.08 Kyanja-Kisaasi'!M26)</f>
        <v>88.428571428571431</v>
      </c>
      <c r="N26" s="49">
        <f>AVERAGE('29.07 Kyanja -Kisaasi'!N26,'30.07 Kyanja-Kisaasi'!N26,'31.07 Kyanja-Kisaasi'!N26,'02.08 Kyanja-Kisaasi'!N26,'01.08 Kyanja-Kisaasi-24h'!N26,'03.08 Kyanja-Kisaasi-24h'!N26,'04.08 Kyanja-Kisaasi'!N26)</f>
        <v>0</v>
      </c>
      <c r="O26" s="15">
        <f t="shared" si="0"/>
        <v>121.85714285714286</v>
      </c>
      <c r="P26" s="15">
        <f t="shared" si="1"/>
        <v>210.28571428571428</v>
      </c>
      <c r="R26" s="1" t="s">
        <v>150</v>
      </c>
      <c r="S26" s="34">
        <f t="shared" si="13"/>
        <v>165.5</v>
      </c>
      <c r="T26" s="34">
        <f t="shared" si="14"/>
        <v>87.5</v>
      </c>
      <c r="U26" s="34">
        <f t="shared" si="15"/>
        <v>25</v>
      </c>
      <c r="V26" s="34">
        <f t="shared" si="16"/>
        <v>36.5</v>
      </c>
      <c r="W26" s="34">
        <f t="shared" si="17"/>
        <v>1</v>
      </c>
      <c r="X26" s="34">
        <f t="shared" si="18"/>
        <v>0</v>
      </c>
      <c r="Y26" s="34">
        <f t="shared" si="19"/>
        <v>6</v>
      </c>
      <c r="Z26" s="34">
        <f t="shared" si="20"/>
        <v>4.5</v>
      </c>
      <c r="AA26" s="34">
        <f t="shared" si="21"/>
        <v>2.5</v>
      </c>
      <c r="AB26" s="34">
        <f t="shared" si="22"/>
        <v>1</v>
      </c>
      <c r="AC26" s="34">
        <f t="shared" si="23"/>
        <v>494.5</v>
      </c>
      <c r="AD26" s="34">
        <f t="shared" si="24"/>
        <v>0</v>
      </c>
      <c r="AE26" s="52">
        <f t="shared" si="25"/>
        <v>329.5</v>
      </c>
      <c r="AF26" s="52">
        <f t="shared" si="26"/>
        <v>824</v>
      </c>
    </row>
    <row r="27" spans="2:32" ht="23.1" customHeight="1" x14ac:dyDescent="0.25">
      <c r="B27" s="23" t="s">
        <v>54</v>
      </c>
      <c r="C27" s="49">
        <f>AVERAGE('29.07 Kyanja -Kisaasi'!C27,'30.07 Kyanja-Kisaasi'!C27,'31.07 Kyanja-Kisaasi'!C27,'02.08 Kyanja-Kisaasi'!C27,'01.08 Kyanja-Kisaasi-24h'!C27,'03.08 Kyanja-Kisaasi-24h'!C27,'04.08 Kyanja-Kisaasi'!C27)</f>
        <v>61</v>
      </c>
      <c r="D27" s="49">
        <f>AVERAGE('29.07 Kyanja -Kisaasi'!D27,'30.07 Kyanja-Kisaasi'!D27,'31.07 Kyanja-Kisaasi'!D27,'02.08 Kyanja-Kisaasi'!D27,'01.08 Kyanja-Kisaasi-24h'!D27,'03.08 Kyanja-Kisaasi-24h'!D27,'04.08 Kyanja-Kisaasi'!D27)</f>
        <v>25.428571428571427</v>
      </c>
      <c r="E27" s="49">
        <f>AVERAGE('29.07 Kyanja -Kisaasi'!E27,'30.07 Kyanja-Kisaasi'!E27,'31.07 Kyanja-Kisaasi'!E27,'02.08 Kyanja-Kisaasi'!E27,'01.08 Kyanja-Kisaasi-24h'!E27,'03.08 Kyanja-Kisaasi-24h'!E27,'04.08 Kyanja-Kisaasi'!E27)</f>
        <v>7.8571428571428568</v>
      </c>
      <c r="F27" s="49">
        <f>AVERAGE('29.07 Kyanja -Kisaasi'!F27,'30.07 Kyanja-Kisaasi'!F27,'31.07 Kyanja-Kisaasi'!F27,'02.08 Kyanja-Kisaasi'!F27,'01.08 Kyanja-Kisaasi-24h'!F27,'03.08 Kyanja-Kisaasi-24h'!F27,'04.08 Kyanja-Kisaasi'!F27)</f>
        <v>14.571428571428571</v>
      </c>
      <c r="G27" s="49">
        <f>AVERAGE('29.07 Kyanja -Kisaasi'!G27,'30.07 Kyanja-Kisaasi'!G27,'31.07 Kyanja-Kisaasi'!G27,'02.08 Kyanja-Kisaasi'!G27,'01.08 Kyanja-Kisaasi-24h'!G27,'03.08 Kyanja-Kisaasi-24h'!G27,'04.08 Kyanja-Kisaasi'!G27)</f>
        <v>0.2857142857142857</v>
      </c>
      <c r="H27" s="49">
        <f>AVERAGE('29.07 Kyanja -Kisaasi'!H27,'30.07 Kyanja-Kisaasi'!H27,'31.07 Kyanja-Kisaasi'!H27,'02.08 Kyanja-Kisaasi'!H27,'01.08 Kyanja-Kisaasi-24h'!H27,'03.08 Kyanja-Kisaasi-24h'!H27,'04.08 Kyanja-Kisaasi'!H27)</f>
        <v>0</v>
      </c>
      <c r="I27" s="49">
        <f>AVERAGE('29.07 Kyanja -Kisaasi'!I27,'30.07 Kyanja-Kisaasi'!I27,'31.07 Kyanja-Kisaasi'!I27,'02.08 Kyanja-Kisaasi'!I27,'01.08 Kyanja-Kisaasi-24h'!I27,'03.08 Kyanja-Kisaasi-24h'!I27,'04.08 Kyanja-Kisaasi'!I27)</f>
        <v>3.8571428571428572</v>
      </c>
      <c r="J27" s="49">
        <f>AVERAGE('29.07 Kyanja -Kisaasi'!J27,'30.07 Kyanja-Kisaasi'!J27,'31.07 Kyanja-Kisaasi'!J27,'02.08 Kyanja-Kisaasi'!J27,'01.08 Kyanja-Kisaasi-24h'!J27,'03.08 Kyanja-Kisaasi-24h'!J27,'04.08 Kyanja-Kisaasi'!J27)</f>
        <v>1.2857142857142858</v>
      </c>
      <c r="K27" s="49">
        <f>AVERAGE('29.07 Kyanja -Kisaasi'!K27,'30.07 Kyanja-Kisaasi'!K27,'31.07 Kyanja-Kisaasi'!K27,'02.08 Kyanja-Kisaasi'!K27,'01.08 Kyanja-Kisaasi-24h'!K27,'03.08 Kyanja-Kisaasi-24h'!K27,'04.08 Kyanja-Kisaasi'!K27)</f>
        <v>2</v>
      </c>
      <c r="L27" s="49">
        <f>AVERAGE('29.07 Kyanja -Kisaasi'!L27,'30.07 Kyanja-Kisaasi'!L27,'31.07 Kyanja-Kisaasi'!L27,'02.08 Kyanja-Kisaasi'!L27,'01.08 Kyanja-Kisaasi-24h'!L27,'03.08 Kyanja-Kisaasi-24h'!L27,'04.08 Kyanja-Kisaasi'!L27)</f>
        <v>0.42857142857142855</v>
      </c>
      <c r="M27" s="49">
        <f>AVERAGE('29.07 Kyanja -Kisaasi'!M27,'30.07 Kyanja-Kisaasi'!M27,'31.07 Kyanja-Kisaasi'!M27,'02.08 Kyanja-Kisaasi'!M27,'01.08 Kyanja-Kisaasi-24h'!M27,'03.08 Kyanja-Kisaasi-24h'!M27,'04.08 Kyanja-Kisaasi'!M27)</f>
        <v>78.857142857142861</v>
      </c>
      <c r="N27" s="49">
        <f>AVERAGE('29.07 Kyanja -Kisaasi'!N27,'30.07 Kyanja-Kisaasi'!N27,'31.07 Kyanja-Kisaasi'!N27,'02.08 Kyanja-Kisaasi'!N27,'01.08 Kyanja-Kisaasi-24h'!N27,'03.08 Kyanja-Kisaasi-24h'!N27,'04.08 Kyanja-Kisaasi'!N27)</f>
        <v>0</v>
      </c>
      <c r="O27" s="15">
        <f t="shared" si="0"/>
        <v>116.71428571428574</v>
      </c>
      <c r="P27" s="15">
        <f t="shared" si="1"/>
        <v>195.57142857142861</v>
      </c>
      <c r="R27" s="1" t="s">
        <v>151</v>
      </c>
      <c r="S27" s="34">
        <f t="shared" si="13"/>
        <v>178.5</v>
      </c>
      <c r="T27" s="34">
        <f t="shared" si="14"/>
        <v>72</v>
      </c>
      <c r="U27" s="34">
        <f t="shared" si="15"/>
        <v>21</v>
      </c>
      <c r="V27" s="34">
        <f t="shared" si="16"/>
        <v>36.5</v>
      </c>
      <c r="W27" s="34">
        <f t="shared" si="17"/>
        <v>0.5</v>
      </c>
      <c r="X27" s="34">
        <f t="shared" si="18"/>
        <v>0</v>
      </c>
      <c r="Y27" s="34">
        <f t="shared" si="19"/>
        <v>5.5</v>
      </c>
      <c r="Z27" s="34">
        <f t="shared" si="20"/>
        <v>4.5</v>
      </c>
      <c r="AA27" s="34">
        <f t="shared" si="21"/>
        <v>2.5</v>
      </c>
      <c r="AB27" s="34">
        <f t="shared" si="22"/>
        <v>0.5</v>
      </c>
      <c r="AC27" s="34">
        <f t="shared" si="23"/>
        <v>478.5</v>
      </c>
      <c r="AD27" s="34">
        <f t="shared" si="24"/>
        <v>0</v>
      </c>
      <c r="AE27" s="52">
        <f t="shared" si="25"/>
        <v>321.5</v>
      </c>
      <c r="AF27" s="52">
        <f t="shared" si="26"/>
        <v>800</v>
      </c>
    </row>
    <row r="28" spans="2:32" ht="23.1" customHeight="1" x14ac:dyDescent="0.25">
      <c r="B28" s="23" t="s">
        <v>55</v>
      </c>
      <c r="C28" s="49">
        <f>AVERAGE('29.07 Kyanja -Kisaasi'!C28,'30.07 Kyanja-Kisaasi'!C28,'31.07 Kyanja-Kisaasi'!C28,'02.08 Kyanja-Kisaasi'!C28,'01.08 Kyanja-Kisaasi-24h'!C28,'03.08 Kyanja-Kisaasi-24h'!C28,'04.08 Kyanja-Kisaasi'!C28)</f>
        <v>69.428571428571431</v>
      </c>
      <c r="D28" s="49">
        <f>AVERAGE('29.07 Kyanja -Kisaasi'!D28,'30.07 Kyanja-Kisaasi'!D28,'31.07 Kyanja-Kisaasi'!D28,'02.08 Kyanja-Kisaasi'!D28,'01.08 Kyanja-Kisaasi-24h'!D28,'03.08 Kyanja-Kisaasi-24h'!D28,'04.08 Kyanja-Kisaasi'!D28)</f>
        <v>24.857142857142858</v>
      </c>
      <c r="E28" s="49">
        <f>AVERAGE('29.07 Kyanja -Kisaasi'!E28,'30.07 Kyanja-Kisaasi'!E28,'31.07 Kyanja-Kisaasi'!E28,'02.08 Kyanja-Kisaasi'!E28,'01.08 Kyanja-Kisaasi-24h'!E28,'03.08 Kyanja-Kisaasi-24h'!E28,'04.08 Kyanja-Kisaasi'!E28)</f>
        <v>6.2857142857142856</v>
      </c>
      <c r="F28" s="49">
        <f>AVERAGE('29.07 Kyanja -Kisaasi'!F28,'30.07 Kyanja-Kisaasi'!F28,'31.07 Kyanja-Kisaasi'!F28,'02.08 Kyanja-Kisaasi'!F28,'01.08 Kyanja-Kisaasi-24h'!F28,'03.08 Kyanja-Kisaasi-24h'!F28,'04.08 Kyanja-Kisaasi'!F28)</f>
        <v>17</v>
      </c>
      <c r="G28" s="49">
        <f>AVERAGE('29.07 Kyanja -Kisaasi'!G28,'30.07 Kyanja-Kisaasi'!G28,'31.07 Kyanja-Kisaasi'!G28,'02.08 Kyanja-Kisaasi'!G28,'01.08 Kyanja-Kisaasi-24h'!G28,'03.08 Kyanja-Kisaasi-24h'!G28,'04.08 Kyanja-Kisaasi'!G28)</f>
        <v>0.14285714285714285</v>
      </c>
      <c r="H28" s="49">
        <f>AVERAGE('29.07 Kyanja -Kisaasi'!H28,'30.07 Kyanja-Kisaasi'!H28,'31.07 Kyanja-Kisaasi'!H28,'02.08 Kyanja-Kisaasi'!H28,'01.08 Kyanja-Kisaasi-24h'!H28,'03.08 Kyanja-Kisaasi-24h'!H28,'04.08 Kyanja-Kisaasi'!H28)</f>
        <v>0</v>
      </c>
      <c r="I28" s="49">
        <f>AVERAGE('29.07 Kyanja -Kisaasi'!I28,'30.07 Kyanja-Kisaasi'!I28,'31.07 Kyanja-Kisaasi'!I28,'02.08 Kyanja-Kisaasi'!I28,'01.08 Kyanja-Kisaasi-24h'!I28,'03.08 Kyanja-Kisaasi-24h'!I28,'04.08 Kyanja-Kisaasi'!I28)</f>
        <v>4</v>
      </c>
      <c r="J28" s="49">
        <f>AVERAGE('29.07 Kyanja -Kisaasi'!J28,'30.07 Kyanja-Kisaasi'!J28,'31.07 Kyanja-Kisaasi'!J28,'02.08 Kyanja-Kisaasi'!J28,'01.08 Kyanja-Kisaasi-24h'!J28,'03.08 Kyanja-Kisaasi-24h'!J28,'04.08 Kyanja-Kisaasi'!J28)</f>
        <v>1.4285714285714286</v>
      </c>
      <c r="K28" s="49">
        <f>AVERAGE('29.07 Kyanja -Kisaasi'!K28,'30.07 Kyanja-Kisaasi'!K28,'31.07 Kyanja-Kisaasi'!K28,'02.08 Kyanja-Kisaasi'!K28,'01.08 Kyanja-Kisaasi-24h'!K28,'03.08 Kyanja-Kisaasi-24h'!K28,'04.08 Kyanja-Kisaasi'!K28)</f>
        <v>3</v>
      </c>
      <c r="L28" s="49">
        <f>AVERAGE('29.07 Kyanja -Kisaasi'!L28,'30.07 Kyanja-Kisaasi'!L28,'31.07 Kyanja-Kisaasi'!L28,'02.08 Kyanja-Kisaasi'!L28,'01.08 Kyanja-Kisaasi-24h'!L28,'03.08 Kyanja-Kisaasi-24h'!L28,'04.08 Kyanja-Kisaasi'!L28)</f>
        <v>0.2857142857142857</v>
      </c>
      <c r="M28" s="49">
        <f>AVERAGE('29.07 Kyanja -Kisaasi'!M28,'30.07 Kyanja-Kisaasi'!M28,'31.07 Kyanja-Kisaasi'!M28,'02.08 Kyanja-Kisaasi'!M28,'01.08 Kyanja-Kisaasi-24h'!M28,'03.08 Kyanja-Kisaasi-24h'!M28,'04.08 Kyanja-Kisaasi'!M28)</f>
        <v>97</v>
      </c>
      <c r="N28" s="49">
        <f>AVERAGE('29.07 Kyanja -Kisaasi'!N28,'30.07 Kyanja-Kisaasi'!N28,'31.07 Kyanja-Kisaasi'!N28,'02.08 Kyanja-Kisaasi'!N28,'01.08 Kyanja-Kisaasi-24h'!N28,'03.08 Kyanja-Kisaasi-24h'!N28,'04.08 Kyanja-Kisaasi'!N28)</f>
        <v>0</v>
      </c>
      <c r="O28" s="15">
        <f t="shared" si="0"/>
        <v>126.42857142857144</v>
      </c>
      <c r="P28" s="15">
        <f t="shared" si="1"/>
        <v>223.42857142857144</v>
      </c>
      <c r="R28" s="1" t="s">
        <v>152</v>
      </c>
      <c r="S28" s="34">
        <f t="shared" si="13"/>
        <v>184</v>
      </c>
      <c r="T28" s="34">
        <f t="shared" si="14"/>
        <v>61</v>
      </c>
      <c r="U28" s="34">
        <f t="shared" si="15"/>
        <v>17</v>
      </c>
      <c r="V28" s="34">
        <f t="shared" si="16"/>
        <v>41</v>
      </c>
      <c r="W28" s="34">
        <f t="shared" si="17"/>
        <v>0</v>
      </c>
      <c r="X28" s="34">
        <f t="shared" si="18"/>
        <v>0</v>
      </c>
      <c r="Y28" s="34">
        <f t="shared" si="19"/>
        <v>7</v>
      </c>
      <c r="Z28" s="34">
        <f t="shared" si="20"/>
        <v>4</v>
      </c>
      <c r="AA28" s="34">
        <f t="shared" si="21"/>
        <v>2.5</v>
      </c>
      <c r="AB28" s="34">
        <f t="shared" si="22"/>
        <v>0</v>
      </c>
      <c r="AC28" s="34">
        <f t="shared" si="23"/>
        <v>397</v>
      </c>
      <c r="AD28" s="34">
        <f t="shared" si="24"/>
        <v>0</v>
      </c>
      <c r="AE28" s="52">
        <f t="shared" si="25"/>
        <v>316.5</v>
      </c>
      <c r="AF28" s="52">
        <f t="shared" si="26"/>
        <v>713.5</v>
      </c>
    </row>
    <row r="29" spans="2:32" ht="23.1" customHeight="1" x14ac:dyDescent="0.25">
      <c r="B29" s="23" t="s">
        <v>56</v>
      </c>
      <c r="C29" s="49">
        <f>AVERAGE('29.07 Kyanja -Kisaasi'!C29,'30.07 Kyanja-Kisaasi'!C29,'31.07 Kyanja-Kisaasi'!C29,'02.08 Kyanja-Kisaasi'!C29,'01.08 Kyanja-Kisaasi-24h'!C29,'03.08 Kyanja-Kisaasi-24h'!C29,'04.08 Kyanja-Kisaasi'!C29)</f>
        <v>55.857142857142854</v>
      </c>
      <c r="D29" s="49">
        <f>AVERAGE('29.07 Kyanja -Kisaasi'!D29,'30.07 Kyanja-Kisaasi'!D29,'31.07 Kyanja-Kisaasi'!D29,'02.08 Kyanja-Kisaasi'!D29,'01.08 Kyanja-Kisaasi-24h'!D29,'03.08 Kyanja-Kisaasi-24h'!D29,'04.08 Kyanja-Kisaasi'!D29)</f>
        <v>32.857142857142854</v>
      </c>
      <c r="E29" s="49">
        <f>AVERAGE('29.07 Kyanja -Kisaasi'!E29,'30.07 Kyanja-Kisaasi'!E29,'31.07 Kyanja-Kisaasi'!E29,'02.08 Kyanja-Kisaasi'!E29,'01.08 Kyanja-Kisaasi-24h'!E29,'03.08 Kyanja-Kisaasi-24h'!E29,'04.08 Kyanja-Kisaasi'!E29)</f>
        <v>5.2857142857142856</v>
      </c>
      <c r="F29" s="49">
        <f>AVERAGE('29.07 Kyanja -Kisaasi'!F29,'30.07 Kyanja-Kisaasi'!F29,'31.07 Kyanja-Kisaasi'!F29,'02.08 Kyanja-Kisaasi'!F29,'01.08 Kyanja-Kisaasi-24h'!F29,'03.08 Kyanja-Kisaasi-24h'!F29,'04.08 Kyanja-Kisaasi'!F29)</f>
        <v>12.571428571428571</v>
      </c>
      <c r="G29" s="49">
        <f>AVERAGE('29.07 Kyanja -Kisaasi'!G29,'30.07 Kyanja-Kisaasi'!G29,'31.07 Kyanja-Kisaasi'!G29,'02.08 Kyanja-Kisaasi'!G29,'01.08 Kyanja-Kisaasi-24h'!G29,'03.08 Kyanja-Kisaasi-24h'!G29,'04.08 Kyanja-Kisaasi'!G29)</f>
        <v>0.14285714285714285</v>
      </c>
      <c r="H29" s="49">
        <f>AVERAGE('29.07 Kyanja -Kisaasi'!H29,'30.07 Kyanja-Kisaasi'!H29,'31.07 Kyanja-Kisaasi'!H29,'02.08 Kyanja-Kisaasi'!H29,'01.08 Kyanja-Kisaasi-24h'!H29,'03.08 Kyanja-Kisaasi-24h'!H29,'04.08 Kyanja-Kisaasi'!H29)</f>
        <v>0</v>
      </c>
      <c r="I29" s="49">
        <f>AVERAGE('29.07 Kyanja -Kisaasi'!I29,'30.07 Kyanja-Kisaasi'!I29,'31.07 Kyanja-Kisaasi'!I29,'02.08 Kyanja-Kisaasi'!I29,'01.08 Kyanja-Kisaasi-24h'!I29,'03.08 Kyanja-Kisaasi-24h'!I29,'04.08 Kyanja-Kisaasi'!I29)</f>
        <v>3.7142857142857144</v>
      </c>
      <c r="J29" s="49">
        <f>AVERAGE('29.07 Kyanja -Kisaasi'!J29,'30.07 Kyanja-Kisaasi'!J29,'31.07 Kyanja-Kisaasi'!J29,'02.08 Kyanja-Kisaasi'!J29,'01.08 Kyanja-Kisaasi-24h'!J29,'03.08 Kyanja-Kisaasi-24h'!J29,'04.08 Kyanja-Kisaasi'!J29)</f>
        <v>1.1428571428571428</v>
      </c>
      <c r="K29" s="49">
        <f>AVERAGE('29.07 Kyanja -Kisaasi'!K29,'30.07 Kyanja-Kisaasi'!K29,'31.07 Kyanja-Kisaasi'!K29,'02.08 Kyanja-Kisaasi'!K29,'01.08 Kyanja-Kisaasi-24h'!K29,'03.08 Kyanja-Kisaasi-24h'!K29,'04.08 Kyanja-Kisaasi'!K29)</f>
        <v>2</v>
      </c>
      <c r="L29" s="49">
        <f>AVERAGE('29.07 Kyanja -Kisaasi'!L29,'30.07 Kyanja-Kisaasi'!L29,'31.07 Kyanja-Kisaasi'!L29,'02.08 Kyanja-Kisaasi'!L29,'01.08 Kyanja-Kisaasi-24h'!L29,'03.08 Kyanja-Kisaasi-24h'!L29,'04.08 Kyanja-Kisaasi'!L29)</f>
        <v>0.42857142857142855</v>
      </c>
      <c r="M29" s="49">
        <f>AVERAGE('29.07 Kyanja -Kisaasi'!M29,'30.07 Kyanja-Kisaasi'!M29,'31.07 Kyanja-Kisaasi'!M29,'02.08 Kyanja-Kisaasi'!M29,'01.08 Kyanja-Kisaasi-24h'!M29,'03.08 Kyanja-Kisaasi-24h'!M29,'04.08 Kyanja-Kisaasi'!M29)</f>
        <v>84.285714285714292</v>
      </c>
      <c r="N29" s="49">
        <f>AVERAGE('29.07 Kyanja -Kisaasi'!N29,'30.07 Kyanja-Kisaasi'!N29,'31.07 Kyanja-Kisaasi'!N29,'02.08 Kyanja-Kisaasi'!N29,'01.08 Kyanja-Kisaasi-24h'!N29,'03.08 Kyanja-Kisaasi-24h'!N29,'04.08 Kyanja-Kisaasi'!N29)</f>
        <v>0</v>
      </c>
      <c r="O29" s="15">
        <f t="shared" si="0"/>
        <v>113.99999999999999</v>
      </c>
      <c r="P29" s="15">
        <f t="shared" si="1"/>
        <v>198.28571428571428</v>
      </c>
      <c r="R29" s="1" t="s">
        <v>153</v>
      </c>
      <c r="S29" s="34">
        <f t="shared" si="13"/>
        <v>161.5</v>
      </c>
      <c r="T29" s="34">
        <f t="shared" si="14"/>
        <v>48</v>
      </c>
      <c r="U29" s="34">
        <f t="shared" si="15"/>
        <v>17.5</v>
      </c>
      <c r="V29" s="34">
        <f t="shared" si="16"/>
        <v>37</v>
      </c>
      <c r="W29" s="34">
        <f t="shared" si="17"/>
        <v>0</v>
      </c>
      <c r="X29" s="34">
        <f t="shared" si="18"/>
        <v>0</v>
      </c>
      <c r="Y29" s="34">
        <f t="shared" si="19"/>
        <v>6.5</v>
      </c>
      <c r="Z29" s="34">
        <f t="shared" si="20"/>
        <v>3.5</v>
      </c>
      <c r="AA29" s="34">
        <f t="shared" si="21"/>
        <v>2.5</v>
      </c>
      <c r="AB29" s="34">
        <f t="shared" si="22"/>
        <v>0</v>
      </c>
      <c r="AC29" s="34">
        <f t="shared" si="23"/>
        <v>393.5</v>
      </c>
      <c r="AD29" s="34">
        <f t="shared" si="24"/>
        <v>0</v>
      </c>
      <c r="AE29" s="52">
        <f t="shared" si="25"/>
        <v>276.5</v>
      </c>
      <c r="AF29" s="52">
        <f t="shared" si="26"/>
        <v>670</v>
      </c>
    </row>
    <row r="30" spans="2:32" ht="23.1" customHeight="1" x14ac:dyDescent="0.25">
      <c r="B30" s="23" t="s">
        <v>57</v>
      </c>
      <c r="C30" s="49">
        <f>AVERAGE('29.07 Kyanja -Kisaasi'!C30,'30.07 Kyanja-Kisaasi'!C30,'31.07 Kyanja-Kisaasi'!C30,'02.08 Kyanja-Kisaasi'!C30,'01.08 Kyanja-Kisaasi-24h'!C30,'03.08 Kyanja-Kisaasi-24h'!C30,'04.08 Kyanja-Kisaasi'!C30)</f>
        <v>53.857142857142854</v>
      </c>
      <c r="D30" s="49">
        <f>AVERAGE('29.07 Kyanja -Kisaasi'!D30,'30.07 Kyanja-Kisaasi'!D30,'31.07 Kyanja-Kisaasi'!D30,'02.08 Kyanja-Kisaasi'!D30,'01.08 Kyanja-Kisaasi-24h'!D30,'03.08 Kyanja-Kisaasi-24h'!D30,'04.08 Kyanja-Kisaasi'!D30)</f>
        <v>25.571428571428573</v>
      </c>
      <c r="E30" s="49">
        <f>AVERAGE('29.07 Kyanja -Kisaasi'!E30,'30.07 Kyanja-Kisaasi'!E30,'31.07 Kyanja-Kisaasi'!E30,'02.08 Kyanja-Kisaasi'!E30,'01.08 Kyanja-Kisaasi-24h'!E30,'03.08 Kyanja-Kisaasi-24h'!E30,'04.08 Kyanja-Kisaasi'!E30)</f>
        <v>5.2857142857142856</v>
      </c>
      <c r="F30" s="49">
        <f>AVERAGE('29.07 Kyanja -Kisaasi'!F30,'30.07 Kyanja-Kisaasi'!F30,'31.07 Kyanja-Kisaasi'!F30,'02.08 Kyanja-Kisaasi'!F30,'01.08 Kyanja-Kisaasi-24h'!F30,'03.08 Kyanja-Kisaasi-24h'!F30,'04.08 Kyanja-Kisaasi'!F30)</f>
        <v>10.714285714285714</v>
      </c>
      <c r="G30" s="49">
        <f>AVERAGE('29.07 Kyanja -Kisaasi'!G30,'30.07 Kyanja-Kisaasi'!G30,'31.07 Kyanja-Kisaasi'!G30,'02.08 Kyanja-Kisaasi'!G30,'01.08 Kyanja-Kisaasi-24h'!G30,'03.08 Kyanja-Kisaasi-24h'!G30,'04.08 Kyanja-Kisaasi'!G30)</f>
        <v>0.14285714285714285</v>
      </c>
      <c r="H30" s="49">
        <f>AVERAGE('29.07 Kyanja -Kisaasi'!H30,'30.07 Kyanja-Kisaasi'!H30,'31.07 Kyanja-Kisaasi'!H30,'02.08 Kyanja-Kisaasi'!H30,'01.08 Kyanja-Kisaasi-24h'!H30,'03.08 Kyanja-Kisaasi-24h'!H30,'04.08 Kyanja-Kisaasi'!H30)</f>
        <v>0</v>
      </c>
      <c r="I30" s="49">
        <f>AVERAGE('29.07 Kyanja -Kisaasi'!I30,'30.07 Kyanja-Kisaasi'!I30,'31.07 Kyanja-Kisaasi'!I30,'02.08 Kyanja-Kisaasi'!I30,'01.08 Kyanja-Kisaasi-24h'!I30,'03.08 Kyanja-Kisaasi-24h'!I30,'04.08 Kyanja-Kisaasi'!I30)</f>
        <v>3.1428571428571428</v>
      </c>
      <c r="J30" s="49">
        <f>AVERAGE('29.07 Kyanja -Kisaasi'!J30,'30.07 Kyanja-Kisaasi'!J30,'31.07 Kyanja-Kisaasi'!J30,'02.08 Kyanja-Kisaasi'!J30,'01.08 Kyanja-Kisaasi-24h'!J30,'03.08 Kyanja-Kisaasi-24h'!J30,'04.08 Kyanja-Kisaasi'!J30)</f>
        <v>1.4285714285714286</v>
      </c>
      <c r="K30" s="49">
        <f>AVERAGE('29.07 Kyanja -Kisaasi'!K30,'30.07 Kyanja-Kisaasi'!K30,'31.07 Kyanja-Kisaasi'!K30,'02.08 Kyanja-Kisaasi'!K30,'01.08 Kyanja-Kisaasi-24h'!K30,'03.08 Kyanja-Kisaasi-24h'!K30,'04.08 Kyanja-Kisaasi'!K30)</f>
        <v>1.7142857142857142</v>
      </c>
      <c r="L30" s="49">
        <f>AVERAGE('29.07 Kyanja -Kisaasi'!L30,'30.07 Kyanja-Kisaasi'!L30,'31.07 Kyanja-Kisaasi'!L30,'02.08 Kyanja-Kisaasi'!L30,'01.08 Kyanja-Kisaasi-24h'!L30,'03.08 Kyanja-Kisaasi-24h'!L30,'04.08 Kyanja-Kisaasi'!L30)</f>
        <v>0.14285714285714285</v>
      </c>
      <c r="M30" s="49">
        <f>AVERAGE('29.07 Kyanja -Kisaasi'!M30,'30.07 Kyanja-Kisaasi'!M30,'31.07 Kyanja-Kisaasi'!M30,'02.08 Kyanja-Kisaasi'!M30,'01.08 Kyanja-Kisaasi-24h'!M30,'03.08 Kyanja-Kisaasi-24h'!M30,'04.08 Kyanja-Kisaasi'!M30)</f>
        <v>81.857142857142861</v>
      </c>
      <c r="N30" s="49">
        <f>AVERAGE('29.07 Kyanja -Kisaasi'!N30,'30.07 Kyanja-Kisaasi'!N30,'31.07 Kyanja-Kisaasi'!N30,'02.08 Kyanja-Kisaasi'!N30,'01.08 Kyanja-Kisaasi-24h'!N30,'03.08 Kyanja-Kisaasi-24h'!N30,'04.08 Kyanja-Kisaasi'!N30)</f>
        <v>0</v>
      </c>
      <c r="O30" s="15">
        <f t="shared" si="0"/>
        <v>101.99999999999999</v>
      </c>
      <c r="P30" s="15">
        <f t="shared" si="1"/>
        <v>183.85714285714283</v>
      </c>
      <c r="R30" s="1" t="s">
        <v>154</v>
      </c>
      <c r="S30" s="34">
        <f t="shared" si="13"/>
        <v>175.5</v>
      </c>
      <c r="T30" s="34">
        <f t="shared" si="14"/>
        <v>45</v>
      </c>
      <c r="U30" s="34">
        <f t="shared" si="15"/>
        <v>18</v>
      </c>
      <c r="V30" s="34">
        <f t="shared" si="16"/>
        <v>43</v>
      </c>
      <c r="W30" s="34">
        <f t="shared" si="17"/>
        <v>0</v>
      </c>
      <c r="X30" s="34">
        <f t="shared" si="18"/>
        <v>0</v>
      </c>
      <c r="Y30" s="34">
        <f t="shared" si="19"/>
        <v>6</v>
      </c>
      <c r="Z30" s="34">
        <f t="shared" si="20"/>
        <v>1.5</v>
      </c>
      <c r="AA30" s="34">
        <f t="shared" si="21"/>
        <v>2.5</v>
      </c>
      <c r="AB30" s="34">
        <f t="shared" si="22"/>
        <v>0</v>
      </c>
      <c r="AC30" s="34">
        <f t="shared" si="23"/>
        <v>404</v>
      </c>
      <c r="AD30" s="34">
        <f t="shared" si="24"/>
        <v>0</v>
      </c>
      <c r="AE30" s="52">
        <f t="shared" si="25"/>
        <v>291.5</v>
      </c>
      <c r="AF30" s="52">
        <f t="shared" si="26"/>
        <v>695.5</v>
      </c>
    </row>
    <row r="31" spans="2:32" ht="23.1" customHeight="1" x14ac:dyDescent="0.25">
      <c r="B31" s="24" t="s">
        <v>58</v>
      </c>
      <c r="C31" s="49">
        <f>AVERAGE('29.07 Kyanja -Kisaasi'!C31,'30.07 Kyanja-Kisaasi'!C31,'31.07 Kyanja-Kisaasi'!C31,'02.08 Kyanja-Kisaasi'!C31,'01.08 Kyanja-Kisaasi-24h'!C31,'03.08 Kyanja-Kisaasi-24h'!C31,'04.08 Kyanja-Kisaasi'!C31)</f>
        <v>51.714285714285715</v>
      </c>
      <c r="D31" s="49">
        <f>AVERAGE('29.07 Kyanja -Kisaasi'!D31,'30.07 Kyanja-Kisaasi'!D31,'31.07 Kyanja-Kisaasi'!D31,'02.08 Kyanja-Kisaasi'!D31,'01.08 Kyanja-Kisaasi-24h'!D31,'03.08 Kyanja-Kisaasi-24h'!D31,'04.08 Kyanja-Kisaasi'!D31)</f>
        <v>21.428571428571427</v>
      </c>
      <c r="E31" s="49">
        <f>AVERAGE('29.07 Kyanja -Kisaasi'!E31,'30.07 Kyanja-Kisaasi'!E31,'31.07 Kyanja-Kisaasi'!E31,'02.08 Kyanja-Kisaasi'!E31,'01.08 Kyanja-Kisaasi-24h'!E31,'03.08 Kyanja-Kisaasi-24h'!E31,'04.08 Kyanja-Kisaasi'!E31)</f>
        <v>8.1428571428571423</v>
      </c>
      <c r="F31" s="49">
        <f>AVERAGE('29.07 Kyanja -Kisaasi'!F31,'30.07 Kyanja-Kisaasi'!F31,'31.07 Kyanja-Kisaasi'!F31,'02.08 Kyanja-Kisaasi'!F31,'01.08 Kyanja-Kisaasi-24h'!F31,'03.08 Kyanja-Kisaasi-24h'!F31,'04.08 Kyanja-Kisaasi'!F31)</f>
        <v>14.571428571428571</v>
      </c>
      <c r="G31" s="49">
        <f>AVERAGE('29.07 Kyanja -Kisaasi'!G31,'30.07 Kyanja-Kisaasi'!G31,'31.07 Kyanja-Kisaasi'!G31,'02.08 Kyanja-Kisaasi'!G31,'01.08 Kyanja-Kisaasi-24h'!G31,'03.08 Kyanja-Kisaasi-24h'!G31,'04.08 Kyanja-Kisaasi'!G31)</f>
        <v>0</v>
      </c>
      <c r="H31" s="49">
        <f>AVERAGE('29.07 Kyanja -Kisaasi'!H31,'30.07 Kyanja-Kisaasi'!H31,'31.07 Kyanja-Kisaasi'!H31,'02.08 Kyanja-Kisaasi'!H31,'01.08 Kyanja-Kisaasi-24h'!H31,'03.08 Kyanja-Kisaasi-24h'!H31,'04.08 Kyanja-Kisaasi'!H31)</f>
        <v>0</v>
      </c>
      <c r="I31" s="49">
        <f>AVERAGE('29.07 Kyanja -Kisaasi'!I31,'30.07 Kyanja-Kisaasi'!I31,'31.07 Kyanja-Kisaasi'!I31,'02.08 Kyanja-Kisaasi'!I31,'01.08 Kyanja-Kisaasi-24h'!I31,'03.08 Kyanja-Kisaasi-24h'!I31,'04.08 Kyanja-Kisaasi'!I31)</f>
        <v>5.8571428571428568</v>
      </c>
      <c r="J31" s="49">
        <f>AVERAGE('29.07 Kyanja -Kisaasi'!J31,'30.07 Kyanja-Kisaasi'!J31,'31.07 Kyanja-Kisaasi'!J31,'02.08 Kyanja-Kisaasi'!J31,'01.08 Kyanja-Kisaasi-24h'!J31,'03.08 Kyanja-Kisaasi-24h'!J31,'04.08 Kyanja-Kisaasi'!J31)</f>
        <v>1.8571428571428572</v>
      </c>
      <c r="K31" s="49">
        <f>AVERAGE('29.07 Kyanja -Kisaasi'!K31,'30.07 Kyanja-Kisaasi'!K31,'31.07 Kyanja-Kisaasi'!K31,'02.08 Kyanja-Kisaasi'!K31,'01.08 Kyanja-Kisaasi-24h'!K31,'03.08 Kyanja-Kisaasi-24h'!K31,'04.08 Kyanja-Kisaasi'!K31)</f>
        <v>1.7142857142857142</v>
      </c>
      <c r="L31" s="49">
        <f>AVERAGE('29.07 Kyanja -Kisaasi'!L31,'30.07 Kyanja-Kisaasi'!L31,'31.07 Kyanja-Kisaasi'!L31,'02.08 Kyanja-Kisaasi'!L31,'01.08 Kyanja-Kisaasi-24h'!L31,'03.08 Kyanja-Kisaasi-24h'!L31,'04.08 Kyanja-Kisaasi'!L31)</f>
        <v>0.42857142857142855</v>
      </c>
      <c r="M31" s="49">
        <f>AVERAGE('29.07 Kyanja -Kisaasi'!M31,'30.07 Kyanja-Kisaasi'!M31,'31.07 Kyanja-Kisaasi'!M31,'02.08 Kyanja-Kisaasi'!M31,'01.08 Kyanja-Kisaasi-24h'!M31,'03.08 Kyanja-Kisaasi-24h'!M31,'04.08 Kyanja-Kisaasi'!M31)</f>
        <v>87.428571428571431</v>
      </c>
      <c r="N31" s="49">
        <f>AVERAGE('29.07 Kyanja -Kisaasi'!N31,'30.07 Kyanja-Kisaasi'!N31,'31.07 Kyanja-Kisaasi'!N31,'02.08 Kyanja-Kisaasi'!N31,'01.08 Kyanja-Kisaasi-24h'!N31,'03.08 Kyanja-Kisaasi-24h'!N31,'04.08 Kyanja-Kisaasi'!N31)</f>
        <v>0</v>
      </c>
      <c r="O31" s="15">
        <f t="shared" si="0"/>
        <v>105.71428571428571</v>
      </c>
      <c r="P31" s="15">
        <f t="shared" si="1"/>
        <v>193.14285714285714</v>
      </c>
      <c r="R31" s="1" t="s">
        <v>155</v>
      </c>
      <c r="S31" s="34">
        <f t="shared" si="13"/>
        <v>187.5</v>
      </c>
      <c r="T31" s="34">
        <f t="shared" si="14"/>
        <v>55</v>
      </c>
      <c r="U31" s="34">
        <f t="shared" si="15"/>
        <v>17.5</v>
      </c>
      <c r="V31" s="34">
        <f t="shared" si="16"/>
        <v>51</v>
      </c>
      <c r="W31" s="34">
        <f t="shared" si="17"/>
        <v>2.5</v>
      </c>
      <c r="X31" s="34">
        <f t="shared" si="18"/>
        <v>0</v>
      </c>
      <c r="Y31" s="34">
        <f t="shared" si="19"/>
        <v>5.5</v>
      </c>
      <c r="Z31" s="34">
        <f t="shared" si="20"/>
        <v>1.5</v>
      </c>
      <c r="AA31" s="34">
        <f t="shared" si="21"/>
        <v>2</v>
      </c>
      <c r="AB31" s="34">
        <f t="shared" si="22"/>
        <v>0</v>
      </c>
      <c r="AC31" s="34">
        <f t="shared" si="23"/>
        <v>395</v>
      </c>
      <c r="AD31" s="34">
        <f t="shared" si="24"/>
        <v>0</v>
      </c>
      <c r="AE31" s="52">
        <f t="shared" si="25"/>
        <v>322.5</v>
      </c>
      <c r="AF31" s="52">
        <f t="shared" si="26"/>
        <v>717.5</v>
      </c>
    </row>
    <row r="32" spans="2:32" ht="23.1" customHeight="1" x14ac:dyDescent="0.25">
      <c r="B32" s="24" t="s">
        <v>59</v>
      </c>
      <c r="C32" s="49">
        <f>AVERAGE('29.07 Kyanja -Kisaasi'!C32,'30.07 Kyanja-Kisaasi'!C32,'31.07 Kyanja-Kisaasi'!C32,'02.08 Kyanja-Kisaasi'!C32,'01.08 Kyanja-Kisaasi-24h'!C32,'03.08 Kyanja-Kisaasi-24h'!C32,'04.08 Kyanja-Kisaasi'!C32)</f>
        <v>57.428571428571431</v>
      </c>
      <c r="D32" s="49">
        <f>AVERAGE('29.07 Kyanja -Kisaasi'!D32,'30.07 Kyanja-Kisaasi'!D32,'31.07 Kyanja-Kisaasi'!D32,'02.08 Kyanja-Kisaasi'!D32,'01.08 Kyanja-Kisaasi-24h'!D32,'03.08 Kyanja-Kisaasi-24h'!D32,'04.08 Kyanja-Kisaasi'!D32)</f>
        <v>23.714285714285715</v>
      </c>
      <c r="E32" s="49">
        <f>AVERAGE('29.07 Kyanja -Kisaasi'!E32,'30.07 Kyanja-Kisaasi'!E32,'31.07 Kyanja-Kisaasi'!E32,'02.08 Kyanja-Kisaasi'!E32,'01.08 Kyanja-Kisaasi-24h'!E32,'03.08 Kyanja-Kisaasi-24h'!E32,'04.08 Kyanja-Kisaasi'!E32)</f>
        <v>4.8571428571428568</v>
      </c>
      <c r="F32" s="49">
        <f>AVERAGE('29.07 Kyanja -Kisaasi'!F32,'30.07 Kyanja-Kisaasi'!F32,'31.07 Kyanja-Kisaasi'!F32,'02.08 Kyanja-Kisaasi'!F32,'01.08 Kyanja-Kisaasi-24h'!F32,'03.08 Kyanja-Kisaasi-24h'!F32,'04.08 Kyanja-Kisaasi'!F32)</f>
        <v>11.428571428571429</v>
      </c>
      <c r="G32" s="49">
        <f>AVERAGE('29.07 Kyanja -Kisaasi'!G32,'30.07 Kyanja-Kisaasi'!G32,'31.07 Kyanja-Kisaasi'!G32,'02.08 Kyanja-Kisaasi'!G32,'01.08 Kyanja-Kisaasi-24h'!G32,'03.08 Kyanja-Kisaasi-24h'!G32,'04.08 Kyanja-Kisaasi'!G32)</f>
        <v>0</v>
      </c>
      <c r="H32" s="49">
        <f>AVERAGE('29.07 Kyanja -Kisaasi'!H32,'30.07 Kyanja-Kisaasi'!H32,'31.07 Kyanja-Kisaasi'!H32,'02.08 Kyanja-Kisaasi'!H32,'01.08 Kyanja-Kisaasi-24h'!H32,'03.08 Kyanja-Kisaasi-24h'!H32,'04.08 Kyanja-Kisaasi'!H32)</f>
        <v>0</v>
      </c>
      <c r="I32" s="49">
        <f>AVERAGE('29.07 Kyanja -Kisaasi'!I32,'30.07 Kyanja-Kisaasi'!I32,'31.07 Kyanja-Kisaasi'!I32,'02.08 Kyanja-Kisaasi'!I32,'01.08 Kyanja-Kisaasi-24h'!I32,'03.08 Kyanja-Kisaasi-24h'!I32,'04.08 Kyanja-Kisaasi'!I32)</f>
        <v>4.2857142857142856</v>
      </c>
      <c r="J32" s="49">
        <f>AVERAGE('29.07 Kyanja -Kisaasi'!J32,'30.07 Kyanja-Kisaasi'!J32,'31.07 Kyanja-Kisaasi'!J32,'02.08 Kyanja-Kisaasi'!J32,'01.08 Kyanja-Kisaasi-24h'!J32,'03.08 Kyanja-Kisaasi-24h'!J32,'04.08 Kyanja-Kisaasi'!J32)</f>
        <v>1.7142857142857142</v>
      </c>
      <c r="K32" s="49">
        <f>AVERAGE('29.07 Kyanja -Kisaasi'!K32,'30.07 Kyanja-Kisaasi'!K32,'31.07 Kyanja-Kisaasi'!K32,'02.08 Kyanja-Kisaasi'!K32,'01.08 Kyanja-Kisaasi-24h'!K32,'03.08 Kyanja-Kisaasi-24h'!K32,'04.08 Kyanja-Kisaasi'!K32)</f>
        <v>3.1428571428571428</v>
      </c>
      <c r="L32" s="49">
        <f>AVERAGE('29.07 Kyanja -Kisaasi'!L32,'30.07 Kyanja-Kisaasi'!L32,'31.07 Kyanja-Kisaasi'!L32,'02.08 Kyanja-Kisaasi'!L32,'01.08 Kyanja-Kisaasi-24h'!L32,'03.08 Kyanja-Kisaasi-24h'!L32,'04.08 Kyanja-Kisaasi'!L32)</f>
        <v>0.14285714285714285</v>
      </c>
      <c r="M32" s="49">
        <f>AVERAGE('29.07 Kyanja -Kisaasi'!M32,'30.07 Kyanja-Kisaasi'!M32,'31.07 Kyanja-Kisaasi'!M32,'02.08 Kyanja-Kisaasi'!M32,'01.08 Kyanja-Kisaasi-24h'!M32,'03.08 Kyanja-Kisaasi-24h'!M32,'04.08 Kyanja-Kisaasi'!M32)</f>
        <v>81.428571428571431</v>
      </c>
      <c r="N32" s="49">
        <f>AVERAGE('29.07 Kyanja -Kisaasi'!N32,'30.07 Kyanja-Kisaasi'!N32,'31.07 Kyanja-Kisaasi'!N32,'02.08 Kyanja-Kisaasi'!N32,'01.08 Kyanja-Kisaasi-24h'!N32,'03.08 Kyanja-Kisaasi-24h'!N32,'04.08 Kyanja-Kisaasi'!N32)</f>
        <v>0</v>
      </c>
      <c r="O32" s="15">
        <f t="shared" si="0"/>
        <v>106.71428571428571</v>
      </c>
      <c r="P32" s="15">
        <f t="shared" si="1"/>
        <v>188.14285714285714</v>
      </c>
      <c r="R32" s="1" t="s">
        <v>156</v>
      </c>
      <c r="S32" s="34">
        <f t="shared" si="13"/>
        <v>191.5</v>
      </c>
      <c r="T32" s="34">
        <f t="shared" si="14"/>
        <v>56.5</v>
      </c>
      <c r="U32" s="34">
        <f t="shared" si="15"/>
        <v>16</v>
      </c>
      <c r="V32" s="34">
        <f t="shared" si="16"/>
        <v>45</v>
      </c>
      <c r="W32" s="34">
        <f t="shared" si="17"/>
        <v>2.5</v>
      </c>
      <c r="X32" s="34">
        <f t="shared" si="18"/>
        <v>0</v>
      </c>
      <c r="Y32" s="34">
        <f t="shared" si="19"/>
        <v>3.5</v>
      </c>
      <c r="Z32" s="34">
        <f t="shared" si="20"/>
        <v>2</v>
      </c>
      <c r="AA32" s="34">
        <f t="shared" si="21"/>
        <v>1</v>
      </c>
      <c r="AB32" s="34">
        <f t="shared" si="22"/>
        <v>0</v>
      </c>
      <c r="AC32" s="34">
        <f t="shared" si="23"/>
        <v>381.5</v>
      </c>
      <c r="AD32" s="34">
        <f t="shared" si="24"/>
        <v>0</v>
      </c>
      <c r="AE32" s="34">
        <f t="shared" si="25"/>
        <v>318</v>
      </c>
      <c r="AF32" s="34">
        <f t="shared" si="26"/>
        <v>699.5</v>
      </c>
    </row>
    <row r="33" spans="2:32" ht="23.1" customHeight="1" x14ac:dyDescent="0.25">
      <c r="B33" s="23" t="s">
        <v>60</v>
      </c>
      <c r="C33" s="49">
        <f>AVERAGE('29.07 Kyanja -Kisaasi'!C33,'30.07 Kyanja-Kisaasi'!C33,'31.07 Kyanja-Kisaasi'!C33,'02.08 Kyanja-Kisaasi'!C33,'01.08 Kyanja-Kisaasi-24h'!C33,'03.08 Kyanja-Kisaasi-24h'!C33,'04.08 Kyanja-Kisaasi'!C33)</f>
        <v>44.428571428571431</v>
      </c>
      <c r="D33" s="49">
        <f>AVERAGE('29.07 Kyanja -Kisaasi'!D33,'30.07 Kyanja-Kisaasi'!D33,'31.07 Kyanja-Kisaasi'!D33,'02.08 Kyanja-Kisaasi'!D33,'01.08 Kyanja-Kisaasi-24h'!D33,'03.08 Kyanja-Kisaasi-24h'!D33,'04.08 Kyanja-Kisaasi'!D33)</f>
        <v>23.857142857142858</v>
      </c>
      <c r="E33" s="49">
        <f>AVERAGE('29.07 Kyanja -Kisaasi'!E33,'30.07 Kyanja-Kisaasi'!E33,'31.07 Kyanja-Kisaasi'!E33,'02.08 Kyanja-Kisaasi'!E33,'01.08 Kyanja-Kisaasi-24h'!E33,'03.08 Kyanja-Kisaasi-24h'!E33,'04.08 Kyanja-Kisaasi'!E33)</f>
        <v>5.4285714285714288</v>
      </c>
      <c r="F33" s="49">
        <f>AVERAGE('29.07 Kyanja -Kisaasi'!F33,'30.07 Kyanja-Kisaasi'!F33,'31.07 Kyanja-Kisaasi'!F33,'02.08 Kyanja-Kisaasi'!F33,'01.08 Kyanja-Kisaasi-24h'!F33,'03.08 Kyanja-Kisaasi-24h'!F33,'04.08 Kyanja-Kisaasi'!F33)</f>
        <v>8.7142857142857135</v>
      </c>
      <c r="G33" s="49">
        <f>AVERAGE('29.07 Kyanja -Kisaasi'!G33,'30.07 Kyanja-Kisaasi'!G33,'31.07 Kyanja-Kisaasi'!G33,'02.08 Kyanja-Kisaasi'!G33,'01.08 Kyanja-Kisaasi-24h'!G33,'03.08 Kyanja-Kisaasi-24h'!G33,'04.08 Kyanja-Kisaasi'!G33)</f>
        <v>0</v>
      </c>
      <c r="H33" s="49">
        <f>AVERAGE('29.07 Kyanja -Kisaasi'!H33,'30.07 Kyanja-Kisaasi'!H33,'31.07 Kyanja-Kisaasi'!H33,'02.08 Kyanja-Kisaasi'!H33,'01.08 Kyanja-Kisaasi-24h'!H33,'03.08 Kyanja-Kisaasi-24h'!H33,'04.08 Kyanja-Kisaasi'!H33)</f>
        <v>0</v>
      </c>
      <c r="I33" s="49">
        <f>AVERAGE('29.07 Kyanja -Kisaasi'!I33,'30.07 Kyanja-Kisaasi'!I33,'31.07 Kyanja-Kisaasi'!I33,'02.08 Kyanja-Kisaasi'!I33,'01.08 Kyanja-Kisaasi-24h'!I33,'03.08 Kyanja-Kisaasi-24h'!I33,'04.08 Kyanja-Kisaasi'!I33)</f>
        <v>3.7142857142857144</v>
      </c>
      <c r="J33" s="49">
        <f>AVERAGE('29.07 Kyanja -Kisaasi'!J33,'30.07 Kyanja-Kisaasi'!J33,'31.07 Kyanja-Kisaasi'!J33,'02.08 Kyanja-Kisaasi'!J33,'01.08 Kyanja-Kisaasi-24h'!J33,'03.08 Kyanja-Kisaasi-24h'!J33,'04.08 Kyanja-Kisaasi'!J33)</f>
        <v>1.4285714285714286</v>
      </c>
      <c r="K33" s="49">
        <f>AVERAGE('29.07 Kyanja -Kisaasi'!K33,'30.07 Kyanja-Kisaasi'!K33,'31.07 Kyanja-Kisaasi'!K33,'02.08 Kyanja-Kisaasi'!K33,'01.08 Kyanja-Kisaasi-24h'!K33,'03.08 Kyanja-Kisaasi-24h'!K33,'04.08 Kyanja-Kisaasi'!K33)</f>
        <v>1</v>
      </c>
      <c r="L33" s="49">
        <f>AVERAGE('29.07 Kyanja -Kisaasi'!L33,'30.07 Kyanja-Kisaasi'!L33,'31.07 Kyanja-Kisaasi'!L33,'02.08 Kyanja-Kisaasi'!L33,'01.08 Kyanja-Kisaasi-24h'!L33,'03.08 Kyanja-Kisaasi-24h'!L33,'04.08 Kyanja-Kisaasi'!L33)</f>
        <v>0.14285714285714285</v>
      </c>
      <c r="M33" s="49">
        <f>AVERAGE('29.07 Kyanja -Kisaasi'!M33,'30.07 Kyanja-Kisaasi'!M33,'31.07 Kyanja-Kisaasi'!M33,'02.08 Kyanja-Kisaasi'!M33,'01.08 Kyanja-Kisaasi-24h'!M33,'03.08 Kyanja-Kisaasi-24h'!M33,'04.08 Kyanja-Kisaasi'!M33)</f>
        <v>82.428571428571431</v>
      </c>
      <c r="N33" s="49">
        <f>AVERAGE('29.07 Kyanja -Kisaasi'!N33,'30.07 Kyanja-Kisaasi'!N33,'31.07 Kyanja-Kisaasi'!N33,'02.08 Kyanja-Kisaasi'!N33,'01.08 Kyanja-Kisaasi-24h'!N33,'03.08 Kyanja-Kisaasi-24h'!N33,'04.08 Kyanja-Kisaasi'!N33)</f>
        <v>0</v>
      </c>
      <c r="O33" s="15">
        <f t="shared" si="0"/>
        <v>88.714285714285708</v>
      </c>
      <c r="P33" s="15">
        <f t="shared" si="1"/>
        <v>171.14285714285714</v>
      </c>
      <c r="R33" s="1" t="s">
        <v>157</v>
      </c>
      <c r="S33" s="34">
        <f t="shared" si="13"/>
        <v>211.5</v>
      </c>
      <c r="T33" s="34">
        <f t="shared" si="14"/>
        <v>55</v>
      </c>
      <c r="U33" s="34">
        <f t="shared" si="15"/>
        <v>14</v>
      </c>
      <c r="V33" s="34">
        <f t="shared" si="16"/>
        <v>53</v>
      </c>
      <c r="W33" s="34">
        <f t="shared" si="17"/>
        <v>2.5</v>
      </c>
      <c r="X33" s="34">
        <f t="shared" si="18"/>
        <v>0</v>
      </c>
      <c r="Y33" s="34">
        <f t="shared" si="19"/>
        <v>6</v>
      </c>
      <c r="Z33" s="34">
        <f t="shared" si="20"/>
        <v>2</v>
      </c>
      <c r="AA33" s="34">
        <f t="shared" si="21"/>
        <v>0</v>
      </c>
      <c r="AB33" s="34">
        <f t="shared" si="22"/>
        <v>0</v>
      </c>
      <c r="AC33" s="34">
        <f t="shared" si="23"/>
        <v>356</v>
      </c>
      <c r="AD33" s="34">
        <f t="shared" si="24"/>
        <v>0</v>
      </c>
      <c r="AE33" s="34">
        <f t="shared" si="25"/>
        <v>344</v>
      </c>
      <c r="AF33" s="34">
        <f t="shared" si="26"/>
        <v>700</v>
      </c>
    </row>
    <row r="34" spans="2:32" ht="23.1" customHeight="1" x14ac:dyDescent="0.25">
      <c r="B34" s="24" t="s">
        <v>61</v>
      </c>
      <c r="C34" s="49">
        <f>AVERAGE('29.07 Kyanja -Kisaasi'!C34,'30.07 Kyanja-Kisaasi'!C34,'31.07 Kyanja-Kisaasi'!C34,'02.08 Kyanja-Kisaasi'!C34,'01.08 Kyanja-Kisaasi-24h'!C34,'03.08 Kyanja-Kisaasi-24h'!C34,'04.08 Kyanja-Kisaasi'!C34)</f>
        <v>45.428571428571431</v>
      </c>
      <c r="D34" s="49">
        <f>AVERAGE('29.07 Kyanja -Kisaasi'!D34,'30.07 Kyanja-Kisaasi'!D34,'31.07 Kyanja-Kisaasi'!D34,'02.08 Kyanja-Kisaasi'!D34,'01.08 Kyanja-Kisaasi-24h'!D34,'03.08 Kyanja-Kisaasi-24h'!D34,'04.08 Kyanja-Kisaasi'!D34)</f>
        <v>29.428571428571427</v>
      </c>
      <c r="E34" s="49">
        <f>AVERAGE('29.07 Kyanja -Kisaasi'!E34,'30.07 Kyanja-Kisaasi'!E34,'31.07 Kyanja-Kisaasi'!E34,'02.08 Kyanja-Kisaasi'!E34,'01.08 Kyanja-Kisaasi-24h'!E34,'03.08 Kyanja-Kisaasi-24h'!E34,'04.08 Kyanja-Kisaasi'!E34)</f>
        <v>7.8571428571428568</v>
      </c>
      <c r="F34" s="49">
        <f>AVERAGE('29.07 Kyanja -Kisaasi'!F34,'30.07 Kyanja-Kisaasi'!F34,'31.07 Kyanja-Kisaasi'!F34,'02.08 Kyanja-Kisaasi'!F34,'01.08 Kyanja-Kisaasi-24h'!F34,'03.08 Kyanja-Kisaasi-24h'!F34,'04.08 Kyanja-Kisaasi'!F34)</f>
        <v>17.571428571428573</v>
      </c>
      <c r="G34" s="49">
        <f>AVERAGE('29.07 Kyanja -Kisaasi'!G34,'30.07 Kyanja-Kisaasi'!G34,'31.07 Kyanja-Kisaasi'!G34,'02.08 Kyanja-Kisaasi'!G34,'01.08 Kyanja-Kisaasi-24h'!G34,'03.08 Kyanja-Kisaasi-24h'!G34,'04.08 Kyanja-Kisaasi'!G34)</f>
        <v>0.42857142857142855</v>
      </c>
      <c r="H34" s="49">
        <f>AVERAGE('29.07 Kyanja -Kisaasi'!H34,'30.07 Kyanja-Kisaasi'!H34,'31.07 Kyanja-Kisaasi'!H34,'02.08 Kyanja-Kisaasi'!H34,'01.08 Kyanja-Kisaasi-24h'!H34,'03.08 Kyanja-Kisaasi-24h'!H34,'04.08 Kyanja-Kisaasi'!H34)</f>
        <v>0.42857142857142855</v>
      </c>
      <c r="I34" s="49">
        <f>AVERAGE('29.07 Kyanja -Kisaasi'!I34,'30.07 Kyanja-Kisaasi'!I34,'31.07 Kyanja-Kisaasi'!I34,'02.08 Kyanja-Kisaasi'!I34,'01.08 Kyanja-Kisaasi-24h'!I34,'03.08 Kyanja-Kisaasi-24h'!I34,'04.08 Kyanja-Kisaasi'!I34)</f>
        <v>3.1428571428571428</v>
      </c>
      <c r="J34" s="49">
        <f>AVERAGE('29.07 Kyanja -Kisaasi'!J34,'30.07 Kyanja-Kisaasi'!J34,'31.07 Kyanja-Kisaasi'!J34,'02.08 Kyanja-Kisaasi'!J34,'01.08 Kyanja-Kisaasi-24h'!J34,'03.08 Kyanja-Kisaasi-24h'!J34,'04.08 Kyanja-Kisaasi'!J34)</f>
        <v>2.4285714285714284</v>
      </c>
      <c r="K34" s="49">
        <f>AVERAGE('29.07 Kyanja -Kisaasi'!K34,'30.07 Kyanja-Kisaasi'!K34,'31.07 Kyanja-Kisaasi'!K34,'02.08 Kyanja-Kisaasi'!K34,'01.08 Kyanja-Kisaasi-24h'!K34,'03.08 Kyanja-Kisaasi-24h'!K34,'04.08 Kyanja-Kisaasi'!K34)</f>
        <v>1.8571428571428572</v>
      </c>
      <c r="L34" s="49">
        <f>AVERAGE('29.07 Kyanja -Kisaasi'!L34,'30.07 Kyanja-Kisaasi'!L34,'31.07 Kyanja-Kisaasi'!L34,'02.08 Kyanja-Kisaasi'!L34,'01.08 Kyanja-Kisaasi-24h'!L34,'03.08 Kyanja-Kisaasi-24h'!L34,'04.08 Kyanja-Kisaasi'!L34)</f>
        <v>0.2857142857142857</v>
      </c>
      <c r="M34" s="49">
        <f>AVERAGE('29.07 Kyanja -Kisaasi'!M34,'30.07 Kyanja-Kisaasi'!M34,'31.07 Kyanja-Kisaasi'!M34,'02.08 Kyanja-Kisaasi'!M34,'01.08 Kyanja-Kisaasi-24h'!M34,'03.08 Kyanja-Kisaasi-24h'!M34,'04.08 Kyanja-Kisaasi'!M34)</f>
        <v>90</v>
      </c>
      <c r="N34" s="49">
        <f>AVERAGE('29.07 Kyanja -Kisaasi'!N34,'30.07 Kyanja-Kisaasi'!N34,'31.07 Kyanja-Kisaasi'!N34,'02.08 Kyanja-Kisaasi'!N34,'01.08 Kyanja-Kisaasi-24h'!N34,'03.08 Kyanja-Kisaasi-24h'!N34,'04.08 Kyanja-Kisaasi'!N34)</f>
        <v>0</v>
      </c>
      <c r="O34" s="15">
        <f t="shared" si="0"/>
        <v>108.85714285714288</v>
      </c>
      <c r="P34" s="15">
        <f t="shared" si="1"/>
        <v>198.85714285714289</v>
      </c>
      <c r="R34" s="38" t="s">
        <v>90</v>
      </c>
      <c r="S34" s="39">
        <f t="shared" ref="S34:AF34" si="27">MAX(S10:S12)</f>
        <v>261.57142857142856</v>
      </c>
      <c r="T34" s="39">
        <f t="shared" si="27"/>
        <v>112.57142857142857</v>
      </c>
      <c r="U34" s="39">
        <f t="shared" si="27"/>
        <v>84.285714285714292</v>
      </c>
      <c r="V34" s="39">
        <f t="shared" si="27"/>
        <v>120.57142857142857</v>
      </c>
      <c r="W34" s="39">
        <f t="shared" si="27"/>
        <v>6.8571428571428577</v>
      </c>
      <c r="X34" s="39">
        <f t="shared" si="27"/>
        <v>0.2857142857142857</v>
      </c>
      <c r="Y34" s="39">
        <f t="shared" si="27"/>
        <v>16.428571428571431</v>
      </c>
      <c r="Z34" s="39">
        <f t="shared" si="27"/>
        <v>5</v>
      </c>
      <c r="AA34" s="39">
        <f t="shared" si="27"/>
        <v>9.4285714285714288</v>
      </c>
      <c r="AB34" s="39">
        <f t="shared" si="27"/>
        <v>0.71428571428571419</v>
      </c>
      <c r="AC34" s="39">
        <f t="shared" si="27"/>
        <v>502.71428571428572</v>
      </c>
      <c r="AD34" s="39">
        <f t="shared" si="27"/>
        <v>0</v>
      </c>
      <c r="AE34" s="40">
        <f t="shared" si="27"/>
        <v>591.85714285714289</v>
      </c>
      <c r="AF34" s="40">
        <f t="shared" si="27"/>
        <v>1094.5714285714284</v>
      </c>
    </row>
    <row r="35" spans="2:32" ht="23.1" customHeight="1" x14ac:dyDescent="0.25">
      <c r="B35" s="24" t="s">
        <v>62</v>
      </c>
      <c r="C35" s="49">
        <f>AVERAGE('29.07 Kyanja -Kisaasi'!C35,'30.07 Kyanja-Kisaasi'!C35,'31.07 Kyanja-Kisaasi'!C35,'02.08 Kyanja-Kisaasi'!C35,'01.08 Kyanja-Kisaasi-24h'!C35,'03.08 Kyanja-Kisaasi-24h'!C35,'04.08 Kyanja-Kisaasi'!C35)</f>
        <v>46.714285714285715</v>
      </c>
      <c r="D35" s="49">
        <f>AVERAGE('29.07 Kyanja -Kisaasi'!D35,'30.07 Kyanja-Kisaasi'!D35,'31.07 Kyanja-Kisaasi'!D35,'02.08 Kyanja-Kisaasi'!D35,'01.08 Kyanja-Kisaasi-24h'!D35,'03.08 Kyanja-Kisaasi-24h'!D35,'04.08 Kyanja-Kisaasi'!D35)</f>
        <v>22.285714285714285</v>
      </c>
      <c r="E35" s="49">
        <f>AVERAGE('29.07 Kyanja -Kisaasi'!E35,'30.07 Kyanja-Kisaasi'!E35,'31.07 Kyanja-Kisaasi'!E35,'02.08 Kyanja-Kisaasi'!E35,'01.08 Kyanja-Kisaasi-24h'!E35,'03.08 Kyanja-Kisaasi-24h'!E35,'04.08 Kyanja-Kisaasi'!E35)</f>
        <v>5.8571428571428568</v>
      </c>
      <c r="F35" s="49">
        <f>AVERAGE('29.07 Kyanja -Kisaasi'!F35,'30.07 Kyanja-Kisaasi'!F35,'31.07 Kyanja-Kisaasi'!F35,'02.08 Kyanja-Kisaasi'!F35,'01.08 Kyanja-Kisaasi-24h'!F35,'03.08 Kyanja-Kisaasi-24h'!F35,'04.08 Kyanja-Kisaasi'!F35)</f>
        <v>13</v>
      </c>
      <c r="G35" s="49">
        <f>AVERAGE('29.07 Kyanja -Kisaasi'!G35,'30.07 Kyanja-Kisaasi'!G35,'31.07 Kyanja-Kisaasi'!G35,'02.08 Kyanja-Kisaasi'!G35,'01.08 Kyanja-Kisaasi-24h'!G35,'03.08 Kyanja-Kisaasi-24h'!G35,'04.08 Kyanja-Kisaasi'!G35)</f>
        <v>0</v>
      </c>
      <c r="H35" s="49">
        <f>AVERAGE('29.07 Kyanja -Kisaasi'!H35,'30.07 Kyanja-Kisaasi'!H35,'31.07 Kyanja-Kisaasi'!H35,'02.08 Kyanja-Kisaasi'!H35,'01.08 Kyanja-Kisaasi-24h'!H35,'03.08 Kyanja-Kisaasi-24h'!H35,'04.08 Kyanja-Kisaasi'!H35)</f>
        <v>0.2857142857142857</v>
      </c>
      <c r="I35" s="49">
        <f>AVERAGE('29.07 Kyanja -Kisaasi'!I35,'30.07 Kyanja-Kisaasi'!I35,'31.07 Kyanja-Kisaasi'!I35,'02.08 Kyanja-Kisaasi'!I35,'01.08 Kyanja-Kisaasi-24h'!I35,'03.08 Kyanja-Kisaasi-24h'!I35,'04.08 Kyanja-Kisaasi'!I35)</f>
        <v>3.4285714285714284</v>
      </c>
      <c r="J35" s="49">
        <f>AVERAGE('29.07 Kyanja -Kisaasi'!J35,'30.07 Kyanja-Kisaasi'!J35,'31.07 Kyanja-Kisaasi'!J35,'02.08 Kyanja-Kisaasi'!J35,'01.08 Kyanja-Kisaasi-24h'!J35,'03.08 Kyanja-Kisaasi-24h'!J35,'04.08 Kyanja-Kisaasi'!J35)</f>
        <v>2</v>
      </c>
      <c r="K35" s="49">
        <f>AVERAGE('29.07 Kyanja -Kisaasi'!K35,'30.07 Kyanja-Kisaasi'!K35,'31.07 Kyanja-Kisaasi'!K35,'02.08 Kyanja-Kisaasi'!K35,'01.08 Kyanja-Kisaasi-24h'!K35,'03.08 Kyanja-Kisaasi-24h'!K35,'04.08 Kyanja-Kisaasi'!K35)</f>
        <v>1</v>
      </c>
      <c r="L35" s="49">
        <f>AVERAGE('29.07 Kyanja -Kisaasi'!L35,'30.07 Kyanja-Kisaasi'!L35,'31.07 Kyanja-Kisaasi'!L35,'02.08 Kyanja-Kisaasi'!L35,'01.08 Kyanja-Kisaasi-24h'!L35,'03.08 Kyanja-Kisaasi-24h'!L35,'04.08 Kyanja-Kisaasi'!L35)</f>
        <v>0.7142857142857143</v>
      </c>
      <c r="M35" s="49">
        <f>AVERAGE('29.07 Kyanja -Kisaasi'!M35,'30.07 Kyanja-Kisaasi'!M35,'31.07 Kyanja-Kisaasi'!M35,'02.08 Kyanja-Kisaasi'!M35,'01.08 Kyanja-Kisaasi-24h'!M35,'03.08 Kyanja-Kisaasi-24h'!M35,'04.08 Kyanja-Kisaasi'!M35)</f>
        <v>82.285714285714292</v>
      </c>
      <c r="N35" s="49">
        <f>AVERAGE('29.07 Kyanja -Kisaasi'!N35,'30.07 Kyanja-Kisaasi'!N35,'31.07 Kyanja-Kisaasi'!N35,'02.08 Kyanja-Kisaasi'!N35,'01.08 Kyanja-Kisaasi-24h'!N35,'03.08 Kyanja-Kisaasi-24h'!N35,'04.08 Kyanja-Kisaasi'!N35)</f>
        <v>0</v>
      </c>
      <c r="O35" s="15">
        <f t="shared" si="0"/>
        <v>95.285714285714292</v>
      </c>
      <c r="P35" s="15">
        <f t="shared" si="1"/>
        <v>177.57142857142858</v>
      </c>
      <c r="R35" s="38" t="s">
        <v>91</v>
      </c>
      <c r="S35" s="39">
        <f t="shared" ref="S35:AF35" si="28">MAX(S13:S18)</f>
        <v>250.14285714285714</v>
      </c>
      <c r="T35" s="39">
        <f t="shared" si="28"/>
        <v>109.28571428571429</v>
      </c>
      <c r="U35" s="39">
        <f t="shared" si="28"/>
        <v>30.571428571428569</v>
      </c>
      <c r="V35" s="39">
        <f t="shared" si="28"/>
        <v>67</v>
      </c>
      <c r="W35" s="39">
        <f t="shared" si="28"/>
        <v>0.85714285714285698</v>
      </c>
      <c r="X35" s="39">
        <f t="shared" si="28"/>
        <v>0.71428571428571419</v>
      </c>
      <c r="Y35" s="39">
        <f t="shared" si="28"/>
        <v>17.142857142857142</v>
      </c>
      <c r="Z35" s="39">
        <f t="shared" si="28"/>
        <v>9.4285714285714288</v>
      </c>
      <c r="AA35" s="39">
        <f t="shared" si="28"/>
        <v>8.5714285714285712</v>
      </c>
      <c r="AB35" s="39">
        <f t="shared" si="28"/>
        <v>2</v>
      </c>
      <c r="AC35" s="39">
        <f t="shared" si="28"/>
        <v>348.57142857142856</v>
      </c>
      <c r="AD35" s="39">
        <f t="shared" si="28"/>
        <v>0.14285714285714285</v>
      </c>
      <c r="AE35" s="40">
        <f t="shared" si="28"/>
        <v>479.00000000000006</v>
      </c>
      <c r="AF35" s="40">
        <f t="shared" si="28"/>
        <v>827.57142857142867</v>
      </c>
    </row>
    <row r="36" spans="2:32" ht="23.1" customHeight="1" x14ac:dyDescent="0.25">
      <c r="B36" s="24" t="s">
        <v>63</v>
      </c>
      <c r="C36" s="49">
        <f>AVERAGE('29.07 Kyanja -Kisaasi'!C36,'30.07 Kyanja-Kisaasi'!C36,'31.07 Kyanja-Kisaasi'!C36,'02.08 Kyanja-Kisaasi'!C36,'01.08 Kyanja-Kisaasi-24h'!C36,'03.08 Kyanja-Kisaasi-24h'!C36,'04.08 Kyanja-Kisaasi'!C36)</f>
        <v>46.857142857142854</v>
      </c>
      <c r="D36" s="49">
        <f>AVERAGE('29.07 Kyanja -Kisaasi'!D36,'30.07 Kyanja-Kisaasi'!D36,'31.07 Kyanja-Kisaasi'!D36,'02.08 Kyanja-Kisaasi'!D36,'01.08 Kyanja-Kisaasi-24h'!D36,'03.08 Kyanja-Kisaasi-24h'!D36,'04.08 Kyanja-Kisaasi'!D36)</f>
        <v>21.857142857142858</v>
      </c>
      <c r="E36" s="49">
        <f>AVERAGE('29.07 Kyanja -Kisaasi'!E36,'30.07 Kyanja-Kisaasi'!E36,'31.07 Kyanja-Kisaasi'!E36,'02.08 Kyanja-Kisaasi'!E36,'01.08 Kyanja-Kisaasi-24h'!E36,'03.08 Kyanja-Kisaasi-24h'!E36,'04.08 Kyanja-Kisaasi'!E36)</f>
        <v>4.8571428571428568</v>
      </c>
      <c r="F36" s="49">
        <f>AVERAGE('29.07 Kyanja -Kisaasi'!F36,'30.07 Kyanja-Kisaasi'!F36,'31.07 Kyanja-Kisaasi'!F36,'02.08 Kyanja-Kisaasi'!F36,'01.08 Kyanja-Kisaasi-24h'!F36,'03.08 Kyanja-Kisaasi-24h'!F36,'04.08 Kyanja-Kisaasi'!F36)</f>
        <v>9.2857142857142865</v>
      </c>
      <c r="G36" s="49">
        <f>AVERAGE('29.07 Kyanja -Kisaasi'!G36,'30.07 Kyanja-Kisaasi'!G36,'31.07 Kyanja-Kisaasi'!G36,'02.08 Kyanja-Kisaasi'!G36,'01.08 Kyanja-Kisaasi-24h'!G36,'03.08 Kyanja-Kisaasi-24h'!G36,'04.08 Kyanja-Kisaasi'!G36)</f>
        <v>0.14285714285714285</v>
      </c>
      <c r="H36" s="49">
        <f>AVERAGE('29.07 Kyanja -Kisaasi'!H36,'30.07 Kyanja-Kisaasi'!H36,'31.07 Kyanja-Kisaasi'!H36,'02.08 Kyanja-Kisaasi'!H36,'01.08 Kyanja-Kisaasi-24h'!H36,'03.08 Kyanja-Kisaasi-24h'!H36,'04.08 Kyanja-Kisaasi'!H36)</f>
        <v>0</v>
      </c>
      <c r="I36" s="49">
        <f>AVERAGE('29.07 Kyanja -Kisaasi'!I36,'30.07 Kyanja-Kisaasi'!I36,'31.07 Kyanja-Kisaasi'!I36,'02.08 Kyanja-Kisaasi'!I36,'01.08 Kyanja-Kisaasi-24h'!I36,'03.08 Kyanja-Kisaasi-24h'!I36,'04.08 Kyanja-Kisaasi'!I36)</f>
        <v>5.4285714285714288</v>
      </c>
      <c r="J36" s="49">
        <f>AVERAGE('29.07 Kyanja -Kisaasi'!J36,'30.07 Kyanja-Kisaasi'!J36,'31.07 Kyanja-Kisaasi'!J36,'02.08 Kyanja-Kisaasi'!J36,'01.08 Kyanja-Kisaasi-24h'!J36,'03.08 Kyanja-Kisaasi-24h'!J36,'04.08 Kyanja-Kisaasi'!J36)</f>
        <v>3.2857142857142856</v>
      </c>
      <c r="K36" s="49">
        <f>AVERAGE('29.07 Kyanja -Kisaasi'!K36,'30.07 Kyanja-Kisaasi'!K36,'31.07 Kyanja-Kisaasi'!K36,'02.08 Kyanja-Kisaasi'!K36,'01.08 Kyanja-Kisaasi-24h'!K36,'03.08 Kyanja-Kisaasi-24h'!K36,'04.08 Kyanja-Kisaasi'!K36)</f>
        <v>1.4285714285714286</v>
      </c>
      <c r="L36" s="49">
        <f>AVERAGE('29.07 Kyanja -Kisaasi'!L36,'30.07 Kyanja-Kisaasi'!L36,'31.07 Kyanja-Kisaasi'!L36,'02.08 Kyanja-Kisaasi'!L36,'01.08 Kyanja-Kisaasi-24h'!L36,'03.08 Kyanja-Kisaasi-24h'!L36,'04.08 Kyanja-Kisaasi'!L36)</f>
        <v>0.7142857142857143</v>
      </c>
      <c r="M36" s="49">
        <f>AVERAGE('29.07 Kyanja -Kisaasi'!M36,'30.07 Kyanja-Kisaasi'!M36,'31.07 Kyanja-Kisaasi'!M36,'02.08 Kyanja-Kisaasi'!M36,'01.08 Kyanja-Kisaasi-24h'!M36,'03.08 Kyanja-Kisaasi-24h'!M36,'04.08 Kyanja-Kisaasi'!M36)</f>
        <v>72</v>
      </c>
      <c r="N36" s="49">
        <f>AVERAGE('29.07 Kyanja -Kisaasi'!N36,'30.07 Kyanja-Kisaasi'!N36,'31.07 Kyanja-Kisaasi'!N36,'02.08 Kyanja-Kisaasi'!N36,'01.08 Kyanja-Kisaasi-24h'!N36,'03.08 Kyanja-Kisaasi-24h'!N36,'04.08 Kyanja-Kisaasi'!N36)</f>
        <v>0</v>
      </c>
      <c r="O36" s="15">
        <f t="shared" si="0"/>
        <v>93.857142857142861</v>
      </c>
      <c r="P36" s="15">
        <f t="shared" si="1"/>
        <v>165.85714285714286</v>
      </c>
      <c r="R36" s="38" t="s">
        <v>92</v>
      </c>
      <c r="S36" s="39">
        <f t="shared" ref="S36:AF36" si="29">MAX(S19:S21)</f>
        <v>267.57142857142856</v>
      </c>
      <c r="T36" s="39">
        <f t="shared" si="29"/>
        <v>179</v>
      </c>
      <c r="U36" s="39">
        <f t="shared" si="29"/>
        <v>35</v>
      </c>
      <c r="V36" s="39">
        <f t="shared" si="29"/>
        <v>115.57142857142857</v>
      </c>
      <c r="W36" s="39">
        <f t="shared" si="29"/>
        <v>1.1428571428571428</v>
      </c>
      <c r="X36" s="39">
        <f t="shared" si="29"/>
        <v>0</v>
      </c>
      <c r="Y36" s="39">
        <f t="shared" si="29"/>
        <v>14.571428571428573</v>
      </c>
      <c r="Z36" s="39">
        <f t="shared" si="29"/>
        <v>6.4285714285714288</v>
      </c>
      <c r="AA36" s="39">
        <f t="shared" si="29"/>
        <v>6.8571428571428568</v>
      </c>
      <c r="AB36" s="39">
        <f t="shared" si="29"/>
        <v>0.8571428571428571</v>
      </c>
      <c r="AC36" s="39">
        <f t="shared" si="29"/>
        <v>443.28571428571433</v>
      </c>
      <c r="AD36" s="39">
        <f t="shared" si="29"/>
        <v>0</v>
      </c>
      <c r="AE36" s="40">
        <f t="shared" si="29"/>
        <v>591.42857142857133</v>
      </c>
      <c r="AF36" s="40">
        <f t="shared" si="29"/>
        <v>1034.7142857142858</v>
      </c>
    </row>
    <row r="37" spans="2:32" ht="23.1" customHeight="1" x14ac:dyDescent="0.25">
      <c r="B37" s="23" t="s">
        <v>64</v>
      </c>
      <c r="C37" s="49">
        <f>AVERAGE('29.07 Kyanja -Kisaasi'!C37,'30.07 Kyanja-Kisaasi'!C37,'31.07 Kyanja-Kisaasi'!C37,'02.08 Kyanja-Kisaasi'!C37,'01.08 Kyanja-Kisaasi-24h'!C37,'03.08 Kyanja-Kisaasi-24h'!C37,'04.08 Kyanja-Kisaasi'!C37)</f>
        <v>53</v>
      </c>
      <c r="D37" s="49">
        <f>AVERAGE('29.07 Kyanja -Kisaasi'!D37,'30.07 Kyanja-Kisaasi'!D37,'31.07 Kyanja-Kisaasi'!D37,'02.08 Kyanja-Kisaasi'!D37,'01.08 Kyanja-Kisaasi-24h'!D37,'03.08 Kyanja-Kisaasi-24h'!D37,'04.08 Kyanja-Kisaasi'!D37)</f>
        <v>20.714285714285715</v>
      </c>
      <c r="E37" s="49">
        <f>AVERAGE('29.07 Kyanja -Kisaasi'!E37,'30.07 Kyanja-Kisaasi'!E37,'31.07 Kyanja-Kisaasi'!E37,'02.08 Kyanja-Kisaasi'!E37,'01.08 Kyanja-Kisaasi-24h'!E37,'03.08 Kyanja-Kisaasi-24h'!E37,'04.08 Kyanja-Kisaasi'!E37)</f>
        <v>6.1428571428571432</v>
      </c>
      <c r="F37" s="49">
        <f>AVERAGE('29.07 Kyanja -Kisaasi'!F37,'30.07 Kyanja-Kisaasi'!F37,'31.07 Kyanja-Kisaasi'!F37,'02.08 Kyanja-Kisaasi'!F37,'01.08 Kyanja-Kisaasi-24h'!F37,'03.08 Kyanja-Kisaasi-24h'!F37,'04.08 Kyanja-Kisaasi'!F37)</f>
        <v>12.571428571428571</v>
      </c>
      <c r="G37" s="49">
        <f>AVERAGE('29.07 Kyanja -Kisaasi'!G37,'30.07 Kyanja-Kisaasi'!G37,'31.07 Kyanja-Kisaasi'!G37,'02.08 Kyanja-Kisaasi'!G37,'01.08 Kyanja-Kisaasi-24h'!G37,'03.08 Kyanja-Kisaasi-24h'!G37,'04.08 Kyanja-Kisaasi'!G37)</f>
        <v>0</v>
      </c>
      <c r="H37" s="49">
        <f>AVERAGE('29.07 Kyanja -Kisaasi'!H37,'30.07 Kyanja-Kisaasi'!H37,'31.07 Kyanja-Kisaasi'!H37,'02.08 Kyanja-Kisaasi'!H37,'01.08 Kyanja-Kisaasi-24h'!H37,'03.08 Kyanja-Kisaasi-24h'!H37,'04.08 Kyanja-Kisaasi'!H37)</f>
        <v>0</v>
      </c>
      <c r="I37" s="49">
        <f>AVERAGE('29.07 Kyanja -Kisaasi'!I37,'30.07 Kyanja-Kisaasi'!I37,'31.07 Kyanja-Kisaasi'!I37,'02.08 Kyanja-Kisaasi'!I37,'01.08 Kyanja-Kisaasi-24h'!I37,'03.08 Kyanja-Kisaasi-24h'!I37,'04.08 Kyanja-Kisaasi'!I37)</f>
        <v>3.4285714285714284</v>
      </c>
      <c r="J37" s="49">
        <f>AVERAGE('29.07 Kyanja -Kisaasi'!J37,'30.07 Kyanja-Kisaasi'!J37,'31.07 Kyanja-Kisaasi'!J37,'02.08 Kyanja-Kisaasi'!J37,'01.08 Kyanja-Kisaasi-24h'!J37,'03.08 Kyanja-Kisaasi-24h'!J37,'04.08 Kyanja-Kisaasi'!J37)</f>
        <v>1.7142857142857142</v>
      </c>
      <c r="K37" s="49">
        <f>AVERAGE('29.07 Kyanja -Kisaasi'!K37,'30.07 Kyanja-Kisaasi'!K37,'31.07 Kyanja-Kisaasi'!K37,'02.08 Kyanja-Kisaasi'!K37,'01.08 Kyanja-Kisaasi-24h'!K37,'03.08 Kyanja-Kisaasi-24h'!K37,'04.08 Kyanja-Kisaasi'!K37)</f>
        <v>1.8571428571428572</v>
      </c>
      <c r="L37" s="49">
        <f>AVERAGE('29.07 Kyanja -Kisaasi'!L37,'30.07 Kyanja-Kisaasi'!L37,'31.07 Kyanja-Kisaasi'!L37,'02.08 Kyanja-Kisaasi'!L37,'01.08 Kyanja-Kisaasi-24h'!L37,'03.08 Kyanja-Kisaasi-24h'!L37,'04.08 Kyanja-Kisaasi'!L37)</f>
        <v>0.2857142857142857</v>
      </c>
      <c r="M37" s="49">
        <f>AVERAGE('29.07 Kyanja -Kisaasi'!M37,'30.07 Kyanja-Kisaasi'!M37,'31.07 Kyanja-Kisaasi'!M37,'02.08 Kyanja-Kisaasi'!M37,'01.08 Kyanja-Kisaasi-24h'!M37,'03.08 Kyanja-Kisaasi-24h'!M37,'04.08 Kyanja-Kisaasi'!M37)</f>
        <v>69.428571428571431</v>
      </c>
      <c r="N37" s="49">
        <f>AVERAGE('29.07 Kyanja -Kisaasi'!N37,'30.07 Kyanja-Kisaasi'!N37,'31.07 Kyanja-Kisaasi'!N37,'02.08 Kyanja-Kisaasi'!N37,'01.08 Kyanja-Kisaasi-24h'!N37,'03.08 Kyanja-Kisaasi-24h'!N37,'04.08 Kyanja-Kisaasi'!N37)</f>
        <v>0</v>
      </c>
      <c r="O37" s="15">
        <f t="shared" si="0"/>
        <v>99.714285714285722</v>
      </c>
      <c r="P37" s="15">
        <f t="shared" si="1"/>
        <v>169.14285714285717</v>
      </c>
      <c r="R37" s="37" t="s">
        <v>85</v>
      </c>
      <c r="S37" s="35">
        <f t="shared" ref="S37:AF37" si="30">SUM(S10:S12)</f>
        <v>716</v>
      </c>
      <c r="T37" s="16">
        <f t="shared" si="30"/>
        <v>291.71428571428572</v>
      </c>
      <c r="U37" s="16">
        <f t="shared" si="30"/>
        <v>140.14285714285714</v>
      </c>
      <c r="V37" s="16">
        <f t="shared" si="30"/>
        <v>278.57142857142856</v>
      </c>
      <c r="W37" s="16">
        <f t="shared" si="30"/>
        <v>7.4285714285714288</v>
      </c>
      <c r="X37" s="16">
        <f t="shared" si="30"/>
        <v>0.42857142857142855</v>
      </c>
      <c r="Y37" s="16">
        <f t="shared" si="30"/>
        <v>42.571428571428577</v>
      </c>
      <c r="Z37" s="16">
        <f t="shared" si="30"/>
        <v>10.857142857142858</v>
      </c>
      <c r="AA37" s="16">
        <f t="shared" si="30"/>
        <v>19.142857142857146</v>
      </c>
      <c r="AB37" s="16">
        <f t="shared" si="30"/>
        <v>1.4285714285714284</v>
      </c>
      <c r="AC37" s="16">
        <f t="shared" si="30"/>
        <v>1446.2857142857142</v>
      </c>
      <c r="AD37" s="16">
        <f t="shared" si="30"/>
        <v>0</v>
      </c>
      <c r="AE37" s="32">
        <f t="shared" si="30"/>
        <v>1508.2857142857142</v>
      </c>
      <c r="AF37" s="32">
        <f t="shared" si="30"/>
        <v>2954.5714285714284</v>
      </c>
    </row>
    <row r="38" spans="2:32" ht="23.1" customHeight="1" x14ac:dyDescent="0.25">
      <c r="B38" s="24" t="s">
        <v>65</v>
      </c>
      <c r="C38" s="49">
        <f>AVERAGE('29.07 Kyanja -Kisaasi'!C38,'30.07 Kyanja-Kisaasi'!C38,'31.07 Kyanja-Kisaasi'!C38,'02.08 Kyanja-Kisaasi'!C38,'01.08 Kyanja-Kisaasi-24h'!C38,'03.08 Kyanja-Kisaasi-24h'!C38,'04.08 Kyanja-Kisaasi'!C38)</f>
        <v>51.428571428571431</v>
      </c>
      <c r="D38" s="49">
        <f>AVERAGE('29.07 Kyanja -Kisaasi'!D38,'30.07 Kyanja-Kisaasi'!D38,'31.07 Kyanja-Kisaasi'!D38,'02.08 Kyanja-Kisaasi'!D38,'01.08 Kyanja-Kisaasi-24h'!D38,'03.08 Kyanja-Kisaasi-24h'!D38,'04.08 Kyanja-Kisaasi'!D38)</f>
        <v>19.142857142857142</v>
      </c>
      <c r="E38" s="49">
        <f>AVERAGE('29.07 Kyanja -Kisaasi'!E38,'30.07 Kyanja-Kisaasi'!E38,'31.07 Kyanja-Kisaasi'!E38,'02.08 Kyanja-Kisaasi'!E38,'01.08 Kyanja-Kisaasi-24h'!E38,'03.08 Kyanja-Kisaasi-24h'!E38,'04.08 Kyanja-Kisaasi'!E38)</f>
        <v>5.5714285714285712</v>
      </c>
      <c r="F38" s="49">
        <f>AVERAGE('29.07 Kyanja -Kisaasi'!F38,'30.07 Kyanja-Kisaasi'!F38,'31.07 Kyanja-Kisaasi'!F38,'02.08 Kyanja-Kisaasi'!F38,'01.08 Kyanja-Kisaasi-24h'!F38,'03.08 Kyanja-Kisaasi-24h'!F38,'04.08 Kyanja-Kisaasi'!F38)</f>
        <v>10.714285714285714</v>
      </c>
      <c r="G38" s="49">
        <f>AVERAGE('29.07 Kyanja -Kisaasi'!G38,'30.07 Kyanja-Kisaasi'!G38,'31.07 Kyanja-Kisaasi'!G38,'02.08 Kyanja-Kisaasi'!G38,'01.08 Kyanja-Kisaasi-24h'!G38,'03.08 Kyanja-Kisaasi-24h'!G38,'04.08 Kyanja-Kisaasi'!G38)</f>
        <v>0</v>
      </c>
      <c r="H38" s="49">
        <f>AVERAGE('29.07 Kyanja -Kisaasi'!H38,'30.07 Kyanja-Kisaasi'!H38,'31.07 Kyanja-Kisaasi'!H38,'02.08 Kyanja-Kisaasi'!H38,'01.08 Kyanja-Kisaasi-24h'!H38,'03.08 Kyanja-Kisaasi-24h'!H38,'04.08 Kyanja-Kisaasi'!H38)</f>
        <v>0</v>
      </c>
      <c r="I38" s="49">
        <f>AVERAGE('29.07 Kyanja -Kisaasi'!I38,'30.07 Kyanja-Kisaasi'!I38,'31.07 Kyanja-Kisaasi'!I38,'02.08 Kyanja-Kisaasi'!I38,'01.08 Kyanja-Kisaasi-24h'!I38,'03.08 Kyanja-Kisaasi-24h'!I38,'04.08 Kyanja-Kisaasi'!I38)</f>
        <v>3.7142857142857144</v>
      </c>
      <c r="J38" s="49">
        <f>AVERAGE('29.07 Kyanja -Kisaasi'!J38,'30.07 Kyanja-Kisaasi'!J38,'31.07 Kyanja-Kisaasi'!J38,'02.08 Kyanja-Kisaasi'!J38,'01.08 Kyanja-Kisaasi-24h'!J38,'03.08 Kyanja-Kisaasi-24h'!J38,'04.08 Kyanja-Kisaasi'!J38)</f>
        <v>1.5714285714285714</v>
      </c>
      <c r="K38" s="49">
        <f>AVERAGE('29.07 Kyanja -Kisaasi'!K38,'30.07 Kyanja-Kisaasi'!K38,'31.07 Kyanja-Kisaasi'!K38,'02.08 Kyanja-Kisaasi'!K38,'01.08 Kyanja-Kisaasi-24h'!K38,'03.08 Kyanja-Kisaasi-24h'!K38,'04.08 Kyanja-Kisaasi'!K38)</f>
        <v>1.1428571428571428</v>
      </c>
      <c r="L38" s="49">
        <f>AVERAGE('29.07 Kyanja -Kisaasi'!L38,'30.07 Kyanja-Kisaasi'!L38,'31.07 Kyanja-Kisaasi'!L38,'02.08 Kyanja-Kisaasi'!L38,'01.08 Kyanja-Kisaasi-24h'!L38,'03.08 Kyanja-Kisaasi-24h'!L38,'04.08 Kyanja-Kisaasi'!L38)</f>
        <v>0.2857142857142857</v>
      </c>
      <c r="M38" s="49">
        <f>AVERAGE('29.07 Kyanja -Kisaasi'!M38,'30.07 Kyanja-Kisaasi'!M38,'31.07 Kyanja-Kisaasi'!M38,'02.08 Kyanja-Kisaasi'!M38,'01.08 Kyanja-Kisaasi-24h'!M38,'03.08 Kyanja-Kisaasi-24h'!M38,'04.08 Kyanja-Kisaasi'!M38)</f>
        <v>80.142857142857139</v>
      </c>
      <c r="N38" s="49">
        <f>AVERAGE('29.07 Kyanja -Kisaasi'!N38,'30.07 Kyanja-Kisaasi'!N38,'31.07 Kyanja-Kisaasi'!N38,'02.08 Kyanja-Kisaasi'!N38,'01.08 Kyanja-Kisaasi-24h'!N38,'03.08 Kyanja-Kisaasi-24h'!N38,'04.08 Kyanja-Kisaasi'!N38)</f>
        <v>0</v>
      </c>
      <c r="O38" s="15">
        <f t="shared" si="0"/>
        <v>93.571428571428555</v>
      </c>
      <c r="P38" s="15">
        <f t="shared" si="1"/>
        <v>173.71428571428569</v>
      </c>
      <c r="R38" s="28" t="s">
        <v>86</v>
      </c>
      <c r="S38" s="16">
        <f t="shared" ref="S38:AF38" si="31">SUM(S13:S18)</f>
        <v>1267.1428571428573</v>
      </c>
      <c r="T38" s="16">
        <f t="shared" si="31"/>
        <v>604.28571428571422</v>
      </c>
      <c r="U38" s="16">
        <f t="shared" si="31"/>
        <v>160</v>
      </c>
      <c r="V38" s="16">
        <f t="shared" si="31"/>
        <v>324.85714285714289</v>
      </c>
      <c r="W38" s="16">
        <f t="shared" si="31"/>
        <v>2.1428571428571423</v>
      </c>
      <c r="X38" s="16">
        <f t="shared" si="31"/>
        <v>1.2857142857142856</v>
      </c>
      <c r="Y38" s="16">
        <f t="shared" si="31"/>
        <v>95.857142857142847</v>
      </c>
      <c r="Z38" s="16">
        <f t="shared" si="31"/>
        <v>41</v>
      </c>
      <c r="AA38" s="16">
        <f t="shared" si="31"/>
        <v>43.857142857142854</v>
      </c>
      <c r="AB38" s="16">
        <f t="shared" si="31"/>
        <v>6.1428571428571423</v>
      </c>
      <c r="AC38" s="16">
        <f t="shared" si="31"/>
        <v>2000.2857142857142</v>
      </c>
      <c r="AD38" s="16">
        <f t="shared" si="31"/>
        <v>0.2857142857142857</v>
      </c>
      <c r="AE38" s="32">
        <f t="shared" si="31"/>
        <v>2546.8571428571431</v>
      </c>
      <c r="AF38" s="32">
        <f t="shared" si="31"/>
        <v>4547.1428571428569</v>
      </c>
    </row>
    <row r="39" spans="2:32" ht="23.1" customHeight="1" x14ac:dyDescent="0.25">
      <c r="B39" s="24" t="s">
        <v>66</v>
      </c>
      <c r="C39" s="49">
        <f>AVERAGE('29.07 Kyanja -Kisaasi'!C39,'30.07 Kyanja-Kisaasi'!C39,'31.07 Kyanja-Kisaasi'!C39,'02.08 Kyanja-Kisaasi'!C39,'01.08 Kyanja-Kisaasi-24h'!C39,'03.08 Kyanja-Kisaasi-24h'!C39,'04.08 Kyanja-Kisaasi'!C39)</f>
        <v>53.714285714285715</v>
      </c>
      <c r="D39" s="49">
        <f>AVERAGE('29.07 Kyanja -Kisaasi'!D39,'30.07 Kyanja-Kisaasi'!D39,'31.07 Kyanja-Kisaasi'!D39,'02.08 Kyanja-Kisaasi'!D39,'01.08 Kyanja-Kisaasi-24h'!D39,'03.08 Kyanja-Kisaasi-24h'!D39,'04.08 Kyanja-Kisaasi'!D39)</f>
        <v>21.428571428571427</v>
      </c>
      <c r="E39" s="49">
        <f>AVERAGE('29.07 Kyanja -Kisaasi'!E39,'30.07 Kyanja-Kisaasi'!E39,'31.07 Kyanja-Kisaasi'!E39,'02.08 Kyanja-Kisaasi'!E39,'01.08 Kyanja-Kisaasi-24h'!E39,'03.08 Kyanja-Kisaasi-24h'!E39,'04.08 Kyanja-Kisaasi'!E39)</f>
        <v>8</v>
      </c>
      <c r="F39" s="49">
        <f>AVERAGE('29.07 Kyanja -Kisaasi'!F39,'30.07 Kyanja-Kisaasi'!F39,'31.07 Kyanja-Kisaasi'!F39,'02.08 Kyanja-Kisaasi'!F39,'01.08 Kyanja-Kisaasi-24h'!F39,'03.08 Kyanja-Kisaasi-24h'!F39,'04.08 Kyanja-Kisaasi'!F39)</f>
        <v>13.571428571428571</v>
      </c>
      <c r="G39" s="49">
        <f>AVERAGE('29.07 Kyanja -Kisaasi'!G39,'30.07 Kyanja-Kisaasi'!G39,'31.07 Kyanja-Kisaasi'!G39,'02.08 Kyanja-Kisaasi'!G39,'01.08 Kyanja-Kisaasi-24h'!G39,'03.08 Kyanja-Kisaasi-24h'!G39,'04.08 Kyanja-Kisaasi'!G39)</f>
        <v>0</v>
      </c>
      <c r="H39" s="49">
        <f>AVERAGE('29.07 Kyanja -Kisaasi'!H39,'30.07 Kyanja-Kisaasi'!H39,'31.07 Kyanja-Kisaasi'!H39,'02.08 Kyanja-Kisaasi'!H39,'01.08 Kyanja-Kisaasi-24h'!H39,'03.08 Kyanja-Kisaasi-24h'!H39,'04.08 Kyanja-Kisaasi'!H39)</f>
        <v>0</v>
      </c>
      <c r="I39" s="49">
        <f>AVERAGE('29.07 Kyanja -Kisaasi'!I39,'30.07 Kyanja-Kisaasi'!I39,'31.07 Kyanja-Kisaasi'!I39,'02.08 Kyanja-Kisaasi'!I39,'01.08 Kyanja-Kisaasi-24h'!I39,'03.08 Kyanja-Kisaasi-24h'!I39,'04.08 Kyanja-Kisaasi'!I39)</f>
        <v>3.5714285714285716</v>
      </c>
      <c r="J39" s="49">
        <f>AVERAGE('29.07 Kyanja -Kisaasi'!J39,'30.07 Kyanja-Kisaasi'!J39,'31.07 Kyanja-Kisaasi'!J39,'02.08 Kyanja-Kisaasi'!J39,'01.08 Kyanja-Kisaasi-24h'!J39,'03.08 Kyanja-Kisaasi-24h'!J39,'04.08 Kyanja-Kisaasi'!J39)</f>
        <v>1.1428571428571428</v>
      </c>
      <c r="K39" s="49">
        <f>AVERAGE('29.07 Kyanja -Kisaasi'!K39,'30.07 Kyanja-Kisaasi'!K39,'31.07 Kyanja-Kisaasi'!K39,'02.08 Kyanja-Kisaasi'!K39,'01.08 Kyanja-Kisaasi-24h'!K39,'03.08 Kyanja-Kisaasi-24h'!K39,'04.08 Kyanja-Kisaasi'!K39)</f>
        <v>0.7142857142857143</v>
      </c>
      <c r="L39" s="49">
        <f>AVERAGE('29.07 Kyanja -Kisaasi'!L39,'30.07 Kyanja-Kisaasi'!L39,'31.07 Kyanja-Kisaasi'!L39,'02.08 Kyanja-Kisaasi'!L39,'01.08 Kyanja-Kisaasi-24h'!L39,'03.08 Kyanja-Kisaasi-24h'!L39,'04.08 Kyanja-Kisaasi'!L39)</f>
        <v>0.14285714285714285</v>
      </c>
      <c r="M39" s="49">
        <f>AVERAGE('29.07 Kyanja -Kisaasi'!M39,'30.07 Kyanja-Kisaasi'!M39,'31.07 Kyanja-Kisaasi'!M39,'02.08 Kyanja-Kisaasi'!M39,'01.08 Kyanja-Kisaasi-24h'!M39,'03.08 Kyanja-Kisaasi-24h'!M39,'04.08 Kyanja-Kisaasi'!M39)</f>
        <v>84.714285714285708</v>
      </c>
      <c r="N39" s="49">
        <f>AVERAGE('29.07 Kyanja -Kisaasi'!N39,'30.07 Kyanja-Kisaasi'!N39,'31.07 Kyanja-Kisaasi'!N39,'02.08 Kyanja-Kisaasi'!N39,'01.08 Kyanja-Kisaasi-24h'!N39,'03.08 Kyanja-Kisaasi-24h'!N39,'04.08 Kyanja-Kisaasi'!N39)</f>
        <v>0</v>
      </c>
      <c r="O39" s="15">
        <f t="shared" si="0"/>
        <v>102.28571428571426</v>
      </c>
      <c r="P39" s="15">
        <f t="shared" si="1"/>
        <v>186.99999999999997</v>
      </c>
      <c r="R39" s="29" t="s">
        <v>87</v>
      </c>
      <c r="S39" s="16">
        <f t="shared" ref="S39:AF39" si="32">SUM(S19:S21)</f>
        <v>730.71428571428567</v>
      </c>
      <c r="T39" s="16">
        <f t="shared" si="32"/>
        <v>441.85714285714283</v>
      </c>
      <c r="U39" s="16">
        <f t="shared" si="32"/>
        <v>97.571428571428569</v>
      </c>
      <c r="V39" s="16">
        <f t="shared" si="32"/>
        <v>239.14285714285717</v>
      </c>
      <c r="W39" s="16">
        <f t="shared" si="32"/>
        <v>3.2857142857142856</v>
      </c>
      <c r="X39" s="16">
        <f t="shared" si="32"/>
        <v>0</v>
      </c>
      <c r="Y39" s="16">
        <f t="shared" si="32"/>
        <v>33</v>
      </c>
      <c r="Z39" s="16">
        <f t="shared" si="32"/>
        <v>16</v>
      </c>
      <c r="AA39" s="16">
        <f t="shared" si="32"/>
        <v>14.285714285714285</v>
      </c>
      <c r="AB39" s="16">
        <f t="shared" si="32"/>
        <v>1.5714285714285712</v>
      </c>
      <c r="AC39" s="16">
        <f t="shared" si="32"/>
        <v>1213.7142857142858</v>
      </c>
      <c r="AD39" s="16">
        <f t="shared" si="32"/>
        <v>0</v>
      </c>
      <c r="AE39" s="32">
        <f t="shared" si="32"/>
        <v>1577.4285714285713</v>
      </c>
      <c r="AF39" s="32">
        <f t="shared" si="32"/>
        <v>2791.1428571428569</v>
      </c>
    </row>
    <row r="40" spans="2:32" ht="23.1" customHeight="1" x14ac:dyDescent="0.25">
      <c r="B40" s="24" t="s">
        <v>67</v>
      </c>
      <c r="C40" s="49">
        <f>AVERAGE('29.07 Kyanja -Kisaasi'!C40,'30.07 Kyanja-Kisaasi'!C40,'31.07 Kyanja-Kisaasi'!C40,'02.08 Kyanja-Kisaasi'!C40,'01.08 Kyanja-Kisaasi-24h'!C40,'03.08 Kyanja-Kisaasi-24h'!C40,'04.08 Kyanja-Kisaasi'!C40)</f>
        <v>50.857142857142854</v>
      </c>
      <c r="D40" s="49">
        <f>AVERAGE('29.07 Kyanja -Kisaasi'!D40,'30.07 Kyanja-Kisaasi'!D40,'31.07 Kyanja-Kisaasi'!D40,'02.08 Kyanja-Kisaasi'!D40,'01.08 Kyanja-Kisaasi-24h'!D40,'03.08 Kyanja-Kisaasi-24h'!D40,'04.08 Kyanja-Kisaasi'!D40)</f>
        <v>28.571428571428573</v>
      </c>
      <c r="E40" s="49">
        <f>AVERAGE('29.07 Kyanja -Kisaasi'!E40,'30.07 Kyanja-Kisaasi'!E40,'31.07 Kyanja-Kisaasi'!E40,'02.08 Kyanja-Kisaasi'!E40,'01.08 Kyanja-Kisaasi-24h'!E40,'03.08 Kyanja-Kisaasi-24h'!E40,'04.08 Kyanja-Kisaasi'!E40)</f>
        <v>5</v>
      </c>
      <c r="F40" s="49">
        <f>AVERAGE('29.07 Kyanja -Kisaasi'!F40,'30.07 Kyanja-Kisaasi'!F40,'31.07 Kyanja-Kisaasi'!F40,'02.08 Kyanja-Kisaasi'!F40,'01.08 Kyanja-Kisaasi-24h'!F40,'03.08 Kyanja-Kisaasi-24h'!F40,'04.08 Kyanja-Kisaasi'!F40)</f>
        <v>12.285714285714286</v>
      </c>
      <c r="G40" s="49">
        <f>AVERAGE('29.07 Kyanja -Kisaasi'!G40,'30.07 Kyanja-Kisaasi'!G40,'31.07 Kyanja-Kisaasi'!G40,'02.08 Kyanja-Kisaasi'!G40,'01.08 Kyanja-Kisaasi-24h'!G40,'03.08 Kyanja-Kisaasi-24h'!G40,'04.08 Kyanja-Kisaasi'!G40)</f>
        <v>0.14285714285714285</v>
      </c>
      <c r="H40" s="49">
        <f>AVERAGE('29.07 Kyanja -Kisaasi'!H40,'30.07 Kyanja-Kisaasi'!H40,'31.07 Kyanja-Kisaasi'!H40,'02.08 Kyanja-Kisaasi'!H40,'01.08 Kyanja-Kisaasi-24h'!H40,'03.08 Kyanja-Kisaasi-24h'!H40,'04.08 Kyanja-Kisaasi'!H40)</f>
        <v>0.2857142857142857</v>
      </c>
      <c r="I40" s="49">
        <f>AVERAGE('29.07 Kyanja -Kisaasi'!I40,'30.07 Kyanja-Kisaasi'!I40,'31.07 Kyanja-Kisaasi'!I40,'02.08 Kyanja-Kisaasi'!I40,'01.08 Kyanja-Kisaasi-24h'!I40,'03.08 Kyanja-Kisaasi-24h'!I40,'04.08 Kyanja-Kisaasi'!I40)</f>
        <v>4.8571428571428568</v>
      </c>
      <c r="J40" s="49">
        <f>AVERAGE('29.07 Kyanja -Kisaasi'!J40,'30.07 Kyanja-Kisaasi'!J40,'31.07 Kyanja-Kisaasi'!J40,'02.08 Kyanja-Kisaasi'!J40,'01.08 Kyanja-Kisaasi-24h'!J40,'03.08 Kyanja-Kisaasi-24h'!J40,'04.08 Kyanja-Kisaasi'!J40)</f>
        <v>1.8571428571428572</v>
      </c>
      <c r="K40" s="49">
        <f>AVERAGE('29.07 Kyanja -Kisaasi'!K40,'30.07 Kyanja-Kisaasi'!K40,'31.07 Kyanja-Kisaasi'!K40,'02.08 Kyanja-Kisaasi'!K40,'01.08 Kyanja-Kisaasi-24h'!K40,'03.08 Kyanja-Kisaasi-24h'!K40,'04.08 Kyanja-Kisaasi'!K40)</f>
        <v>1.8571428571428572</v>
      </c>
      <c r="L40" s="49">
        <f>AVERAGE('29.07 Kyanja -Kisaasi'!L40,'30.07 Kyanja-Kisaasi'!L40,'31.07 Kyanja-Kisaasi'!L40,'02.08 Kyanja-Kisaasi'!L40,'01.08 Kyanja-Kisaasi-24h'!L40,'03.08 Kyanja-Kisaasi-24h'!L40,'04.08 Kyanja-Kisaasi'!L40)</f>
        <v>0.2857142857142857</v>
      </c>
      <c r="M40" s="49">
        <f>AVERAGE('29.07 Kyanja -Kisaasi'!M40,'30.07 Kyanja-Kisaasi'!M40,'31.07 Kyanja-Kisaasi'!M40,'02.08 Kyanja-Kisaasi'!M40,'01.08 Kyanja-Kisaasi-24h'!M40,'03.08 Kyanja-Kisaasi-24h'!M40,'04.08 Kyanja-Kisaasi'!M40)</f>
        <v>93.285714285714292</v>
      </c>
      <c r="N40" s="49">
        <f>AVERAGE('29.07 Kyanja -Kisaasi'!N40,'30.07 Kyanja-Kisaasi'!N40,'31.07 Kyanja-Kisaasi'!N40,'02.08 Kyanja-Kisaasi'!N40,'01.08 Kyanja-Kisaasi-24h'!N40,'03.08 Kyanja-Kisaasi-24h'!N40,'04.08 Kyanja-Kisaasi'!N40)</f>
        <v>0</v>
      </c>
      <c r="O40" s="15">
        <f t="shared" si="0"/>
        <v>106.00000000000003</v>
      </c>
      <c r="P40" s="15">
        <f t="shared" si="1"/>
        <v>199.28571428571433</v>
      </c>
      <c r="R40" s="5" t="s">
        <v>17</v>
      </c>
      <c r="S40" s="16">
        <f t="shared" ref="S40:AF40" si="33">SUM(S10:S21)</f>
        <v>2713.8571428571427</v>
      </c>
      <c r="T40" s="16">
        <f t="shared" si="33"/>
        <v>1337.8571428571429</v>
      </c>
      <c r="U40" s="16">
        <f t="shared" si="33"/>
        <v>397.71428571428572</v>
      </c>
      <c r="V40" s="16">
        <f t="shared" si="33"/>
        <v>842.57142857142856</v>
      </c>
      <c r="W40" s="16">
        <f t="shared" si="33"/>
        <v>12.857142857142856</v>
      </c>
      <c r="X40" s="16">
        <f t="shared" si="33"/>
        <v>1.7142857142857142</v>
      </c>
      <c r="Y40" s="16">
        <f t="shared" si="33"/>
        <v>171.42857142857147</v>
      </c>
      <c r="Z40" s="16">
        <f t="shared" si="33"/>
        <v>67.857142857142861</v>
      </c>
      <c r="AA40" s="16">
        <f t="shared" si="33"/>
        <v>77.285714285714278</v>
      </c>
      <c r="AB40" s="16">
        <f t="shared" si="33"/>
        <v>9.1428571428571423</v>
      </c>
      <c r="AC40" s="16">
        <f t="shared" si="33"/>
        <v>4660.2857142857147</v>
      </c>
      <c r="AD40" s="16">
        <f t="shared" si="33"/>
        <v>0.2857142857142857</v>
      </c>
      <c r="AE40" s="32">
        <f t="shared" si="33"/>
        <v>5632.5714285714284</v>
      </c>
      <c r="AF40" s="32">
        <f t="shared" si="33"/>
        <v>10292.857142857143</v>
      </c>
    </row>
    <row r="41" spans="2:32" ht="23.1" customHeight="1" x14ac:dyDescent="0.25">
      <c r="B41" s="23" t="s">
        <v>68</v>
      </c>
      <c r="C41" s="49">
        <f>AVERAGE('29.07 Kyanja -Kisaasi'!C41,'30.07 Kyanja-Kisaasi'!C41,'31.07 Kyanja-Kisaasi'!C41,'02.08 Kyanja-Kisaasi'!C41,'01.08 Kyanja-Kisaasi-24h'!C41,'03.08 Kyanja-Kisaasi-24h'!C41,'04.08 Kyanja-Kisaasi'!C41)</f>
        <v>51.142857142857146</v>
      </c>
      <c r="D41" s="49">
        <f>AVERAGE('29.07 Kyanja -Kisaasi'!D41,'30.07 Kyanja-Kisaasi'!D41,'31.07 Kyanja-Kisaasi'!D41,'02.08 Kyanja-Kisaasi'!D41,'01.08 Kyanja-Kisaasi-24h'!D41,'03.08 Kyanja-Kisaasi-24h'!D41,'04.08 Kyanja-Kisaasi'!D41)</f>
        <v>36.428571428571431</v>
      </c>
      <c r="E41" s="49">
        <f>AVERAGE('29.07 Kyanja -Kisaasi'!E41,'30.07 Kyanja-Kisaasi'!E41,'31.07 Kyanja-Kisaasi'!E41,'02.08 Kyanja-Kisaasi'!E41,'01.08 Kyanja-Kisaasi-24h'!E41,'03.08 Kyanja-Kisaasi-24h'!E41,'04.08 Kyanja-Kisaasi'!E41)</f>
        <v>7.2857142857142856</v>
      </c>
      <c r="F41" s="49">
        <f>AVERAGE('29.07 Kyanja -Kisaasi'!F41,'30.07 Kyanja-Kisaasi'!F41,'31.07 Kyanja-Kisaasi'!F41,'02.08 Kyanja-Kisaasi'!F41,'01.08 Kyanja-Kisaasi-24h'!F41,'03.08 Kyanja-Kisaasi-24h'!F41,'04.08 Kyanja-Kisaasi'!F41)</f>
        <v>10.714285714285714</v>
      </c>
      <c r="G41" s="49">
        <f>AVERAGE('29.07 Kyanja -Kisaasi'!G41,'30.07 Kyanja-Kisaasi'!G41,'31.07 Kyanja-Kisaasi'!G41,'02.08 Kyanja-Kisaasi'!G41,'01.08 Kyanja-Kisaasi-24h'!G41,'03.08 Kyanja-Kisaasi-24h'!G41,'04.08 Kyanja-Kisaasi'!G41)</f>
        <v>0</v>
      </c>
      <c r="H41" s="49">
        <f>AVERAGE('29.07 Kyanja -Kisaasi'!H41,'30.07 Kyanja-Kisaasi'!H41,'31.07 Kyanja-Kisaasi'!H41,'02.08 Kyanja-Kisaasi'!H41,'01.08 Kyanja-Kisaasi-24h'!H41,'03.08 Kyanja-Kisaasi-24h'!H41,'04.08 Kyanja-Kisaasi'!H41)</f>
        <v>0.14285714285714285</v>
      </c>
      <c r="I41" s="49">
        <f>AVERAGE('29.07 Kyanja -Kisaasi'!I41,'30.07 Kyanja-Kisaasi'!I41,'31.07 Kyanja-Kisaasi'!I41,'02.08 Kyanja-Kisaasi'!I41,'01.08 Kyanja-Kisaasi-24h'!I41,'03.08 Kyanja-Kisaasi-24h'!I41,'04.08 Kyanja-Kisaasi'!I41)</f>
        <v>3.8571428571428572</v>
      </c>
      <c r="J41" s="49">
        <f>AVERAGE('29.07 Kyanja -Kisaasi'!J41,'30.07 Kyanja-Kisaasi'!J41,'31.07 Kyanja-Kisaasi'!J41,'02.08 Kyanja-Kisaasi'!J41,'01.08 Kyanja-Kisaasi-24h'!J41,'03.08 Kyanja-Kisaasi-24h'!J41,'04.08 Kyanja-Kisaasi'!J41)</f>
        <v>1.8571428571428572</v>
      </c>
      <c r="K41" s="49">
        <f>AVERAGE('29.07 Kyanja -Kisaasi'!K41,'30.07 Kyanja-Kisaasi'!K41,'31.07 Kyanja-Kisaasi'!K41,'02.08 Kyanja-Kisaasi'!K41,'01.08 Kyanja-Kisaasi-24h'!K41,'03.08 Kyanja-Kisaasi-24h'!K41,'04.08 Kyanja-Kisaasi'!K41)</f>
        <v>2</v>
      </c>
      <c r="L41" s="49">
        <f>AVERAGE('29.07 Kyanja -Kisaasi'!L41,'30.07 Kyanja-Kisaasi'!L41,'31.07 Kyanja-Kisaasi'!L41,'02.08 Kyanja-Kisaasi'!L41,'01.08 Kyanja-Kisaasi-24h'!L41,'03.08 Kyanja-Kisaasi-24h'!L41,'04.08 Kyanja-Kisaasi'!L41)</f>
        <v>0.14285714285714285</v>
      </c>
      <c r="M41" s="49">
        <f>AVERAGE('29.07 Kyanja -Kisaasi'!M41,'30.07 Kyanja-Kisaasi'!M41,'31.07 Kyanja-Kisaasi'!M41,'02.08 Kyanja-Kisaasi'!M41,'01.08 Kyanja-Kisaasi-24h'!M41,'03.08 Kyanja-Kisaasi-24h'!M41,'04.08 Kyanja-Kisaasi'!M41)</f>
        <v>74.857142857142861</v>
      </c>
      <c r="N41" s="49">
        <f>AVERAGE('29.07 Kyanja -Kisaasi'!N41,'30.07 Kyanja-Kisaasi'!N41,'31.07 Kyanja-Kisaasi'!N41,'02.08 Kyanja-Kisaasi'!N41,'01.08 Kyanja-Kisaasi-24h'!N41,'03.08 Kyanja-Kisaasi-24h'!N41,'04.08 Kyanja-Kisaasi'!N41)</f>
        <v>0.14285714285714285</v>
      </c>
      <c r="O41" s="15">
        <f t="shared" si="0"/>
        <v>113.71428571428572</v>
      </c>
      <c r="P41" s="15">
        <f t="shared" si="1"/>
        <v>188.57142857142858</v>
      </c>
      <c r="R41" s="5" t="s">
        <v>186</v>
      </c>
      <c r="S41" s="16">
        <f>SUM(S10:S33)</f>
        <v>4875.4285714285706</v>
      </c>
      <c r="T41" s="16">
        <f t="shared" ref="T41:AD41" si="34">SUM(T10:T33)</f>
        <v>2287.7142857142853</v>
      </c>
      <c r="U41" s="16">
        <f t="shared" si="34"/>
        <v>654.14285714285711</v>
      </c>
      <c r="V41" s="16">
        <f t="shared" si="34"/>
        <v>1449.1428571428571</v>
      </c>
      <c r="W41" s="16">
        <f t="shared" si="34"/>
        <v>27.928571428571427</v>
      </c>
      <c r="X41" s="16">
        <f t="shared" si="34"/>
        <v>1.7142857142857142</v>
      </c>
      <c r="Y41" s="16">
        <f t="shared" si="34"/>
        <v>256.35714285714289</v>
      </c>
      <c r="Z41" s="16">
        <f t="shared" si="34"/>
        <v>104.28571428571429</v>
      </c>
      <c r="AA41" s="16">
        <f t="shared" si="34"/>
        <v>103.42857142857143</v>
      </c>
      <c r="AB41" s="16">
        <f t="shared" si="34"/>
        <v>13.142857142857142</v>
      </c>
      <c r="AC41" s="16">
        <f t="shared" si="34"/>
        <v>9778.1428571428587</v>
      </c>
      <c r="AD41" s="16">
        <f t="shared" si="34"/>
        <v>0.2857142857142857</v>
      </c>
      <c r="AE41" s="32">
        <f>SUM(AE10:AE33)</f>
        <v>9773.5714285714275</v>
      </c>
      <c r="AF41" s="32">
        <f>SUM(AF10:AF33)</f>
        <v>19551.71428571429</v>
      </c>
    </row>
    <row r="42" spans="2:32" ht="23.1" customHeight="1" x14ac:dyDescent="0.25">
      <c r="B42" s="24" t="s">
        <v>69</v>
      </c>
      <c r="C42" s="49">
        <f>AVERAGE('29.07 Kyanja -Kisaasi'!C42,'30.07 Kyanja-Kisaasi'!C42,'31.07 Kyanja-Kisaasi'!C42,'02.08 Kyanja-Kisaasi'!C42,'01.08 Kyanja-Kisaasi-24h'!C42,'03.08 Kyanja-Kisaasi-24h'!C42,'04.08 Kyanja-Kisaasi'!C42)</f>
        <v>47.857142857142854</v>
      </c>
      <c r="D42" s="49">
        <f>AVERAGE('29.07 Kyanja -Kisaasi'!D42,'30.07 Kyanja-Kisaasi'!D42,'31.07 Kyanja-Kisaasi'!D42,'02.08 Kyanja-Kisaasi'!D42,'01.08 Kyanja-Kisaasi-24h'!D42,'03.08 Kyanja-Kisaasi-24h'!D42,'04.08 Kyanja-Kisaasi'!D42)</f>
        <v>23.285714285714285</v>
      </c>
      <c r="E42" s="49">
        <f>AVERAGE('29.07 Kyanja -Kisaasi'!E42,'30.07 Kyanja-Kisaasi'!E42,'31.07 Kyanja-Kisaasi'!E42,'02.08 Kyanja-Kisaasi'!E42,'01.08 Kyanja-Kisaasi-24h'!E42,'03.08 Kyanja-Kisaasi-24h'!E42,'04.08 Kyanja-Kisaasi'!E42)</f>
        <v>8.5714285714285712</v>
      </c>
      <c r="F42" s="49">
        <f>AVERAGE('29.07 Kyanja -Kisaasi'!F42,'30.07 Kyanja-Kisaasi'!F42,'31.07 Kyanja-Kisaasi'!F42,'02.08 Kyanja-Kisaasi'!F42,'01.08 Kyanja-Kisaasi-24h'!F42,'03.08 Kyanja-Kisaasi-24h'!F42,'04.08 Kyanja-Kisaasi'!F42)</f>
        <v>13.142857142857142</v>
      </c>
      <c r="G42" s="49">
        <f>AVERAGE('29.07 Kyanja -Kisaasi'!G42,'30.07 Kyanja-Kisaasi'!G42,'31.07 Kyanja-Kisaasi'!G42,'02.08 Kyanja-Kisaasi'!G42,'01.08 Kyanja-Kisaasi-24h'!G42,'03.08 Kyanja-Kisaasi-24h'!G42,'04.08 Kyanja-Kisaasi'!G42)</f>
        <v>0</v>
      </c>
      <c r="H42" s="49">
        <f>AVERAGE('29.07 Kyanja -Kisaasi'!H42,'30.07 Kyanja-Kisaasi'!H42,'31.07 Kyanja-Kisaasi'!H42,'02.08 Kyanja-Kisaasi'!H42,'01.08 Kyanja-Kisaasi-24h'!H42,'03.08 Kyanja-Kisaasi-24h'!H42,'04.08 Kyanja-Kisaasi'!H42)</f>
        <v>0</v>
      </c>
      <c r="I42" s="49">
        <f>AVERAGE('29.07 Kyanja -Kisaasi'!I42,'30.07 Kyanja-Kisaasi'!I42,'31.07 Kyanja-Kisaasi'!I42,'02.08 Kyanja-Kisaasi'!I42,'01.08 Kyanja-Kisaasi-24h'!I42,'03.08 Kyanja-Kisaasi-24h'!I42,'04.08 Kyanja-Kisaasi'!I42)</f>
        <v>4</v>
      </c>
      <c r="J42" s="49">
        <f>AVERAGE('29.07 Kyanja -Kisaasi'!J42,'30.07 Kyanja-Kisaasi'!J42,'31.07 Kyanja-Kisaasi'!J42,'02.08 Kyanja-Kisaasi'!J42,'01.08 Kyanja-Kisaasi-24h'!J42,'03.08 Kyanja-Kisaasi-24h'!J42,'04.08 Kyanja-Kisaasi'!J42)</f>
        <v>2.8571428571428572</v>
      </c>
      <c r="K42" s="49">
        <f>AVERAGE('29.07 Kyanja -Kisaasi'!K42,'30.07 Kyanja-Kisaasi'!K42,'31.07 Kyanja-Kisaasi'!K42,'02.08 Kyanja-Kisaasi'!K42,'01.08 Kyanja-Kisaasi-24h'!K42,'03.08 Kyanja-Kisaasi-24h'!K42,'04.08 Kyanja-Kisaasi'!K42)</f>
        <v>1.4285714285714286</v>
      </c>
      <c r="L42" s="49">
        <f>AVERAGE('29.07 Kyanja -Kisaasi'!L42,'30.07 Kyanja-Kisaasi'!L42,'31.07 Kyanja-Kisaasi'!L42,'02.08 Kyanja-Kisaasi'!L42,'01.08 Kyanja-Kisaasi-24h'!L42,'03.08 Kyanja-Kisaasi-24h'!L42,'04.08 Kyanja-Kisaasi'!L42)</f>
        <v>0.14285714285714285</v>
      </c>
      <c r="M42" s="49">
        <f>AVERAGE('29.07 Kyanja -Kisaasi'!M42,'30.07 Kyanja-Kisaasi'!M42,'31.07 Kyanja-Kisaasi'!M42,'02.08 Kyanja-Kisaasi'!M42,'01.08 Kyanja-Kisaasi-24h'!M42,'03.08 Kyanja-Kisaasi-24h'!M42,'04.08 Kyanja-Kisaasi'!M42)</f>
        <v>82.142857142857139</v>
      </c>
      <c r="N42" s="49">
        <f>AVERAGE('29.07 Kyanja -Kisaasi'!N42,'30.07 Kyanja-Kisaasi'!N42,'31.07 Kyanja-Kisaasi'!N42,'02.08 Kyanja-Kisaasi'!N42,'01.08 Kyanja-Kisaasi-24h'!N42,'03.08 Kyanja-Kisaasi-24h'!N42,'04.08 Kyanja-Kisaasi'!N42)</f>
        <v>0.14285714285714285</v>
      </c>
      <c r="O42" s="15">
        <f t="shared" si="0"/>
        <v>101.42857142857142</v>
      </c>
      <c r="P42" s="15">
        <f t="shared" si="1"/>
        <v>183.57142857142856</v>
      </c>
      <c r="R42" s="5" t="s">
        <v>160</v>
      </c>
      <c r="S42" s="48">
        <f>S41/S40</f>
        <v>1.7964941832920986</v>
      </c>
      <c r="T42" s="48">
        <f t="shared" ref="T42:AF42" si="35">T41/T40</f>
        <v>1.7099839829151091</v>
      </c>
      <c r="U42" s="48">
        <f t="shared" si="35"/>
        <v>1.6447557471264367</v>
      </c>
      <c r="V42" s="48">
        <f t="shared" si="35"/>
        <v>1.71990505256019</v>
      </c>
      <c r="W42" s="48">
        <f t="shared" si="35"/>
        <v>2.1722222222222225</v>
      </c>
      <c r="X42" s="48">
        <f t="shared" si="35"/>
        <v>1</v>
      </c>
      <c r="Y42" s="48">
        <f t="shared" si="35"/>
        <v>1.4954166666666664</v>
      </c>
      <c r="Z42" s="48">
        <f t="shared" si="35"/>
        <v>1.5368421052631578</v>
      </c>
      <c r="AA42" s="48">
        <f t="shared" si="35"/>
        <v>1.3382624768946396</v>
      </c>
      <c r="AB42" s="48">
        <f t="shared" si="35"/>
        <v>1.4375</v>
      </c>
      <c r="AC42" s="48">
        <f t="shared" si="35"/>
        <v>2.0981852737416471</v>
      </c>
      <c r="AD42" s="48">
        <f t="shared" si="35"/>
        <v>1</v>
      </c>
      <c r="AE42" s="51">
        <f t="shared" si="35"/>
        <v>1.7351881911332048</v>
      </c>
      <c r="AF42" s="51">
        <f t="shared" si="35"/>
        <v>1.8995419847328248</v>
      </c>
    </row>
    <row r="43" spans="2:32" ht="23.1" customHeight="1" x14ac:dyDescent="0.25">
      <c r="B43" s="23" t="s">
        <v>70</v>
      </c>
      <c r="C43" s="49">
        <f>AVERAGE('29.07 Kyanja -Kisaasi'!C43,'30.07 Kyanja-Kisaasi'!C43,'31.07 Kyanja-Kisaasi'!C43,'02.08 Kyanja-Kisaasi'!C43,'01.08 Kyanja-Kisaasi-24h'!C43,'03.08 Kyanja-Kisaasi-24h'!C43,'04.08 Kyanja-Kisaasi'!C43)</f>
        <v>40.714285714285715</v>
      </c>
      <c r="D43" s="49">
        <f>AVERAGE('29.07 Kyanja -Kisaasi'!D43,'30.07 Kyanja-Kisaasi'!D43,'31.07 Kyanja-Kisaasi'!D43,'02.08 Kyanja-Kisaasi'!D43,'01.08 Kyanja-Kisaasi-24h'!D43,'03.08 Kyanja-Kisaasi-24h'!D43,'04.08 Kyanja-Kisaasi'!D43)</f>
        <v>30.714285714285715</v>
      </c>
      <c r="E43" s="49">
        <f>AVERAGE('29.07 Kyanja -Kisaasi'!E43,'30.07 Kyanja-Kisaasi'!E43,'31.07 Kyanja-Kisaasi'!E43,'02.08 Kyanja-Kisaasi'!E43,'01.08 Kyanja-Kisaasi-24h'!E43,'03.08 Kyanja-Kisaasi-24h'!E43,'04.08 Kyanja-Kisaasi'!E43)</f>
        <v>5.8571428571428568</v>
      </c>
      <c r="F43" s="49">
        <f>AVERAGE('29.07 Kyanja -Kisaasi'!F43,'30.07 Kyanja-Kisaasi'!F43,'31.07 Kyanja-Kisaasi'!F43,'02.08 Kyanja-Kisaasi'!F43,'01.08 Kyanja-Kisaasi-24h'!F43,'03.08 Kyanja-Kisaasi-24h'!F43,'04.08 Kyanja-Kisaasi'!F43)</f>
        <v>11.142857142857142</v>
      </c>
      <c r="G43" s="49">
        <f>AVERAGE('29.07 Kyanja -Kisaasi'!G43,'30.07 Kyanja-Kisaasi'!G43,'31.07 Kyanja-Kisaasi'!G43,'02.08 Kyanja-Kisaasi'!G43,'01.08 Kyanja-Kisaasi-24h'!G43,'03.08 Kyanja-Kisaasi-24h'!G43,'04.08 Kyanja-Kisaasi'!G43)</f>
        <v>0</v>
      </c>
      <c r="H43" s="49">
        <f>AVERAGE('29.07 Kyanja -Kisaasi'!H43,'30.07 Kyanja-Kisaasi'!H43,'31.07 Kyanja-Kisaasi'!H43,'02.08 Kyanja-Kisaasi'!H43,'01.08 Kyanja-Kisaasi-24h'!H43,'03.08 Kyanja-Kisaasi-24h'!H43,'04.08 Kyanja-Kisaasi'!H43)</f>
        <v>0</v>
      </c>
      <c r="I43" s="49">
        <f>AVERAGE('29.07 Kyanja -Kisaasi'!I43,'30.07 Kyanja-Kisaasi'!I43,'31.07 Kyanja-Kisaasi'!I43,'02.08 Kyanja-Kisaasi'!I43,'01.08 Kyanja-Kisaasi-24h'!I43,'03.08 Kyanja-Kisaasi-24h'!I43,'04.08 Kyanja-Kisaasi'!I43)</f>
        <v>2.8571428571428572</v>
      </c>
      <c r="J43" s="49">
        <f>AVERAGE('29.07 Kyanja -Kisaasi'!J43,'30.07 Kyanja-Kisaasi'!J43,'31.07 Kyanja-Kisaasi'!J43,'02.08 Kyanja-Kisaasi'!J43,'01.08 Kyanja-Kisaasi-24h'!J43,'03.08 Kyanja-Kisaasi-24h'!J43,'04.08 Kyanja-Kisaasi'!J43)</f>
        <v>1.7142857142857142</v>
      </c>
      <c r="K43" s="49">
        <f>AVERAGE('29.07 Kyanja -Kisaasi'!K43,'30.07 Kyanja-Kisaasi'!K43,'31.07 Kyanja-Kisaasi'!K43,'02.08 Kyanja-Kisaasi'!K43,'01.08 Kyanja-Kisaasi-24h'!K43,'03.08 Kyanja-Kisaasi-24h'!K43,'04.08 Kyanja-Kisaasi'!K43)</f>
        <v>0.42857142857142855</v>
      </c>
      <c r="L43" s="49">
        <f>AVERAGE('29.07 Kyanja -Kisaasi'!L43,'30.07 Kyanja-Kisaasi'!L43,'31.07 Kyanja-Kisaasi'!L43,'02.08 Kyanja-Kisaasi'!L43,'01.08 Kyanja-Kisaasi-24h'!L43,'03.08 Kyanja-Kisaasi-24h'!L43,'04.08 Kyanja-Kisaasi'!L43)</f>
        <v>0</v>
      </c>
      <c r="M43" s="49">
        <f>AVERAGE('29.07 Kyanja -Kisaasi'!M43,'30.07 Kyanja-Kisaasi'!M43,'31.07 Kyanja-Kisaasi'!M43,'02.08 Kyanja-Kisaasi'!M43,'01.08 Kyanja-Kisaasi-24h'!M43,'03.08 Kyanja-Kisaasi-24h'!M43,'04.08 Kyanja-Kisaasi'!M43)</f>
        <v>79.428571428571431</v>
      </c>
      <c r="N43" s="49">
        <f>AVERAGE('29.07 Kyanja -Kisaasi'!N43,'30.07 Kyanja-Kisaasi'!N43,'31.07 Kyanja-Kisaasi'!N43,'02.08 Kyanja-Kisaasi'!N43,'01.08 Kyanja-Kisaasi-24h'!N43,'03.08 Kyanja-Kisaasi-24h'!N43,'04.08 Kyanja-Kisaasi'!N43)</f>
        <v>0</v>
      </c>
      <c r="O43" s="15">
        <f t="shared" si="0"/>
        <v>93.428571428571431</v>
      </c>
      <c r="P43" s="15">
        <f t="shared" si="1"/>
        <v>172.85714285714286</v>
      </c>
    </row>
    <row r="44" spans="2:32" ht="23.1" customHeight="1" x14ac:dyDescent="0.25">
      <c r="B44" s="25" t="s">
        <v>71</v>
      </c>
      <c r="C44" s="49">
        <f>AVERAGE('29.07 Kyanja -Kisaasi'!C44,'30.07 Kyanja-Kisaasi'!C44,'31.07 Kyanja-Kisaasi'!C44,'02.08 Kyanja-Kisaasi'!C44,'01.08 Kyanja-Kisaasi-24h'!C44,'03.08 Kyanja-Kisaasi-24h'!C44,'04.08 Kyanja-Kisaasi'!C44)</f>
        <v>42</v>
      </c>
      <c r="D44" s="49">
        <f>AVERAGE('29.07 Kyanja -Kisaasi'!D44,'30.07 Kyanja-Kisaasi'!D44,'31.07 Kyanja-Kisaasi'!D44,'02.08 Kyanja-Kisaasi'!D44,'01.08 Kyanja-Kisaasi-24h'!D44,'03.08 Kyanja-Kisaasi-24h'!D44,'04.08 Kyanja-Kisaasi'!D44)</f>
        <v>27.428571428571427</v>
      </c>
      <c r="E44" s="49">
        <f>AVERAGE('29.07 Kyanja -Kisaasi'!E44,'30.07 Kyanja-Kisaasi'!E44,'31.07 Kyanja-Kisaasi'!E44,'02.08 Kyanja-Kisaasi'!E44,'01.08 Kyanja-Kisaasi-24h'!E44,'03.08 Kyanja-Kisaasi-24h'!E44,'04.08 Kyanja-Kisaasi'!E44)</f>
        <v>6.7142857142857144</v>
      </c>
      <c r="F44" s="49">
        <f>AVERAGE('29.07 Kyanja -Kisaasi'!F44,'30.07 Kyanja-Kisaasi'!F44,'31.07 Kyanja-Kisaasi'!F44,'02.08 Kyanja-Kisaasi'!F44,'01.08 Kyanja-Kisaasi-24h'!F44,'03.08 Kyanja-Kisaasi-24h'!F44,'04.08 Kyanja-Kisaasi'!F44)</f>
        <v>16.285714285714285</v>
      </c>
      <c r="G44" s="49">
        <f>AVERAGE('29.07 Kyanja -Kisaasi'!G44,'30.07 Kyanja-Kisaasi'!G44,'31.07 Kyanja-Kisaasi'!G44,'02.08 Kyanja-Kisaasi'!G44,'01.08 Kyanja-Kisaasi-24h'!G44,'03.08 Kyanja-Kisaasi-24h'!G44,'04.08 Kyanja-Kisaasi'!G44)</f>
        <v>0.42857142857142855</v>
      </c>
      <c r="H44" s="49">
        <f>AVERAGE('29.07 Kyanja -Kisaasi'!H44,'30.07 Kyanja-Kisaasi'!H44,'31.07 Kyanja-Kisaasi'!H44,'02.08 Kyanja-Kisaasi'!H44,'01.08 Kyanja-Kisaasi-24h'!H44,'03.08 Kyanja-Kisaasi-24h'!H44,'04.08 Kyanja-Kisaasi'!H44)</f>
        <v>0</v>
      </c>
      <c r="I44" s="49">
        <f>AVERAGE('29.07 Kyanja -Kisaasi'!I44,'30.07 Kyanja-Kisaasi'!I44,'31.07 Kyanja-Kisaasi'!I44,'02.08 Kyanja-Kisaasi'!I44,'01.08 Kyanja-Kisaasi-24h'!I44,'03.08 Kyanja-Kisaasi-24h'!I44,'04.08 Kyanja-Kisaasi'!I44)</f>
        <v>3.8571428571428572</v>
      </c>
      <c r="J44" s="49">
        <f>AVERAGE('29.07 Kyanja -Kisaasi'!J44,'30.07 Kyanja-Kisaasi'!J44,'31.07 Kyanja-Kisaasi'!J44,'02.08 Kyanja-Kisaasi'!J44,'01.08 Kyanja-Kisaasi-24h'!J44,'03.08 Kyanja-Kisaasi-24h'!J44,'04.08 Kyanja-Kisaasi'!J44)</f>
        <v>2</v>
      </c>
      <c r="K44" s="49">
        <f>AVERAGE('29.07 Kyanja -Kisaasi'!K44,'30.07 Kyanja-Kisaasi'!K44,'31.07 Kyanja-Kisaasi'!K44,'02.08 Kyanja-Kisaasi'!K44,'01.08 Kyanja-Kisaasi-24h'!K44,'03.08 Kyanja-Kisaasi-24h'!K44,'04.08 Kyanja-Kisaasi'!K44)</f>
        <v>2.8571428571428572</v>
      </c>
      <c r="L44" s="49">
        <f>AVERAGE('29.07 Kyanja -Kisaasi'!L44,'30.07 Kyanja-Kisaasi'!L44,'31.07 Kyanja-Kisaasi'!L44,'02.08 Kyanja-Kisaasi'!L44,'01.08 Kyanja-Kisaasi-24h'!L44,'03.08 Kyanja-Kisaasi-24h'!L44,'04.08 Kyanja-Kisaasi'!L44)</f>
        <v>0</v>
      </c>
      <c r="M44" s="49">
        <f>AVERAGE('29.07 Kyanja -Kisaasi'!M44,'30.07 Kyanja-Kisaasi'!M44,'31.07 Kyanja-Kisaasi'!M44,'02.08 Kyanja-Kisaasi'!M44,'01.08 Kyanja-Kisaasi-24h'!M44,'03.08 Kyanja-Kisaasi-24h'!M44,'04.08 Kyanja-Kisaasi'!M44)</f>
        <v>82</v>
      </c>
      <c r="N44" s="49">
        <f>AVERAGE('29.07 Kyanja -Kisaasi'!N44,'30.07 Kyanja-Kisaasi'!N44,'31.07 Kyanja-Kisaasi'!N44,'02.08 Kyanja-Kisaasi'!N44,'01.08 Kyanja-Kisaasi-24h'!N44,'03.08 Kyanja-Kisaasi-24h'!N44,'04.08 Kyanja-Kisaasi'!N44)</f>
        <v>0</v>
      </c>
      <c r="O44" s="15">
        <f t="shared" si="0"/>
        <v>101.57142857142857</v>
      </c>
      <c r="P44" s="15">
        <f t="shared" si="1"/>
        <v>183.57142857142856</v>
      </c>
    </row>
    <row r="45" spans="2:32" ht="23.1" customHeight="1" x14ac:dyDescent="0.25">
      <c r="B45" s="23" t="s">
        <v>72</v>
      </c>
      <c r="C45" s="49">
        <f>AVERAGE('29.07 Kyanja -Kisaasi'!C45,'30.07 Kyanja-Kisaasi'!C45,'31.07 Kyanja-Kisaasi'!C45,'02.08 Kyanja-Kisaasi'!C45,'01.08 Kyanja-Kisaasi-24h'!C45,'03.08 Kyanja-Kisaasi-24h'!C45,'04.08 Kyanja-Kisaasi'!C45)</f>
        <v>46</v>
      </c>
      <c r="D45" s="49">
        <f>AVERAGE('29.07 Kyanja -Kisaasi'!D45,'30.07 Kyanja-Kisaasi'!D45,'31.07 Kyanja-Kisaasi'!D45,'02.08 Kyanja-Kisaasi'!D45,'01.08 Kyanja-Kisaasi-24h'!D45,'03.08 Kyanja-Kisaasi-24h'!D45,'04.08 Kyanja-Kisaasi'!D45)</f>
        <v>27.857142857142858</v>
      </c>
      <c r="E45" s="49">
        <f>AVERAGE('29.07 Kyanja -Kisaasi'!E45,'30.07 Kyanja-Kisaasi'!E45,'31.07 Kyanja-Kisaasi'!E45,'02.08 Kyanja-Kisaasi'!E45,'01.08 Kyanja-Kisaasi-24h'!E45,'03.08 Kyanja-Kisaasi-24h'!E45,'04.08 Kyanja-Kisaasi'!E45)</f>
        <v>7.5714285714285712</v>
      </c>
      <c r="F45" s="49">
        <f>AVERAGE('29.07 Kyanja -Kisaasi'!F45,'30.07 Kyanja-Kisaasi'!F45,'31.07 Kyanja-Kisaasi'!F45,'02.08 Kyanja-Kisaasi'!F45,'01.08 Kyanja-Kisaasi-24h'!F45,'03.08 Kyanja-Kisaasi-24h'!F45,'04.08 Kyanja-Kisaasi'!F45)</f>
        <v>9.5714285714285712</v>
      </c>
      <c r="G45" s="49">
        <f>AVERAGE('29.07 Kyanja -Kisaasi'!G45,'30.07 Kyanja-Kisaasi'!G45,'31.07 Kyanja-Kisaasi'!G45,'02.08 Kyanja-Kisaasi'!G45,'01.08 Kyanja-Kisaasi-24h'!G45,'03.08 Kyanja-Kisaasi-24h'!G45,'04.08 Kyanja-Kisaasi'!G45)</f>
        <v>0</v>
      </c>
      <c r="H45" s="49">
        <f>AVERAGE('29.07 Kyanja -Kisaasi'!H45,'30.07 Kyanja-Kisaasi'!H45,'31.07 Kyanja-Kisaasi'!H45,'02.08 Kyanja-Kisaasi'!H45,'01.08 Kyanja-Kisaasi-24h'!H45,'03.08 Kyanja-Kisaasi-24h'!H45,'04.08 Kyanja-Kisaasi'!H45)</f>
        <v>0</v>
      </c>
      <c r="I45" s="49">
        <f>AVERAGE('29.07 Kyanja -Kisaasi'!I45,'30.07 Kyanja-Kisaasi'!I45,'31.07 Kyanja-Kisaasi'!I45,'02.08 Kyanja-Kisaasi'!I45,'01.08 Kyanja-Kisaasi-24h'!I45,'03.08 Kyanja-Kisaasi-24h'!I45,'04.08 Kyanja-Kisaasi'!I45)</f>
        <v>3.4285714285714284</v>
      </c>
      <c r="J45" s="49">
        <f>AVERAGE('29.07 Kyanja -Kisaasi'!J45,'30.07 Kyanja-Kisaasi'!J45,'31.07 Kyanja-Kisaasi'!J45,'02.08 Kyanja-Kisaasi'!J45,'01.08 Kyanja-Kisaasi-24h'!J45,'03.08 Kyanja-Kisaasi-24h'!J45,'04.08 Kyanja-Kisaasi'!J45)</f>
        <v>1</v>
      </c>
      <c r="K45" s="49">
        <f>AVERAGE('29.07 Kyanja -Kisaasi'!K45,'30.07 Kyanja-Kisaasi'!K45,'31.07 Kyanja-Kisaasi'!K45,'02.08 Kyanja-Kisaasi'!K45,'01.08 Kyanja-Kisaasi-24h'!K45,'03.08 Kyanja-Kisaasi-24h'!K45,'04.08 Kyanja-Kisaasi'!K45)</f>
        <v>2.8571428571428572</v>
      </c>
      <c r="L45" s="49">
        <f>AVERAGE('29.07 Kyanja -Kisaasi'!L45,'30.07 Kyanja-Kisaasi'!L45,'31.07 Kyanja-Kisaasi'!L45,'02.08 Kyanja-Kisaasi'!L45,'01.08 Kyanja-Kisaasi-24h'!L45,'03.08 Kyanja-Kisaasi-24h'!L45,'04.08 Kyanja-Kisaasi'!L45)</f>
        <v>0</v>
      </c>
      <c r="M45" s="49">
        <f>AVERAGE('29.07 Kyanja -Kisaasi'!M45,'30.07 Kyanja-Kisaasi'!M45,'31.07 Kyanja-Kisaasi'!M45,'02.08 Kyanja-Kisaasi'!M45,'01.08 Kyanja-Kisaasi-24h'!M45,'03.08 Kyanja-Kisaasi-24h'!M45,'04.08 Kyanja-Kisaasi'!M45)</f>
        <v>87.571428571428569</v>
      </c>
      <c r="N45" s="49">
        <f>AVERAGE('29.07 Kyanja -Kisaasi'!N45,'30.07 Kyanja-Kisaasi'!N45,'31.07 Kyanja-Kisaasi'!N45,'02.08 Kyanja-Kisaasi'!N45,'01.08 Kyanja-Kisaasi-24h'!N45,'03.08 Kyanja-Kisaasi-24h'!N45,'04.08 Kyanja-Kisaasi'!N45)</f>
        <v>0</v>
      </c>
      <c r="O45" s="15">
        <f t="shared" si="0"/>
        <v>98.285714285714292</v>
      </c>
      <c r="P45" s="15">
        <f t="shared" si="1"/>
        <v>185.85714285714286</v>
      </c>
    </row>
    <row r="46" spans="2:32" ht="23.1" customHeight="1" x14ac:dyDescent="0.25">
      <c r="B46" s="24" t="s">
        <v>73</v>
      </c>
      <c r="C46" s="49">
        <f>AVERAGE('29.07 Kyanja -Kisaasi'!C46,'30.07 Kyanja-Kisaasi'!C46,'31.07 Kyanja-Kisaasi'!C46,'02.08 Kyanja-Kisaasi'!C46,'01.08 Kyanja-Kisaasi-24h'!C46,'03.08 Kyanja-Kisaasi-24h'!C46,'04.08 Kyanja-Kisaasi'!C46)</f>
        <v>49.285714285714285</v>
      </c>
      <c r="D46" s="49">
        <f>AVERAGE('29.07 Kyanja -Kisaasi'!D46,'30.07 Kyanja-Kisaasi'!D46,'31.07 Kyanja-Kisaasi'!D46,'02.08 Kyanja-Kisaasi'!D46,'01.08 Kyanja-Kisaasi-24h'!D46,'03.08 Kyanja-Kisaasi-24h'!D46,'04.08 Kyanja-Kisaasi'!D46)</f>
        <v>26</v>
      </c>
      <c r="E46" s="49">
        <f>AVERAGE('29.07 Kyanja -Kisaasi'!E46,'30.07 Kyanja-Kisaasi'!E46,'31.07 Kyanja-Kisaasi'!E46,'02.08 Kyanja-Kisaasi'!E46,'01.08 Kyanja-Kisaasi-24h'!E46,'03.08 Kyanja-Kisaasi-24h'!E46,'04.08 Kyanja-Kisaasi'!E46)</f>
        <v>7.2857142857142856</v>
      </c>
      <c r="F46" s="49">
        <f>AVERAGE('29.07 Kyanja -Kisaasi'!F46,'30.07 Kyanja-Kisaasi'!F46,'31.07 Kyanja-Kisaasi'!F46,'02.08 Kyanja-Kisaasi'!F46,'01.08 Kyanja-Kisaasi-24h'!F46,'03.08 Kyanja-Kisaasi-24h'!F46,'04.08 Kyanja-Kisaasi'!F46)</f>
        <v>13.571428571428571</v>
      </c>
      <c r="G46" s="49">
        <f>AVERAGE('29.07 Kyanja -Kisaasi'!G46,'30.07 Kyanja-Kisaasi'!G46,'31.07 Kyanja-Kisaasi'!G46,'02.08 Kyanja-Kisaasi'!G46,'01.08 Kyanja-Kisaasi-24h'!G46,'03.08 Kyanja-Kisaasi-24h'!G46,'04.08 Kyanja-Kisaasi'!G46)</f>
        <v>0.2857142857142857</v>
      </c>
      <c r="H46" s="49">
        <f>AVERAGE('29.07 Kyanja -Kisaasi'!H46,'30.07 Kyanja-Kisaasi'!H46,'31.07 Kyanja-Kisaasi'!H46,'02.08 Kyanja-Kisaasi'!H46,'01.08 Kyanja-Kisaasi-24h'!H46,'03.08 Kyanja-Kisaasi-24h'!H46,'04.08 Kyanja-Kisaasi'!H46)</f>
        <v>0</v>
      </c>
      <c r="I46" s="49">
        <f>AVERAGE('29.07 Kyanja -Kisaasi'!I46,'30.07 Kyanja-Kisaasi'!I46,'31.07 Kyanja-Kisaasi'!I46,'02.08 Kyanja-Kisaasi'!I46,'01.08 Kyanja-Kisaasi-24h'!I46,'03.08 Kyanja-Kisaasi-24h'!I46,'04.08 Kyanja-Kisaasi'!I46)</f>
        <v>3</v>
      </c>
      <c r="J46" s="49">
        <f>AVERAGE('29.07 Kyanja -Kisaasi'!J46,'30.07 Kyanja-Kisaasi'!J46,'31.07 Kyanja-Kisaasi'!J46,'02.08 Kyanja-Kisaasi'!J46,'01.08 Kyanja-Kisaasi-24h'!J46,'03.08 Kyanja-Kisaasi-24h'!J46,'04.08 Kyanja-Kisaasi'!J46)</f>
        <v>2.5714285714285716</v>
      </c>
      <c r="K46" s="49">
        <f>AVERAGE('29.07 Kyanja -Kisaasi'!K46,'30.07 Kyanja-Kisaasi'!K46,'31.07 Kyanja-Kisaasi'!K46,'02.08 Kyanja-Kisaasi'!K46,'01.08 Kyanja-Kisaasi-24h'!K46,'03.08 Kyanja-Kisaasi-24h'!K46,'04.08 Kyanja-Kisaasi'!K46)</f>
        <v>1.8571428571428572</v>
      </c>
      <c r="L46" s="49">
        <f>AVERAGE('29.07 Kyanja -Kisaasi'!L46,'30.07 Kyanja-Kisaasi'!L46,'31.07 Kyanja-Kisaasi'!L46,'02.08 Kyanja-Kisaasi'!L46,'01.08 Kyanja-Kisaasi-24h'!L46,'03.08 Kyanja-Kisaasi-24h'!L46,'04.08 Kyanja-Kisaasi'!L46)</f>
        <v>0</v>
      </c>
      <c r="M46" s="49">
        <f>AVERAGE('29.07 Kyanja -Kisaasi'!M46,'30.07 Kyanja-Kisaasi'!M46,'31.07 Kyanja-Kisaasi'!M46,'02.08 Kyanja-Kisaasi'!M46,'01.08 Kyanja-Kisaasi-24h'!M46,'03.08 Kyanja-Kisaasi-24h'!M46,'04.08 Kyanja-Kisaasi'!M46)</f>
        <v>90</v>
      </c>
      <c r="N46" s="49">
        <f>AVERAGE('29.07 Kyanja -Kisaasi'!N46,'30.07 Kyanja-Kisaasi'!N46,'31.07 Kyanja-Kisaasi'!N46,'02.08 Kyanja-Kisaasi'!N46,'01.08 Kyanja-Kisaasi-24h'!N46,'03.08 Kyanja-Kisaasi-24h'!N46,'04.08 Kyanja-Kisaasi'!N46)</f>
        <v>0</v>
      </c>
      <c r="O46" s="15">
        <f t="shared" si="0"/>
        <v>103.85714285714286</v>
      </c>
      <c r="P46" s="15">
        <f t="shared" si="1"/>
        <v>193.85714285714286</v>
      </c>
      <c r="R46" s="8"/>
      <c r="T46"/>
    </row>
    <row r="47" spans="2:32" ht="23.1" customHeight="1" x14ac:dyDescent="0.25">
      <c r="B47" s="24" t="s">
        <v>74</v>
      </c>
      <c r="C47" s="49">
        <f>AVERAGE('29.07 Kyanja -Kisaasi'!C47,'30.07 Kyanja-Kisaasi'!C47,'31.07 Kyanja-Kisaasi'!C47,'02.08 Kyanja-Kisaasi'!C47,'01.08 Kyanja-Kisaasi-24h'!C47,'03.08 Kyanja-Kisaasi-24h'!C47,'04.08 Kyanja-Kisaasi'!C47)</f>
        <v>57.285714285714285</v>
      </c>
      <c r="D47" s="49">
        <f>AVERAGE('29.07 Kyanja -Kisaasi'!D47,'30.07 Kyanja-Kisaasi'!D47,'31.07 Kyanja-Kisaasi'!D47,'02.08 Kyanja-Kisaasi'!D47,'01.08 Kyanja-Kisaasi-24h'!D47,'03.08 Kyanja-Kisaasi-24h'!D47,'04.08 Kyanja-Kisaasi'!D47)</f>
        <v>30.285714285714285</v>
      </c>
      <c r="E47" s="49">
        <f>AVERAGE('29.07 Kyanja -Kisaasi'!E47,'30.07 Kyanja-Kisaasi'!E47,'31.07 Kyanja-Kisaasi'!E47,'02.08 Kyanja-Kisaasi'!E47,'01.08 Kyanja-Kisaasi-24h'!E47,'03.08 Kyanja-Kisaasi-24h'!E47,'04.08 Kyanja-Kisaasi'!E47)</f>
        <v>5</v>
      </c>
      <c r="F47" s="49">
        <f>AVERAGE('29.07 Kyanja -Kisaasi'!F47,'30.07 Kyanja-Kisaasi'!F47,'31.07 Kyanja-Kisaasi'!F47,'02.08 Kyanja-Kisaasi'!F47,'01.08 Kyanja-Kisaasi-24h'!F47,'03.08 Kyanja-Kisaasi-24h'!F47,'04.08 Kyanja-Kisaasi'!F47)</f>
        <v>12.571428571428571</v>
      </c>
      <c r="G47" s="49">
        <f>AVERAGE('29.07 Kyanja -Kisaasi'!G47,'30.07 Kyanja-Kisaasi'!G47,'31.07 Kyanja-Kisaasi'!G47,'02.08 Kyanja-Kisaasi'!G47,'01.08 Kyanja-Kisaasi-24h'!G47,'03.08 Kyanja-Kisaasi-24h'!G47,'04.08 Kyanja-Kisaasi'!G47)</f>
        <v>0.2857142857142857</v>
      </c>
      <c r="H47" s="49">
        <f>AVERAGE('29.07 Kyanja -Kisaasi'!H47,'30.07 Kyanja-Kisaasi'!H47,'31.07 Kyanja-Kisaasi'!H47,'02.08 Kyanja-Kisaasi'!H47,'01.08 Kyanja-Kisaasi-24h'!H47,'03.08 Kyanja-Kisaasi-24h'!H47,'04.08 Kyanja-Kisaasi'!H47)</f>
        <v>0</v>
      </c>
      <c r="I47" s="49">
        <f>AVERAGE('29.07 Kyanja -Kisaasi'!I47,'30.07 Kyanja-Kisaasi'!I47,'31.07 Kyanja-Kisaasi'!I47,'02.08 Kyanja-Kisaasi'!I47,'01.08 Kyanja-Kisaasi-24h'!I47,'03.08 Kyanja-Kisaasi-24h'!I47,'04.08 Kyanja-Kisaasi'!I47)</f>
        <v>5.4285714285714288</v>
      </c>
      <c r="J47" s="49">
        <f>AVERAGE('29.07 Kyanja -Kisaasi'!J47,'30.07 Kyanja-Kisaasi'!J47,'31.07 Kyanja-Kisaasi'!J47,'02.08 Kyanja-Kisaasi'!J47,'01.08 Kyanja-Kisaasi-24h'!J47,'03.08 Kyanja-Kisaasi-24h'!J47,'04.08 Kyanja-Kisaasi'!J47)</f>
        <v>0.8571428571428571</v>
      </c>
      <c r="K47" s="49">
        <f>AVERAGE('29.07 Kyanja -Kisaasi'!K47,'30.07 Kyanja-Kisaasi'!K47,'31.07 Kyanja-Kisaasi'!K47,'02.08 Kyanja-Kisaasi'!K47,'01.08 Kyanja-Kisaasi-24h'!K47,'03.08 Kyanja-Kisaasi-24h'!K47,'04.08 Kyanja-Kisaasi'!K47)</f>
        <v>1.4285714285714286</v>
      </c>
      <c r="L47" s="49">
        <f>AVERAGE('29.07 Kyanja -Kisaasi'!L47,'30.07 Kyanja-Kisaasi'!L47,'31.07 Kyanja-Kisaasi'!L47,'02.08 Kyanja-Kisaasi'!L47,'01.08 Kyanja-Kisaasi-24h'!L47,'03.08 Kyanja-Kisaasi-24h'!L47,'04.08 Kyanja-Kisaasi'!L47)</f>
        <v>0.42857142857142855</v>
      </c>
      <c r="M47" s="49">
        <f>AVERAGE('29.07 Kyanja -Kisaasi'!M47,'30.07 Kyanja-Kisaasi'!M47,'31.07 Kyanja-Kisaasi'!M47,'02.08 Kyanja-Kisaasi'!M47,'01.08 Kyanja-Kisaasi-24h'!M47,'03.08 Kyanja-Kisaasi-24h'!M47,'04.08 Kyanja-Kisaasi'!M47)</f>
        <v>81.571428571428569</v>
      </c>
      <c r="N47" s="49">
        <f>AVERAGE('29.07 Kyanja -Kisaasi'!N47,'30.07 Kyanja-Kisaasi'!N47,'31.07 Kyanja-Kisaasi'!N47,'02.08 Kyanja-Kisaasi'!N47,'01.08 Kyanja-Kisaasi-24h'!N47,'03.08 Kyanja-Kisaasi-24h'!N47,'04.08 Kyanja-Kisaasi'!N47)</f>
        <v>0</v>
      </c>
      <c r="O47" s="15">
        <f t="shared" si="0"/>
        <v>113.57142857142858</v>
      </c>
      <c r="P47" s="15">
        <f t="shared" si="1"/>
        <v>195.14285714285717</v>
      </c>
      <c r="R47" s="8"/>
      <c r="T47"/>
    </row>
    <row r="48" spans="2:32" ht="23.1" customHeight="1" x14ac:dyDescent="0.25">
      <c r="B48" s="24" t="s">
        <v>75</v>
      </c>
      <c r="C48" s="49">
        <f>AVERAGE('29.07 Kyanja -Kisaasi'!C48,'30.07 Kyanja-Kisaasi'!C48,'31.07 Kyanja-Kisaasi'!C48,'02.08 Kyanja-Kisaasi'!C48,'01.08 Kyanja-Kisaasi-24h'!C48,'03.08 Kyanja-Kisaasi-24h'!C48,'04.08 Kyanja-Kisaasi'!C48)</f>
        <v>55.142857142857146</v>
      </c>
      <c r="D48" s="49">
        <f>AVERAGE('29.07 Kyanja -Kisaasi'!D48,'30.07 Kyanja-Kisaasi'!D48,'31.07 Kyanja-Kisaasi'!D48,'02.08 Kyanja-Kisaasi'!D48,'01.08 Kyanja-Kisaasi-24h'!D48,'03.08 Kyanja-Kisaasi-24h'!D48,'04.08 Kyanja-Kisaasi'!D48)</f>
        <v>25.714285714285715</v>
      </c>
      <c r="E48" s="49">
        <f>AVERAGE('29.07 Kyanja -Kisaasi'!E48,'30.07 Kyanja-Kisaasi'!E48,'31.07 Kyanja-Kisaasi'!E48,'02.08 Kyanja-Kisaasi'!E48,'01.08 Kyanja-Kisaasi-24h'!E48,'03.08 Kyanja-Kisaasi-24h'!E48,'04.08 Kyanja-Kisaasi'!E48)</f>
        <v>8.5714285714285712</v>
      </c>
      <c r="F48" s="49">
        <f>AVERAGE('29.07 Kyanja -Kisaasi'!F48,'30.07 Kyanja-Kisaasi'!F48,'31.07 Kyanja-Kisaasi'!F48,'02.08 Kyanja-Kisaasi'!F48,'01.08 Kyanja-Kisaasi-24h'!F48,'03.08 Kyanja-Kisaasi-24h'!F48,'04.08 Kyanja-Kisaasi'!F48)</f>
        <v>13</v>
      </c>
      <c r="G48" s="49">
        <f>AVERAGE('29.07 Kyanja -Kisaasi'!G48,'30.07 Kyanja-Kisaasi'!G48,'31.07 Kyanja-Kisaasi'!G48,'02.08 Kyanja-Kisaasi'!G48,'01.08 Kyanja-Kisaasi-24h'!G48,'03.08 Kyanja-Kisaasi-24h'!G48,'04.08 Kyanja-Kisaasi'!G48)</f>
        <v>0.42857142857142855</v>
      </c>
      <c r="H48" s="49">
        <f>AVERAGE('29.07 Kyanja -Kisaasi'!H48,'30.07 Kyanja-Kisaasi'!H48,'31.07 Kyanja-Kisaasi'!H48,'02.08 Kyanja-Kisaasi'!H48,'01.08 Kyanja-Kisaasi-24h'!H48,'03.08 Kyanja-Kisaasi-24h'!H48,'04.08 Kyanja-Kisaasi'!H48)</f>
        <v>0</v>
      </c>
      <c r="I48" s="49">
        <f>AVERAGE('29.07 Kyanja -Kisaasi'!I48,'30.07 Kyanja-Kisaasi'!I48,'31.07 Kyanja-Kisaasi'!I48,'02.08 Kyanja-Kisaasi'!I48,'01.08 Kyanja-Kisaasi-24h'!I48,'03.08 Kyanja-Kisaasi-24h'!I48,'04.08 Kyanja-Kisaasi'!I48)</f>
        <v>2.8571428571428572</v>
      </c>
      <c r="J48" s="49">
        <f>AVERAGE('29.07 Kyanja -Kisaasi'!J48,'30.07 Kyanja-Kisaasi'!J48,'31.07 Kyanja-Kisaasi'!J48,'02.08 Kyanja-Kisaasi'!J48,'01.08 Kyanja-Kisaasi-24h'!J48,'03.08 Kyanja-Kisaasi-24h'!J48,'04.08 Kyanja-Kisaasi'!J48)</f>
        <v>2.2857142857142856</v>
      </c>
      <c r="K48" s="49">
        <f>AVERAGE('29.07 Kyanja -Kisaasi'!K48,'30.07 Kyanja-Kisaasi'!K48,'31.07 Kyanja-Kisaasi'!K48,'02.08 Kyanja-Kisaasi'!K48,'01.08 Kyanja-Kisaasi-24h'!K48,'03.08 Kyanja-Kisaasi-24h'!K48,'04.08 Kyanja-Kisaasi'!K48)</f>
        <v>1.5714285714285714</v>
      </c>
      <c r="L48" s="49">
        <f>AVERAGE('29.07 Kyanja -Kisaasi'!L48,'30.07 Kyanja-Kisaasi'!L48,'31.07 Kyanja-Kisaasi'!L48,'02.08 Kyanja-Kisaasi'!L48,'01.08 Kyanja-Kisaasi-24h'!L48,'03.08 Kyanja-Kisaasi-24h'!L48,'04.08 Kyanja-Kisaasi'!L48)</f>
        <v>0</v>
      </c>
      <c r="M48" s="49">
        <f>AVERAGE('29.07 Kyanja -Kisaasi'!M48,'30.07 Kyanja-Kisaasi'!M48,'31.07 Kyanja-Kisaasi'!M48,'02.08 Kyanja-Kisaasi'!M48,'01.08 Kyanja-Kisaasi-24h'!M48,'03.08 Kyanja-Kisaasi-24h'!M48,'04.08 Kyanja-Kisaasi'!M48)</f>
        <v>92.428571428571431</v>
      </c>
      <c r="N48" s="49">
        <f>AVERAGE('29.07 Kyanja -Kisaasi'!N48,'30.07 Kyanja-Kisaasi'!N48,'31.07 Kyanja-Kisaasi'!N48,'02.08 Kyanja-Kisaasi'!N48,'01.08 Kyanja-Kisaasi-24h'!N48,'03.08 Kyanja-Kisaasi-24h'!N48,'04.08 Kyanja-Kisaasi'!N48)</f>
        <v>0</v>
      </c>
      <c r="O48" s="15">
        <f t="shared" si="0"/>
        <v>109.57142857142858</v>
      </c>
      <c r="P48" s="15">
        <f t="shared" si="1"/>
        <v>202</v>
      </c>
      <c r="R48" s="8"/>
      <c r="T48"/>
    </row>
    <row r="49" spans="2:20" ht="23.1" customHeight="1" x14ac:dyDescent="0.25">
      <c r="B49" s="23" t="s">
        <v>76</v>
      </c>
      <c r="C49" s="49">
        <f>AVERAGE('29.07 Kyanja -Kisaasi'!C49,'30.07 Kyanja-Kisaasi'!C49,'31.07 Kyanja-Kisaasi'!C49,'02.08 Kyanja-Kisaasi'!C49,'01.08 Kyanja-Kisaasi-24h'!C49,'03.08 Kyanja-Kisaasi-24h'!C49,'04.08 Kyanja-Kisaasi'!C49)</f>
        <v>56.571428571428569</v>
      </c>
      <c r="D49" s="49">
        <f>AVERAGE('29.07 Kyanja -Kisaasi'!D49,'30.07 Kyanja-Kisaasi'!D49,'31.07 Kyanja-Kisaasi'!D49,'02.08 Kyanja-Kisaasi'!D49,'01.08 Kyanja-Kisaasi-24h'!D49,'03.08 Kyanja-Kisaasi-24h'!D49,'04.08 Kyanja-Kisaasi'!D49)</f>
        <v>21.428571428571427</v>
      </c>
      <c r="E49" s="49">
        <f>AVERAGE('29.07 Kyanja -Kisaasi'!E49,'30.07 Kyanja-Kisaasi'!E49,'31.07 Kyanja-Kisaasi'!E49,'02.08 Kyanja-Kisaasi'!E49,'01.08 Kyanja-Kisaasi-24h'!E49,'03.08 Kyanja-Kisaasi-24h'!E49,'04.08 Kyanja-Kisaasi'!E49)</f>
        <v>7.1428571428571432</v>
      </c>
      <c r="F49" s="49">
        <f>AVERAGE('29.07 Kyanja -Kisaasi'!F49,'30.07 Kyanja-Kisaasi'!F49,'31.07 Kyanja-Kisaasi'!F49,'02.08 Kyanja-Kisaasi'!F49,'01.08 Kyanja-Kisaasi-24h'!F49,'03.08 Kyanja-Kisaasi-24h'!F49,'04.08 Kyanja-Kisaasi'!F49)</f>
        <v>14.714285714285714</v>
      </c>
      <c r="G49" s="49">
        <f>AVERAGE('29.07 Kyanja -Kisaasi'!G49,'30.07 Kyanja-Kisaasi'!G49,'31.07 Kyanja-Kisaasi'!G49,'02.08 Kyanja-Kisaasi'!G49,'01.08 Kyanja-Kisaasi-24h'!G49,'03.08 Kyanja-Kisaasi-24h'!G49,'04.08 Kyanja-Kisaasi'!G49)</f>
        <v>0.14285714285714285</v>
      </c>
      <c r="H49" s="49">
        <f>AVERAGE('29.07 Kyanja -Kisaasi'!H49,'30.07 Kyanja-Kisaasi'!H49,'31.07 Kyanja-Kisaasi'!H49,'02.08 Kyanja-Kisaasi'!H49,'01.08 Kyanja-Kisaasi-24h'!H49,'03.08 Kyanja-Kisaasi-24h'!H49,'04.08 Kyanja-Kisaasi'!H49)</f>
        <v>0</v>
      </c>
      <c r="I49" s="49">
        <f>AVERAGE('29.07 Kyanja -Kisaasi'!I49,'30.07 Kyanja-Kisaasi'!I49,'31.07 Kyanja-Kisaasi'!I49,'02.08 Kyanja-Kisaasi'!I49,'01.08 Kyanja-Kisaasi-24h'!I49,'03.08 Kyanja-Kisaasi-24h'!I49,'04.08 Kyanja-Kisaasi'!I49)</f>
        <v>3.2857142857142856</v>
      </c>
      <c r="J49" s="49">
        <f>AVERAGE('29.07 Kyanja -Kisaasi'!J49,'30.07 Kyanja-Kisaasi'!J49,'31.07 Kyanja-Kisaasi'!J49,'02.08 Kyanja-Kisaasi'!J49,'01.08 Kyanja-Kisaasi-24h'!J49,'03.08 Kyanja-Kisaasi-24h'!J49,'04.08 Kyanja-Kisaasi'!J49)</f>
        <v>0.7142857142857143</v>
      </c>
      <c r="K49" s="49">
        <f>AVERAGE('29.07 Kyanja -Kisaasi'!K49,'30.07 Kyanja-Kisaasi'!K49,'31.07 Kyanja-Kisaasi'!K49,'02.08 Kyanja-Kisaasi'!K49,'01.08 Kyanja-Kisaasi-24h'!K49,'03.08 Kyanja-Kisaasi-24h'!K49,'04.08 Kyanja-Kisaasi'!K49)</f>
        <v>2</v>
      </c>
      <c r="L49" s="49">
        <f>AVERAGE('29.07 Kyanja -Kisaasi'!L49,'30.07 Kyanja-Kisaasi'!L49,'31.07 Kyanja-Kisaasi'!L49,'02.08 Kyanja-Kisaasi'!L49,'01.08 Kyanja-Kisaasi-24h'!L49,'03.08 Kyanja-Kisaasi-24h'!L49,'04.08 Kyanja-Kisaasi'!L49)</f>
        <v>0.14285714285714285</v>
      </c>
      <c r="M49" s="49">
        <f>AVERAGE('29.07 Kyanja -Kisaasi'!M49,'30.07 Kyanja-Kisaasi'!M49,'31.07 Kyanja-Kisaasi'!M49,'02.08 Kyanja-Kisaasi'!M49,'01.08 Kyanja-Kisaasi-24h'!M49,'03.08 Kyanja-Kisaasi-24h'!M49,'04.08 Kyanja-Kisaasi'!M49)</f>
        <v>98.142857142857139</v>
      </c>
      <c r="N49" s="49">
        <f>AVERAGE('29.07 Kyanja -Kisaasi'!N49,'30.07 Kyanja-Kisaasi'!N49,'31.07 Kyanja-Kisaasi'!N49,'02.08 Kyanja-Kisaasi'!N49,'01.08 Kyanja-Kisaasi-24h'!N49,'03.08 Kyanja-Kisaasi-24h'!N49,'04.08 Kyanja-Kisaasi'!N49)</f>
        <v>0</v>
      </c>
      <c r="O49" s="15">
        <f t="shared" si="0"/>
        <v>106.14285714285712</v>
      </c>
      <c r="P49" s="15">
        <f t="shared" si="1"/>
        <v>204.28571428571428</v>
      </c>
      <c r="R49" s="8"/>
      <c r="T49"/>
    </row>
    <row r="50" spans="2:20" ht="23.1" customHeight="1" x14ac:dyDescent="0.25">
      <c r="B50" s="24" t="s">
        <v>77</v>
      </c>
      <c r="C50" s="49">
        <f>AVERAGE('29.07 Kyanja -Kisaasi'!C50,'30.07 Kyanja-Kisaasi'!C50,'31.07 Kyanja-Kisaasi'!C50,'02.08 Kyanja-Kisaasi'!C50,'01.08 Kyanja-Kisaasi-24h'!C50,'03.08 Kyanja-Kisaasi-24h'!C50,'04.08 Kyanja-Kisaasi'!C50)</f>
        <v>62.571428571428569</v>
      </c>
      <c r="D50" s="49">
        <f>AVERAGE('29.07 Kyanja -Kisaasi'!D50,'30.07 Kyanja-Kisaasi'!D50,'31.07 Kyanja-Kisaasi'!D50,'02.08 Kyanja-Kisaasi'!D50,'01.08 Kyanja-Kisaasi-24h'!D50,'03.08 Kyanja-Kisaasi-24h'!D50,'04.08 Kyanja-Kisaasi'!D50)</f>
        <v>41</v>
      </c>
      <c r="E50" s="49">
        <f>AVERAGE('29.07 Kyanja -Kisaasi'!E50,'30.07 Kyanja-Kisaasi'!E50,'31.07 Kyanja-Kisaasi'!E50,'02.08 Kyanja-Kisaasi'!E50,'01.08 Kyanja-Kisaasi-24h'!E50,'03.08 Kyanja-Kisaasi-24h'!E50,'04.08 Kyanja-Kisaasi'!E50)</f>
        <v>9.4285714285714288</v>
      </c>
      <c r="F50" s="49">
        <f>AVERAGE('29.07 Kyanja -Kisaasi'!F50,'30.07 Kyanja-Kisaasi'!F50,'31.07 Kyanja-Kisaasi'!F50,'02.08 Kyanja-Kisaasi'!F50,'01.08 Kyanja-Kisaasi-24h'!F50,'03.08 Kyanja-Kisaasi-24h'!F50,'04.08 Kyanja-Kisaasi'!F50)</f>
        <v>14.285714285714286</v>
      </c>
      <c r="G50" s="49">
        <f>AVERAGE('29.07 Kyanja -Kisaasi'!G50,'30.07 Kyanja-Kisaasi'!G50,'31.07 Kyanja-Kisaasi'!G50,'02.08 Kyanja-Kisaasi'!G50,'01.08 Kyanja-Kisaasi-24h'!G50,'03.08 Kyanja-Kisaasi-24h'!G50,'04.08 Kyanja-Kisaasi'!G50)</f>
        <v>0.2857142857142857</v>
      </c>
      <c r="H50" s="49">
        <f>AVERAGE('29.07 Kyanja -Kisaasi'!H50,'30.07 Kyanja-Kisaasi'!H50,'31.07 Kyanja-Kisaasi'!H50,'02.08 Kyanja-Kisaasi'!H50,'01.08 Kyanja-Kisaasi-24h'!H50,'03.08 Kyanja-Kisaasi-24h'!H50,'04.08 Kyanja-Kisaasi'!H50)</f>
        <v>0</v>
      </c>
      <c r="I50" s="49">
        <f>AVERAGE('29.07 Kyanja -Kisaasi'!I50,'30.07 Kyanja-Kisaasi'!I50,'31.07 Kyanja-Kisaasi'!I50,'02.08 Kyanja-Kisaasi'!I50,'01.08 Kyanja-Kisaasi-24h'!I50,'03.08 Kyanja-Kisaasi-24h'!I50,'04.08 Kyanja-Kisaasi'!I50)</f>
        <v>2.4285714285714284</v>
      </c>
      <c r="J50" s="49">
        <f>AVERAGE('29.07 Kyanja -Kisaasi'!J50,'30.07 Kyanja-Kisaasi'!J50,'31.07 Kyanja-Kisaasi'!J50,'02.08 Kyanja-Kisaasi'!J50,'01.08 Kyanja-Kisaasi-24h'!J50,'03.08 Kyanja-Kisaasi-24h'!J50,'04.08 Kyanja-Kisaasi'!J50)</f>
        <v>1</v>
      </c>
      <c r="K50" s="49">
        <f>AVERAGE('29.07 Kyanja -Kisaasi'!K50,'30.07 Kyanja-Kisaasi'!K50,'31.07 Kyanja-Kisaasi'!K50,'02.08 Kyanja-Kisaasi'!K50,'01.08 Kyanja-Kisaasi-24h'!K50,'03.08 Kyanja-Kisaasi-24h'!K50,'04.08 Kyanja-Kisaasi'!K50)</f>
        <v>2</v>
      </c>
      <c r="L50" s="49">
        <f>AVERAGE('29.07 Kyanja -Kisaasi'!L50,'30.07 Kyanja-Kisaasi'!L50,'31.07 Kyanja-Kisaasi'!L50,'02.08 Kyanja-Kisaasi'!L50,'01.08 Kyanja-Kisaasi-24h'!L50,'03.08 Kyanja-Kisaasi-24h'!L50,'04.08 Kyanja-Kisaasi'!L50)</f>
        <v>0.14285714285714285</v>
      </c>
      <c r="M50" s="49">
        <f>AVERAGE('29.07 Kyanja -Kisaasi'!M50,'30.07 Kyanja-Kisaasi'!M50,'31.07 Kyanja-Kisaasi'!M50,'02.08 Kyanja-Kisaasi'!M50,'01.08 Kyanja-Kisaasi-24h'!M50,'03.08 Kyanja-Kisaasi-24h'!M50,'04.08 Kyanja-Kisaasi'!M50)</f>
        <v>100.57142857142857</v>
      </c>
      <c r="N50" s="49">
        <f>AVERAGE('29.07 Kyanja -Kisaasi'!N50,'30.07 Kyanja-Kisaasi'!N50,'31.07 Kyanja-Kisaasi'!N50,'02.08 Kyanja-Kisaasi'!N50,'01.08 Kyanja-Kisaasi-24h'!N50,'03.08 Kyanja-Kisaasi-24h'!N50,'04.08 Kyanja-Kisaasi'!N50)</f>
        <v>0</v>
      </c>
      <c r="O50" s="15">
        <f t="shared" si="0"/>
        <v>133.14285714285714</v>
      </c>
      <c r="P50" s="15">
        <f t="shared" si="1"/>
        <v>233.71428571428572</v>
      </c>
      <c r="R50" s="8"/>
      <c r="T50"/>
    </row>
    <row r="51" spans="2:20" ht="23.1" customHeight="1" x14ac:dyDescent="0.25">
      <c r="B51" s="24" t="s">
        <v>78</v>
      </c>
      <c r="C51" s="49">
        <f>AVERAGE('29.07 Kyanja -Kisaasi'!C51,'30.07 Kyanja-Kisaasi'!C51,'31.07 Kyanja-Kisaasi'!C51,'02.08 Kyanja-Kisaasi'!C51,'01.08 Kyanja-Kisaasi-24h'!C51,'03.08 Kyanja-Kisaasi-24h'!C51,'04.08 Kyanja-Kisaasi'!C51)</f>
        <v>62.571428571428569</v>
      </c>
      <c r="D51" s="49">
        <f>AVERAGE('29.07 Kyanja -Kisaasi'!D51,'30.07 Kyanja-Kisaasi'!D51,'31.07 Kyanja-Kisaasi'!D51,'02.08 Kyanja-Kisaasi'!D51,'01.08 Kyanja-Kisaasi-24h'!D51,'03.08 Kyanja-Kisaasi-24h'!D51,'04.08 Kyanja-Kisaasi'!D51)</f>
        <v>36.142857142857146</v>
      </c>
      <c r="E51" s="49">
        <f>AVERAGE('29.07 Kyanja -Kisaasi'!E51,'30.07 Kyanja-Kisaasi'!E51,'31.07 Kyanja-Kisaasi'!E51,'02.08 Kyanja-Kisaasi'!E51,'01.08 Kyanja-Kisaasi-24h'!E51,'03.08 Kyanja-Kisaasi-24h'!E51,'04.08 Kyanja-Kisaasi'!E51)</f>
        <v>8.8571428571428577</v>
      </c>
      <c r="F51" s="49">
        <f>AVERAGE('29.07 Kyanja -Kisaasi'!F51,'30.07 Kyanja-Kisaasi'!F51,'31.07 Kyanja-Kisaasi'!F51,'02.08 Kyanja-Kisaasi'!F51,'01.08 Kyanja-Kisaasi-24h'!F51,'03.08 Kyanja-Kisaasi-24h'!F51,'04.08 Kyanja-Kisaasi'!F51)</f>
        <v>13.857142857142858</v>
      </c>
      <c r="G51" s="49">
        <f>AVERAGE('29.07 Kyanja -Kisaasi'!G51,'30.07 Kyanja-Kisaasi'!G51,'31.07 Kyanja-Kisaasi'!G51,'02.08 Kyanja-Kisaasi'!G51,'01.08 Kyanja-Kisaasi-24h'!G51,'03.08 Kyanja-Kisaasi-24h'!G51,'04.08 Kyanja-Kisaasi'!G51)</f>
        <v>0.14285714285714285</v>
      </c>
      <c r="H51" s="49">
        <f>AVERAGE('29.07 Kyanja -Kisaasi'!H51,'30.07 Kyanja-Kisaasi'!H51,'31.07 Kyanja-Kisaasi'!H51,'02.08 Kyanja-Kisaasi'!H51,'01.08 Kyanja-Kisaasi-24h'!H51,'03.08 Kyanja-Kisaasi-24h'!H51,'04.08 Kyanja-Kisaasi'!H51)</f>
        <v>0</v>
      </c>
      <c r="I51" s="49">
        <f>AVERAGE('29.07 Kyanja -Kisaasi'!I51,'30.07 Kyanja-Kisaasi'!I51,'31.07 Kyanja-Kisaasi'!I51,'02.08 Kyanja-Kisaasi'!I51,'01.08 Kyanja-Kisaasi-24h'!I51,'03.08 Kyanja-Kisaasi-24h'!I51,'04.08 Kyanja-Kisaasi'!I51)</f>
        <v>2.5714285714285716</v>
      </c>
      <c r="J51" s="49">
        <f>AVERAGE('29.07 Kyanja -Kisaasi'!J51,'30.07 Kyanja-Kisaasi'!J51,'31.07 Kyanja-Kisaasi'!J51,'02.08 Kyanja-Kisaasi'!J51,'01.08 Kyanja-Kisaasi-24h'!J51,'03.08 Kyanja-Kisaasi-24h'!J51,'04.08 Kyanja-Kisaasi'!J51)</f>
        <v>0.8571428571428571</v>
      </c>
      <c r="K51" s="49">
        <f>AVERAGE('29.07 Kyanja -Kisaasi'!K51,'30.07 Kyanja-Kisaasi'!K51,'31.07 Kyanja-Kisaasi'!K51,'02.08 Kyanja-Kisaasi'!K51,'01.08 Kyanja-Kisaasi-24h'!K51,'03.08 Kyanja-Kisaasi-24h'!K51,'04.08 Kyanja-Kisaasi'!K51)</f>
        <v>0.5714285714285714</v>
      </c>
      <c r="L51" s="49">
        <f>AVERAGE('29.07 Kyanja -Kisaasi'!L51,'30.07 Kyanja-Kisaasi'!L51,'31.07 Kyanja-Kisaasi'!L51,'02.08 Kyanja-Kisaasi'!L51,'01.08 Kyanja-Kisaasi-24h'!L51,'03.08 Kyanja-Kisaasi-24h'!L51,'04.08 Kyanja-Kisaasi'!L51)</f>
        <v>0.14285714285714285</v>
      </c>
      <c r="M51" s="49">
        <f>AVERAGE('29.07 Kyanja -Kisaasi'!M51,'30.07 Kyanja-Kisaasi'!M51,'31.07 Kyanja-Kisaasi'!M51,'02.08 Kyanja-Kisaasi'!M51,'01.08 Kyanja-Kisaasi-24h'!M51,'03.08 Kyanja-Kisaasi-24h'!M51,'04.08 Kyanja-Kisaasi'!M51)</f>
        <v>104.28571428571429</v>
      </c>
      <c r="N51" s="49">
        <f>AVERAGE('29.07 Kyanja -Kisaasi'!N51,'30.07 Kyanja-Kisaasi'!N51,'31.07 Kyanja-Kisaasi'!N51,'02.08 Kyanja-Kisaasi'!N51,'01.08 Kyanja-Kisaasi-24h'!N51,'03.08 Kyanja-Kisaasi-24h'!N51,'04.08 Kyanja-Kisaasi'!N51)</f>
        <v>0</v>
      </c>
      <c r="O51" s="15">
        <f t="shared" si="0"/>
        <v>125.71428571428572</v>
      </c>
      <c r="P51" s="15">
        <f t="shared" si="1"/>
        <v>230</v>
      </c>
      <c r="R51" s="8"/>
      <c r="T51"/>
    </row>
    <row r="52" spans="2:20" ht="23.1" customHeight="1" x14ac:dyDescent="0.25">
      <c r="B52" s="24" t="s">
        <v>79</v>
      </c>
      <c r="C52" s="49">
        <f>AVERAGE('29.07 Kyanja -Kisaasi'!C52,'30.07 Kyanja-Kisaasi'!C52,'31.07 Kyanja-Kisaasi'!C52,'02.08 Kyanja-Kisaasi'!C52,'01.08 Kyanja-Kisaasi-24h'!C52,'03.08 Kyanja-Kisaasi-24h'!C52,'04.08 Kyanja-Kisaasi'!C52)</f>
        <v>70.857142857142861</v>
      </c>
      <c r="D52" s="49">
        <f>AVERAGE('29.07 Kyanja -Kisaasi'!D52,'30.07 Kyanja-Kisaasi'!D52,'31.07 Kyanja-Kisaasi'!D52,'02.08 Kyanja-Kisaasi'!D52,'01.08 Kyanja-Kisaasi-24h'!D52,'03.08 Kyanja-Kisaasi-24h'!D52,'04.08 Kyanja-Kisaasi'!D52)</f>
        <v>39.285714285714285</v>
      </c>
      <c r="E52" s="49">
        <f>AVERAGE('29.07 Kyanja -Kisaasi'!E52,'30.07 Kyanja-Kisaasi'!E52,'31.07 Kyanja-Kisaasi'!E52,'02.08 Kyanja-Kisaasi'!E52,'01.08 Kyanja-Kisaasi-24h'!E52,'03.08 Kyanja-Kisaasi-24h'!E52,'04.08 Kyanja-Kisaasi'!E52)</f>
        <v>7.7142857142857144</v>
      </c>
      <c r="F52" s="49">
        <f>AVERAGE('29.07 Kyanja -Kisaasi'!F52,'30.07 Kyanja-Kisaasi'!F52,'31.07 Kyanja-Kisaasi'!F52,'02.08 Kyanja-Kisaasi'!F52,'01.08 Kyanja-Kisaasi-24h'!F52,'03.08 Kyanja-Kisaasi-24h'!F52,'04.08 Kyanja-Kisaasi'!F52)</f>
        <v>18</v>
      </c>
      <c r="G52" s="49">
        <f>AVERAGE('29.07 Kyanja -Kisaasi'!G52,'30.07 Kyanja-Kisaasi'!G52,'31.07 Kyanja-Kisaasi'!G52,'02.08 Kyanja-Kisaasi'!G52,'01.08 Kyanja-Kisaasi-24h'!G52,'03.08 Kyanja-Kisaasi-24h'!G52,'04.08 Kyanja-Kisaasi'!G52)</f>
        <v>0.2857142857142857</v>
      </c>
      <c r="H52" s="49">
        <f>AVERAGE('29.07 Kyanja -Kisaasi'!H52,'30.07 Kyanja-Kisaasi'!H52,'31.07 Kyanja-Kisaasi'!H52,'02.08 Kyanja-Kisaasi'!H52,'01.08 Kyanja-Kisaasi-24h'!H52,'03.08 Kyanja-Kisaasi-24h'!H52,'04.08 Kyanja-Kisaasi'!H52)</f>
        <v>0</v>
      </c>
      <c r="I52" s="49">
        <f>AVERAGE('29.07 Kyanja -Kisaasi'!I52,'30.07 Kyanja-Kisaasi'!I52,'31.07 Kyanja-Kisaasi'!I52,'02.08 Kyanja-Kisaasi'!I52,'01.08 Kyanja-Kisaasi-24h'!I52,'03.08 Kyanja-Kisaasi-24h'!I52,'04.08 Kyanja-Kisaasi'!I52)</f>
        <v>3.1428571428571428</v>
      </c>
      <c r="J52" s="49">
        <f>AVERAGE('29.07 Kyanja -Kisaasi'!J52,'30.07 Kyanja-Kisaasi'!J52,'31.07 Kyanja-Kisaasi'!J52,'02.08 Kyanja-Kisaasi'!J52,'01.08 Kyanja-Kisaasi-24h'!J52,'03.08 Kyanja-Kisaasi-24h'!J52,'04.08 Kyanja-Kisaasi'!J52)</f>
        <v>1.2857142857142858</v>
      </c>
      <c r="K52" s="49">
        <f>AVERAGE('29.07 Kyanja -Kisaasi'!K52,'30.07 Kyanja-Kisaasi'!K52,'31.07 Kyanja-Kisaasi'!K52,'02.08 Kyanja-Kisaasi'!K52,'01.08 Kyanja-Kisaasi-24h'!K52,'03.08 Kyanja-Kisaasi-24h'!K52,'04.08 Kyanja-Kisaasi'!K52)</f>
        <v>1.4285714285714286</v>
      </c>
      <c r="L52" s="49">
        <f>AVERAGE('29.07 Kyanja -Kisaasi'!L52,'30.07 Kyanja-Kisaasi'!L52,'31.07 Kyanja-Kisaasi'!L52,'02.08 Kyanja-Kisaasi'!L52,'01.08 Kyanja-Kisaasi-24h'!L52,'03.08 Kyanja-Kisaasi-24h'!L52,'04.08 Kyanja-Kisaasi'!L52)</f>
        <v>0.5714285714285714</v>
      </c>
      <c r="M52" s="49">
        <f>AVERAGE('29.07 Kyanja -Kisaasi'!M52,'30.07 Kyanja-Kisaasi'!M52,'31.07 Kyanja-Kisaasi'!M52,'02.08 Kyanja-Kisaasi'!M52,'01.08 Kyanja-Kisaasi-24h'!M52,'03.08 Kyanja-Kisaasi-24h'!M52,'04.08 Kyanja-Kisaasi'!M52)</f>
        <v>98.142857142857139</v>
      </c>
      <c r="N52" s="49">
        <f>AVERAGE('29.07 Kyanja -Kisaasi'!N52,'30.07 Kyanja-Kisaasi'!N52,'31.07 Kyanja-Kisaasi'!N52,'02.08 Kyanja-Kisaasi'!N52,'01.08 Kyanja-Kisaasi-24h'!N52,'03.08 Kyanja-Kisaasi-24h'!N52,'04.08 Kyanja-Kisaasi'!N52)</f>
        <v>0</v>
      </c>
      <c r="O52" s="15">
        <f t="shared" si="0"/>
        <v>142.57142857142853</v>
      </c>
      <c r="P52" s="15">
        <f t="shared" si="1"/>
        <v>240.71428571428567</v>
      </c>
      <c r="R52" s="8"/>
      <c r="T52"/>
    </row>
    <row r="53" spans="2:20" ht="23.1" customHeight="1" x14ac:dyDescent="0.25">
      <c r="B53" s="23" t="s">
        <v>80</v>
      </c>
      <c r="C53" s="49">
        <f>AVERAGE('29.07 Kyanja -Kisaasi'!C53,'30.07 Kyanja-Kisaasi'!C53,'31.07 Kyanja-Kisaasi'!C53,'02.08 Kyanja-Kisaasi'!C53,'01.08 Kyanja-Kisaasi-24h'!C53,'03.08 Kyanja-Kisaasi-24h'!C53,'04.08 Kyanja-Kisaasi'!C53)</f>
        <v>71.571428571428569</v>
      </c>
      <c r="D53" s="49">
        <f>AVERAGE('29.07 Kyanja -Kisaasi'!D53,'30.07 Kyanja-Kisaasi'!D53,'31.07 Kyanja-Kisaasi'!D53,'02.08 Kyanja-Kisaasi'!D53,'01.08 Kyanja-Kisaasi-24h'!D53,'03.08 Kyanja-Kisaasi-24h'!D53,'04.08 Kyanja-Kisaasi'!D53)</f>
        <v>43</v>
      </c>
      <c r="E53" s="49">
        <f>AVERAGE('29.07 Kyanja -Kisaasi'!E53,'30.07 Kyanja-Kisaasi'!E53,'31.07 Kyanja-Kisaasi'!E53,'02.08 Kyanja-Kisaasi'!E53,'01.08 Kyanja-Kisaasi-24h'!E53,'03.08 Kyanja-Kisaasi-24h'!E53,'04.08 Kyanja-Kisaasi'!E53)</f>
        <v>8.5714285714285712</v>
      </c>
      <c r="F53" s="49">
        <f>AVERAGE('29.07 Kyanja -Kisaasi'!F53,'30.07 Kyanja-Kisaasi'!F53,'31.07 Kyanja-Kisaasi'!F53,'02.08 Kyanja-Kisaasi'!F53,'01.08 Kyanja-Kisaasi-24h'!F53,'03.08 Kyanja-Kisaasi-24h'!F53,'04.08 Kyanja-Kisaasi'!F53)</f>
        <v>23.571428571428573</v>
      </c>
      <c r="G53" s="49">
        <f>AVERAGE('29.07 Kyanja -Kisaasi'!G53,'30.07 Kyanja-Kisaasi'!G53,'31.07 Kyanja-Kisaasi'!G53,'02.08 Kyanja-Kisaasi'!G53,'01.08 Kyanja-Kisaasi-24h'!G53,'03.08 Kyanja-Kisaasi-24h'!G53,'04.08 Kyanja-Kisaasi'!G53)</f>
        <v>0.42857142857142855</v>
      </c>
      <c r="H53" s="49">
        <f>AVERAGE('29.07 Kyanja -Kisaasi'!H53,'30.07 Kyanja-Kisaasi'!H53,'31.07 Kyanja-Kisaasi'!H53,'02.08 Kyanja-Kisaasi'!H53,'01.08 Kyanja-Kisaasi-24h'!H53,'03.08 Kyanja-Kisaasi-24h'!H53,'04.08 Kyanja-Kisaasi'!H53)</f>
        <v>0</v>
      </c>
      <c r="I53" s="49">
        <f>AVERAGE('29.07 Kyanja -Kisaasi'!I53,'30.07 Kyanja-Kisaasi'!I53,'31.07 Kyanja-Kisaasi'!I53,'02.08 Kyanja-Kisaasi'!I53,'01.08 Kyanja-Kisaasi-24h'!I53,'03.08 Kyanja-Kisaasi-24h'!I53,'04.08 Kyanja-Kisaasi'!I53)</f>
        <v>2.5714285714285716</v>
      </c>
      <c r="J53" s="49">
        <f>AVERAGE('29.07 Kyanja -Kisaasi'!J53,'30.07 Kyanja-Kisaasi'!J53,'31.07 Kyanja-Kisaasi'!J53,'02.08 Kyanja-Kisaasi'!J53,'01.08 Kyanja-Kisaasi-24h'!J53,'03.08 Kyanja-Kisaasi-24h'!J53,'04.08 Kyanja-Kisaasi'!J53)</f>
        <v>1.1428571428571428</v>
      </c>
      <c r="K53" s="49">
        <f>AVERAGE('29.07 Kyanja -Kisaasi'!K53,'30.07 Kyanja-Kisaasi'!K53,'31.07 Kyanja-Kisaasi'!K53,'02.08 Kyanja-Kisaasi'!K53,'01.08 Kyanja-Kisaasi-24h'!K53,'03.08 Kyanja-Kisaasi-24h'!K53,'04.08 Kyanja-Kisaasi'!K53)</f>
        <v>0.5714285714285714</v>
      </c>
      <c r="L53" s="49">
        <f>AVERAGE('29.07 Kyanja -Kisaasi'!L53,'30.07 Kyanja-Kisaasi'!L53,'31.07 Kyanja-Kisaasi'!L53,'02.08 Kyanja-Kisaasi'!L53,'01.08 Kyanja-Kisaasi-24h'!L53,'03.08 Kyanja-Kisaasi-24h'!L53,'04.08 Kyanja-Kisaasi'!L53)</f>
        <v>0</v>
      </c>
      <c r="M53" s="49">
        <f>AVERAGE('29.07 Kyanja -Kisaasi'!M53,'30.07 Kyanja-Kisaasi'!M53,'31.07 Kyanja-Kisaasi'!M53,'02.08 Kyanja-Kisaasi'!M53,'01.08 Kyanja-Kisaasi-24h'!M53,'03.08 Kyanja-Kisaasi-24h'!M53,'04.08 Kyanja-Kisaasi'!M53)</f>
        <v>105.28571428571429</v>
      </c>
      <c r="N53" s="49">
        <f>AVERAGE('29.07 Kyanja -Kisaasi'!N53,'30.07 Kyanja-Kisaasi'!N53,'31.07 Kyanja-Kisaasi'!N53,'02.08 Kyanja-Kisaasi'!N53,'01.08 Kyanja-Kisaasi-24h'!N53,'03.08 Kyanja-Kisaasi-24h'!N53,'04.08 Kyanja-Kisaasi'!N53)</f>
        <v>0</v>
      </c>
      <c r="O53" s="15">
        <f t="shared" si="0"/>
        <v>151.42857142857144</v>
      </c>
      <c r="P53" s="15">
        <f t="shared" si="1"/>
        <v>256.71428571428572</v>
      </c>
      <c r="R53" s="8"/>
      <c r="T53"/>
    </row>
    <row r="54" spans="2:20" ht="23.1" customHeight="1" x14ac:dyDescent="0.25">
      <c r="B54" s="23" t="s">
        <v>81</v>
      </c>
      <c r="C54" s="49">
        <f>AVERAGE('29.07 Kyanja -Kisaasi'!C54,'30.07 Kyanja-Kisaasi'!C54,'31.07 Kyanja-Kisaasi'!C54,'02.08 Kyanja-Kisaasi'!C54,'01.08 Kyanja-Kisaasi-24h'!C54,'03.08 Kyanja-Kisaasi-24h'!C54,'04.08 Kyanja-Kisaasi'!C54)</f>
        <v>59.571428571428569</v>
      </c>
      <c r="D54" s="49">
        <f>AVERAGE('29.07 Kyanja -Kisaasi'!D54,'30.07 Kyanja-Kisaasi'!D54,'31.07 Kyanja-Kisaasi'!D54,'02.08 Kyanja-Kisaasi'!D54,'01.08 Kyanja-Kisaasi-24h'!D54,'03.08 Kyanja-Kisaasi-24h'!D54,'04.08 Kyanja-Kisaasi'!D54)</f>
        <v>38.857142857142854</v>
      </c>
      <c r="E54" s="49">
        <f>AVERAGE('29.07 Kyanja -Kisaasi'!E54,'30.07 Kyanja-Kisaasi'!E54,'31.07 Kyanja-Kisaasi'!E54,'02.08 Kyanja-Kisaasi'!E54,'01.08 Kyanja-Kisaasi-24h'!E54,'03.08 Kyanja-Kisaasi-24h'!E54,'04.08 Kyanja-Kisaasi'!E54)</f>
        <v>7.1428571428571432</v>
      </c>
      <c r="F54" s="49">
        <f>AVERAGE('29.07 Kyanja -Kisaasi'!F54,'30.07 Kyanja-Kisaasi'!F54,'31.07 Kyanja-Kisaasi'!F54,'02.08 Kyanja-Kisaasi'!F54,'01.08 Kyanja-Kisaasi-24h'!F54,'03.08 Kyanja-Kisaasi-24h'!F54,'04.08 Kyanja-Kisaasi'!F54)</f>
        <v>28</v>
      </c>
      <c r="G54" s="49">
        <f>AVERAGE('29.07 Kyanja -Kisaasi'!G54,'30.07 Kyanja-Kisaasi'!G54,'31.07 Kyanja-Kisaasi'!G54,'02.08 Kyanja-Kisaasi'!G54,'01.08 Kyanja-Kisaasi-24h'!G54,'03.08 Kyanja-Kisaasi-24h'!G54,'04.08 Kyanja-Kisaasi'!G54)</f>
        <v>0.2857142857142857</v>
      </c>
      <c r="H54" s="49">
        <f>AVERAGE('29.07 Kyanja -Kisaasi'!H54,'30.07 Kyanja-Kisaasi'!H54,'31.07 Kyanja-Kisaasi'!H54,'02.08 Kyanja-Kisaasi'!H54,'01.08 Kyanja-Kisaasi-24h'!H54,'03.08 Kyanja-Kisaasi-24h'!H54,'04.08 Kyanja-Kisaasi'!H54)</f>
        <v>0</v>
      </c>
      <c r="I54" s="49">
        <f>AVERAGE('29.07 Kyanja -Kisaasi'!I54,'30.07 Kyanja-Kisaasi'!I54,'31.07 Kyanja-Kisaasi'!I54,'02.08 Kyanja-Kisaasi'!I54,'01.08 Kyanja-Kisaasi-24h'!I54,'03.08 Kyanja-Kisaasi-24h'!I54,'04.08 Kyanja-Kisaasi'!I54)</f>
        <v>1.7142857142857142</v>
      </c>
      <c r="J54" s="49">
        <f>AVERAGE('29.07 Kyanja -Kisaasi'!J54,'30.07 Kyanja-Kisaasi'!J54,'31.07 Kyanja-Kisaasi'!J54,'02.08 Kyanja-Kisaasi'!J54,'01.08 Kyanja-Kisaasi-24h'!J54,'03.08 Kyanja-Kisaasi-24h'!J54,'04.08 Kyanja-Kisaasi'!J54)</f>
        <v>1.1428571428571428</v>
      </c>
      <c r="K54" s="49">
        <f>AVERAGE('29.07 Kyanja -Kisaasi'!K54,'30.07 Kyanja-Kisaasi'!K54,'31.07 Kyanja-Kisaasi'!K54,'02.08 Kyanja-Kisaasi'!K54,'01.08 Kyanja-Kisaasi-24h'!K54,'03.08 Kyanja-Kisaasi-24h'!K54,'04.08 Kyanja-Kisaasi'!K54)</f>
        <v>0.8571428571428571</v>
      </c>
      <c r="L54" s="49">
        <f>AVERAGE('29.07 Kyanja -Kisaasi'!L54,'30.07 Kyanja-Kisaasi'!L54,'31.07 Kyanja-Kisaasi'!L54,'02.08 Kyanja-Kisaasi'!L54,'01.08 Kyanja-Kisaasi-24h'!L54,'03.08 Kyanja-Kisaasi-24h'!L54,'04.08 Kyanja-Kisaasi'!L54)</f>
        <v>0.14285714285714285</v>
      </c>
      <c r="M54" s="49">
        <f>AVERAGE('29.07 Kyanja -Kisaasi'!M54,'30.07 Kyanja-Kisaasi'!M54,'31.07 Kyanja-Kisaasi'!M54,'02.08 Kyanja-Kisaasi'!M54,'01.08 Kyanja-Kisaasi-24h'!M54,'03.08 Kyanja-Kisaasi-24h'!M54,'04.08 Kyanja-Kisaasi'!M54)</f>
        <v>111.28571428571429</v>
      </c>
      <c r="N54" s="49">
        <f>AVERAGE('29.07 Kyanja -Kisaasi'!N54,'30.07 Kyanja-Kisaasi'!N54,'31.07 Kyanja-Kisaasi'!N54,'02.08 Kyanja-Kisaasi'!N54,'01.08 Kyanja-Kisaasi-24h'!N54,'03.08 Kyanja-Kisaasi-24h'!N54,'04.08 Kyanja-Kisaasi'!N54)</f>
        <v>0</v>
      </c>
      <c r="O54" s="15">
        <f t="shared" si="0"/>
        <v>137.71428571428569</v>
      </c>
      <c r="P54" s="15">
        <f t="shared" si="1"/>
        <v>249</v>
      </c>
      <c r="R54" s="8"/>
      <c r="T54"/>
    </row>
    <row r="55" spans="2:20" ht="23.1" customHeight="1" x14ac:dyDescent="0.25">
      <c r="B55" s="23" t="s">
        <v>82</v>
      </c>
      <c r="C55" s="49">
        <f>AVERAGE('29.07 Kyanja -Kisaasi'!C55,'30.07 Kyanja-Kisaasi'!C55,'31.07 Kyanja-Kisaasi'!C55,'02.08 Kyanja-Kisaasi'!C55,'01.08 Kyanja-Kisaasi-24h'!C55,'03.08 Kyanja-Kisaasi-24h'!C55,'04.08 Kyanja-Kisaasi'!C55)</f>
        <v>48</v>
      </c>
      <c r="D55" s="49">
        <f>AVERAGE('29.07 Kyanja -Kisaasi'!D55,'30.07 Kyanja-Kisaasi'!D55,'31.07 Kyanja-Kisaasi'!D55,'02.08 Kyanja-Kisaasi'!D55,'01.08 Kyanja-Kisaasi-24h'!D55,'03.08 Kyanja-Kisaasi-24h'!D55,'04.08 Kyanja-Kisaasi'!D55)</f>
        <v>42.857142857142854</v>
      </c>
      <c r="E55" s="49">
        <f>AVERAGE('29.07 Kyanja -Kisaasi'!E55,'30.07 Kyanja-Kisaasi'!E55,'31.07 Kyanja-Kisaasi'!E55,'02.08 Kyanja-Kisaasi'!E55,'01.08 Kyanja-Kisaasi-24h'!E55,'03.08 Kyanja-Kisaasi-24h'!E55,'04.08 Kyanja-Kisaasi'!E55)</f>
        <v>10.285714285714286</v>
      </c>
      <c r="F55" s="49">
        <f>AVERAGE('29.07 Kyanja -Kisaasi'!F55,'30.07 Kyanja-Kisaasi'!F55,'31.07 Kyanja-Kisaasi'!F55,'02.08 Kyanja-Kisaasi'!F55,'01.08 Kyanja-Kisaasi-24h'!F55,'03.08 Kyanja-Kisaasi-24h'!F55,'04.08 Kyanja-Kisaasi'!F55)</f>
        <v>22</v>
      </c>
      <c r="G55" s="49">
        <f>AVERAGE('29.07 Kyanja -Kisaasi'!G55,'30.07 Kyanja-Kisaasi'!G55,'31.07 Kyanja-Kisaasi'!G55,'02.08 Kyanja-Kisaasi'!G55,'01.08 Kyanja-Kisaasi-24h'!G55,'03.08 Kyanja-Kisaasi-24h'!G55,'04.08 Kyanja-Kisaasi'!G55)</f>
        <v>0.14285714285714285</v>
      </c>
      <c r="H55" s="49">
        <f>AVERAGE('29.07 Kyanja -Kisaasi'!H55,'30.07 Kyanja-Kisaasi'!H55,'31.07 Kyanja-Kisaasi'!H55,'02.08 Kyanja-Kisaasi'!H55,'01.08 Kyanja-Kisaasi-24h'!H55,'03.08 Kyanja-Kisaasi-24h'!H55,'04.08 Kyanja-Kisaasi'!H55)</f>
        <v>0</v>
      </c>
      <c r="I55" s="49">
        <f>AVERAGE('29.07 Kyanja -Kisaasi'!I55,'30.07 Kyanja-Kisaasi'!I55,'31.07 Kyanja-Kisaasi'!I55,'02.08 Kyanja-Kisaasi'!I55,'01.08 Kyanja-Kisaasi-24h'!I55,'03.08 Kyanja-Kisaasi-24h'!I55,'04.08 Kyanja-Kisaasi'!I55)</f>
        <v>2</v>
      </c>
      <c r="J55" s="49">
        <f>AVERAGE('29.07 Kyanja -Kisaasi'!J55,'30.07 Kyanja-Kisaasi'!J55,'31.07 Kyanja-Kisaasi'!J55,'02.08 Kyanja-Kisaasi'!J55,'01.08 Kyanja-Kisaasi-24h'!J55,'03.08 Kyanja-Kisaasi-24h'!J55,'04.08 Kyanja-Kisaasi'!J55)</f>
        <v>2.1428571428571428</v>
      </c>
      <c r="K55" s="49">
        <f>AVERAGE('29.07 Kyanja -Kisaasi'!K55,'30.07 Kyanja-Kisaasi'!K55,'31.07 Kyanja-Kisaasi'!K55,'02.08 Kyanja-Kisaasi'!K55,'01.08 Kyanja-Kisaasi-24h'!K55,'03.08 Kyanja-Kisaasi-24h'!K55,'04.08 Kyanja-Kisaasi'!K55)</f>
        <v>0.7142857142857143</v>
      </c>
      <c r="L55" s="49">
        <f>AVERAGE('29.07 Kyanja -Kisaasi'!L55,'30.07 Kyanja-Kisaasi'!L55,'31.07 Kyanja-Kisaasi'!L55,'02.08 Kyanja-Kisaasi'!L55,'01.08 Kyanja-Kisaasi-24h'!L55,'03.08 Kyanja-Kisaasi-24h'!L55,'04.08 Kyanja-Kisaasi'!L55)</f>
        <v>0</v>
      </c>
      <c r="M55" s="49">
        <f>AVERAGE('29.07 Kyanja -Kisaasi'!M55,'30.07 Kyanja-Kisaasi'!M55,'31.07 Kyanja-Kisaasi'!M55,'02.08 Kyanja-Kisaasi'!M55,'01.08 Kyanja-Kisaasi-24h'!M55,'03.08 Kyanja-Kisaasi-24h'!M55,'04.08 Kyanja-Kisaasi'!M55)</f>
        <v>105</v>
      </c>
      <c r="N55" s="49">
        <f>AVERAGE('29.07 Kyanja -Kisaasi'!N55,'30.07 Kyanja-Kisaasi'!N55,'31.07 Kyanja-Kisaasi'!N55,'02.08 Kyanja-Kisaasi'!N55,'01.08 Kyanja-Kisaasi-24h'!N55,'03.08 Kyanja-Kisaasi-24h'!N55,'04.08 Kyanja-Kisaasi'!N55)</f>
        <v>0</v>
      </c>
      <c r="O55" s="15">
        <f t="shared" si="0"/>
        <v>128.14285714285714</v>
      </c>
      <c r="P55" s="15">
        <f t="shared" si="1"/>
        <v>233.14285714285714</v>
      </c>
      <c r="R55" s="8"/>
      <c r="T55"/>
    </row>
    <row r="56" spans="2:20" ht="23.1" customHeight="1" x14ac:dyDescent="0.25">
      <c r="B56" s="23" t="s">
        <v>83</v>
      </c>
      <c r="C56" s="49">
        <f>AVERAGE('29.07 Kyanja -Kisaasi'!C56,'30.07 Kyanja-Kisaasi'!C56,'31.07 Kyanja-Kisaasi'!C56,'02.08 Kyanja-Kisaasi'!C56,'01.08 Kyanja-Kisaasi-24h'!C56,'03.08 Kyanja-Kisaasi-24h'!C56,'04.08 Kyanja-Kisaasi'!C56)</f>
        <v>63.285714285714285</v>
      </c>
      <c r="D56" s="49">
        <f>AVERAGE('29.07 Kyanja -Kisaasi'!D56,'30.07 Kyanja-Kisaasi'!D56,'31.07 Kyanja-Kisaasi'!D56,'02.08 Kyanja-Kisaasi'!D56,'01.08 Kyanja-Kisaasi-24h'!D56,'03.08 Kyanja-Kisaasi-24h'!D56,'04.08 Kyanja-Kisaasi'!D56)</f>
        <v>50.857142857142854</v>
      </c>
      <c r="E56" s="49">
        <f>AVERAGE('29.07 Kyanja -Kisaasi'!E56,'30.07 Kyanja-Kisaasi'!E56,'31.07 Kyanja-Kisaasi'!E56,'02.08 Kyanja-Kisaasi'!E56,'01.08 Kyanja-Kisaasi-24h'!E56,'03.08 Kyanja-Kisaasi-24h'!E56,'04.08 Kyanja-Kisaasi'!E56)</f>
        <v>5.5714285714285712</v>
      </c>
      <c r="F56" s="49">
        <f>AVERAGE('29.07 Kyanja -Kisaasi'!F56,'30.07 Kyanja-Kisaasi'!F56,'31.07 Kyanja-Kisaasi'!F56,'02.08 Kyanja-Kisaasi'!F56,'01.08 Kyanja-Kisaasi-24h'!F56,'03.08 Kyanja-Kisaasi-24h'!F56,'04.08 Kyanja-Kisaasi'!F56)</f>
        <v>34.142857142857146</v>
      </c>
      <c r="G56" s="49">
        <f>AVERAGE('29.07 Kyanja -Kisaasi'!G56,'30.07 Kyanja-Kisaasi'!G56,'31.07 Kyanja-Kisaasi'!G56,'02.08 Kyanja-Kisaasi'!G56,'01.08 Kyanja-Kisaasi-24h'!G56,'03.08 Kyanja-Kisaasi-24h'!G56,'04.08 Kyanja-Kisaasi'!G56)</f>
        <v>0.2857142857142857</v>
      </c>
      <c r="H56" s="49">
        <f>AVERAGE('29.07 Kyanja -Kisaasi'!H56,'30.07 Kyanja-Kisaasi'!H56,'31.07 Kyanja-Kisaasi'!H56,'02.08 Kyanja-Kisaasi'!H56,'01.08 Kyanja-Kisaasi-24h'!H56,'03.08 Kyanja-Kisaasi-24h'!H56,'04.08 Kyanja-Kisaasi'!H56)</f>
        <v>0</v>
      </c>
      <c r="I56" s="49">
        <f>AVERAGE('29.07 Kyanja -Kisaasi'!I56,'30.07 Kyanja-Kisaasi'!I56,'31.07 Kyanja-Kisaasi'!I56,'02.08 Kyanja-Kisaasi'!I56,'01.08 Kyanja-Kisaasi-24h'!I56,'03.08 Kyanja-Kisaasi-24h'!I56,'04.08 Kyanja-Kisaasi'!I56)</f>
        <v>1.5714285714285714</v>
      </c>
      <c r="J56" s="49">
        <f>AVERAGE('29.07 Kyanja -Kisaasi'!J56,'30.07 Kyanja-Kisaasi'!J56,'31.07 Kyanja-Kisaasi'!J56,'02.08 Kyanja-Kisaasi'!J56,'01.08 Kyanja-Kisaasi-24h'!J56,'03.08 Kyanja-Kisaasi-24h'!J56,'04.08 Kyanja-Kisaasi'!J56)</f>
        <v>0.7142857142857143</v>
      </c>
      <c r="K56" s="49">
        <f>AVERAGE('29.07 Kyanja -Kisaasi'!K56,'30.07 Kyanja-Kisaasi'!K56,'31.07 Kyanja-Kisaasi'!K56,'02.08 Kyanja-Kisaasi'!K56,'01.08 Kyanja-Kisaasi-24h'!K56,'03.08 Kyanja-Kisaasi-24h'!K56,'04.08 Kyanja-Kisaasi'!K56)</f>
        <v>0.42857142857142855</v>
      </c>
      <c r="L56" s="49">
        <f>AVERAGE('29.07 Kyanja -Kisaasi'!L56,'30.07 Kyanja-Kisaasi'!L56,'31.07 Kyanja-Kisaasi'!L56,'02.08 Kyanja-Kisaasi'!L56,'01.08 Kyanja-Kisaasi-24h'!L56,'03.08 Kyanja-Kisaasi-24h'!L56,'04.08 Kyanja-Kisaasi'!L56)</f>
        <v>0</v>
      </c>
      <c r="M56" s="49">
        <f>AVERAGE('29.07 Kyanja -Kisaasi'!M56,'30.07 Kyanja-Kisaasi'!M56,'31.07 Kyanja-Kisaasi'!M56,'02.08 Kyanja-Kisaasi'!M56,'01.08 Kyanja-Kisaasi-24h'!M56,'03.08 Kyanja-Kisaasi-24h'!M56,'04.08 Kyanja-Kisaasi'!M56)</f>
        <v>114.14285714285714</v>
      </c>
      <c r="N56" s="49">
        <f>AVERAGE('29.07 Kyanja -Kisaasi'!N56,'30.07 Kyanja-Kisaasi'!N56,'31.07 Kyanja-Kisaasi'!N56,'02.08 Kyanja-Kisaasi'!N56,'01.08 Kyanja-Kisaasi-24h'!N56,'03.08 Kyanja-Kisaasi-24h'!N56,'04.08 Kyanja-Kisaasi'!N56)</f>
        <v>0</v>
      </c>
      <c r="O56" s="15">
        <f t="shared" si="0"/>
        <v>156.85714285714286</v>
      </c>
      <c r="P56" s="15">
        <f t="shared" si="1"/>
        <v>271</v>
      </c>
      <c r="R56" s="8"/>
      <c r="T56"/>
    </row>
    <row r="57" spans="2:20" ht="23.1" customHeight="1" x14ac:dyDescent="0.25">
      <c r="B57" s="23" t="s">
        <v>84</v>
      </c>
      <c r="C57" s="49">
        <f>AVERAGE('29.07 Kyanja -Kisaasi'!C57,'30.07 Kyanja-Kisaasi'!C57,'31.07 Kyanja-Kisaasi'!C57,'02.08 Kyanja-Kisaasi'!C57,'01.08 Kyanja-Kisaasi-24h'!C57,'03.08 Kyanja-Kisaasi-24h'!C57,'04.08 Kyanja-Kisaasi'!C57)</f>
        <v>74</v>
      </c>
      <c r="D57" s="49">
        <f>AVERAGE('29.07 Kyanja -Kisaasi'!D57,'30.07 Kyanja-Kisaasi'!D57,'31.07 Kyanja-Kisaasi'!D57,'02.08 Kyanja-Kisaasi'!D57,'01.08 Kyanja-Kisaasi-24h'!D57,'03.08 Kyanja-Kisaasi-24h'!D57,'04.08 Kyanja-Kisaasi'!D57)</f>
        <v>46.428571428571431</v>
      </c>
      <c r="E57" s="49">
        <f>AVERAGE('29.07 Kyanja -Kisaasi'!E57,'30.07 Kyanja-Kisaasi'!E57,'31.07 Kyanja-Kisaasi'!E57,'02.08 Kyanja-Kisaasi'!E57,'01.08 Kyanja-Kisaasi-24h'!E57,'03.08 Kyanja-Kisaasi-24h'!E57,'04.08 Kyanja-Kisaasi'!E57)</f>
        <v>12</v>
      </c>
      <c r="F57" s="49">
        <f>AVERAGE('29.07 Kyanja -Kisaasi'!F57,'30.07 Kyanja-Kisaasi'!F57,'31.07 Kyanja-Kisaasi'!F57,'02.08 Kyanja-Kisaasi'!F57,'01.08 Kyanja-Kisaasi-24h'!F57,'03.08 Kyanja-Kisaasi-24h'!F57,'04.08 Kyanja-Kisaasi'!F57)</f>
        <v>31.428571428571427</v>
      </c>
      <c r="G57" s="49">
        <f>AVERAGE('29.07 Kyanja -Kisaasi'!G57,'30.07 Kyanja-Kisaasi'!G57,'31.07 Kyanja-Kisaasi'!G57,'02.08 Kyanja-Kisaasi'!G57,'01.08 Kyanja-Kisaasi-24h'!G57,'03.08 Kyanja-Kisaasi-24h'!G57,'04.08 Kyanja-Kisaasi'!G57)</f>
        <v>0.2857142857142857</v>
      </c>
      <c r="H57" s="49">
        <f>AVERAGE('29.07 Kyanja -Kisaasi'!H57,'30.07 Kyanja-Kisaasi'!H57,'31.07 Kyanja-Kisaasi'!H57,'02.08 Kyanja-Kisaasi'!H57,'01.08 Kyanja-Kisaasi-24h'!H57,'03.08 Kyanja-Kisaasi-24h'!H57,'04.08 Kyanja-Kisaasi'!H57)</f>
        <v>0</v>
      </c>
      <c r="I57" s="49">
        <f>AVERAGE('29.07 Kyanja -Kisaasi'!I57,'30.07 Kyanja-Kisaasi'!I57,'31.07 Kyanja-Kisaasi'!I57,'02.08 Kyanja-Kisaasi'!I57,'01.08 Kyanja-Kisaasi-24h'!I57,'03.08 Kyanja-Kisaasi-24h'!I57,'04.08 Kyanja-Kisaasi'!I57)</f>
        <v>2.4285714285714284</v>
      </c>
      <c r="J57" s="49">
        <f>AVERAGE('29.07 Kyanja -Kisaasi'!J57,'30.07 Kyanja-Kisaasi'!J57,'31.07 Kyanja-Kisaasi'!J57,'02.08 Kyanja-Kisaasi'!J57,'01.08 Kyanja-Kisaasi-24h'!J57,'03.08 Kyanja-Kisaasi-24h'!J57,'04.08 Kyanja-Kisaasi'!J57)</f>
        <v>1.2857142857142858</v>
      </c>
      <c r="K57" s="49">
        <f>AVERAGE('29.07 Kyanja -Kisaasi'!K57,'30.07 Kyanja-Kisaasi'!K57,'31.07 Kyanja-Kisaasi'!K57,'02.08 Kyanja-Kisaasi'!K57,'01.08 Kyanja-Kisaasi-24h'!K57,'03.08 Kyanja-Kisaasi-24h'!K57,'04.08 Kyanja-Kisaasi'!K57)</f>
        <v>0.8571428571428571</v>
      </c>
      <c r="L57" s="49">
        <f>AVERAGE('29.07 Kyanja -Kisaasi'!L57,'30.07 Kyanja-Kisaasi'!L57,'31.07 Kyanja-Kisaasi'!L57,'02.08 Kyanja-Kisaasi'!L57,'01.08 Kyanja-Kisaasi-24h'!L57,'03.08 Kyanja-Kisaasi-24h'!L57,'04.08 Kyanja-Kisaasi'!L57)</f>
        <v>0</v>
      </c>
      <c r="M57" s="49">
        <f>AVERAGE('29.07 Kyanja -Kisaasi'!M57,'30.07 Kyanja-Kisaasi'!M57,'31.07 Kyanja-Kisaasi'!M57,'02.08 Kyanja-Kisaasi'!M57,'01.08 Kyanja-Kisaasi-24h'!M57,'03.08 Kyanja-Kisaasi-24h'!M57,'04.08 Kyanja-Kisaasi'!M57)</f>
        <v>112.85714285714286</v>
      </c>
      <c r="N57" s="49">
        <f>AVERAGE('29.07 Kyanja -Kisaasi'!N57,'30.07 Kyanja-Kisaasi'!N57,'31.07 Kyanja-Kisaasi'!N57,'02.08 Kyanja-Kisaasi'!N57,'01.08 Kyanja-Kisaasi-24h'!N57,'03.08 Kyanja-Kisaasi-24h'!N57,'04.08 Kyanja-Kisaasi'!N57)</f>
        <v>0</v>
      </c>
      <c r="O57" s="15">
        <f t="shared" si="0"/>
        <v>168.71428571428569</v>
      </c>
      <c r="P57" s="15">
        <f t="shared" si="1"/>
        <v>281.57142857142856</v>
      </c>
      <c r="R57" s="8"/>
      <c r="T57"/>
    </row>
    <row r="58" spans="2:20" ht="23.1" customHeight="1" x14ac:dyDescent="0.25">
      <c r="B58" s="23" t="s">
        <v>99</v>
      </c>
      <c r="C58" s="49">
        <f>AVERAGE('01.08 Kyanja-Kisaasi-24h'!C58,'03.08 Kyanja-Kisaasi-24h'!C58)</f>
        <v>21.5</v>
      </c>
      <c r="D58" s="49">
        <f>AVERAGE('01.08 Kyanja-Kisaasi-24h'!D58,'03.08 Kyanja-Kisaasi-24h'!D58)</f>
        <v>12.5</v>
      </c>
      <c r="E58" s="49">
        <f>AVERAGE('01.08 Kyanja-Kisaasi-24h'!E58,'03.08 Kyanja-Kisaasi-24h'!E58)</f>
        <v>2.5</v>
      </c>
      <c r="F58" s="49">
        <f>AVERAGE('01.08 Kyanja-Kisaasi-24h'!F58,'03.08 Kyanja-Kisaasi-24h'!F58)</f>
        <v>5</v>
      </c>
      <c r="G58" s="49">
        <f>AVERAGE('01.08 Kyanja-Kisaasi-24h'!G58,'03.08 Kyanja-Kisaasi-24h'!G58)</f>
        <v>0.5</v>
      </c>
      <c r="H58" s="49">
        <f>AVERAGE('01.08 Kyanja-Kisaasi-24h'!H58,'03.08 Kyanja-Kisaasi-24h'!H58)</f>
        <v>0</v>
      </c>
      <c r="I58" s="49">
        <f>AVERAGE('01.08 Kyanja-Kisaasi-24h'!I58,'03.08 Kyanja-Kisaasi-24h'!I58)</f>
        <v>4.5</v>
      </c>
      <c r="J58" s="49">
        <f>AVERAGE('01.08 Kyanja-Kisaasi-24h'!J58,'03.08 Kyanja-Kisaasi-24h'!J58)</f>
        <v>0.5</v>
      </c>
      <c r="K58" s="49">
        <f>AVERAGE('01.08 Kyanja-Kisaasi-24h'!K58,'03.08 Kyanja-Kisaasi-24h'!K58)</f>
        <v>0.5</v>
      </c>
      <c r="L58" s="49">
        <f>AVERAGE('01.08 Kyanja-Kisaasi-24h'!L58,'03.08 Kyanja-Kisaasi-24h'!L58)</f>
        <v>0</v>
      </c>
      <c r="M58" s="49">
        <f>AVERAGE('01.08 Kyanja-Kisaasi-24h'!M58,'03.08 Kyanja-Kisaasi-24h'!M58)</f>
        <v>85</v>
      </c>
      <c r="N58" s="49">
        <f>AVERAGE('01.08 Kyanja-Kisaasi-24h'!N58,'03.08 Kyanja-Kisaasi-24h'!N58)</f>
        <v>0</v>
      </c>
      <c r="O58" s="49">
        <f>AVERAGE('01.08 Kyanja-Kisaasi-24h'!O58,'03.08 Kyanja-Kisaasi-24h'!O58)</f>
        <v>47.5</v>
      </c>
      <c r="P58" s="49">
        <f>AVERAGE('01.08 Kyanja-Kisaasi-24h'!P58,'03.08 Kyanja-Kisaasi-24h'!P58)</f>
        <v>132.5</v>
      </c>
      <c r="R58" s="8"/>
      <c r="T58"/>
    </row>
    <row r="59" spans="2:20" ht="23.1" customHeight="1" x14ac:dyDescent="0.25">
      <c r="B59" s="23" t="s">
        <v>100</v>
      </c>
      <c r="C59" s="49">
        <f>AVERAGE('01.08 Kyanja-Kisaasi-24h'!C59,'03.08 Kyanja-Kisaasi-24h'!C59)</f>
        <v>32.5</v>
      </c>
      <c r="D59" s="49">
        <f>AVERAGE('01.08 Kyanja-Kisaasi-24h'!D59,'03.08 Kyanja-Kisaasi-24h'!D59)</f>
        <v>21.5</v>
      </c>
      <c r="E59" s="49">
        <f>AVERAGE('01.08 Kyanja-Kisaasi-24h'!E59,'03.08 Kyanja-Kisaasi-24h'!E59)</f>
        <v>7.5</v>
      </c>
      <c r="F59" s="49">
        <f>AVERAGE('01.08 Kyanja-Kisaasi-24h'!F59,'03.08 Kyanja-Kisaasi-24h'!F59)</f>
        <v>8.5</v>
      </c>
      <c r="G59" s="49">
        <f>AVERAGE('01.08 Kyanja-Kisaasi-24h'!G59,'03.08 Kyanja-Kisaasi-24h'!G59)</f>
        <v>0.5</v>
      </c>
      <c r="H59" s="49">
        <f>AVERAGE('01.08 Kyanja-Kisaasi-24h'!H59,'03.08 Kyanja-Kisaasi-24h'!H59)</f>
        <v>0</v>
      </c>
      <c r="I59" s="49">
        <f>AVERAGE('01.08 Kyanja-Kisaasi-24h'!I59,'03.08 Kyanja-Kisaasi-24h'!I59)</f>
        <v>2</v>
      </c>
      <c r="J59" s="49">
        <f>AVERAGE('01.08 Kyanja-Kisaasi-24h'!J59,'03.08 Kyanja-Kisaasi-24h'!J59)</f>
        <v>0.5</v>
      </c>
      <c r="K59" s="49">
        <f>AVERAGE('01.08 Kyanja-Kisaasi-24h'!K59,'03.08 Kyanja-Kisaasi-24h'!K59)</f>
        <v>0.5</v>
      </c>
      <c r="L59" s="49">
        <f>AVERAGE('01.08 Kyanja-Kisaasi-24h'!L59,'03.08 Kyanja-Kisaasi-24h'!L59)</f>
        <v>0.5</v>
      </c>
      <c r="M59" s="49">
        <f>AVERAGE('01.08 Kyanja-Kisaasi-24h'!M59,'03.08 Kyanja-Kisaasi-24h'!M59)</f>
        <v>109.5</v>
      </c>
      <c r="N59" s="49">
        <f>AVERAGE('01.08 Kyanja-Kisaasi-24h'!N59,'03.08 Kyanja-Kisaasi-24h'!N59)</f>
        <v>0</v>
      </c>
      <c r="O59" s="49">
        <f>AVERAGE('01.08 Kyanja-Kisaasi-24h'!O59,'03.08 Kyanja-Kisaasi-24h'!O59)</f>
        <v>74</v>
      </c>
      <c r="P59" s="49">
        <f>AVERAGE('01.08 Kyanja-Kisaasi-24h'!P59,'03.08 Kyanja-Kisaasi-24h'!P59)</f>
        <v>183.5</v>
      </c>
      <c r="R59" s="8"/>
      <c r="T59"/>
    </row>
    <row r="60" spans="2:20" ht="23.1" customHeight="1" x14ac:dyDescent="0.25">
      <c r="B60" s="23" t="s">
        <v>101</v>
      </c>
      <c r="C60" s="49">
        <f>AVERAGE('01.08 Kyanja-Kisaasi-24h'!C60,'03.08 Kyanja-Kisaasi-24h'!C60)</f>
        <v>38</v>
      </c>
      <c r="D60" s="49">
        <f>AVERAGE('01.08 Kyanja-Kisaasi-24h'!D60,'03.08 Kyanja-Kisaasi-24h'!D60)</f>
        <v>24</v>
      </c>
      <c r="E60" s="49">
        <f>AVERAGE('01.08 Kyanja-Kisaasi-24h'!E60,'03.08 Kyanja-Kisaasi-24h'!E60)</f>
        <v>7</v>
      </c>
      <c r="F60" s="49">
        <f>AVERAGE('01.08 Kyanja-Kisaasi-24h'!F60,'03.08 Kyanja-Kisaasi-24h'!F60)</f>
        <v>11</v>
      </c>
      <c r="G60" s="49">
        <f>AVERAGE('01.08 Kyanja-Kisaasi-24h'!G60,'03.08 Kyanja-Kisaasi-24h'!G60)</f>
        <v>0.5</v>
      </c>
      <c r="H60" s="49">
        <f>AVERAGE('01.08 Kyanja-Kisaasi-24h'!H60,'03.08 Kyanja-Kisaasi-24h'!H60)</f>
        <v>0</v>
      </c>
      <c r="I60" s="49">
        <f>AVERAGE('01.08 Kyanja-Kisaasi-24h'!I60,'03.08 Kyanja-Kisaasi-24h'!I60)</f>
        <v>0.5</v>
      </c>
      <c r="J60" s="49">
        <f>AVERAGE('01.08 Kyanja-Kisaasi-24h'!J60,'03.08 Kyanja-Kisaasi-24h'!J60)</f>
        <v>0.5</v>
      </c>
      <c r="K60" s="49">
        <f>AVERAGE('01.08 Kyanja-Kisaasi-24h'!K60,'03.08 Kyanja-Kisaasi-24h'!K60)</f>
        <v>1</v>
      </c>
      <c r="L60" s="49">
        <f>AVERAGE('01.08 Kyanja-Kisaasi-24h'!L60,'03.08 Kyanja-Kisaasi-24h'!L60)</f>
        <v>0.5</v>
      </c>
      <c r="M60" s="49">
        <f>AVERAGE('01.08 Kyanja-Kisaasi-24h'!M60,'03.08 Kyanja-Kisaasi-24h'!M60)</f>
        <v>186.5</v>
      </c>
      <c r="N60" s="49">
        <f>AVERAGE('01.08 Kyanja-Kisaasi-24h'!N60,'03.08 Kyanja-Kisaasi-24h'!N60)</f>
        <v>0</v>
      </c>
      <c r="O60" s="49">
        <f>AVERAGE('01.08 Kyanja-Kisaasi-24h'!O60,'03.08 Kyanja-Kisaasi-24h'!O60)</f>
        <v>83</v>
      </c>
      <c r="P60" s="49">
        <f>AVERAGE('01.08 Kyanja-Kisaasi-24h'!P60,'03.08 Kyanja-Kisaasi-24h'!P60)</f>
        <v>269.5</v>
      </c>
      <c r="R60" s="8"/>
      <c r="T60"/>
    </row>
    <row r="61" spans="2:20" ht="23.1" customHeight="1" x14ac:dyDescent="0.25">
      <c r="B61" s="23" t="s">
        <v>102</v>
      </c>
      <c r="C61" s="49">
        <f>AVERAGE('01.08 Kyanja-Kisaasi-24h'!C61,'03.08 Kyanja-Kisaasi-24h'!C61)</f>
        <v>50</v>
      </c>
      <c r="D61" s="49">
        <f>AVERAGE('01.08 Kyanja-Kisaasi-24h'!D61,'03.08 Kyanja-Kisaasi-24h'!D61)</f>
        <v>23.5</v>
      </c>
      <c r="E61" s="49">
        <f>AVERAGE('01.08 Kyanja-Kisaasi-24h'!E61,'03.08 Kyanja-Kisaasi-24h'!E61)</f>
        <v>6.5</v>
      </c>
      <c r="F61" s="49">
        <f>AVERAGE('01.08 Kyanja-Kisaasi-24h'!F61,'03.08 Kyanja-Kisaasi-24h'!F61)</f>
        <v>11.5</v>
      </c>
      <c r="G61" s="49">
        <f>AVERAGE('01.08 Kyanja-Kisaasi-24h'!G61,'03.08 Kyanja-Kisaasi-24h'!G61)</f>
        <v>0</v>
      </c>
      <c r="H61" s="49">
        <f>AVERAGE('01.08 Kyanja-Kisaasi-24h'!H61,'03.08 Kyanja-Kisaasi-24h'!H61)</f>
        <v>0</v>
      </c>
      <c r="I61" s="49">
        <f>AVERAGE('01.08 Kyanja-Kisaasi-24h'!I61,'03.08 Kyanja-Kisaasi-24h'!I61)</f>
        <v>1.5</v>
      </c>
      <c r="J61" s="49">
        <f>AVERAGE('01.08 Kyanja-Kisaasi-24h'!J61,'03.08 Kyanja-Kisaasi-24h'!J61)</f>
        <v>1</v>
      </c>
      <c r="K61" s="49">
        <f>AVERAGE('01.08 Kyanja-Kisaasi-24h'!K61,'03.08 Kyanja-Kisaasi-24h'!K61)</f>
        <v>1</v>
      </c>
      <c r="L61" s="49">
        <f>AVERAGE('01.08 Kyanja-Kisaasi-24h'!L61,'03.08 Kyanja-Kisaasi-24h'!L61)</f>
        <v>0</v>
      </c>
      <c r="M61" s="49">
        <f>AVERAGE('01.08 Kyanja-Kisaasi-24h'!M61,'03.08 Kyanja-Kisaasi-24h'!M61)</f>
        <v>104.5</v>
      </c>
      <c r="N61" s="49">
        <f>AVERAGE('01.08 Kyanja-Kisaasi-24h'!N61,'03.08 Kyanja-Kisaasi-24h'!N61)</f>
        <v>0</v>
      </c>
      <c r="O61" s="49">
        <f>AVERAGE('01.08 Kyanja-Kisaasi-24h'!O61,'03.08 Kyanja-Kisaasi-24h'!O61)</f>
        <v>95</v>
      </c>
      <c r="P61" s="49">
        <f>AVERAGE('01.08 Kyanja-Kisaasi-24h'!P61,'03.08 Kyanja-Kisaasi-24h'!P61)</f>
        <v>199.5</v>
      </c>
      <c r="R61" s="8"/>
      <c r="T61"/>
    </row>
    <row r="62" spans="2:20" ht="23.1" customHeight="1" x14ac:dyDescent="0.25">
      <c r="B62" s="23" t="s">
        <v>107</v>
      </c>
      <c r="C62" s="49">
        <f>AVERAGE('01.08 Kyanja-Kisaasi-24h'!C62,'03.08 Kyanja-Kisaasi-24h'!C62)</f>
        <v>45</v>
      </c>
      <c r="D62" s="49">
        <f>AVERAGE('01.08 Kyanja-Kisaasi-24h'!D62,'03.08 Kyanja-Kisaasi-24h'!D62)</f>
        <v>18.5</v>
      </c>
      <c r="E62" s="49">
        <f>AVERAGE('01.08 Kyanja-Kisaasi-24h'!E62,'03.08 Kyanja-Kisaasi-24h'!E62)</f>
        <v>4</v>
      </c>
      <c r="F62" s="49">
        <f>AVERAGE('01.08 Kyanja-Kisaasi-24h'!F62,'03.08 Kyanja-Kisaasi-24h'!F62)</f>
        <v>5.5</v>
      </c>
      <c r="G62" s="49">
        <f>AVERAGE('01.08 Kyanja-Kisaasi-24h'!G62,'03.08 Kyanja-Kisaasi-24h'!G62)</f>
        <v>0</v>
      </c>
      <c r="H62" s="49">
        <f>AVERAGE('01.08 Kyanja-Kisaasi-24h'!H62,'03.08 Kyanja-Kisaasi-24h'!H62)</f>
        <v>0</v>
      </c>
      <c r="I62" s="49">
        <f>AVERAGE('01.08 Kyanja-Kisaasi-24h'!I62,'03.08 Kyanja-Kisaasi-24h'!I62)</f>
        <v>2</v>
      </c>
      <c r="J62" s="49">
        <f>AVERAGE('01.08 Kyanja-Kisaasi-24h'!J62,'03.08 Kyanja-Kisaasi-24h'!J62)</f>
        <v>2.5</v>
      </c>
      <c r="K62" s="49">
        <f>AVERAGE('01.08 Kyanja-Kisaasi-24h'!K62,'03.08 Kyanja-Kisaasi-24h'!K62)</f>
        <v>0</v>
      </c>
      <c r="L62" s="49">
        <f>AVERAGE('01.08 Kyanja-Kisaasi-24h'!L62,'03.08 Kyanja-Kisaasi-24h'!L62)</f>
        <v>0</v>
      </c>
      <c r="M62" s="49">
        <f>AVERAGE('01.08 Kyanja-Kisaasi-24h'!M62,'03.08 Kyanja-Kisaasi-24h'!M62)</f>
        <v>94</v>
      </c>
      <c r="N62" s="49">
        <f>AVERAGE('01.08 Kyanja-Kisaasi-24h'!N62,'03.08 Kyanja-Kisaasi-24h'!N62)</f>
        <v>0</v>
      </c>
      <c r="O62" s="49">
        <f>AVERAGE('01.08 Kyanja-Kisaasi-24h'!O62,'03.08 Kyanja-Kisaasi-24h'!O62)</f>
        <v>77.5</v>
      </c>
      <c r="P62" s="49">
        <f>AVERAGE('01.08 Kyanja-Kisaasi-24h'!P62,'03.08 Kyanja-Kisaasi-24h'!P62)</f>
        <v>171.5</v>
      </c>
      <c r="R62" s="8"/>
      <c r="T62"/>
    </row>
    <row r="63" spans="2:20" ht="23.1" customHeight="1" x14ac:dyDescent="0.25">
      <c r="B63" s="23" t="s">
        <v>108</v>
      </c>
      <c r="C63" s="49">
        <f>AVERAGE('01.08 Kyanja-Kisaasi-24h'!C63,'03.08 Kyanja-Kisaasi-24h'!C63)</f>
        <v>45.5</v>
      </c>
      <c r="D63" s="49">
        <f>AVERAGE('01.08 Kyanja-Kisaasi-24h'!D63,'03.08 Kyanja-Kisaasi-24h'!D63)</f>
        <v>6</v>
      </c>
      <c r="E63" s="49">
        <f>AVERAGE('01.08 Kyanja-Kisaasi-24h'!E63,'03.08 Kyanja-Kisaasi-24h'!E63)</f>
        <v>3.5</v>
      </c>
      <c r="F63" s="49">
        <f>AVERAGE('01.08 Kyanja-Kisaasi-24h'!F63,'03.08 Kyanja-Kisaasi-24h'!F63)</f>
        <v>8.5</v>
      </c>
      <c r="G63" s="49">
        <f>AVERAGE('01.08 Kyanja-Kisaasi-24h'!G63,'03.08 Kyanja-Kisaasi-24h'!G63)</f>
        <v>0</v>
      </c>
      <c r="H63" s="49">
        <f>AVERAGE('01.08 Kyanja-Kisaasi-24h'!H63,'03.08 Kyanja-Kisaasi-24h'!H63)</f>
        <v>0</v>
      </c>
      <c r="I63" s="49">
        <f>AVERAGE('01.08 Kyanja-Kisaasi-24h'!I63,'03.08 Kyanja-Kisaasi-24h'!I63)</f>
        <v>1.5</v>
      </c>
      <c r="J63" s="49">
        <f>AVERAGE('01.08 Kyanja-Kisaasi-24h'!J63,'03.08 Kyanja-Kisaasi-24h'!J63)</f>
        <v>0.5</v>
      </c>
      <c r="K63" s="49">
        <f>AVERAGE('01.08 Kyanja-Kisaasi-24h'!K63,'03.08 Kyanja-Kisaasi-24h'!K63)</f>
        <v>0.5</v>
      </c>
      <c r="L63" s="49">
        <f>AVERAGE('01.08 Kyanja-Kisaasi-24h'!L63,'03.08 Kyanja-Kisaasi-24h'!L63)</f>
        <v>0</v>
      </c>
      <c r="M63" s="49">
        <f>AVERAGE('01.08 Kyanja-Kisaasi-24h'!M63,'03.08 Kyanja-Kisaasi-24h'!M63)</f>
        <v>93.5</v>
      </c>
      <c r="N63" s="49">
        <f>AVERAGE('01.08 Kyanja-Kisaasi-24h'!N63,'03.08 Kyanja-Kisaasi-24h'!N63)</f>
        <v>0</v>
      </c>
      <c r="O63" s="49">
        <f>AVERAGE('01.08 Kyanja-Kisaasi-24h'!O63,'03.08 Kyanja-Kisaasi-24h'!O63)</f>
        <v>66</v>
      </c>
      <c r="P63" s="49">
        <f>AVERAGE('01.08 Kyanja-Kisaasi-24h'!P63,'03.08 Kyanja-Kisaasi-24h'!P63)</f>
        <v>159.5</v>
      </c>
      <c r="R63" s="8"/>
      <c r="T63"/>
    </row>
    <row r="64" spans="2:20" ht="23.1" customHeight="1" x14ac:dyDescent="0.25">
      <c r="B64" s="23" t="s">
        <v>109</v>
      </c>
      <c r="C64" s="49">
        <f>AVERAGE('01.08 Kyanja-Kisaasi-24h'!C64,'03.08 Kyanja-Kisaasi-24h'!C64)</f>
        <v>43.5</v>
      </c>
      <c r="D64" s="49">
        <f>AVERAGE('01.08 Kyanja-Kisaasi-24h'!D64,'03.08 Kyanja-Kisaasi-24h'!D64)</f>
        <v>13</v>
      </c>
      <c r="E64" s="49">
        <f>AVERAGE('01.08 Kyanja-Kisaasi-24h'!E64,'03.08 Kyanja-Kisaasi-24h'!E64)</f>
        <v>3</v>
      </c>
      <c r="F64" s="49">
        <f>AVERAGE('01.08 Kyanja-Kisaasi-24h'!F64,'03.08 Kyanja-Kisaasi-24h'!F64)</f>
        <v>15.5</v>
      </c>
      <c r="G64" s="49">
        <f>AVERAGE('01.08 Kyanja-Kisaasi-24h'!G64,'03.08 Kyanja-Kisaasi-24h'!G64)</f>
        <v>0</v>
      </c>
      <c r="H64" s="49">
        <f>AVERAGE('01.08 Kyanja-Kisaasi-24h'!H64,'03.08 Kyanja-Kisaasi-24h'!H64)</f>
        <v>0</v>
      </c>
      <c r="I64" s="49">
        <f>AVERAGE('01.08 Kyanja-Kisaasi-24h'!I64,'03.08 Kyanja-Kisaasi-24h'!I64)</f>
        <v>2</v>
      </c>
      <c r="J64" s="49">
        <f>AVERAGE('01.08 Kyanja-Kisaasi-24h'!J64,'03.08 Kyanja-Kisaasi-24h'!J64)</f>
        <v>0</v>
      </c>
      <c r="K64" s="49">
        <f>AVERAGE('01.08 Kyanja-Kisaasi-24h'!K64,'03.08 Kyanja-Kisaasi-24h'!K64)</f>
        <v>1</v>
      </c>
      <c r="L64" s="49">
        <f>AVERAGE('01.08 Kyanja-Kisaasi-24h'!L64,'03.08 Kyanja-Kisaasi-24h'!L64)</f>
        <v>0</v>
      </c>
      <c r="M64" s="49">
        <f>AVERAGE('01.08 Kyanja-Kisaasi-24h'!M64,'03.08 Kyanja-Kisaasi-24h'!M64)</f>
        <v>105</v>
      </c>
      <c r="N64" s="49">
        <f>AVERAGE('01.08 Kyanja-Kisaasi-24h'!N64,'03.08 Kyanja-Kisaasi-24h'!N64)</f>
        <v>0</v>
      </c>
      <c r="O64" s="49">
        <f>AVERAGE('01.08 Kyanja-Kisaasi-24h'!O64,'03.08 Kyanja-Kisaasi-24h'!O64)</f>
        <v>78</v>
      </c>
      <c r="P64" s="49">
        <f>AVERAGE('01.08 Kyanja-Kisaasi-24h'!P64,'03.08 Kyanja-Kisaasi-24h'!P64)</f>
        <v>183</v>
      </c>
      <c r="R64" s="8"/>
      <c r="T64"/>
    </row>
    <row r="65" spans="2:20" ht="23.1" customHeight="1" x14ac:dyDescent="0.25">
      <c r="B65" s="23" t="s">
        <v>158</v>
      </c>
      <c r="C65" s="49">
        <f>AVERAGE('01.08 Kyanja-Kisaasi-24h'!C65,'03.08 Kyanja-Kisaasi-24h'!C65)</f>
        <v>27.5</v>
      </c>
      <c r="D65" s="49">
        <f>AVERAGE('01.08 Kyanja-Kisaasi-24h'!D65,'03.08 Kyanja-Kisaasi-24h'!D65)</f>
        <v>10.5</v>
      </c>
      <c r="E65" s="49">
        <f>AVERAGE('01.08 Kyanja-Kisaasi-24h'!E65,'03.08 Kyanja-Kisaasi-24h'!E65)</f>
        <v>7</v>
      </c>
      <c r="F65" s="49">
        <f>AVERAGE('01.08 Kyanja-Kisaasi-24h'!F65,'03.08 Kyanja-Kisaasi-24h'!F65)</f>
        <v>7.5</v>
      </c>
      <c r="G65" s="49">
        <f>AVERAGE('01.08 Kyanja-Kisaasi-24h'!G65,'03.08 Kyanja-Kisaasi-24h'!G65)</f>
        <v>0</v>
      </c>
      <c r="H65" s="49">
        <f>AVERAGE('01.08 Kyanja-Kisaasi-24h'!H65,'03.08 Kyanja-Kisaasi-24h'!H65)</f>
        <v>0</v>
      </c>
      <c r="I65" s="49">
        <f>AVERAGE('01.08 Kyanja-Kisaasi-24h'!I65,'03.08 Kyanja-Kisaasi-24h'!I65)</f>
        <v>1</v>
      </c>
      <c r="J65" s="49">
        <f>AVERAGE('01.08 Kyanja-Kisaasi-24h'!J65,'03.08 Kyanja-Kisaasi-24h'!J65)</f>
        <v>0.5</v>
      </c>
      <c r="K65" s="49">
        <f>AVERAGE('01.08 Kyanja-Kisaasi-24h'!K65,'03.08 Kyanja-Kisaasi-24h'!K65)</f>
        <v>1</v>
      </c>
      <c r="L65" s="49">
        <f>AVERAGE('01.08 Kyanja-Kisaasi-24h'!L65,'03.08 Kyanja-Kisaasi-24h'!L65)</f>
        <v>0</v>
      </c>
      <c r="M65" s="49">
        <f>AVERAGE('01.08 Kyanja-Kisaasi-24h'!M65,'03.08 Kyanja-Kisaasi-24h'!M65)</f>
        <v>101</v>
      </c>
      <c r="N65" s="49">
        <f>AVERAGE('01.08 Kyanja-Kisaasi-24h'!N65,'03.08 Kyanja-Kisaasi-24h'!N65)</f>
        <v>0</v>
      </c>
      <c r="O65" s="49">
        <f>AVERAGE('01.08 Kyanja-Kisaasi-24h'!O65,'03.08 Kyanja-Kisaasi-24h'!O65)</f>
        <v>55</v>
      </c>
      <c r="P65" s="49">
        <f>AVERAGE('01.08 Kyanja-Kisaasi-24h'!P65,'03.08 Kyanja-Kisaasi-24h'!P65)</f>
        <v>156</v>
      </c>
      <c r="R65" s="8"/>
      <c r="T65"/>
    </row>
    <row r="66" spans="2:20" ht="23.1" customHeight="1" x14ac:dyDescent="0.25">
      <c r="B66" s="23" t="s">
        <v>103</v>
      </c>
      <c r="C66" s="49">
        <f>AVERAGE('01.08 Kyanja-Kisaasi-24h'!C66,'03.08 Kyanja-Kisaasi-24h'!C66)</f>
        <v>59</v>
      </c>
      <c r="D66" s="49">
        <f>AVERAGE('01.08 Kyanja-Kisaasi-24h'!D66,'03.08 Kyanja-Kisaasi-24h'!D66)</f>
        <v>15.5</v>
      </c>
      <c r="E66" s="49">
        <f>AVERAGE('01.08 Kyanja-Kisaasi-24h'!E66,'03.08 Kyanja-Kisaasi-24h'!E66)</f>
        <v>4.5</v>
      </c>
      <c r="F66" s="49">
        <f>AVERAGE('01.08 Kyanja-Kisaasi-24h'!F66,'03.08 Kyanja-Kisaasi-24h'!F66)</f>
        <v>11.5</v>
      </c>
      <c r="G66" s="49">
        <f>AVERAGE('01.08 Kyanja-Kisaasi-24h'!G66,'03.08 Kyanja-Kisaasi-24h'!G66)</f>
        <v>0</v>
      </c>
      <c r="H66" s="49">
        <f>AVERAGE('01.08 Kyanja-Kisaasi-24h'!H66,'03.08 Kyanja-Kisaasi-24h'!H66)</f>
        <v>0</v>
      </c>
      <c r="I66" s="49">
        <f>AVERAGE('01.08 Kyanja-Kisaasi-24h'!I66,'03.08 Kyanja-Kisaasi-24h'!I66)</f>
        <v>1.5</v>
      </c>
      <c r="J66" s="49">
        <f>AVERAGE('01.08 Kyanja-Kisaasi-24h'!J66,'03.08 Kyanja-Kisaasi-24h'!J66)</f>
        <v>0.5</v>
      </c>
      <c r="K66" s="49">
        <f>AVERAGE('01.08 Kyanja-Kisaasi-24h'!K66,'03.08 Kyanja-Kisaasi-24h'!K66)</f>
        <v>0</v>
      </c>
      <c r="L66" s="49">
        <f>AVERAGE('01.08 Kyanja-Kisaasi-24h'!L66,'03.08 Kyanja-Kisaasi-24h'!L66)</f>
        <v>0</v>
      </c>
      <c r="M66" s="49">
        <f>AVERAGE('01.08 Kyanja-Kisaasi-24h'!M66,'03.08 Kyanja-Kisaasi-24h'!M66)</f>
        <v>104.5</v>
      </c>
      <c r="N66" s="49">
        <f>AVERAGE('01.08 Kyanja-Kisaasi-24h'!N66,'03.08 Kyanja-Kisaasi-24h'!N66)</f>
        <v>0</v>
      </c>
      <c r="O66" s="49">
        <f>AVERAGE('01.08 Kyanja-Kisaasi-24h'!O66,'03.08 Kyanja-Kisaasi-24h'!O66)</f>
        <v>92.5</v>
      </c>
      <c r="P66" s="49">
        <f>AVERAGE('01.08 Kyanja-Kisaasi-24h'!P66,'03.08 Kyanja-Kisaasi-24h'!P66)</f>
        <v>197</v>
      </c>
      <c r="R66" s="8"/>
      <c r="T66"/>
    </row>
    <row r="67" spans="2:20" ht="23.1" customHeight="1" x14ac:dyDescent="0.25">
      <c r="B67" s="23" t="s">
        <v>104</v>
      </c>
      <c r="C67" s="49">
        <f>AVERAGE('01.08 Kyanja-Kisaasi-24h'!C67,'03.08 Kyanja-Kisaasi-24h'!C67)</f>
        <v>57.5</v>
      </c>
      <c r="D67" s="49">
        <f>AVERAGE('01.08 Kyanja-Kisaasi-24h'!D67,'03.08 Kyanja-Kisaasi-24h'!D67)</f>
        <v>16</v>
      </c>
      <c r="E67" s="49">
        <f>AVERAGE('01.08 Kyanja-Kisaasi-24h'!E67,'03.08 Kyanja-Kisaasi-24h'!E67)</f>
        <v>3</v>
      </c>
      <c r="F67" s="49">
        <f>AVERAGE('01.08 Kyanja-Kisaasi-24h'!F67,'03.08 Kyanja-Kisaasi-24h'!F67)</f>
        <v>16.5</v>
      </c>
      <c r="G67" s="49">
        <f>AVERAGE('01.08 Kyanja-Kisaasi-24h'!G67,'03.08 Kyanja-Kisaasi-24h'!G67)</f>
        <v>2.5</v>
      </c>
      <c r="H67" s="49">
        <f>AVERAGE('01.08 Kyanja-Kisaasi-24h'!H67,'03.08 Kyanja-Kisaasi-24h'!H67)</f>
        <v>0</v>
      </c>
      <c r="I67" s="49">
        <f>AVERAGE('01.08 Kyanja-Kisaasi-24h'!I67,'03.08 Kyanja-Kisaasi-24h'!I67)</f>
        <v>1</v>
      </c>
      <c r="J67" s="49">
        <f>AVERAGE('01.08 Kyanja-Kisaasi-24h'!J67,'03.08 Kyanja-Kisaasi-24h'!J67)</f>
        <v>0.5</v>
      </c>
      <c r="K67" s="49">
        <f>AVERAGE('01.08 Kyanja-Kisaasi-24h'!K67,'03.08 Kyanja-Kisaasi-24h'!K67)</f>
        <v>0</v>
      </c>
      <c r="L67" s="49">
        <f>AVERAGE('01.08 Kyanja-Kisaasi-24h'!L67,'03.08 Kyanja-Kisaasi-24h'!L67)</f>
        <v>0</v>
      </c>
      <c r="M67" s="49">
        <f>AVERAGE('01.08 Kyanja-Kisaasi-24h'!M67,'03.08 Kyanja-Kisaasi-24h'!M67)</f>
        <v>84.5</v>
      </c>
      <c r="N67" s="49">
        <f>AVERAGE('01.08 Kyanja-Kisaasi-24h'!N67,'03.08 Kyanja-Kisaasi-24h'!N67)</f>
        <v>0</v>
      </c>
      <c r="O67" s="49">
        <f>AVERAGE('01.08 Kyanja-Kisaasi-24h'!O67,'03.08 Kyanja-Kisaasi-24h'!O67)</f>
        <v>97</v>
      </c>
      <c r="P67" s="49">
        <f>AVERAGE('01.08 Kyanja-Kisaasi-24h'!P67,'03.08 Kyanja-Kisaasi-24h'!P67)</f>
        <v>181.5</v>
      </c>
      <c r="R67" s="8"/>
      <c r="T67"/>
    </row>
    <row r="68" spans="2:20" ht="23.1" customHeight="1" x14ac:dyDescent="0.25">
      <c r="B68" s="23" t="s">
        <v>105</v>
      </c>
      <c r="C68" s="49">
        <f>AVERAGE('01.08 Kyanja-Kisaasi-24h'!C68,'03.08 Kyanja-Kisaasi-24h'!C68)</f>
        <v>47.5</v>
      </c>
      <c r="D68" s="49">
        <f>AVERAGE('01.08 Kyanja-Kisaasi-24h'!D68,'03.08 Kyanja-Kisaasi-24h'!D68)</f>
        <v>14.5</v>
      </c>
      <c r="E68" s="49">
        <f>AVERAGE('01.08 Kyanja-Kisaasi-24h'!E68,'03.08 Kyanja-Kisaasi-24h'!E68)</f>
        <v>1.5</v>
      </c>
      <c r="F68" s="49">
        <f>AVERAGE('01.08 Kyanja-Kisaasi-24h'!F68,'03.08 Kyanja-Kisaasi-24h'!F68)</f>
        <v>9.5</v>
      </c>
      <c r="G68" s="49">
        <f>AVERAGE('01.08 Kyanja-Kisaasi-24h'!G68,'03.08 Kyanja-Kisaasi-24h'!G68)</f>
        <v>0</v>
      </c>
      <c r="H68" s="49">
        <f>AVERAGE('01.08 Kyanja-Kisaasi-24h'!H68,'03.08 Kyanja-Kisaasi-24h'!H68)</f>
        <v>0</v>
      </c>
      <c r="I68" s="49">
        <f>AVERAGE('01.08 Kyanja-Kisaasi-24h'!I68,'03.08 Kyanja-Kisaasi-24h'!I68)</f>
        <v>0</v>
      </c>
      <c r="J68" s="49">
        <f>AVERAGE('01.08 Kyanja-Kisaasi-24h'!J68,'03.08 Kyanja-Kisaasi-24h'!J68)</f>
        <v>0.5</v>
      </c>
      <c r="K68" s="49">
        <f>AVERAGE('01.08 Kyanja-Kisaasi-24h'!K68,'03.08 Kyanja-Kisaasi-24h'!K68)</f>
        <v>0</v>
      </c>
      <c r="L68" s="49">
        <f>AVERAGE('01.08 Kyanja-Kisaasi-24h'!L68,'03.08 Kyanja-Kisaasi-24h'!L68)</f>
        <v>0</v>
      </c>
      <c r="M68" s="49">
        <f>AVERAGE('01.08 Kyanja-Kisaasi-24h'!M68,'03.08 Kyanja-Kisaasi-24h'!M68)</f>
        <v>91.5</v>
      </c>
      <c r="N68" s="49">
        <f>AVERAGE('01.08 Kyanja-Kisaasi-24h'!N68,'03.08 Kyanja-Kisaasi-24h'!N68)</f>
        <v>0</v>
      </c>
      <c r="O68" s="49">
        <f>AVERAGE('01.08 Kyanja-Kisaasi-24h'!O68,'03.08 Kyanja-Kisaasi-24h'!O68)</f>
        <v>73.5</v>
      </c>
      <c r="P68" s="49">
        <f>AVERAGE('01.08 Kyanja-Kisaasi-24h'!P68,'03.08 Kyanja-Kisaasi-24h'!P68)</f>
        <v>165</v>
      </c>
      <c r="R68" s="8"/>
      <c r="T68"/>
    </row>
    <row r="69" spans="2:20" ht="23.1" customHeight="1" x14ac:dyDescent="0.25">
      <c r="B69" s="23" t="s">
        <v>106</v>
      </c>
      <c r="C69" s="49">
        <f>AVERAGE('01.08 Kyanja-Kisaasi-24h'!C69,'03.08 Kyanja-Kisaasi-24h'!C69)</f>
        <v>47.5</v>
      </c>
      <c r="D69" s="49">
        <f>AVERAGE('01.08 Kyanja-Kisaasi-24h'!D69,'03.08 Kyanja-Kisaasi-24h'!D69)</f>
        <v>9</v>
      </c>
      <c r="E69" s="49">
        <f>AVERAGE('01.08 Kyanja-Kisaasi-24h'!E69,'03.08 Kyanja-Kisaasi-24h'!E69)</f>
        <v>5</v>
      </c>
      <c r="F69" s="49">
        <f>AVERAGE('01.08 Kyanja-Kisaasi-24h'!F69,'03.08 Kyanja-Kisaasi-24h'!F69)</f>
        <v>15.5</v>
      </c>
      <c r="G69" s="49">
        <f>AVERAGE('01.08 Kyanja-Kisaasi-24h'!G69,'03.08 Kyanja-Kisaasi-24h'!G69)</f>
        <v>0</v>
      </c>
      <c r="H69" s="49">
        <f>AVERAGE('01.08 Kyanja-Kisaasi-24h'!H69,'03.08 Kyanja-Kisaasi-24h'!H69)</f>
        <v>0</v>
      </c>
      <c r="I69" s="49">
        <f>AVERAGE('01.08 Kyanja-Kisaasi-24h'!I69,'03.08 Kyanja-Kisaasi-24h'!I69)</f>
        <v>3.5</v>
      </c>
      <c r="J69" s="49">
        <f>AVERAGE('01.08 Kyanja-Kisaasi-24h'!J69,'03.08 Kyanja-Kisaasi-24h'!J69)</f>
        <v>0.5</v>
      </c>
      <c r="K69" s="49">
        <f>AVERAGE('01.08 Kyanja-Kisaasi-24h'!K69,'03.08 Kyanja-Kisaasi-24h'!K69)</f>
        <v>0</v>
      </c>
      <c r="L69" s="49">
        <f>AVERAGE('01.08 Kyanja-Kisaasi-24h'!L69,'03.08 Kyanja-Kisaasi-24h'!L69)</f>
        <v>0</v>
      </c>
      <c r="M69" s="49">
        <f>AVERAGE('01.08 Kyanja-Kisaasi-24h'!M69,'03.08 Kyanja-Kisaasi-24h'!M69)</f>
        <v>75.5</v>
      </c>
      <c r="N69" s="49">
        <f>AVERAGE('01.08 Kyanja-Kisaasi-24h'!N69,'03.08 Kyanja-Kisaasi-24h'!N69)</f>
        <v>0</v>
      </c>
      <c r="O69" s="49">
        <f>AVERAGE('01.08 Kyanja-Kisaasi-24h'!O69,'03.08 Kyanja-Kisaasi-24h'!O69)</f>
        <v>81</v>
      </c>
      <c r="P69" s="49">
        <f>AVERAGE('01.08 Kyanja-Kisaasi-24h'!P69,'03.08 Kyanja-Kisaasi-24h'!P69)</f>
        <v>156.5</v>
      </c>
      <c r="R69" s="8"/>
      <c r="T69"/>
    </row>
    <row r="70" spans="2:20" ht="23.1" customHeight="1" x14ac:dyDescent="0.25">
      <c r="B70" s="23" t="s">
        <v>110</v>
      </c>
      <c r="C70" s="49">
        <f>AVERAGE('01.08 Kyanja-Kisaasi-24h'!C70,'03.08 Kyanja-Kisaasi-24h'!C70)</f>
        <v>42</v>
      </c>
      <c r="D70" s="49">
        <f>AVERAGE('01.08 Kyanja-Kisaasi-24h'!D70,'03.08 Kyanja-Kisaasi-24h'!D70)</f>
        <v>15</v>
      </c>
      <c r="E70" s="49">
        <f>AVERAGE('01.08 Kyanja-Kisaasi-24h'!E70,'03.08 Kyanja-Kisaasi-24h'!E70)</f>
        <v>7.5</v>
      </c>
      <c r="F70" s="49">
        <f>AVERAGE('01.08 Kyanja-Kisaasi-24h'!F70,'03.08 Kyanja-Kisaasi-24h'!F70)</f>
        <v>18</v>
      </c>
      <c r="G70" s="49">
        <f>AVERAGE('01.08 Kyanja-Kisaasi-24h'!G70,'03.08 Kyanja-Kisaasi-24h'!G70)</f>
        <v>0</v>
      </c>
      <c r="H70" s="49">
        <f>AVERAGE('01.08 Kyanja-Kisaasi-24h'!H70,'03.08 Kyanja-Kisaasi-24h'!H70)</f>
        <v>0</v>
      </c>
      <c r="I70" s="49">
        <f>AVERAGE('01.08 Kyanja-Kisaasi-24h'!I70,'03.08 Kyanja-Kisaasi-24h'!I70)</f>
        <v>1.5</v>
      </c>
      <c r="J70" s="49">
        <f>AVERAGE('01.08 Kyanja-Kisaasi-24h'!J70,'03.08 Kyanja-Kisaasi-24h'!J70)</f>
        <v>0.5</v>
      </c>
      <c r="K70" s="49">
        <f>AVERAGE('01.08 Kyanja-Kisaasi-24h'!K70,'03.08 Kyanja-Kisaasi-24h'!K70)</f>
        <v>0</v>
      </c>
      <c r="L70" s="49">
        <f>AVERAGE('01.08 Kyanja-Kisaasi-24h'!L70,'03.08 Kyanja-Kisaasi-24h'!L70)</f>
        <v>0.5</v>
      </c>
      <c r="M70" s="49">
        <f>AVERAGE('01.08 Kyanja-Kisaasi-24h'!M70,'03.08 Kyanja-Kisaasi-24h'!M70)</f>
        <v>94.5</v>
      </c>
      <c r="N70" s="49">
        <f>AVERAGE('01.08 Kyanja-Kisaasi-24h'!N70,'03.08 Kyanja-Kisaasi-24h'!N70)</f>
        <v>0</v>
      </c>
      <c r="O70" s="49">
        <f>AVERAGE('01.08 Kyanja-Kisaasi-24h'!O70,'03.08 Kyanja-Kisaasi-24h'!O70)</f>
        <v>85</v>
      </c>
      <c r="P70" s="49">
        <f>AVERAGE('01.08 Kyanja-Kisaasi-24h'!P70,'03.08 Kyanja-Kisaasi-24h'!P70)</f>
        <v>179.5</v>
      </c>
      <c r="R70" s="8"/>
      <c r="T70"/>
    </row>
    <row r="71" spans="2:20" ht="23.1" customHeight="1" x14ac:dyDescent="0.25">
      <c r="B71" s="23" t="s">
        <v>111</v>
      </c>
      <c r="C71" s="49">
        <f>AVERAGE('01.08 Kyanja-Kisaasi-24h'!C71,'03.08 Kyanja-Kisaasi-24h'!C71)</f>
        <v>44</v>
      </c>
      <c r="D71" s="49">
        <f>AVERAGE('01.08 Kyanja-Kisaasi-24h'!D71,'03.08 Kyanja-Kisaasi-24h'!D71)</f>
        <v>29</v>
      </c>
      <c r="E71" s="49">
        <f>AVERAGE('01.08 Kyanja-Kisaasi-24h'!E71,'03.08 Kyanja-Kisaasi-24h'!E71)</f>
        <v>4</v>
      </c>
      <c r="F71" s="49">
        <f>AVERAGE('01.08 Kyanja-Kisaasi-24h'!F71,'03.08 Kyanja-Kisaasi-24h'!F71)</f>
        <v>12.5</v>
      </c>
      <c r="G71" s="49">
        <f>AVERAGE('01.08 Kyanja-Kisaasi-24h'!G71,'03.08 Kyanja-Kisaasi-24h'!G71)</f>
        <v>0</v>
      </c>
      <c r="H71" s="49">
        <f>AVERAGE('01.08 Kyanja-Kisaasi-24h'!H71,'03.08 Kyanja-Kisaasi-24h'!H71)</f>
        <v>0</v>
      </c>
      <c r="I71" s="49">
        <f>AVERAGE('01.08 Kyanja-Kisaasi-24h'!I71,'03.08 Kyanja-Kisaasi-24h'!I71)</f>
        <v>1</v>
      </c>
      <c r="J71" s="49">
        <f>AVERAGE('01.08 Kyanja-Kisaasi-24h'!J71,'03.08 Kyanja-Kisaasi-24h'!J71)</f>
        <v>0.5</v>
      </c>
      <c r="K71" s="49">
        <f>AVERAGE('01.08 Kyanja-Kisaasi-24h'!K71,'03.08 Kyanja-Kisaasi-24h'!K71)</f>
        <v>0</v>
      </c>
      <c r="L71" s="49">
        <f>AVERAGE('01.08 Kyanja-Kisaasi-24h'!L71,'03.08 Kyanja-Kisaasi-24h'!L71)</f>
        <v>0</v>
      </c>
      <c r="M71" s="49">
        <f>AVERAGE('01.08 Kyanja-Kisaasi-24h'!M71,'03.08 Kyanja-Kisaasi-24h'!M71)</f>
        <v>64</v>
      </c>
      <c r="N71" s="49">
        <f>AVERAGE('01.08 Kyanja-Kisaasi-24h'!N71,'03.08 Kyanja-Kisaasi-24h'!N71)</f>
        <v>0</v>
      </c>
      <c r="O71" s="49">
        <f>AVERAGE('01.08 Kyanja-Kisaasi-24h'!O71,'03.08 Kyanja-Kisaasi-24h'!O71)</f>
        <v>91</v>
      </c>
      <c r="P71" s="49">
        <f>AVERAGE('01.08 Kyanja-Kisaasi-24h'!P71,'03.08 Kyanja-Kisaasi-24h'!P71)</f>
        <v>155</v>
      </c>
      <c r="R71" s="8"/>
      <c r="T71"/>
    </row>
    <row r="72" spans="2:20" ht="23.1" customHeight="1" x14ac:dyDescent="0.25">
      <c r="B72" s="23" t="s">
        <v>112</v>
      </c>
      <c r="C72" s="49">
        <f>AVERAGE('01.08 Kyanja-Kisaasi-24h'!C72,'03.08 Kyanja-Kisaasi-24h'!C72)</f>
        <v>36.5</v>
      </c>
      <c r="D72" s="49">
        <f>AVERAGE('01.08 Kyanja-Kisaasi-24h'!D72,'03.08 Kyanja-Kisaasi-24h'!D72)</f>
        <v>26</v>
      </c>
      <c r="E72" s="49">
        <f>AVERAGE('01.08 Kyanja-Kisaasi-24h'!E72,'03.08 Kyanja-Kisaasi-24h'!E72)</f>
        <v>3.5</v>
      </c>
      <c r="F72" s="49">
        <f>AVERAGE('01.08 Kyanja-Kisaasi-24h'!F72,'03.08 Kyanja-Kisaasi-24h'!F72)</f>
        <v>9</v>
      </c>
      <c r="G72" s="49">
        <f>AVERAGE('01.08 Kyanja-Kisaasi-24h'!G72,'03.08 Kyanja-Kisaasi-24h'!G72)</f>
        <v>0</v>
      </c>
      <c r="H72" s="49">
        <f>AVERAGE('01.08 Kyanja-Kisaasi-24h'!H72,'03.08 Kyanja-Kisaasi-24h'!H72)</f>
        <v>0</v>
      </c>
      <c r="I72" s="49">
        <f>AVERAGE('01.08 Kyanja-Kisaasi-24h'!I72,'03.08 Kyanja-Kisaasi-24h'!I72)</f>
        <v>0.5</v>
      </c>
      <c r="J72" s="49">
        <f>AVERAGE('01.08 Kyanja-Kisaasi-24h'!J72,'03.08 Kyanja-Kisaasi-24h'!J72)</f>
        <v>0.5</v>
      </c>
      <c r="K72" s="49">
        <f>AVERAGE('01.08 Kyanja-Kisaasi-24h'!K72,'03.08 Kyanja-Kisaasi-24h'!K72)</f>
        <v>0</v>
      </c>
      <c r="L72" s="49">
        <f>AVERAGE('01.08 Kyanja-Kisaasi-24h'!L72,'03.08 Kyanja-Kisaasi-24h'!L72)</f>
        <v>0.5</v>
      </c>
      <c r="M72" s="49">
        <f>AVERAGE('01.08 Kyanja-Kisaasi-24h'!M72,'03.08 Kyanja-Kisaasi-24h'!M72)</f>
        <v>88.5</v>
      </c>
      <c r="N72" s="49">
        <f>AVERAGE('01.08 Kyanja-Kisaasi-24h'!N72,'03.08 Kyanja-Kisaasi-24h'!N72)</f>
        <v>0</v>
      </c>
      <c r="O72" s="49">
        <f>AVERAGE('01.08 Kyanja-Kisaasi-24h'!O72,'03.08 Kyanja-Kisaasi-24h'!O72)</f>
        <v>76.5</v>
      </c>
      <c r="P72" s="49">
        <f>AVERAGE('01.08 Kyanja-Kisaasi-24h'!P72,'03.08 Kyanja-Kisaasi-24h'!P72)</f>
        <v>165</v>
      </c>
      <c r="R72" s="8"/>
      <c r="T72"/>
    </row>
    <row r="73" spans="2:20" ht="23.1" customHeight="1" x14ac:dyDescent="0.25">
      <c r="B73" s="23" t="s">
        <v>113</v>
      </c>
      <c r="C73" s="49">
        <f>AVERAGE('01.08 Kyanja-Kisaasi-24h'!C73,'03.08 Kyanja-Kisaasi-24h'!C73)</f>
        <v>31</v>
      </c>
      <c r="D73" s="49">
        <f>AVERAGE('01.08 Kyanja-Kisaasi-24h'!D73,'03.08 Kyanja-Kisaasi-24h'!D73)</f>
        <v>3</v>
      </c>
      <c r="E73" s="49">
        <f>AVERAGE('01.08 Kyanja-Kisaasi-24h'!E73,'03.08 Kyanja-Kisaasi-24h'!E73)</f>
        <v>4.5</v>
      </c>
      <c r="F73" s="49">
        <f>AVERAGE('01.08 Kyanja-Kisaasi-24h'!F73,'03.08 Kyanja-Kisaasi-24h'!F73)</f>
        <v>4.5</v>
      </c>
      <c r="G73" s="49">
        <f>AVERAGE('01.08 Kyanja-Kisaasi-24h'!G73,'03.08 Kyanja-Kisaasi-24h'!G73)</f>
        <v>0</v>
      </c>
      <c r="H73" s="49">
        <f>AVERAGE('01.08 Kyanja-Kisaasi-24h'!H73,'03.08 Kyanja-Kisaasi-24h'!H73)</f>
        <v>0</v>
      </c>
      <c r="I73" s="49">
        <f>AVERAGE('01.08 Kyanja-Kisaasi-24h'!I73,'03.08 Kyanja-Kisaasi-24h'!I73)</f>
        <v>0.5</v>
      </c>
      <c r="J73" s="49">
        <f>AVERAGE('01.08 Kyanja-Kisaasi-24h'!J73,'03.08 Kyanja-Kisaasi-24h'!J73)</f>
        <v>0.5</v>
      </c>
      <c r="K73" s="49">
        <f>AVERAGE('01.08 Kyanja-Kisaasi-24h'!K73,'03.08 Kyanja-Kisaasi-24h'!K73)</f>
        <v>0</v>
      </c>
      <c r="L73" s="49">
        <f>AVERAGE('01.08 Kyanja-Kisaasi-24h'!L73,'03.08 Kyanja-Kisaasi-24h'!L73)</f>
        <v>0</v>
      </c>
      <c r="M73" s="49">
        <f>AVERAGE('01.08 Kyanja-Kisaasi-24h'!M73,'03.08 Kyanja-Kisaasi-24h'!M73)</f>
        <v>50</v>
      </c>
      <c r="N73" s="49">
        <f>AVERAGE('01.08 Kyanja-Kisaasi-24h'!N73,'03.08 Kyanja-Kisaasi-24h'!N73)</f>
        <v>0</v>
      </c>
      <c r="O73" s="49">
        <f>AVERAGE('01.08 Kyanja-Kisaasi-24h'!O73,'03.08 Kyanja-Kisaasi-24h'!O73)</f>
        <v>44</v>
      </c>
      <c r="P73" s="49">
        <f>AVERAGE('01.08 Kyanja-Kisaasi-24h'!P73,'03.08 Kyanja-Kisaasi-24h'!P73)</f>
        <v>94</v>
      </c>
      <c r="R73" s="8"/>
      <c r="T73"/>
    </row>
    <row r="74" spans="2:20" ht="23.1" customHeight="1" x14ac:dyDescent="0.25">
      <c r="B74" s="23" t="s">
        <v>114</v>
      </c>
      <c r="C74" s="49">
        <f>AVERAGE('01.08 Kyanja-Kisaasi-24h'!C74,'03.08 Kyanja-Kisaasi-24h'!C74)</f>
        <v>32.5</v>
      </c>
      <c r="D74" s="49">
        <f>AVERAGE('01.08 Kyanja-Kisaasi-24h'!D74,'03.08 Kyanja-Kisaasi-24h'!D74)</f>
        <v>17</v>
      </c>
      <c r="E74" s="49">
        <f>AVERAGE('01.08 Kyanja-Kisaasi-24h'!E74,'03.08 Kyanja-Kisaasi-24h'!E74)</f>
        <v>2</v>
      </c>
      <c r="F74" s="49">
        <f>AVERAGE('01.08 Kyanja-Kisaasi-24h'!F74,'03.08 Kyanja-Kisaasi-24h'!F74)</f>
        <v>4</v>
      </c>
      <c r="G74" s="49">
        <f>AVERAGE('01.08 Kyanja-Kisaasi-24h'!G74,'03.08 Kyanja-Kisaasi-24h'!G74)</f>
        <v>0</v>
      </c>
      <c r="H74" s="49">
        <f>AVERAGE('01.08 Kyanja-Kisaasi-24h'!H74,'03.08 Kyanja-Kisaasi-24h'!H74)</f>
        <v>0</v>
      </c>
      <c r="I74" s="49">
        <f>AVERAGE('01.08 Kyanja-Kisaasi-24h'!I74,'03.08 Kyanja-Kisaasi-24h'!I74)</f>
        <v>1</v>
      </c>
      <c r="J74" s="49">
        <f>AVERAGE('01.08 Kyanja-Kisaasi-24h'!J74,'03.08 Kyanja-Kisaasi-24h'!J74)</f>
        <v>1.5</v>
      </c>
      <c r="K74" s="49">
        <f>AVERAGE('01.08 Kyanja-Kisaasi-24h'!K74,'03.08 Kyanja-Kisaasi-24h'!K74)</f>
        <v>0</v>
      </c>
      <c r="L74" s="49">
        <f>AVERAGE('01.08 Kyanja-Kisaasi-24h'!L74,'03.08 Kyanja-Kisaasi-24h'!L74)</f>
        <v>0</v>
      </c>
      <c r="M74" s="49">
        <f>AVERAGE('01.08 Kyanja-Kisaasi-24h'!M74,'03.08 Kyanja-Kisaasi-24h'!M74)</f>
        <v>71</v>
      </c>
      <c r="N74" s="49">
        <f>AVERAGE('01.08 Kyanja-Kisaasi-24h'!N74,'03.08 Kyanja-Kisaasi-24h'!N74)</f>
        <v>0</v>
      </c>
      <c r="O74" s="49">
        <f>AVERAGE('01.08 Kyanja-Kisaasi-24h'!O74,'03.08 Kyanja-Kisaasi-24h'!O74)</f>
        <v>58</v>
      </c>
      <c r="P74" s="49">
        <f>AVERAGE('01.08 Kyanja-Kisaasi-24h'!P74,'03.08 Kyanja-Kisaasi-24h'!P74)</f>
        <v>129</v>
      </c>
      <c r="R74" s="8"/>
      <c r="T74"/>
    </row>
    <row r="75" spans="2:20" ht="23.1" customHeight="1" x14ac:dyDescent="0.25">
      <c r="B75" s="23" t="s">
        <v>115</v>
      </c>
      <c r="C75" s="49">
        <f>AVERAGE('01.08 Kyanja-Kisaasi-24h'!C75,'03.08 Kyanja-Kisaasi-24h'!C75)</f>
        <v>32</v>
      </c>
      <c r="D75" s="49">
        <f>AVERAGE('01.08 Kyanja-Kisaasi-24h'!D75,'03.08 Kyanja-Kisaasi-24h'!D75)</f>
        <v>7</v>
      </c>
      <c r="E75" s="49">
        <f>AVERAGE('01.08 Kyanja-Kisaasi-24h'!E75,'03.08 Kyanja-Kisaasi-24h'!E75)</f>
        <v>1.5</v>
      </c>
      <c r="F75" s="49">
        <f>AVERAGE('01.08 Kyanja-Kisaasi-24h'!F75,'03.08 Kyanja-Kisaasi-24h'!F75)</f>
        <v>4.5</v>
      </c>
      <c r="G75" s="49">
        <f>AVERAGE('01.08 Kyanja-Kisaasi-24h'!G75,'03.08 Kyanja-Kisaasi-24h'!G75)</f>
        <v>0</v>
      </c>
      <c r="H75" s="49">
        <f>AVERAGE('01.08 Kyanja-Kisaasi-24h'!H75,'03.08 Kyanja-Kisaasi-24h'!H75)</f>
        <v>0</v>
      </c>
      <c r="I75" s="49">
        <f>AVERAGE('01.08 Kyanja-Kisaasi-24h'!I75,'03.08 Kyanja-Kisaasi-24h'!I75)</f>
        <v>0.5</v>
      </c>
      <c r="J75" s="49">
        <f>AVERAGE('01.08 Kyanja-Kisaasi-24h'!J75,'03.08 Kyanja-Kisaasi-24h'!J75)</f>
        <v>2.5</v>
      </c>
      <c r="K75" s="49">
        <f>AVERAGE('01.08 Kyanja-Kisaasi-24h'!K75,'03.08 Kyanja-Kisaasi-24h'!K75)</f>
        <v>0</v>
      </c>
      <c r="L75" s="49">
        <f>AVERAGE('01.08 Kyanja-Kisaasi-24h'!L75,'03.08 Kyanja-Kisaasi-24h'!L75)</f>
        <v>0</v>
      </c>
      <c r="M75" s="49">
        <f>AVERAGE('01.08 Kyanja-Kisaasi-24h'!M75,'03.08 Kyanja-Kisaasi-24h'!M75)</f>
        <v>58</v>
      </c>
      <c r="N75" s="49">
        <f>AVERAGE('01.08 Kyanja-Kisaasi-24h'!N75,'03.08 Kyanja-Kisaasi-24h'!N75)</f>
        <v>0</v>
      </c>
      <c r="O75" s="49">
        <f>AVERAGE('01.08 Kyanja-Kisaasi-24h'!O75,'03.08 Kyanja-Kisaasi-24h'!O75)</f>
        <v>48</v>
      </c>
      <c r="P75" s="49">
        <f>AVERAGE('01.08 Kyanja-Kisaasi-24h'!P75,'03.08 Kyanja-Kisaasi-24h'!P75)</f>
        <v>106</v>
      </c>
      <c r="R75" s="8"/>
      <c r="T75"/>
    </row>
    <row r="76" spans="2:20" ht="23.1" customHeight="1" x14ac:dyDescent="0.25">
      <c r="B76" s="23" t="s">
        <v>116</v>
      </c>
      <c r="C76" s="49">
        <f>AVERAGE('01.08 Kyanja-Kisaasi-24h'!C76,'03.08 Kyanja-Kisaasi-24h'!C76)</f>
        <v>28.5</v>
      </c>
      <c r="D76" s="49">
        <f>AVERAGE('01.08 Kyanja-Kisaasi-24h'!D76,'03.08 Kyanja-Kisaasi-24h'!D76)</f>
        <v>14</v>
      </c>
      <c r="E76" s="49">
        <f>AVERAGE('01.08 Kyanja-Kisaasi-24h'!E76,'03.08 Kyanja-Kisaasi-24h'!E76)</f>
        <v>1.5</v>
      </c>
      <c r="F76" s="49">
        <f>AVERAGE('01.08 Kyanja-Kisaasi-24h'!F76,'03.08 Kyanja-Kisaasi-24h'!F76)</f>
        <v>4</v>
      </c>
      <c r="G76" s="49">
        <f>AVERAGE('01.08 Kyanja-Kisaasi-24h'!G76,'03.08 Kyanja-Kisaasi-24h'!G76)</f>
        <v>0</v>
      </c>
      <c r="H76" s="49">
        <f>AVERAGE('01.08 Kyanja-Kisaasi-24h'!H76,'03.08 Kyanja-Kisaasi-24h'!H76)</f>
        <v>0</v>
      </c>
      <c r="I76" s="49">
        <f>AVERAGE('01.08 Kyanja-Kisaasi-24h'!I76,'03.08 Kyanja-Kisaasi-24h'!I76)</f>
        <v>1.5</v>
      </c>
      <c r="J76" s="49">
        <f>AVERAGE('01.08 Kyanja-Kisaasi-24h'!J76,'03.08 Kyanja-Kisaasi-24h'!J76)</f>
        <v>0</v>
      </c>
      <c r="K76" s="49">
        <f>AVERAGE('01.08 Kyanja-Kisaasi-24h'!K76,'03.08 Kyanja-Kisaasi-24h'!K76)</f>
        <v>0</v>
      </c>
      <c r="L76" s="49">
        <f>AVERAGE('01.08 Kyanja-Kisaasi-24h'!L76,'03.08 Kyanja-Kisaasi-24h'!L76)</f>
        <v>0</v>
      </c>
      <c r="M76" s="49">
        <f>AVERAGE('01.08 Kyanja-Kisaasi-24h'!M76,'03.08 Kyanja-Kisaasi-24h'!M76)</f>
        <v>40</v>
      </c>
      <c r="N76" s="49">
        <f>AVERAGE('01.08 Kyanja-Kisaasi-24h'!N76,'03.08 Kyanja-Kisaasi-24h'!N76)</f>
        <v>0</v>
      </c>
      <c r="O76" s="49">
        <f>AVERAGE('01.08 Kyanja-Kisaasi-24h'!O76,'03.08 Kyanja-Kisaasi-24h'!O76)</f>
        <v>49.5</v>
      </c>
      <c r="P76" s="49">
        <f>AVERAGE('01.08 Kyanja-Kisaasi-24h'!P76,'03.08 Kyanja-Kisaasi-24h'!P76)</f>
        <v>89.5</v>
      </c>
      <c r="R76" s="8"/>
      <c r="T76"/>
    </row>
    <row r="77" spans="2:20" ht="23.1" customHeight="1" x14ac:dyDescent="0.25">
      <c r="B77" s="23" t="s">
        <v>117</v>
      </c>
      <c r="C77" s="49">
        <f>AVERAGE('01.08 Kyanja-Kisaasi-24h'!C77,'03.08 Kyanja-Kisaasi-24h'!C77)</f>
        <v>21</v>
      </c>
      <c r="D77" s="49">
        <f>AVERAGE('01.08 Kyanja-Kisaasi-24h'!D77,'03.08 Kyanja-Kisaasi-24h'!D77)</f>
        <v>7</v>
      </c>
      <c r="E77" s="49">
        <f>AVERAGE('01.08 Kyanja-Kisaasi-24h'!E77,'03.08 Kyanja-Kisaasi-24h'!E77)</f>
        <v>1</v>
      </c>
      <c r="F77" s="49">
        <f>AVERAGE('01.08 Kyanja-Kisaasi-24h'!F77,'03.08 Kyanja-Kisaasi-24h'!F77)</f>
        <v>3</v>
      </c>
      <c r="G77" s="49">
        <f>AVERAGE('01.08 Kyanja-Kisaasi-24h'!G77,'03.08 Kyanja-Kisaasi-24h'!G77)</f>
        <v>0</v>
      </c>
      <c r="H77" s="49">
        <f>AVERAGE('01.08 Kyanja-Kisaasi-24h'!H77,'03.08 Kyanja-Kisaasi-24h'!H77)</f>
        <v>0</v>
      </c>
      <c r="I77" s="49">
        <f>AVERAGE('01.08 Kyanja-Kisaasi-24h'!I77,'03.08 Kyanja-Kisaasi-24h'!I77)</f>
        <v>1.5</v>
      </c>
      <c r="J77" s="49">
        <f>AVERAGE('01.08 Kyanja-Kisaasi-24h'!J77,'03.08 Kyanja-Kisaasi-24h'!J77)</f>
        <v>0</v>
      </c>
      <c r="K77" s="49">
        <f>AVERAGE('01.08 Kyanja-Kisaasi-24h'!K77,'03.08 Kyanja-Kisaasi-24h'!K77)</f>
        <v>0</v>
      </c>
      <c r="L77" s="49">
        <f>AVERAGE('01.08 Kyanja-Kisaasi-24h'!L77,'03.08 Kyanja-Kisaasi-24h'!L77)</f>
        <v>0</v>
      </c>
      <c r="M77" s="49">
        <f>AVERAGE('01.08 Kyanja-Kisaasi-24h'!M77,'03.08 Kyanja-Kisaasi-24h'!M77)</f>
        <v>44</v>
      </c>
      <c r="N77" s="49">
        <f>AVERAGE('01.08 Kyanja-Kisaasi-24h'!N77,'03.08 Kyanja-Kisaasi-24h'!N77)</f>
        <v>0</v>
      </c>
      <c r="O77" s="49">
        <f>AVERAGE('01.08 Kyanja-Kisaasi-24h'!O77,'03.08 Kyanja-Kisaasi-24h'!O77)</f>
        <v>33.5</v>
      </c>
      <c r="P77" s="49">
        <f>AVERAGE('01.08 Kyanja-Kisaasi-24h'!P77,'03.08 Kyanja-Kisaasi-24h'!P77)</f>
        <v>77.5</v>
      </c>
      <c r="R77" s="8"/>
      <c r="T77"/>
    </row>
    <row r="78" spans="2:20" ht="23.1" customHeight="1" x14ac:dyDescent="0.25">
      <c r="B78" s="24" t="s">
        <v>118</v>
      </c>
      <c r="C78" s="49">
        <f>AVERAGE('01.08 Kyanja-Kisaasi-24h'!C78,'03.08 Kyanja-Kisaasi-24h'!C78)</f>
        <v>29.5</v>
      </c>
      <c r="D78" s="49">
        <f>AVERAGE('01.08 Kyanja-Kisaasi-24h'!D78,'03.08 Kyanja-Kisaasi-24h'!D78)</f>
        <v>7.5</v>
      </c>
      <c r="E78" s="49">
        <f>AVERAGE('01.08 Kyanja-Kisaasi-24h'!E78,'03.08 Kyanja-Kisaasi-24h'!E78)</f>
        <v>1.5</v>
      </c>
      <c r="F78" s="49">
        <f>AVERAGE('01.08 Kyanja-Kisaasi-24h'!F78,'03.08 Kyanja-Kisaasi-24h'!F78)</f>
        <v>1</v>
      </c>
      <c r="G78" s="49">
        <f>AVERAGE('01.08 Kyanja-Kisaasi-24h'!G78,'03.08 Kyanja-Kisaasi-24h'!G78)</f>
        <v>0</v>
      </c>
      <c r="H78" s="49">
        <f>AVERAGE('01.08 Kyanja-Kisaasi-24h'!H78,'03.08 Kyanja-Kisaasi-24h'!H78)</f>
        <v>0</v>
      </c>
      <c r="I78" s="49">
        <f>AVERAGE('01.08 Kyanja-Kisaasi-24h'!I78,'03.08 Kyanja-Kisaasi-24h'!I78)</f>
        <v>1.5</v>
      </c>
      <c r="J78" s="49">
        <f>AVERAGE('01.08 Kyanja-Kisaasi-24h'!J78,'03.08 Kyanja-Kisaasi-24h'!J78)</f>
        <v>0</v>
      </c>
      <c r="K78" s="49">
        <f>AVERAGE('01.08 Kyanja-Kisaasi-24h'!K78,'03.08 Kyanja-Kisaasi-24h'!K78)</f>
        <v>1.5</v>
      </c>
      <c r="L78" s="49">
        <f>AVERAGE('01.08 Kyanja-Kisaasi-24h'!L78,'03.08 Kyanja-Kisaasi-24h'!L78)</f>
        <v>0</v>
      </c>
      <c r="M78" s="49">
        <f>AVERAGE('01.08 Kyanja-Kisaasi-24h'!M78,'03.08 Kyanja-Kisaasi-24h'!M78)</f>
        <v>22</v>
      </c>
      <c r="N78" s="49">
        <f>AVERAGE('01.08 Kyanja-Kisaasi-24h'!N78,'03.08 Kyanja-Kisaasi-24h'!N78)</f>
        <v>0</v>
      </c>
      <c r="O78" s="49">
        <f>AVERAGE('01.08 Kyanja-Kisaasi-24h'!O78,'03.08 Kyanja-Kisaasi-24h'!O78)</f>
        <v>42.5</v>
      </c>
      <c r="P78" s="49">
        <f>AVERAGE('01.08 Kyanja-Kisaasi-24h'!P78,'03.08 Kyanja-Kisaasi-24h'!P78)</f>
        <v>64.5</v>
      </c>
      <c r="R78" s="8"/>
      <c r="T78"/>
    </row>
    <row r="79" spans="2:20" ht="23.1" customHeight="1" x14ac:dyDescent="0.25">
      <c r="B79" s="23" t="s">
        <v>119</v>
      </c>
      <c r="C79" s="49">
        <f>AVERAGE('01.08 Kyanja-Kisaasi-24h'!C79,'03.08 Kyanja-Kisaasi-24h'!C79)</f>
        <v>21.5</v>
      </c>
      <c r="D79" s="49">
        <f>AVERAGE('01.08 Kyanja-Kisaasi-24h'!D79,'03.08 Kyanja-Kisaasi-24h'!D79)</f>
        <v>7</v>
      </c>
      <c r="E79" s="49">
        <f>AVERAGE('01.08 Kyanja-Kisaasi-24h'!E79,'03.08 Kyanja-Kisaasi-24h'!E79)</f>
        <v>2.5</v>
      </c>
      <c r="F79" s="49">
        <f>AVERAGE('01.08 Kyanja-Kisaasi-24h'!F79,'03.08 Kyanja-Kisaasi-24h'!F79)</f>
        <v>0.5</v>
      </c>
      <c r="G79" s="49">
        <f>AVERAGE('01.08 Kyanja-Kisaasi-24h'!G79,'03.08 Kyanja-Kisaasi-24h'!G79)</f>
        <v>0</v>
      </c>
      <c r="H79" s="49">
        <f>AVERAGE('01.08 Kyanja-Kisaasi-24h'!H79,'03.08 Kyanja-Kisaasi-24h'!H79)</f>
        <v>0</v>
      </c>
      <c r="I79" s="49">
        <f>AVERAGE('01.08 Kyanja-Kisaasi-24h'!I79,'03.08 Kyanja-Kisaasi-24h'!I79)</f>
        <v>0</v>
      </c>
      <c r="J79" s="49">
        <f>AVERAGE('01.08 Kyanja-Kisaasi-24h'!J79,'03.08 Kyanja-Kisaasi-24h'!J79)</f>
        <v>0</v>
      </c>
      <c r="K79" s="49">
        <f>AVERAGE('01.08 Kyanja-Kisaasi-24h'!K79,'03.08 Kyanja-Kisaasi-24h'!K79)</f>
        <v>0</v>
      </c>
      <c r="L79" s="49">
        <f>AVERAGE('01.08 Kyanja-Kisaasi-24h'!L79,'03.08 Kyanja-Kisaasi-24h'!L79)</f>
        <v>0</v>
      </c>
      <c r="M79" s="49">
        <f>AVERAGE('01.08 Kyanja-Kisaasi-24h'!M79,'03.08 Kyanja-Kisaasi-24h'!M79)</f>
        <v>35</v>
      </c>
      <c r="N79" s="49">
        <f>AVERAGE('01.08 Kyanja-Kisaasi-24h'!N79,'03.08 Kyanja-Kisaasi-24h'!N79)</f>
        <v>0</v>
      </c>
      <c r="O79" s="49">
        <f>AVERAGE('01.08 Kyanja-Kisaasi-24h'!O79,'03.08 Kyanja-Kisaasi-24h'!O79)</f>
        <v>31.5</v>
      </c>
      <c r="P79" s="49">
        <f>AVERAGE('01.08 Kyanja-Kisaasi-24h'!P79,'03.08 Kyanja-Kisaasi-24h'!P79)</f>
        <v>66.5</v>
      </c>
      <c r="R79" s="8"/>
      <c r="T79"/>
    </row>
    <row r="80" spans="2:20" ht="23.1" customHeight="1" x14ac:dyDescent="0.25">
      <c r="B80" s="25" t="s">
        <v>120</v>
      </c>
      <c r="C80" s="49">
        <f>AVERAGE('01.08 Kyanja-Kisaasi-24h'!C80,'03.08 Kyanja-Kisaasi-24h'!C80)</f>
        <v>15.5</v>
      </c>
      <c r="D80" s="49">
        <f>AVERAGE('01.08 Kyanja-Kisaasi-24h'!D80,'03.08 Kyanja-Kisaasi-24h'!D80)</f>
        <v>6.5</v>
      </c>
      <c r="E80" s="49">
        <f>AVERAGE('01.08 Kyanja-Kisaasi-24h'!E80,'03.08 Kyanja-Kisaasi-24h'!E80)</f>
        <v>1.5</v>
      </c>
      <c r="F80" s="49">
        <f>AVERAGE('01.08 Kyanja-Kisaasi-24h'!F80,'03.08 Kyanja-Kisaasi-24h'!F80)</f>
        <v>2.5</v>
      </c>
      <c r="G80" s="49">
        <f>AVERAGE('01.08 Kyanja-Kisaasi-24h'!G80,'03.08 Kyanja-Kisaasi-24h'!G80)</f>
        <v>0</v>
      </c>
      <c r="H80" s="49">
        <f>AVERAGE('01.08 Kyanja-Kisaasi-24h'!H80,'03.08 Kyanja-Kisaasi-24h'!H80)</f>
        <v>0</v>
      </c>
      <c r="I80" s="49">
        <f>AVERAGE('01.08 Kyanja-Kisaasi-24h'!I80,'03.08 Kyanja-Kisaasi-24h'!I80)</f>
        <v>1.5</v>
      </c>
      <c r="J80" s="49">
        <f>AVERAGE('01.08 Kyanja-Kisaasi-24h'!J80,'03.08 Kyanja-Kisaasi-24h'!J80)</f>
        <v>0.5</v>
      </c>
      <c r="K80" s="49">
        <f>AVERAGE('01.08 Kyanja-Kisaasi-24h'!K80,'03.08 Kyanja-Kisaasi-24h'!K80)</f>
        <v>0</v>
      </c>
      <c r="L80" s="49">
        <f>AVERAGE('01.08 Kyanja-Kisaasi-24h'!L80,'03.08 Kyanja-Kisaasi-24h'!L80)</f>
        <v>0</v>
      </c>
      <c r="M80" s="49">
        <f>AVERAGE('01.08 Kyanja-Kisaasi-24h'!M80,'03.08 Kyanja-Kisaasi-24h'!M80)</f>
        <v>22</v>
      </c>
      <c r="N80" s="49">
        <f>AVERAGE('01.08 Kyanja-Kisaasi-24h'!N80,'03.08 Kyanja-Kisaasi-24h'!N80)</f>
        <v>0</v>
      </c>
      <c r="O80" s="49">
        <f>AVERAGE('01.08 Kyanja-Kisaasi-24h'!O80,'03.08 Kyanja-Kisaasi-24h'!O80)</f>
        <v>28</v>
      </c>
      <c r="P80" s="49">
        <f>AVERAGE('01.08 Kyanja-Kisaasi-24h'!P80,'03.08 Kyanja-Kisaasi-24h'!P80)</f>
        <v>50</v>
      </c>
      <c r="R80" s="8"/>
      <c r="T80"/>
    </row>
    <row r="81" spans="2:20" ht="23.1" customHeight="1" x14ac:dyDescent="0.25">
      <c r="B81" s="23" t="s">
        <v>121</v>
      </c>
      <c r="C81" s="49">
        <f>AVERAGE('01.08 Kyanja-Kisaasi-24h'!C81,'03.08 Kyanja-Kisaasi-24h'!C81)</f>
        <v>18</v>
      </c>
      <c r="D81" s="49">
        <f>AVERAGE('01.08 Kyanja-Kisaasi-24h'!D81,'03.08 Kyanja-Kisaasi-24h'!D81)</f>
        <v>4.5</v>
      </c>
      <c r="E81" s="49">
        <f>AVERAGE('01.08 Kyanja-Kisaasi-24h'!E81,'03.08 Kyanja-Kisaasi-24h'!E81)</f>
        <v>0</v>
      </c>
      <c r="F81" s="49">
        <f>AVERAGE('01.08 Kyanja-Kisaasi-24h'!F81,'03.08 Kyanja-Kisaasi-24h'!F81)</f>
        <v>1.5</v>
      </c>
      <c r="G81" s="49">
        <f>AVERAGE('01.08 Kyanja-Kisaasi-24h'!G81,'03.08 Kyanja-Kisaasi-24h'!G81)</f>
        <v>0</v>
      </c>
      <c r="H81" s="49">
        <f>AVERAGE('01.08 Kyanja-Kisaasi-24h'!H81,'03.08 Kyanja-Kisaasi-24h'!H81)</f>
        <v>0</v>
      </c>
      <c r="I81" s="49">
        <f>AVERAGE('01.08 Kyanja-Kisaasi-24h'!I81,'03.08 Kyanja-Kisaasi-24h'!I81)</f>
        <v>0.5</v>
      </c>
      <c r="J81" s="49">
        <f>AVERAGE('01.08 Kyanja-Kisaasi-24h'!J81,'03.08 Kyanja-Kisaasi-24h'!J81)</f>
        <v>0</v>
      </c>
      <c r="K81" s="49">
        <f>AVERAGE('01.08 Kyanja-Kisaasi-24h'!K81,'03.08 Kyanja-Kisaasi-24h'!K81)</f>
        <v>0</v>
      </c>
      <c r="L81" s="49">
        <f>AVERAGE('01.08 Kyanja-Kisaasi-24h'!L81,'03.08 Kyanja-Kisaasi-24h'!L81)</f>
        <v>0</v>
      </c>
      <c r="M81" s="49">
        <f>AVERAGE('01.08 Kyanja-Kisaasi-24h'!M81,'03.08 Kyanja-Kisaasi-24h'!M81)</f>
        <v>18.5</v>
      </c>
      <c r="N81" s="49">
        <f>AVERAGE('01.08 Kyanja-Kisaasi-24h'!N81,'03.08 Kyanja-Kisaasi-24h'!N81)</f>
        <v>0</v>
      </c>
      <c r="O81" s="49">
        <f>AVERAGE('01.08 Kyanja-Kisaasi-24h'!O81,'03.08 Kyanja-Kisaasi-24h'!O81)</f>
        <v>24.5</v>
      </c>
      <c r="P81" s="49">
        <f>AVERAGE('01.08 Kyanja-Kisaasi-24h'!P81,'03.08 Kyanja-Kisaasi-24h'!P81)</f>
        <v>43</v>
      </c>
      <c r="R81" s="8"/>
      <c r="T81"/>
    </row>
    <row r="82" spans="2:20" ht="23.1" customHeight="1" x14ac:dyDescent="0.25">
      <c r="B82" s="24" t="s">
        <v>122</v>
      </c>
      <c r="C82" s="49">
        <f>AVERAGE('01.08 Kyanja-Kisaasi-24h'!C82,'03.08 Kyanja-Kisaasi-24h'!C82)</f>
        <v>11</v>
      </c>
      <c r="D82" s="49">
        <f>AVERAGE('01.08 Kyanja-Kisaasi-24h'!D82,'03.08 Kyanja-Kisaasi-24h'!D82)</f>
        <v>2.5</v>
      </c>
      <c r="E82" s="49">
        <f>AVERAGE('01.08 Kyanja-Kisaasi-24h'!E82,'03.08 Kyanja-Kisaasi-24h'!E82)</f>
        <v>1</v>
      </c>
      <c r="F82" s="49">
        <f>AVERAGE('01.08 Kyanja-Kisaasi-24h'!F82,'03.08 Kyanja-Kisaasi-24h'!F82)</f>
        <v>0</v>
      </c>
      <c r="G82" s="49">
        <f>AVERAGE('01.08 Kyanja-Kisaasi-24h'!G82,'03.08 Kyanja-Kisaasi-24h'!G82)</f>
        <v>0</v>
      </c>
      <c r="H82" s="49">
        <f>AVERAGE('01.08 Kyanja-Kisaasi-24h'!H82,'03.08 Kyanja-Kisaasi-24h'!H82)</f>
        <v>0</v>
      </c>
      <c r="I82" s="49">
        <f>AVERAGE('01.08 Kyanja-Kisaasi-24h'!I82,'03.08 Kyanja-Kisaasi-24h'!I82)</f>
        <v>0</v>
      </c>
      <c r="J82" s="49">
        <f>AVERAGE('01.08 Kyanja-Kisaasi-24h'!J82,'03.08 Kyanja-Kisaasi-24h'!J82)</f>
        <v>0</v>
      </c>
      <c r="K82" s="49">
        <f>AVERAGE('01.08 Kyanja-Kisaasi-24h'!K82,'03.08 Kyanja-Kisaasi-24h'!K82)</f>
        <v>0</v>
      </c>
      <c r="L82" s="49">
        <f>AVERAGE('01.08 Kyanja-Kisaasi-24h'!L82,'03.08 Kyanja-Kisaasi-24h'!L82)</f>
        <v>0</v>
      </c>
      <c r="M82" s="49">
        <f>AVERAGE('01.08 Kyanja-Kisaasi-24h'!M82,'03.08 Kyanja-Kisaasi-24h'!M82)</f>
        <v>30</v>
      </c>
      <c r="N82" s="49">
        <f>AVERAGE('01.08 Kyanja-Kisaasi-24h'!N82,'03.08 Kyanja-Kisaasi-24h'!N82)</f>
        <v>0</v>
      </c>
      <c r="O82" s="49">
        <f>AVERAGE('01.08 Kyanja-Kisaasi-24h'!O82,'03.08 Kyanja-Kisaasi-24h'!O82)</f>
        <v>14.5</v>
      </c>
      <c r="P82" s="49">
        <f>AVERAGE('01.08 Kyanja-Kisaasi-24h'!P82,'03.08 Kyanja-Kisaasi-24h'!P82)</f>
        <v>44.5</v>
      </c>
      <c r="R82" s="8"/>
      <c r="T82"/>
    </row>
    <row r="83" spans="2:20" ht="23.1" customHeight="1" x14ac:dyDescent="0.25">
      <c r="B83" s="23" t="s">
        <v>123</v>
      </c>
      <c r="C83" s="49">
        <f>AVERAGE('01.08 Kyanja-Kisaasi-24h'!C83,'03.08 Kyanja-Kisaasi-24h'!C83)</f>
        <v>11</v>
      </c>
      <c r="D83" s="49">
        <f>AVERAGE('01.08 Kyanja-Kisaasi-24h'!D83,'03.08 Kyanja-Kisaasi-24h'!D83)</f>
        <v>1.5</v>
      </c>
      <c r="E83" s="49">
        <f>AVERAGE('01.08 Kyanja-Kisaasi-24h'!E83,'03.08 Kyanja-Kisaasi-24h'!E83)</f>
        <v>0.5</v>
      </c>
      <c r="F83" s="49">
        <f>AVERAGE('01.08 Kyanja-Kisaasi-24h'!F83,'03.08 Kyanja-Kisaasi-24h'!F83)</f>
        <v>0.5</v>
      </c>
      <c r="G83" s="49">
        <f>AVERAGE('01.08 Kyanja-Kisaasi-24h'!G83,'03.08 Kyanja-Kisaasi-24h'!G83)</f>
        <v>0</v>
      </c>
      <c r="H83" s="49">
        <f>AVERAGE('01.08 Kyanja-Kisaasi-24h'!H83,'03.08 Kyanja-Kisaasi-24h'!H83)</f>
        <v>0</v>
      </c>
      <c r="I83" s="49">
        <f>AVERAGE('01.08 Kyanja-Kisaasi-24h'!I83,'03.08 Kyanja-Kisaasi-24h'!I83)</f>
        <v>0</v>
      </c>
      <c r="J83" s="49">
        <f>AVERAGE('01.08 Kyanja-Kisaasi-24h'!J83,'03.08 Kyanja-Kisaasi-24h'!J83)</f>
        <v>0</v>
      </c>
      <c r="K83" s="49">
        <f>AVERAGE('01.08 Kyanja-Kisaasi-24h'!K83,'03.08 Kyanja-Kisaasi-24h'!K83)</f>
        <v>0</v>
      </c>
      <c r="L83" s="49">
        <f>AVERAGE('01.08 Kyanja-Kisaasi-24h'!L83,'03.08 Kyanja-Kisaasi-24h'!L83)</f>
        <v>0</v>
      </c>
      <c r="M83" s="49">
        <f>AVERAGE('01.08 Kyanja-Kisaasi-24h'!M83,'03.08 Kyanja-Kisaasi-24h'!M83)</f>
        <v>22</v>
      </c>
      <c r="N83" s="49">
        <f>AVERAGE('01.08 Kyanja-Kisaasi-24h'!N83,'03.08 Kyanja-Kisaasi-24h'!N83)</f>
        <v>0</v>
      </c>
      <c r="O83" s="49">
        <f>AVERAGE('01.08 Kyanja-Kisaasi-24h'!O83,'03.08 Kyanja-Kisaasi-24h'!O83)</f>
        <v>13.5</v>
      </c>
      <c r="P83" s="49">
        <f>AVERAGE('01.08 Kyanja-Kisaasi-24h'!P83,'03.08 Kyanja-Kisaasi-24h'!P83)</f>
        <v>35.5</v>
      </c>
      <c r="R83" s="8"/>
      <c r="T83"/>
    </row>
    <row r="84" spans="2:20" ht="23.1" customHeight="1" x14ac:dyDescent="0.25">
      <c r="B84" s="25" t="s">
        <v>124</v>
      </c>
      <c r="C84" s="49">
        <f>AVERAGE('01.08 Kyanja-Kisaasi-24h'!C84,'03.08 Kyanja-Kisaasi-24h'!C84)</f>
        <v>6.5</v>
      </c>
      <c r="D84" s="49">
        <f>AVERAGE('01.08 Kyanja-Kisaasi-24h'!D84,'03.08 Kyanja-Kisaasi-24h'!D84)</f>
        <v>1</v>
      </c>
      <c r="E84" s="49">
        <f>AVERAGE('01.08 Kyanja-Kisaasi-24h'!E84,'03.08 Kyanja-Kisaasi-24h'!E84)</f>
        <v>0</v>
      </c>
      <c r="F84" s="49">
        <f>AVERAGE('01.08 Kyanja-Kisaasi-24h'!F84,'03.08 Kyanja-Kisaasi-24h'!F84)</f>
        <v>0</v>
      </c>
      <c r="G84" s="49">
        <f>AVERAGE('01.08 Kyanja-Kisaasi-24h'!G84,'03.08 Kyanja-Kisaasi-24h'!G84)</f>
        <v>0</v>
      </c>
      <c r="H84" s="49">
        <f>AVERAGE('01.08 Kyanja-Kisaasi-24h'!H84,'03.08 Kyanja-Kisaasi-24h'!H84)</f>
        <v>0</v>
      </c>
      <c r="I84" s="49">
        <f>AVERAGE('01.08 Kyanja-Kisaasi-24h'!I84,'03.08 Kyanja-Kisaasi-24h'!I84)</f>
        <v>0</v>
      </c>
      <c r="J84" s="49">
        <f>AVERAGE('01.08 Kyanja-Kisaasi-24h'!J84,'03.08 Kyanja-Kisaasi-24h'!J84)</f>
        <v>0</v>
      </c>
      <c r="K84" s="49">
        <f>AVERAGE('01.08 Kyanja-Kisaasi-24h'!K84,'03.08 Kyanja-Kisaasi-24h'!K84)</f>
        <v>0</v>
      </c>
      <c r="L84" s="49">
        <f>AVERAGE('01.08 Kyanja-Kisaasi-24h'!L84,'03.08 Kyanja-Kisaasi-24h'!L84)</f>
        <v>0</v>
      </c>
      <c r="M84" s="49">
        <f>AVERAGE('01.08 Kyanja-Kisaasi-24h'!M84,'03.08 Kyanja-Kisaasi-24h'!M84)</f>
        <v>11</v>
      </c>
      <c r="N84" s="49">
        <f>AVERAGE('01.08 Kyanja-Kisaasi-24h'!N84,'03.08 Kyanja-Kisaasi-24h'!N84)</f>
        <v>0</v>
      </c>
      <c r="O84" s="49">
        <f>AVERAGE('01.08 Kyanja-Kisaasi-24h'!O84,'03.08 Kyanja-Kisaasi-24h'!O84)</f>
        <v>7.5</v>
      </c>
      <c r="P84" s="49">
        <f>AVERAGE('01.08 Kyanja-Kisaasi-24h'!P84,'03.08 Kyanja-Kisaasi-24h'!P84)</f>
        <v>18.5</v>
      </c>
      <c r="R84" s="8"/>
      <c r="T84"/>
    </row>
    <row r="85" spans="2:20" ht="23.1" customHeight="1" x14ac:dyDescent="0.25">
      <c r="B85" s="23" t="s">
        <v>125</v>
      </c>
      <c r="C85" s="49">
        <f>AVERAGE('01.08 Kyanja-Kisaasi-24h'!C85,'03.08 Kyanja-Kisaasi-24h'!C85)</f>
        <v>10.5</v>
      </c>
      <c r="D85" s="49">
        <f>AVERAGE('01.08 Kyanja-Kisaasi-24h'!D85,'03.08 Kyanja-Kisaasi-24h'!D85)</f>
        <v>2.5</v>
      </c>
      <c r="E85" s="49">
        <f>AVERAGE('01.08 Kyanja-Kisaasi-24h'!E85,'03.08 Kyanja-Kisaasi-24h'!E85)</f>
        <v>0.5</v>
      </c>
      <c r="F85" s="49">
        <f>AVERAGE('01.08 Kyanja-Kisaasi-24h'!F85,'03.08 Kyanja-Kisaasi-24h'!F85)</f>
        <v>0</v>
      </c>
      <c r="G85" s="49">
        <f>AVERAGE('01.08 Kyanja-Kisaasi-24h'!G85,'03.08 Kyanja-Kisaasi-24h'!G85)</f>
        <v>0</v>
      </c>
      <c r="H85" s="49">
        <f>AVERAGE('01.08 Kyanja-Kisaasi-24h'!H85,'03.08 Kyanja-Kisaasi-24h'!H85)</f>
        <v>0</v>
      </c>
      <c r="I85" s="49">
        <f>AVERAGE('01.08 Kyanja-Kisaasi-24h'!I85,'03.08 Kyanja-Kisaasi-24h'!I85)</f>
        <v>0</v>
      </c>
      <c r="J85" s="49">
        <f>AVERAGE('01.08 Kyanja-Kisaasi-24h'!J85,'03.08 Kyanja-Kisaasi-24h'!J85)</f>
        <v>0</v>
      </c>
      <c r="K85" s="49">
        <f>AVERAGE('01.08 Kyanja-Kisaasi-24h'!K85,'03.08 Kyanja-Kisaasi-24h'!K85)</f>
        <v>0</v>
      </c>
      <c r="L85" s="49">
        <f>AVERAGE('01.08 Kyanja-Kisaasi-24h'!L85,'03.08 Kyanja-Kisaasi-24h'!L85)</f>
        <v>0</v>
      </c>
      <c r="M85" s="49">
        <f>AVERAGE('01.08 Kyanja-Kisaasi-24h'!M85,'03.08 Kyanja-Kisaasi-24h'!M85)</f>
        <v>15</v>
      </c>
      <c r="N85" s="49">
        <f>AVERAGE('01.08 Kyanja-Kisaasi-24h'!N85,'03.08 Kyanja-Kisaasi-24h'!N85)</f>
        <v>0</v>
      </c>
      <c r="O85" s="49">
        <f>AVERAGE('01.08 Kyanja-Kisaasi-24h'!O85,'03.08 Kyanja-Kisaasi-24h'!O85)</f>
        <v>13.5</v>
      </c>
      <c r="P85" s="49">
        <f>AVERAGE('01.08 Kyanja-Kisaasi-24h'!P85,'03.08 Kyanja-Kisaasi-24h'!P85)</f>
        <v>28.5</v>
      </c>
      <c r="R85" s="8"/>
      <c r="T85"/>
    </row>
    <row r="86" spans="2:20" ht="23.1" customHeight="1" x14ac:dyDescent="0.25">
      <c r="B86" s="24" t="s">
        <v>126</v>
      </c>
      <c r="C86" s="49">
        <f>AVERAGE('01.08 Kyanja-Kisaasi-24h'!C86,'03.08 Kyanja-Kisaasi-24h'!C86)</f>
        <v>7.5</v>
      </c>
      <c r="D86" s="49">
        <f>AVERAGE('01.08 Kyanja-Kisaasi-24h'!D86,'03.08 Kyanja-Kisaasi-24h'!D86)</f>
        <v>4</v>
      </c>
      <c r="E86" s="49">
        <f>AVERAGE('01.08 Kyanja-Kisaasi-24h'!E86,'03.08 Kyanja-Kisaasi-24h'!E86)</f>
        <v>0.5</v>
      </c>
      <c r="F86" s="49">
        <f>AVERAGE('01.08 Kyanja-Kisaasi-24h'!F86,'03.08 Kyanja-Kisaasi-24h'!F86)</f>
        <v>1.5</v>
      </c>
      <c r="G86" s="49">
        <f>AVERAGE('01.08 Kyanja-Kisaasi-24h'!G86,'03.08 Kyanja-Kisaasi-24h'!G86)</f>
        <v>0</v>
      </c>
      <c r="H86" s="49">
        <f>AVERAGE('01.08 Kyanja-Kisaasi-24h'!H86,'03.08 Kyanja-Kisaasi-24h'!H86)</f>
        <v>0</v>
      </c>
      <c r="I86" s="49">
        <f>AVERAGE('01.08 Kyanja-Kisaasi-24h'!I86,'03.08 Kyanja-Kisaasi-24h'!I86)</f>
        <v>0</v>
      </c>
      <c r="J86" s="49">
        <f>AVERAGE('01.08 Kyanja-Kisaasi-24h'!J86,'03.08 Kyanja-Kisaasi-24h'!J86)</f>
        <v>0</v>
      </c>
      <c r="K86" s="49">
        <f>AVERAGE('01.08 Kyanja-Kisaasi-24h'!K86,'03.08 Kyanja-Kisaasi-24h'!K86)</f>
        <v>0</v>
      </c>
      <c r="L86" s="49">
        <f>AVERAGE('01.08 Kyanja-Kisaasi-24h'!L86,'03.08 Kyanja-Kisaasi-24h'!L86)</f>
        <v>0</v>
      </c>
      <c r="M86" s="49">
        <f>AVERAGE('01.08 Kyanja-Kisaasi-24h'!M86,'03.08 Kyanja-Kisaasi-24h'!M86)</f>
        <v>21.5</v>
      </c>
      <c r="N86" s="49">
        <f>AVERAGE('01.08 Kyanja-Kisaasi-24h'!N86,'03.08 Kyanja-Kisaasi-24h'!N86)</f>
        <v>0</v>
      </c>
      <c r="O86" s="49">
        <f>AVERAGE('01.08 Kyanja-Kisaasi-24h'!O86,'03.08 Kyanja-Kisaasi-24h'!O86)</f>
        <v>13.5</v>
      </c>
      <c r="P86" s="49">
        <f>AVERAGE('01.08 Kyanja-Kisaasi-24h'!P86,'03.08 Kyanja-Kisaasi-24h'!P86)</f>
        <v>35</v>
      </c>
      <c r="R86" s="8"/>
      <c r="T86"/>
    </row>
    <row r="87" spans="2:20" ht="23.1" customHeight="1" x14ac:dyDescent="0.25">
      <c r="B87" s="23" t="s">
        <v>127</v>
      </c>
      <c r="C87" s="49">
        <f>AVERAGE('01.08 Kyanja-Kisaasi-24h'!C87,'03.08 Kyanja-Kisaasi-24h'!C87)</f>
        <v>9</v>
      </c>
      <c r="D87" s="49">
        <f>AVERAGE('01.08 Kyanja-Kisaasi-24h'!D87,'03.08 Kyanja-Kisaasi-24h'!D87)</f>
        <v>1.5</v>
      </c>
      <c r="E87" s="49">
        <f>AVERAGE('01.08 Kyanja-Kisaasi-24h'!E87,'03.08 Kyanja-Kisaasi-24h'!E87)</f>
        <v>0</v>
      </c>
      <c r="F87" s="49">
        <f>AVERAGE('01.08 Kyanja-Kisaasi-24h'!F87,'03.08 Kyanja-Kisaasi-24h'!F87)</f>
        <v>3</v>
      </c>
      <c r="G87" s="49">
        <f>AVERAGE('01.08 Kyanja-Kisaasi-24h'!G87,'03.08 Kyanja-Kisaasi-24h'!G87)</f>
        <v>0</v>
      </c>
      <c r="H87" s="49">
        <f>AVERAGE('01.08 Kyanja-Kisaasi-24h'!H87,'03.08 Kyanja-Kisaasi-24h'!H87)</f>
        <v>0</v>
      </c>
      <c r="I87" s="49">
        <f>AVERAGE('01.08 Kyanja-Kisaasi-24h'!I87,'03.08 Kyanja-Kisaasi-24h'!I87)</f>
        <v>0</v>
      </c>
      <c r="J87" s="49">
        <f>AVERAGE('01.08 Kyanja-Kisaasi-24h'!J87,'03.08 Kyanja-Kisaasi-24h'!J87)</f>
        <v>0</v>
      </c>
      <c r="K87" s="49">
        <f>AVERAGE('01.08 Kyanja-Kisaasi-24h'!K87,'03.08 Kyanja-Kisaasi-24h'!K87)</f>
        <v>0</v>
      </c>
      <c r="L87" s="49">
        <f>AVERAGE('01.08 Kyanja-Kisaasi-24h'!L87,'03.08 Kyanja-Kisaasi-24h'!L87)</f>
        <v>0</v>
      </c>
      <c r="M87" s="49">
        <f>AVERAGE('01.08 Kyanja-Kisaasi-24h'!M87,'03.08 Kyanja-Kisaasi-24h'!M87)</f>
        <v>14.5</v>
      </c>
      <c r="N87" s="49">
        <f>AVERAGE('01.08 Kyanja-Kisaasi-24h'!N87,'03.08 Kyanja-Kisaasi-24h'!N87)</f>
        <v>0</v>
      </c>
      <c r="O87" s="49">
        <f>AVERAGE('01.08 Kyanja-Kisaasi-24h'!O87,'03.08 Kyanja-Kisaasi-24h'!O87)</f>
        <v>13.5</v>
      </c>
      <c r="P87" s="49">
        <f>AVERAGE('01.08 Kyanja-Kisaasi-24h'!P87,'03.08 Kyanja-Kisaasi-24h'!P87)</f>
        <v>28</v>
      </c>
      <c r="R87" s="8"/>
      <c r="T87"/>
    </row>
    <row r="88" spans="2:20" ht="23.1" customHeight="1" x14ac:dyDescent="0.25">
      <c r="B88" s="25" t="s">
        <v>128</v>
      </c>
      <c r="C88" s="49">
        <f>AVERAGE('01.08 Kyanja-Kisaasi-24h'!C88,'03.08 Kyanja-Kisaasi-24h'!C88)</f>
        <v>13.5</v>
      </c>
      <c r="D88" s="49">
        <f>AVERAGE('01.08 Kyanja-Kisaasi-24h'!D88,'03.08 Kyanja-Kisaasi-24h'!D88)</f>
        <v>3</v>
      </c>
      <c r="E88" s="49">
        <f>AVERAGE('01.08 Kyanja-Kisaasi-24h'!E88,'03.08 Kyanja-Kisaasi-24h'!E88)</f>
        <v>1.5</v>
      </c>
      <c r="F88" s="49">
        <f>AVERAGE('01.08 Kyanja-Kisaasi-24h'!F88,'03.08 Kyanja-Kisaasi-24h'!F88)</f>
        <v>1</v>
      </c>
      <c r="G88" s="49">
        <f>AVERAGE('01.08 Kyanja-Kisaasi-24h'!G88,'03.08 Kyanja-Kisaasi-24h'!G88)</f>
        <v>0</v>
      </c>
      <c r="H88" s="49">
        <f>AVERAGE('01.08 Kyanja-Kisaasi-24h'!H88,'03.08 Kyanja-Kisaasi-24h'!H88)</f>
        <v>0</v>
      </c>
      <c r="I88" s="49">
        <f>AVERAGE('01.08 Kyanja-Kisaasi-24h'!I88,'03.08 Kyanja-Kisaasi-24h'!I88)</f>
        <v>0</v>
      </c>
      <c r="J88" s="49">
        <f>AVERAGE('01.08 Kyanja-Kisaasi-24h'!J88,'03.08 Kyanja-Kisaasi-24h'!J88)</f>
        <v>0</v>
      </c>
      <c r="K88" s="49">
        <f>AVERAGE('01.08 Kyanja-Kisaasi-24h'!K88,'03.08 Kyanja-Kisaasi-24h'!K88)</f>
        <v>0.5</v>
      </c>
      <c r="L88" s="49">
        <f>AVERAGE('01.08 Kyanja-Kisaasi-24h'!L88,'03.08 Kyanja-Kisaasi-24h'!L88)</f>
        <v>0</v>
      </c>
      <c r="M88" s="49">
        <f>AVERAGE('01.08 Kyanja-Kisaasi-24h'!M88,'03.08 Kyanja-Kisaasi-24h'!M88)</f>
        <v>10</v>
      </c>
      <c r="N88" s="49">
        <f>AVERAGE('01.08 Kyanja-Kisaasi-24h'!N88,'03.08 Kyanja-Kisaasi-24h'!N88)</f>
        <v>0</v>
      </c>
      <c r="O88" s="49">
        <f>AVERAGE('01.08 Kyanja-Kisaasi-24h'!O88,'03.08 Kyanja-Kisaasi-24h'!O88)</f>
        <v>19.5</v>
      </c>
      <c r="P88" s="49">
        <f>AVERAGE('01.08 Kyanja-Kisaasi-24h'!P88,'03.08 Kyanja-Kisaasi-24h'!P88)</f>
        <v>29.5</v>
      </c>
      <c r="R88" s="8"/>
      <c r="T88"/>
    </row>
    <row r="89" spans="2:20" ht="23.1" customHeight="1" x14ac:dyDescent="0.25">
      <c r="B89" s="23" t="s">
        <v>129</v>
      </c>
      <c r="C89" s="49">
        <f>AVERAGE('01.08 Kyanja-Kisaasi-24h'!C89,'03.08 Kyanja-Kisaasi-24h'!C89)</f>
        <v>7.5</v>
      </c>
      <c r="D89" s="49">
        <f>AVERAGE('01.08 Kyanja-Kisaasi-24h'!D89,'03.08 Kyanja-Kisaasi-24h'!D89)</f>
        <v>0.5</v>
      </c>
      <c r="E89" s="49">
        <f>AVERAGE('01.08 Kyanja-Kisaasi-24h'!E89,'03.08 Kyanja-Kisaasi-24h'!E89)</f>
        <v>0.5</v>
      </c>
      <c r="F89" s="49">
        <f>AVERAGE('01.08 Kyanja-Kisaasi-24h'!F89,'03.08 Kyanja-Kisaasi-24h'!F89)</f>
        <v>0</v>
      </c>
      <c r="G89" s="49">
        <f>AVERAGE('01.08 Kyanja-Kisaasi-24h'!G89,'03.08 Kyanja-Kisaasi-24h'!G89)</f>
        <v>0</v>
      </c>
      <c r="H89" s="49">
        <f>AVERAGE('01.08 Kyanja-Kisaasi-24h'!H89,'03.08 Kyanja-Kisaasi-24h'!H89)</f>
        <v>0</v>
      </c>
      <c r="I89" s="49">
        <f>AVERAGE('01.08 Kyanja-Kisaasi-24h'!I89,'03.08 Kyanja-Kisaasi-24h'!I89)</f>
        <v>0</v>
      </c>
      <c r="J89" s="49">
        <f>AVERAGE('01.08 Kyanja-Kisaasi-24h'!J89,'03.08 Kyanja-Kisaasi-24h'!J89)</f>
        <v>0</v>
      </c>
      <c r="K89" s="49">
        <f>AVERAGE('01.08 Kyanja-Kisaasi-24h'!K89,'03.08 Kyanja-Kisaasi-24h'!K89)</f>
        <v>0</v>
      </c>
      <c r="L89" s="49">
        <f>AVERAGE('01.08 Kyanja-Kisaasi-24h'!L89,'03.08 Kyanja-Kisaasi-24h'!L89)</f>
        <v>0</v>
      </c>
      <c r="M89" s="49">
        <f>AVERAGE('01.08 Kyanja-Kisaasi-24h'!M89,'03.08 Kyanja-Kisaasi-24h'!M89)</f>
        <v>12</v>
      </c>
      <c r="N89" s="49">
        <f>AVERAGE('01.08 Kyanja-Kisaasi-24h'!N89,'03.08 Kyanja-Kisaasi-24h'!N89)</f>
        <v>0</v>
      </c>
      <c r="O89" s="49">
        <f>AVERAGE('01.08 Kyanja-Kisaasi-24h'!O89,'03.08 Kyanja-Kisaasi-24h'!O89)</f>
        <v>8.5</v>
      </c>
      <c r="P89" s="49">
        <f>AVERAGE('01.08 Kyanja-Kisaasi-24h'!P89,'03.08 Kyanja-Kisaasi-24h'!P89)</f>
        <v>20.5</v>
      </c>
      <c r="R89" s="8"/>
      <c r="T89"/>
    </row>
    <row r="90" spans="2:20" ht="23.1" customHeight="1" x14ac:dyDescent="0.25">
      <c r="B90" s="24" t="s">
        <v>130</v>
      </c>
      <c r="C90" s="49">
        <f>AVERAGE('01.08 Kyanja-Kisaasi-24h'!C90,'03.08 Kyanja-Kisaasi-24h'!C90)</f>
        <v>9</v>
      </c>
      <c r="D90" s="49">
        <f>AVERAGE('01.08 Kyanja-Kisaasi-24h'!D90,'03.08 Kyanja-Kisaasi-24h'!D90)</f>
        <v>1.5</v>
      </c>
      <c r="E90" s="49">
        <f>AVERAGE('01.08 Kyanja-Kisaasi-24h'!E90,'03.08 Kyanja-Kisaasi-24h'!E90)</f>
        <v>0</v>
      </c>
      <c r="F90" s="49">
        <f>AVERAGE('01.08 Kyanja-Kisaasi-24h'!F90,'03.08 Kyanja-Kisaasi-24h'!F90)</f>
        <v>0</v>
      </c>
      <c r="G90" s="49">
        <f>AVERAGE('01.08 Kyanja-Kisaasi-24h'!G90,'03.08 Kyanja-Kisaasi-24h'!G90)</f>
        <v>0</v>
      </c>
      <c r="H90" s="49">
        <f>AVERAGE('01.08 Kyanja-Kisaasi-24h'!H90,'03.08 Kyanja-Kisaasi-24h'!H90)</f>
        <v>0</v>
      </c>
      <c r="I90" s="49">
        <f>AVERAGE('01.08 Kyanja-Kisaasi-24h'!I90,'03.08 Kyanja-Kisaasi-24h'!I90)</f>
        <v>0</v>
      </c>
      <c r="J90" s="49">
        <f>AVERAGE('01.08 Kyanja-Kisaasi-24h'!J90,'03.08 Kyanja-Kisaasi-24h'!J90)</f>
        <v>0</v>
      </c>
      <c r="K90" s="49">
        <f>AVERAGE('01.08 Kyanja-Kisaasi-24h'!K90,'03.08 Kyanja-Kisaasi-24h'!K90)</f>
        <v>0.5</v>
      </c>
      <c r="L90" s="49">
        <f>AVERAGE('01.08 Kyanja-Kisaasi-24h'!L90,'03.08 Kyanja-Kisaasi-24h'!L90)</f>
        <v>0</v>
      </c>
      <c r="M90" s="49">
        <f>AVERAGE('01.08 Kyanja-Kisaasi-24h'!M90,'03.08 Kyanja-Kisaasi-24h'!M90)</f>
        <v>10</v>
      </c>
      <c r="N90" s="49">
        <f>AVERAGE('01.08 Kyanja-Kisaasi-24h'!N90,'03.08 Kyanja-Kisaasi-24h'!N90)</f>
        <v>0</v>
      </c>
      <c r="O90" s="49">
        <f>AVERAGE('01.08 Kyanja-Kisaasi-24h'!O90,'03.08 Kyanja-Kisaasi-24h'!O90)</f>
        <v>11</v>
      </c>
      <c r="P90" s="49">
        <f>AVERAGE('01.08 Kyanja-Kisaasi-24h'!P90,'03.08 Kyanja-Kisaasi-24h'!P90)</f>
        <v>21</v>
      </c>
      <c r="R90" s="8"/>
      <c r="T90"/>
    </row>
    <row r="91" spans="2:20" ht="23.1" customHeight="1" x14ac:dyDescent="0.25">
      <c r="B91" s="23" t="s">
        <v>131</v>
      </c>
      <c r="C91" s="49">
        <f>AVERAGE('01.08 Kyanja-Kisaasi-24h'!C91,'03.08 Kyanja-Kisaasi-24h'!C91)</f>
        <v>8</v>
      </c>
      <c r="D91" s="49">
        <f>AVERAGE('01.08 Kyanja-Kisaasi-24h'!D91,'03.08 Kyanja-Kisaasi-24h'!D91)</f>
        <v>1</v>
      </c>
      <c r="E91" s="49">
        <f>AVERAGE('01.08 Kyanja-Kisaasi-24h'!E91,'03.08 Kyanja-Kisaasi-24h'!E91)</f>
        <v>0</v>
      </c>
      <c r="F91" s="49">
        <f>AVERAGE('01.08 Kyanja-Kisaasi-24h'!F91,'03.08 Kyanja-Kisaasi-24h'!F91)</f>
        <v>0</v>
      </c>
      <c r="G91" s="49">
        <f>AVERAGE('01.08 Kyanja-Kisaasi-24h'!G91,'03.08 Kyanja-Kisaasi-24h'!G91)</f>
        <v>0</v>
      </c>
      <c r="H91" s="49">
        <f>AVERAGE('01.08 Kyanja-Kisaasi-24h'!H91,'03.08 Kyanja-Kisaasi-24h'!H91)</f>
        <v>0.5</v>
      </c>
      <c r="I91" s="49">
        <f>AVERAGE('01.08 Kyanja-Kisaasi-24h'!I91,'03.08 Kyanja-Kisaasi-24h'!I91)</f>
        <v>0</v>
      </c>
      <c r="J91" s="49">
        <f>AVERAGE('01.08 Kyanja-Kisaasi-24h'!J91,'03.08 Kyanja-Kisaasi-24h'!J91)</f>
        <v>0</v>
      </c>
      <c r="K91" s="49">
        <f>AVERAGE('01.08 Kyanja-Kisaasi-24h'!K91,'03.08 Kyanja-Kisaasi-24h'!K91)</f>
        <v>0</v>
      </c>
      <c r="L91" s="49">
        <f>AVERAGE('01.08 Kyanja-Kisaasi-24h'!L91,'03.08 Kyanja-Kisaasi-24h'!L91)</f>
        <v>0</v>
      </c>
      <c r="M91" s="49">
        <f>AVERAGE('01.08 Kyanja-Kisaasi-24h'!M91,'03.08 Kyanja-Kisaasi-24h'!M91)</f>
        <v>11</v>
      </c>
      <c r="N91" s="49">
        <f>AVERAGE('01.08 Kyanja-Kisaasi-24h'!N91,'03.08 Kyanja-Kisaasi-24h'!N91)</f>
        <v>0</v>
      </c>
      <c r="O91" s="49">
        <f>AVERAGE('01.08 Kyanja-Kisaasi-24h'!O91,'03.08 Kyanja-Kisaasi-24h'!O91)</f>
        <v>9.5</v>
      </c>
      <c r="P91" s="49">
        <f>AVERAGE('01.08 Kyanja-Kisaasi-24h'!P91,'03.08 Kyanja-Kisaasi-24h'!P91)</f>
        <v>20.5</v>
      </c>
      <c r="R91" s="8"/>
      <c r="T91"/>
    </row>
    <row r="92" spans="2:20" ht="23.1" customHeight="1" x14ac:dyDescent="0.25">
      <c r="B92" s="25" t="s">
        <v>132</v>
      </c>
      <c r="C92" s="49">
        <f>AVERAGE('01.08 Kyanja-Kisaasi-24h'!C92,'03.08 Kyanja-Kisaasi-24h'!C92)</f>
        <v>6.5</v>
      </c>
      <c r="D92" s="49">
        <f>AVERAGE('01.08 Kyanja-Kisaasi-24h'!D92,'03.08 Kyanja-Kisaasi-24h'!D92)</f>
        <v>2</v>
      </c>
      <c r="E92" s="49">
        <f>AVERAGE('01.08 Kyanja-Kisaasi-24h'!E92,'03.08 Kyanja-Kisaasi-24h'!E92)</f>
        <v>0.5</v>
      </c>
      <c r="F92" s="49">
        <f>AVERAGE('01.08 Kyanja-Kisaasi-24h'!F92,'03.08 Kyanja-Kisaasi-24h'!F92)</f>
        <v>0</v>
      </c>
      <c r="G92" s="49">
        <f>AVERAGE('01.08 Kyanja-Kisaasi-24h'!G92,'03.08 Kyanja-Kisaasi-24h'!G92)</f>
        <v>0</v>
      </c>
      <c r="H92" s="49">
        <f>AVERAGE('01.08 Kyanja-Kisaasi-24h'!H92,'03.08 Kyanja-Kisaasi-24h'!H92)</f>
        <v>0</v>
      </c>
      <c r="I92" s="49">
        <f>AVERAGE('01.08 Kyanja-Kisaasi-24h'!I92,'03.08 Kyanja-Kisaasi-24h'!I92)</f>
        <v>0</v>
      </c>
      <c r="J92" s="49">
        <f>AVERAGE('01.08 Kyanja-Kisaasi-24h'!J92,'03.08 Kyanja-Kisaasi-24h'!J92)</f>
        <v>0</v>
      </c>
      <c r="K92" s="49">
        <f>AVERAGE('01.08 Kyanja-Kisaasi-24h'!K92,'03.08 Kyanja-Kisaasi-24h'!K92)</f>
        <v>0</v>
      </c>
      <c r="L92" s="49">
        <f>AVERAGE('01.08 Kyanja-Kisaasi-24h'!L92,'03.08 Kyanja-Kisaasi-24h'!L92)</f>
        <v>0</v>
      </c>
      <c r="M92" s="49">
        <f>AVERAGE('01.08 Kyanja-Kisaasi-24h'!M92,'03.08 Kyanja-Kisaasi-24h'!M92)</f>
        <v>8</v>
      </c>
      <c r="N92" s="49">
        <f>AVERAGE('01.08 Kyanja-Kisaasi-24h'!N92,'03.08 Kyanja-Kisaasi-24h'!N92)</f>
        <v>0</v>
      </c>
      <c r="O92" s="49">
        <f>AVERAGE('01.08 Kyanja-Kisaasi-24h'!O92,'03.08 Kyanja-Kisaasi-24h'!O92)</f>
        <v>9</v>
      </c>
      <c r="P92" s="49">
        <f>AVERAGE('01.08 Kyanja-Kisaasi-24h'!P92,'03.08 Kyanja-Kisaasi-24h'!P92)</f>
        <v>17</v>
      </c>
      <c r="R92" s="8"/>
      <c r="T92"/>
    </row>
    <row r="93" spans="2:20" ht="23.1" customHeight="1" x14ac:dyDescent="0.25">
      <c r="B93" s="23" t="s">
        <v>133</v>
      </c>
      <c r="C93" s="49">
        <f>AVERAGE('01.08 Kyanja-Kisaasi-24h'!C93,'03.08 Kyanja-Kisaasi-24h'!C93)</f>
        <v>9</v>
      </c>
      <c r="D93" s="49">
        <f>AVERAGE('01.08 Kyanja-Kisaasi-24h'!D93,'03.08 Kyanja-Kisaasi-24h'!D93)</f>
        <v>0</v>
      </c>
      <c r="E93" s="49">
        <f>AVERAGE('01.08 Kyanja-Kisaasi-24h'!E93,'03.08 Kyanja-Kisaasi-24h'!E93)</f>
        <v>1</v>
      </c>
      <c r="F93" s="49">
        <f>AVERAGE('01.08 Kyanja-Kisaasi-24h'!F93,'03.08 Kyanja-Kisaasi-24h'!F93)</f>
        <v>0</v>
      </c>
      <c r="G93" s="49">
        <f>AVERAGE('01.08 Kyanja-Kisaasi-24h'!G93,'03.08 Kyanja-Kisaasi-24h'!G93)</f>
        <v>0</v>
      </c>
      <c r="H93" s="49">
        <f>AVERAGE('01.08 Kyanja-Kisaasi-24h'!H93,'03.08 Kyanja-Kisaasi-24h'!H93)</f>
        <v>0</v>
      </c>
      <c r="I93" s="49">
        <f>AVERAGE('01.08 Kyanja-Kisaasi-24h'!I93,'03.08 Kyanja-Kisaasi-24h'!I93)</f>
        <v>0.5</v>
      </c>
      <c r="J93" s="49">
        <f>AVERAGE('01.08 Kyanja-Kisaasi-24h'!J93,'03.08 Kyanja-Kisaasi-24h'!J93)</f>
        <v>0.5</v>
      </c>
      <c r="K93" s="49">
        <f>AVERAGE('01.08 Kyanja-Kisaasi-24h'!K93,'03.08 Kyanja-Kisaasi-24h'!K93)</f>
        <v>0</v>
      </c>
      <c r="L93" s="49">
        <f>AVERAGE('01.08 Kyanja-Kisaasi-24h'!L93,'03.08 Kyanja-Kisaasi-24h'!L93)</f>
        <v>0</v>
      </c>
      <c r="M93" s="49">
        <f>AVERAGE('01.08 Kyanja-Kisaasi-24h'!M93,'03.08 Kyanja-Kisaasi-24h'!M93)</f>
        <v>4.5</v>
      </c>
      <c r="N93" s="49">
        <f>AVERAGE('01.08 Kyanja-Kisaasi-24h'!N93,'03.08 Kyanja-Kisaasi-24h'!N93)</f>
        <v>0</v>
      </c>
      <c r="O93" s="49">
        <f>AVERAGE('01.08 Kyanja-Kisaasi-24h'!O93,'03.08 Kyanja-Kisaasi-24h'!O93)</f>
        <v>11</v>
      </c>
      <c r="P93" s="49">
        <f>AVERAGE('01.08 Kyanja-Kisaasi-24h'!P93,'03.08 Kyanja-Kisaasi-24h'!P93)</f>
        <v>15.5</v>
      </c>
      <c r="R93" s="8"/>
      <c r="T93"/>
    </row>
    <row r="94" spans="2:20" ht="23.1" customHeight="1" x14ac:dyDescent="0.25">
      <c r="B94" s="24" t="s">
        <v>134</v>
      </c>
      <c r="C94" s="49">
        <f>AVERAGE('01.08 Kyanja-Kisaasi-24h'!C94,'03.08 Kyanja-Kisaasi-24h'!C94)</f>
        <v>4.5</v>
      </c>
      <c r="D94" s="49">
        <f>AVERAGE('01.08 Kyanja-Kisaasi-24h'!D94,'03.08 Kyanja-Kisaasi-24h'!D94)</f>
        <v>0</v>
      </c>
      <c r="E94" s="49">
        <f>AVERAGE('01.08 Kyanja-Kisaasi-24h'!E94,'03.08 Kyanja-Kisaasi-24h'!E94)</f>
        <v>0.5</v>
      </c>
      <c r="F94" s="49">
        <f>AVERAGE('01.08 Kyanja-Kisaasi-24h'!F94,'03.08 Kyanja-Kisaasi-24h'!F94)</f>
        <v>0.5</v>
      </c>
      <c r="G94" s="49">
        <f>AVERAGE('01.08 Kyanja-Kisaasi-24h'!G94,'03.08 Kyanja-Kisaasi-24h'!G94)</f>
        <v>0</v>
      </c>
      <c r="H94" s="49">
        <f>AVERAGE('01.08 Kyanja-Kisaasi-24h'!H94,'03.08 Kyanja-Kisaasi-24h'!H94)</f>
        <v>0</v>
      </c>
      <c r="I94" s="49">
        <f>AVERAGE('01.08 Kyanja-Kisaasi-24h'!I94,'03.08 Kyanja-Kisaasi-24h'!I94)</f>
        <v>0.5</v>
      </c>
      <c r="J94" s="49">
        <f>AVERAGE('01.08 Kyanja-Kisaasi-24h'!J94,'03.08 Kyanja-Kisaasi-24h'!J94)</f>
        <v>0</v>
      </c>
      <c r="K94" s="49">
        <f>AVERAGE('01.08 Kyanja-Kisaasi-24h'!K94,'03.08 Kyanja-Kisaasi-24h'!K94)</f>
        <v>0</v>
      </c>
      <c r="L94" s="49">
        <f>AVERAGE('01.08 Kyanja-Kisaasi-24h'!L94,'03.08 Kyanja-Kisaasi-24h'!L94)</f>
        <v>0</v>
      </c>
      <c r="M94" s="49">
        <f>AVERAGE('01.08 Kyanja-Kisaasi-24h'!M94,'03.08 Kyanja-Kisaasi-24h'!M94)</f>
        <v>7</v>
      </c>
      <c r="N94" s="49">
        <f>AVERAGE('01.08 Kyanja-Kisaasi-24h'!N94,'03.08 Kyanja-Kisaasi-24h'!N94)</f>
        <v>0</v>
      </c>
      <c r="O94" s="49">
        <f>AVERAGE('01.08 Kyanja-Kisaasi-24h'!O94,'03.08 Kyanja-Kisaasi-24h'!O94)</f>
        <v>6</v>
      </c>
      <c r="P94" s="49">
        <f>AVERAGE('01.08 Kyanja-Kisaasi-24h'!P94,'03.08 Kyanja-Kisaasi-24h'!P94)</f>
        <v>13</v>
      </c>
      <c r="R94" s="8"/>
      <c r="T94"/>
    </row>
    <row r="95" spans="2:20" ht="23.1" customHeight="1" x14ac:dyDescent="0.25">
      <c r="B95" s="23" t="s">
        <v>135</v>
      </c>
      <c r="C95" s="49">
        <f>AVERAGE('01.08 Kyanja-Kisaasi-24h'!C95,'03.08 Kyanja-Kisaasi-24h'!C95)</f>
        <v>6.5</v>
      </c>
      <c r="D95" s="49">
        <f>AVERAGE('01.08 Kyanja-Kisaasi-24h'!D95,'03.08 Kyanja-Kisaasi-24h'!D95)</f>
        <v>0</v>
      </c>
      <c r="E95" s="49">
        <f>AVERAGE('01.08 Kyanja-Kisaasi-24h'!E95,'03.08 Kyanja-Kisaasi-24h'!E95)</f>
        <v>0</v>
      </c>
      <c r="F95" s="49">
        <f>AVERAGE('01.08 Kyanja-Kisaasi-24h'!F95,'03.08 Kyanja-Kisaasi-24h'!F95)</f>
        <v>0.5</v>
      </c>
      <c r="G95" s="49">
        <f>AVERAGE('01.08 Kyanja-Kisaasi-24h'!G95,'03.08 Kyanja-Kisaasi-24h'!G95)</f>
        <v>0</v>
      </c>
      <c r="H95" s="49">
        <f>AVERAGE('01.08 Kyanja-Kisaasi-24h'!H95,'03.08 Kyanja-Kisaasi-24h'!H95)</f>
        <v>0</v>
      </c>
      <c r="I95" s="49">
        <f>AVERAGE('01.08 Kyanja-Kisaasi-24h'!I95,'03.08 Kyanja-Kisaasi-24h'!I95)</f>
        <v>0</v>
      </c>
      <c r="J95" s="49">
        <f>AVERAGE('01.08 Kyanja-Kisaasi-24h'!J95,'03.08 Kyanja-Kisaasi-24h'!J95)</f>
        <v>0</v>
      </c>
      <c r="K95" s="49">
        <f>AVERAGE('01.08 Kyanja-Kisaasi-24h'!K95,'03.08 Kyanja-Kisaasi-24h'!K95)</f>
        <v>0</v>
      </c>
      <c r="L95" s="49">
        <f>AVERAGE('01.08 Kyanja-Kisaasi-24h'!L95,'03.08 Kyanja-Kisaasi-24h'!L95)</f>
        <v>0</v>
      </c>
      <c r="M95" s="49">
        <f>AVERAGE('01.08 Kyanja-Kisaasi-24h'!M95,'03.08 Kyanja-Kisaasi-24h'!M95)</f>
        <v>6</v>
      </c>
      <c r="N95" s="49">
        <f>AVERAGE('01.08 Kyanja-Kisaasi-24h'!N95,'03.08 Kyanja-Kisaasi-24h'!N95)</f>
        <v>0</v>
      </c>
      <c r="O95" s="49">
        <f>AVERAGE('01.08 Kyanja-Kisaasi-24h'!O95,'03.08 Kyanja-Kisaasi-24h'!O95)</f>
        <v>7</v>
      </c>
      <c r="P95" s="49">
        <f>AVERAGE('01.08 Kyanja-Kisaasi-24h'!P95,'03.08 Kyanja-Kisaasi-24h'!P95)</f>
        <v>13</v>
      </c>
      <c r="R95" s="8"/>
      <c r="T95"/>
    </row>
    <row r="96" spans="2:20" ht="23.1" customHeight="1" x14ac:dyDescent="0.25">
      <c r="B96" s="25" t="s">
        <v>136</v>
      </c>
      <c r="C96" s="49">
        <f>AVERAGE('01.08 Kyanja-Kisaasi-24h'!C96,'03.08 Kyanja-Kisaasi-24h'!C96)</f>
        <v>9</v>
      </c>
      <c r="D96" s="49">
        <f>AVERAGE('01.08 Kyanja-Kisaasi-24h'!D96,'03.08 Kyanja-Kisaasi-24h'!D96)</f>
        <v>0</v>
      </c>
      <c r="E96" s="49">
        <f>AVERAGE('01.08 Kyanja-Kisaasi-24h'!E96,'03.08 Kyanja-Kisaasi-24h'!E96)</f>
        <v>0.5</v>
      </c>
      <c r="F96" s="49">
        <f>AVERAGE('01.08 Kyanja-Kisaasi-24h'!F96,'03.08 Kyanja-Kisaasi-24h'!F96)</f>
        <v>0</v>
      </c>
      <c r="G96" s="49">
        <f>AVERAGE('01.08 Kyanja-Kisaasi-24h'!G96,'03.08 Kyanja-Kisaasi-24h'!G96)</f>
        <v>0</v>
      </c>
      <c r="H96" s="49">
        <f>AVERAGE('01.08 Kyanja-Kisaasi-24h'!H96,'03.08 Kyanja-Kisaasi-24h'!H96)</f>
        <v>0</v>
      </c>
      <c r="I96" s="49">
        <f>AVERAGE('01.08 Kyanja-Kisaasi-24h'!I96,'03.08 Kyanja-Kisaasi-24h'!I96)</f>
        <v>0</v>
      </c>
      <c r="J96" s="49">
        <f>AVERAGE('01.08 Kyanja-Kisaasi-24h'!J96,'03.08 Kyanja-Kisaasi-24h'!J96)</f>
        <v>0</v>
      </c>
      <c r="K96" s="49">
        <f>AVERAGE('01.08 Kyanja-Kisaasi-24h'!K96,'03.08 Kyanja-Kisaasi-24h'!K96)</f>
        <v>0</v>
      </c>
      <c r="L96" s="49">
        <f>AVERAGE('01.08 Kyanja-Kisaasi-24h'!L96,'03.08 Kyanja-Kisaasi-24h'!L96)</f>
        <v>0</v>
      </c>
      <c r="M96" s="49">
        <f>AVERAGE('01.08 Kyanja-Kisaasi-24h'!M96,'03.08 Kyanja-Kisaasi-24h'!M96)</f>
        <v>12.5</v>
      </c>
      <c r="N96" s="49">
        <f>AVERAGE('01.08 Kyanja-Kisaasi-24h'!N96,'03.08 Kyanja-Kisaasi-24h'!N96)</f>
        <v>0</v>
      </c>
      <c r="O96" s="49">
        <f>AVERAGE('01.08 Kyanja-Kisaasi-24h'!O96,'03.08 Kyanja-Kisaasi-24h'!O96)</f>
        <v>9.5</v>
      </c>
      <c r="P96" s="49">
        <f>AVERAGE('01.08 Kyanja-Kisaasi-24h'!P96,'03.08 Kyanja-Kisaasi-24h'!P96)</f>
        <v>22</v>
      </c>
      <c r="R96" s="8"/>
      <c r="T96"/>
    </row>
    <row r="97" spans="2:20" ht="23.1" customHeight="1" x14ac:dyDescent="0.25">
      <c r="B97" s="23" t="s">
        <v>137</v>
      </c>
      <c r="C97" s="49">
        <f>AVERAGE('01.08 Kyanja-Kisaasi-24h'!C97,'03.08 Kyanja-Kisaasi-24h'!C97)</f>
        <v>12</v>
      </c>
      <c r="D97" s="49">
        <f>AVERAGE('01.08 Kyanja-Kisaasi-24h'!D97,'03.08 Kyanja-Kisaasi-24h'!D97)</f>
        <v>0.5</v>
      </c>
      <c r="E97" s="49">
        <f>AVERAGE('01.08 Kyanja-Kisaasi-24h'!E97,'03.08 Kyanja-Kisaasi-24h'!E97)</f>
        <v>3</v>
      </c>
      <c r="F97" s="49">
        <f>AVERAGE('01.08 Kyanja-Kisaasi-24h'!F97,'03.08 Kyanja-Kisaasi-24h'!F97)</f>
        <v>3.5</v>
      </c>
      <c r="G97" s="49">
        <f>AVERAGE('01.08 Kyanja-Kisaasi-24h'!G97,'03.08 Kyanja-Kisaasi-24h'!G97)</f>
        <v>0</v>
      </c>
      <c r="H97" s="49">
        <f>AVERAGE('01.08 Kyanja-Kisaasi-24h'!H97,'03.08 Kyanja-Kisaasi-24h'!H97)</f>
        <v>0</v>
      </c>
      <c r="I97" s="49">
        <f>AVERAGE('01.08 Kyanja-Kisaasi-24h'!I97,'03.08 Kyanja-Kisaasi-24h'!I97)</f>
        <v>0</v>
      </c>
      <c r="J97" s="49">
        <f>AVERAGE('01.08 Kyanja-Kisaasi-24h'!J97,'03.08 Kyanja-Kisaasi-24h'!J97)</f>
        <v>0</v>
      </c>
      <c r="K97" s="49">
        <f>AVERAGE('01.08 Kyanja-Kisaasi-24h'!K97,'03.08 Kyanja-Kisaasi-24h'!K97)</f>
        <v>0</v>
      </c>
      <c r="L97" s="49">
        <f>AVERAGE('01.08 Kyanja-Kisaasi-24h'!L97,'03.08 Kyanja-Kisaasi-24h'!L97)</f>
        <v>0</v>
      </c>
      <c r="M97" s="49">
        <f>AVERAGE('01.08 Kyanja-Kisaasi-24h'!M97,'03.08 Kyanja-Kisaasi-24h'!M97)</f>
        <v>12.5</v>
      </c>
      <c r="N97" s="49">
        <f>AVERAGE('01.08 Kyanja-Kisaasi-24h'!N97,'03.08 Kyanja-Kisaasi-24h'!N97)</f>
        <v>0</v>
      </c>
      <c r="O97" s="49">
        <f>AVERAGE('01.08 Kyanja-Kisaasi-24h'!O97,'03.08 Kyanja-Kisaasi-24h'!O97)</f>
        <v>19</v>
      </c>
      <c r="P97" s="49">
        <f>AVERAGE('01.08 Kyanja-Kisaasi-24h'!P97,'03.08 Kyanja-Kisaasi-24h'!P97)</f>
        <v>31.5</v>
      </c>
      <c r="R97" s="8"/>
      <c r="T97"/>
    </row>
    <row r="98" spans="2:20" ht="23.1" customHeight="1" x14ac:dyDescent="0.25">
      <c r="B98" s="24" t="s">
        <v>138</v>
      </c>
      <c r="C98" s="49">
        <f>AVERAGE('01.08 Kyanja-Kisaasi-24h'!C98,'03.08 Kyanja-Kisaasi-24h'!C98)</f>
        <v>9.5</v>
      </c>
      <c r="D98" s="49">
        <f>AVERAGE('01.08 Kyanja-Kisaasi-24h'!D98,'03.08 Kyanja-Kisaasi-24h'!D98)</f>
        <v>0.5</v>
      </c>
      <c r="E98" s="49">
        <f>AVERAGE('01.08 Kyanja-Kisaasi-24h'!E98,'03.08 Kyanja-Kisaasi-24h'!E98)</f>
        <v>2</v>
      </c>
      <c r="F98" s="49">
        <f>AVERAGE('01.08 Kyanja-Kisaasi-24h'!F98,'03.08 Kyanja-Kisaasi-24h'!F98)</f>
        <v>5</v>
      </c>
      <c r="G98" s="49">
        <f>AVERAGE('01.08 Kyanja-Kisaasi-24h'!G98,'03.08 Kyanja-Kisaasi-24h'!G98)</f>
        <v>0</v>
      </c>
      <c r="H98" s="49">
        <f>AVERAGE('01.08 Kyanja-Kisaasi-24h'!H98,'03.08 Kyanja-Kisaasi-24h'!H98)</f>
        <v>0</v>
      </c>
      <c r="I98" s="49">
        <f>AVERAGE('01.08 Kyanja-Kisaasi-24h'!I98,'03.08 Kyanja-Kisaasi-24h'!I98)</f>
        <v>0.5</v>
      </c>
      <c r="J98" s="49">
        <f>AVERAGE('01.08 Kyanja-Kisaasi-24h'!J98,'03.08 Kyanja-Kisaasi-24h'!J98)</f>
        <v>0</v>
      </c>
      <c r="K98" s="49">
        <f>AVERAGE('01.08 Kyanja-Kisaasi-24h'!K98,'03.08 Kyanja-Kisaasi-24h'!K98)</f>
        <v>0</v>
      </c>
      <c r="L98" s="49">
        <f>AVERAGE('01.08 Kyanja-Kisaasi-24h'!L98,'03.08 Kyanja-Kisaasi-24h'!L98)</f>
        <v>0</v>
      </c>
      <c r="M98" s="49">
        <f>AVERAGE('01.08 Kyanja-Kisaasi-24h'!M98,'03.08 Kyanja-Kisaasi-24h'!M98)</f>
        <v>9</v>
      </c>
      <c r="N98" s="49">
        <f>AVERAGE('01.08 Kyanja-Kisaasi-24h'!N98,'03.08 Kyanja-Kisaasi-24h'!N98)</f>
        <v>0</v>
      </c>
      <c r="O98" s="49">
        <f>AVERAGE('01.08 Kyanja-Kisaasi-24h'!O98,'03.08 Kyanja-Kisaasi-24h'!O98)</f>
        <v>17.5</v>
      </c>
      <c r="P98" s="49">
        <f>AVERAGE('01.08 Kyanja-Kisaasi-24h'!P98,'03.08 Kyanja-Kisaasi-24h'!P98)</f>
        <v>26.5</v>
      </c>
      <c r="R98" s="8"/>
      <c r="T98"/>
    </row>
    <row r="99" spans="2:20" ht="23.1" customHeight="1" x14ac:dyDescent="0.25">
      <c r="B99" s="23" t="s">
        <v>139</v>
      </c>
      <c r="C99" s="49">
        <f>AVERAGE('01.08 Kyanja-Kisaasi-24h'!C99,'03.08 Kyanja-Kisaasi-24h'!C99)</f>
        <v>8</v>
      </c>
      <c r="D99" s="49">
        <f>AVERAGE('01.08 Kyanja-Kisaasi-24h'!D99,'03.08 Kyanja-Kisaasi-24h'!D99)</f>
        <v>1</v>
      </c>
      <c r="E99" s="49">
        <f>AVERAGE('01.08 Kyanja-Kisaasi-24h'!E99,'03.08 Kyanja-Kisaasi-24h'!E99)</f>
        <v>2</v>
      </c>
      <c r="F99" s="49">
        <f>AVERAGE('01.08 Kyanja-Kisaasi-24h'!F99,'03.08 Kyanja-Kisaasi-24h'!F99)</f>
        <v>2.5</v>
      </c>
      <c r="G99" s="49">
        <f>AVERAGE('01.08 Kyanja-Kisaasi-24h'!G99,'03.08 Kyanja-Kisaasi-24h'!G99)</f>
        <v>0.5</v>
      </c>
      <c r="H99" s="49">
        <f>AVERAGE('01.08 Kyanja-Kisaasi-24h'!H99,'03.08 Kyanja-Kisaasi-24h'!H99)</f>
        <v>0.5</v>
      </c>
      <c r="I99" s="49">
        <f>AVERAGE('01.08 Kyanja-Kisaasi-24h'!I99,'03.08 Kyanja-Kisaasi-24h'!I99)</f>
        <v>0</v>
      </c>
      <c r="J99" s="49">
        <f>AVERAGE('01.08 Kyanja-Kisaasi-24h'!J99,'03.08 Kyanja-Kisaasi-24h'!J99)</f>
        <v>0</v>
      </c>
      <c r="K99" s="49">
        <f>AVERAGE('01.08 Kyanja-Kisaasi-24h'!K99,'03.08 Kyanja-Kisaasi-24h'!K99)</f>
        <v>0</v>
      </c>
      <c r="L99" s="49">
        <f>AVERAGE('01.08 Kyanja-Kisaasi-24h'!L99,'03.08 Kyanja-Kisaasi-24h'!L99)</f>
        <v>0</v>
      </c>
      <c r="M99" s="49">
        <f>AVERAGE('01.08 Kyanja-Kisaasi-24h'!M99,'03.08 Kyanja-Kisaasi-24h'!M99)</f>
        <v>13</v>
      </c>
      <c r="N99" s="49">
        <f>AVERAGE('01.08 Kyanja-Kisaasi-24h'!N99,'03.08 Kyanja-Kisaasi-24h'!N99)</f>
        <v>0</v>
      </c>
      <c r="O99" s="49">
        <f>AVERAGE('01.08 Kyanja-Kisaasi-24h'!O99,'03.08 Kyanja-Kisaasi-24h'!O99)</f>
        <v>14.5</v>
      </c>
      <c r="P99" s="49">
        <f>AVERAGE('01.08 Kyanja-Kisaasi-24h'!P99,'03.08 Kyanja-Kisaasi-24h'!P99)</f>
        <v>27.5</v>
      </c>
      <c r="R99" s="8"/>
      <c r="T99"/>
    </row>
    <row r="100" spans="2:20" ht="23.1" customHeight="1" x14ac:dyDescent="0.25">
      <c r="B100" s="25" t="s">
        <v>140</v>
      </c>
      <c r="C100" s="49">
        <f>AVERAGE('01.08 Kyanja-Kisaasi-24h'!C100,'03.08 Kyanja-Kisaasi-24h'!C100)</f>
        <v>18</v>
      </c>
      <c r="D100" s="49">
        <f>AVERAGE('01.08 Kyanja-Kisaasi-24h'!D100,'03.08 Kyanja-Kisaasi-24h'!D100)</f>
        <v>1</v>
      </c>
      <c r="E100" s="49">
        <f>AVERAGE('01.08 Kyanja-Kisaasi-24h'!E100,'03.08 Kyanja-Kisaasi-24h'!E100)</f>
        <v>1</v>
      </c>
      <c r="F100" s="49">
        <f>AVERAGE('01.08 Kyanja-Kisaasi-24h'!F100,'03.08 Kyanja-Kisaasi-24h'!F100)</f>
        <v>9</v>
      </c>
      <c r="G100" s="49">
        <f>AVERAGE('01.08 Kyanja-Kisaasi-24h'!G100,'03.08 Kyanja-Kisaasi-24h'!G100)</f>
        <v>0</v>
      </c>
      <c r="H100" s="49">
        <f>AVERAGE('01.08 Kyanja-Kisaasi-24h'!H100,'03.08 Kyanja-Kisaasi-24h'!H100)</f>
        <v>0</v>
      </c>
      <c r="I100" s="49">
        <f>AVERAGE('01.08 Kyanja-Kisaasi-24h'!I100,'03.08 Kyanja-Kisaasi-24h'!I100)</f>
        <v>0</v>
      </c>
      <c r="J100" s="49">
        <f>AVERAGE('01.08 Kyanja-Kisaasi-24h'!J100,'03.08 Kyanja-Kisaasi-24h'!J100)</f>
        <v>0</v>
      </c>
      <c r="K100" s="49">
        <f>AVERAGE('01.08 Kyanja-Kisaasi-24h'!K100,'03.08 Kyanja-Kisaasi-24h'!K100)</f>
        <v>0</v>
      </c>
      <c r="L100" s="49">
        <f>AVERAGE('01.08 Kyanja-Kisaasi-24h'!L100,'03.08 Kyanja-Kisaasi-24h'!L100)</f>
        <v>0</v>
      </c>
      <c r="M100" s="49">
        <f>AVERAGE('01.08 Kyanja-Kisaasi-24h'!M100,'03.08 Kyanja-Kisaasi-24h'!M100)</f>
        <v>13.5</v>
      </c>
      <c r="N100" s="49">
        <f>AVERAGE('01.08 Kyanja-Kisaasi-24h'!N100,'03.08 Kyanja-Kisaasi-24h'!N100)</f>
        <v>0</v>
      </c>
      <c r="O100" s="49">
        <f>AVERAGE('01.08 Kyanja-Kisaasi-24h'!O100,'03.08 Kyanja-Kisaasi-24h'!O100)</f>
        <v>29</v>
      </c>
      <c r="P100" s="49">
        <f>AVERAGE('01.08 Kyanja-Kisaasi-24h'!P100,'03.08 Kyanja-Kisaasi-24h'!P100)</f>
        <v>42.5</v>
      </c>
      <c r="R100" s="8"/>
      <c r="T100"/>
    </row>
    <row r="101" spans="2:20" ht="23.1" customHeight="1" x14ac:dyDescent="0.25">
      <c r="B101" s="23" t="s">
        <v>141</v>
      </c>
      <c r="C101" s="49">
        <f>AVERAGE('01.08 Kyanja-Kisaasi-24h'!C101,'03.08 Kyanja-Kisaasi-24h'!C101)</f>
        <v>31.5</v>
      </c>
      <c r="D101" s="49">
        <f>AVERAGE('01.08 Kyanja-Kisaasi-24h'!D101,'03.08 Kyanja-Kisaasi-24h'!D101)</f>
        <v>2.5</v>
      </c>
      <c r="E101" s="49">
        <f>AVERAGE('01.08 Kyanja-Kisaasi-24h'!E101,'03.08 Kyanja-Kisaasi-24h'!E101)</f>
        <v>2</v>
      </c>
      <c r="F101" s="49">
        <f>AVERAGE('01.08 Kyanja-Kisaasi-24h'!F101,'03.08 Kyanja-Kisaasi-24h'!F101)</f>
        <v>10.5</v>
      </c>
      <c r="G101" s="49">
        <f>AVERAGE('01.08 Kyanja-Kisaasi-24h'!G101,'03.08 Kyanja-Kisaasi-24h'!G101)</f>
        <v>1</v>
      </c>
      <c r="H101" s="49">
        <f>AVERAGE('01.08 Kyanja-Kisaasi-24h'!H101,'03.08 Kyanja-Kisaasi-24h'!H101)</f>
        <v>0</v>
      </c>
      <c r="I101" s="49">
        <f>AVERAGE('01.08 Kyanja-Kisaasi-24h'!I101,'03.08 Kyanja-Kisaasi-24h'!I101)</f>
        <v>0</v>
      </c>
      <c r="J101" s="49">
        <f>AVERAGE('01.08 Kyanja-Kisaasi-24h'!J101,'03.08 Kyanja-Kisaasi-24h'!J101)</f>
        <v>0</v>
      </c>
      <c r="K101" s="49">
        <f>AVERAGE('01.08 Kyanja-Kisaasi-24h'!K101,'03.08 Kyanja-Kisaasi-24h'!K101)</f>
        <v>0</v>
      </c>
      <c r="L101" s="49">
        <f>AVERAGE('01.08 Kyanja-Kisaasi-24h'!L101,'03.08 Kyanja-Kisaasi-24h'!L101)</f>
        <v>0.5</v>
      </c>
      <c r="M101" s="49">
        <f>AVERAGE('01.08 Kyanja-Kisaasi-24h'!M101,'03.08 Kyanja-Kisaasi-24h'!M101)</f>
        <v>20</v>
      </c>
      <c r="N101" s="49">
        <f>AVERAGE('01.08 Kyanja-Kisaasi-24h'!N101,'03.08 Kyanja-Kisaasi-24h'!N101)</f>
        <v>0</v>
      </c>
      <c r="O101" s="49">
        <f>AVERAGE('01.08 Kyanja-Kisaasi-24h'!O101,'03.08 Kyanja-Kisaasi-24h'!O101)</f>
        <v>48</v>
      </c>
      <c r="P101" s="49">
        <f>AVERAGE('01.08 Kyanja-Kisaasi-24h'!P101,'03.08 Kyanja-Kisaasi-24h'!P101)</f>
        <v>68</v>
      </c>
      <c r="R101" s="8"/>
      <c r="T101"/>
    </row>
    <row r="102" spans="2:20" ht="23.1" customHeight="1" x14ac:dyDescent="0.25">
      <c r="B102" s="24" t="s">
        <v>142</v>
      </c>
      <c r="C102" s="49">
        <f>AVERAGE('01.08 Kyanja-Kisaasi-24h'!C102,'03.08 Kyanja-Kisaasi-24h'!C102)</f>
        <v>24</v>
      </c>
      <c r="D102" s="49">
        <f>AVERAGE('01.08 Kyanja-Kisaasi-24h'!D102,'03.08 Kyanja-Kisaasi-24h'!D102)</f>
        <v>15.5</v>
      </c>
      <c r="E102" s="49">
        <f>AVERAGE('01.08 Kyanja-Kisaasi-24h'!E102,'03.08 Kyanja-Kisaasi-24h'!E102)</f>
        <v>2</v>
      </c>
      <c r="F102" s="49">
        <f>AVERAGE('01.08 Kyanja-Kisaasi-24h'!F102,'03.08 Kyanja-Kisaasi-24h'!F102)</f>
        <v>9</v>
      </c>
      <c r="G102" s="49">
        <f>AVERAGE('01.08 Kyanja-Kisaasi-24h'!G102,'03.08 Kyanja-Kisaasi-24h'!G102)</f>
        <v>1</v>
      </c>
      <c r="H102" s="49">
        <f>AVERAGE('01.08 Kyanja-Kisaasi-24h'!H102,'03.08 Kyanja-Kisaasi-24h'!H102)</f>
        <v>0</v>
      </c>
      <c r="I102" s="49">
        <f>AVERAGE('01.08 Kyanja-Kisaasi-24h'!I102,'03.08 Kyanja-Kisaasi-24h'!I102)</f>
        <v>0</v>
      </c>
      <c r="J102" s="49">
        <f>AVERAGE('01.08 Kyanja-Kisaasi-24h'!J102,'03.08 Kyanja-Kisaasi-24h'!J102)</f>
        <v>0</v>
      </c>
      <c r="K102" s="49">
        <f>AVERAGE('01.08 Kyanja-Kisaasi-24h'!K102,'03.08 Kyanja-Kisaasi-24h'!K102)</f>
        <v>0</v>
      </c>
      <c r="L102" s="49">
        <f>AVERAGE('01.08 Kyanja-Kisaasi-24h'!L102,'03.08 Kyanja-Kisaasi-24h'!L102)</f>
        <v>0</v>
      </c>
      <c r="M102" s="49">
        <f>AVERAGE('01.08 Kyanja-Kisaasi-24h'!M102,'03.08 Kyanja-Kisaasi-24h'!M102)</f>
        <v>32.5</v>
      </c>
      <c r="N102" s="49">
        <f>AVERAGE('01.08 Kyanja-Kisaasi-24h'!N102,'03.08 Kyanja-Kisaasi-24h'!N102)</f>
        <v>0</v>
      </c>
      <c r="O102" s="49">
        <f>AVERAGE('01.08 Kyanja-Kisaasi-24h'!O102,'03.08 Kyanja-Kisaasi-24h'!O102)</f>
        <v>51.5</v>
      </c>
      <c r="P102" s="49">
        <f>AVERAGE('01.08 Kyanja-Kisaasi-24h'!P102,'03.08 Kyanja-Kisaasi-24h'!P102)</f>
        <v>84</v>
      </c>
      <c r="R102" s="8"/>
      <c r="T102"/>
    </row>
    <row r="103" spans="2:20" ht="23.1" customHeight="1" x14ac:dyDescent="0.25">
      <c r="B103" s="23" t="s">
        <v>143</v>
      </c>
      <c r="C103" s="49">
        <f>AVERAGE('01.08 Kyanja-Kisaasi-24h'!C103,'03.08 Kyanja-Kisaasi-24h'!C103)</f>
        <v>27.5</v>
      </c>
      <c r="D103" s="49">
        <f>AVERAGE('01.08 Kyanja-Kisaasi-24h'!D103,'03.08 Kyanja-Kisaasi-24h'!D103)</f>
        <v>24.5</v>
      </c>
      <c r="E103" s="49">
        <f>AVERAGE('01.08 Kyanja-Kisaasi-24h'!E103,'03.08 Kyanja-Kisaasi-24h'!E103)</f>
        <v>4</v>
      </c>
      <c r="F103" s="49">
        <f>AVERAGE('01.08 Kyanja-Kisaasi-24h'!F103,'03.08 Kyanja-Kisaasi-24h'!F103)</f>
        <v>2.5</v>
      </c>
      <c r="G103" s="49">
        <f>AVERAGE('01.08 Kyanja-Kisaasi-24h'!G103,'03.08 Kyanja-Kisaasi-24h'!G103)</f>
        <v>0</v>
      </c>
      <c r="H103" s="49">
        <f>AVERAGE('01.08 Kyanja-Kisaasi-24h'!H103,'03.08 Kyanja-Kisaasi-24h'!H103)</f>
        <v>0</v>
      </c>
      <c r="I103" s="49">
        <f>AVERAGE('01.08 Kyanja-Kisaasi-24h'!I103,'03.08 Kyanja-Kisaasi-24h'!I103)</f>
        <v>0.5</v>
      </c>
      <c r="J103" s="49">
        <f>AVERAGE('01.08 Kyanja-Kisaasi-24h'!J103,'03.08 Kyanja-Kisaasi-24h'!J103)</f>
        <v>0</v>
      </c>
      <c r="K103" s="49">
        <f>AVERAGE('01.08 Kyanja-Kisaasi-24h'!K103,'03.08 Kyanja-Kisaasi-24h'!K103)</f>
        <v>0.5</v>
      </c>
      <c r="L103" s="49">
        <f>AVERAGE('01.08 Kyanja-Kisaasi-24h'!L103,'03.08 Kyanja-Kisaasi-24h'!L103)</f>
        <v>0</v>
      </c>
      <c r="M103" s="49">
        <f>AVERAGE('01.08 Kyanja-Kisaasi-24h'!M103,'03.08 Kyanja-Kisaasi-24h'!M103)</f>
        <v>34</v>
      </c>
      <c r="N103" s="49">
        <f>AVERAGE('01.08 Kyanja-Kisaasi-24h'!N103,'03.08 Kyanja-Kisaasi-24h'!N103)</f>
        <v>0</v>
      </c>
      <c r="O103" s="49">
        <f>AVERAGE('01.08 Kyanja-Kisaasi-24h'!O103,'03.08 Kyanja-Kisaasi-24h'!O103)</f>
        <v>59.5</v>
      </c>
      <c r="P103" s="49">
        <f>AVERAGE('01.08 Kyanja-Kisaasi-24h'!P103,'03.08 Kyanja-Kisaasi-24h'!P103)</f>
        <v>93.5</v>
      </c>
      <c r="R103" s="8"/>
      <c r="T103"/>
    </row>
    <row r="104" spans="2:20" ht="23.1" customHeight="1" x14ac:dyDescent="0.25">
      <c r="B104" s="25" t="s">
        <v>144</v>
      </c>
      <c r="C104" s="49">
        <f>AVERAGE('01.08 Kyanja-Kisaasi-24h'!C104,'03.08 Kyanja-Kisaasi-24h'!C104)</f>
        <v>26</v>
      </c>
      <c r="D104" s="49">
        <f>AVERAGE('01.08 Kyanja-Kisaasi-24h'!D104,'03.08 Kyanja-Kisaasi-24h'!D104)</f>
        <v>28</v>
      </c>
      <c r="E104" s="49">
        <f>AVERAGE('01.08 Kyanja-Kisaasi-24h'!E104,'03.08 Kyanja-Kisaasi-24h'!E104)</f>
        <v>13</v>
      </c>
      <c r="F104" s="49">
        <f>AVERAGE('01.08 Kyanja-Kisaasi-24h'!F104,'03.08 Kyanja-Kisaasi-24h'!F104)</f>
        <v>13</v>
      </c>
      <c r="G104" s="49">
        <f>AVERAGE('01.08 Kyanja-Kisaasi-24h'!G104,'03.08 Kyanja-Kisaasi-24h'!G104)</f>
        <v>0</v>
      </c>
      <c r="H104" s="49">
        <f>AVERAGE('01.08 Kyanja-Kisaasi-24h'!H104,'03.08 Kyanja-Kisaasi-24h'!H104)</f>
        <v>0</v>
      </c>
      <c r="I104" s="49">
        <f>AVERAGE('01.08 Kyanja-Kisaasi-24h'!I104,'03.08 Kyanja-Kisaasi-24h'!I104)</f>
        <v>0.5</v>
      </c>
      <c r="J104" s="49">
        <f>AVERAGE('01.08 Kyanja-Kisaasi-24h'!J104,'03.08 Kyanja-Kisaasi-24h'!J104)</f>
        <v>0</v>
      </c>
      <c r="K104" s="49">
        <f>AVERAGE('01.08 Kyanja-Kisaasi-24h'!K104,'03.08 Kyanja-Kisaasi-24h'!K104)</f>
        <v>0</v>
      </c>
      <c r="L104" s="49">
        <f>AVERAGE('01.08 Kyanja-Kisaasi-24h'!L104,'03.08 Kyanja-Kisaasi-24h'!L104)</f>
        <v>0</v>
      </c>
      <c r="M104" s="49">
        <f>AVERAGE('01.08 Kyanja-Kisaasi-24h'!M104,'03.08 Kyanja-Kisaasi-24h'!M104)</f>
        <v>27</v>
      </c>
      <c r="N104" s="49">
        <f>AVERAGE('01.08 Kyanja-Kisaasi-24h'!N104,'03.08 Kyanja-Kisaasi-24h'!N104)</f>
        <v>0</v>
      </c>
      <c r="O104" s="49">
        <f>AVERAGE('01.08 Kyanja-Kisaasi-24h'!O104,'03.08 Kyanja-Kisaasi-24h'!O104)</f>
        <v>80.5</v>
      </c>
      <c r="P104" s="49">
        <f>AVERAGE('01.08 Kyanja-Kisaasi-24h'!P104,'03.08 Kyanja-Kisaasi-24h'!P104)</f>
        <v>107.5</v>
      </c>
      <c r="R104" s="8"/>
      <c r="T104"/>
    </row>
    <row r="105" spans="2:20" ht="23.1" customHeight="1" x14ac:dyDescent="0.25">
      <c r="B105" s="23" t="s">
        <v>145</v>
      </c>
      <c r="C105" s="49">
        <f>AVERAGE('01.08 Kyanja-Kisaasi-24h'!C105,'03.08 Kyanja-Kisaasi-24h'!C105)</f>
        <v>36</v>
      </c>
      <c r="D105" s="49">
        <f>AVERAGE('01.08 Kyanja-Kisaasi-24h'!D105,'03.08 Kyanja-Kisaasi-24h'!D105)</f>
        <v>15</v>
      </c>
      <c r="E105" s="49">
        <f>AVERAGE('01.08 Kyanja-Kisaasi-24h'!E105,'03.08 Kyanja-Kisaasi-24h'!E105)</f>
        <v>9.5</v>
      </c>
      <c r="F105" s="49">
        <f>AVERAGE('01.08 Kyanja-Kisaasi-24h'!F105,'03.08 Kyanja-Kisaasi-24h'!F105)</f>
        <v>10</v>
      </c>
      <c r="G105" s="49">
        <f>AVERAGE('01.08 Kyanja-Kisaasi-24h'!G105,'03.08 Kyanja-Kisaasi-24h'!G105)</f>
        <v>0</v>
      </c>
      <c r="H105" s="49">
        <f>AVERAGE('01.08 Kyanja-Kisaasi-24h'!H105,'03.08 Kyanja-Kisaasi-24h'!H105)</f>
        <v>0</v>
      </c>
      <c r="I105" s="49">
        <f>AVERAGE('01.08 Kyanja-Kisaasi-24h'!I105,'03.08 Kyanja-Kisaasi-24h'!I105)</f>
        <v>0.5</v>
      </c>
      <c r="J105" s="49">
        <f>AVERAGE('01.08 Kyanja-Kisaasi-24h'!J105,'03.08 Kyanja-Kisaasi-24h'!J105)</f>
        <v>0</v>
      </c>
      <c r="K105" s="49">
        <f>AVERAGE('01.08 Kyanja-Kisaasi-24h'!K105,'03.08 Kyanja-Kisaasi-24h'!K105)</f>
        <v>0</v>
      </c>
      <c r="L105" s="49">
        <f>AVERAGE('01.08 Kyanja-Kisaasi-24h'!L105,'03.08 Kyanja-Kisaasi-24h'!L105)</f>
        <v>0</v>
      </c>
      <c r="M105" s="49">
        <f>AVERAGE('01.08 Kyanja-Kisaasi-24h'!M105,'03.08 Kyanja-Kisaasi-24h'!M105)</f>
        <v>41.5</v>
      </c>
      <c r="N105" s="49">
        <f>AVERAGE('01.08 Kyanja-Kisaasi-24h'!N105,'03.08 Kyanja-Kisaasi-24h'!N105)</f>
        <v>0</v>
      </c>
      <c r="O105" s="49">
        <f>AVERAGE('01.08 Kyanja-Kisaasi-24h'!O105,'03.08 Kyanja-Kisaasi-24h'!O105)</f>
        <v>71</v>
      </c>
      <c r="P105" s="49">
        <f>AVERAGE('01.08 Kyanja-Kisaasi-24h'!P105,'03.08 Kyanja-Kisaasi-24h'!P105)</f>
        <v>112.5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3902.3571428571422</v>
      </c>
      <c r="D106" s="16">
        <f t="shared" ref="D106:O106" si="36">SUM(D10:D105)</f>
        <v>1775.3571428571429</v>
      </c>
      <c r="E106" s="16">
        <f t="shared" si="36"/>
        <v>529.21428571428555</v>
      </c>
      <c r="F106" s="16">
        <f t="shared" si="36"/>
        <v>1105.5714285714284</v>
      </c>
      <c r="G106" s="16">
        <f t="shared" si="36"/>
        <v>19.357142857142861</v>
      </c>
      <c r="H106" s="16">
        <f t="shared" si="36"/>
        <v>2.714285714285714</v>
      </c>
      <c r="I106" s="16">
        <f t="shared" si="36"/>
        <v>206.92857142857142</v>
      </c>
      <c r="J106" s="16">
        <f t="shared" si="36"/>
        <v>82.857142857142833</v>
      </c>
      <c r="K106" s="16">
        <f t="shared" si="36"/>
        <v>85.785714285714292</v>
      </c>
      <c r="L106" s="16">
        <f t="shared" si="36"/>
        <v>11.642857142857141</v>
      </c>
      <c r="M106" s="16">
        <f t="shared" si="36"/>
        <v>6900.7857142857147</v>
      </c>
      <c r="N106" s="16">
        <f t="shared" si="36"/>
        <v>0.2857142857142857</v>
      </c>
      <c r="O106" s="16">
        <f t="shared" si="36"/>
        <v>7722.0714285714266</v>
      </c>
      <c r="P106" s="16">
        <f>SUM(P10:P105)</f>
        <v>14622.857142857145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7">C106/$P$106</f>
        <v>0.26686694021101987</v>
      </c>
      <c r="D107" s="43">
        <f t="shared" si="37"/>
        <v>0.1214097303634232</v>
      </c>
      <c r="E107" s="43">
        <f t="shared" si="37"/>
        <v>3.6190894880812799E-2</v>
      </c>
      <c r="F107" s="43">
        <f t="shared" si="37"/>
        <v>7.5605705353653754E-2</v>
      </c>
      <c r="G107" s="43">
        <f t="shared" si="37"/>
        <v>1.3237592809691287E-3</v>
      </c>
      <c r="H107" s="43">
        <f t="shared" si="37"/>
        <v>1.8561938257131687E-4</v>
      </c>
      <c r="I107" s="43">
        <f t="shared" si="37"/>
        <v>1.4151035560765921E-2</v>
      </c>
      <c r="J107" s="43">
        <f t="shared" si="37"/>
        <v>5.6662758890191458E-3</v>
      </c>
      <c r="K107" s="43">
        <f t="shared" si="37"/>
        <v>5.8665494333724104E-3</v>
      </c>
      <c r="L107" s="43">
        <f t="shared" si="37"/>
        <v>7.9620945681906964E-4</v>
      </c>
      <c r="M107" s="43">
        <f t="shared" si="37"/>
        <v>0.47191774130519731</v>
      </c>
      <c r="N107" s="43">
        <f t="shared" si="37"/>
        <v>1.9538882375928094E-5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0.50535108085358305</v>
      </c>
      <c r="D108" s="44">
        <f t="shared" ref="D108:N108" si="38">D106/$O$106</f>
        <v>0.22990685326846061</v>
      </c>
      <c r="E108" s="44">
        <f t="shared" si="38"/>
        <v>6.8532684605352001E-2</v>
      </c>
      <c r="F108" s="44">
        <f t="shared" si="38"/>
        <v>0.14317031884486955</v>
      </c>
      <c r="G108" s="44">
        <f t="shared" si="38"/>
        <v>2.5067293194831154E-3</v>
      </c>
      <c r="H108" s="44">
        <f t="shared" si="38"/>
        <v>3.5149710014892381E-4</v>
      </c>
      <c r="I108" s="44">
        <f t="shared" si="38"/>
        <v>2.6797028924511378E-2</v>
      </c>
      <c r="J108" s="44">
        <f t="shared" si="38"/>
        <v>1.0729911478230304E-2</v>
      </c>
      <c r="K108" s="44">
        <f t="shared" si="38"/>
        <v>1.1109158349443621E-2</v>
      </c>
      <c r="L108" s="44">
        <f t="shared" si="38"/>
        <v>1.5077375611651205E-3</v>
      </c>
      <c r="M108" s="44"/>
      <c r="N108" s="44">
        <f t="shared" si="38"/>
        <v>3.6999694752518302E-5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F46" zoomScale="60" workbookViewId="0">
      <selection activeCell="AE49" sqref="AE4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'04.08 Kisaasi-Kyanja'!C3:G3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'04.08 Kisaasi-Kyanja'!G5:H5</f>
        <v>Malcom Health center</v>
      </c>
      <c r="H5" s="67"/>
      <c r="I5" s="14"/>
      <c r="J5" s="2" t="s">
        <v>5</v>
      </c>
      <c r="K5" s="66" t="str">
        <f>'04.08 Kisaasi-Kyanja'!K5:L5</f>
        <v>Laira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'04.08 Kisaasi-Kyanja'!D6:E6</f>
        <v>Kisaasi</v>
      </c>
      <c r="E6" s="67"/>
      <c r="F6" s="2" t="s">
        <v>2</v>
      </c>
      <c r="G6" s="66" t="str">
        <f>'04.08 Kisaasi-Kyanja'!G6:H6</f>
        <v>Kyanja</v>
      </c>
      <c r="H6" s="67"/>
      <c r="J6" s="2" t="s">
        <v>21</v>
      </c>
      <c r="K6" s="66" t="str">
        <f>'04.08 Kisaasi-Kyanja'!K6:L6</f>
        <v>Denis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Kisaasi-Kyanja'!C10,'30.07 Kisaasi-Kyanja'!C10,'31.07 Kisaasi-Kyanja'!C10,'02.08 Kisaasi-Kyanja'!C10,'01.08 Kisaasi-Kyanja-24h'!C10,'03.08 Kisaasi-Kyanja-24h'!C10,'04.08 Kisaasi-Kyanja'!C10)</f>
        <v>61.428571428571431</v>
      </c>
      <c r="D10" s="49">
        <f>AVERAGE('29.07 Kisaasi-Kyanja'!D10,'30.07 Kisaasi-Kyanja'!D10,'31.07 Kisaasi-Kyanja'!D10,'02.08 Kisaasi-Kyanja'!D10,'01.08 Kisaasi-Kyanja-24h'!D10,'03.08 Kisaasi-Kyanja-24h'!D10,'04.08 Kisaasi-Kyanja'!D10)</f>
        <v>21.857142857142858</v>
      </c>
      <c r="E10" s="49">
        <f>AVERAGE('29.07 Kisaasi-Kyanja'!E10,'30.07 Kisaasi-Kyanja'!E10,'31.07 Kisaasi-Kyanja'!E10,'02.08 Kisaasi-Kyanja'!E10,'01.08 Kisaasi-Kyanja-24h'!E10,'03.08 Kisaasi-Kyanja-24h'!E10,'04.08 Kisaasi-Kyanja'!E10)</f>
        <v>9.2857142857142865</v>
      </c>
      <c r="F10" s="49">
        <f>AVERAGE('29.07 Kisaasi-Kyanja'!F10,'30.07 Kisaasi-Kyanja'!F10,'31.07 Kisaasi-Kyanja'!F10,'02.08 Kisaasi-Kyanja'!F10,'01.08 Kisaasi-Kyanja-24h'!F10,'03.08 Kisaasi-Kyanja-24h'!F10,'04.08 Kisaasi-Kyanja'!F10)</f>
        <v>16.428571428571427</v>
      </c>
      <c r="G10" s="49">
        <f>AVERAGE('29.07 Kisaasi-Kyanja'!G10,'30.07 Kisaasi-Kyanja'!G10,'31.07 Kisaasi-Kyanja'!G10,'02.08 Kisaasi-Kyanja'!G10,'01.08 Kisaasi-Kyanja-24h'!G10,'03.08 Kisaasi-Kyanja-24h'!G10,'04.08 Kisaasi-Kyanja'!G10)</f>
        <v>0.14285714285714285</v>
      </c>
      <c r="H10" s="49">
        <f>AVERAGE('29.07 Kisaasi-Kyanja'!H10,'30.07 Kisaasi-Kyanja'!H10,'31.07 Kisaasi-Kyanja'!H10,'02.08 Kisaasi-Kyanja'!H10,'01.08 Kisaasi-Kyanja-24h'!H10,'03.08 Kisaasi-Kyanja-24h'!H10,'04.08 Kisaasi-Kyanja'!H10)</f>
        <v>0</v>
      </c>
      <c r="I10" s="49">
        <f>AVERAGE('29.07 Kisaasi-Kyanja'!I10,'30.07 Kisaasi-Kyanja'!I10,'31.07 Kisaasi-Kyanja'!I10,'02.08 Kisaasi-Kyanja'!I10,'01.08 Kisaasi-Kyanja-24h'!I10,'03.08 Kisaasi-Kyanja-24h'!I10,'04.08 Kisaasi-Kyanja'!I10)</f>
        <v>2.2857142857142856</v>
      </c>
      <c r="J10" s="49">
        <f>AVERAGE('29.07 Kisaasi-Kyanja'!J10,'30.07 Kisaasi-Kyanja'!J10,'31.07 Kisaasi-Kyanja'!J10,'02.08 Kisaasi-Kyanja'!J10,'01.08 Kisaasi-Kyanja-24h'!J10,'03.08 Kisaasi-Kyanja-24h'!J10,'04.08 Kisaasi-Kyanja'!J10)</f>
        <v>0.8571428571428571</v>
      </c>
      <c r="K10" s="49">
        <f>AVERAGE('29.07 Kisaasi-Kyanja'!K10,'30.07 Kisaasi-Kyanja'!K10,'31.07 Kisaasi-Kyanja'!K10,'02.08 Kisaasi-Kyanja'!K10,'01.08 Kisaasi-Kyanja-24h'!K10,'03.08 Kisaasi-Kyanja-24h'!K10,'04.08 Kisaasi-Kyanja'!K10)</f>
        <v>2.4285714285714284</v>
      </c>
      <c r="L10" s="49">
        <f>AVERAGE('29.07 Kisaasi-Kyanja'!L10,'30.07 Kisaasi-Kyanja'!L10,'31.07 Kisaasi-Kyanja'!L10,'02.08 Kisaasi-Kyanja'!L10,'01.08 Kisaasi-Kyanja-24h'!L10,'03.08 Kisaasi-Kyanja-24h'!L10,'04.08 Kisaasi-Kyanja'!L10)</f>
        <v>0</v>
      </c>
      <c r="M10" s="49">
        <f>AVERAGE('29.07 Kisaasi-Kyanja'!M10,'30.07 Kisaasi-Kyanja'!M10,'31.07 Kisaasi-Kyanja'!M10,'02.08 Kisaasi-Kyanja'!M10,'01.08 Kisaasi-Kyanja-24h'!M10,'03.08 Kisaasi-Kyanja-24h'!M10,'04.08 Kisaasi-Kyanja'!M10)</f>
        <v>108</v>
      </c>
      <c r="N10" s="49">
        <f>AVERAGE('29.07 Kisaasi-Kyanja'!N10,'30.07 Kisaasi-Kyanja'!N10,'31.07 Kisaasi-Kyanja'!N10,'02.08 Kisaasi-Kyanja'!N10,'01.08 Kisaasi-Kyanja-24h'!N10,'03.08 Kisaasi-Kyanja-24h'!N10,'04.08 Kisaasi-Kyanja'!N10)</f>
        <v>0</v>
      </c>
      <c r="O10" s="15">
        <f t="shared" ref="O10:O57" si="0">SUM(C10:L10,N10)</f>
        <v>114.71428571428574</v>
      </c>
      <c r="P10" s="15">
        <f t="shared" ref="P10:P57" si="1">SUM(C10:N10)</f>
        <v>222.71428571428572</v>
      </c>
      <c r="R10" s="1" t="s">
        <v>6</v>
      </c>
      <c r="S10" s="17">
        <f t="shared" ref="S10:AF10" si="2">SUM(C10:C13)</f>
        <v>253.28571428571428</v>
      </c>
      <c r="T10" s="17">
        <f t="shared" si="2"/>
        <v>80.571428571428569</v>
      </c>
      <c r="U10" s="17">
        <f t="shared" si="2"/>
        <v>30.285714285714285</v>
      </c>
      <c r="V10" s="17">
        <f t="shared" si="2"/>
        <v>70.428571428571431</v>
      </c>
      <c r="W10" s="17">
        <f t="shared" si="2"/>
        <v>1.4285714285714284</v>
      </c>
      <c r="X10" s="17">
        <f t="shared" si="2"/>
        <v>0</v>
      </c>
      <c r="Y10" s="17">
        <f t="shared" si="2"/>
        <v>8.8571428571428577</v>
      </c>
      <c r="Z10" s="17">
        <f t="shared" si="2"/>
        <v>1.857142857142857</v>
      </c>
      <c r="AA10" s="17">
        <f t="shared" si="2"/>
        <v>7.2857142857142856</v>
      </c>
      <c r="AB10" s="17">
        <f t="shared" si="2"/>
        <v>0</v>
      </c>
      <c r="AC10" s="17">
        <f t="shared" si="2"/>
        <v>537.42857142857144</v>
      </c>
      <c r="AD10" s="17">
        <f t="shared" si="2"/>
        <v>0</v>
      </c>
      <c r="AE10" s="31">
        <f t="shared" si="2"/>
        <v>454</v>
      </c>
      <c r="AF10" s="31">
        <f t="shared" si="2"/>
        <v>991.42857142857133</v>
      </c>
    </row>
    <row r="11" spans="2:32" s="6" customFormat="1" ht="23.1" customHeight="1" x14ac:dyDescent="0.25">
      <c r="B11" s="23" t="s">
        <v>38</v>
      </c>
      <c r="C11" s="49">
        <f>AVERAGE('29.07 Kisaasi-Kyanja'!C11,'30.07 Kisaasi-Kyanja'!C11,'31.07 Kisaasi-Kyanja'!C11,'02.08 Kisaasi-Kyanja'!C11,'01.08 Kisaasi-Kyanja-24h'!C11,'03.08 Kisaasi-Kyanja-24h'!C11,'04.08 Kisaasi-Kyanja'!C11)</f>
        <v>67.714285714285708</v>
      </c>
      <c r="D11" s="49">
        <f>AVERAGE('29.07 Kisaasi-Kyanja'!D11,'30.07 Kisaasi-Kyanja'!D11,'31.07 Kisaasi-Kyanja'!D11,'02.08 Kisaasi-Kyanja'!D11,'01.08 Kisaasi-Kyanja-24h'!D11,'03.08 Kisaasi-Kyanja-24h'!D11,'04.08 Kisaasi-Kyanja'!D11)</f>
        <v>24.142857142857142</v>
      </c>
      <c r="E11" s="49">
        <f>AVERAGE('29.07 Kisaasi-Kyanja'!E11,'30.07 Kisaasi-Kyanja'!E11,'31.07 Kisaasi-Kyanja'!E11,'02.08 Kisaasi-Kyanja'!E11,'01.08 Kisaasi-Kyanja-24h'!E11,'03.08 Kisaasi-Kyanja-24h'!E11,'04.08 Kisaasi-Kyanja'!E11)</f>
        <v>7</v>
      </c>
      <c r="F11" s="49">
        <f>AVERAGE('29.07 Kisaasi-Kyanja'!F11,'30.07 Kisaasi-Kyanja'!F11,'31.07 Kisaasi-Kyanja'!F11,'02.08 Kisaasi-Kyanja'!F11,'01.08 Kisaasi-Kyanja-24h'!F11,'03.08 Kisaasi-Kyanja-24h'!F11,'04.08 Kisaasi-Kyanja'!F11)</f>
        <v>15.714285714285714</v>
      </c>
      <c r="G11" s="49">
        <f>AVERAGE('29.07 Kisaasi-Kyanja'!G11,'30.07 Kisaasi-Kyanja'!G11,'31.07 Kisaasi-Kyanja'!G11,'02.08 Kisaasi-Kyanja'!G11,'01.08 Kisaasi-Kyanja-24h'!G11,'03.08 Kisaasi-Kyanja-24h'!G11,'04.08 Kisaasi-Kyanja'!G11)</f>
        <v>0.2857142857142857</v>
      </c>
      <c r="H11" s="49">
        <f>AVERAGE('29.07 Kisaasi-Kyanja'!H11,'30.07 Kisaasi-Kyanja'!H11,'31.07 Kisaasi-Kyanja'!H11,'02.08 Kisaasi-Kyanja'!H11,'01.08 Kisaasi-Kyanja-24h'!H11,'03.08 Kisaasi-Kyanja-24h'!H11,'04.08 Kisaasi-Kyanja'!H11)</f>
        <v>0</v>
      </c>
      <c r="I11" s="49">
        <f>AVERAGE('29.07 Kisaasi-Kyanja'!I11,'30.07 Kisaasi-Kyanja'!I11,'31.07 Kisaasi-Kyanja'!I11,'02.08 Kisaasi-Kyanja'!I11,'01.08 Kisaasi-Kyanja-24h'!I11,'03.08 Kisaasi-Kyanja-24h'!I11,'04.08 Kisaasi-Kyanja'!I11)</f>
        <v>1.7142857142857142</v>
      </c>
      <c r="J11" s="49">
        <f>AVERAGE('29.07 Kisaasi-Kyanja'!J11,'30.07 Kisaasi-Kyanja'!J11,'31.07 Kisaasi-Kyanja'!J11,'02.08 Kisaasi-Kyanja'!J11,'01.08 Kisaasi-Kyanja-24h'!J11,'03.08 Kisaasi-Kyanja-24h'!J11,'04.08 Kisaasi-Kyanja'!J11)</f>
        <v>0.2857142857142857</v>
      </c>
      <c r="K11" s="49">
        <f>AVERAGE('29.07 Kisaasi-Kyanja'!K11,'30.07 Kisaasi-Kyanja'!K11,'31.07 Kisaasi-Kyanja'!K11,'02.08 Kisaasi-Kyanja'!K11,'01.08 Kisaasi-Kyanja-24h'!K11,'03.08 Kisaasi-Kyanja-24h'!K11,'04.08 Kisaasi-Kyanja'!K11)</f>
        <v>2.1428571428571428</v>
      </c>
      <c r="L11" s="49">
        <f>AVERAGE('29.07 Kisaasi-Kyanja'!L11,'30.07 Kisaasi-Kyanja'!L11,'31.07 Kisaasi-Kyanja'!L11,'02.08 Kisaasi-Kyanja'!L11,'01.08 Kisaasi-Kyanja-24h'!L11,'03.08 Kisaasi-Kyanja-24h'!L11,'04.08 Kisaasi-Kyanja'!L11)</f>
        <v>0</v>
      </c>
      <c r="M11" s="49">
        <f>AVERAGE('29.07 Kisaasi-Kyanja'!M11,'30.07 Kisaasi-Kyanja'!M11,'31.07 Kisaasi-Kyanja'!M11,'02.08 Kisaasi-Kyanja'!M11,'01.08 Kisaasi-Kyanja-24h'!M11,'03.08 Kisaasi-Kyanja-24h'!M11,'04.08 Kisaasi-Kyanja'!M11)</f>
        <v>131.85714285714286</v>
      </c>
      <c r="N11" s="49">
        <f>AVERAGE('29.07 Kisaasi-Kyanja'!N11,'30.07 Kisaasi-Kyanja'!N11,'31.07 Kisaasi-Kyanja'!N11,'02.08 Kisaasi-Kyanja'!N11,'01.08 Kisaasi-Kyanja-24h'!N11,'03.08 Kisaasi-Kyanja-24h'!N11,'04.08 Kisaasi-Kyanja'!N11)</f>
        <v>0</v>
      </c>
      <c r="O11" s="15">
        <f t="shared" si="0"/>
        <v>118.99999999999999</v>
      </c>
      <c r="P11" s="15">
        <f t="shared" si="1"/>
        <v>250.85714285714283</v>
      </c>
      <c r="R11" s="1" t="s">
        <v>7</v>
      </c>
      <c r="S11" s="17">
        <f t="shared" ref="S11:AF11" si="3">SUM(C14:C17)</f>
        <v>266.42857142857144</v>
      </c>
      <c r="T11" s="17">
        <f t="shared" si="3"/>
        <v>77.142857142857139</v>
      </c>
      <c r="U11" s="17">
        <f t="shared" si="3"/>
        <v>28.571428571428569</v>
      </c>
      <c r="V11" s="17">
        <f t="shared" si="3"/>
        <v>87.142857142857139</v>
      </c>
      <c r="W11" s="17">
        <f t="shared" si="3"/>
        <v>1.2857142857142856</v>
      </c>
      <c r="X11" s="17">
        <f t="shared" si="3"/>
        <v>0</v>
      </c>
      <c r="Y11" s="17">
        <f t="shared" si="3"/>
        <v>12.428571428571427</v>
      </c>
      <c r="Z11" s="17">
        <f t="shared" si="3"/>
        <v>6.5714285714285712</v>
      </c>
      <c r="AA11" s="17">
        <f t="shared" si="3"/>
        <v>6</v>
      </c>
      <c r="AB11" s="17">
        <f t="shared" si="3"/>
        <v>0.2857142857142857</v>
      </c>
      <c r="AC11" s="17">
        <f t="shared" si="3"/>
        <v>643</v>
      </c>
      <c r="AD11" s="17">
        <f t="shared" si="3"/>
        <v>0</v>
      </c>
      <c r="AE11" s="31">
        <f t="shared" si="3"/>
        <v>485.85714285714289</v>
      </c>
      <c r="AF11" s="31">
        <f t="shared" si="3"/>
        <v>1128.8571428571429</v>
      </c>
    </row>
    <row r="12" spans="2:32" ht="23.1" customHeight="1" x14ac:dyDescent="0.25">
      <c r="B12" s="23" t="s">
        <v>39</v>
      </c>
      <c r="C12" s="49">
        <f>AVERAGE('29.07 Kisaasi-Kyanja'!C12,'30.07 Kisaasi-Kyanja'!C12,'31.07 Kisaasi-Kyanja'!C12,'02.08 Kisaasi-Kyanja'!C12,'01.08 Kisaasi-Kyanja-24h'!C12,'03.08 Kisaasi-Kyanja-24h'!C12,'04.08 Kisaasi-Kyanja'!C12)</f>
        <v>66.857142857142861</v>
      </c>
      <c r="D12" s="49">
        <f>AVERAGE('29.07 Kisaasi-Kyanja'!D12,'30.07 Kisaasi-Kyanja'!D12,'31.07 Kisaasi-Kyanja'!D12,'02.08 Kisaasi-Kyanja'!D12,'01.08 Kisaasi-Kyanja-24h'!D12,'03.08 Kisaasi-Kyanja-24h'!D12,'04.08 Kisaasi-Kyanja'!D12)</f>
        <v>18.571428571428573</v>
      </c>
      <c r="E12" s="49">
        <f>AVERAGE('29.07 Kisaasi-Kyanja'!E12,'30.07 Kisaasi-Kyanja'!E12,'31.07 Kisaasi-Kyanja'!E12,'02.08 Kisaasi-Kyanja'!E12,'01.08 Kisaasi-Kyanja-24h'!E12,'03.08 Kisaasi-Kyanja-24h'!E12,'04.08 Kisaasi-Kyanja'!E12)</f>
        <v>7.1428571428571432</v>
      </c>
      <c r="F12" s="49">
        <f>AVERAGE('29.07 Kisaasi-Kyanja'!F12,'30.07 Kisaasi-Kyanja'!F12,'31.07 Kisaasi-Kyanja'!F12,'02.08 Kisaasi-Kyanja'!F12,'01.08 Kisaasi-Kyanja-24h'!F12,'03.08 Kisaasi-Kyanja-24h'!F12,'04.08 Kisaasi-Kyanja'!F12)</f>
        <v>18.714285714285715</v>
      </c>
      <c r="G12" s="49">
        <f>AVERAGE('29.07 Kisaasi-Kyanja'!G12,'30.07 Kisaasi-Kyanja'!G12,'31.07 Kisaasi-Kyanja'!G12,'02.08 Kisaasi-Kyanja'!G12,'01.08 Kisaasi-Kyanja-24h'!G12,'03.08 Kisaasi-Kyanja-24h'!G12,'04.08 Kisaasi-Kyanja'!G12)</f>
        <v>0.2857142857142857</v>
      </c>
      <c r="H12" s="49">
        <f>AVERAGE('29.07 Kisaasi-Kyanja'!H12,'30.07 Kisaasi-Kyanja'!H12,'31.07 Kisaasi-Kyanja'!H12,'02.08 Kisaasi-Kyanja'!H12,'01.08 Kisaasi-Kyanja-24h'!H12,'03.08 Kisaasi-Kyanja-24h'!H12,'04.08 Kisaasi-Kyanja'!H12)</f>
        <v>0</v>
      </c>
      <c r="I12" s="49">
        <f>AVERAGE('29.07 Kisaasi-Kyanja'!I12,'30.07 Kisaasi-Kyanja'!I12,'31.07 Kisaasi-Kyanja'!I12,'02.08 Kisaasi-Kyanja'!I12,'01.08 Kisaasi-Kyanja-24h'!I12,'03.08 Kisaasi-Kyanja-24h'!I12,'04.08 Kisaasi-Kyanja'!I12)</f>
        <v>2.5714285714285716</v>
      </c>
      <c r="J12" s="49">
        <f>AVERAGE('29.07 Kisaasi-Kyanja'!J12,'30.07 Kisaasi-Kyanja'!J12,'31.07 Kisaasi-Kyanja'!J12,'02.08 Kisaasi-Kyanja'!J12,'01.08 Kisaasi-Kyanja-24h'!J12,'03.08 Kisaasi-Kyanja-24h'!J12,'04.08 Kisaasi-Kyanja'!J12)</f>
        <v>0.5714285714285714</v>
      </c>
      <c r="K12" s="49">
        <f>AVERAGE('29.07 Kisaasi-Kyanja'!K12,'30.07 Kisaasi-Kyanja'!K12,'31.07 Kisaasi-Kyanja'!K12,'02.08 Kisaasi-Kyanja'!K12,'01.08 Kisaasi-Kyanja-24h'!K12,'03.08 Kisaasi-Kyanja-24h'!K12,'04.08 Kisaasi-Kyanja'!K12)</f>
        <v>1.8571428571428572</v>
      </c>
      <c r="L12" s="49">
        <f>AVERAGE('29.07 Kisaasi-Kyanja'!L12,'30.07 Kisaasi-Kyanja'!L12,'31.07 Kisaasi-Kyanja'!L12,'02.08 Kisaasi-Kyanja'!L12,'01.08 Kisaasi-Kyanja-24h'!L12,'03.08 Kisaasi-Kyanja-24h'!L12,'04.08 Kisaasi-Kyanja'!L12)</f>
        <v>0</v>
      </c>
      <c r="M12" s="49">
        <f>AVERAGE('29.07 Kisaasi-Kyanja'!M12,'30.07 Kisaasi-Kyanja'!M12,'31.07 Kisaasi-Kyanja'!M12,'02.08 Kisaasi-Kyanja'!M12,'01.08 Kisaasi-Kyanja-24h'!M12,'03.08 Kisaasi-Kyanja-24h'!M12,'04.08 Kisaasi-Kyanja'!M12)</f>
        <v>138.42857142857142</v>
      </c>
      <c r="N12" s="49">
        <f>AVERAGE('29.07 Kisaasi-Kyanja'!N12,'30.07 Kisaasi-Kyanja'!N12,'31.07 Kisaasi-Kyanja'!N12,'02.08 Kisaasi-Kyanja'!N12,'01.08 Kisaasi-Kyanja-24h'!N12,'03.08 Kisaasi-Kyanja-24h'!N12,'04.08 Kisaasi-Kyanja'!N12)</f>
        <v>0</v>
      </c>
      <c r="O12" s="15">
        <f t="shared" si="0"/>
        <v>116.57142857142857</v>
      </c>
      <c r="P12" s="15">
        <f t="shared" si="1"/>
        <v>255</v>
      </c>
      <c r="R12" s="1" t="s">
        <v>8</v>
      </c>
      <c r="S12" s="17">
        <f t="shared" ref="S12:AF12" si="4">SUM(C18:C21)</f>
        <v>212.71428571428572</v>
      </c>
      <c r="T12" s="17">
        <f t="shared" si="4"/>
        <v>83.142857142857139</v>
      </c>
      <c r="U12" s="17">
        <f t="shared" si="4"/>
        <v>31.285714285714281</v>
      </c>
      <c r="V12" s="17">
        <f t="shared" si="4"/>
        <v>75.428571428571416</v>
      </c>
      <c r="W12" s="17">
        <f t="shared" si="4"/>
        <v>0</v>
      </c>
      <c r="X12" s="17">
        <f t="shared" si="4"/>
        <v>0</v>
      </c>
      <c r="Y12" s="17">
        <f t="shared" si="4"/>
        <v>21.142857142857142</v>
      </c>
      <c r="Z12" s="17">
        <f t="shared" si="4"/>
        <v>6.8571428571428577</v>
      </c>
      <c r="AA12" s="17">
        <f t="shared" si="4"/>
        <v>7.7142857142857144</v>
      </c>
      <c r="AB12" s="17">
        <f t="shared" si="4"/>
        <v>0.42857142857142855</v>
      </c>
      <c r="AC12" s="17">
        <f t="shared" si="4"/>
        <v>618.28571428571422</v>
      </c>
      <c r="AD12" s="17">
        <f t="shared" si="4"/>
        <v>0</v>
      </c>
      <c r="AE12" s="31">
        <f t="shared" si="4"/>
        <v>438.71428571428567</v>
      </c>
      <c r="AF12" s="31">
        <f t="shared" si="4"/>
        <v>1057</v>
      </c>
    </row>
    <row r="13" spans="2:32" ht="23.1" customHeight="1" x14ac:dyDescent="0.25">
      <c r="B13" s="23" t="s">
        <v>40</v>
      </c>
      <c r="C13" s="49">
        <f>AVERAGE('29.07 Kisaasi-Kyanja'!C13,'30.07 Kisaasi-Kyanja'!C13,'31.07 Kisaasi-Kyanja'!C13,'02.08 Kisaasi-Kyanja'!C13,'01.08 Kisaasi-Kyanja-24h'!C13,'03.08 Kisaasi-Kyanja-24h'!C13,'04.08 Kisaasi-Kyanja'!C13)</f>
        <v>57.285714285714285</v>
      </c>
      <c r="D13" s="49">
        <f>AVERAGE('29.07 Kisaasi-Kyanja'!D13,'30.07 Kisaasi-Kyanja'!D13,'31.07 Kisaasi-Kyanja'!D13,'02.08 Kisaasi-Kyanja'!D13,'01.08 Kisaasi-Kyanja-24h'!D13,'03.08 Kisaasi-Kyanja-24h'!D13,'04.08 Kisaasi-Kyanja'!D13)</f>
        <v>16</v>
      </c>
      <c r="E13" s="49">
        <f>AVERAGE('29.07 Kisaasi-Kyanja'!E13,'30.07 Kisaasi-Kyanja'!E13,'31.07 Kisaasi-Kyanja'!E13,'02.08 Kisaasi-Kyanja'!E13,'01.08 Kisaasi-Kyanja-24h'!E13,'03.08 Kisaasi-Kyanja-24h'!E13,'04.08 Kisaasi-Kyanja'!E13)</f>
        <v>6.8571428571428568</v>
      </c>
      <c r="F13" s="49">
        <f>AVERAGE('29.07 Kisaasi-Kyanja'!F13,'30.07 Kisaasi-Kyanja'!F13,'31.07 Kisaasi-Kyanja'!F13,'02.08 Kisaasi-Kyanja'!F13,'01.08 Kisaasi-Kyanja-24h'!F13,'03.08 Kisaasi-Kyanja-24h'!F13,'04.08 Kisaasi-Kyanja'!F13)</f>
        <v>19.571428571428573</v>
      </c>
      <c r="G13" s="49">
        <f>AVERAGE('29.07 Kisaasi-Kyanja'!G13,'30.07 Kisaasi-Kyanja'!G13,'31.07 Kisaasi-Kyanja'!G13,'02.08 Kisaasi-Kyanja'!G13,'01.08 Kisaasi-Kyanja-24h'!G13,'03.08 Kisaasi-Kyanja-24h'!G13,'04.08 Kisaasi-Kyanja'!G13)</f>
        <v>0.7142857142857143</v>
      </c>
      <c r="H13" s="49">
        <f>AVERAGE('29.07 Kisaasi-Kyanja'!H13,'30.07 Kisaasi-Kyanja'!H13,'31.07 Kisaasi-Kyanja'!H13,'02.08 Kisaasi-Kyanja'!H13,'01.08 Kisaasi-Kyanja-24h'!H13,'03.08 Kisaasi-Kyanja-24h'!H13,'04.08 Kisaasi-Kyanja'!H13)</f>
        <v>0</v>
      </c>
      <c r="I13" s="49">
        <f>AVERAGE('29.07 Kisaasi-Kyanja'!I13,'30.07 Kisaasi-Kyanja'!I13,'31.07 Kisaasi-Kyanja'!I13,'02.08 Kisaasi-Kyanja'!I13,'01.08 Kisaasi-Kyanja-24h'!I13,'03.08 Kisaasi-Kyanja-24h'!I13,'04.08 Kisaasi-Kyanja'!I13)</f>
        <v>2.2857142857142856</v>
      </c>
      <c r="J13" s="49">
        <f>AVERAGE('29.07 Kisaasi-Kyanja'!J13,'30.07 Kisaasi-Kyanja'!J13,'31.07 Kisaasi-Kyanja'!J13,'02.08 Kisaasi-Kyanja'!J13,'01.08 Kisaasi-Kyanja-24h'!J13,'03.08 Kisaasi-Kyanja-24h'!J13,'04.08 Kisaasi-Kyanja'!J13)</f>
        <v>0.14285714285714285</v>
      </c>
      <c r="K13" s="49">
        <f>AVERAGE('29.07 Kisaasi-Kyanja'!K13,'30.07 Kisaasi-Kyanja'!K13,'31.07 Kisaasi-Kyanja'!K13,'02.08 Kisaasi-Kyanja'!K13,'01.08 Kisaasi-Kyanja-24h'!K13,'03.08 Kisaasi-Kyanja-24h'!K13,'04.08 Kisaasi-Kyanja'!K13)</f>
        <v>0.8571428571428571</v>
      </c>
      <c r="L13" s="49">
        <f>AVERAGE('29.07 Kisaasi-Kyanja'!L13,'30.07 Kisaasi-Kyanja'!L13,'31.07 Kisaasi-Kyanja'!L13,'02.08 Kisaasi-Kyanja'!L13,'01.08 Kisaasi-Kyanja-24h'!L13,'03.08 Kisaasi-Kyanja-24h'!L13,'04.08 Kisaasi-Kyanja'!L13)</f>
        <v>0</v>
      </c>
      <c r="M13" s="49">
        <f>AVERAGE('29.07 Kisaasi-Kyanja'!M13,'30.07 Kisaasi-Kyanja'!M13,'31.07 Kisaasi-Kyanja'!M13,'02.08 Kisaasi-Kyanja'!M13,'01.08 Kisaasi-Kyanja-24h'!M13,'03.08 Kisaasi-Kyanja-24h'!M13,'04.08 Kisaasi-Kyanja'!M13)</f>
        <v>159.14285714285714</v>
      </c>
      <c r="N13" s="49">
        <f>AVERAGE('29.07 Kisaasi-Kyanja'!N13,'30.07 Kisaasi-Kyanja'!N13,'31.07 Kisaasi-Kyanja'!N13,'02.08 Kisaasi-Kyanja'!N13,'01.08 Kisaasi-Kyanja-24h'!N13,'03.08 Kisaasi-Kyanja-24h'!N13,'04.08 Kisaasi-Kyanja'!N13)</f>
        <v>0</v>
      </c>
      <c r="O13" s="15">
        <f t="shared" si="0"/>
        <v>103.71428571428571</v>
      </c>
      <c r="P13" s="15">
        <f t="shared" si="1"/>
        <v>262.85714285714283</v>
      </c>
      <c r="R13" s="1" t="s">
        <v>9</v>
      </c>
      <c r="S13" s="17">
        <f t="shared" ref="S13:AF13" si="5">SUM(C22:C25)</f>
        <v>201.28571428571428</v>
      </c>
      <c r="T13" s="17">
        <f t="shared" si="5"/>
        <v>89</v>
      </c>
      <c r="U13" s="17">
        <f t="shared" si="5"/>
        <v>26</v>
      </c>
      <c r="V13" s="17">
        <f t="shared" si="5"/>
        <v>68.142857142857153</v>
      </c>
      <c r="W13" s="17">
        <f t="shared" si="5"/>
        <v>0.14285714285714285</v>
      </c>
      <c r="X13" s="17">
        <f t="shared" si="5"/>
        <v>0.14285714285714285</v>
      </c>
      <c r="Y13" s="17">
        <f t="shared" si="5"/>
        <v>16.142857142857142</v>
      </c>
      <c r="Z13" s="17">
        <f t="shared" si="5"/>
        <v>6.0000000000000009</v>
      </c>
      <c r="AA13" s="17">
        <f t="shared" si="5"/>
        <v>6.2857142857142847</v>
      </c>
      <c r="AB13" s="17">
        <f t="shared" si="5"/>
        <v>0.71428571428571419</v>
      </c>
      <c r="AC13" s="17">
        <f t="shared" si="5"/>
        <v>525.85714285714289</v>
      </c>
      <c r="AD13" s="17">
        <f t="shared" si="5"/>
        <v>0</v>
      </c>
      <c r="AE13" s="31">
        <f t="shared" si="5"/>
        <v>413.85714285714283</v>
      </c>
      <c r="AF13" s="31">
        <f t="shared" si="5"/>
        <v>939.71428571428578</v>
      </c>
    </row>
    <row r="14" spans="2:32" ht="23.1" customHeight="1" x14ac:dyDescent="0.25">
      <c r="B14" s="23" t="s">
        <v>41</v>
      </c>
      <c r="C14" s="49">
        <f>AVERAGE('29.07 Kisaasi-Kyanja'!C14,'30.07 Kisaasi-Kyanja'!C14,'31.07 Kisaasi-Kyanja'!C14,'02.08 Kisaasi-Kyanja'!C14,'01.08 Kisaasi-Kyanja-24h'!C14,'03.08 Kisaasi-Kyanja-24h'!C14,'04.08 Kisaasi-Kyanja'!C14)</f>
        <v>71.285714285714292</v>
      </c>
      <c r="D14" s="49">
        <f>AVERAGE('29.07 Kisaasi-Kyanja'!D14,'30.07 Kisaasi-Kyanja'!D14,'31.07 Kisaasi-Kyanja'!D14,'02.08 Kisaasi-Kyanja'!D14,'01.08 Kisaasi-Kyanja-24h'!D14,'03.08 Kisaasi-Kyanja-24h'!D14,'04.08 Kisaasi-Kyanja'!D14)</f>
        <v>20.714285714285715</v>
      </c>
      <c r="E14" s="49">
        <f>AVERAGE('29.07 Kisaasi-Kyanja'!E14,'30.07 Kisaasi-Kyanja'!E14,'31.07 Kisaasi-Kyanja'!E14,'02.08 Kisaasi-Kyanja'!E14,'01.08 Kisaasi-Kyanja-24h'!E14,'03.08 Kisaasi-Kyanja-24h'!E14,'04.08 Kisaasi-Kyanja'!E14)</f>
        <v>7.7142857142857144</v>
      </c>
      <c r="F14" s="49">
        <f>AVERAGE('29.07 Kisaasi-Kyanja'!F14,'30.07 Kisaasi-Kyanja'!F14,'31.07 Kisaasi-Kyanja'!F14,'02.08 Kisaasi-Kyanja'!F14,'01.08 Kisaasi-Kyanja-24h'!F14,'03.08 Kisaasi-Kyanja-24h'!F14,'04.08 Kisaasi-Kyanja'!F14)</f>
        <v>25.714285714285715</v>
      </c>
      <c r="G14" s="49">
        <f>AVERAGE('29.07 Kisaasi-Kyanja'!G14,'30.07 Kisaasi-Kyanja'!G14,'31.07 Kisaasi-Kyanja'!G14,'02.08 Kisaasi-Kyanja'!G14,'01.08 Kisaasi-Kyanja-24h'!G14,'03.08 Kisaasi-Kyanja-24h'!G14,'04.08 Kisaasi-Kyanja'!G14)</f>
        <v>0</v>
      </c>
      <c r="H14" s="49">
        <f>AVERAGE('29.07 Kisaasi-Kyanja'!H14,'30.07 Kisaasi-Kyanja'!H14,'31.07 Kisaasi-Kyanja'!H14,'02.08 Kisaasi-Kyanja'!H14,'01.08 Kisaasi-Kyanja-24h'!H14,'03.08 Kisaasi-Kyanja-24h'!H14,'04.08 Kisaasi-Kyanja'!H14)</f>
        <v>0</v>
      </c>
      <c r="I14" s="49">
        <f>AVERAGE('29.07 Kisaasi-Kyanja'!I14,'30.07 Kisaasi-Kyanja'!I14,'31.07 Kisaasi-Kyanja'!I14,'02.08 Kisaasi-Kyanja'!I14,'01.08 Kisaasi-Kyanja-24h'!I14,'03.08 Kisaasi-Kyanja-24h'!I14,'04.08 Kisaasi-Kyanja'!I14)</f>
        <v>2.4285714285714284</v>
      </c>
      <c r="J14" s="49">
        <f>AVERAGE('29.07 Kisaasi-Kyanja'!J14,'30.07 Kisaasi-Kyanja'!J14,'31.07 Kisaasi-Kyanja'!J14,'02.08 Kisaasi-Kyanja'!J14,'01.08 Kisaasi-Kyanja-24h'!J14,'03.08 Kisaasi-Kyanja-24h'!J14,'04.08 Kisaasi-Kyanja'!J14)</f>
        <v>1.2857142857142858</v>
      </c>
      <c r="K14" s="49">
        <f>AVERAGE('29.07 Kisaasi-Kyanja'!K14,'30.07 Kisaasi-Kyanja'!K14,'31.07 Kisaasi-Kyanja'!K14,'02.08 Kisaasi-Kyanja'!K14,'01.08 Kisaasi-Kyanja-24h'!K14,'03.08 Kisaasi-Kyanja-24h'!K14,'04.08 Kisaasi-Kyanja'!K14)</f>
        <v>1.1428571428571428</v>
      </c>
      <c r="L14" s="49">
        <f>AVERAGE('29.07 Kisaasi-Kyanja'!L14,'30.07 Kisaasi-Kyanja'!L14,'31.07 Kisaasi-Kyanja'!L14,'02.08 Kisaasi-Kyanja'!L14,'01.08 Kisaasi-Kyanja-24h'!L14,'03.08 Kisaasi-Kyanja-24h'!L14,'04.08 Kisaasi-Kyanja'!L14)</f>
        <v>0</v>
      </c>
      <c r="M14" s="49">
        <f>AVERAGE('29.07 Kisaasi-Kyanja'!M14,'30.07 Kisaasi-Kyanja'!M14,'31.07 Kisaasi-Kyanja'!M14,'02.08 Kisaasi-Kyanja'!M14,'01.08 Kisaasi-Kyanja-24h'!M14,'03.08 Kisaasi-Kyanja-24h'!M14,'04.08 Kisaasi-Kyanja'!M14)</f>
        <v>143.57142857142858</v>
      </c>
      <c r="N14" s="49">
        <f>AVERAGE('29.07 Kisaasi-Kyanja'!N14,'30.07 Kisaasi-Kyanja'!N14,'31.07 Kisaasi-Kyanja'!N14,'02.08 Kisaasi-Kyanja'!N14,'01.08 Kisaasi-Kyanja-24h'!N14,'03.08 Kisaasi-Kyanja-24h'!N14,'04.08 Kisaasi-Kyanja'!N14)</f>
        <v>0</v>
      </c>
      <c r="O14" s="15">
        <f t="shared" si="0"/>
        <v>130.28571428571428</v>
      </c>
      <c r="P14" s="15">
        <f t="shared" si="1"/>
        <v>273.85714285714289</v>
      </c>
      <c r="R14" s="1" t="s">
        <v>10</v>
      </c>
      <c r="S14" s="17">
        <f t="shared" ref="S14:AF14" si="6">SUM(C26:C29)</f>
        <v>179.42857142857142</v>
      </c>
      <c r="T14" s="17">
        <f t="shared" si="6"/>
        <v>68.714285714285722</v>
      </c>
      <c r="U14" s="17">
        <f t="shared" si="6"/>
        <v>23.428571428571431</v>
      </c>
      <c r="V14" s="17">
        <f t="shared" si="6"/>
        <v>55.571428571428577</v>
      </c>
      <c r="W14" s="17">
        <f t="shared" si="6"/>
        <v>0.2857142857142857</v>
      </c>
      <c r="X14" s="17">
        <f t="shared" si="6"/>
        <v>0</v>
      </c>
      <c r="Y14" s="17">
        <f t="shared" si="6"/>
        <v>15.857142857142858</v>
      </c>
      <c r="Z14" s="17">
        <f t="shared" si="6"/>
        <v>5.7142857142857144</v>
      </c>
      <c r="AA14" s="17">
        <f t="shared" si="6"/>
        <v>8.1428571428571441</v>
      </c>
      <c r="AB14" s="17">
        <f t="shared" si="6"/>
        <v>1</v>
      </c>
      <c r="AC14" s="17">
        <f t="shared" si="6"/>
        <v>473.14285714285711</v>
      </c>
      <c r="AD14" s="17">
        <f t="shared" si="6"/>
        <v>0</v>
      </c>
      <c r="AE14" s="31">
        <f t="shared" si="6"/>
        <v>358.14285714285717</v>
      </c>
      <c r="AF14" s="31">
        <f t="shared" si="6"/>
        <v>831.28571428571433</v>
      </c>
    </row>
    <row r="15" spans="2:32" ht="23.1" customHeight="1" x14ac:dyDescent="0.25">
      <c r="B15" s="23" t="s">
        <v>42</v>
      </c>
      <c r="C15" s="49">
        <f>AVERAGE('29.07 Kisaasi-Kyanja'!C15,'30.07 Kisaasi-Kyanja'!C15,'31.07 Kisaasi-Kyanja'!C15,'02.08 Kisaasi-Kyanja'!C15,'01.08 Kisaasi-Kyanja-24h'!C15,'03.08 Kisaasi-Kyanja-24h'!C15,'04.08 Kisaasi-Kyanja'!C15)</f>
        <v>72.428571428571431</v>
      </c>
      <c r="D15" s="49">
        <f>AVERAGE('29.07 Kisaasi-Kyanja'!D15,'30.07 Kisaasi-Kyanja'!D15,'31.07 Kisaasi-Kyanja'!D15,'02.08 Kisaasi-Kyanja'!D15,'01.08 Kisaasi-Kyanja-24h'!D15,'03.08 Kisaasi-Kyanja-24h'!D15,'04.08 Kisaasi-Kyanja'!D15)</f>
        <v>20.714285714285715</v>
      </c>
      <c r="E15" s="49">
        <f>AVERAGE('29.07 Kisaasi-Kyanja'!E15,'30.07 Kisaasi-Kyanja'!E15,'31.07 Kisaasi-Kyanja'!E15,'02.08 Kisaasi-Kyanja'!E15,'01.08 Kisaasi-Kyanja-24h'!E15,'03.08 Kisaasi-Kyanja-24h'!E15,'04.08 Kisaasi-Kyanja'!E15)</f>
        <v>7.7142857142857144</v>
      </c>
      <c r="F15" s="49">
        <f>AVERAGE('29.07 Kisaasi-Kyanja'!F15,'30.07 Kisaasi-Kyanja'!F15,'31.07 Kisaasi-Kyanja'!F15,'02.08 Kisaasi-Kyanja'!F15,'01.08 Kisaasi-Kyanja-24h'!F15,'03.08 Kisaasi-Kyanja-24h'!F15,'04.08 Kisaasi-Kyanja'!F15)</f>
        <v>23.428571428571427</v>
      </c>
      <c r="G15" s="49">
        <f>AVERAGE('29.07 Kisaasi-Kyanja'!G15,'30.07 Kisaasi-Kyanja'!G15,'31.07 Kisaasi-Kyanja'!G15,'02.08 Kisaasi-Kyanja'!G15,'01.08 Kisaasi-Kyanja-24h'!G15,'03.08 Kisaasi-Kyanja-24h'!G15,'04.08 Kisaasi-Kyanja'!G15)</f>
        <v>1</v>
      </c>
      <c r="H15" s="49">
        <f>AVERAGE('29.07 Kisaasi-Kyanja'!H15,'30.07 Kisaasi-Kyanja'!H15,'31.07 Kisaasi-Kyanja'!H15,'02.08 Kisaasi-Kyanja'!H15,'01.08 Kisaasi-Kyanja-24h'!H15,'03.08 Kisaasi-Kyanja-24h'!H15,'04.08 Kisaasi-Kyanja'!H15)</f>
        <v>0</v>
      </c>
      <c r="I15" s="49">
        <f>AVERAGE('29.07 Kisaasi-Kyanja'!I15,'30.07 Kisaasi-Kyanja'!I15,'31.07 Kisaasi-Kyanja'!I15,'02.08 Kisaasi-Kyanja'!I15,'01.08 Kisaasi-Kyanja-24h'!I15,'03.08 Kisaasi-Kyanja-24h'!I15,'04.08 Kisaasi-Kyanja'!I15)</f>
        <v>3.8571428571428572</v>
      </c>
      <c r="J15" s="49">
        <f>AVERAGE('29.07 Kisaasi-Kyanja'!J15,'30.07 Kisaasi-Kyanja'!J15,'31.07 Kisaasi-Kyanja'!J15,'02.08 Kisaasi-Kyanja'!J15,'01.08 Kisaasi-Kyanja-24h'!J15,'03.08 Kisaasi-Kyanja-24h'!J15,'04.08 Kisaasi-Kyanja'!J15)</f>
        <v>1.8571428571428572</v>
      </c>
      <c r="K15" s="49">
        <f>AVERAGE('29.07 Kisaasi-Kyanja'!K15,'30.07 Kisaasi-Kyanja'!K15,'31.07 Kisaasi-Kyanja'!K15,'02.08 Kisaasi-Kyanja'!K15,'01.08 Kisaasi-Kyanja-24h'!K15,'03.08 Kisaasi-Kyanja-24h'!K15,'04.08 Kisaasi-Kyanja'!K15)</f>
        <v>1.8571428571428572</v>
      </c>
      <c r="L15" s="49">
        <f>AVERAGE('29.07 Kisaasi-Kyanja'!L15,'30.07 Kisaasi-Kyanja'!L15,'31.07 Kisaasi-Kyanja'!L15,'02.08 Kisaasi-Kyanja'!L15,'01.08 Kisaasi-Kyanja-24h'!L15,'03.08 Kisaasi-Kyanja-24h'!L15,'04.08 Kisaasi-Kyanja'!L15)</f>
        <v>0.2857142857142857</v>
      </c>
      <c r="M15" s="49">
        <f>AVERAGE('29.07 Kisaasi-Kyanja'!M15,'30.07 Kisaasi-Kyanja'!M15,'31.07 Kisaasi-Kyanja'!M15,'02.08 Kisaasi-Kyanja'!M15,'01.08 Kisaasi-Kyanja-24h'!M15,'03.08 Kisaasi-Kyanja-24h'!M15,'04.08 Kisaasi-Kyanja'!M15)</f>
        <v>159.28571428571428</v>
      </c>
      <c r="N15" s="49">
        <f>AVERAGE('29.07 Kisaasi-Kyanja'!N15,'30.07 Kisaasi-Kyanja'!N15,'31.07 Kisaasi-Kyanja'!N15,'02.08 Kisaasi-Kyanja'!N15,'01.08 Kisaasi-Kyanja-24h'!N15,'03.08 Kisaasi-Kyanja-24h'!N15,'04.08 Kisaasi-Kyanja'!N15)</f>
        <v>0</v>
      </c>
      <c r="O15" s="15">
        <f t="shared" si="0"/>
        <v>133.14285714285714</v>
      </c>
      <c r="P15" s="15">
        <f t="shared" si="1"/>
        <v>292.42857142857144</v>
      </c>
      <c r="R15" s="1" t="s">
        <v>11</v>
      </c>
      <c r="S15" s="17">
        <f t="shared" ref="S15:AF15" si="7">SUM(C30:C33)</f>
        <v>179.85714285714283</v>
      </c>
      <c r="T15" s="17">
        <f t="shared" si="7"/>
        <v>78.142857142857139</v>
      </c>
      <c r="U15" s="17">
        <f t="shared" si="7"/>
        <v>24.428571428571427</v>
      </c>
      <c r="V15" s="17">
        <f t="shared" si="7"/>
        <v>51.285714285714285</v>
      </c>
      <c r="W15" s="17">
        <f t="shared" si="7"/>
        <v>0.14285714285714285</v>
      </c>
      <c r="X15" s="17">
        <f t="shared" si="7"/>
        <v>0</v>
      </c>
      <c r="Y15" s="17">
        <f t="shared" si="7"/>
        <v>15.142857142857142</v>
      </c>
      <c r="Z15" s="17">
        <f t="shared" si="7"/>
        <v>6.2857142857142856</v>
      </c>
      <c r="AA15" s="17">
        <f t="shared" si="7"/>
        <v>4.4285714285714288</v>
      </c>
      <c r="AB15" s="17">
        <f t="shared" si="7"/>
        <v>1.2857142857142856</v>
      </c>
      <c r="AC15" s="17">
        <f t="shared" si="7"/>
        <v>396.28571428571433</v>
      </c>
      <c r="AD15" s="17">
        <f t="shared" si="7"/>
        <v>0.14285714285714285</v>
      </c>
      <c r="AE15" s="31">
        <f t="shared" si="7"/>
        <v>361.14285714285711</v>
      </c>
      <c r="AF15" s="31">
        <f t="shared" si="7"/>
        <v>757.42857142857133</v>
      </c>
    </row>
    <row r="16" spans="2:32" ht="23.1" customHeight="1" x14ac:dyDescent="0.25">
      <c r="B16" s="23" t="s">
        <v>43</v>
      </c>
      <c r="C16" s="49">
        <f>AVERAGE('29.07 Kisaasi-Kyanja'!C16,'30.07 Kisaasi-Kyanja'!C16,'31.07 Kisaasi-Kyanja'!C16,'02.08 Kisaasi-Kyanja'!C16,'01.08 Kisaasi-Kyanja-24h'!C16,'03.08 Kisaasi-Kyanja-24h'!C16,'04.08 Kisaasi-Kyanja'!C16)</f>
        <v>60.857142857142854</v>
      </c>
      <c r="D16" s="49">
        <f>AVERAGE('29.07 Kisaasi-Kyanja'!D16,'30.07 Kisaasi-Kyanja'!D16,'31.07 Kisaasi-Kyanja'!D16,'02.08 Kisaasi-Kyanja'!D16,'01.08 Kisaasi-Kyanja-24h'!D16,'03.08 Kisaasi-Kyanja-24h'!D16,'04.08 Kisaasi-Kyanja'!D16)</f>
        <v>18.142857142857142</v>
      </c>
      <c r="E16" s="49">
        <f>AVERAGE('29.07 Kisaasi-Kyanja'!E16,'30.07 Kisaasi-Kyanja'!E16,'31.07 Kisaasi-Kyanja'!E16,'02.08 Kisaasi-Kyanja'!E16,'01.08 Kisaasi-Kyanja-24h'!E16,'03.08 Kisaasi-Kyanja-24h'!E16,'04.08 Kisaasi-Kyanja'!E16)</f>
        <v>6.7142857142857144</v>
      </c>
      <c r="F16" s="49">
        <f>AVERAGE('29.07 Kisaasi-Kyanja'!F16,'30.07 Kisaasi-Kyanja'!F16,'31.07 Kisaasi-Kyanja'!F16,'02.08 Kisaasi-Kyanja'!F16,'01.08 Kisaasi-Kyanja-24h'!F16,'03.08 Kisaasi-Kyanja-24h'!F16,'04.08 Kisaasi-Kyanja'!F16)</f>
        <v>20.142857142857142</v>
      </c>
      <c r="G16" s="49">
        <f>AVERAGE('29.07 Kisaasi-Kyanja'!G16,'30.07 Kisaasi-Kyanja'!G16,'31.07 Kisaasi-Kyanja'!G16,'02.08 Kisaasi-Kyanja'!G16,'01.08 Kisaasi-Kyanja-24h'!G16,'03.08 Kisaasi-Kyanja-24h'!G16,'04.08 Kisaasi-Kyanja'!G16)</f>
        <v>0.14285714285714285</v>
      </c>
      <c r="H16" s="49">
        <f>AVERAGE('29.07 Kisaasi-Kyanja'!H16,'30.07 Kisaasi-Kyanja'!H16,'31.07 Kisaasi-Kyanja'!H16,'02.08 Kisaasi-Kyanja'!H16,'01.08 Kisaasi-Kyanja-24h'!H16,'03.08 Kisaasi-Kyanja-24h'!H16,'04.08 Kisaasi-Kyanja'!H16)</f>
        <v>0</v>
      </c>
      <c r="I16" s="49">
        <f>AVERAGE('29.07 Kisaasi-Kyanja'!I16,'30.07 Kisaasi-Kyanja'!I16,'31.07 Kisaasi-Kyanja'!I16,'02.08 Kisaasi-Kyanja'!I16,'01.08 Kisaasi-Kyanja-24h'!I16,'03.08 Kisaasi-Kyanja-24h'!I16,'04.08 Kisaasi-Kyanja'!I16)</f>
        <v>3</v>
      </c>
      <c r="J16" s="49">
        <f>AVERAGE('29.07 Kisaasi-Kyanja'!J16,'30.07 Kisaasi-Kyanja'!J16,'31.07 Kisaasi-Kyanja'!J16,'02.08 Kisaasi-Kyanja'!J16,'01.08 Kisaasi-Kyanja-24h'!J16,'03.08 Kisaasi-Kyanja-24h'!J16,'04.08 Kisaasi-Kyanja'!J16)</f>
        <v>1.5714285714285714</v>
      </c>
      <c r="K16" s="49">
        <f>AVERAGE('29.07 Kisaasi-Kyanja'!K16,'30.07 Kisaasi-Kyanja'!K16,'31.07 Kisaasi-Kyanja'!K16,'02.08 Kisaasi-Kyanja'!K16,'01.08 Kisaasi-Kyanja-24h'!K16,'03.08 Kisaasi-Kyanja-24h'!K16,'04.08 Kisaasi-Kyanja'!K16)</f>
        <v>1.7142857142857142</v>
      </c>
      <c r="L16" s="49">
        <f>AVERAGE('29.07 Kisaasi-Kyanja'!L16,'30.07 Kisaasi-Kyanja'!L16,'31.07 Kisaasi-Kyanja'!L16,'02.08 Kisaasi-Kyanja'!L16,'01.08 Kisaasi-Kyanja-24h'!L16,'03.08 Kisaasi-Kyanja-24h'!L16,'04.08 Kisaasi-Kyanja'!L16)</f>
        <v>0</v>
      </c>
      <c r="M16" s="49">
        <f>AVERAGE('29.07 Kisaasi-Kyanja'!M16,'30.07 Kisaasi-Kyanja'!M16,'31.07 Kisaasi-Kyanja'!M16,'02.08 Kisaasi-Kyanja'!M16,'01.08 Kisaasi-Kyanja-24h'!M16,'03.08 Kisaasi-Kyanja-24h'!M16,'04.08 Kisaasi-Kyanja'!M16)</f>
        <v>171.57142857142858</v>
      </c>
      <c r="N16" s="49">
        <f>AVERAGE('29.07 Kisaasi-Kyanja'!N16,'30.07 Kisaasi-Kyanja'!N16,'31.07 Kisaasi-Kyanja'!N16,'02.08 Kisaasi-Kyanja'!N16,'01.08 Kisaasi-Kyanja-24h'!N16,'03.08 Kisaasi-Kyanja-24h'!N16,'04.08 Kisaasi-Kyanja'!N16)</f>
        <v>0</v>
      </c>
      <c r="O16" s="15">
        <f t="shared" si="0"/>
        <v>112.28571428571426</v>
      </c>
      <c r="P16" s="15">
        <f t="shared" si="1"/>
        <v>283.85714285714283</v>
      </c>
      <c r="R16" s="1" t="s">
        <v>12</v>
      </c>
      <c r="S16" s="17">
        <f t="shared" ref="S16:AF16" si="8">SUM(C34:C37)</f>
        <v>173.14285714285714</v>
      </c>
      <c r="T16" s="17">
        <f t="shared" si="8"/>
        <v>75.142857142857139</v>
      </c>
      <c r="U16" s="17">
        <f t="shared" si="8"/>
        <v>20.857142857142854</v>
      </c>
      <c r="V16" s="17">
        <f t="shared" si="8"/>
        <v>52.285714285714278</v>
      </c>
      <c r="W16" s="17">
        <f t="shared" si="8"/>
        <v>0.5714285714285714</v>
      </c>
      <c r="X16" s="17">
        <f t="shared" si="8"/>
        <v>0</v>
      </c>
      <c r="Y16" s="17">
        <f t="shared" si="8"/>
        <v>18.857142857142858</v>
      </c>
      <c r="Z16" s="17">
        <f t="shared" si="8"/>
        <v>9.1428571428571423</v>
      </c>
      <c r="AA16" s="17">
        <f t="shared" si="8"/>
        <v>3.7142857142857144</v>
      </c>
      <c r="AB16" s="17">
        <f t="shared" si="8"/>
        <v>0.85714285714285698</v>
      </c>
      <c r="AC16" s="17">
        <f t="shared" si="8"/>
        <v>405.42857142857144</v>
      </c>
      <c r="AD16" s="17">
        <f t="shared" si="8"/>
        <v>0</v>
      </c>
      <c r="AE16" s="31">
        <f t="shared" si="8"/>
        <v>354.57142857142856</v>
      </c>
      <c r="AF16" s="31">
        <f t="shared" si="8"/>
        <v>760</v>
      </c>
    </row>
    <row r="17" spans="2:32" ht="23.1" customHeight="1" x14ac:dyDescent="0.25">
      <c r="B17" s="23" t="s">
        <v>44</v>
      </c>
      <c r="C17" s="49">
        <f>AVERAGE('29.07 Kisaasi-Kyanja'!C17,'30.07 Kisaasi-Kyanja'!C17,'31.07 Kisaasi-Kyanja'!C17,'02.08 Kisaasi-Kyanja'!C17,'01.08 Kisaasi-Kyanja-24h'!C17,'03.08 Kisaasi-Kyanja-24h'!C17,'04.08 Kisaasi-Kyanja'!C17)</f>
        <v>61.857142857142854</v>
      </c>
      <c r="D17" s="49">
        <f>AVERAGE('29.07 Kisaasi-Kyanja'!D17,'30.07 Kisaasi-Kyanja'!D17,'31.07 Kisaasi-Kyanja'!D17,'02.08 Kisaasi-Kyanja'!D17,'01.08 Kisaasi-Kyanja-24h'!D17,'03.08 Kisaasi-Kyanja-24h'!D17,'04.08 Kisaasi-Kyanja'!D17)</f>
        <v>17.571428571428573</v>
      </c>
      <c r="E17" s="49">
        <f>AVERAGE('29.07 Kisaasi-Kyanja'!E17,'30.07 Kisaasi-Kyanja'!E17,'31.07 Kisaasi-Kyanja'!E17,'02.08 Kisaasi-Kyanja'!E17,'01.08 Kisaasi-Kyanja-24h'!E17,'03.08 Kisaasi-Kyanja-24h'!E17,'04.08 Kisaasi-Kyanja'!E17)</f>
        <v>6.4285714285714288</v>
      </c>
      <c r="F17" s="49">
        <f>AVERAGE('29.07 Kisaasi-Kyanja'!F17,'30.07 Kisaasi-Kyanja'!F17,'31.07 Kisaasi-Kyanja'!F17,'02.08 Kisaasi-Kyanja'!F17,'01.08 Kisaasi-Kyanja-24h'!F17,'03.08 Kisaasi-Kyanja-24h'!F17,'04.08 Kisaasi-Kyanja'!F17)</f>
        <v>17.857142857142858</v>
      </c>
      <c r="G17" s="49">
        <f>AVERAGE('29.07 Kisaasi-Kyanja'!G17,'30.07 Kisaasi-Kyanja'!G17,'31.07 Kisaasi-Kyanja'!G17,'02.08 Kisaasi-Kyanja'!G17,'01.08 Kisaasi-Kyanja-24h'!G17,'03.08 Kisaasi-Kyanja-24h'!G17,'04.08 Kisaasi-Kyanja'!G17)</f>
        <v>0.14285714285714285</v>
      </c>
      <c r="H17" s="49">
        <f>AVERAGE('29.07 Kisaasi-Kyanja'!H17,'30.07 Kisaasi-Kyanja'!H17,'31.07 Kisaasi-Kyanja'!H17,'02.08 Kisaasi-Kyanja'!H17,'01.08 Kisaasi-Kyanja-24h'!H17,'03.08 Kisaasi-Kyanja-24h'!H17,'04.08 Kisaasi-Kyanja'!H17)</f>
        <v>0</v>
      </c>
      <c r="I17" s="49">
        <f>AVERAGE('29.07 Kisaasi-Kyanja'!I17,'30.07 Kisaasi-Kyanja'!I17,'31.07 Kisaasi-Kyanja'!I17,'02.08 Kisaasi-Kyanja'!I17,'01.08 Kisaasi-Kyanja-24h'!I17,'03.08 Kisaasi-Kyanja-24h'!I17,'04.08 Kisaasi-Kyanja'!I17)</f>
        <v>3.1428571428571428</v>
      </c>
      <c r="J17" s="49">
        <f>AVERAGE('29.07 Kisaasi-Kyanja'!J17,'30.07 Kisaasi-Kyanja'!J17,'31.07 Kisaasi-Kyanja'!J17,'02.08 Kisaasi-Kyanja'!J17,'01.08 Kisaasi-Kyanja-24h'!J17,'03.08 Kisaasi-Kyanja-24h'!J17,'04.08 Kisaasi-Kyanja'!J17)</f>
        <v>1.8571428571428572</v>
      </c>
      <c r="K17" s="49">
        <f>AVERAGE('29.07 Kisaasi-Kyanja'!K17,'30.07 Kisaasi-Kyanja'!K17,'31.07 Kisaasi-Kyanja'!K17,'02.08 Kisaasi-Kyanja'!K17,'01.08 Kisaasi-Kyanja-24h'!K17,'03.08 Kisaasi-Kyanja-24h'!K17,'04.08 Kisaasi-Kyanja'!K17)</f>
        <v>1.2857142857142858</v>
      </c>
      <c r="L17" s="49">
        <f>AVERAGE('29.07 Kisaasi-Kyanja'!L17,'30.07 Kisaasi-Kyanja'!L17,'31.07 Kisaasi-Kyanja'!L17,'02.08 Kisaasi-Kyanja'!L17,'01.08 Kisaasi-Kyanja-24h'!L17,'03.08 Kisaasi-Kyanja-24h'!L17,'04.08 Kisaasi-Kyanja'!L17)</f>
        <v>0</v>
      </c>
      <c r="M17" s="49">
        <f>AVERAGE('29.07 Kisaasi-Kyanja'!M17,'30.07 Kisaasi-Kyanja'!M17,'31.07 Kisaasi-Kyanja'!M17,'02.08 Kisaasi-Kyanja'!M17,'01.08 Kisaasi-Kyanja-24h'!M17,'03.08 Kisaasi-Kyanja-24h'!M17,'04.08 Kisaasi-Kyanja'!M17)</f>
        <v>168.57142857142858</v>
      </c>
      <c r="N17" s="49">
        <f>AVERAGE('29.07 Kisaasi-Kyanja'!N17,'30.07 Kisaasi-Kyanja'!N17,'31.07 Kisaasi-Kyanja'!N17,'02.08 Kisaasi-Kyanja'!N17,'01.08 Kisaasi-Kyanja-24h'!N17,'03.08 Kisaasi-Kyanja-24h'!N17,'04.08 Kisaasi-Kyanja'!N17)</f>
        <v>0</v>
      </c>
      <c r="O17" s="15">
        <f t="shared" si="0"/>
        <v>110.14285714285715</v>
      </c>
      <c r="P17" s="15">
        <f t="shared" si="1"/>
        <v>278.71428571428572</v>
      </c>
      <c r="R17" s="1" t="s">
        <v>13</v>
      </c>
      <c r="S17" s="17">
        <f t="shared" ref="S17:AF17" si="9">SUM(C38:C41)</f>
        <v>193</v>
      </c>
      <c r="T17" s="17">
        <f t="shared" si="9"/>
        <v>75.571428571428584</v>
      </c>
      <c r="U17" s="17">
        <f t="shared" si="9"/>
        <v>22.571428571428569</v>
      </c>
      <c r="V17" s="17">
        <f t="shared" si="9"/>
        <v>54.857142857142861</v>
      </c>
      <c r="W17" s="17">
        <f t="shared" si="9"/>
        <v>1.8571428571428572</v>
      </c>
      <c r="X17" s="17">
        <f t="shared" si="9"/>
        <v>0.42857142857142855</v>
      </c>
      <c r="Y17" s="17">
        <f t="shared" si="9"/>
        <v>18.714285714285715</v>
      </c>
      <c r="Z17" s="17">
        <f t="shared" si="9"/>
        <v>7.4285714285714288</v>
      </c>
      <c r="AA17" s="17">
        <f t="shared" si="9"/>
        <v>6.2857142857142847</v>
      </c>
      <c r="AB17" s="17">
        <f t="shared" si="9"/>
        <v>0.71428571428571419</v>
      </c>
      <c r="AC17" s="17">
        <f t="shared" si="9"/>
        <v>373.42857142857144</v>
      </c>
      <c r="AD17" s="17">
        <f t="shared" si="9"/>
        <v>0</v>
      </c>
      <c r="AE17" s="31">
        <f t="shared" si="9"/>
        <v>381.42857142857144</v>
      </c>
      <c r="AF17" s="31">
        <f t="shared" si="9"/>
        <v>754.85714285714289</v>
      </c>
    </row>
    <row r="18" spans="2:32" ht="23.1" customHeight="1" x14ac:dyDescent="0.25">
      <c r="B18" s="23" t="s">
        <v>45</v>
      </c>
      <c r="C18" s="49">
        <f>AVERAGE('29.07 Kisaasi-Kyanja'!C18,'30.07 Kisaasi-Kyanja'!C18,'31.07 Kisaasi-Kyanja'!C18,'02.08 Kisaasi-Kyanja'!C18,'01.08 Kisaasi-Kyanja-24h'!C18,'03.08 Kisaasi-Kyanja-24h'!C18,'04.08 Kisaasi-Kyanja'!C18)</f>
        <v>58.285714285714285</v>
      </c>
      <c r="D18" s="49">
        <f>AVERAGE('29.07 Kisaasi-Kyanja'!D18,'30.07 Kisaasi-Kyanja'!D18,'31.07 Kisaasi-Kyanja'!D18,'02.08 Kisaasi-Kyanja'!D18,'01.08 Kisaasi-Kyanja-24h'!D18,'03.08 Kisaasi-Kyanja-24h'!D18,'04.08 Kisaasi-Kyanja'!D18)</f>
        <v>24.428571428571427</v>
      </c>
      <c r="E18" s="49">
        <f>AVERAGE('29.07 Kisaasi-Kyanja'!E18,'30.07 Kisaasi-Kyanja'!E18,'31.07 Kisaasi-Kyanja'!E18,'02.08 Kisaasi-Kyanja'!E18,'01.08 Kisaasi-Kyanja-24h'!E18,'03.08 Kisaasi-Kyanja-24h'!E18,'04.08 Kisaasi-Kyanja'!E18)</f>
        <v>7.8571428571428568</v>
      </c>
      <c r="F18" s="49">
        <f>AVERAGE('29.07 Kisaasi-Kyanja'!F18,'30.07 Kisaasi-Kyanja'!F18,'31.07 Kisaasi-Kyanja'!F18,'02.08 Kisaasi-Kyanja'!F18,'01.08 Kisaasi-Kyanja-24h'!F18,'03.08 Kisaasi-Kyanja-24h'!F18,'04.08 Kisaasi-Kyanja'!F18)</f>
        <v>19.428571428571427</v>
      </c>
      <c r="G18" s="49">
        <f>AVERAGE('29.07 Kisaasi-Kyanja'!G18,'30.07 Kisaasi-Kyanja'!G18,'31.07 Kisaasi-Kyanja'!G18,'02.08 Kisaasi-Kyanja'!G18,'01.08 Kisaasi-Kyanja-24h'!G18,'03.08 Kisaasi-Kyanja-24h'!G18,'04.08 Kisaasi-Kyanja'!G18)</f>
        <v>0</v>
      </c>
      <c r="H18" s="49">
        <f>AVERAGE('29.07 Kisaasi-Kyanja'!H18,'30.07 Kisaasi-Kyanja'!H18,'31.07 Kisaasi-Kyanja'!H18,'02.08 Kisaasi-Kyanja'!H18,'01.08 Kisaasi-Kyanja-24h'!H18,'03.08 Kisaasi-Kyanja-24h'!H18,'04.08 Kisaasi-Kyanja'!H18)</f>
        <v>0</v>
      </c>
      <c r="I18" s="49">
        <f>AVERAGE('29.07 Kisaasi-Kyanja'!I18,'30.07 Kisaasi-Kyanja'!I18,'31.07 Kisaasi-Kyanja'!I18,'02.08 Kisaasi-Kyanja'!I18,'01.08 Kisaasi-Kyanja-24h'!I18,'03.08 Kisaasi-Kyanja-24h'!I18,'04.08 Kisaasi-Kyanja'!I18)</f>
        <v>5.1428571428571432</v>
      </c>
      <c r="J18" s="49">
        <f>AVERAGE('29.07 Kisaasi-Kyanja'!J18,'30.07 Kisaasi-Kyanja'!J18,'31.07 Kisaasi-Kyanja'!J18,'02.08 Kisaasi-Kyanja'!J18,'01.08 Kisaasi-Kyanja-24h'!J18,'03.08 Kisaasi-Kyanja-24h'!J18,'04.08 Kisaasi-Kyanja'!J18)</f>
        <v>1.5714285714285714</v>
      </c>
      <c r="K18" s="49">
        <f>AVERAGE('29.07 Kisaasi-Kyanja'!K18,'30.07 Kisaasi-Kyanja'!K18,'31.07 Kisaasi-Kyanja'!K18,'02.08 Kisaasi-Kyanja'!K18,'01.08 Kisaasi-Kyanja-24h'!K18,'03.08 Kisaasi-Kyanja-24h'!K18,'04.08 Kisaasi-Kyanja'!K18)</f>
        <v>1.8571428571428572</v>
      </c>
      <c r="L18" s="49">
        <f>AVERAGE('29.07 Kisaasi-Kyanja'!L18,'30.07 Kisaasi-Kyanja'!L18,'31.07 Kisaasi-Kyanja'!L18,'02.08 Kisaasi-Kyanja'!L18,'01.08 Kisaasi-Kyanja-24h'!L18,'03.08 Kisaasi-Kyanja-24h'!L18,'04.08 Kisaasi-Kyanja'!L18)</f>
        <v>0.2857142857142857</v>
      </c>
      <c r="M18" s="49">
        <f>AVERAGE('29.07 Kisaasi-Kyanja'!M18,'30.07 Kisaasi-Kyanja'!M18,'31.07 Kisaasi-Kyanja'!M18,'02.08 Kisaasi-Kyanja'!M18,'01.08 Kisaasi-Kyanja-24h'!M18,'03.08 Kisaasi-Kyanja-24h'!M18,'04.08 Kisaasi-Kyanja'!M18)</f>
        <v>162.42857142857142</v>
      </c>
      <c r="N18" s="49">
        <f>AVERAGE('29.07 Kisaasi-Kyanja'!N18,'30.07 Kisaasi-Kyanja'!N18,'31.07 Kisaasi-Kyanja'!N18,'02.08 Kisaasi-Kyanja'!N18,'01.08 Kisaasi-Kyanja-24h'!N18,'03.08 Kisaasi-Kyanja-24h'!N18,'04.08 Kisaasi-Kyanja'!N18)</f>
        <v>0</v>
      </c>
      <c r="O18" s="15">
        <f t="shared" si="0"/>
        <v>118.85714285714286</v>
      </c>
      <c r="P18" s="15">
        <f t="shared" si="1"/>
        <v>281.28571428571428</v>
      </c>
      <c r="R18" s="1" t="s">
        <v>14</v>
      </c>
      <c r="S18" s="17">
        <f t="shared" ref="S18:AF18" si="10">SUM(C42:C45)</f>
        <v>181.28571428571428</v>
      </c>
      <c r="T18" s="17">
        <f t="shared" si="10"/>
        <v>79.571428571428569</v>
      </c>
      <c r="U18" s="17">
        <f t="shared" si="10"/>
        <v>26.428571428571431</v>
      </c>
      <c r="V18" s="17">
        <f t="shared" si="10"/>
        <v>50.714285714285715</v>
      </c>
      <c r="W18" s="17">
        <f t="shared" si="10"/>
        <v>0.14285714285714285</v>
      </c>
      <c r="X18" s="17">
        <f t="shared" si="10"/>
        <v>0</v>
      </c>
      <c r="Y18" s="17">
        <f t="shared" si="10"/>
        <v>19.142857142857142</v>
      </c>
      <c r="Z18" s="17">
        <f t="shared" si="10"/>
        <v>8.5714285714285712</v>
      </c>
      <c r="AA18" s="17">
        <f t="shared" si="10"/>
        <v>7.4285714285714288</v>
      </c>
      <c r="AB18" s="17">
        <f t="shared" si="10"/>
        <v>0.5714285714285714</v>
      </c>
      <c r="AC18" s="17">
        <f t="shared" si="10"/>
        <v>422.42857142857144</v>
      </c>
      <c r="AD18" s="17">
        <f t="shared" si="10"/>
        <v>0</v>
      </c>
      <c r="AE18" s="31">
        <f t="shared" si="10"/>
        <v>373.85714285714289</v>
      </c>
      <c r="AF18" s="31">
        <f t="shared" si="10"/>
        <v>796.28571428571433</v>
      </c>
    </row>
    <row r="19" spans="2:32" ht="23.1" customHeight="1" x14ac:dyDescent="0.25">
      <c r="B19" s="23" t="s">
        <v>46</v>
      </c>
      <c r="C19" s="49">
        <f>AVERAGE('29.07 Kisaasi-Kyanja'!C19,'30.07 Kisaasi-Kyanja'!C19,'31.07 Kisaasi-Kyanja'!C19,'02.08 Kisaasi-Kyanja'!C19,'01.08 Kisaasi-Kyanja-24h'!C19,'03.08 Kisaasi-Kyanja-24h'!C19,'04.08 Kisaasi-Kyanja'!C19)</f>
        <v>50.714285714285715</v>
      </c>
      <c r="D19" s="49">
        <f>AVERAGE('29.07 Kisaasi-Kyanja'!D19,'30.07 Kisaasi-Kyanja'!D19,'31.07 Kisaasi-Kyanja'!D19,'02.08 Kisaasi-Kyanja'!D19,'01.08 Kisaasi-Kyanja-24h'!D19,'03.08 Kisaasi-Kyanja-24h'!D19,'04.08 Kisaasi-Kyanja'!D19)</f>
        <v>17.428571428571427</v>
      </c>
      <c r="E19" s="49">
        <f>AVERAGE('29.07 Kisaasi-Kyanja'!E19,'30.07 Kisaasi-Kyanja'!E19,'31.07 Kisaasi-Kyanja'!E19,'02.08 Kisaasi-Kyanja'!E19,'01.08 Kisaasi-Kyanja-24h'!E19,'03.08 Kisaasi-Kyanja-24h'!E19,'04.08 Kisaasi-Kyanja'!E19)</f>
        <v>6.5714285714285712</v>
      </c>
      <c r="F19" s="49">
        <f>AVERAGE('29.07 Kisaasi-Kyanja'!F19,'30.07 Kisaasi-Kyanja'!F19,'31.07 Kisaasi-Kyanja'!F19,'02.08 Kisaasi-Kyanja'!F19,'01.08 Kisaasi-Kyanja-24h'!F19,'03.08 Kisaasi-Kyanja-24h'!F19,'04.08 Kisaasi-Kyanja'!F19)</f>
        <v>18.428571428571427</v>
      </c>
      <c r="G19" s="49">
        <f>AVERAGE('29.07 Kisaasi-Kyanja'!G19,'30.07 Kisaasi-Kyanja'!G19,'31.07 Kisaasi-Kyanja'!G19,'02.08 Kisaasi-Kyanja'!G19,'01.08 Kisaasi-Kyanja-24h'!G19,'03.08 Kisaasi-Kyanja-24h'!G19,'04.08 Kisaasi-Kyanja'!G19)</f>
        <v>0</v>
      </c>
      <c r="H19" s="49">
        <f>AVERAGE('29.07 Kisaasi-Kyanja'!H19,'30.07 Kisaasi-Kyanja'!H19,'31.07 Kisaasi-Kyanja'!H19,'02.08 Kisaasi-Kyanja'!H19,'01.08 Kisaasi-Kyanja-24h'!H19,'03.08 Kisaasi-Kyanja-24h'!H19,'04.08 Kisaasi-Kyanja'!H19)</f>
        <v>0</v>
      </c>
      <c r="I19" s="49">
        <f>AVERAGE('29.07 Kisaasi-Kyanja'!I19,'30.07 Kisaasi-Kyanja'!I19,'31.07 Kisaasi-Kyanja'!I19,'02.08 Kisaasi-Kyanja'!I19,'01.08 Kisaasi-Kyanja-24h'!I19,'03.08 Kisaasi-Kyanja-24h'!I19,'04.08 Kisaasi-Kyanja'!I19)</f>
        <v>5.2857142857142856</v>
      </c>
      <c r="J19" s="49">
        <f>AVERAGE('29.07 Kisaasi-Kyanja'!J19,'30.07 Kisaasi-Kyanja'!J19,'31.07 Kisaasi-Kyanja'!J19,'02.08 Kisaasi-Kyanja'!J19,'01.08 Kisaasi-Kyanja-24h'!J19,'03.08 Kisaasi-Kyanja-24h'!J19,'04.08 Kisaasi-Kyanja'!J19)</f>
        <v>2.1428571428571428</v>
      </c>
      <c r="K19" s="49">
        <f>AVERAGE('29.07 Kisaasi-Kyanja'!K19,'30.07 Kisaasi-Kyanja'!K19,'31.07 Kisaasi-Kyanja'!K19,'02.08 Kisaasi-Kyanja'!K19,'01.08 Kisaasi-Kyanja-24h'!K19,'03.08 Kisaasi-Kyanja-24h'!K19,'04.08 Kisaasi-Kyanja'!K19)</f>
        <v>1</v>
      </c>
      <c r="L19" s="49">
        <f>AVERAGE('29.07 Kisaasi-Kyanja'!L19,'30.07 Kisaasi-Kyanja'!L19,'31.07 Kisaasi-Kyanja'!L19,'02.08 Kisaasi-Kyanja'!L19,'01.08 Kisaasi-Kyanja-24h'!L19,'03.08 Kisaasi-Kyanja-24h'!L19,'04.08 Kisaasi-Kyanja'!L19)</f>
        <v>0.14285714285714285</v>
      </c>
      <c r="M19" s="49">
        <f>AVERAGE('29.07 Kisaasi-Kyanja'!M19,'30.07 Kisaasi-Kyanja'!M19,'31.07 Kisaasi-Kyanja'!M19,'02.08 Kisaasi-Kyanja'!M19,'01.08 Kisaasi-Kyanja-24h'!M19,'03.08 Kisaasi-Kyanja-24h'!M19,'04.08 Kisaasi-Kyanja'!M19)</f>
        <v>159.28571428571428</v>
      </c>
      <c r="N19" s="49">
        <f>AVERAGE('29.07 Kisaasi-Kyanja'!N19,'30.07 Kisaasi-Kyanja'!N19,'31.07 Kisaasi-Kyanja'!N19,'02.08 Kisaasi-Kyanja'!N19,'01.08 Kisaasi-Kyanja-24h'!N19,'03.08 Kisaasi-Kyanja-24h'!N19,'04.08 Kisaasi-Kyanja'!N19)</f>
        <v>0</v>
      </c>
      <c r="O19" s="15">
        <f t="shared" si="0"/>
        <v>101.71428571428571</v>
      </c>
      <c r="P19" s="15">
        <f t="shared" si="1"/>
        <v>261</v>
      </c>
      <c r="R19" s="1" t="s">
        <v>15</v>
      </c>
      <c r="S19" s="17">
        <f t="shared" ref="S19:AF19" si="11">SUM(C46:C49)</f>
        <v>228.14285714285714</v>
      </c>
      <c r="T19" s="17">
        <f t="shared" si="11"/>
        <v>105.85714285714286</v>
      </c>
      <c r="U19" s="17">
        <f t="shared" si="11"/>
        <v>26.428571428571431</v>
      </c>
      <c r="V19" s="17">
        <f t="shared" si="11"/>
        <v>64.571428571428569</v>
      </c>
      <c r="W19" s="17">
        <f t="shared" si="11"/>
        <v>0</v>
      </c>
      <c r="X19" s="17">
        <f t="shared" si="11"/>
        <v>0.14285714285714285</v>
      </c>
      <c r="Y19" s="17">
        <f t="shared" si="11"/>
        <v>19.428571428571427</v>
      </c>
      <c r="Z19" s="17">
        <f t="shared" si="11"/>
        <v>6.5714285714285721</v>
      </c>
      <c r="AA19" s="17">
        <f t="shared" si="11"/>
        <v>7.4285714285714288</v>
      </c>
      <c r="AB19" s="17">
        <f t="shared" si="11"/>
        <v>0.8571428571428571</v>
      </c>
      <c r="AC19" s="17">
        <f t="shared" si="11"/>
        <v>464.85714285714289</v>
      </c>
      <c r="AD19" s="17">
        <f t="shared" si="11"/>
        <v>0.2857142857142857</v>
      </c>
      <c r="AE19" s="31">
        <f t="shared" si="11"/>
        <v>459.71428571428567</v>
      </c>
      <c r="AF19" s="31">
        <f t="shared" si="11"/>
        <v>924.57142857142867</v>
      </c>
    </row>
    <row r="20" spans="2:32" ht="23.1" customHeight="1" x14ac:dyDescent="0.25">
      <c r="B20" s="23" t="s">
        <v>47</v>
      </c>
      <c r="C20" s="49">
        <f>AVERAGE('29.07 Kisaasi-Kyanja'!C20,'30.07 Kisaasi-Kyanja'!C20,'31.07 Kisaasi-Kyanja'!C20,'02.08 Kisaasi-Kyanja'!C20,'01.08 Kisaasi-Kyanja-24h'!C20,'03.08 Kisaasi-Kyanja-24h'!C20,'04.08 Kisaasi-Kyanja'!C20)</f>
        <v>54.857142857142854</v>
      </c>
      <c r="D20" s="49">
        <f>AVERAGE('29.07 Kisaasi-Kyanja'!D20,'30.07 Kisaasi-Kyanja'!D20,'31.07 Kisaasi-Kyanja'!D20,'02.08 Kisaasi-Kyanja'!D20,'01.08 Kisaasi-Kyanja-24h'!D20,'03.08 Kisaasi-Kyanja-24h'!D20,'04.08 Kisaasi-Kyanja'!D20)</f>
        <v>20.285714285714285</v>
      </c>
      <c r="E20" s="49">
        <f>AVERAGE('29.07 Kisaasi-Kyanja'!E20,'30.07 Kisaasi-Kyanja'!E20,'31.07 Kisaasi-Kyanja'!E20,'02.08 Kisaasi-Kyanja'!E20,'01.08 Kisaasi-Kyanja-24h'!E20,'03.08 Kisaasi-Kyanja-24h'!E20,'04.08 Kisaasi-Kyanja'!E20)</f>
        <v>8.7142857142857135</v>
      </c>
      <c r="F20" s="49">
        <f>AVERAGE('29.07 Kisaasi-Kyanja'!F20,'30.07 Kisaasi-Kyanja'!F20,'31.07 Kisaasi-Kyanja'!F20,'02.08 Kisaasi-Kyanja'!F20,'01.08 Kisaasi-Kyanja-24h'!F20,'03.08 Kisaasi-Kyanja-24h'!F20,'04.08 Kisaasi-Kyanja'!F20)</f>
        <v>20.285714285714285</v>
      </c>
      <c r="G20" s="49">
        <f>AVERAGE('29.07 Kisaasi-Kyanja'!G20,'30.07 Kisaasi-Kyanja'!G20,'31.07 Kisaasi-Kyanja'!G20,'02.08 Kisaasi-Kyanja'!G20,'01.08 Kisaasi-Kyanja-24h'!G20,'03.08 Kisaasi-Kyanja-24h'!G20,'04.08 Kisaasi-Kyanja'!G20)</f>
        <v>0</v>
      </c>
      <c r="H20" s="49">
        <f>AVERAGE('29.07 Kisaasi-Kyanja'!H20,'30.07 Kisaasi-Kyanja'!H20,'31.07 Kisaasi-Kyanja'!H20,'02.08 Kisaasi-Kyanja'!H20,'01.08 Kisaasi-Kyanja-24h'!H20,'03.08 Kisaasi-Kyanja-24h'!H20,'04.08 Kisaasi-Kyanja'!H20)</f>
        <v>0</v>
      </c>
      <c r="I20" s="49">
        <f>AVERAGE('29.07 Kisaasi-Kyanja'!I20,'30.07 Kisaasi-Kyanja'!I20,'31.07 Kisaasi-Kyanja'!I20,'02.08 Kisaasi-Kyanja'!I20,'01.08 Kisaasi-Kyanja-24h'!I20,'03.08 Kisaasi-Kyanja-24h'!I20,'04.08 Kisaasi-Kyanja'!I20)</f>
        <v>5</v>
      </c>
      <c r="J20" s="49">
        <f>AVERAGE('29.07 Kisaasi-Kyanja'!J20,'30.07 Kisaasi-Kyanja'!J20,'31.07 Kisaasi-Kyanja'!J20,'02.08 Kisaasi-Kyanja'!J20,'01.08 Kisaasi-Kyanja-24h'!J20,'03.08 Kisaasi-Kyanja-24h'!J20,'04.08 Kisaasi-Kyanja'!J20)</f>
        <v>1.1428571428571428</v>
      </c>
      <c r="K20" s="49">
        <f>AVERAGE('29.07 Kisaasi-Kyanja'!K20,'30.07 Kisaasi-Kyanja'!K20,'31.07 Kisaasi-Kyanja'!K20,'02.08 Kisaasi-Kyanja'!K20,'01.08 Kisaasi-Kyanja-24h'!K20,'03.08 Kisaasi-Kyanja-24h'!K20,'04.08 Kisaasi-Kyanja'!K20)</f>
        <v>2.8571428571428572</v>
      </c>
      <c r="L20" s="49">
        <f>AVERAGE('29.07 Kisaasi-Kyanja'!L20,'30.07 Kisaasi-Kyanja'!L20,'31.07 Kisaasi-Kyanja'!L20,'02.08 Kisaasi-Kyanja'!L20,'01.08 Kisaasi-Kyanja-24h'!L20,'03.08 Kisaasi-Kyanja-24h'!L20,'04.08 Kisaasi-Kyanja'!L20)</f>
        <v>0</v>
      </c>
      <c r="M20" s="49">
        <f>AVERAGE('29.07 Kisaasi-Kyanja'!M20,'30.07 Kisaasi-Kyanja'!M20,'31.07 Kisaasi-Kyanja'!M20,'02.08 Kisaasi-Kyanja'!M20,'01.08 Kisaasi-Kyanja-24h'!M20,'03.08 Kisaasi-Kyanja-24h'!M20,'04.08 Kisaasi-Kyanja'!M20)</f>
        <v>151.28571428571428</v>
      </c>
      <c r="N20" s="49">
        <f>AVERAGE('29.07 Kisaasi-Kyanja'!N20,'30.07 Kisaasi-Kyanja'!N20,'31.07 Kisaasi-Kyanja'!N20,'02.08 Kisaasi-Kyanja'!N20,'01.08 Kisaasi-Kyanja-24h'!N20,'03.08 Kisaasi-Kyanja-24h'!N20,'04.08 Kisaasi-Kyanja'!N20)</f>
        <v>0</v>
      </c>
      <c r="O20" s="15">
        <f t="shared" si="0"/>
        <v>113.14285714285714</v>
      </c>
      <c r="P20" s="15">
        <f t="shared" si="1"/>
        <v>264.42857142857144</v>
      </c>
      <c r="R20" s="1" t="s">
        <v>16</v>
      </c>
      <c r="S20" s="17">
        <f t="shared" ref="S20:AF20" si="12">SUM(C50:C53)</f>
        <v>240.85714285714283</v>
      </c>
      <c r="T20" s="17">
        <f t="shared" si="12"/>
        <v>126.14285714285715</v>
      </c>
      <c r="U20" s="17">
        <f t="shared" si="12"/>
        <v>30.857142857142861</v>
      </c>
      <c r="V20" s="17">
        <f t="shared" si="12"/>
        <v>63.142857142857146</v>
      </c>
      <c r="W20" s="17">
        <f t="shared" si="12"/>
        <v>1.5714285714285712</v>
      </c>
      <c r="X20" s="17">
        <f t="shared" si="12"/>
        <v>0</v>
      </c>
      <c r="Y20" s="17">
        <f t="shared" si="12"/>
        <v>16.428571428571427</v>
      </c>
      <c r="Z20" s="17">
        <f t="shared" si="12"/>
        <v>6.7142857142857135</v>
      </c>
      <c r="AA20" s="17">
        <f t="shared" si="12"/>
        <v>3.8571428571428572</v>
      </c>
      <c r="AB20" s="17">
        <f t="shared" si="12"/>
        <v>0.71428571428571419</v>
      </c>
      <c r="AC20" s="17">
        <f t="shared" si="12"/>
        <v>529.14285714285711</v>
      </c>
      <c r="AD20" s="17">
        <f t="shared" si="12"/>
        <v>0</v>
      </c>
      <c r="AE20" s="31">
        <f t="shared" si="12"/>
        <v>490.28571428571428</v>
      </c>
      <c r="AF20" s="31">
        <f t="shared" si="12"/>
        <v>1019.4285714285714</v>
      </c>
    </row>
    <row r="21" spans="2:32" ht="23.1" customHeight="1" x14ac:dyDescent="0.25">
      <c r="B21" s="23" t="s">
        <v>48</v>
      </c>
      <c r="C21" s="49">
        <f>AVERAGE('29.07 Kisaasi-Kyanja'!C21,'30.07 Kisaasi-Kyanja'!C21,'31.07 Kisaasi-Kyanja'!C21,'02.08 Kisaasi-Kyanja'!C21,'01.08 Kisaasi-Kyanja-24h'!C21,'03.08 Kisaasi-Kyanja-24h'!C21,'04.08 Kisaasi-Kyanja'!C21)</f>
        <v>48.857142857142854</v>
      </c>
      <c r="D21" s="49">
        <f>AVERAGE('29.07 Kisaasi-Kyanja'!D21,'30.07 Kisaasi-Kyanja'!D21,'31.07 Kisaasi-Kyanja'!D21,'02.08 Kisaasi-Kyanja'!D21,'01.08 Kisaasi-Kyanja-24h'!D21,'03.08 Kisaasi-Kyanja-24h'!D21,'04.08 Kisaasi-Kyanja'!D21)</f>
        <v>21</v>
      </c>
      <c r="E21" s="49">
        <f>AVERAGE('29.07 Kisaasi-Kyanja'!E21,'30.07 Kisaasi-Kyanja'!E21,'31.07 Kisaasi-Kyanja'!E21,'02.08 Kisaasi-Kyanja'!E21,'01.08 Kisaasi-Kyanja-24h'!E21,'03.08 Kisaasi-Kyanja-24h'!E21,'04.08 Kisaasi-Kyanja'!E21)</f>
        <v>8.1428571428571423</v>
      </c>
      <c r="F21" s="49">
        <f>AVERAGE('29.07 Kisaasi-Kyanja'!F21,'30.07 Kisaasi-Kyanja'!F21,'31.07 Kisaasi-Kyanja'!F21,'02.08 Kisaasi-Kyanja'!F21,'01.08 Kisaasi-Kyanja-24h'!F21,'03.08 Kisaasi-Kyanja-24h'!F21,'04.08 Kisaasi-Kyanja'!F21)</f>
        <v>17.285714285714285</v>
      </c>
      <c r="G21" s="49">
        <f>AVERAGE('29.07 Kisaasi-Kyanja'!G21,'30.07 Kisaasi-Kyanja'!G21,'31.07 Kisaasi-Kyanja'!G21,'02.08 Kisaasi-Kyanja'!G21,'01.08 Kisaasi-Kyanja-24h'!G21,'03.08 Kisaasi-Kyanja-24h'!G21,'04.08 Kisaasi-Kyanja'!G21)</f>
        <v>0</v>
      </c>
      <c r="H21" s="49">
        <f>AVERAGE('29.07 Kisaasi-Kyanja'!H21,'30.07 Kisaasi-Kyanja'!H21,'31.07 Kisaasi-Kyanja'!H21,'02.08 Kisaasi-Kyanja'!H21,'01.08 Kisaasi-Kyanja-24h'!H21,'03.08 Kisaasi-Kyanja-24h'!H21,'04.08 Kisaasi-Kyanja'!H21)</f>
        <v>0</v>
      </c>
      <c r="I21" s="49">
        <f>AVERAGE('29.07 Kisaasi-Kyanja'!I21,'30.07 Kisaasi-Kyanja'!I21,'31.07 Kisaasi-Kyanja'!I21,'02.08 Kisaasi-Kyanja'!I21,'01.08 Kisaasi-Kyanja-24h'!I21,'03.08 Kisaasi-Kyanja-24h'!I21,'04.08 Kisaasi-Kyanja'!I21)</f>
        <v>5.7142857142857144</v>
      </c>
      <c r="J21" s="49">
        <f>AVERAGE('29.07 Kisaasi-Kyanja'!J21,'30.07 Kisaasi-Kyanja'!J21,'31.07 Kisaasi-Kyanja'!J21,'02.08 Kisaasi-Kyanja'!J21,'01.08 Kisaasi-Kyanja-24h'!J21,'03.08 Kisaasi-Kyanja-24h'!J21,'04.08 Kisaasi-Kyanja'!J21)</f>
        <v>2</v>
      </c>
      <c r="K21" s="49">
        <f>AVERAGE('29.07 Kisaasi-Kyanja'!K21,'30.07 Kisaasi-Kyanja'!K21,'31.07 Kisaasi-Kyanja'!K21,'02.08 Kisaasi-Kyanja'!K21,'01.08 Kisaasi-Kyanja-24h'!K21,'03.08 Kisaasi-Kyanja-24h'!K21,'04.08 Kisaasi-Kyanja'!K21)</f>
        <v>2</v>
      </c>
      <c r="L21" s="49">
        <f>AVERAGE('29.07 Kisaasi-Kyanja'!L21,'30.07 Kisaasi-Kyanja'!L21,'31.07 Kisaasi-Kyanja'!L21,'02.08 Kisaasi-Kyanja'!L21,'01.08 Kisaasi-Kyanja-24h'!L21,'03.08 Kisaasi-Kyanja-24h'!L21,'04.08 Kisaasi-Kyanja'!L21)</f>
        <v>0</v>
      </c>
      <c r="M21" s="49">
        <f>AVERAGE('29.07 Kisaasi-Kyanja'!M21,'30.07 Kisaasi-Kyanja'!M21,'31.07 Kisaasi-Kyanja'!M21,'02.08 Kisaasi-Kyanja'!M21,'01.08 Kisaasi-Kyanja-24h'!M21,'03.08 Kisaasi-Kyanja-24h'!M21,'04.08 Kisaasi-Kyanja'!M21)</f>
        <v>145.28571428571428</v>
      </c>
      <c r="N21" s="49">
        <f>AVERAGE('29.07 Kisaasi-Kyanja'!N21,'30.07 Kisaasi-Kyanja'!N21,'31.07 Kisaasi-Kyanja'!N21,'02.08 Kisaasi-Kyanja'!N21,'01.08 Kisaasi-Kyanja-24h'!N21,'03.08 Kisaasi-Kyanja-24h'!N21,'04.08 Kisaasi-Kyanja'!N21)</f>
        <v>0</v>
      </c>
      <c r="O21" s="15">
        <f t="shared" si="0"/>
        <v>104.99999999999999</v>
      </c>
      <c r="P21" s="15">
        <f t="shared" si="1"/>
        <v>250.28571428571428</v>
      </c>
      <c r="R21" s="36" t="s">
        <v>20</v>
      </c>
      <c r="S21" s="34">
        <f t="shared" ref="S21:AF21" si="13">SUM(C54:C57)</f>
        <v>222.99999999999997</v>
      </c>
      <c r="T21" s="17">
        <f t="shared" si="13"/>
        <v>115.71428571428571</v>
      </c>
      <c r="U21" s="17">
        <f t="shared" si="13"/>
        <v>25.285714285714285</v>
      </c>
      <c r="V21" s="17">
        <f t="shared" si="13"/>
        <v>73.142857142857139</v>
      </c>
      <c r="W21" s="17">
        <f t="shared" si="13"/>
        <v>0.8571428571428571</v>
      </c>
      <c r="X21" s="17">
        <f t="shared" si="13"/>
        <v>0.42857142857142855</v>
      </c>
      <c r="Y21" s="17">
        <f t="shared" si="13"/>
        <v>15.857142857142858</v>
      </c>
      <c r="Z21" s="17">
        <f t="shared" si="13"/>
        <v>5.1428571428571423</v>
      </c>
      <c r="AA21" s="17">
        <f t="shared" si="13"/>
        <v>3.714285714285714</v>
      </c>
      <c r="AB21" s="17">
        <f t="shared" si="13"/>
        <v>0</v>
      </c>
      <c r="AC21" s="17">
        <f t="shared" si="13"/>
        <v>578</v>
      </c>
      <c r="AD21" s="17">
        <f t="shared" si="13"/>
        <v>0.14285714285714285</v>
      </c>
      <c r="AE21" s="31">
        <f t="shared" si="13"/>
        <v>463.28571428571428</v>
      </c>
      <c r="AF21" s="31">
        <f t="shared" si="13"/>
        <v>1041.2857142857142</v>
      </c>
    </row>
    <row r="22" spans="2:32" ht="23.1" customHeight="1" x14ac:dyDescent="0.25">
      <c r="B22" s="23" t="s">
        <v>49</v>
      </c>
      <c r="C22" s="49">
        <f>AVERAGE('29.07 Kisaasi-Kyanja'!C22,'30.07 Kisaasi-Kyanja'!C22,'31.07 Kisaasi-Kyanja'!C22,'02.08 Kisaasi-Kyanja'!C22,'01.08 Kisaasi-Kyanja-24h'!C22,'03.08 Kisaasi-Kyanja-24h'!C22,'04.08 Kisaasi-Kyanja'!C22)</f>
        <v>51.857142857142854</v>
      </c>
      <c r="D22" s="49">
        <f>AVERAGE('29.07 Kisaasi-Kyanja'!D22,'30.07 Kisaasi-Kyanja'!D22,'31.07 Kisaasi-Kyanja'!D22,'02.08 Kisaasi-Kyanja'!D22,'01.08 Kisaasi-Kyanja-24h'!D22,'03.08 Kisaasi-Kyanja-24h'!D22,'04.08 Kisaasi-Kyanja'!D22)</f>
        <v>25.428571428571427</v>
      </c>
      <c r="E22" s="49">
        <f>AVERAGE('29.07 Kisaasi-Kyanja'!E22,'30.07 Kisaasi-Kyanja'!E22,'31.07 Kisaasi-Kyanja'!E22,'02.08 Kisaasi-Kyanja'!E22,'01.08 Kisaasi-Kyanja-24h'!E22,'03.08 Kisaasi-Kyanja-24h'!E22,'04.08 Kisaasi-Kyanja'!E22)</f>
        <v>5.7142857142857144</v>
      </c>
      <c r="F22" s="49">
        <f>AVERAGE('29.07 Kisaasi-Kyanja'!F22,'30.07 Kisaasi-Kyanja'!F22,'31.07 Kisaasi-Kyanja'!F22,'02.08 Kisaasi-Kyanja'!F22,'01.08 Kisaasi-Kyanja-24h'!F22,'03.08 Kisaasi-Kyanja-24h'!F22,'04.08 Kisaasi-Kyanja'!F22)</f>
        <v>18</v>
      </c>
      <c r="G22" s="49">
        <f>AVERAGE('29.07 Kisaasi-Kyanja'!G22,'30.07 Kisaasi-Kyanja'!G22,'31.07 Kisaasi-Kyanja'!G22,'02.08 Kisaasi-Kyanja'!G22,'01.08 Kisaasi-Kyanja-24h'!G22,'03.08 Kisaasi-Kyanja-24h'!G22,'04.08 Kisaasi-Kyanja'!G22)</f>
        <v>0</v>
      </c>
      <c r="H22" s="49">
        <f>AVERAGE('29.07 Kisaasi-Kyanja'!H22,'30.07 Kisaasi-Kyanja'!H22,'31.07 Kisaasi-Kyanja'!H22,'02.08 Kisaasi-Kyanja'!H22,'01.08 Kisaasi-Kyanja-24h'!H22,'03.08 Kisaasi-Kyanja-24h'!H22,'04.08 Kisaasi-Kyanja'!H22)</f>
        <v>0.14285714285714285</v>
      </c>
      <c r="I22" s="49">
        <f>AVERAGE('29.07 Kisaasi-Kyanja'!I22,'30.07 Kisaasi-Kyanja'!I22,'31.07 Kisaasi-Kyanja'!I22,'02.08 Kisaasi-Kyanja'!I22,'01.08 Kisaasi-Kyanja-24h'!I22,'03.08 Kisaasi-Kyanja-24h'!I22,'04.08 Kisaasi-Kyanja'!I22)</f>
        <v>3.8571428571428572</v>
      </c>
      <c r="J22" s="49">
        <f>AVERAGE('29.07 Kisaasi-Kyanja'!J22,'30.07 Kisaasi-Kyanja'!J22,'31.07 Kisaasi-Kyanja'!J22,'02.08 Kisaasi-Kyanja'!J22,'01.08 Kisaasi-Kyanja-24h'!J22,'03.08 Kisaasi-Kyanja-24h'!J22,'04.08 Kisaasi-Kyanja'!J22)</f>
        <v>1.8571428571428572</v>
      </c>
      <c r="K22" s="49">
        <f>AVERAGE('29.07 Kisaasi-Kyanja'!K22,'30.07 Kisaasi-Kyanja'!K22,'31.07 Kisaasi-Kyanja'!K22,'02.08 Kisaasi-Kyanja'!K22,'01.08 Kisaasi-Kyanja-24h'!K22,'03.08 Kisaasi-Kyanja-24h'!K22,'04.08 Kisaasi-Kyanja'!K22)</f>
        <v>1</v>
      </c>
      <c r="L22" s="49">
        <f>AVERAGE('29.07 Kisaasi-Kyanja'!L22,'30.07 Kisaasi-Kyanja'!L22,'31.07 Kisaasi-Kyanja'!L22,'02.08 Kisaasi-Kyanja'!L22,'01.08 Kisaasi-Kyanja-24h'!L22,'03.08 Kisaasi-Kyanja-24h'!L22,'04.08 Kisaasi-Kyanja'!L22)</f>
        <v>0.14285714285714285</v>
      </c>
      <c r="M22" s="49">
        <f>AVERAGE('29.07 Kisaasi-Kyanja'!M22,'30.07 Kisaasi-Kyanja'!M22,'31.07 Kisaasi-Kyanja'!M22,'02.08 Kisaasi-Kyanja'!M22,'01.08 Kisaasi-Kyanja-24h'!M22,'03.08 Kisaasi-Kyanja-24h'!M22,'04.08 Kisaasi-Kyanja'!M22)</f>
        <v>143.57142857142858</v>
      </c>
      <c r="N22" s="49">
        <f>AVERAGE('29.07 Kisaasi-Kyanja'!N22,'30.07 Kisaasi-Kyanja'!N22,'31.07 Kisaasi-Kyanja'!N22,'02.08 Kisaasi-Kyanja'!N22,'01.08 Kisaasi-Kyanja-24h'!N22,'03.08 Kisaasi-Kyanja-24h'!N22,'04.08 Kisaasi-Kyanja'!N22)</f>
        <v>0</v>
      </c>
      <c r="O22" s="15">
        <f t="shared" si="0"/>
        <v>107.99999999999999</v>
      </c>
      <c r="P22" s="15">
        <f t="shared" si="1"/>
        <v>251.57142857142856</v>
      </c>
      <c r="R22" s="1" t="s">
        <v>146</v>
      </c>
      <c r="S22" s="34">
        <f>SUM(C58:C61)</f>
        <v>272</v>
      </c>
      <c r="T22" s="34">
        <f t="shared" ref="T22:AF22" si="14">SUM(D58:D61)</f>
        <v>201.5</v>
      </c>
      <c r="U22" s="34">
        <f t="shared" si="14"/>
        <v>39.5</v>
      </c>
      <c r="V22" s="34">
        <f t="shared" si="14"/>
        <v>170</v>
      </c>
      <c r="W22" s="34">
        <f t="shared" si="14"/>
        <v>0</v>
      </c>
      <c r="X22" s="34">
        <f t="shared" si="14"/>
        <v>0</v>
      </c>
      <c r="Y22" s="34">
        <f t="shared" si="14"/>
        <v>21</v>
      </c>
      <c r="Z22" s="34">
        <f t="shared" si="14"/>
        <v>9</v>
      </c>
      <c r="AA22" s="34">
        <f t="shared" si="14"/>
        <v>5</v>
      </c>
      <c r="AB22" s="34">
        <f t="shared" si="14"/>
        <v>0</v>
      </c>
      <c r="AC22" s="34">
        <f t="shared" si="14"/>
        <v>371.5</v>
      </c>
      <c r="AD22" s="34">
        <f t="shared" si="14"/>
        <v>0</v>
      </c>
      <c r="AE22" s="31">
        <f t="shared" si="14"/>
        <v>718</v>
      </c>
      <c r="AF22" s="31">
        <f t="shared" si="14"/>
        <v>1089.5</v>
      </c>
    </row>
    <row r="23" spans="2:32" ht="23.1" customHeight="1" x14ac:dyDescent="0.25">
      <c r="B23" s="23" t="s">
        <v>50</v>
      </c>
      <c r="C23" s="49">
        <f>AVERAGE('29.07 Kisaasi-Kyanja'!C23,'30.07 Kisaasi-Kyanja'!C23,'31.07 Kisaasi-Kyanja'!C23,'02.08 Kisaasi-Kyanja'!C23,'01.08 Kisaasi-Kyanja-24h'!C23,'03.08 Kisaasi-Kyanja-24h'!C23,'04.08 Kisaasi-Kyanja'!C23)</f>
        <v>49.142857142857146</v>
      </c>
      <c r="D23" s="49">
        <f>AVERAGE('29.07 Kisaasi-Kyanja'!D23,'30.07 Kisaasi-Kyanja'!D23,'31.07 Kisaasi-Kyanja'!D23,'02.08 Kisaasi-Kyanja'!D23,'01.08 Kisaasi-Kyanja-24h'!D23,'03.08 Kisaasi-Kyanja-24h'!D23,'04.08 Kisaasi-Kyanja'!D23)</f>
        <v>22.285714285714285</v>
      </c>
      <c r="E23" s="49">
        <f>AVERAGE('29.07 Kisaasi-Kyanja'!E23,'30.07 Kisaasi-Kyanja'!E23,'31.07 Kisaasi-Kyanja'!E23,'02.08 Kisaasi-Kyanja'!E23,'01.08 Kisaasi-Kyanja-24h'!E23,'03.08 Kisaasi-Kyanja-24h'!E23,'04.08 Kisaasi-Kyanja'!E23)</f>
        <v>6.8571428571428568</v>
      </c>
      <c r="F23" s="49">
        <f>AVERAGE('29.07 Kisaasi-Kyanja'!F23,'30.07 Kisaasi-Kyanja'!F23,'31.07 Kisaasi-Kyanja'!F23,'02.08 Kisaasi-Kyanja'!F23,'01.08 Kisaasi-Kyanja-24h'!F23,'03.08 Kisaasi-Kyanja-24h'!F23,'04.08 Kisaasi-Kyanja'!F23)</f>
        <v>18.428571428571427</v>
      </c>
      <c r="G23" s="49">
        <f>AVERAGE('29.07 Kisaasi-Kyanja'!G23,'30.07 Kisaasi-Kyanja'!G23,'31.07 Kisaasi-Kyanja'!G23,'02.08 Kisaasi-Kyanja'!G23,'01.08 Kisaasi-Kyanja-24h'!G23,'03.08 Kisaasi-Kyanja-24h'!G23,'04.08 Kisaasi-Kyanja'!G23)</f>
        <v>0.14285714285714285</v>
      </c>
      <c r="H23" s="49">
        <f>AVERAGE('29.07 Kisaasi-Kyanja'!H23,'30.07 Kisaasi-Kyanja'!H23,'31.07 Kisaasi-Kyanja'!H23,'02.08 Kisaasi-Kyanja'!H23,'01.08 Kisaasi-Kyanja-24h'!H23,'03.08 Kisaasi-Kyanja-24h'!H23,'04.08 Kisaasi-Kyanja'!H23)</f>
        <v>0</v>
      </c>
      <c r="I23" s="49">
        <f>AVERAGE('29.07 Kisaasi-Kyanja'!I23,'30.07 Kisaasi-Kyanja'!I23,'31.07 Kisaasi-Kyanja'!I23,'02.08 Kisaasi-Kyanja'!I23,'01.08 Kisaasi-Kyanja-24h'!I23,'03.08 Kisaasi-Kyanja-24h'!I23,'04.08 Kisaasi-Kyanja'!I23)</f>
        <v>5.4285714285714288</v>
      </c>
      <c r="J23" s="49">
        <f>AVERAGE('29.07 Kisaasi-Kyanja'!J23,'30.07 Kisaasi-Kyanja'!J23,'31.07 Kisaasi-Kyanja'!J23,'02.08 Kisaasi-Kyanja'!J23,'01.08 Kisaasi-Kyanja-24h'!J23,'03.08 Kisaasi-Kyanja-24h'!J23,'04.08 Kisaasi-Kyanja'!J23)</f>
        <v>1.5714285714285714</v>
      </c>
      <c r="K23" s="49">
        <f>AVERAGE('29.07 Kisaasi-Kyanja'!K23,'30.07 Kisaasi-Kyanja'!K23,'31.07 Kisaasi-Kyanja'!K23,'02.08 Kisaasi-Kyanja'!K23,'01.08 Kisaasi-Kyanja-24h'!K23,'03.08 Kisaasi-Kyanja-24h'!K23,'04.08 Kisaasi-Kyanja'!K23)</f>
        <v>1.1428571428571428</v>
      </c>
      <c r="L23" s="49">
        <f>AVERAGE('29.07 Kisaasi-Kyanja'!L23,'30.07 Kisaasi-Kyanja'!L23,'31.07 Kisaasi-Kyanja'!L23,'02.08 Kisaasi-Kyanja'!L23,'01.08 Kisaasi-Kyanja-24h'!L23,'03.08 Kisaasi-Kyanja-24h'!L23,'04.08 Kisaasi-Kyanja'!L23)</f>
        <v>0.2857142857142857</v>
      </c>
      <c r="M23" s="49">
        <f>AVERAGE('29.07 Kisaasi-Kyanja'!M23,'30.07 Kisaasi-Kyanja'!M23,'31.07 Kisaasi-Kyanja'!M23,'02.08 Kisaasi-Kyanja'!M23,'01.08 Kisaasi-Kyanja-24h'!M23,'03.08 Kisaasi-Kyanja-24h'!M23,'04.08 Kisaasi-Kyanja'!M23)</f>
        <v>134.14285714285714</v>
      </c>
      <c r="N23" s="49">
        <f>AVERAGE('29.07 Kisaasi-Kyanja'!N23,'30.07 Kisaasi-Kyanja'!N23,'31.07 Kisaasi-Kyanja'!N23,'02.08 Kisaasi-Kyanja'!N23,'01.08 Kisaasi-Kyanja-24h'!N23,'03.08 Kisaasi-Kyanja-24h'!N23,'04.08 Kisaasi-Kyanja'!N23)</f>
        <v>0</v>
      </c>
      <c r="O23" s="15">
        <f t="shared" si="0"/>
        <v>105.28571428571429</v>
      </c>
      <c r="P23" s="15">
        <f t="shared" si="1"/>
        <v>239.42857142857144</v>
      </c>
      <c r="R23" s="1" t="s">
        <v>147</v>
      </c>
      <c r="S23" s="34">
        <f>SUM(C62:C65)</f>
        <v>245.5</v>
      </c>
      <c r="T23" s="34">
        <f t="shared" ref="T23:AF23" si="15">SUM(D62:D65)</f>
        <v>92.5</v>
      </c>
      <c r="U23" s="34">
        <f t="shared" si="15"/>
        <v>16.5</v>
      </c>
      <c r="V23" s="34">
        <f t="shared" si="15"/>
        <v>57</v>
      </c>
      <c r="W23" s="34">
        <f t="shared" si="15"/>
        <v>0</v>
      </c>
      <c r="X23" s="34">
        <f t="shared" si="15"/>
        <v>0</v>
      </c>
      <c r="Y23" s="34">
        <f t="shared" si="15"/>
        <v>11</v>
      </c>
      <c r="Z23" s="34">
        <f t="shared" si="15"/>
        <v>4</v>
      </c>
      <c r="AA23" s="34">
        <f t="shared" si="15"/>
        <v>1</v>
      </c>
      <c r="AB23" s="34">
        <f t="shared" si="15"/>
        <v>0</v>
      </c>
      <c r="AC23" s="34">
        <f t="shared" si="15"/>
        <v>382</v>
      </c>
      <c r="AD23" s="34">
        <f t="shared" si="15"/>
        <v>0</v>
      </c>
      <c r="AE23" s="31">
        <f t="shared" si="15"/>
        <v>427.5</v>
      </c>
      <c r="AF23" s="31">
        <f t="shared" si="15"/>
        <v>809.5</v>
      </c>
    </row>
    <row r="24" spans="2:32" ht="23.1" customHeight="1" x14ac:dyDescent="0.25">
      <c r="B24" s="23" t="s">
        <v>51</v>
      </c>
      <c r="C24" s="49">
        <f>AVERAGE('29.07 Kisaasi-Kyanja'!C24,'30.07 Kisaasi-Kyanja'!C24,'31.07 Kisaasi-Kyanja'!C24,'02.08 Kisaasi-Kyanja'!C24,'01.08 Kisaasi-Kyanja-24h'!C24,'03.08 Kisaasi-Kyanja-24h'!C24,'04.08 Kisaasi-Kyanja'!C24)</f>
        <v>53.857142857142854</v>
      </c>
      <c r="D24" s="49">
        <f>AVERAGE('29.07 Kisaasi-Kyanja'!D24,'30.07 Kisaasi-Kyanja'!D24,'31.07 Kisaasi-Kyanja'!D24,'02.08 Kisaasi-Kyanja'!D24,'01.08 Kisaasi-Kyanja-24h'!D24,'03.08 Kisaasi-Kyanja-24h'!D24,'04.08 Kisaasi-Kyanja'!D24)</f>
        <v>19.571428571428573</v>
      </c>
      <c r="E24" s="49">
        <f>AVERAGE('29.07 Kisaasi-Kyanja'!E24,'30.07 Kisaasi-Kyanja'!E24,'31.07 Kisaasi-Kyanja'!E24,'02.08 Kisaasi-Kyanja'!E24,'01.08 Kisaasi-Kyanja-24h'!E24,'03.08 Kisaasi-Kyanja-24h'!E24,'04.08 Kisaasi-Kyanja'!E24)</f>
        <v>7</v>
      </c>
      <c r="F24" s="49">
        <f>AVERAGE('29.07 Kisaasi-Kyanja'!F24,'30.07 Kisaasi-Kyanja'!F24,'31.07 Kisaasi-Kyanja'!F24,'02.08 Kisaasi-Kyanja'!F24,'01.08 Kisaasi-Kyanja-24h'!F24,'03.08 Kisaasi-Kyanja-24h'!F24,'04.08 Kisaasi-Kyanja'!F24)</f>
        <v>17.428571428571427</v>
      </c>
      <c r="G24" s="49">
        <f>AVERAGE('29.07 Kisaasi-Kyanja'!G24,'30.07 Kisaasi-Kyanja'!G24,'31.07 Kisaasi-Kyanja'!G24,'02.08 Kisaasi-Kyanja'!G24,'01.08 Kisaasi-Kyanja-24h'!G24,'03.08 Kisaasi-Kyanja-24h'!G24,'04.08 Kisaasi-Kyanja'!G24)</f>
        <v>0</v>
      </c>
      <c r="H24" s="49">
        <f>AVERAGE('29.07 Kisaasi-Kyanja'!H24,'30.07 Kisaasi-Kyanja'!H24,'31.07 Kisaasi-Kyanja'!H24,'02.08 Kisaasi-Kyanja'!H24,'01.08 Kisaasi-Kyanja-24h'!H24,'03.08 Kisaasi-Kyanja-24h'!H24,'04.08 Kisaasi-Kyanja'!H24)</f>
        <v>0</v>
      </c>
      <c r="I24" s="49">
        <f>AVERAGE('29.07 Kisaasi-Kyanja'!I24,'30.07 Kisaasi-Kyanja'!I24,'31.07 Kisaasi-Kyanja'!I24,'02.08 Kisaasi-Kyanja'!I24,'01.08 Kisaasi-Kyanja-24h'!I24,'03.08 Kisaasi-Kyanja-24h'!I24,'04.08 Kisaasi-Kyanja'!I24)</f>
        <v>4</v>
      </c>
      <c r="J24" s="49">
        <f>AVERAGE('29.07 Kisaasi-Kyanja'!J24,'30.07 Kisaasi-Kyanja'!J24,'31.07 Kisaasi-Kyanja'!J24,'02.08 Kisaasi-Kyanja'!J24,'01.08 Kisaasi-Kyanja-24h'!J24,'03.08 Kisaasi-Kyanja-24h'!J24,'04.08 Kisaasi-Kyanja'!J24)</f>
        <v>1.8571428571428572</v>
      </c>
      <c r="K24" s="49">
        <f>AVERAGE('29.07 Kisaasi-Kyanja'!K24,'30.07 Kisaasi-Kyanja'!K24,'31.07 Kisaasi-Kyanja'!K24,'02.08 Kisaasi-Kyanja'!K24,'01.08 Kisaasi-Kyanja-24h'!K24,'03.08 Kisaasi-Kyanja-24h'!K24,'04.08 Kisaasi-Kyanja'!K24)</f>
        <v>2</v>
      </c>
      <c r="L24" s="49">
        <f>AVERAGE('29.07 Kisaasi-Kyanja'!L24,'30.07 Kisaasi-Kyanja'!L24,'31.07 Kisaasi-Kyanja'!L24,'02.08 Kisaasi-Kyanja'!L24,'01.08 Kisaasi-Kyanja-24h'!L24,'03.08 Kisaasi-Kyanja-24h'!L24,'04.08 Kisaasi-Kyanja'!L24)</f>
        <v>0.2857142857142857</v>
      </c>
      <c r="M24" s="49">
        <f>AVERAGE('29.07 Kisaasi-Kyanja'!M24,'30.07 Kisaasi-Kyanja'!M24,'31.07 Kisaasi-Kyanja'!M24,'02.08 Kisaasi-Kyanja'!M24,'01.08 Kisaasi-Kyanja-24h'!M24,'03.08 Kisaasi-Kyanja-24h'!M24,'04.08 Kisaasi-Kyanja'!M24)</f>
        <v>130.85714285714286</v>
      </c>
      <c r="N24" s="49">
        <f>AVERAGE('29.07 Kisaasi-Kyanja'!N24,'30.07 Kisaasi-Kyanja'!N24,'31.07 Kisaasi-Kyanja'!N24,'02.08 Kisaasi-Kyanja'!N24,'01.08 Kisaasi-Kyanja-24h'!N24,'03.08 Kisaasi-Kyanja-24h'!N24,'04.08 Kisaasi-Kyanja'!N24)</f>
        <v>0</v>
      </c>
      <c r="O24" s="15">
        <f t="shared" si="0"/>
        <v>106.00000000000001</v>
      </c>
      <c r="P24" s="15">
        <f t="shared" si="1"/>
        <v>236.85714285714289</v>
      </c>
      <c r="R24" s="1" t="s">
        <v>148</v>
      </c>
      <c r="S24" s="34">
        <f>SUM(C66:C69)</f>
        <v>230.5</v>
      </c>
      <c r="T24" s="34">
        <f t="shared" ref="T24:AF24" si="16">SUM(D66:D69)</f>
        <v>109.5</v>
      </c>
      <c r="U24" s="34">
        <f t="shared" si="16"/>
        <v>22</v>
      </c>
      <c r="V24" s="34">
        <f t="shared" si="16"/>
        <v>84.5</v>
      </c>
      <c r="W24" s="34">
        <f t="shared" si="16"/>
        <v>0</v>
      </c>
      <c r="X24" s="34">
        <f t="shared" si="16"/>
        <v>0.5</v>
      </c>
      <c r="Y24" s="34">
        <f t="shared" si="16"/>
        <v>12</v>
      </c>
      <c r="Z24" s="34">
        <f t="shared" si="16"/>
        <v>5</v>
      </c>
      <c r="AA24" s="34">
        <f t="shared" si="16"/>
        <v>4</v>
      </c>
      <c r="AB24" s="34">
        <f t="shared" si="16"/>
        <v>1.5</v>
      </c>
      <c r="AC24" s="34">
        <f t="shared" si="16"/>
        <v>369</v>
      </c>
      <c r="AD24" s="34">
        <f t="shared" si="16"/>
        <v>0</v>
      </c>
      <c r="AE24" s="31">
        <f t="shared" si="16"/>
        <v>469.5</v>
      </c>
      <c r="AF24" s="31">
        <f t="shared" si="16"/>
        <v>838.5</v>
      </c>
    </row>
    <row r="25" spans="2:32" ht="23.1" customHeight="1" x14ac:dyDescent="0.25">
      <c r="B25" s="23" t="s">
        <v>52</v>
      </c>
      <c r="C25" s="49">
        <f>AVERAGE('29.07 Kisaasi-Kyanja'!C25,'30.07 Kisaasi-Kyanja'!C25,'31.07 Kisaasi-Kyanja'!C25,'02.08 Kisaasi-Kyanja'!C25,'01.08 Kisaasi-Kyanja-24h'!C25,'03.08 Kisaasi-Kyanja-24h'!C25,'04.08 Kisaasi-Kyanja'!C25)</f>
        <v>46.428571428571431</v>
      </c>
      <c r="D25" s="49">
        <f>AVERAGE('29.07 Kisaasi-Kyanja'!D25,'30.07 Kisaasi-Kyanja'!D25,'31.07 Kisaasi-Kyanja'!D25,'02.08 Kisaasi-Kyanja'!D25,'01.08 Kisaasi-Kyanja-24h'!D25,'03.08 Kisaasi-Kyanja-24h'!D25,'04.08 Kisaasi-Kyanja'!D25)</f>
        <v>21.714285714285715</v>
      </c>
      <c r="E25" s="49">
        <f>AVERAGE('29.07 Kisaasi-Kyanja'!E25,'30.07 Kisaasi-Kyanja'!E25,'31.07 Kisaasi-Kyanja'!E25,'02.08 Kisaasi-Kyanja'!E25,'01.08 Kisaasi-Kyanja-24h'!E25,'03.08 Kisaasi-Kyanja-24h'!E25,'04.08 Kisaasi-Kyanja'!E25)</f>
        <v>6.4285714285714288</v>
      </c>
      <c r="F25" s="49">
        <f>AVERAGE('29.07 Kisaasi-Kyanja'!F25,'30.07 Kisaasi-Kyanja'!F25,'31.07 Kisaasi-Kyanja'!F25,'02.08 Kisaasi-Kyanja'!F25,'01.08 Kisaasi-Kyanja-24h'!F25,'03.08 Kisaasi-Kyanja-24h'!F25,'04.08 Kisaasi-Kyanja'!F25)</f>
        <v>14.285714285714286</v>
      </c>
      <c r="G25" s="49">
        <f>AVERAGE('29.07 Kisaasi-Kyanja'!G25,'30.07 Kisaasi-Kyanja'!G25,'31.07 Kisaasi-Kyanja'!G25,'02.08 Kisaasi-Kyanja'!G25,'01.08 Kisaasi-Kyanja-24h'!G25,'03.08 Kisaasi-Kyanja-24h'!G25,'04.08 Kisaasi-Kyanja'!G25)</f>
        <v>0</v>
      </c>
      <c r="H25" s="49">
        <f>AVERAGE('29.07 Kisaasi-Kyanja'!H25,'30.07 Kisaasi-Kyanja'!H25,'31.07 Kisaasi-Kyanja'!H25,'02.08 Kisaasi-Kyanja'!H25,'01.08 Kisaasi-Kyanja-24h'!H25,'03.08 Kisaasi-Kyanja-24h'!H25,'04.08 Kisaasi-Kyanja'!H25)</f>
        <v>0</v>
      </c>
      <c r="I25" s="49">
        <f>AVERAGE('29.07 Kisaasi-Kyanja'!I25,'30.07 Kisaasi-Kyanja'!I25,'31.07 Kisaasi-Kyanja'!I25,'02.08 Kisaasi-Kyanja'!I25,'01.08 Kisaasi-Kyanja-24h'!I25,'03.08 Kisaasi-Kyanja-24h'!I25,'04.08 Kisaasi-Kyanja'!I25)</f>
        <v>2.8571428571428572</v>
      </c>
      <c r="J25" s="49">
        <f>AVERAGE('29.07 Kisaasi-Kyanja'!J25,'30.07 Kisaasi-Kyanja'!J25,'31.07 Kisaasi-Kyanja'!J25,'02.08 Kisaasi-Kyanja'!J25,'01.08 Kisaasi-Kyanja-24h'!J25,'03.08 Kisaasi-Kyanja-24h'!J25,'04.08 Kisaasi-Kyanja'!J25)</f>
        <v>0.7142857142857143</v>
      </c>
      <c r="K25" s="49">
        <f>AVERAGE('29.07 Kisaasi-Kyanja'!K25,'30.07 Kisaasi-Kyanja'!K25,'31.07 Kisaasi-Kyanja'!K25,'02.08 Kisaasi-Kyanja'!K25,'01.08 Kisaasi-Kyanja-24h'!K25,'03.08 Kisaasi-Kyanja-24h'!K25,'04.08 Kisaasi-Kyanja'!K25)</f>
        <v>2.1428571428571428</v>
      </c>
      <c r="L25" s="49">
        <f>AVERAGE('29.07 Kisaasi-Kyanja'!L25,'30.07 Kisaasi-Kyanja'!L25,'31.07 Kisaasi-Kyanja'!L25,'02.08 Kisaasi-Kyanja'!L25,'01.08 Kisaasi-Kyanja-24h'!L25,'03.08 Kisaasi-Kyanja-24h'!L25,'04.08 Kisaasi-Kyanja'!L25)</f>
        <v>0</v>
      </c>
      <c r="M25" s="49">
        <f>AVERAGE('29.07 Kisaasi-Kyanja'!M25,'30.07 Kisaasi-Kyanja'!M25,'31.07 Kisaasi-Kyanja'!M25,'02.08 Kisaasi-Kyanja'!M25,'01.08 Kisaasi-Kyanja-24h'!M25,'03.08 Kisaasi-Kyanja-24h'!M25,'04.08 Kisaasi-Kyanja'!M25)</f>
        <v>117.28571428571429</v>
      </c>
      <c r="N25" s="49">
        <f>AVERAGE('29.07 Kisaasi-Kyanja'!N25,'30.07 Kisaasi-Kyanja'!N25,'31.07 Kisaasi-Kyanja'!N25,'02.08 Kisaasi-Kyanja'!N25,'01.08 Kisaasi-Kyanja-24h'!N25,'03.08 Kisaasi-Kyanja-24h'!N25,'04.08 Kisaasi-Kyanja'!N25)</f>
        <v>0</v>
      </c>
      <c r="O25" s="15">
        <f t="shared" si="0"/>
        <v>94.571428571428569</v>
      </c>
      <c r="P25" s="15">
        <f t="shared" si="1"/>
        <v>211.85714285714286</v>
      </c>
      <c r="R25" s="1" t="s">
        <v>149</v>
      </c>
      <c r="S25" s="34">
        <f>SUM(C70:C73)</f>
        <v>171.5</v>
      </c>
      <c r="T25" s="34">
        <f t="shared" ref="T25:AF25" si="17">SUM(D70:D73)</f>
        <v>125</v>
      </c>
      <c r="U25" s="34">
        <f t="shared" si="17"/>
        <v>16.5</v>
      </c>
      <c r="V25" s="34">
        <f t="shared" si="17"/>
        <v>58</v>
      </c>
      <c r="W25" s="34">
        <f t="shared" si="17"/>
        <v>1</v>
      </c>
      <c r="X25" s="34">
        <f t="shared" si="17"/>
        <v>0</v>
      </c>
      <c r="Y25" s="34">
        <f t="shared" si="17"/>
        <v>15</v>
      </c>
      <c r="Z25" s="34">
        <f t="shared" si="17"/>
        <v>4</v>
      </c>
      <c r="AA25" s="34">
        <f t="shared" si="17"/>
        <v>3</v>
      </c>
      <c r="AB25" s="34">
        <f t="shared" si="17"/>
        <v>0.5</v>
      </c>
      <c r="AC25" s="34">
        <f t="shared" si="17"/>
        <v>266.5</v>
      </c>
      <c r="AD25" s="34">
        <f t="shared" si="17"/>
        <v>0</v>
      </c>
      <c r="AE25" s="31">
        <f t="shared" si="17"/>
        <v>394.5</v>
      </c>
      <c r="AF25" s="31">
        <f t="shared" si="17"/>
        <v>661</v>
      </c>
    </row>
    <row r="26" spans="2:32" ht="23.1" customHeight="1" x14ac:dyDescent="0.25">
      <c r="B26" s="23" t="s">
        <v>53</v>
      </c>
      <c r="C26" s="49">
        <f>AVERAGE('29.07 Kisaasi-Kyanja'!C26,'30.07 Kisaasi-Kyanja'!C26,'31.07 Kisaasi-Kyanja'!C26,'02.08 Kisaasi-Kyanja'!C26,'01.08 Kisaasi-Kyanja-24h'!C26,'03.08 Kisaasi-Kyanja-24h'!C26,'04.08 Kisaasi-Kyanja'!C26)</f>
        <v>46.571428571428569</v>
      </c>
      <c r="D26" s="49">
        <f>AVERAGE('29.07 Kisaasi-Kyanja'!D26,'30.07 Kisaasi-Kyanja'!D26,'31.07 Kisaasi-Kyanja'!D26,'02.08 Kisaasi-Kyanja'!D26,'01.08 Kisaasi-Kyanja-24h'!D26,'03.08 Kisaasi-Kyanja-24h'!D26,'04.08 Kisaasi-Kyanja'!D26)</f>
        <v>16</v>
      </c>
      <c r="E26" s="49">
        <f>AVERAGE('29.07 Kisaasi-Kyanja'!E26,'30.07 Kisaasi-Kyanja'!E26,'31.07 Kisaasi-Kyanja'!E26,'02.08 Kisaasi-Kyanja'!E26,'01.08 Kisaasi-Kyanja-24h'!E26,'03.08 Kisaasi-Kyanja-24h'!E26,'04.08 Kisaasi-Kyanja'!E26)</f>
        <v>6.7142857142857144</v>
      </c>
      <c r="F26" s="49">
        <f>AVERAGE('29.07 Kisaasi-Kyanja'!F26,'30.07 Kisaasi-Kyanja'!F26,'31.07 Kisaasi-Kyanja'!F26,'02.08 Kisaasi-Kyanja'!F26,'01.08 Kisaasi-Kyanja-24h'!F26,'03.08 Kisaasi-Kyanja-24h'!F26,'04.08 Kisaasi-Kyanja'!F26)</f>
        <v>12.571428571428571</v>
      </c>
      <c r="G26" s="49">
        <f>AVERAGE('29.07 Kisaasi-Kyanja'!G26,'30.07 Kisaasi-Kyanja'!G26,'31.07 Kisaasi-Kyanja'!G26,'02.08 Kisaasi-Kyanja'!G26,'01.08 Kisaasi-Kyanja-24h'!G26,'03.08 Kisaasi-Kyanja-24h'!G26,'04.08 Kisaasi-Kyanja'!G26)</f>
        <v>0.14285714285714285</v>
      </c>
      <c r="H26" s="49">
        <f>AVERAGE('29.07 Kisaasi-Kyanja'!H26,'30.07 Kisaasi-Kyanja'!H26,'31.07 Kisaasi-Kyanja'!H26,'02.08 Kisaasi-Kyanja'!H26,'01.08 Kisaasi-Kyanja-24h'!H26,'03.08 Kisaasi-Kyanja-24h'!H26,'04.08 Kisaasi-Kyanja'!H26)</f>
        <v>0</v>
      </c>
      <c r="I26" s="49">
        <f>AVERAGE('29.07 Kisaasi-Kyanja'!I26,'30.07 Kisaasi-Kyanja'!I26,'31.07 Kisaasi-Kyanja'!I26,'02.08 Kisaasi-Kyanja'!I26,'01.08 Kisaasi-Kyanja-24h'!I26,'03.08 Kisaasi-Kyanja-24h'!I26,'04.08 Kisaasi-Kyanja'!I26)</f>
        <v>3.8571428571428572</v>
      </c>
      <c r="J26" s="49">
        <f>AVERAGE('29.07 Kisaasi-Kyanja'!J26,'30.07 Kisaasi-Kyanja'!J26,'31.07 Kisaasi-Kyanja'!J26,'02.08 Kisaasi-Kyanja'!J26,'01.08 Kisaasi-Kyanja-24h'!J26,'03.08 Kisaasi-Kyanja-24h'!J26,'04.08 Kisaasi-Kyanja'!J26)</f>
        <v>1.8571428571428572</v>
      </c>
      <c r="K26" s="49">
        <f>AVERAGE('29.07 Kisaasi-Kyanja'!K26,'30.07 Kisaasi-Kyanja'!K26,'31.07 Kisaasi-Kyanja'!K26,'02.08 Kisaasi-Kyanja'!K26,'01.08 Kisaasi-Kyanja-24h'!K26,'03.08 Kisaasi-Kyanja-24h'!K26,'04.08 Kisaasi-Kyanja'!K26)</f>
        <v>2.2857142857142856</v>
      </c>
      <c r="L26" s="49">
        <f>AVERAGE('29.07 Kisaasi-Kyanja'!L26,'30.07 Kisaasi-Kyanja'!L26,'31.07 Kisaasi-Kyanja'!L26,'02.08 Kisaasi-Kyanja'!L26,'01.08 Kisaasi-Kyanja-24h'!L26,'03.08 Kisaasi-Kyanja-24h'!L26,'04.08 Kisaasi-Kyanja'!L26)</f>
        <v>0</v>
      </c>
      <c r="M26" s="49">
        <f>AVERAGE('29.07 Kisaasi-Kyanja'!M26,'30.07 Kisaasi-Kyanja'!M26,'31.07 Kisaasi-Kyanja'!M26,'02.08 Kisaasi-Kyanja'!M26,'01.08 Kisaasi-Kyanja-24h'!M26,'03.08 Kisaasi-Kyanja-24h'!M26,'04.08 Kisaasi-Kyanja'!M26)</f>
        <v>129</v>
      </c>
      <c r="N26" s="49">
        <f>AVERAGE('29.07 Kisaasi-Kyanja'!N26,'30.07 Kisaasi-Kyanja'!N26,'31.07 Kisaasi-Kyanja'!N26,'02.08 Kisaasi-Kyanja'!N26,'01.08 Kisaasi-Kyanja-24h'!N26,'03.08 Kisaasi-Kyanja-24h'!N26,'04.08 Kisaasi-Kyanja'!N26)</f>
        <v>0</v>
      </c>
      <c r="O26" s="15">
        <f t="shared" si="0"/>
        <v>90</v>
      </c>
      <c r="P26" s="15">
        <f t="shared" si="1"/>
        <v>219</v>
      </c>
      <c r="R26" s="1" t="s">
        <v>150</v>
      </c>
      <c r="S26" s="34">
        <f>SUM(C74:C77)</f>
        <v>144.5</v>
      </c>
      <c r="T26" s="34">
        <f t="shared" ref="T26:AF26" si="18">SUM(D74:D77)</f>
        <v>69.5</v>
      </c>
      <c r="U26" s="34">
        <f t="shared" si="18"/>
        <v>18</v>
      </c>
      <c r="V26" s="34">
        <f t="shared" si="18"/>
        <v>34</v>
      </c>
      <c r="W26" s="34">
        <f t="shared" si="18"/>
        <v>0</v>
      </c>
      <c r="X26" s="34">
        <f t="shared" si="18"/>
        <v>0</v>
      </c>
      <c r="Y26" s="34">
        <f t="shared" si="18"/>
        <v>5</v>
      </c>
      <c r="Z26" s="34">
        <f t="shared" si="18"/>
        <v>2.5</v>
      </c>
      <c r="AA26" s="34">
        <f t="shared" si="18"/>
        <v>0.5</v>
      </c>
      <c r="AB26" s="34">
        <f t="shared" si="18"/>
        <v>0.5</v>
      </c>
      <c r="AC26" s="34">
        <f t="shared" si="18"/>
        <v>168</v>
      </c>
      <c r="AD26" s="34">
        <f t="shared" si="18"/>
        <v>0</v>
      </c>
      <c r="AE26" s="31">
        <f t="shared" si="18"/>
        <v>274.5</v>
      </c>
      <c r="AF26" s="31">
        <f t="shared" si="18"/>
        <v>442.5</v>
      </c>
    </row>
    <row r="27" spans="2:32" ht="23.1" customHeight="1" x14ac:dyDescent="0.25">
      <c r="B27" s="23" t="s">
        <v>54</v>
      </c>
      <c r="C27" s="49">
        <f>AVERAGE('29.07 Kisaasi-Kyanja'!C27,'30.07 Kisaasi-Kyanja'!C27,'31.07 Kisaasi-Kyanja'!C27,'02.08 Kisaasi-Kyanja'!C27,'01.08 Kisaasi-Kyanja-24h'!C27,'03.08 Kisaasi-Kyanja-24h'!C27,'04.08 Kisaasi-Kyanja'!C27)</f>
        <v>38.142857142857146</v>
      </c>
      <c r="D27" s="49">
        <f>AVERAGE('29.07 Kisaasi-Kyanja'!D27,'30.07 Kisaasi-Kyanja'!D27,'31.07 Kisaasi-Kyanja'!D27,'02.08 Kisaasi-Kyanja'!D27,'01.08 Kisaasi-Kyanja-24h'!D27,'03.08 Kisaasi-Kyanja-24h'!D27,'04.08 Kisaasi-Kyanja'!D27)</f>
        <v>16.714285714285715</v>
      </c>
      <c r="E27" s="49">
        <f>AVERAGE('29.07 Kisaasi-Kyanja'!E27,'30.07 Kisaasi-Kyanja'!E27,'31.07 Kisaasi-Kyanja'!E27,'02.08 Kisaasi-Kyanja'!E27,'01.08 Kisaasi-Kyanja-24h'!E27,'03.08 Kisaasi-Kyanja-24h'!E27,'04.08 Kisaasi-Kyanja'!E27)</f>
        <v>5.1428571428571432</v>
      </c>
      <c r="F27" s="49">
        <f>AVERAGE('29.07 Kisaasi-Kyanja'!F27,'30.07 Kisaasi-Kyanja'!F27,'31.07 Kisaasi-Kyanja'!F27,'02.08 Kisaasi-Kyanja'!F27,'01.08 Kisaasi-Kyanja-24h'!F27,'03.08 Kisaasi-Kyanja-24h'!F27,'04.08 Kisaasi-Kyanja'!F27)</f>
        <v>13.857142857142858</v>
      </c>
      <c r="G27" s="49">
        <f>AVERAGE('29.07 Kisaasi-Kyanja'!G27,'30.07 Kisaasi-Kyanja'!G27,'31.07 Kisaasi-Kyanja'!G27,'02.08 Kisaasi-Kyanja'!G27,'01.08 Kisaasi-Kyanja-24h'!G27,'03.08 Kisaasi-Kyanja-24h'!G27,'04.08 Kisaasi-Kyanja'!G27)</f>
        <v>0.14285714285714285</v>
      </c>
      <c r="H27" s="49">
        <f>AVERAGE('29.07 Kisaasi-Kyanja'!H27,'30.07 Kisaasi-Kyanja'!H27,'31.07 Kisaasi-Kyanja'!H27,'02.08 Kisaasi-Kyanja'!H27,'01.08 Kisaasi-Kyanja-24h'!H27,'03.08 Kisaasi-Kyanja-24h'!H27,'04.08 Kisaasi-Kyanja'!H27)</f>
        <v>0</v>
      </c>
      <c r="I27" s="49">
        <f>AVERAGE('29.07 Kisaasi-Kyanja'!I27,'30.07 Kisaasi-Kyanja'!I27,'31.07 Kisaasi-Kyanja'!I27,'02.08 Kisaasi-Kyanja'!I27,'01.08 Kisaasi-Kyanja-24h'!I27,'03.08 Kisaasi-Kyanja-24h'!I27,'04.08 Kisaasi-Kyanja'!I27)</f>
        <v>4.2857142857142856</v>
      </c>
      <c r="J27" s="49">
        <f>AVERAGE('29.07 Kisaasi-Kyanja'!J27,'30.07 Kisaasi-Kyanja'!J27,'31.07 Kisaasi-Kyanja'!J27,'02.08 Kisaasi-Kyanja'!J27,'01.08 Kisaasi-Kyanja-24h'!J27,'03.08 Kisaasi-Kyanja-24h'!J27,'04.08 Kisaasi-Kyanja'!J27)</f>
        <v>1.1428571428571428</v>
      </c>
      <c r="K27" s="49">
        <f>AVERAGE('29.07 Kisaasi-Kyanja'!K27,'30.07 Kisaasi-Kyanja'!K27,'31.07 Kisaasi-Kyanja'!K27,'02.08 Kisaasi-Kyanja'!K27,'01.08 Kisaasi-Kyanja-24h'!K27,'03.08 Kisaasi-Kyanja-24h'!K27,'04.08 Kisaasi-Kyanja'!K27)</f>
        <v>2.5714285714285716</v>
      </c>
      <c r="L27" s="49">
        <f>AVERAGE('29.07 Kisaasi-Kyanja'!L27,'30.07 Kisaasi-Kyanja'!L27,'31.07 Kisaasi-Kyanja'!L27,'02.08 Kisaasi-Kyanja'!L27,'01.08 Kisaasi-Kyanja-24h'!L27,'03.08 Kisaasi-Kyanja-24h'!L27,'04.08 Kisaasi-Kyanja'!L27)</f>
        <v>0</v>
      </c>
      <c r="M27" s="49">
        <f>AVERAGE('29.07 Kisaasi-Kyanja'!M27,'30.07 Kisaasi-Kyanja'!M27,'31.07 Kisaasi-Kyanja'!M27,'02.08 Kisaasi-Kyanja'!M27,'01.08 Kisaasi-Kyanja-24h'!M27,'03.08 Kisaasi-Kyanja-24h'!M27,'04.08 Kisaasi-Kyanja'!M27)</f>
        <v>113.14285714285714</v>
      </c>
      <c r="N27" s="49">
        <f>AVERAGE('29.07 Kisaasi-Kyanja'!N27,'30.07 Kisaasi-Kyanja'!N27,'31.07 Kisaasi-Kyanja'!N27,'02.08 Kisaasi-Kyanja'!N27,'01.08 Kisaasi-Kyanja-24h'!N27,'03.08 Kisaasi-Kyanja-24h'!N27,'04.08 Kisaasi-Kyanja'!N27)</f>
        <v>0</v>
      </c>
      <c r="O27" s="15">
        <f t="shared" si="0"/>
        <v>82</v>
      </c>
      <c r="P27" s="15">
        <f t="shared" si="1"/>
        <v>195.14285714285714</v>
      </c>
      <c r="R27" s="1" t="s">
        <v>151</v>
      </c>
      <c r="S27" s="34">
        <f>SUM(C78:C81)</f>
        <v>128.5</v>
      </c>
      <c r="T27" s="34">
        <f t="shared" ref="T27:AF27" si="19">SUM(D78:D81)</f>
        <v>37.5</v>
      </c>
      <c r="U27" s="34">
        <f t="shared" si="19"/>
        <v>6.5</v>
      </c>
      <c r="V27" s="34">
        <f t="shared" si="19"/>
        <v>19.5</v>
      </c>
      <c r="W27" s="34">
        <f t="shared" si="19"/>
        <v>0</v>
      </c>
      <c r="X27" s="34">
        <f t="shared" si="19"/>
        <v>0</v>
      </c>
      <c r="Y27" s="34">
        <f t="shared" si="19"/>
        <v>4.5</v>
      </c>
      <c r="Z27" s="34">
        <f t="shared" si="19"/>
        <v>1.5</v>
      </c>
      <c r="AA27" s="34">
        <f t="shared" si="19"/>
        <v>1</v>
      </c>
      <c r="AB27" s="34">
        <f t="shared" si="19"/>
        <v>0.5</v>
      </c>
      <c r="AC27" s="34">
        <f t="shared" si="19"/>
        <v>134.5</v>
      </c>
      <c r="AD27" s="34">
        <f t="shared" si="19"/>
        <v>0</v>
      </c>
      <c r="AE27" s="31">
        <f t="shared" si="19"/>
        <v>199.5</v>
      </c>
      <c r="AF27" s="31">
        <f t="shared" si="19"/>
        <v>334</v>
      </c>
    </row>
    <row r="28" spans="2:32" ht="23.1" customHeight="1" x14ac:dyDescent="0.25">
      <c r="B28" s="23" t="s">
        <v>55</v>
      </c>
      <c r="C28" s="49">
        <f>AVERAGE('29.07 Kisaasi-Kyanja'!C28,'30.07 Kisaasi-Kyanja'!C28,'31.07 Kisaasi-Kyanja'!C28,'02.08 Kisaasi-Kyanja'!C28,'01.08 Kisaasi-Kyanja-24h'!C28,'03.08 Kisaasi-Kyanja-24h'!C28,'04.08 Kisaasi-Kyanja'!C28)</f>
        <v>46.571428571428569</v>
      </c>
      <c r="D28" s="49">
        <f>AVERAGE('29.07 Kisaasi-Kyanja'!D28,'30.07 Kisaasi-Kyanja'!D28,'31.07 Kisaasi-Kyanja'!D28,'02.08 Kisaasi-Kyanja'!D28,'01.08 Kisaasi-Kyanja-24h'!D28,'03.08 Kisaasi-Kyanja-24h'!D28,'04.08 Kisaasi-Kyanja'!D28)</f>
        <v>20</v>
      </c>
      <c r="E28" s="49">
        <f>AVERAGE('29.07 Kisaasi-Kyanja'!E28,'30.07 Kisaasi-Kyanja'!E28,'31.07 Kisaasi-Kyanja'!E28,'02.08 Kisaasi-Kyanja'!E28,'01.08 Kisaasi-Kyanja-24h'!E28,'03.08 Kisaasi-Kyanja-24h'!E28,'04.08 Kisaasi-Kyanja'!E28)</f>
        <v>6.7142857142857144</v>
      </c>
      <c r="F28" s="49">
        <f>AVERAGE('29.07 Kisaasi-Kyanja'!F28,'30.07 Kisaasi-Kyanja'!F28,'31.07 Kisaasi-Kyanja'!F28,'02.08 Kisaasi-Kyanja'!F28,'01.08 Kisaasi-Kyanja-24h'!F28,'03.08 Kisaasi-Kyanja-24h'!F28,'04.08 Kisaasi-Kyanja'!F28)</f>
        <v>15.857142857142858</v>
      </c>
      <c r="G28" s="49">
        <f>AVERAGE('29.07 Kisaasi-Kyanja'!G28,'30.07 Kisaasi-Kyanja'!G28,'31.07 Kisaasi-Kyanja'!G28,'02.08 Kisaasi-Kyanja'!G28,'01.08 Kisaasi-Kyanja-24h'!G28,'03.08 Kisaasi-Kyanja-24h'!G28,'04.08 Kisaasi-Kyanja'!G28)</f>
        <v>0</v>
      </c>
      <c r="H28" s="49">
        <f>AVERAGE('29.07 Kisaasi-Kyanja'!H28,'30.07 Kisaasi-Kyanja'!H28,'31.07 Kisaasi-Kyanja'!H28,'02.08 Kisaasi-Kyanja'!H28,'01.08 Kisaasi-Kyanja-24h'!H28,'03.08 Kisaasi-Kyanja-24h'!H28,'04.08 Kisaasi-Kyanja'!H28)</f>
        <v>0</v>
      </c>
      <c r="I28" s="49">
        <f>AVERAGE('29.07 Kisaasi-Kyanja'!I28,'30.07 Kisaasi-Kyanja'!I28,'31.07 Kisaasi-Kyanja'!I28,'02.08 Kisaasi-Kyanja'!I28,'01.08 Kisaasi-Kyanja-24h'!I28,'03.08 Kisaasi-Kyanja-24h'!I28,'04.08 Kisaasi-Kyanja'!I28)</f>
        <v>4.4285714285714288</v>
      </c>
      <c r="J28" s="49">
        <f>AVERAGE('29.07 Kisaasi-Kyanja'!J28,'30.07 Kisaasi-Kyanja'!J28,'31.07 Kisaasi-Kyanja'!J28,'02.08 Kisaasi-Kyanja'!J28,'01.08 Kisaasi-Kyanja-24h'!J28,'03.08 Kisaasi-Kyanja-24h'!J28,'04.08 Kisaasi-Kyanja'!J28)</f>
        <v>1.8571428571428572</v>
      </c>
      <c r="K28" s="49">
        <f>AVERAGE('29.07 Kisaasi-Kyanja'!K28,'30.07 Kisaasi-Kyanja'!K28,'31.07 Kisaasi-Kyanja'!K28,'02.08 Kisaasi-Kyanja'!K28,'01.08 Kisaasi-Kyanja-24h'!K28,'03.08 Kisaasi-Kyanja-24h'!K28,'04.08 Kisaasi-Kyanja'!K28)</f>
        <v>2</v>
      </c>
      <c r="L28" s="49">
        <f>AVERAGE('29.07 Kisaasi-Kyanja'!L28,'30.07 Kisaasi-Kyanja'!L28,'31.07 Kisaasi-Kyanja'!L28,'02.08 Kisaasi-Kyanja'!L28,'01.08 Kisaasi-Kyanja-24h'!L28,'03.08 Kisaasi-Kyanja-24h'!L28,'04.08 Kisaasi-Kyanja'!L28)</f>
        <v>0</v>
      </c>
      <c r="M28" s="49">
        <f>AVERAGE('29.07 Kisaasi-Kyanja'!M28,'30.07 Kisaasi-Kyanja'!M28,'31.07 Kisaasi-Kyanja'!M28,'02.08 Kisaasi-Kyanja'!M28,'01.08 Kisaasi-Kyanja-24h'!M28,'03.08 Kisaasi-Kyanja-24h'!M28,'04.08 Kisaasi-Kyanja'!M28)</f>
        <v>121.42857142857143</v>
      </c>
      <c r="N28" s="49">
        <f>AVERAGE('29.07 Kisaasi-Kyanja'!N28,'30.07 Kisaasi-Kyanja'!N28,'31.07 Kisaasi-Kyanja'!N28,'02.08 Kisaasi-Kyanja'!N28,'01.08 Kisaasi-Kyanja-24h'!N28,'03.08 Kisaasi-Kyanja-24h'!N28,'04.08 Kisaasi-Kyanja'!N28)</f>
        <v>0</v>
      </c>
      <c r="O28" s="15">
        <f t="shared" si="0"/>
        <v>97.428571428571431</v>
      </c>
      <c r="P28" s="15">
        <f t="shared" si="1"/>
        <v>218.85714285714286</v>
      </c>
      <c r="R28" s="1" t="s">
        <v>152</v>
      </c>
      <c r="S28" s="34">
        <f>SUM(C82:C85)</f>
        <v>73.5</v>
      </c>
      <c r="T28" s="34">
        <f t="shared" ref="T28:AF28" si="20">SUM(D82:D85)</f>
        <v>16.5</v>
      </c>
      <c r="U28" s="34">
        <f t="shared" si="20"/>
        <v>1.5</v>
      </c>
      <c r="V28" s="34">
        <f t="shared" si="20"/>
        <v>4.5</v>
      </c>
      <c r="W28" s="34">
        <f t="shared" si="20"/>
        <v>0</v>
      </c>
      <c r="X28" s="34">
        <f t="shared" si="20"/>
        <v>0</v>
      </c>
      <c r="Y28" s="34">
        <f t="shared" si="20"/>
        <v>1.5</v>
      </c>
      <c r="Z28" s="34">
        <f t="shared" si="20"/>
        <v>0.5</v>
      </c>
      <c r="AA28" s="34">
        <f t="shared" si="20"/>
        <v>0</v>
      </c>
      <c r="AB28" s="34">
        <f t="shared" si="20"/>
        <v>0.5</v>
      </c>
      <c r="AC28" s="34">
        <f t="shared" si="20"/>
        <v>79</v>
      </c>
      <c r="AD28" s="34">
        <f t="shared" si="20"/>
        <v>0</v>
      </c>
      <c r="AE28" s="31">
        <f t="shared" si="20"/>
        <v>98.5</v>
      </c>
      <c r="AF28" s="31">
        <f t="shared" si="20"/>
        <v>177.5</v>
      </c>
    </row>
    <row r="29" spans="2:32" ht="23.1" customHeight="1" x14ac:dyDescent="0.25">
      <c r="B29" s="23" t="s">
        <v>56</v>
      </c>
      <c r="C29" s="49">
        <f>AVERAGE('29.07 Kisaasi-Kyanja'!C29,'30.07 Kisaasi-Kyanja'!C29,'31.07 Kisaasi-Kyanja'!C29,'02.08 Kisaasi-Kyanja'!C29,'01.08 Kisaasi-Kyanja-24h'!C29,'03.08 Kisaasi-Kyanja-24h'!C29,'04.08 Kisaasi-Kyanja'!C29)</f>
        <v>48.142857142857146</v>
      </c>
      <c r="D29" s="49">
        <f>AVERAGE('29.07 Kisaasi-Kyanja'!D29,'30.07 Kisaasi-Kyanja'!D29,'31.07 Kisaasi-Kyanja'!D29,'02.08 Kisaasi-Kyanja'!D29,'01.08 Kisaasi-Kyanja-24h'!D29,'03.08 Kisaasi-Kyanja-24h'!D29,'04.08 Kisaasi-Kyanja'!D29)</f>
        <v>16</v>
      </c>
      <c r="E29" s="49">
        <f>AVERAGE('29.07 Kisaasi-Kyanja'!E29,'30.07 Kisaasi-Kyanja'!E29,'31.07 Kisaasi-Kyanja'!E29,'02.08 Kisaasi-Kyanja'!E29,'01.08 Kisaasi-Kyanja-24h'!E29,'03.08 Kisaasi-Kyanja-24h'!E29,'04.08 Kisaasi-Kyanja'!E29)</f>
        <v>4.8571428571428568</v>
      </c>
      <c r="F29" s="49">
        <f>AVERAGE('29.07 Kisaasi-Kyanja'!F29,'30.07 Kisaasi-Kyanja'!F29,'31.07 Kisaasi-Kyanja'!F29,'02.08 Kisaasi-Kyanja'!F29,'01.08 Kisaasi-Kyanja-24h'!F29,'03.08 Kisaasi-Kyanja-24h'!F29,'04.08 Kisaasi-Kyanja'!F29)</f>
        <v>13.285714285714286</v>
      </c>
      <c r="G29" s="49">
        <f>AVERAGE('29.07 Kisaasi-Kyanja'!G29,'30.07 Kisaasi-Kyanja'!G29,'31.07 Kisaasi-Kyanja'!G29,'02.08 Kisaasi-Kyanja'!G29,'01.08 Kisaasi-Kyanja-24h'!G29,'03.08 Kisaasi-Kyanja-24h'!G29,'04.08 Kisaasi-Kyanja'!G29)</f>
        <v>0</v>
      </c>
      <c r="H29" s="49">
        <f>AVERAGE('29.07 Kisaasi-Kyanja'!H29,'30.07 Kisaasi-Kyanja'!H29,'31.07 Kisaasi-Kyanja'!H29,'02.08 Kisaasi-Kyanja'!H29,'01.08 Kisaasi-Kyanja-24h'!H29,'03.08 Kisaasi-Kyanja-24h'!H29,'04.08 Kisaasi-Kyanja'!H29)</f>
        <v>0</v>
      </c>
      <c r="I29" s="49">
        <f>AVERAGE('29.07 Kisaasi-Kyanja'!I29,'30.07 Kisaasi-Kyanja'!I29,'31.07 Kisaasi-Kyanja'!I29,'02.08 Kisaasi-Kyanja'!I29,'01.08 Kisaasi-Kyanja-24h'!I29,'03.08 Kisaasi-Kyanja-24h'!I29,'04.08 Kisaasi-Kyanja'!I29)</f>
        <v>3.2857142857142856</v>
      </c>
      <c r="J29" s="49">
        <f>AVERAGE('29.07 Kisaasi-Kyanja'!J29,'30.07 Kisaasi-Kyanja'!J29,'31.07 Kisaasi-Kyanja'!J29,'02.08 Kisaasi-Kyanja'!J29,'01.08 Kisaasi-Kyanja-24h'!J29,'03.08 Kisaasi-Kyanja-24h'!J29,'04.08 Kisaasi-Kyanja'!J29)</f>
        <v>0.8571428571428571</v>
      </c>
      <c r="K29" s="49">
        <f>AVERAGE('29.07 Kisaasi-Kyanja'!K29,'30.07 Kisaasi-Kyanja'!K29,'31.07 Kisaasi-Kyanja'!K29,'02.08 Kisaasi-Kyanja'!K29,'01.08 Kisaasi-Kyanja-24h'!K29,'03.08 Kisaasi-Kyanja-24h'!K29,'04.08 Kisaasi-Kyanja'!K29)</f>
        <v>1.2857142857142858</v>
      </c>
      <c r="L29" s="49">
        <f>AVERAGE('29.07 Kisaasi-Kyanja'!L29,'30.07 Kisaasi-Kyanja'!L29,'31.07 Kisaasi-Kyanja'!L29,'02.08 Kisaasi-Kyanja'!L29,'01.08 Kisaasi-Kyanja-24h'!L29,'03.08 Kisaasi-Kyanja-24h'!L29,'04.08 Kisaasi-Kyanja'!L29)</f>
        <v>1</v>
      </c>
      <c r="M29" s="49">
        <f>AVERAGE('29.07 Kisaasi-Kyanja'!M29,'30.07 Kisaasi-Kyanja'!M29,'31.07 Kisaasi-Kyanja'!M29,'02.08 Kisaasi-Kyanja'!M29,'01.08 Kisaasi-Kyanja-24h'!M29,'03.08 Kisaasi-Kyanja-24h'!M29,'04.08 Kisaasi-Kyanja'!M29)</f>
        <v>109.57142857142857</v>
      </c>
      <c r="N29" s="49">
        <f>AVERAGE('29.07 Kisaasi-Kyanja'!N29,'30.07 Kisaasi-Kyanja'!N29,'31.07 Kisaasi-Kyanja'!N29,'02.08 Kisaasi-Kyanja'!N29,'01.08 Kisaasi-Kyanja-24h'!N29,'03.08 Kisaasi-Kyanja-24h'!N29,'04.08 Kisaasi-Kyanja'!N29)</f>
        <v>0</v>
      </c>
      <c r="O29" s="15">
        <f t="shared" si="0"/>
        <v>88.714285714285737</v>
      </c>
      <c r="P29" s="15">
        <f t="shared" si="1"/>
        <v>198.28571428571431</v>
      </c>
      <c r="R29" s="1" t="s">
        <v>153</v>
      </c>
      <c r="S29" s="34">
        <f>SUM(C86:C89)</f>
        <v>47</v>
      </c>
      <c r="T29" s="34">
        <f t="shared" ref="T29:AF29" si="21">SUM(D86:D89)</f>
        <v>11.5</v>
      </c>
      <c r="U29" s="34">
        <f t="shared" si="21"/>
        <v>4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2.5</v>
      </c>
      <c r="AA29" s="34">
        <f t="shared" si="21"/>
        <v>2</v>
      </c>
      <c r="AB29" s="34">
        <f t="shared" si="21"/>
        <v>0</v>
      </c>
      <c r="AC29" s="34">
        <f t="shared" si="21"/>
        <v>61.5</v>
      </c>
      <c r="AD29" s="34">
        <f t="shared" si="21"/>
        <v>0</v>
      </c>
      <c r="AE29" s="31">
        <f t="shared" si="21"/>
        <v>70</v>
      </c>
      <c r="AF29" s="31">
        <f t="shared" si="21"/>
        <v>131.5</v>
      </c>
    </row>
    <row r="30" spans="2:32" ht="23.1" customHeight="1" x14ac:dyDescent="0.25">
      <c r="B30" s="23" t="s">
        <v>57</v>
      </c>
      <c r="C30" s="49">
        <f>AVERAGE('29.07 Kisaasi-Kyanja'!C30,'30.07 Kisaasi-Kyanja'!C30,'31.07 Kisaasi-Kyanja'!C30,'02.08 Kisaasi-Kyanja'!C30,'01.08 Kisaasi-Kyanja-24h'!C30,'03.08 Kisaasi-Kyanja-24h'!C30,'04.08 Kisaasi-Kyanja'!C30)</f>
        <v>44</v>
      </c>
      <c r="D30" s="49">
        <f>AVERAGE('29.07 Kisaasi-Kyanja'!D30,'30.07 Kisaasi-Kyanja'!D30,'31.07 Kisaasi-Kyanja'!D30,'02.08 Kisaasi-Kyanja'!D30,'01.08 Kisaasi-Kyanja-24h'!D30,'03.08 Kisaasi-Kyanja-24h'!D30,'04.08 Kisaasi-Kyanja'!D30)</f>
        <v>18.285714285714285</v>
      </c>
      <c r="E30" s="49">
        <f>AVERAGE('29.07 Kisaasi-Kyanja'!E30,'30.07 Kisaasi-Kyanja'!E30,'31.07 Kisaasi-Kyanja'!E30,'02.08 Kisaasi-Kyanja'!E30,'01.08 Kisaasi-Kyanja-24h'!E30,'03.08 Kisaasi-Kyanja-24h'!E30,'04.08 Kisaasi-Kyanja'!E30)</f>
        <v>6</v>
      </c>
      <c r="F30" s="49">
        <f>AVERAGE('29.07 Kisaasi-Kyanja'!F30,'30.07 Kisaasi-Kyanja'!F30,'31.07 Kisaasi-Kyanja'!F30,'02.08 Kisaasi-Kyanja'!F30,'01.08 Kisaasi-Kyanja-24h'!F30,'03.08 Kisaasi-Kyanja-24h'!F30,'04.08 Kisaasi-Kyanja'!F30)</f>
        <v>13.857142857142858</v>
      </c>
      <c r="G30" s="49">
        <f>AVERAGE('29.07 Kisaasi-Kyanja'!G30,'30.07 Kisaasi-Kyanja'!G30,'31.07 Kisaasi-Kyanja'!G30,'02.08 Kisaasi-Kyanja'!G30,'01.08 Kisaasi-Kyanja-24h'!G30,'03.08 Kisaasi-Kyanja-24h'!G30,'04.08 Kisaasi-Kyanja'!G30)</f>
        <v>0</v>
      </c>
      <c r="H30" s="49">
        <f>AVERAGE('29.07 Kisaasi-Kyanja'!H30,'30.07 Kisaasi-Kyanja'!H30,'31.07 Kisaasi-Kyanja'!H30,'02.08 Kisaasi-Kyanja'!H30,'01.08 Kisaasi-Kyanja-24h'!H30,'03.08 Kisaasi-Kyanja-24h'!H30,'04.08 Kisaasi-Kyanja'!H30)</f>
        <v>0</v>
      </c>
      <c r="I30" s="49">
        <f>AVERAGE('29.07 Kisaasi-Kyanja'!I30,'30.07 Kisaasi-Kyanja'!I30,'31.07 Kisaasi-Kyanja'!I30,'02.08 Kisaasi-Kyanja'!I30,'01.08 Kisaasi-Kyanja-24h'!I30,'03.08 Kisaasi-Kyanja-24h'!I30,'04.08 Kisaasi-Kyanja'!I30)</f>
        <v>4.1428571428571432</v>
      </c>
      <c r="J30" s="49">
        <f>AVERAGE('29.07 Kisaasi-Kyanja'!J30,'30.07 Kisaasi-Kyanja'!J30,'31.07 Kisaasi-Kyanja'!J30,'02.08 Kisaasi-Kyanja'!J30,'01.08 Kisaasi-Kyanja-24h'!J30,'03.08 Kisaasi-Kyanja-24h'!J30,'04.08 Kisaasi-Kyanja'!J30)</f>
        <v>1.1428571428571428</v>
      </c>
      <c r="K30" s="49">
        <f>AVERAGE('29.07 Kisaasi-Kyanja'!K30,'30.07 Kisaasi-Kyanja'!K30,'31.07 Kisaasi-Kyanja'!K30,'02.08 Kisaasi-Kyanja'!K30,'01.08 Kisaasi-Kyanja-24h'!K30,'03.08 Kisaasi-Kyanja-24h'!K30,'04.08 Kisaasi-Kyanja'!K30)</f>
        <v>1.4285714285714286</v>
      </c>
      <c r="L30" s="49">
        <f>AVERAGE('29.07 Kisaasi-Kyanja'!L30,'30.07 Kisaasi-Kyanja'!L30,'31.07 Kisaasi-Kyanja'!L30,'02.08 Kisaasi-Kyanja'!L30,'01.08 Kisaasi-Kyanja-24h'!L30,'03.08 Kisaasi-Kyanja-24h'!L30,'04.08 Kisaasi-Kyanja'!L30)</f>
        <v>0.7142857142857143</v>
      </c>
      <c r="M30" s="49">
        <f>AVERAGE('29.07 Kisaasi-Kyanja'!M30,'30.07 Kisaasi-Kyanja'!M30,'31.07 Kisaasi-Kyanja'!M30,'02.08 Kisaasi-Kyanja'!M30,'01.08 Kisaasi-Kyanja-24h'!M30,'03.08 Kisaasi-Kyanja-24h'!M30,'04.08 Kisaasi-Kyanja'!M30)</f>
        <v>101.28571428571429</v>
      </c>
      <c r="N30" s="49">
        <f>AVERAGE('29.07 Kisaasi-Kyanja'!N30,'30.07 Kisaasi-Kyanja'!N30,'31.07 Kisaasi-Kyanja'!N30,'02.08 Kisaasi-Kyanja'!N30,'01.08 Kisaasi-Kyanja-24h'!N30,'03.08 Kisaasi-Kyanja-24h'!N30,'04.08 Kisaasi-Kyanja'!N30)</f>
        <v>0.14285714285714285</v>
      </c>
      <c r="O30" s="15">
        <f t="shared" si="0"/>
        <v>89.714285714285694</v>
      </c>
      <c r="P30" s="15">
        <f t="shared" si="1"/>
        <v>190.99999999999997</v>
      </c>
      <c r="R30" s="1" t="s">
        <v>154</v>
      </c>
      <c r="S30" s="34">
        <f>SUM(C90:C93)</f>
        <v>29.5</v>
      </c>
      <c r="T30" s="34">
        <f t="shared" ref="T30:AF30" si="22">SUM(D90:D93)</f>
        <v>1.5</v>
      </c>
      <c r="U30" s="34">
        <f t="shared" si="22"/>
        <v>3</v>
      </c>
      <c r="V30" s="34">
        <f t="shared" si="22"/>
        <v>0.5</v>
      </c>
      <c r="W30" s="34">
        <f t="shared" si="22"/>
        <v>0.5</v>
      </c>
      <c r="X30" s="34">
        <f t="shared" si="22"/>
        <v>0</v>
      </c>
      <c r="Y30" s="34">
        <f t="shared" si="22"/>
        <v>2.5</v>
      </c>
      <c r="Z30" s="34">
        <f t="shared" si="22"/>
        <v>0.5</v>
      </c>
      <c r="AA30" s="34">
        <f t="shared" si="22"/>
        <v>1</v>
      </c>
      <c r="AB30" s="34">
        <f t="shared" si="22"/>
        <v>1</v>
      </c>
      <c r="AC30" s="34">
        <f t="shared" si="22"/>
        <v>35.5</v>
      </c>
      <c r="AD30" s="34">
        <f t="shared" si="22"/>
        <v>0</v>
      </c>
      <c r="AE30" s="31">
        <f t="shared" si="22"/>
        <v>40</v>
      </c>
      <c r="AF30" s="31">
        <f t="shared" si="22"/>
        <v>75.5</v>
      </c>
    </row>
    <row r="31" spans="2:32" ht="23.1" customHeight="1" x14ac:dyDescent="0.25">
      <c r="B31" s="24" t="s">
        <v>58</v>
      </c>
      <c r="C31" s="49">
        <f>AVERAGE('29.07 Kisaasi-Kyanja'!C31,'30.07 Kisaasi-Kyanja'!C31,'31.07 Kisaasi-Kyanja'!C31,'02.08 Kisaasi-Kyanja'!C31,'01.08 Kisaasi-Kyanja-24h'!C31,'03.08 Kisaasi-Kyanja-24h'!C31,'04.08 Kisaasi-Kyanja'!C31)</f>
        <v>48.714285714285715</v>
      </c>
      <c r="D31" s="49">
        <f>AVERAGE('29.07 Kisaasi-Kyanja'!D31,'30.07 Kisaasi-Kyanja'!D31,'31.07 Kisaasi-Kyanja'!D31,'02.08 Kisaasi-Kyanja'!D31,'01.08 Kisaasi-Kyanja-24h'!D31,'03.08 Kisaasi-Kyanja-24h'!D31,'04.08 Kisaasi-Kyanja'!D31)</f>
        <v>24.714285714285715</v>
      </c>
      <c r="E31" s="49">
        <f>AVERAGE('29.07 Kisaasi-Kyanja'!E31,'30.07 Kisaasi-Kyanja'!E31,'31.07 Kisaasi-Kyanja'!E31,'02.08 Kisaasi-Kyanja'!E31,'01.08 Kisaasi-Kyanja-24h'!E31,'03.08 Kisaasi-Kyanja-24h'!E31,'04.08 Kisaasi-Kyanja'!E31)</f>
        <v>6.5714285714285712</v>
      </c>
      <c r="F31" s="49">
        <f>AVERAGE('29.07 Kisaasi-Kyanja'!F31,'30.07 Kisaasi-Kyanja'!F31,'31.07 Kisaasi-Kyanja'!F31,'02.08 Kisaasi-Kyanja'!F31,'01.08 Kisaasi-Kyanja-24h'!F31,'03.08 Kisaasi-Kyanja-24h'!F31,'04.08 Kisaasi-Kyanja'!F31)</f>
        <v>13.714285714285714</v>
      </c>
      <c r="G31" s="49">
        <f>AVERAGE('29.07 Kisaasi-Kyanja'!G31,'30.07 Kisaasi-Kyanja'!G31,'31.07 Kisaasi-Kyanja'!G31,'02.08 Kisaasi-Kyanja'!G31,'01.08 Kisaasi-Kyanja-24h'!G31,'03.08 Kisaasi-Kyanja-24h'!G31,'04.08 Kisaasi-Kyanja'!G31)</f>
        <v>0</v>
      </c>
      <c r="H31" s="49">
        <f>AVERAGE('29.07 Kisaasi-Kyanja'!H31,'30.07 Kisaasi-Kyanja'!H31,'31.07 Kisaasi-Kyanja'!H31,'02.08 Kisaasi-Kyanja'!H31,'01.08 Kisaasi-Kyanja-24h'!H31,'03.08 Kisaasi-Kyanja-24h'!H31,'04.08 Kisaasi-Kyanja'!H31)</f>
        <v>0</v>
      </c>
      <c r="I31" s="49">
        <f>AVERAGE('29.07 Kisaasi-Kyanja'!I31,'30.07 Kisaasi-Kyanja'!I31,'31.07 Kisaasi-Kyanja'!I31,'02.08 Kisaasi-Kyanja'!I31,'01.08 Kisaasi-Kyanja-24h'!I31,'03.08 Kisaasi-Kyanja-24h'!I31,'04.08 Kisaasi-Kyanja'!I31)</f>
        <v>3.7142857142857144</v>
      </c>
      <c r="J31" s="49">
        <f>AVERAGE('29.07 Kisaasi-Kyanja'!J31,'30.07 Kisaasi-Kyanja'!J31,'31.07 Kisaasi-Kyanja'!J31,'02.08 Kisaasi-Kyanja'!J31,'01.08 Kisaasi-Kyanja-24h'!J31,'03.08 Kisaasi-Kyanja-24h'!J31,'04.08 Kisaasi-Kyanja'!J31)</f>
        <v>1</v>
      </c>
      <c r="K31" s="49">
        <f>AVERAGE('29.07 Kisaasi-Kyanja'!K31,'30.07 Kisaasi-Kyanja'!K31,'31.07 Kisaasi-Kyanja'!K31,'02.08 Kisaasi-Kyanja'!K31,'01.08 Kisaasi-Kyanja-24h'!K31,'03.08 Kisaasi-Kyanja-24h'!K31,'04.08 Kisaasi-Kyanja'!K31)</f>
        <v>1.2857142857142858</v>
      </c>
      <c r="L31" s="49">
        <f>AVERAGE('29.07 Kisaasi-Kyanja'!L31,'30.07 Kisaasi-Kyanja'!L31,'31.07 Kisaasi-Kyanja'!L31,'02.08 Kisaasi-Kyanja'!L31,'01.08 Kisaasi-Kyanja-24h'!L31,'03.08 Kisaasi-Kyanja-24h'!L31,'04.08 Kisaasi-Kyanja'!L31)</f>
        <v>0.2857142857142857</v>
      </c>
      <c r="M31" s="49">
        <f>AVERAGE('29.07 Kisaasi-Kyanja'!M31,'30.07 Kisaasi-Kyanja'!M31,'31.07 Kisaasi-Kyanja'!M31,'02.08 Kisaasi-Kyanja'!M31,'01.08 Kisaasi-Kyanja-24h'!M31,'03.08 Kisaasi-Kyanja-24h'!M31,'04.08 Kisaasi-Kyanja'!M31)</f>
        <v>106.57142857142857</v>
      </c>
      <c r="N31" s="49">
        <f>AVERAGE('29.07 Kisaasi-Kyanja'!N31,'30.07 Kisaasi-Kyanja'!N31,'31.07 Kisaasi-Kyanja'!N31,'02.08 Kisaasi-Kyanja'!N31,'01.08 Kisaasi-Kyanja-24h'!N31,'03.08 Kisaasi-Kyanja-24h'!N31,'04.08 Kisaasi-Kyanja'!N31)</f>
        <v>0</v>
      </c>
      <c r="O31" s="15">
        <f t="shared" si="0"/>
        <v>100</v>
      </c>
      <c r="P31" s="15">
        <f t="shared" si="1"/>
        <v>206.57142857142856</v>
      </c>
      <c r="R31" s="1" t="s">
        <v>155</v>
      </c>
      <c r="S31" s="34">
        <f>SUM(C94:C97)</f>
        <v>21</v>
      </c>
      <c r="T31" s="34">
        <f t="shared" ref="T31:AF31" si="23">SUM(D94:D97)</f>
        <v>2</v>
      </c>
      <c r="U31" s="34">
        <f t="shared" si="23"/>
        <v>3.5</v>
      </c>
      <c r="V31" s="34">
        <f t="shared" si="23"/>
        <v>2.5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2.5</v>
      </c>
      <c r="AA31" s="34">
        <f t="shared" si="23"/>
        <v>0</v>
      </c>
      <c r="AB31" s="34">
        <f t="shared" si="23"/>
        <v>2.5</v>
      </c>
      <c r="AC31" s="34">
        <f t="shared" si="23"/>
        <v>34.5</v>
      </c>
      <c r="AD31" s="34">
        <f t="shared" si="23"/>
        <v>0</v>
      </c>
      <c r="AE31" s="31">
        <f t="shared" si="23"/>
        <v>34.5</v>
      </c>
      <c r="AF31" s="31">
        <f t="shared" si="23"/>
        <v>69</v>
      </c>
    </row>
    <row r="32" spans="2:32" ht="23.1" customHeight="1" x14ac:dyDescent="0.25">
      <c r="B32" s="24" t="s">
        <v>59</v>
      </c>
      <c r="C32" s="49">
        <f>AVERAGE('29.07 Kisaasi-Kyanja'!C32,'30.07 Kisaasi-Kyanja'!C32,'31.07 Kisaasi-Kyanja'!C32,'02.08 Kisaasi-Kyanja'!C32,'01.08 Kisaasi-Kyanja-24h'!C32,'03.08 Kisaasi-Kyanja-24h'!C32,'04.08 Kisaasi-Kyanja'!C32)</f>
        <v>46.571428571428569</v>
      </c>
      <c r="D32" s="49">
        <f>AVERAGE('29.07 Kisaasi-Kyanja'!D32,'30.07 Kisaasi-Kyanja'!D32,'31.07 Kisaasi-Kyanja'!D32,'02.08 Kisaasi-Kyanja'!D32,'01.08 Kisaasi-Kyanja-24h'!D32,'03.08 Kisaasi-Kyanja-24h'!D32,'04.08 Kisaasi-Kyanja'!D32)</f>
        <v>18.428571428571427</v>
      </c>
      <c r="E32" s="49">
        <f>AVERAGE('29.07 Kisaasi-Kyanja'!E32,'30.07 Kisaasi-Kyanja'!E32,'31.07 Kisaasi-Kyanja'!E32,'02.08 Kisaasi-Kyanja'!E32,'01.08 Kisaasi-Kyanja-24h'!E32,'03.08 Kisaasi-Kyanja-24h'!E32,'04.08 Kisaasi-Kyanja'!E32)</f>
        <v>5</v>
      </c>
      <c r="F32" s="49">
        <f>AVERAGE('29.07 Kisaasi-Kyanja'!F32,'30.07 Kisaasi-Kyanja'!F32,'31.07 Kisaasi-Kyanja'!F32,'02.08 Kisaasi-Kyanja'!F32,'01.08 Kisaasi-Kyanja-24h'!F32,'03.08 Kisaasi-Kyanja-24h'!F32,'04.08 Kisaasi-Kyanja'!F32)</f>
        <v>11.285714285714286</v>
      </c>
      <c r="G32" s="49">
        <f>AVERAGE('29.07 Kisaasi-Kyanja'!G32,'30.07 Kisaasi-Kyanja'!G32,'31.07 Kisaasi-Kyanja'!G32,'02.08 Kisaasi-Kyanja'!G32,'01.08 Kisaasi-Kyanja-24h'!G32,'03.08 Kisaasi-Kyanja-24h'!G32,'04.08 Kisaasi-Kyanja'!G32)</f>
        <v>0.14285714285714285</v>
      </c>
      <c r="H32" s="49">
        <f>AVERAGE('29.07 Kisaasi-Kyanja'!H32,'30.07 Kisaasi-Kyanja'!H32,'31.07 Kisaasi-Kyanja'!H32,'02.08 Kisaasi-Kyanja'!H32,'01.08 Kisaasi-Kyanja-24h'!H32,'03.08 Kisaasi-Kyanja-24h'!H32,'04.08 Kisaasi-Kyanja'!H32)</f>
        <v>0</v>
      </c>
      <c r="I32" s="49">
        <f>AVERAGE('29.07 Kisaasi-Kyanja'!I32,'30.07 Kisaasi-Kyanja'!I32,'31.07 Kisaasi-Kyanja'!I32,'02.08 Kisaasi-Kyanja'!I32,'01.08 Kisaasi-Kyanja-24h'!I32,'03.08 Kisaasi-Kyanja-24h'!I32,'04.08 Kisaasi-Kyanja'!I32)</f>
        <v>4.1428571428571432</v>
      </c>
      <c r="J32" s="49">
        <f>AVERAGE('29.07 Kisaasi-Kyanja'!J32,'30.07 Kisaasi-Kyanja'!J32,'31.07 Kisaasi-Kyanja'!J32,'02.08 Kisaasi-Kyanja'!J32,'01.08 Kisaasi-Kyanja-24h'!J32,'03.08 Kisaasi-Kyanja-24h'!J32,'04.08 Kisaasi-Kyanja'!J32)</f>
        <v>2.5714285714285716</v>
      </c>
      <c r="K32" s="49">
        <f>AVERAGE('29.07 Kisaasi-Kyanja'!K32,'30.07 Kisaasi-Kyanja'!K32,'31.07 Kisaasi-Kyanja'!K32,'02.08 Kisaasi-Kyanja'!K32,'01.08 Kisaasi-Kyanja-24h'!K32,'03.08 Kisaasi-Kyanja-24h'!K32,'04.08 Kisaasi-Kyanja'!K32)</f>
        <v>1.1428571428571428</v>
      </c>
      <c r="L32" s="49">
        <f>AVERAGE('29.07 Kisaasi-Kyanja'!L32,'30.07 Kisaasi-Kyanja'!L32,'31.07 Kisaasi-Kyanja'!L32,'02.08 Kisaasi-Kyanja'!L32,'01.08 Kisaasi-Kyanja-24h'!L32,'03.08 Kisaasi-Kyanja-24h'!L32,'04.08 Kisaasi-Kyanja'!L32)</f>
        <v>0.2857142857142857</v>
      </c>
      <c r="M32" s="49">
        <f>AVERAGE('29.07 Kisaasi-Kyanja'!M32,'30.07 Kisaasi-Kyanja'!M32,'31.07 Kisaasi-Kyanja'!M32,'02.08 Kisaasi-Kyanja'!M32,'01.08 Kisaasi-Kyanja-24h'!M32,'03.08 Kisaasi-Kyanja-24h'!M32,'04.08 Kisaasi-Kyanja'!M32)</f>
        <v>95</v>
      </c>
      <c r="N32" s="49">
        <f>AVERAGE('29.07 Kisaasi-Kyanja'!N32,'30.07 Kisaasi-Kyanja'!N32,'31.07 Kisaasi-Kyanja'!N32,'02.08 Kisaasi-Kyanja'!N32,'01.08 Kisaasi-Kyanja-24h'!N32,'03.08 Kisaasi-Kyanja-24h'!N32,'04.08 Kisaasi-Kyanja'!N32)</f>
        <v>0</v>
      </c>
      <c r="O32" s="15">
        <f t="shared" si="0"/>
        <v>89.571428571428569</v>
      </c>
      <c r="P32" s="15">
        <f t="shared" si="1"/>
        <v>184.57142857142856</v>
      </c>
      <c r="R32" s="1" t="s">
        <v>156</v>
      </c>
      <c r="S32" s="34">
        <f>SUM(C98:C101)</f>
        <v>33.5</v>
      </c>
      <c r="T32" s="34">
        <f t="shared" ref="T32:AF32" si="24">SUM(D98:D101)</f>
        <v>6</v>
      </c>
      <c r="U32" s="34">
        <f t="shared" si="24"/>
        <v>6.5</v>
      </c>
      <c r="V32" s="34">
        <f t="shared" si="24"/>
        <v>12.5</v>
      </c>
      <c r="W32" s="34">
        <f t="shared" si="24"/>
        <v>2.5</v>
      </c>
      <c r="X32" s="34">
        <f t="shared" si="24"/>
        <v>0</v>
      </c>
      <c r="Y32" s="34">
        <f t="shared" si="24"/>
        <v>2</v>
      </c>
      <c r="Z32" s="34">
        <f t="shared" si="24"/>
        <v>1</v>
      </c>
      <c r="AA32" s="34">
        <f t="shared" si="24"/>
        <v>0.5</v>
      </c>
      <c r="AB32" s="34">
        <f t="shared" si="24"/>
        <v>1.5</v>
      </c>
      <c r="AC32" s="34">
        <f t="shared" si="24"/>
        <v>66</v>
      </c>
      <c r="AD32" s="34">
        <f t="shared" si="24"/>
        <v>0</v>
      </c>
      <c r="AE32" s="31">
        <f t="shared" si="24"/>
        <v>66</v>
      </c>
      <c r="AF32" s="31">
        <f t="shared" si="24"/>
        <v>132</v>
      </c>
    </row>
    <row r="33" spans="2:32" ht="23.1" customHeight="1" x14ac:dyDescent="0.25">
      <c r="B33" s="23" t="s">
        <v>60</v>
      </c>
      <c r="C33" s="49">
        <f>AVERAGE('29.07 Kisaasi-Kyanja'!C33,'30.07 Kisaasi-Kyanja'!C33,'31.07 Kisaasi-Kyanja'!C33,'02.08 Kisaasi-Kyanja'!C33,'01.08 Kisaasi-Kyanja-24h'!C33,'03.08 Kisaasi-Kyanja-24h'!C33,'04.08 Kisaasi-Kyanja'!C33)</f>
        <v>40.571428571428569</v>
      </c>
      <c r="D33" s="49">
        <f>AVERAGE('29.07 Kisaasi-Kyanja'!D33,'30.07 Kisaasi-Kyanja'!D33,'31.07 Kisaasi-Kyanja'!D33,'02.08 Kisaasi-Kyanja'!D33,'01.08 Kisaasi-Kyanja-24h'!D33,'03.08 Kisaasi-Kyanja-24h'!D33,'04.08 Kisaasi-Kyanja'!D33)</f>
        <v>16.714285714285715</v>
      </c>
      <c r="E33" s="49">
        <f>AVERAGE('29.07 Kisaasi-Kyanja'!E33,'30.07 Kisaasi-Kyanja'!E33,'31.07 Kisaasi-Kyanja'!E33,'02.08 Kisaasi-Kyanja'!E33,'01.08 Kisaasi-Kyanja-24h'!E33,'03.08 Kisaasi-Kyanja-24h'!E33,'04.08 Kisaasi-Kyanja'!E33)</f>
        <v>6.8571428571428568</v>
      </c>
      <c r="F33" s="49">
        <f>AVERAGE('29.07 Kisaasi-Kyanja'!F33,'30.07 Kisaasi-Kyanja'!F33,'31.07 Kisaasi-Kyanja'!F33,'02.08 Kisaasi-Kyanja'!F33,'01.08 Kisaasi-Kyanja-24h'!F33,'03.08 Kisaasi-Kyanja-24h'!F33,'04.08 Kisaasi-Kyanja'!F33)</f>
        <v>12.428571428571429</v>
      </c>
      <c r="G33" s="49">
        <f>AVERAGE('29.07 Kisaasi-Kyanja'!G33,'30.07 Kisaasi-Kyanja'!G33,'31.07 Kisaasi-Kyanja'!G33,'02.08 Kisaasi-Kyanja'!G33,'01.08 Kisaasi-Kyanja-24h'!G33,'03.08 Kisaasi-Kyanja-24h'!G33,'04.08 Kisaasi-Kyanja'!G33)</f>
        <v>0</v>
      </c>
      <c r="H33" s="49">
        <f>AVERAGE('29.07 Kisaasi-Kyanja'!H33,'30.07 Kisaasi-Kyanja'!H33,'31.07 Kisaasi-Kyanja'!H33,'02.08 Kisaasi-Kyanja'!H33,'01.08 Kisaasi-Kyanja-24h'!H33,'03.08 Kisaasi-Kyanja-24h'!H33,'04.08 Kisaasi-Kyanja'!H33)</f>
        <v>0</v>
      </c>
      <c r="I33" s="49">
        <f>AVERAGE('29.07 Kisaasi-Kyanja'!I33,'30.07 Kisaasi-Kyanja'!I33,'31.07 Kisaasi-Kyanja'!I33,'02.08 Kisaasi-Kyanja'!I33,'01.08 Kisaasi-Kyanja-24h'!I33,'03.08 Kisaasi-Kyanja-24h'!I33,'04.08 Kisaasi-Kyanja'!I33)</f>
        <v>3.1428571428571428</v>
      </c>
      <c r="J33" s="49">
        <f>AVERAGE('29.07 Kisaasi-Kyanja'!J33,'30.07 Kisaasi-Kyanja'!J33,'31.07 Kisaasi-Kyanja'!J33,'02.08 Kisaasi-Kyanja'!J33,'01.08 Kisaasi-Kyanja-24h'!J33,'03.08 Kisaasi-Kyanja-24h'!J33,'04.08 Kisaasi-Kyanja'!J33)</f>
        <v>1.5714285714285714</v>
      </c>
      <c r="K33" s="49">
        <f>AVERAGE('29.07 Kisaasi-Kyanja'!K33,'30.07 Kisaasi-Kyanja'!K33,'31.07 Kisaasi-Kyanja'!K33,'02.08 Kisaasi-Kyanja'!K33,'01.08 Kisaasi-Kyanja-24h'!K33,'03.08 Kisaasi-Kyanja-24h'!K33,'04.08 Kisaasi-Kyanja'!K33)</f>
        <v>0.5714285714285714</v>
      </c>
      <c r="L33" s="49">
        <f>AVERAGE('29.07 Kisaasi-Kyanja'!L33,'30.07 Kisaasi-Kyanja'!L33,'31.07 Kisaasi-Kyanja'!L33,'02.08 Kisaasi-Kyanja'!L33,'01.08 Kisaasi-Kyanja-24h'!L33,'03.08 Kisaasi-Kyanja-24h'!L33,'04.08 Kisaasi-Kyanja'!L33)</f>
        <v>0</v>
      </c>
      <c r="M33" s="49">
        <f>AVERAGE('29.07 Kisaasi-Kyanja'!M33,'30.07 Kisaasi-Kyanja'!M33,'31.07 Kisaasi-Kyanja'!M33,'02.08 Kisaasi-Kyanja'!M33,'01.08 Kisaasi-Kyanja-24h'!M33,'03.08 Kisaasi-Kyanja-24h'!M33,'04.08 Kisaasi-Kyanja'!M33)</f>
        <v>93.428571428571431</v>
      </c>
      <c r="N33" s="49">
        <f>AVERAGE('29.07 Kisaasi-Kyanja'!N33,'30.07 Kisaasi-Kyanja'!N33,'31.07 Kisaasi-Kyanja'!N33,'02.08 Kisaasi-Kyanja'!N33,'01.08 Kisaasi-Kyanja-24h'!N33,'03.08 Kisaasi-Kyanja-24h'!N33,'04.08 Kisaasi-Kyanja'!N33)</f>
        <v>0</v>
      </c>
      <c r="O33" s="15">
        <f t="shared" si="0"/>
        <v>81.857142857142847</v>
      </c>
      <c r="P33" s="15">
        <f t="shared" si="1"/>
        <v>175.28571428571428</v>
      </c>
      <c r="R33" s="1" t="s">
        <v>157</v>
      </c>
      <c r="S33" s="34">
        <f>SUM(C102:C105)</f>
        <v>25.5</v>
      </c>
      <c r="T33" s="34">
        <f t="shared" ref="T33:AF33" si="25">SUM(D102:D105)</f>
        <v>4</v>
      </c>
      <c r="U33" s="34">
        <f t="shared" si="25"/>
        <v>1.5</v>
      </c>
      <c r="V33" s="34">
        <f t="shared" si="25"/>
        <v>6.5</v>
      </c>
      <c r="W33" s="34">
        <f t="shared" si="25"/>
        <v>0</v>
      </c>
      <c r="X33" s="34">
        <f t="shared" si="25"/>
        <v>0</v>
      </c>
      <c r="Y33" s="34">
        <f t="shared" si="25"/>
        <v>1.5</v>
      </c>
      <c r="Z33" s="34">
        <f t="shared" si="25"/>
        <v>0</v>
      </c>
      <c r="AA33" s="34">
        <f t="shared" si="25"/>
        <v>1.5</v>
      </c>
      <c r="AB33" s="34">
        <f t="shared" si="25"/>
        <v>0</v>
      </c>
      <c r="AC33" s="34">
        <f t="shared" si="25"/>
        <v>29</v>
      </c>
      <c r="AD33" s="34">
        <f t="shared" si="25"/>
        <v>0</v>
      </c>
      <c r="AE33" s="31">
        <f t="shared" si="25"/>
        <v>40.5</v>
      </c>
      <c r="AF33" s="31">
        <f t="shared" si="25"/>
        <v>69.5</v>
      </c>
    </row>
    <row r="34" spans="2:32" ht="23.1" customHeight="1" x14ac:dyDescent="0.25">
      <c r="B34" s="24" t="s">
        <v>61</v>
      </c>
      <c r="C34" s="49">
        <f>AVERAGE('29.07 Kisaasi-Kyanja'!C34,'30.07 Kisaasi-Kyanja'!C34,'31.07 Kisaasi-Kyanja'!C34,'02.08 Kisaasi-Kyanja'!C34,'01.08 Kisaasi-Kyanja-24h'!C34,'03.08 Kisaasi-Kyanja-24h'!C34,'04.08 Kisaasi-Kyanja'!C34)</f>
        <v>40.857142857142854</v>
      </c>
      <c r="D34" s="49">
        <f>AVERAGE('29.07 Kisaasi-Kyanja'!D34,'30.07 Kisaasi-Kyanja'!D34,'31.07 Kisaasi-Kyanja'!D34,'02.08 Kisaasi-Kyanja'!D34,'01.08 Kisaasi-Kyanja-24h'!D34,'03.08 Kisaasi-Kyanja-24h'!D34,'04.08 Kisaasi-Kyanja'!D34)</f>
        <v>22.285714285714285</v>
      </c>
      <c r="E34" s="49">
        <f>AVERAGE('29.07 Kisaasi-Kyanja'!E34,'30.07 Kisaasi-Kyanja'!E34,'31.07 Kisaasi-Kyanja'!E34,'02.08 Kisaasi-Kyanja'!E34,'01.08 Kisaasi-Kyanja-24h'!E34,'03.08 Kisaasi-Kyanja-24h'!E34,'04.08 Kisaasi-Kyanja'!E34)</f>
        <v>6.2857142857142856</v>
      </c>
      <c r="F34" s="49">
        <f>AVERAGE('29.07 Kisaasi-Kyanja'!F34,'30.07 Kisaasi-Kyanja'!F34,'31.07 Kisaasi-Kyanja'!F34,'02.08 Kisaasi-Kyanja'!F34,'01.08 Kisaasi-Kyanja-24h'!F34,'03.08 Kisaasi-Kyanja-24h'!F34,'04.08 Kisaasi-Kyanja'!F34)</f>
        <v>13.571428571428571</v>
      </c>
      <c r="G34" s="49">
        <f>AVERAGE('29.07 Kisaasi-Kyanja'!G34,'30.07 Kisaasi-Kyanja'!G34,'31.07 Kisaasi-Kyanja'!G34,'02.08 Kisaasi-Kyanja'!G34,'01.08 Kisaasi-Kyanja-24h'!G34,'03.08 Kisaasi-Kyanja-24h'!G34,'04.08 Kisaasi-Kyanja'!G34)</f>
        <v>0.42857142857142855</v>
      </c>
      <c r="H34" s="49">
        <f>AVERAGE('29.07 Kisaasi-Kyanja'!H34,'30.07 Kisaasi-Kyanja'!H34,'31.07 Kisaasi-Kyanja'!H34,'02.08 Kisaasi-Kyanja'!H34,'01.08 Kisaasi-Kyanja-24h'!H34,'03.08 Kisaasi-Kyanja-24h'!H34,'04.08 Kisaasi-Kyanja'!H34)</f>
        <v>0</v>
      </c>
      <c r="I34" s="49">
        <f>AVERAGE('29.07 Kisaasi-Kyanja'!I34,'30.07 Kisaasi-Kyanja'!I34,'31.07 Kisaasi-Kyanja'!I34,'02.08 Kisaasi-Kyanja'!I34,'01.08 Kisaasi-Kyanja-24h'!I34,'03.08 Kisaasi-Kyanja-24h'!I34,'04.08 Kisaasi-Kyanja'!I34)</f>
        <v>3.8571428571428572</v>
      </c>
      <c r="J34" s="49">
        <f>AVERAGE('29.07 Kisaasi-Kyanja'!J34,'30.07 Kisaasi-Kyanja'!J34,'31.07 Kisaasi-Kyanja'!J34,'02.08 Kisaasi-Kyanja'!J34,'01.08 Kisaasi-Kyanja-24h'!J34,'03.08 Kisaasi-Kyanja-24h'!J34,'04.08 Kisaasi-Kyanja'!J34)</f>
        <v>2.4285714285714284</v>
      </c>
      <c r="K34" s="49">
        <f>AVERAGE('29.07 Kisaasi-Kyanja'!K34,'30.07 Kisaasi-Kyanja'!K34,'31.07 Kisaasi-Kyanja'!K34,'02.08 Kisaasi-Kyanja'!K34,'01.08 Kisaasi-Kyanja-24h'!K34,'03.08 Kisaasi-Kyanja-24h'!K34,'04.08 Kisaasi-Kyanja'!K34)</f>
        <v>0.5714285714285714</v>
      </c>
      <c r="L34" s="49">
        <f>AVERAGE('29.07 Kisaasi-Kyanja'!L34,'30.07 Kisaasi-Kyanja'!L34,'31.07 Kisaasi-Kyanja'!L34,'02.08 Kisaasi-Kyanja'!L34,'01.08 Kisaasi-Kyanja-24h'!L34,'03.08 Kisaasi-Kyanja-24h'!L34,'04.08 Kisaasi-Kyanja'!L34)</f>
        <v>0.5714285714285714</v>
      </c>
      <c r="M34" s="49">
        <f>AVERAGE('29.07 Kisaasi-Kyanja'!M34,'30.07 Kisaasi-Kyanja'!M34,'31.07 Kisaasi-Kyanja'!M34,'02.08 Kisaasi-Kyanja'!M34,'01.08 Kisaasi-Kyanja-24h'!M34,'03.08 Kisaasi-Kyanja-24h'!M34,'04.08 Kisaasi-Kyanja'!M34)</f>
        <v>101.57142857142857</v>
      </c>
      <c r="N34" s="49">
        <f>AVERAGE('29.07 Kisaasi-Kyanja'!N34,'30.07 Kisaasi-Kyanja'!N34,'31.07 Kisaasi-Kyanja'!N34,'02.08 Kisaasi-Kyanja'!N34,'01.08 Kisaasi-Kyanja-24h'!N34,'03.08 Kisaasi-Kyanja-24h'!N34,'04.08 Kisaasi-Kyanja'!N34)</f>
        <v>0</v>
      </c>
      <c r="O34" s="15">
        <f t="shared" si="0"/>
        <v>90.857142857142861</v>
      </c>
      <c r="P34" s="15">
        <f t="shared" si="1"/>
        <v>192.42857142857144</v>
      </c>
      <c r="R34" s="38" t="s">
        <v>90</v>
      </c>
      <c r="S34" s="39">
        <f t="shared" ref="S34:AF34" si="26">MAX(S10:S12)</f>
        <v>266.42857142857144</v>
      </c>
      <c r="T34" s="39">
        <f t="shared" si="26"/>
        <v>83.142857142857139</v>
      </c>
      <c r="U34" s="39">
        <f t="shared" si="26"/>
        <v>31.285714285714281</v>
      </c>
      <c r="V34" s="39">
        <f t="shared" si="26"/>
        <v>87.142857142857139</v>
      </c>
      <c r="W34" s="39">
        <f t="shared" si="26"/>
        <v>1.4285714285714284</v>
      </c>
      <c r="X34" s="39">
        <f t="shared" si="26"/>
        <v>0</v>
      </c>
      <c r="Y34" s="39">
        <f t="shared" si="26"/>
        <v>21.142857142857142</v>
      </c>
      <c r="Z34" s="39">
        <f t="shared" si="26"/>
        <v>6.8571428571428577</v>
      </c>
      <c r="AA34" s="39">
        <f t="shared" si="26"/>
        <v>7.7142857142857144</v>
      </c>
      <c r="AB34" s="39">
        <f t="shared" si="26"/>
        <v>0.42857142857142855</v>
      </c>
      <c r="AC34" s="39">
        <f t="shared" si="26"/>
        <v>643</v>
      </c>
      <c r="AD34" s="39">
        <f t="shared" si="26"/>
        <v>0</v>
      </c>
      <c r="AE34" s="40">
        <f t="shared" si="26"/>
        <v>485.85714285714289</v>
      </c>
      <c r="AF34" s="40">
        <f t="shared" si="26"/>
        <v>1128.8571428571429</v>
      </c>
    </row>
    <row r="35" spans="2:32" ht="23.1" customHeight="1" x14ac:dyDescent="0.25">
      <c r="B35" s="24" t="s">
        <v>62</v>
      </c>
      <c r="C35" s="49">
        <f>AVERAGE('29.07 Kisaasi-Kyanja'!C35,'30.07 Kisaasi-Kyanja'!C35,'31.07 Kisaasi-Kyanja'!C35,'02.08 Kisaasi-Kyanja'!C35,'01.08 Kisaasi-Kyanja-24h'!C35,'03.08 Kisaasi-Kyanja-24h'!C35,'04.08 Kisaasi-Kyanja'!C35)</f>
        <v>31.428571428571427</v>
      </c>
      <c r="D35" s="49">
        <f>AVERAGE('29.07 Kisaasi-Kyanja'!D35,'30.07 Kisaasi-Kyanja'!D35,'31.07 Kisaasi-Kyanja'!D35,'02.08 Kisaasi-Kyanja'!D35,'01.08 Kisaasi-Kyanja-24h'!D35,'03.08 Kisaasi-Kyanja-24h'!D35,'04.08 Kisaasi-Kyanja'!D35)</f>
        <v>16.428571428571427</v>
      </c>
      <c r="E35" s="49">
        <f>AVERAGE('29.07 Kisaasi-Kyanja'!E35,'30.07 Kisaasi-Kyanja'!E35,'31.07 Kisaasi-Kyanja'!E35,'02.08 Kisaasi-Kyanja'!E35,'01.08 Kisaasi-Kyanja-24h'!E35,'03.08 Kisaasi-Kyanja-24h'!E35,'04.08 Kisaasi-Kyanja'!E35)</f>
        <v>5.8571428571428568</v>
      </c>
      <c r="F35" s="49">
        <f>AVERAGE('29.07 Kisaasi-Kyanja'!F35,'30.07 Kisaasi-Kyanja'!F35,'31.07 Kisaasi-Kyanja'!F35,'02.08 Kisaasi-Kyanja'!F35,'01.08 Kisaasi-Kyanja-24h'!F35,'03.08 Kisaasi-Kyanja-24h'!F35,'04.08 Kisaasi-Kyanja'!F35)</f>
        <v>11.571428571428571</v>
      </c>
      <c r="G35" s="49">
        <f>AVERAGE('29.07 Kisaasi-Kyanja'!G35,'30.07 Kisaasi-Kyanja'!G35,'31.07 Kisaasi-Kyanja'!G35,'02.08 Kisaasi-Kyanja'!G35,'01.08 Kisaasi-Kyanja-24h'!G35,'03.08 Kisaasi-Kyanja-24h'!G35,'04.08 Kisaasi-Kyanja'!G35)</f>
        <v>0</v>
      </c>
      <c r="H35" s="49">
        <f>AVERAGE('29.07 Kisaasi-Kyanja'!H35,'30.07 Kisaasi-Kyanja'!H35,'31.07 Kisaasi-Kyanja'!H35,'02.08 Kisaasi-Kyanja'!H35,'01.08 Kisaasi-Kyanja-24h'!H35,'03.08 Kisaasi-Kyanja-24h'!H35,'04.08 Kisaasi-Kyanja'!H35)</f>
        <v>0</v>
      </c>
      <c r="I35" s="49">
        <f>AVERAGE('29.07 Kisaasi-Kyanja'!I35,'30.07 Kisaasi-Kyanja'!I35,'31.07 Kisaasi-Kyanja'!I35,'02.08 Kisaasi-Kyanja'!I35,'01.08 Kisaasi-Kyanja-24h'!I35,'03.08 Kisaasi-Kyanja-24h'!I35,'04.08 Kisaasi-Kyanja'!I35)</f>
        <v>4.2857142857142856</v>
      </c>
      <c r="J35" s="49">
        <f>AVERAGE('29.07 Kisaasi-Kyanja'!J35,'30.07 Kisaasi-Kyanja'!J35,'31.07 Kisaasi-Kyanja'!J35,'02.08 Kisaasi-Kyanja'!J35,'01.08 Kisaasi-Kyanja-24h'!J35,'03.08 Kisaasi-Kyanja-24h'!J35,'04.08 Kisaasi-Kyanja'!J35)</f>
        <v>2.7142857142857144</v>
      </c>
      <c r="K35" s="49">
        <f>AVERAGE('29.07 Kisaasi-Kyanja'!K35,'30.07 Kisaasi-Kyanja'!K35,'31.07 Kisaasi-Kyanja'!K35,'02.08 Kisaasi-Kyanja'!K35,'01.08 Kisaasi-Kyanja-24h'!K35,'03.08 Kisaasi-Kyanja-24h'!K35,'04.08 Kisaasi-Kyanja'!K35)</f>
        <v>1</v>
      </c>
      <c r="L35" s="49">
        <f>AVERAGE('29.07 Kisaasi-Kyanja'!L35,'30.07 Kisaasi-Kyanja'!L35,'31.07 Kisaasi-Kyanja'!L35,'02.08 Kisaasi-Kyanja'!L35,'01.08 Kisaasi-Kyanja-24h'!L35,'03.08 Kisaasi-Kyanja-24h'!L35,'04.08 Kisaasi-Kyanja'!L35)</f>
        <v>0.14285714285714285</v>
      </c>
      <c r="M35" s="49">
        <f>AVERAGE('29.07 Kisaasi-Kyanja'!M35,'30.07 Kisaasi-Kyanja'!M35,'31.07 Kisaasi-Kyanja'!M35,'02.08 Kisaasi-Kyanja'!M35,'01.08 Kisaasi-Kyanja-24h'!M35,'03.08 Kisaasi-Kyanja-24h'!M35,'04.08 Kisaasi-Kyanja'!M35)</f>
        <v>110.28571428571429</v>
      </c>
      <c r="N35" s="49">
        <f>AVERAGE('29.07 Kisaasi-Kyanja'!N35,'30.07 Kisaasi-Kyanja'!N35,'31.07 Kisaasi-Kyanja'!N35,'02.08 Kisaasi-Kyanja'!N35,'01.08 Kisaasi-Kyanja-24h'!N35,'03.08 Kisaasi-Kyanja-24h'!N35,'04.08 Kisaasi-Kyanja'!N35)</f>
        <v>0</v>
      </c>
      <c r="O35" s="15">
        <f t="shared" si="0"/>
        <v>73.428571428571416</v>
      </c>
      <c r="P35" s="15">
        <f t="shared" si="1"/>
        <v>183.71428571428572</v>
      </c>
      <c r="R35" s="38" t="s">
        <v>91</v>
      </c>
      <c r="S35" s="39">
        <f t="shared" ref="S35:AF35" si="27">MAX(S13:S18)</f>
        <v>201.28571428571428</v>
      </c>
      <c r="T35" s="39">
        <f t="shared" si="27"/>
        <v>89</v>
      </c>
      <c r="U35" s="39">
        <f t="shared" si="27"/>
        <v>26.428571428571431</v>
      </c>
      <c r="V35" s="39">
        <f t="shared" si="27"/>
        <v>68.142857142857153</v>
      </c>
      <c r="W35" s="39">
        <f t="shared" si="27"/>
        <v>1.8571428571428572</v>
      </c>
      <c r="X35" s="39">
        <f t="shared" si="27"/>
        <v>0.42857142857142855</v>
      </c>
      <c r="Y35" s="39">
        <f t="shared" si="27"/>
        <v>19.142857142857142</v>
      </c>
      <c r="Z35" s="39">
        <f t="shared" si="27"/>
        <v>9.1428571428571423</v>
      </c>
      <c r="AA35" s="39">
        <f t="shared" si="27"/>
        <v>8.1428571428571441</v>
      </c>
      <c r="AB35" s="39">
        <f t="shared" si="27"/>
        <v>1.2857142857142856</v>
      </c>
      <c r="AC35" s="39">
        <f t="shared" si="27"/>
        <v>525.85714285714289</v>
      </c>
      <c r="AD35" s="39">
        <f t="shared" si="27"/>
        <v>0.14285714285714285</v>
      </c>
      <c r="AE35" s="40">
        <f t="shared" si="27"/>
        <v>413.85714285714283</v>
      </c>
      <c r="AF35" s="40">
        <f t="shared" si="27"/>
        <v>939.71428571428578</v>
      </c>
    </row>
    <row r="36" spans="2:32" ht="23.1" customHeight="1" x14ac:dyDescent="0.25">
      <c r="B36" s="24" t="s">
        <v>63</v>
      </c>
      <c r="C36" s="49">
        <f>AVERAGE('29.07 Kisaasi-Kyanja'!C36,'30.07 Kisaasi-Kyanja'!C36,'31.07 Kisaasi-Kyanja'!C36,'02.08 Kisaasi-Kyanja'!C36,'01.08 Kisaasi-Kyanja-24h'!C36,'03.08 Kisaasi-Kyanja-24h'!C36,'04.08 Kisaasi-Kyanja'!C36)</f>
        <v>53</v>
      </c>
      <c r="D36" s="49">
        <f>AVERAGE('29.07 Kisaasi-Kyanja'!D36,'30.07 Kisaasi-Kyanja'!D36,'31.07 Kisaasi-Kyanja'!D36,'02.08 Kisaasi-Kyanja'!D36,'01.08 Kisaasi-Kyanja-24h'!D36,'03.08 Kisaasi-Kyanja-24h'!D36,'04.08 Kisaasi-Kyanja'!D36)</f>
        <v>20.285714285714285</v>
      </c>
      <c r="E36" s="49">
        <f>AVERAGE('29.07 Kisaasi-Kyanja'!E36,'30.07 Kisaasi-Kyanja'!E36,'31.07 Kisaasi-Kyanja'!E36,'02.08 Kisaasi-Kyanja'!E36,'01.08 Kisaasi-Kyanja-24h'!E36,'03.08 Kisaasi-Kyanja-24h'!E36,'04.08 Kisaasi-Kyanja'!E36)</f>
        <v>4.4285714285714288</v>
      </c>
      <c r="F36" s="49">
        <f>AVERAGE('29.07 Kisaasi-Kyanja'!F36,'30.07 Kisaasi-Kyanja'!F36,'31.07 Kisaasi-Kyanja'!F36,'02.08 Kisaasi-Kyanja'!F36,'01.08 Kisaasi-Kyanja-24h'!F36,'03.08 Kisaasi-Kyanja-24h'!F36,'04.08 Kisaasi-Kyanja'!F36)</f>
        <v>14</v>
      </c>
      <c r="G36" s="49">
        <f>AVERAGE('29.07 Kisaasi-Kyanja'!G36,'30.07 Kisaasi-Kyanja'!G36,'31.07 Kisaasi-Kyanja'!G36,'02.08 Kisaasi-Kyanja'!G36,'01.08 Kisaasi-Kyanja-24h'!G36,'03.08 Kisaasi-Kyanja-24h'!G36,'04.08 Kisaasi-Kyanja'!G36)</f>
        <v>0.14285714285714285</v>
      </c>
      <c r="H36" s="49">
        <f>AVERAGE('29.07 Kisaasi-Kyanja'!H36,'30.07 Kisaasi-Kyanja'!H36,'31.07 Kisaasi-Kyanja'!H36,'02.08 Kisaasi-Kyanja'!H36,'01.08 Kisaasi-Kyanja-24h'!H36,'03.08 Kisaasi-Kyanja-24h'!H36,'04.08 Kisaasi-Kyanja'!H36)</f>
        <v>0</v>
      </c>
      <c r="I36" s="49">
        <f>AVERAGE('29.07 Kisaasi-Kyanja'!I36,'30.07 Kisaasi-Kyanja'!I36,'31.07 Kisaasi-Kyanja'!I36,'02.08 Kisaasi-Kyanja'!I36,'01.08 Kisaasi-Kyanja-24h'!I36,'03.08 Kisaasi-Kyanja-24h'!I36,'04.08 Kisaasi-Kyanja'!I36)</f>
        <v>4.8571428571428568</v>
      </c>
      <c r="J36" s="49">
        <f>AVERAGE('29.07 Kisaasi-Kyanja'!J36,'30.07 Kisaasi-Kyanja'!J36,'31.07 Kisaasi-Kyanja'!J36,'02.08 Kisaasi-Kyanja'!J36,'01.08 Kisaasi-Kyanja-24h'!J36,'03.08 Kisaasi-Kyanja-24h'!J36,'04.08 Kisaasi-Kyanja'!J36)</f>
        <v>2.2857142857142856</v>
      </c>
      <c r="K36" s="49">
        <f>AVERAGE('29.07 Kisaasi-Kyanja'!K36,'30.07 Kisaasi-Kyanja'!K36,'31.07 Kisaasi-Kyanja'!K36,'02.08 Kisaasi-Kyanja'!K36,'01.08 Kisaasi-Kyanja-24h'!K36,'03.08 Kisaasi-Kyanja-24h'!K36,'04.08 Kisaasi-Kyanja'!K36)</f>
        <v>1.5714285714285714</v>
      </c>
      <c r="L36" s="49">
        <f>AVERAGE('29.07 Kisaasi-Kyanja'!L36,'30.07 Kisaasi-Kyanja'!L36,'31.07 Kisaasi-Kyanja'!L36,'02.08 Kisaasi-Kyanja'!L36,'01.08 Kisaasi-Kyanja-24h'!L36,'03.08 Kisaasi-Kyanja-24h'!L36,'04.08 Kisaasi-Kyanja'!L36)</f>
        <v>0.14285714285714285</v>
      </c>
      <c r="M36" s="49">
        <f>AVERAGE('29.07 Kisaasi-Kyanja'!M36,'30.07 Kisaasi-Kyanja'!M36,'31.07 Kisaasi-Kyanja'!M36,'02.08 Kisaasi-Kyanja'!M36,'01.08 Kisaasi-Kyanja-24h'!M36,'03.08 Kisaasi-Kyanja-24h'!M36,'04.08 Kisaasi-Kyanja'!M36)</f>
        <v>94.285714285714292</v>
      </c>
      <c r="N36" s="49">
        <f>AVERAGE('29.07 Kisaasi-Kyanja'!N36,'30.07 Kisaasi-Kyanja'!N36,'31.07 Kisaasi-Kyanja'!N36,'02.08 Kisaasi-Kyanja'!N36,'01.08 Kisaasi-Kyanja-24h'!N36,'03.08 Kisaasi-Kyanja-24h'!N36,'04.08 Kisaasi-Kyanja'!N36)</f>
        <v>0</v>
      </c>
      <c r="O36" s="15">
        <f t="shared" si="0"/>
        <v>100.71428571428571</v>
      </c>
      <c r="P36" s="15">
        <f t="shared" si="1"/>
        <v>195</v>
      </c>
      <c r="R36" s="38" t="s">
        <v>92</v>
      </c>
      <c r="S36" s="39">
        <f t="shared" ref="S36:AF36" si="28">MAX(S19:S21)</f>
        <v>240.85714285714283</v>
      </c>
      <c r="T36" s="39">
        <f t="shared" si="28"/>
        <v>126.14285714285715</v>
      </c>
      <c r="U36" s="39">
        <f t="shared" si="28"/>
        <v>30.857142857142861</v>
      </c>
      <c r="V36" s="39">
        <f t="shared" si="28"/>
        <v>73.142857142857139</v>
      </c>
      <c r="W36" s="39">
        <f t="shared" si="28"/>
        <v>1.5714285714285712</v>
      </c>
      <c r="X36" s="39">
        <f t="shared" si="28"/>
        <v>0.42857142857142855</v>
      </c>
      <c r="Y36" s="39">
        <f t="shared" si="28"/>
        <v>19.428571428571427</v>
      </c>
      <c r="Z36" s="39">
        <f t="shared" si="28"/>
        <v>6.7142857142857135</v>
      </c>
      <c r="AA36" s="39">
        <f t="shared" si="28"/>
        <v>7.4285714285714288</v>
      </c>
      <c r="AB36" s="39">
        <f t="shared" si="28"/>
        <v>0.8571428571428571</v>
      </c>
      <c r="AC36" s="39">
        <f t="shared" si="28"/>
        <v>578</v>
      </c>
      <c r="AD36" s="39">
        <f t="shared" si="28"/>
        <v>0.2857142857142857</v>
      </c>
      <c r="AE36" s="40">
        <f t="shared" si="28"/>
        <v>490.28571428571428</v>
      </c>
      <c r="AF36" s="40">
        <f t="shared" si="28"/>
        <v>1041.2857142857142</v>
      </c>
    </row>
    <row r="37" spans="2:32" ht="23.1" customHeight="1" x14ac:dyDescent="0.25">
      <c r="B37" s="23" t="s">
        <v>64</v>
      </c>
      <c r="C37" s="49">
        <f>AVERAGE('29.07 Kisaasi-Kyanja'!C37,'30.07 Kisaasi-Kyanja'!C37,'31.07 Kisaasi-Kyanja'!C37,'02.08 Kisaasi-Kyanja'!C37,'01.08 Kisaasi-Kyanja-24h'!C37,'03.08 Kisaasi-Kyanja-24h'!C37,'04.08 Kisaasi-Kyanja'!C37)</f>
        <v>47.857142857142854</v>
      </c>
      <c r="D37" s="49">
        <f>AVERAGE('29.07 Kisaasi-Kyanja'!D37,'30.07 Kisaasi-Kyanja'!D37,'31.07 Kisaasi-Kyanja'!D37,'02.08 Kisaasi-Kyanja'!D37,'01.08 Kisaasi-Kyanja-24h'!D37,'03.08 Kisaasi-Kyanja-24h'!D37,'04.08 Kisaasi-Kyanja'!D37)</f>
        <v>16.142857142857142</v>
      </c>
      <c r="E37" s="49">
        <f>AVERAGE('29.07 Kisaasi-Kyanja'!E37,'30.07 Kisaasi-Kyanja'!E37,'31.07 Kisaasi-Kyanja'!E37,'02.08 Kisaasi-Kyanja'!E37,'01.08 Kisaasi-Kyanja-24h'!E37,'03.08 Kisaasi-Kyanja-24h'!E37,'04.08 Kisaasi-Kyanja'!E37)</f>
        <v>4.2857142857142856</v>
      </c>
      <c r="F37" s="49">
        <f>AVERAGE('29.07 Kisaasi-Kyanja'!F37,'30.07 Kisaasi-Kyanja'!F37,'31.07 Kisaasi-Kyanja'!F37,'02.08 Kisaasi-Kyanja'!F37,'01.08 Kisaasi-Kyanja-24h'!F37,'03.08 Kisaasi-Kyanja-24h'!F37,'04.08 Kisaasi-Kyanja'!F37)</f>
        <v>13.142857142857142</v>
      </c>
      <c r="G37" s="49">
        <f>AVERAGE('29.07 Kisaasi-Kyanja'!G37,'30.07 Kisaasi-Kyanja'!G37,'31.07 Kisaasi-Kyanja'!G37,'02.08 Kisaasi-Kyanja'!G37,'01.08 Kisaasi-Kyanja-24h'!G37,'03.08 Kisaasi-Kyanja-24h'!G37,'04.08 Kisaasi-Kyanja'!G37)</f>
        <v>0</v>
      </c>
      <c r="H37" s="49">
        <f>AVERAGE('29.07 Kisaasi-Kyanja'!H37,'30.07 Kisaasi-Kyanja'!H37,'31.07 Kisaasi-Kyanja'!H37,'02.08 Kisaasi-Kyanja'!H37,'01.08 Kisaasi-Kyanja-24h'!H37,'03.08 Kisaasi-Kyanja-24h'!H37,'04.08 Kisaasi-Kyanja'!H37)</f>
        <v>0</v>
      </c>
      <c r="I37" s="49">
        <f>AVERAGE('29.07 Kisaasi-Kyanja'!I37,'30.07 Kisaasi-Kyanja'!I37,'31.07 Kisaasi-Kyanja'!I37,'02.08 Kisaasi-Kyanja'!I37,'01.08 Kisaasi-Kyanja-24h'!I37,'03.08 Kisaasi-Kyanja-24h'!I37,'04.08 Kisaasi-Kyanja'!I37)</f>
        <v>5.8571428571428568</v>
      </c>
      <c r="J37" s="49">
        <f>AVERAGE('29.07 Kisaasi-Kyanja'!J37,'30.07 Kisaasi-Kyanja'!J37,'31.07 Kisaasi-Kyanja'!J37,'02.08 Kisaasi-Kyanja'!J37,'01.08 Kisaasi-Kyanja-24h'!J37,'03.08 Kisaasi-Kyanja-24h'!J37,'04.08 Kisaasi-Kyanja'!J37)</f>
        <v>1.7142857142857142</v>
      </c>
      <c r="K37" s="49">
        <f>AVERAGE('29.07 Kisaasi-Kyanja'!K37,'30.07 Kisaasi-Kyanja'!K37,'31.07 Kisaasi-Kyanja'!K37,'02.08 Kisaasi-Kyanja'!K37,'01.08 Kisaasi-Kyanja-24h'!K37,'03.08 Kisaasi-Kyanja-24h'!K37,'04.08 Kisaasi-Kyanja'!K37)</f>
        <v>0.5714285714285714</v>
      </c>
      <c r="L37" s="49">
        <f>AVERAGE('29.07 Kisaasi-Kyanja'!L37,'30.07 Kisaasi-Kyanja'!L37,'31.07 Kisaasi-Kyanja'!L37,'02.08 Kisaasi-Kyanja'!L37,'01.08 Kisaasi-Kyanja-24h'!L37,'03.08 Kisaasi-Kyanja-24h'!L37,'04.08 Kisaasi-Kyanja'!L37)</f>
        <v>0</v>
      </c>
      <c r="M37" s="49">
        <f>AVERAGE('29.07 Kisaasi-Kyanja'!M37,'30.07 Kisaasi-Kyanja'!M37,'31.07 Kisaasi-Kyanja'!M37,'02.08 Kisaasi-Kyanja'!M37,'01.08 Kisaasi-Kyanja-24h'!M37,'03.08 Kisaasi-Kyanja-24h'!M37,'04.08 Kisaasi-Kyanja'!M37)</f>
        <v>99.285714285714292</v>
      </c>
      <c r="N37" s="49">
        <f>AVERAGE('29.07 Kisaasi-Kyanja'!N37,'30.07 Kisaasi-Kyanja'!N37,'31.07 Kisaasi-Kyanja'!N37,'02.08 Kisaasi-Kyanja'!N37,'01.08 Kisaasi-Kyanja-24h'!N37,'03.08 Kisaasi-Kyanja-24h'!N37,'04.08 Kisaasi-Kyanja'!N37)</f>
        <v>0</v>
      </c>
      <c r="O37" s="15">
        <f t="shared" si="0"/>
        <v>89.571428571428569</v>
      </c>
      <c r="P37" s="15">
        <f t="shared" si="1"/>
        <v>188.85714285714286</v>
      </c>
      <c r="R37" s="37" t="s">
        <v>85</v>
      </c>
      <c r="S37" s="35">
        <f t="shared" ref="S37:AF37" si="29">SUM(S10:S12)</f>
        <v>732.42857142857156</v>
      </c>
      <c r="T37" s="16">
        <f t="shared" si="29"/>
        <v>240.85714285714286</v>
      </c>
      <c r="U37" s="16">
        <f t="shared" si="29"/>
        <v>90.142857142857139</v>
      </c>
      <c r="V37" s="16">
        <f t="shared" si="29"/>
        <v>232.99999999999997</v>
      </c>
      <c r="W37" s="16">
        <f t="shared" si="29"/>
        <v>2.714285714285714</v>
      </c>
      <c r="X37" s="16">
        <f t="shared" si="29"/>
        <v>0</v>
      </c>
      <c r="Y37" s="16">
        <f t="shared" si="29"/>
        <v>42.428571428571431</v>
      </c>
      <c r="Z37" s="16">
        <f t="shared" si="29"/>
        <v>15.285714285714286</v>
      </c>
      <c r="AA37" s="16">
        <f t="shared" si="29"/>
        <v>21</v>
      </c>
      <c r="AB37" s="16">
        <f t="shared" si="29"/>
        <v>0.71428571428571419</v>
      </c>
      <c r="AC37" s="16">
        <f t="shared" si="29"/>
        <v>1798.7142857142858</v>
      </c>
      <c r="AD37" s="16">
        <f t="shared" si="29"/>
        <v>0</v>
      </c>
      <c r="AE37" s="32">
        <f t="shared" si="29"/>
        <v>1378.5714285714284</v>
      </c>
      <c r="AF37" s="32">
        <f t="shared" si="29"/>
        <v>3177.2857142857142</v>
      </c>
    </row>
    <row r="38" spans="2:32" ht="23.1" customHeight="1" x14ac:dyDescent="0.25">
      <c r="B38" s="24" t="s">
        <v>65</v>
      </c>
      <c r="C38" s="49">
        <f>AVERAGE('29.07 Kisaasi-Kyanja'!C38,'30.07 Kisaasi-Kyanja'!C38,'31.07 Kisaasi-Kyanja'!C38,'02.08 Kisaasi-Kyanja'!C38,'01.08 Kisaasi-Kyanja-24h'!C38,'03.08 Kisaasi-Kyanja-24h'!C38,'04.08 Kisaasi-Kyanja'!C38)</f>
        <v>53.571428571428569</v>
      </c>
      <c r="D38" s="49">
        <f>AVERAGE('29.07 Kisaasi-Kyanja'!D38,'30.07 Kisaasi-Kyanja'!D38,'31.07 Kisaasi-Kyanja'!D38,'02.08 Kisaasi-Kyanja'!D38,'01.08 Kisaasi-Kyanja-24h'!D38,'03.08 Kisaasi-Kyanja-24h'!D38,'04.08 Kisaasi-Kyanja'!D38)</f>
        <v>17</v>
      </c>
      <c r="E38" s="49">
        <f>AVERAGE('29.07 Kisaasi-Kyanja'!E38,'30.07 Kisaasi-Kyanja'!E38,'31.07 Kisaasi-Kyanja'!E38,'02.08 Kisaasi-Kyanja'!E38,'01.08 Kisaasi-Kyanja-24h'!E38,'03.08 Kisaasi-Kyanja-24h'!E38,'04.08 Kisaasi-Kyanja'!E38)</f>
        <v>6</v>
      </c>
      <c r="F38" s="49">
        <f>AVERAGE('29.07 Kisaasi-Kyanja'!F38,'30.07 Kisaasi-Kyanja'!F38,'31.07 Kisaasi-Kyanja'!F38,'02.08 Kisaasi-Kyanja'!F38,'01.08 Kisaasi-Kyanja-24h'!F38,'03.08 Kisaasi-Kyanja-24h'!F38,'04.08 Kisaasi-Kyanja'!F38)</f>
        <v>11.571428571428571</v>
      </c>
      <c r="G38" s="49">
        <f>AVERAGE('29.07 Kisaasi-Kyanja'!G38,'30.07 Kisaasi-Kyanja'!G38,'31.07 Kisaasi-Kyanja'!G38,'02.08 Kisaasi-Kyanja'!G38,'01.08 Kisaasi-Kyanja-24h'!G38,'03.08 Kisaasi-Kyanja-24h'!G38,'04.08 Kisaasi-Kyanja'!G38)</f>
        <v>0</v>
      </c>
      <c r="H38" s="49">
        <f>AVERAGE('29.07 Kisaasi-Kyanja'!H38,'30.07 Kisaasi-Kyanja'!H38,'31.07 Kisaasi-Kyanja'!H38,'02.08 Kisaasi-Kyanja'!H38,'01.08 Kisaasi-Kyanja-24h'!H38,'03.08 Kisaasi-Kyanja-24h'!H38,'04.08 Kisaasi-Kyanja'!H38)</f>
        <v>0</v>
      </c>
      <c r="I38" s="49">
        <f>AVERAGE('29.07 Kisaasi-Kyanja'!I38,'30.07 Kisaasi-Kyanja'!I38,'31.07 Kisaasi-Kyanja'!I38,'02.08 Kisaasi-Kyanja'!I38,'01.08 Kisaasi-Kyanja-24h'!I38,'03.08 Kisaasi-Kyanja-24h'!I38,'04.08 Kisaasi-Kyanja'!I38)</f>
        <v>6.2857142857142856</v>
      </c>
      <c r="J38" s="49">
        <f>AVERAGE('29.07 Kisaasi-Kyanja'!J38,'30.07 Kisaasi-Kyanja'!J38,'31.07 Kisaasi-Kyanja'!J38,'02.08 Kisaasi-Kyanja'!J38,'01.08 Kisaasi-Kyanja-24h'!J38,'03.08 Kisaasi-Kyanja-24h'!J38,'04.08 Kisaasi-Kyanja'!J38)</f>
        <v>2.1428571428571428</v>
      </c>
      <c r="K38" s="49">
        <f>AVERAGE('29.07 Kisaasi-Kyanja'!K38,'30.07 Kisaasi-Kyanja'!K38,'31.07 Kisaasi-Kyanja'!K38,'02.08 Kisaasi-Kyanja'!K38,'01.08 Kisaasi-Kyanja-24h'!K38,'03.08 Kisaasi-Kyanja-24h'!K38,'04.08 Kisaasi-Kyanja'!K38)</f>
        <v>1.7142857142857142</v>
      </c>
      <c r="L38" s="49">
        <f>AVERAGE('29.07 Kisaasi-Kyanja'!L38,'30.07 Kisaasi-Kyanja'!L38,'31.07 Kisaasi-Kyanja'!L38,'02.08 Kisaasi-Kyanja'!L38,'01.08 Kisaasi-Kyanja-24h'!L38,'03.08 Kisaasi-Kyanja-24h'!L38,'04.08 Kisaasi-Kyanja'!L38)</f>
        <v>0.2857142857142857</v>
      </c>
      <c r="M38" s="49">
        <f>AVERAGE('29.07 Kisaasi-Kyanja'!M38,'30.07 Kisaasi-Kyanja'!M38,'31.07 Kisaasi-Kyanja'!M38,'02.08 Kisaasi-Kyanja'!M38,'01.08 Kisaasi-Kyanja-24h'!M38,'03.08 Kisaasi-Kyanja-24h'!M38,'04.08 Kisaasi-Kyanja'!M38)</f>
        <v>77.714285714285708</v>
      </c>
      <c r="N38" s="49">
        <f>AVERAGE('29.07 Kisaasi-Kyanja'!N38,'30.07 Kisaasi-Kyanja'!N38,'31.07 Kisaasi-Kyanja'!N38,'02.08 Kisaasi-Kyanja'!N38,'01.08 Kisaasi-Kyanja-24h'!N38,'03.08 Kisaasi-Kyanja-24h'!N38,'04.08 Kisaasi-Kyanja'!N38)</f>
        <v>0</v>
      </c>
      <c r="O38" s="15">
        <f t="shared" si="0"/>
        <v>98.571428571428569</v>
      </c>
      <c r="P38" s="15">
        <f t="shared" si="1"/>
        <v>176.28571428571428</v>
      </c>
      <c r="R38" s="28" t="s">
        <v>86</v>
      </c>
      <c r="S38" s="16">
        <f t="shared" ref="S38:AF38" si="30">SUM(S13:S18)</f>
        <v>1107.9999999999998</v>
      </c>
      <c r="T38" s="16">
        <f t="shared" si="30"/>
        <v>466.14285714285711</v>
      </c>
      <c r="U38" s="16">
        <f t="shared" si="30"/>
        <v>143.71428571428572</v>
      </c>
      <c r="V38" s="16">
        <f t="shared" si="30"/>
        <v>332.85714285714283</v>
      </c>
      <c r="W38" s="16">
        <f t="shared" si="30"/>
        <v>3.1428571428571428</v>
      </c>
      <c r="X38" s="16">
        <f t="shared" si="30"/>
        <v>0.5714285714285714</v>
      </c>
      <c r="Y38" s="16">
        <f t="shared" si="30"/>
        <v>103.85714285714286</v>
      </c>
      <c r="Z38" s="16">
        <f t="shared" si="30"/>
        <v>43.142857142857139</v>
      </c>
      <c r="AA38" s="16">
        <f t="shared" si="30"/>
        <v>36.285714285714285</v>
      </c>
      <c r="AB38" s="16">
        <f t="shared" si="30"/>
        <v>5.1428571428571423</v>
      </c>
      <c r="AC38" s="16">
        <f t="shared" si="30"/>
        <v>2596.5714285714289</v>
      </c>
      <c r="AD38" s="16">
        <f t="shared" si="30"/>
        <v>0.14285714285714285</v>
      </c>
      <c r="AE38" s="32">
        <f t="shared" si="30"/>
        <v>2243</v>
      </c>
      <c r="AF38" s="32">
        <f t="shared" si="30"/>
        <v>4839.5714285714294</v>
      </c>
    </row>
    <row r="39" spans="2:32" ht="23.1" customHeight="1" x14ac:dyDescent="0.25">
      <c r="B39" s="24" t="s">
        <v>66</v>
      </c>
      <c r="C39" s="49">
        <f>AVERAGE('29.07 Kisaasi-Kyanja'!C39,'30.07 Kisaasi-Kyanja'!C39,'31.07 Kisaasi-Kyanja'!C39,'02.08 Kisaasi-Kyanja'!C39,'01.08 Kisaasi-Kyanja-24h'!C39,'03.08 Kisaasi-Kyanja-24h'!C39,'04.08 Kisaasi-Kyanja'!C39)</f>
        <v>40.571428571428569</v>
      </c>
      <c r="D39" s="49">
        <f>AVERAGE('29.07 Kisaasi-Kyanja'!D39,'30.07 Kisaasi-Kyanja'!D39,'31.07 Kisaasi-Kyanja'!D39,'02.08 Kisaasi-Kyanja'!D39,'01.08 Kisaasi-Kyanja-24h'!D39,'03.08 Kisaasi-Kyanja-24h'!D39,'04.08 Kisaasi-Kyanja'!D39)</f>
        <v>17.857142857142858</v>
      </c>
      <c r="E39" s="49">
        <f>AVERAGE('29.07 Kisaasi-Kyanja'!E39,'30.07 Kisaasi-Kyanja'!E39,'31.07 Kisaasi-Kyanja'!E39,'02.08 Kisaasi-Kyanja'!E39,'01.08 Kisaasi-Kyanja-24h'!E39,'03.08 Kisaasi-Kyanja-24h'!E39,'04.08 Kisaasi-Kyanja'!E39)</f>
        <v>7</v>
      </c>
      <c r="F39" s="49">
        <f>AVERAGE('29.07 Kisaasi-Kyanja'!F39,'30.07 Kisaasi-Kyanja'!F39,'31.07 Kisaasi-Kyanja'!F39,'02.08 Kisaasi-Kyanja'!F39,'01.08 Kisaasi-Kyanja-24h'!F39,'03.08 Kisaasi-Kyanja-24h'!F39,'04.08 Kisaasi-Kyanja'!F39)</f>
        <v>13.714285714285714</v>
      </c>
      <c r="G39" s="49">
        <f>AVERAGE('29.07 Kisaasi-Kyanja'!G39,'30.07 Kisaasi-Kyanja'!G39,'31.07 Kisaasi-Kyanja'!G39,'02.08 Kisaasi-Kyanja'!G39,'01.08 Kisaasi-Kyanja-24h'!G39,'03.08 Kisaasi-Kyanja-24h'!G39,'04.08 Kisaasi-Kyanja'!G39)</f>
        <v>1.1428571428571428</v>
      </c>
      <c r="H39" s="49">
        <f>AVERAGE('29.07 Kisaasi-Kyanja'!H39,'30.07 Kisaasi-Kyanja'!H39,'31.07 Kisaasi-Kyanja'!H39,'02.08 Kisaasi-Kyanja'!H39,'01.08 Kisaasi-Kyanja-24h'!H39,'03.08 Kisaasi-Kyanja-24h'!H39,'04.08 Kisaasi-Kyanja'!H39)</f>
        <v>0</v>
      </c>
      <c r="I39" s="49">
        <f>AVERAGE('29.07 Kisaasi-Kyanja'!I39,'30.07 Kisaasi-Kyanja'!I39,'31.07 Kisaasi-Kyanja'!I39,'02.08 Kisaasi-Kyanja'!I39,'01.08 Kisaasi-Kyanja-24h'!I39,'03.08 Kisaasi-Kyanja-24h'!I39,'04.08 Kisaasi-Kyanja'!I39)</f>
        <v>3.7142857142857144</v>
      </c>
      <c r="J39" s="49">
        <f>AVERAGE('29.07 Kisaasi-Kyanja'!J39,'30.07 Kisaasi-Kyanja'!J39,'31.07 Kisaasi-Kyanja'!J39,'02.08 Kisaasi-Kyanja'!J39,'01.08 Kisaasi-Kyanja-24h'!J39,'03.08 Kisaasi-Kyanja-24h'!J39,'04.08 Kisaasi-Kyanja'!J39)</f>
        <v>1.8571428571428572</v>
      </c>
      <c r="K39" s="49">
        <f>AVERAGE('29.07 Kisaasi-Kyanja'!K39,'30.07 Kisaasi-Kyanja'!K39,'31.07 Kisaasi-Kyanja'!K39,'02.08 Kisaasi-Kyanja'!K39,'01.08 Kisaasi-Kyanja-24h'!K39,'03.08 Kisaasi-Kyanja-24h'!K39,'04.08 Kisaasi-Kyanja'!K39)</f>
        <v>1.7142857142857142</v>
      </c>
      <c r="L39" s="49">
        <f>AVERAGE('29.07 Kisaasi-Kyanja'!L39,'30.07 Kisaasi-Kyanja'!L39,'31.07 Kisaasi-Kyanja'!L39,'02.08 Kisaasi-Kyanja'!L39,'01.08 Kisaasi-Kyanja-24h'!L39,'03.08 Kisaasi-Kyanja-24h'!L39,'04.08 Kisaasi-Kyanja'!L39)</f>
        <v>0.14285714285714285</v>
      </c>
      <c r="M39" s="49">
        <f>AVERAGE('29.07 Kisaasi-Kyanja'!M39,'30.07 Kisaasi-Kyanja'!M39,'31.07 Kisaasi-Kyanja'!M39,'02.08 Kisaasi-Kyanja'!M39,'01.08 Kisaasi-Kyanja-24h'!M39,'03.08 Kisaasi-Kyanja-24h'!M39,'04.08 Kisaasi-Kyanja'!M39)</f>
        <v>97.571428571428569</v>
      </c>
      <c r="N39" s="49">
        <f>AVERAGE('29.07 Kisaasi-Kyanja'!N39,'30.07 Kisaasi-Kyanja'!N39,'31.07 Kisaasi-Kyanja'!N39,'02.08 Kisaasi-Kyanja'!N39,'01.08 Kisaasi-Kyanja-24h'!N39,'03.08 Kisaasi-Kyanja-24h'!N39,'04.08 Kisaasi-Kyanja'!N39)</f>
        <v>0</v>
      </c>
      <c r="O39" s="15">
        <f t="shared" si="0"/>
        <v>87.714285714285694</v>
      </c>
      <c r="P39" s="15">
        <f t="shared" si="1"/>
        <v>185.28571428571428</v>
      </c>
      <c r="R39" s="29" t="s">
        <v>87</v>
      </c>
      <c r="S39" s="16">
        <f t="shared" ref="S39:AF39" si="31">SUM(S19:S21)</f>
        <v>692</v>
      </c>
      <c r="T39" s="16">
        <f t="shared" si="31"/>
        <v>347.71428571428572</v>
      </c>
      <c r="U39" s="16">
        <f t="shared" si="31"/>
        <v>82.571428571428584</v>
      </c>
      <c r="V39" s="16">
        <f t="shared" si="31"/>
        <v>200.85714285714286</v>
      </c>
      <c r="W39" s="16">
        <f t="shared" si="31"/>
        <v>2.4285714285714284</v>
      </c>
      <c r="X39" s="16">
        <f t="shared" si="31"/>
        <v>0.5714285714285714</v>
      </c>
      <c r="Y39" s="16">
        <f t="shared" si="31"/>
        <v>51.714285714285708</v>
      </c>
      <c r="Z39" s="16">
        <f t="shared" si="31"/>
        <v>18.428571428571427</v>
      </c>
      <c r="AA39" s="16">
        <f t="shared" si="31"/>
        <v>15</v>
      </c>
      <c r="AB39" s="16">
        <f t="shared" si="31"/>
        <v>1.5714285714285712</v>
      </c>
      <c r="AC39" s="16">
        <f t="shared" si="31"/>
        <v>1572</v>
      </c>
      <c r="AD39" s="16">
        <f t="shared" si="31"/>
        <v>0.42857142857142855</v>
      </c>
      <c r="AE39" s="32">
        <f t="shared" si="31"/>
        <v>1413.2857142857142</v>
      </c>
      <c r="AF39" s="32">
        <f t="shared" si="31"/>
        <v>2985.2857142857142</v>
      </c>
    </row>
    <row r="40" spans="2:32" ht="23.1" customHeight="1" x14ac:dyDescent="0.25">
      <c r="B40" s="24" t="s">
        <v>67</v>
      </c>
      <c r="C40" s="49">
        <f>AVERAGE('29.07 Kisaasi-Kyanja'!C40,'30.07 Kisaasi-Kyanja'!C40,'31.07 Kisaasi-Kyanja'!C40,'02.08 Kisaasi-Kyanja'!C40,'01.08 Kisaasi-Kyanja-24h'!C40,'03.08 Kisaasi-Kyanja-24h'!C40,'04.08 Kisaasi-Kyanja'!C40)</f>
        <v>48.714285714285715</v>
      </c>
      <c r="D40" s="49">
        <f>AVERAGE('29.07 Kisaasi-Kyanja'!D40,'30.07 Kisaasi-Kyanja'!D40,'31.07 Kisaasi-Kyanja'!D40,'02.08 Kisaasi-Kyanja'!D40,'01.08 Kisaasi-Kyanja-24h'!D40,'03.08 Kisaasi-Kyanja-24h'!D40,'04.08 Kisaasi-Kyanja'!D40)</f>
        <v>21.714285714285715</v>
      </c>
      <c r="E40" s="49">
        <f>AVERAGE('29.07 Kisaasi-Kyanja'!E40,'30.07 Kisaasi-Kyanja'!E40,'31.07 Kisaasi-Kyanja'!E40,'02.08 Kisaasi-Kyanja'!E40,'01.08 Kisaasi-Kyanja-24h'!E40,'03.08 Kisaasi-Kyanja-24h'!E40,'04.08 Kisaasi-Kyanja'!E40)</f>
        <v>5.1428571428571432</v>
      </c>
      <c r="F40" s="49">
        <f>AVERAGE('29.07 Kisaasi-Kyanja'!F40,'30.07 Kisaasi-Kyanja'!F40,'31.07 Kisaasi-Kyanja'!F40,'02.08 Kisaasi-Kyanja'!F40,'01.08 Kisaasi-Kyanja-24h'!F40,'03.08 Kisaasi-Kyanja-24h'!F40,'04.08 Kisaasi-Kyanja'!F40)</f>
        <v>15.714285714285714</v>
      </c>
      <c r="G40" s="49">
        <f>AVERAGE('29.07 Kisaasi-Kyanja'!G40,'30.07 Kisaasi-Kyanja'!G40,'31.07 Kisaasi-Kyanja'!G40,'02.08 Kisaasi-Kyanja'!G40,'01.08 Kisaasi-Kyanja-24h'!G40,'03.08 Kisaasi-Kyanja-24h'!G40,'04.08 Kisaasi-Kyanja'!G40)</f>
        <v>0.42857142857142855</v>
      </c>
      <c r="H40" s="49">
        <f>AVERAGE('29.07 Kisaasi-Kyanja'!H40,'30.07 Kisaasi-Kyanja'!H40,'31.07 Kisaasi-Kyanja'!H40,'02.08 Kisaasi-Kyanja'!H40,'01.08 Kisaasi-Kyanja-24h'!H40,'03.08 Kisaasi-Kyanja-24h'!H40,'04.08 Kisaasi-Kyanja'!H40)</f>
        <v>0.42857142857142855</v>
      </c>
      <c r="I40" s="49">
        <f>AVERAGE('29.07 Kisaasi-Kyanja'!I40,'30.07 Kisaasi-Kyanja'!I40,'31.07 Kisaasi-Kyanja'!I40,'02.08 Kisaasi-Kyanja'!I40,'01.08 Kisaasi-Kyanja-24h'!I40,'03.08 Kisaasi-Kyanja-24h'!I40,'04.08 Kisaasi-Kyanja'!I40)</f>
        <v>4.7142857142857144</v>
      </c>
      <c r="J40" s="49">
        <f>AVERAGE('29.07 Kisaasi-Kyanja'!J40,'30.07 Kisaasi-Kyanja'!J40,'31.07 Kisaasi-Kyanja'!J40,'02.08 Kisaasi-Kyanja'!J40,'01.08 Kisaasi-Kyanja-24h'!J40,'03.08 Kisaasi-Kyanja-24h'!J40,'04.08 Kisaasi-Kyanja'!J40)</f>
        <v>1.5714285714285714</v>
      </c>
      <c r="K40" s="49">
        <f>AVERAGE('29.07 Kisaasi-Kyanja'!K40,'30.07 Kisaasi-Kyanja'!K40,'31.07 Kisaasi-Kyanja'!K40,'02.08 Kisaasi-Kyanja'!K40,'01.08 Kisaasi-Kyanja-24h'!K40,'03.08 Kisaasi-Kyanja-24h'!K40,'04.08 Kisaasi-Kyanja'!K40)</f>
        <v>1.7142857142857142</v>
      </c>
      <c r="L40" s="49">
        <f>AVERAGE('29.07 Kisaasi-Kyanja'!L40,'30.07 Kisaasi-Kyanja'!L40,'31.07 Kisaasi-Kyanja'!L40,'02.08 Kisaasi-Kyanja'!L40,'01.08 Kisaasi-Kyanja-24h'!L40,'03.08 Kisaasi-Kyanja-24h'!L40,'04.08 Kisaasi-Kyanja'!L40)</f>
        <v>0.14285714285714285</v>
      </c>
      <c r="M40" s="49">
        <f>AVERAGE('29.07 Kisaasi-Kyanja'!M40,'30.07 Kisaasi-Kyanja'!M40,'31.07 Kisaasi-Kyanja'!M40,'02.08 Kisaasi-Kyanja'!M40,'01.08 Kisaasi-Kyanja-24h'!M40,'03.08 Kisaasi-Kyanja-24h'!M40,'04.08 Kisaasi-Kyanja'!M40)</f>
        <v>96</v>
      </c>
      <c r="N40" s="49">
        <f>AVERAGE('29.07 Kisaasi-Kyanja'!N40,'30.07 Kisaasi-Kyanja'!N40,'31.07 Kisaasi-Kyanja'!N40,'02.08 Kisaasi-Kyanja'!N40,'01.08 Kisaasi-Kyanja-24h'!N40,'03.08 Kisaasi-Kyanja-24h'!N40,'04.08 Kisaasi-Kyanja'!N40)</f>
        <v>0</v>
      </c>
      <c r="O40" s="15">
        <f t="shared" si="0"/>
        <v>100.28571428571426</v>
      </c>
      <c r="P40" s="15">
        <f t="shared" si="1"/>
        <v>196.28571428571428</v>
      </c>
      <c r="R40" s="5" t="s">
        <v>17</v>
      </c>
      <c r="S40" s="16">
        <f t="shared" ref="S40:AF40" si="32">SUM(S10:S21)</f>
        <v>2532.4285714285711</v>
      </c>
      <c r="T40" s="16">
        <f t="shared" si="32"/>
        <v>1054.7142857142858</v>
      </c>
      <c r="U40" s="16">
        <f t="shared" si="32"/>
        <v>316.42857142857139</v>
      </c>
      <c r="V40" s="16">
        <f t="shared" si="32"/>
        <v>766.71428571428555</v>
      </c>
      <c r="W40" s="16">
        <f t="shared" si="32"/>
        <v>8.2857142857142847</v>
      </c>
      <c r="X40" s="16">
        <f t="shared" si="32"/>
        <v>1.1428571428571428</v>
      </c>
      <c r="Y40" s="16">
        <f t="shared" si="32"/>
        <v>197.99999999999997</v>
      </c>
      <c r="Z40" s="16">
        <f t="shared" si="32"/>
        <v>76.857142857142847</v>
      </c>
      <c r="AA40" s="16">
        <f t="shared" si="32"/>
        <v>72.285714285714292</v>
      </c>
      <c r="AB40" s="16">
        <f t="shared" si="32"/>
        <v>7.4285714285714279</v>
      </c>
      <c r="AC40" s="16">
        <f t="shared" si="32"/>
        <v>5967.2857142857138</v>
      </c>
      <c r="AD40" s="16">
        <f t="shared" si="32"/>
        <v>0.5714285714285714</v>
      </c>
      <c r="AE40" s="32">
        <f t="shared" si="32"/>
        <v>5034.8571428571431</v>
      </c>
      <c r="AF40" s="32">
        <f t="shared" si="32"/>
        <v>11002.142857142857</v>
      </c>
    </row>
    <row r="41" spans="2:32" ht="23.1" customHeight="1" x14ac:dyDescent="0.25">
      <c r="B41" s="23" t="s">
        <v>68</v>
      </c>
      <c r="C41" s="49">
        <f>AVERAGE('29.07 Kisaasi-Kyanja'!C41,'30.07 Kisaasi-Kyanja'!C41,'31.07 Kisaasi-Kyanja'!C41,'02.08 Kisaasi-Kyanja'!C41,'01.08 Kisaasi-Kyanja-24h'!C41,'03.08 Kisaasi-Kyanja-24h'!C41,'04.08 Kisaasi-Kyanja'!C41)</f>
        <v>50.142857142857146</v>
      </c>
      <c r="D41" s="49">
        <f>AVERAGE('29.07 Kisaasi-Kyanja'!D41,'30.07 Kisaasi-Kyanja'!D41,'31.07 Kisaasi-Kyanja'!D41,'02.08 Kisaasi-Kyanja'!D41,'01.08 Kisaasi-Kyanja-24h'!D41,'03.08 Kisaasi-Kyanja-24h'!D41,'04.08 Kisaasi-Kyanja'!D41)</f>
        <v>19</v>
      </c>
      <c r="E41" s="49">
        <f>AVERAGE('29.07 Kisaasi-Kyanja'!E41,'30.07 Kisaasi-Kyanja'!E41,'31.07 Kisaasi-Kyanja'!E41,'02.08 Kisaasi-Kyanja'!E41,'01.08 Kisaasi-Kyanja-24h'!E41,'03.08 Kisaasi-Kyanja-24h'!E41,'04.08 Kisaasi-Kyanja'!E41)</f>
        <v>4.4285714285714288</v>
      </c>
      <c r="F41" s="49">
        <f>AVERAGE('29.07 Kisaasi-Kyanja'!F41,'30.07 Kisaasi-Kyanja'!F41,'31.07 Kisaasi-Kyanja'!F41,'02.08 Kisaasi-Kyanja'!F41,'01.08 Kisaasi-Kyanja-24h'!F41,'03.08 Kisaasi-Kyanja-24h'!F41,'04.08 Kisaasi-Kyanja'!F41)</f>
        <v>13.857142857142858</v>
      </c>
      <c r="G41" s="49">
        <f>AVERAGE('29.07 Kisaasi-Kyanja'!G41,'30.07 Kisaasi-Kyanja'!G41,'31.07 Kisaasi-Kyanja'!G41,'02.08 Kisaasi-Kyanja'!G41,'01.08 Kisaasi-Kyanja-24h'!G41,'03.08 Kisaasi-Kyanja-24h'!G41,'04.08 Kisaasi-Kyanja'!G41)</f>
        <v>0.2857142857142857</v>
      </c>
      <c r="H41" s="49">
        <f>AVERAGE('29.07 Kisaasi-Kyanja'!H41,'30.07 Kisaasi-Kyanja'!H41,'31.07 Kisaasi-Kyanja'!H41,'02.08 Kisaasi-Kyanja'!H41,'01.08 Kisaasi-Kyanja-24h'!H41,'03.08 Kisaasi-Kyanja-24h'!H41,'04.08 Kisaasi-Kyanja'!H41)</f>
        <v>0</v>
      </c>
      <c r="I41" s="49">
        <f>AVERAGE('29.07 Kisaasi-Kyanja'!I41,'30.07 Kisaasi-Kyanja'!I41,'31.07 Kisaasi-Kyanja'!I41,'02.08 Kisaasi-Kyanja'!I41,'01.08 Kisaasi-Kyanja-24h'!I41,'03.08 Kisaasi-Kyanja-24h'!I41,'04.08 Kisaasi-Kyanja'!I41)</f>
        <v>4</v>
      </c>
      <c r="J41" s="49">
        <f>AVERAGE('29.07 Kisaasi-Kyanja'!J41,'30.07 Kisaasi-Kyanja'!J41,'31.07 Kisaasi-Kyanja'!J41,'02.08 Kisaasi-Kyanja'!J41,'01.08 Kisaasi-Kyanja-24h'!J41,'03.08 Kisaasi-Kyanja-24h'!J41,'04.08 Kisaasi-Kyanja'!J41)</f>
        <v>1.8571428571428572</v>
      </c>
      <c r="K41" s="49">
        <f>AVERAGE('29.07 Kisaasi-Kyanja'!K41,'30.07 Kisaasi-Kyanja'!K41,'31.07 Kisaasi-Kyanja'!K41,'02.08 Kisaasi-Kyanja'!K41,'01.08 Kisaasi-Kyanja-24h'!K41,'03.08 Kisaasi-Kyanja-24h'!K41,'04.08 Kisaasi-Kyanja'!K41)</f>
        <v>1.1428571428571428</v>
      </c>
      <c r="L41" s="49">
        <f>AVERAGE('29.07 Kisaasi-Kyanja'!L41,'30.07 Kisaasi-Kyanja'!L41,'31.07 Kisaasi-Kyanja'!L41,'02.08 Kisaasi-Kyanja'!L41,'01.08 Kisaasi-Kyanja-24h'!L41,'03.08 Kisaasi-Kyanja-24h'!L41,'04.08 Kisaasi-Kyanja'!L41)</f>
        <v>0.14285714285714285</v>
      </c>
      <c r="M41" s="49">
        <f>AVERAGE('29.07 Kisaasi-Kyanja'!M41,'30.07 Kisaasi-Kyanja'!M41,'31.07 Kisaasi-Kyanja'!M41,'02.08 Kisaasi-Kyanja'!M41,'01.08 Kisaasi-Kyanja-24h'!M41,'03.08 Kisaasi-Kyanja-24h'!M41,'04.08 Kisaasi-Kyanja'!M41)</f>
        <v>102.14285714285714</v>
      </c>
      <c r="N41" s="49">
        <f>AVERAGE('29.07 Kisaasi-Kyanja'!N41,'30.07 Kisaasi-Kyanja'!N41,'31.07 Kisaasi-Kyanja'!N41,'02.08 Kisaasi-Kyanja'!N41,'01.08 Kisaasi-Kyanja-24h'!N41,'03.08 Kisaasi-Kyanja-24h'!N41,'04.08 Kisaasi-Kyanja'!N41)</f>
        <v>0</v>
      </c>
      <c r="O41" s="15">
        <f t="shared" si="0"/>
        <v>94.857142857142861</v>
      </c>
      <c r="P41" s="15">
        <f t="shared" si="1"/>
        <v>197</v>
      </c>
      <c r="R41" s="5" t="s">
        <v>186</v>
      </c>
      <c r="S41" s="53">
        <f>SUM(S10:S33)</f>
        <v>3954.9285714285711</v>
      </c>
      <c r="T41" s="53">
        <f t="shared" ref="T41:AD41" si="33">SUM(T10:T33)</f>
        <v>1731.7142857142858</v>
      </c>
      <c r="U41" s="53">
        <f t="shared" si="33"/>
        <v>455.42857142857139</v>
      </c>
      <c r="V41" s="53">
        <f t="shared" si="33"/>
        <v>1217.2142857142856</v>
      </c>
      <c r="W41" s="53">
        <f t="shared" si="33"/>
        <v>12.285714285714285</v>
      </c>
      <c r="X41" s="53">
        <f t="shared" si="33"/>
        <v>1.6428571428571428</v>
      </c>
      <c r="Y41" s="53">
        <f t="shared" si="33"/>
        <v>276.5</v>
      </c>
      <c r="Z41" s="53">
        <f t="shared" si="33"/>
        <v>109.85714285714285</v>
      </c>
      <c r="AA41" s="53">
        <f t="shared" si="33"/>
        <v>91.785714285714292</v>
      </c>
      <c r="AB41" s="53">
        <f t="shared" si="33"/>
        <v>15.928571428571427</v>
      </c>
      <c r="AC41" s="53">
        <f t="shared" si="33"/>
        <v>7964.2857142857138</v>
      </c>
      <c r="AD41" s="53">
        <f t="shared" si="33"/>
        <v>0.5714285714285714</v>
      </c>
      <c r="AE41" s="54">
        <f>SUM(AE10:AE33)</f>
        <v>7867.8571428571431</v>
      </c>
      <c r="AF41" s="54">
        <f>SUM(AF10:AF33)</f>
        <v>15832.142857142857</v>
      </c>
    </row>
    <row r="42" spans="2:32" ht="23.1" customHeight="1" x14ac:dyDescent="0.25">
      <c r="B42" s="24" t="s">
        <v>69</v>
      </c>
      <c r="C42" s="49">
        <f>AVERAGE('29.07 Kisaasi-Kyanja'!C42,'30.07 Kisaasi-Kyanja'!C42,'31.07 Kisaasi-Kyanja'!C42,'02.08 Kisaasi-Kyanja'!C42,'01.08 Kisaasi-Kyanja-24h'!C42,'03.08 Kisaasi-Kyanja-24h'!C42,'04.08 Kisaasi-Kyanja'!C42)</f>
        <v>48.428571428571431</v>
      </c>
      <c r="D42" s="49">
        <f>AVERAGE('29.07 Kisaasi-Kyanja'!D42,'30.07 Kisaasi-Kyanja'!D42,'31.07 Kisaasi-Kyanja'!D42,'02.08 Kisaasi-Kyanja'!D42,'01.08 Kisaasi-Kyanja-24h'!D42,'03.08 Kisaasi-Kyanja-24h'!D42,'04.08 Kisaasi-Kyanja'!D42)</f>
        <v>24.428571428571427</v>
      </c>
      <c r="E42" s="49">
        <f>AVERAGE('29.07 Kisaasi-Kyanja'!E42,'30.07 Kisaasi-Kyanja'!E42,'31.07 Kisaasi-Kyanja'!E42,'02.08 Kisaasi-Kyanja'!E42,'01.08 Kisaasi-Kyanja-24h'!E42,'03.08 Kisaasi-Kyanja-24h'!E42,'04.08 Kisaasi-Kyanja'!E42)</f>
        <v>7.4285714285714288</v>
      </c>
      <c r="F42" s="49">
        <f>AVERAGE('29.07 Kisaasi-Kyanja'!F42,'30.07 Kisaasi-Kyanja'!F42,'31.07 Kisaasi-Kyanja'!F42,'02.08 Kisaasi-Kyanja'!F42,'01.08 Kisaasi-Kyanja-24h'!F42,'03.08 Kisaasi-Kyanja-24h'!F42,'04.08 Kisaasi-Kyanja'!F42)</f>
        <v>15.285714285714286</v>
      </c>
      <c r="G42" s="49">
        <f>AVERAGE('29.07 Kisaasi-Kyanja'!G42,'30.07 Kisaasi-Kyanja'!G42,'31.07 Kisaasi-Kyanja'!G42,'02.08 Kisaasi-Kyanja'!G42,'01.08 Kisaasi-Kyanja-24h'!G42,'03.08 Kisaasi-Kyanja-24h'!G42,'04.08 Kisaasi-Kyanja'!G42)</f>
        <v>0</v>
      </c>
      <c r="H42" s="49">
        <f>AVERAGE('29.07 Kisaasi-Kyanja'!H42,'30.07 Kisaasi-Kyanja'!H42,'31.07 Kisaasi-Kyanja'!H42,'02.08 Kisaasi-Kyanja'!H42,'01.08 Kisaasi-Kyanja-24h'!H42,'03.08 Kisaasi-Kyanja-24h'!H42,'04.08 Kisaasi-Kyanja'!H42)</f>
        <v>0</v>
      </c>
      <c r="I42" s="49">
        <f>AVERAGE('29.07 Kisaasi-Kyanja'!I42,'30.07 Kisaasi-Kyanja'!I42,'31.07 Kisaasi-Kyanja'!I42,'02.08 Kisaasi-Kyanja'!I42,'01.08 Kisaasi-Kyanja-24h'!I42,'03.08 Kisaasi-Kyanja-24h'!I42,'04.08 Kisaasi-Kyanja'!I42)</f>
        <v>5.4285714285714288</v>
      </c>
      <c r="J42" s="49">
        <f>AVERAGE('29.07 Kisaasi-Kyanja'!J42,'30.07 Kisaasi-Kyanja'!J42,'31.07 Kisaasi-Kyanja'!J42,'02.08 Kisaasi-Kyanja'!J42,'01.08 Kisaasi-Kyanja-24h'!J42,'03.08 Kisaasi-Kyanja-24h'!J42,'04.08 Kisaasi-Kyanja'!J42)</f>
        <v>1.7142857142857142</v>
      </c>
      <c r="K42" s="49">
        <f>AVERAGE('29.07 Kisaasi-Kyanja'!K42,'30.07 Kisaasi-Kyanja'!K42,'31.07 Kisaasi-Kyanja'!K42,'02.08 Kisaasi-Kyanja'!K42,'01.08 Kisaasi-Kyanja-24h'!K42,'03.08 Kisaasi-Kyanja-24h'!K42,'04.08 Kisaasi-Kyanja'!K42)</f>
        <v>2</v>
      </c>
      <c r="L42" s="49">
        <f>AVERAGE('29.07 Kisaasi-Kyanja'!L42,'30.07 Kisaasi-Kyanja'!L42,'31.07 Kisaasi-Kyanja'!L42,'02.08 Kisaasi-Kyanja'!L42,'01.08 Kisaasi-Kyanja-24h'!L42,'03.08 Kisaasi-Kyanja-24h'!L42,'04.08 Kisaasi-Kyanja'!L42)</f>
        <v>0.14285714285714285</v>
      </c>
      <c r="M42" s="49">
        <f>AVERAGE('29.07 Kisaasi-Kyanja'!M42,'30.07 Kisaasi-Kyanja'!M42,'31.07 Kisaasi-Kyanja'!M42,'02.08 Kisaasi-Kyanja'!M42,'01.08 Kisaasi-Kyanja-24h'!M42,'03.08 Kisaasi-Kyanja-24h'!M42,'04.08 Kisaasi-Kyanja'!M42)</f>
        <v>114.14285714285714</v>
      </c>
      <c r="N42" s="49">
        <f>AVERAGE('29.07 Kisaasi-Kyanja'!N42,'30.07 Kisaasi-Kyanja'!N42,'31.07 Kisaasi-Kyanja'!N42,'02.08 Kisaasi-Kyanja'!N42,'01.08 Kisaasi-Kyanja-24h'!N42,'03.08 Kisaasi-Kyanja-24h'!N42,'04.08 Kisaasi-Kyanja'!N42)</f>
        <v>0</v>
      </c>
      <c r="O42" s="15">
        <f t="shared" si="0"/>
        <v>104.85714285714286</v>
      </c>
      <c r="P42" s="15">
        <f t="shared" si="1"/>
        <v>219</v>
      </c>
      <c r="R42" s="5" t="s">
        <v>160</v>
      </c>
      <c r="S42" s="48">
        <f>S41/S40</f>
        <v>1.5617137699554353</v>
      </c>
      <c r="T42" s="48">
        <f t="shared" ref="T42:AF42" si="34">T41/T40</f>
        <v>1.6418799945821481</v>
      </c>
      <c r="U42" s="48">
        <f t="shared" si="34"/>
        <v>1.4392776523702031</v>
      </c>
      <c r="V42" s="48">
        <f t="shared" si="34"/>
        <v>1.5875722004844421</v>
      </c>
      <c r="W42" s="48">
        <f t="shared" si="34"/>
        <v>1.4827586206896552</v>
      </c>
      <c r="X42" s="48">
        <f t="shared" si="34"/>
        <v>1.4375</v>
      </c>
      <c r="Y42" s="48">
        <f t="shared" si="34"/>
        <v>1.3964646464646466</v>
      </c>
      <c r="Z42" s="48">
        <f t="shared" si="34"/>
        <v>1.4293680297397771</v>
      </c>
      <c r="AA42" s="48">
        <f t="shared" si="34"/>
        <v>1.2697628458498023</v>
      </c>
      <c r="AB42" s="48">
        <f t="shared" si="34"/>
        <v>2.1442307692307692</v>
      </c>
      <c r="AC42" s="48">
        <f t="shared" si="34"/>
        <v>1.3346580163271169</v>
      </c>
      <c r="AD42" s="48">
        <f t="shared" si="34"/>
        <v>1</v>
      </c>
      <c r="AE42" s="51">
        <f t="shared" si="34"/>
        <v>1.5626773351492453</v>
      </c>
      <c r="AF42" s="51">
        <f t="shared" si="34"/>
        <v>1.43900538856067</v>
      </c>
    </row>
    <row r="43" spans="2:32" ht="23.1" customHeight="1" x14ac:dyDescent="0.25">
      <c r="B43" s="23" t="s">
        <v>70</v>
      </c>
      <c r="C43" s="49">
        <f>AVERAGE('29.07 Kisaasi-Kyanja'!C43,'30.07 Kisaasi-Kyanja'!C43,'31.07 Kisaasi-Kyanja'!C43,'02.08 Kisaasi-Kyanja'!C43,'01.08 Kisaasi-Kyanja-24h'!C43,'03.08 Kisaasi-Kyanja-24h'!C43,'04.08 Kisaasi-Kyanja'!C43)</f>
        <v>41.714285714285715</v>
      </c>
      <c r="D43" s="49">
        <f>AVERAGE('29.07 Kisaasi-Kyanja'!D43,'30.07 Kisaasi-Kyanja'!D43,'31.07 Kisaasi-Kyanja'!D43,'02.08 Kisaasi-Kyanja'!D43,'01.08 Kisaasi-Kyanja-24h'!D43,'03.08 Kisaasi-Kyanja-24h'!D43,'04.08 Kisaasi-Kyanja'!D43)</f>
        <v>19.142857142857142</v>
      </c>
      <c r="E43" s="49">
        <f>AVERAGE('29.07 Kisaasi-Kyanja'!E43,'30.07 Kisaasi-Kyanja'!E43,'31.07 Kisaasi-Kyanja'!E43,'02.08 Kisaasi-Kyanja'!E43,'01.08 Kisaasi-Kyanja-24h'!E43,'03.08 Kisaasi-Kyanja-24h'!E43,'04.08 Kisaasi-Kyanja'!E43)</f>
        <v>7.1428571428571432</v>
      </c>
      <c r="F43" s="49">
        <f>AVERAGE('29.07 Kisaasi-Kyanja'!F43,'30.07 Kisaasi-Kyanja'!F43,'31.07 Kisaasi-Kyanja'!F43,'02.08 Kisaasi-Kyanja'!F43,'01.08 Kisaasi-Kyanja-24h'!F43,'03.08 Kisaasi-Kyanja-24h'!F43,'04.08 Kisaasi-Kyanja'!F43)</f>
        <v>9.8571428571428577</v>
      </c>
      <c r="G43" s="49">
        <f>AVERAGE('29.07 Kisaasi-Kyanja'!G43,'30.07 Kisaasi-Kyanja'!G43,'31.07 Kisaasi-Kyanja'!G43,'02.08 Kisaasi-Kyanja'!G43,'01.08 Kisaasi-Kyanja-24h'!G43,'03.08 Kisaasi-Kyanja-24h'!G43,'04.08 Kisaasi-Kyanja'!G43)</f>
        <v>0.14285714285714285</v>
      </c>
      <c r="H43" s="49">
        <f>AVERAGE('29.07 Kisaasi-Kyanja'!H43,'30.07 Kisaasi-Kyanja'!H43,'31.07 Kisaasi-Kyanja'!H43,'02.08 Kisaasi-Kyanja'!H43,'01.08 Kisaasi-Kyanja-24h'!H43,'03.08 Kisaasi-Kyanja-24h'!H43,'04.08 Kisaasi-Kyanja'!H43)</f>
        <v>0</v>
      </c>
      <c r="I43" s="49">
        <f>AVERAGE('29.07 Kisaasi-Kyanja'!I43,'30.07 Kisaasi-Kyanja'!I43,'31.07 Kisaasi-Kyanja'!I43,'02.08 Kisaasi-Kyanja'!I43,'01.08 Kisaasi-Kyanja-24h'!I43,'03.08 Kisaasi-Kyanja-24h'!I43,'04.08 Kisaasi-Kyanja'!I43)</f>
        <v>4.8571428571428568</v>
      </c>
      <c r="J43" s="49">
        <f>AVERAGE('29.07 Kisaasi-Kyanja'!J43,'30.07 Kisaasi-Kyanja'!J43,'31.07 Kisaasi-Kyanja'!J43,'02.08 Kisaasi-Kyanja'!J43,'01.08 Kisaasi-Kyanja-24h'!J43,'03.08 Kisaasi-Kyanja-24h'!J43,'04.08 Kisaasi-Kyanja'!J43)</f>
        <v>2.7142857142857144</v>
      </c>
      <c r="K43" s="49">
        <f>AVERAGE('29.07 Kisaasi-Kyanja'!K43,'30.07 Kisaasi-Kyanja'!K43,'31.07 Kisaasi-Kyanja'!K43,'02.08 Kisaasi-Kyanja'!K43,'01.08 Kisaasi-Kyanja-24h'!K43,'03.08 Kisaasi-Kyanja-24h'!K43,'04.08 Kisaasi-Kyanja'!K43)</f>
        <v>0.8571428571428571</v>
      </c>
      <c r="L43" s="49">
        <f>AVERAGE('29.07 Kisaasi-Kyanja'!L43,'30.07 Kisaasi-Kyanja'!L43,'31.07 Kisaasi-Kyanja'!L43,'02.08 Kisaasi-Kyanja'!L43,'01.08 Kisaasi-Kyanja-24h'!L43,'03.08 Kisaasi-Kyanja-24h'!L43,'04.08 Kisaasi-Kyanja'!L43)</f>
        <v>0</v>
      </c>
      <c r="M43" s="49">
        <f>AVERAGE('29.07 Kisaasi-Kyanja'!M43,'30.07 Kisaasi-Kyanja'!M43,'31.07 Kisaasi-Kyanja'!M43,'02.08 Kisaasi-Kyanja'!M43,'01.08 Kisaasi-Kyanja-24h'!M43,'03.08 Kisaasi-Kyanja-24h'!M43,'04.08 Kisaasi-Kyanja'!M43)</f>
        <v>102.28571428571429</v>
      </c>
      <c r="N43" s="49">
        <f>AVERAGE('29.07 Kisaasi-Kyanja'!N43,'30.07 Kisaasi-Kyanja'!N43,'31.07 Kisaasi-Kyanja'!N43,'02.08 Kisaasi-Kyanja'!N43,'01.08 Kisaasi-Kyanja-24h'!N43,'03.08 Kisaasi-Kyanja-24h'!N43,'04.08 Kisaasi-Kyanja'!N43)</f>
        <v>0</v>
      </c>
      <c r="O43" s="15">
        <f t="shared" si="0"/>
        <v>86.428571428571431</v>
      </c>
      <c r="P43" s="15">
        <f t="shared" si="1"/>
        <v>188.71428571428572</v>
      </c>
    </row>
    <row r="44" spans="2:32" ht="23.1" customHeight="1" x14ac:dyDescent="0.25">
      <c r="B44" s="25" t="s">
        <v>71</v>
      </c>
      <c r="C44" s="49">
        <f>AVERAGE('29.07 Kisaasi-Kyanja'!C44,'30.07 Kisaasi-Kyanja'!C44,'31.07 Kisaasi-Kyanja'!C44,'02.08 Kisaasi-Kyanja'!C44,'01.08 Kisaasi-Kyanja-24h'!C44,'03.08 Kisaasi-Kyanja-24h'!C44,'04.08 Kisaasi-Kyanja'!C44)</f>
        <v>44.714285714285715</v>
      </c>
      <c r="D44" s="49">
        <f>AVERAGE('29.07 Kisaasi-Kyanja'!D44,'30.07 Kisaasi-Kyanja'!D44,'31.07 Kisaasi-Kyanja'!D44,'02.08 Kisaasi-Kyanja'!D44,'01.08 Kisaasi-Kyanja-24h'!D44,'03.08 Kisaasi-Kyanja-24h'!D44,'04.08 Kisaasi-Kyanja'!D44)</f>
        <v>21.142857142857142</v>
      </c>
      <c r="E44" s="49">
        <f>AVERAGE('29.07 Kisaasi-Kyanja'!E44,'30.07 Kisaasi-Kyanja'!E44,'31.07 Kisaasi-Kyanja'!E44,'02.08 Kisaasi-Kyanja'!E44,'01.08 Kisaasi-Kyanja-24h'!E44,'03.08 Kisaasi-Kyanja-24h'!E44,'04.08 Kisaasi-Kyanja'!E44)</f>
        <v>5.2857142857142856</v>
      </c>
      <c r="F44" s="49">
        <f>AVERAGE('29.07 Kisaasi-Kyanja'!F44,'30.07 Kisaasi-Kyanja'!F44,'31.07 Kisaasi-Kyanja'!F44,'02.08 Kisaasi-Kyanja'!F44,'01.08 Kisaasi-Kyanja-24h'!F44,'03.08 Kisaasi-Kyanja-24h'!F44,'04.08 Kisaasi-Kyanja'!F44)</f>
        <v>11.857142857142858</v>
      </c>
      <c r="G44" s="49">
        <f>AVERAGE('29.07 Kisaasi-Kyanja'!G44,'30.07 Kisaasi-Kyanja'!G44,'31.07 Kisaasi-Kyanja'!G44,'02.08 Kisaasi-Kyanja'!G44,'01.08 Kisaasi-Kyanja-24h'!G44,'03.08 Kisaasi-Kyanja-24h'!G44,'04.08 Kisaasi-Kyanja'!G44)</f>
        <v>0</v>
      </c>
      <c r="H44" s="49">
        <f>AVERAGE('29.07 Kisaasi-Kyanja'!H44,'30.07 Kisaasi-Kyanja'!H44,'31.07 Kisaasi-Kyanja'!H44,'02.08 Kisaasi-Kyanja'!H44,'01.08 Kisaasi-Kyanja-24h'!H44,'03.08 Kisaasi-Kyanja-24h'!H44,'04.08 Kisaasi-Kyanja'!H44)</f>
        <v>0</v>
      </c>
      <c r="I44" s="49">
        <f>AVERAGE('29.07 Kisaasi-Kyanja'!I44,'30.07 Kisaasi-Kyanja'!I44,'31.07 Kisaasi-Kyanja'!I44,'02.08 Kisaasi-Kyanja'!I44,'01.08 Kisaasi-Kyanja-24h'!I44,'03.08 Kisaasi-Kyanja-24h'!I44,'04.08 Kisaasi-Kyanja'!I44)</f>
        <v>4.8571428571428568</v>
      </c>
      <c r="J44" s="49">
        <f>AVERAGE('29.07 Kisaasi-Kyanja'!J44,'30.07 Kisaasi-Kyanja'!J44,'31.07 Kisaasi-Kyanja'!J44,'02.08 Kisaasi-Kyanja'!J44,'01.08 Kisaasi-Kyanja-24h'!J44,'03.08 Kisaasi-Kyanja-24h'!J44,'04.08 Kisaasi-Kyanja'!J44)</f>
        <v>2.5714285714285716</v>
      </c>
      <c r="K44" s="49">
        <f>AVERAGE('29.07 Kisaasi-Kyanja'!K44,'30.07 Kisaasi-Kyanja'!K44,'31.07 Kisaasi-Kyanja'!K44,'02.08 Kisaasi-Kyanja'!K44,'01.08 Kisaasi-Kyanja-24h'!K44,'03.08 Kisaasi-Kyanja-24h'!K44,'04.08 Kisaasi-Kyanja'!K44)</f>
        <v>2.4285714285714284</v>
      </c>
      <c r="L44" s="49">
        <f>AVERAGE('29.07 Kisaasi-Kyanja'!L44,'30.07 Kisaasi-Kyanja'!L44,'31.07 Kisaasi-Kyanja'!L44,'02.08 Kisaasi-Kyanja'!L44,'01.08 Kisaasi-Kyanja-24h'!L44,'03.08 Kisaasi-Kyanja-24h'!L44,'04.08 Kisaasi-Kyanja'!L44)</f>
        <v>0.2857142857142857</v>
      </c>
      <c r="M44" s="49">
        <f>AVERAGE('29.07 Kisaasi-Kyanja'!M44,'30.07 Kisaasi-Kyanja'!M44,'31.07 Kisaasi-Kyanja'!M44,'02.08 Kisaasi-Kyanja'!M44,'01.08 Kisaasi-Kyanja-24h'!M44,'03.08 Kisaasi-Kyanja-24h'!M44,'04.08 Kisaasi-Kyanja'!M44)</f>
        <v>99</v>
      </c>
      <c r="N44" s="49">
        <f>AVERAGE('29.07 Kisaasi-Kyanja'!N44,'30.07 Kisaasi-Kyanja'!N44,'31.07 Kisaasi-Kyanja'!N44,'02.08 Kisaasi-Kyanja'!N44,'01.08 Kisaasi-Kyanja-24h'!N44,'03.08 Kisaasi-Kyanja-24h'!N44,'04.08 Kisaasi-Kyanja'!N44)</f>
        <v>0</v>
      </c>
      <c r="O44" s="15">
        <f t="shared" si="0"/>
        <v>93.142857142857167</v>
      </c>
      <c r="P44" s="15">
        <f t="shared" si="1"/>
        <v>192.14285714285717</v>
      </c>
    </row>
    <row r="45" spans="2:32" ht="23.1" customHeight="1" x14ac:dyDescent="0.25">
      <c r="B45" s="23" t="s">
        <v>72</v>
      </c>
      <c r="C45" s="49">
        <f>AVERAGE('29.07 Kisaasi-Kyanja'!C45,'30.07 Kisaasi-Kyanja'!C45,'31.07 Kisaasi-Kyanja'!C45,'02.08 Kisaasi-Kyanja'!C45,'01.08 Kisaasi-Kyanja-24h'!C45,'03.08 Kisaasi-Kyanja-24h'!C45,'04.08 Kisaasi-Kyanja'!C45)</f>
        <v>46.428571428571431</v>
      </c>
      <c r="D45" s="49">
        <f>AVERAGE('29.07 Kisaasi-Kyanja'!D45,'30.07 Kisaasi-Kyanja'!D45,'31.07 Kisaasi-Kyanja'!D45,'02.08 Kisaasi-Kyanja'!D45,'01.08 Kisaasi-Kyanja-24h'!D45,'03.08 Kisaasi-Kyanja-24h'!D45,'04.08 Kisaasi-Kyanja'!D45)</f>
        <v>14.857142857142858</v>
      </c>
      <c r="E45" s="49">
        <f>AVERAGE('29.07 Kisaasi-Kyanja'!E45,'30.07 Kisaasi-Kyanja'!E45,'31.07 Kisaasi-Kyanja'!E45,'02.08 Kisaasi-Kyanja'!E45,'01.08 Kisaasi-Kyanja-24h'!E45,'03.08 Kisaasi-Kyanja-24h'!E45,'04.08 Kisaasi-Kyanja'!E45)</f>
        <v>6.5714285714285712</v>
      </c>
      <c r="F45" s="49">
        <f>AVERAGE('29.07 Kisaasi-Kyanja'!F45,'30.07 Kisaasi-Kyanja'!F45,'31.07 Kisaasi-Kyanja'!F45,'02.08 Kisaasi-Kyanja'!F45,'01.08 Kisaasi-Kyanja-24h'!F45,'03.08 Kisaasi-Kyanja-24h'!F45,'04.08 Kisaasi-Kyanja'!F45)</f>
        <v>13.714285714285714</v>
      </c>
      <c r="G45" s="49">
        <f>AVERAGE('29.07 Kisaasi-Kyanja'!G45,'30.07 Kisaasi-Kyanja'!G45,'31.07 Kisaasi-Kyanja'!G45,'02.08 Kisaasi-Kyanja'!G45,'01.08 Kisaasi-Kyanja-24h'!G45,'03.08 Kisaasi-Kyanja-24h'!G45,'04.08 Kisaasi-Kyanja'!G45)</f>
        <v>0</v>
      </c>
      <c r="H45" s="49">
        <f>AVERAGE('29.07 Kisaasi-Kyanja'!H45,'30.07 Kisaasi-Kyanja'!H45,'31.07 Kisaasi-Kyanja'!H45,'02.08 Kisaasi-Kyanja'!H45,'01.08 Kisaasi-Kyanja-24h'!H45,'03.08 Kisaasi-Kyanja-24h'!H45,'04.08 Kisaasi-Kyanja'!H45)</f>
        <v>0</v>
      </c>
      <c r="I45" s="49">
        <f>AVERAGE('29.07 Kisaasi-Kyanja'!I45,'30.07 Kisaasi-Kyanja'!I45,'31.07 Kisaasi-Kyanja'!I45,'02.08 Kisaasi-Kyanja'!I45,'01.08 Kisaasi-Kyanja-24h'!I45,'03.08 Kisaasi-Kyanja-24h'!I45,'04.08 Kisaasi-Kyanja'!I45)</f>
        <v>4</v>
      </c>
      <c r="J45" s="49">
        <f>AVERAGE('29.07 Kisaasi-Kyanja'!J45,'30.07 Kisaasi-Kyanja'!J45,'31.07 Kisaasi-Kyanja'!J45,'02.08 Kisaasi-Kyanja'!J45,'01.08 Kisaasi-Kyanja-24h'!J45,'03.08 Kisaasi-Kyanja-24h'!J45,'04.08 Kisaasi-Kyanja'!J45)</f>
        <v>1.5714285714285714</v>
      </c>
      <c r="K45" s="49">
        <f>AVERAGE('29.07 Kisaasi-Kyanja'!K45,'30.07 Kisaasi-Kyanja'!K45,'31.07 Kisaasi-Kyanja'!K45,'02.08 Kisaasi-Kyanja'!K45,'01.08 Kisaasi-Kyanja-24h'!K45,'03.08 Kisaasi-Kyanja-24h'!K45,'04.08 Kisaasi-Kyanja'!K45)</f>
        <v>2.1428571428571428</v>
      </c>
      <c r="L45" s="49">
        <f>AVERAGE('29.07 Kisaasi-Kyanja'!L45,'30.07 Kisaasi-Kyanja'!L45,'31.07 Kisaasi-Kyanja'!L45,'02.08 Kisaasi-Kyanja'!L45,'01.08 Kisaasi-Kyanja-24h'!L45,'03.08 Kisaasi-Kyanja-24h'!L45,'04.08 Kisaasi-Kyanja'!L45)</f>
        <v>0.14285714285714285</v>
      </c>
      <c r="M45" s="49">
        <f>AVERAGE('29.07 Kisaasi-Kyanja'!M45,'30.07 Kisaasi-Kyanja'!M45,'31.07 Kisaasi-Kyanja'!M45,'02.08 Kisaasi-Kyanja'!M45,'01.08 Kisaasi-Kyanja-24h'!M45,'03.08 Kisaasi-Kyanja-24h'!M45,'04.08 Kisaasi-Kyanja'!M45)</f>
        <v>107</v>
      </c>
      <c r="N45" s="49">
        <f>AVERAGE('29.07 Kisaasi-Kyanja'!N45,'30.07 Kisaasi-Kyanja'!N45,'31.07 Kisaasi-Kyanja'!N45,'02.08 Kisaasi-Kyanja'!N45,'01.08 Kisaasi-Kyanja-24h'!N45,'03.08 Kisaasi-Kyanja-24h'!N45,'04.08 Kisaasi-Kyanja'!N45)</f>
        <v>0</v>
      </c>
      <c r="O45" s="15">
        <f t="shared" si="0"/>
        <v>89.428571428571416</v>
      </c>
      <c r="P45" s="15">
        <f t="shared" si="1"/>
        <v>196.42857142857142</v>
      </c>
    </row>
    <row r="46" spans="2:32" ht="23.1" customHeight="1" x14ac:dyDescent="0.25">
      <c r="B46" s="24" t="s">
        <v>73</v>
      </c>
      <c r="C46" s="49">
        <f>AVERAGE('29.07 Kisaasi-Kyanja'!C46,'30.07 Kisaasi-Kyanja'!C46,'31.07 Kisaasi-Kyanja'!C46,'02.08 Kisaasi-Kyanja'!C46,'01.08 Kisaasi-Kyanja-24h'!C46,'03.08 Kisaasi-Kyanja-24h'!C46,'04.08 Kisaasi-Kyanja'!C46)</f>
        <v>52.142857142857146</v>
      </c>
      <c r="D46" s="49">
        <f>AVERAGE('29.07 Kisaasi-Kyanja'!D46,'30.07 Kisaasi-Kyanja'!D46,'31.07 Kisaasi-Kyanja'!D46,'02.08 Kisaasi-Kyanja'!D46,'01.08 Kisaasi-Kyanja-24h'!D46,'03.08 Kisaasi-Kyanja-24h'!D46,'04.08 Kisaasi-Kyanja'!D46)</f>
        <v>22.428571428571427</v>
      </c>
      <c r="E46" s="49">
        <f>AVERAGE('29.07 Kisaasi-Kyanja'!E46,'30.07 Kisaasi-Kyanja'!E46,'31.07 Kisaasi-Kyanja'!E46,'02.08 Kisaasi-Kyanja'!E46,'01.08 Kisaasi-Kyanja-24h'!E46,'03.08 Kisaasi-Kyanja-24h'!E46,'04.08 Kisaasi-Kyanja'!E46)</f>
        <v>7.1428571428571432</v>
      </c>
      <c r="F46" s="49">
        <f>AVERAGE('29.07 Kisaasi-Kyanja'!F46,'30.07 Kisaasi-Kyanja'!F46,'31.07 Kisaasi-Kyanja'!F46,'02.08 Kisaasi-Kyanja'!F46,'01.08 Kisaasi-Kyanja-24h'!F46,'03.08 Kisaasi-Kyanja-24h'!F46,'04.08 Kisaasi-Kyanja'!F46)</f>
        <v>15.142857142857142</v>
      </c>
      <c r="G46" s="49">
        <f>AVERAGE('29.07 Kisaasi-Kyanja'!G46,'30.07 Kisaasi-Kyanja'!G46,'31.07 Kisaasi-Kyanja'!G46,'02.08 Kisaasi-Kyanja'!G46,'01.08 Kisaasi-Kyanja-24h'!G46,'03.08 Kisaasi-Kyanja-24h'!G46,'04.08 Kisaasi-Kyanja'!G46)</f>
        <v>0</v>
      </c>
      <c r="H46" s="49">
        <f>AVERAGE('29.07 Kisaasi-Kyanja'!H46,'30.07 Kisaasi-Kyanja'!H46,'31.07 Kisaasi-Kyanja'!H46,'02.08 Kisaasi-Kyanja'!H46,'01.08 Kisaasi-Kyanja-24h'!H46,'03.08 Kisaasi-Kyanja-24h'!H46,'04.08 Kisaasi-Kyanja'!H46)</f>
        <v>0</v>
      </c>
      <c r="I46" s="49">
        <f>AVERAGE('29.07 Kisaasi-Kyanja'!I46,'30.07 Kisaasi-Kyanja'!I46,'31.07 Kisaasi-Kyanja'!I46,'02.08 Kisaasi-Kyanja'!I46,'01.08 Kisaasi-Kyanja-24h'!I46,'03.08 Kisaasi-Kyanja-24h'!I46,'04.08 Kisaasi-Kyanja'!I46)</f>
        <v>5.2857142857142856</v>
      </c>
      <c r="J46" s="49">
        <f>AVERAGE('29.07 Kisaasi-Kyanja'!J46,'30.07 Kisaasi-Kyanja'!J46,'31.07 Kisaasi-Kyanja'!J46,'02.08 Kisaasi-Kyanja'!J46,'01.08 Kisaasi-Kyanja-24h'!J46,'03.08 Kisaasi-Kyanja-24h'!J46,'04.08 Kisaasi-Kyanja'!J46)</f>
        <v>1.8571428571428572</v>
      </c>
      <c r="K46" s="49">
        <f>AVERAGE('29.07 Kisaasi-Kyanja'!K46,'30.07 Kisaasi-Kyanja'!K46,'31.07 Kisaasi-Kyanja'!K46,'02.08 Kisaasi-Kyanja'!K46,'01.08 Kisaasi-Kyanja-24h'!K46,'03.08 Kisaasi-Kyanja-24h'!K46,'04.08 Kisaasi-Kyanja'!K46)</f>
        <v>1.4285714285714286</v>
      </c>
      <c r="L46" s="49">
        <f>AVERAGE('29.07 Kisaasi-Kyanja'!L46,'30.07 Kisaasi-Kyanja'!L46,'31.07 Kisaasi-Kyanja'!L46,'02.08 Kisaasi-Kyanja'!L46,'01.08 Kisaasi-Kyanja-24h'!L46,'03.08 Kisaasi-Kyanja-24h'!L46,'04.08 Kisaasi-Kyanja'!L46)</f>
        <v>0</v>
      </c>
      <c r="M46" s="49">
        <f>AVERAGE('29.07 Kisaasi-Kyanja'!M46,'30.07 Kisaasi-Kyanja'!M46,'31.07 Kisaasi-Kyanja'!M46,'02.08 Kisaasi-Kyanja'!M46,'01.08 Kisaasi-Kyanja-24h'!M46,'03.08 Kisaasi-Kyanja-24h'!M46,'04.08 Kisaasi-Kyanja'!M46)</f>
        <v>106</v>
      </c>
      <c r="N46" s="49">
        <f>AVERAGE('29.07 Kisaasi-Kyanja'!N46,'30.07 Kisaasi-Kyanja'!N46,'31.07 Kisaasi-Kyanja'!N46,'02.08 Kisaasi-Kyanja'!N46,'01.08 Kisaasi-Kyanja-24h'!N46,'03.08 Kisaasi-Kyanja-24h'!N46,'04.08 Kisaasi-Kyanja'!N46)</f>
        <v>0.14285714285714285</v>
      </c>
      <c r="O46" s="15">
        <f t="shared" si="0"/>
        <v>105.57142857142857</v>
      </c>
      <c r="P46" s="15">
        <f t="shared" si="1"/>
        <v>211.57142857142858</v>
      </c>
      <c r="R46" s="8"/>
      <c r="T46"/>
    </row>
    <row r="47" spans="2:32" ht="23.1" customHeight="1" x14ac:dyDescent="0.25">
      <c r="B47" s="24" t="s">
        <v>74</v>
      </c>
      <c r="C47" s="49">
        <f>AVERAGE('29.07 Kisaasi-Kyanja'!C47,'30.07 Kisaasi-Kyanja'!C47,'31.07 Kisaasi-Kyanja'!C47,'02.08 Kisaasi-Kyanja'!C47,'01.08 Kisaasi-Kyanja-24h'!C47,'03.08 Kisaasi-Kyanja-24h'!C47,'04.08 Kisaasi-Kyanja'!C47)</f>
        <v>52</v>
      </c>
      <c r="D47" s="49">
        <f>AVERAGE('29.07 Kisaasi-Kyanja'!D47,'30.07 Kisaasi-Kyanja'!D47,'31.07 Kisaasi-Kyanja'!D47,'02.08 Kisaasi-Kyanja'!D47,'01.08 Kisaasi-Kyanja-24h'!D47,'03.08 Kisaasi-Kyanja-24h'!D47,'04.08 Kisaasi-Kyanja'!D47)</f>
        <v>23.285714285714285</v>
      </c>
      <c r="E47" s="49">
        <f>AVERAGE('29.07 Kisaasi-Kyanja'!E47,'30.07 Kisaasi-Kyanja'!E47,'31.07 Kisaasi-Kyanja'!E47,'02.08 Kisaasi-Kyanja'!E47,'01.08 Kisaasi-Kyanja-24h'!E47,'03.08 Kisaasi-Kyanja-24h'!E47,'04.08 Kisaasi-Kyanja'!E47)</f>
        <v>6.8571428571428568</v>
      </c>
      <c r="F47" s="49">
        <f>AVERAGE('29.07 Kisaasi-Kyanja'!F47,'30.07 Kisaasi-Kyanja'!F47,'31.07 Kisaasi-Kyanja'!F47,'02.08 Kisaasi-Kyanja'!F47,'01.08 Kisaasi-Kyanja-24h'!F47,'03.08 Kisaasi-Kyanja-24h'!F47,'04.08 Kisaasi-Kyanja'!F47)</f>
        <v>11.857142857142858</v>
      </c>
      <c r="G47" s="49">
        <f>AVERAGE('29.07 Kisaasi-Kyanja'!G47,'30.07 Kisaasi-Kyanja'!G47,'31.07 Kisaasi-Kyanja'!G47,'02.08 Kisaasi-Kyanja'!G47,'01.08 Kisaasi-Kyanja-24h'!G47,'03.08 Kisaasi-Kyanja-24h'!G47,'04.08 Kisaasi-Kyanja'!G47)</f>
        <v>0</v>
      </c>
      <c r="H47" s="49">
        <f>AVERAGE('29.07 Kisaasi-Kyanja'!H47,'30.07 Kisaasi-Kyanja'!H47,'31.07 Kisaasi-Kyanja'!H47,'02.08 Kisaasi-Kyanja'!H47,'01.08 Kisaasi-Kyanja-24h'!H47,'03.08 Kisaasi-Kyanja-24h'!H47,'04.08 Kisaasi-Kyanja'!H47)</f>
        <v>0</v>
      </c>
      <c r="I47" s="49">
        <f>AVERAGE('29.07 Kisaasi-Kyanja'!I47,'30.07 Kisaasi-Kyanja'!I47,'31.07 Kisaasi-Kyanja'!I47,'02.08 Kisaasi-Kyanja'!I47,'01.08 Kisaasi-Kyanja-24h'!I47,'03.08 Kisaasi-Kyanja-24h'!I47,'04.08 Kisaasi-Kyanja'!I47)</f>
        <v>5.7142857142857144</v>
      </c>
      <c r="J47" s="49">
        <f>AVERAGE('29.07 Kisaasi-Kyanja'!J47,'30.07 Kisaasi-Kyanja'!J47,'31.07 Kisaasi-Kyanja'!J47,'02.08 Kisaasi-Kyanja'!J47,'01.08 Kisaasi-Kyanja-24h'!J47,'03.08 Kisaasi-Kyanja-24h'!J47,'04.08 Kisaasi-Kyanja'!J47)</f>
        <v>1.8571428571428572</v>
      </c>
      <c r="K47" s="49">
        <f>AVERAGE('29.07 Kisaasi-Kyanja'!K47,'30.07 Kisaasi-Kyanja'!K47,'31.07 Kisaasi-Kyanja'!K47,'02.08 Kisaasi-Kyanja'!K47,'01.08 Kisaasi-Kyanja-24h'!K47,'03.08 Kisaasi-Kyanja-24h'!K47,'04.08 Kisaasi-Kyanja'!K47)</f>
        <v>2</v>
      </c>
      <c r="L47" s="49">
        <f>AVERAGE('29.07 Kisaasi-Kyanja'!L47,'30.07 Kisaasi-Kyanja'!L47,'31.07 Kisaasi-Kyanja'!L47,'02.08 Kisaasi-Kyanja'!L47,'01.08 Kisaasi-Kyanja-24h'!L47,'03.08 Kisaasi-Kyanja-24h'!L47,'04.08 Kisaasi-Kyanja'!L47)</f>
        <v>0.14285714285714285</v>
      </c>
      <c r="M47" s="49">
        <f>AVERAGE('29.07 Kisaasi-Kyanja'!M47,'30.07 Kisaasi-Kyanja'!M47,'31.07 Kisaasi-Kyanja'!M47,'02.08 Kisaasi-Kyanja'!M47,'01.08 Kisaasi-Kyanja-24h'!M47,'03.08 Kisaasi-Kyanja-24h'!M47,'04.08 Kisaasi-Kyanja'!M47)</f>
        <v>114.14285714285714</v>
      </c>
      <c r="N47" s="49">
        <f>AVERAGE('29.07 Kisaasi-Kyanja'!N47,'30.07 Kisaasi-Kyanja'!N47,'31.07 Kisaasi-Kyanja'!N47,'02.08 Kisaasi-Kyanja'!N47,'01.08 Kisaasi-Kyanja-24h'!N47,'03.08 Kisaasi-Kyanja-24h'!N47,'04.08 Kisaasi-Kyanja'!N47)</f>
        <v>0</v>
      </c>
      <c r="O47" s="15">
        <f t="shared" si="0"/>
        <v>103.71428571428571</v>
      </c>
      <c r="P47" s="15">
        <f t="shared" si="1"/>
        <v>217.85714285714283</v>
      </c>
      <c r="R47" s="8"/>
      <c r="T47"/>
    </row>
    <row r="48" spans="2:32" ht="23.1" customHeight="1" x14ac:dyDescent="0.25">
      <c r="B48" s="24" t="s">
        <v>75</v>
      </c>
      <c r="C48" s="49">
        <f>AVERAGE('29.07 Kisaasi-Kyanja'!C48,'30.07 Kisaasi-Kyanja'!C48,'31.07 Kisaasi-Kyanja'!C48,'02.08 Kisaasi-Kyanja'!C48,'01.08 Kisaasi-Kyanja-24h'!C48,'03.08 Kisaasi-Kyanja-24h'!C48,'04.08 Kisaasi-Kyanja'!C48)</f>
        <v>61.857142857142854</v>
      </c>
      <c r="D48" s="49">
        <f>AVERAGE('29.07 Kisaasi-Kyanja'!D48,'30.07 Kisaasi-Kyanja'!D48,'31.07 Kisaasi-Kyanja'!D48,'02.08 Kisaasi-Kyanja'!D48,'01.08 Kisaasi-Kyanja-24h'!D48,'03.08 Kisaasi-Kyanja-24h'!D48,'04.08 Kisaasi-Kyanja'!D48)</f>
        <v>27</v>
      </c>
      <c r="E48" s="49">
        <f>AVERAGE('29.07 Kisaasi-Kyanja'!E48,'30.07 Kisaasi-Kyanja'!E48,'31.07 Kisaasi-Kyanja'!E48,'02.08 Kisaasi-Kyanja'!E48,'01.08 Kisaasi-Kyanja-24h'!E48,'03.08 Kisaasi-Kyanja-24h'!E48,'04.08 Kisaasi-Kyanja'!E48)</f>
        <v>6.4285714285714288</v>
      </c>
      <c r="F48" s="49">
        <f>AVERAGE('29.07 Kisaasi-Kyanja'!F48,'30.07 Kisaasi-Kyanja'!F48,'31.07 Kisaasi-Kyanja'!F48,'02.08 Kisaasi-Kyanja'!F48,'01.08 Kisaasi-Kyanja-24h'!F48,'03.08 Kisaasi-Kyanja-24h'!F48,'04.08 Kisaasi-Kyanja'!F48)</f>
        <v>15.714285714285714</v>
      </c>
      <c r="G48" s="49">
        <f>AVERAGE('29.07 Kisaasi-Kyanja'!G48,'30.07 Kisaasi-Kyanja'!G48,'31.07 Kisaasi-Kyanja'!G48,'02.08 Kisaasi-Kyanja'!G48,'01.08 Kisaasi-Kyanja-24h'!G48,'03.08 Kisaasi-Kyanja-24h'!G48,'04.08 Kisaasi-Kyanja'!G48)</f>
        <v>0</v>
      </c>
      <c r="H48" s="49">
        <f>AVERAGE('29.07 Kisaasi-Kyanja'!H48,'30.07 Kisaasi-Kyanja'!H48,'31.07 Kisaasi-Kyanja'!H48,'02.08 Kisaasi-Kyanja'!H48,'01.08 Kisaasi-Kyanja-24h'!H48,'03.08 Kisaasi-Kyanja-24h'!H48,'04.08 Kisaasi-Kyanja'!H48)</f>
        <v>0.14285714285714285</v>
      </c>
      <c r="I48" s="49">
        <f>AVERAGE('29.07 Kisaasi-Kyanja'!I48,'30.07 Kisaasi-Kyanja'!I48,'31.07 Kisaasi-Kyanja'!I48,'02.08 Kisaasi-Kyanja'!I48,'01.08 Kisaasi-Kyanja-24h'!I48,'03.08 Kisaasi-Kyanja-24h'!I48,'04.08 Kisaasi-Kyanja'!I48)</f>
        <v>4.5714285714285712</v>
      </c>
      <c r="J48" s="49">
        <f>AVERAGE('29.07 Kisaasi-Kyanja'!J48,'30.07 Kisaasi-Kyanja'!J48,'31.07 Kisaasi-Kyanja'!J48,'02.08 Kisaasi-Kyanja'!J48,'01.08 Kisaasi-Kyanja-24h'!J48,'03.08 Kisaasi-Kyanja-24h'!J48,'04.08 Kisaasi-Kyanja'!J48)</f>
        <v>1.4285714285714286</v>
      </c>
      <c r="K48" s="49">
        <f>AVERAGE('29.07 Kisaasi-Kyanja'!K48,'30.07 Kisaasi-Kyanja'!K48,'31.07 Kisaasi-Kyanja'!K48,'02.08 Kisaasi-Kyanja'!K48,'01.08 Kisaasi-Kyanja-24h'!K48,'03.08 Kisaasi-Kyanja-24h'!K48,'04.08 Kisaasi-Kyanja'!K48)</f>
        <v>1.5714285714285714</v>
      </c>
      <c r="L48" s="49">
        <f>AVERAGE('29.07 Kisaasi-Kyanja'!L48,'30.07 Kisaasi-Kyanja'!L48,'31.07 Kisaasi-Kyanja'!L48,'02.08 Kisaasi-Kyanja'!L48,'01.08 Kisaasi-Kyanja-24h'!L48,'03.08 Kisaasi-Kyanja-24h'!L48,'04.08 Kisaasi-Kyanja'!L48)</f>
        <v>0.2857142857142857</v>
      </c>
      <c r="M48" s="49">
        <f>AVERAGE('29.07 Kisaasi-Kyanja'!M48,'30.07 Kisaasi-Kyanja'!M48,'31.07 Kisaasi-Kyanja'!M48,'02.08 Kisaasi-Kyanja'!M48,'01.08 Kisaasi-Kyanja-24h'!M48,'03.08 Kisaasi-Kyanja-24h'!M48,'04.08 Kisaasi-Kyanja'!M48)</f>
        <v>117.57142857142857</v>
      </c>
      <c r="N48" s="49">
        <f>AVERAGE('29.07 Kisaasi-Kyanja'!N48,'30.07 Kisaasi-Kyanja'!N48,'31.07 Kisaasi-Kyanja'!N48,'02.08 Kisaasi-Kyanja'!N48,'01.08 Kisaasi-Kyanja-24h'!N48,'03.08 Kisaasi-Kyanja-24h'!N48,'04.08 Kisaasi-Kyanja'!N48)</f>
        <v>0</v>
      </c>
      <c r="O48" s="15">
        <f t="shared" si="0"/>
        <v>119</v>
      </c>
      <c r="P48" s="15">
        <f t="shared" si="1"/>
        <v>236.57142857142856</v>
      </c>
      <c r="R48" s="8"/>
      <c r="T48"/>
    </row>
    <row r="49" spans="2:20" ht="23.1" customHeight="1" x14ac:dyDescent="0.25">
      <c r="B49" s="23" t="s">
        <v>76</v>
      </c>
      <c r="C49" s="49">
        <f>AVERAGE('29.07 Kisaasi-Kyanja'!C49,'30.07 Kisaasi-Kyanja'!C49,'31.07 Kisaasi-Kyanja'!C49,'02.08 Kisaasi-Kyanja'!C49,'01.08 Kisaasi-Kyanja-24h'!C49,'03.08 Kisaasi-Kyanja-24h'!C49,'04.08 Kisaasi-Kyanja'!C49)</f>
        <v>62.142857142857146</v>
      </c>
      <c r="D49" s="49">
        <f>AVERAGE('29.07 Kisaasi-Kyanja'!D49,'30.07 Kisaasi-Kyanja'!D49,'31.07 Kisaasi-Kyanja'!D49,'02.08 Kisaasi-Kyanja'!D49,'01.08 Kisaasi-Kyanja-24h'!D49,'03.08 Kisaasi-Kyanja-24h'!D49,'04.08 Kisaasi-Kyanja'!D49)</f>
        <v>33.142857142857146</v>
      </c>
      <c r="E49" s="49">
        <f>AVERAGE('29.07 Kisaasi-Kyanja'!E49,'30.07 Kisaasi-Kyanja'!E49,'31.07 Kisaasi-Kyanja'!E49,'02.08 Kisaasi-Kyanja'!E49,'01.08 Kisaasi-Kyanja-24h'!E49,'03.08 Kisaasi-Kyanja-24h'!E49,'04.08 Kisaasi-Kyanja'!E49)</f>
        <v>6</v>
      </c>
      <c r="F49" s="49">
        <f>AVERAGE('29.07 Kisaasi-Kyanja'!F49,'30.07 Kisaasi-Kyanja'!F49,'31.07 Kisaasi-Kyanja'!F49,'02.08 Kisaasi-Kyanja'!F49,'01.08 Kisaasi-Kyanja-24h'!F49,'03.08 Kisaasi-Kyanja-24h'!F49,'04.08 Kisaasi-Kyanja'!F49)</f>
        <v>21.857142857142858</v>
      </c>
      <c r="G49" s="49">
        <f>AVERAGE('29.07 Kisaasi-Kyanja'!G49,'30.07 Kisaasi-Kyanja'!G49,'31.07 Kisaasi-Kyanja'!G49,'02.08 Kisaasi-Kyanja'!G49,'01.08 Kisaasi-Kyanja-24h'!G49,'03.08 Kisaasi-Kyanja-24h'!G49,'04.08 Kisaasi-Kyanja'!G49)</f>
        <v>0</v>
      </c>
      <c r="H49" s="49">
        <f>AVERAGE('29.07 Kisaasi-Kyanja'!H49,'30.07 Kisaasi-Kyanja'!H49,'31.07 Kisaasi-Kyanja'!H49,'02.08 Kisaasi-Kyanja'!H49,'01.08 Kisaasi-Kyanja-24h'!H49,'03.08 Kisaasi-Kyanja-24h'!H49,'04.08 Kisaasi-Kyanja'!H49)</f>
        <v>0</v>
      </c>
      <c r="I49" s="49">
        <f>AVERAGE('29.07 Kisaasi-Kyanja'!I49,'30.07 Kisaasi-Kyanja'!I49,'31.07 Kisaasi-Kyanja'!I49,'02.08 Kisaasi-Kyanja'!I49,'01.08 Kisaasi-Kyanja-24h'!I49,'03.08 Kisaasi-Kyanja-24h'!I49,'04.08 Kisaasi-Kyanja'!I49)</f>
        <v>3.8571428571428572</v>
      </c>
      <c r="J49" s="49">
        <f>AVERAGE('29.07 Kisaasi-Kyanja'!J49,'30.07 Kisaasi-Kyanja'!J49,'31.07 Kisaasi-Kyanja'!J49,'02.08 Kisaasi-Kyanja'!J49,'01.08 Kisaasi-Kyanja-24h'!J49,'03.08 Kisaasi-Kyanja-24h'!J49,'04.08 Kisaasi-Kyanja'!J49)</f>
        <v>1.4285714285714286</v>
      </c>
      <c r="K49" s="49">
        <f>AVERAGE('29.07 Kisaasi-Kyanja'!K49,'30.07 Kisaasi-Kyanja'!K49,'31.07 Kisaasi-Kyanja'!K49,'02.08 Kisaasi-Kyanja'!K49,'01.08 Kisaasi-Kyanja-24h'!K49,'03.08 Kisaasi-Kyanja-24h'!K49,'04.08 Kisaasi-Kyanja'!K49)</f>
        <v>2.4285714285714284</v>
      </c>
      <c r="L49" s="49">
        <f>AVERAGE('29.07 Kisaasi-Kyanja'!L49,'30.07 Kisaasi-Kyanja'!L49,'31.07 Kisaasi-Kyanja'!L49,'02.08 Kisaasi-Kyanja'!L49,'01.08 Kisaasi-Kyanja-24h'!L49,'03.08 Kisaasi-Kyanja-24h'!L49,'04.08 Kisaasi-Kyanja'!L49)</f>
        <v>0.42857142857142855</v>
      </c>
      <c r="M49" s="49">
        <f>AVERAGE('29.07 Kisaasi-Kyanja'!M49,'30.07 Kisaasi-Kyanja'!M49,'31.07 Kisaasi-Kyanja'!M49,'02.08 Kisaasi-Kyanja'!M49,'01.08 Kisaasi-Kyanja-24h'!M49,'03.08 Kisaasi-Kyanja-24h'!M49,'04.08 Kisaasi-Kyanja'!M49)</f>
        <v>127.14285714285714</v>
      </c>
      <c r="N49" s="49">
        <f>AVERAGE('29.07 Kisaasi-Kyanja'!N49,'30.07 Kisaasi-Kyanja'!N49,'31.07 Kisaasi-Kyanja'!N49,'02.08 Kisaasi-Kyanja'!N49,'01.08 Kisaasi-Kyanja-24h'!N49,'03.08 Kisaasi-Kyanja-24h'!N49,'04.08 Kisaasi-Kyanja'!N49)</f>
        <v>0.14285714285714285</v>
      </c>
      <c r="O49" s="15">
        <f t="shared" si="0"/>
        <v>131.42857142857142</v>
      </c>
      <c r="P49" s="15">
        <f t="shared" si="1"/>
        <v>258.57142857142861</v>
      </c>
      <c r="R49" s="8"/>
      <c r="T49"/>
    </row>
    <row r="50" spans="2:20" ht="23.1" customHeight="1" x14ac:dyDescent="0.25">
      <c r="B50" s="24" t="s">
        <v>77</v>
      </c>
      <c r="C50" s="49">
        <f>AVERAGE('29.07 Kisaasi-Kyanja'!C50,'30.07 Kisaasi-Kyanja'!C50,'31.07 Kisaasi-Kyanja'!C50,'02.08 Kisaasi-Kyanja'!C50,'01.08 Kisaasi-Kyanja-24h'!C50,'03.08 Kisaasi-Kyanja-24h'!C50,'04.08 Kisaasi-Kyanja'!C50)</f>
        <v>59.285714285714285</v>
      </c>
      <c r="D50" s="49">
        <f>AVERAGE('29.07 Kisaasi-Kyanja'!D50,'30.07 Kisaasi-Kyanja'!D50,'31.07 Kisaasi-Kyanja'!D50,'02.08 Kisaasi-Kyanja'!D50,'01.08 Kisaasi-Kyanja-24h'!D50,'03.08 Kisaasi-Kyanja-24h'!D50,'04.08 Kisaasi-Kyanja'!D50)</f>
        <v>31.857142857142858</v>
      </c>
      <c r="E50" s="49">
        <f>AVERAGE('29.07 Kisaasi-Kyanja'!E50,'30.07 Kisaasi-Kyanja'!E50,'31.07 Kisaasi-Kyanja'!E50,'02.08 Kisaasi-Kyanja'!E50,'01.08 Kisaasi-Kyanja-24h'!E50,'03.08 Kisaasi-Kyanja-24h'!E50,'04.08 Kisaasi-Kyanja'!E50)</f>
        <v>6.1428571428571432</v>
      </c>
      <c r="F50" s="49">
        <f>AVERAGE('29.07 Kisaasi-Kyanja'!F50,'30.07 Kisaasi-Kyanja'!F50,'31.07 Kisaasi-Kyanja'!F50,'02.08 Kisaasi-Kyanja'!F50,'01.08 Kisaasi-Kyanja-24h'!F50,'03.08 Kisaasi-Kyanja-24h'!F50,'04.08 Kisaasi-Kyanja'!F50)</f>
        <v>17.857142857142858</v>
      </c>
      <c r="G50" s="49">
        <f>AVERAGE('29.07 Kisaasi-Kyanja'!G50,'30.07 Kisaasi-Kyanja'!G50,'31.07 Kisaasi-Kyanja'!G50,'02.08 Kisaasi-Kyanja'!G50,'01.08 Kisaasi-Kyanja-24h'!G50,'03.08 Kisaasi-Kyanja-24h'!G50,'04.08 Kisaasi-Kyanja'!G50)</f>
        <v>0.42857142857142855</v>
      </c>
      <c r="H50" s="49">
        <f>AVERAGE('29.07 Kisaasi-Kyanja'!H50,'30.07 Kisaasi-Kyanja'!H50,'31.07 Kisaasi-Kyanja'!H50,'02.08 Kisaasi-Kyanja'!H50,'01.08 Kisaasi-Kyanja-24h'!H50,'03.08 Kisaasi-Kyanja-24h'!H50,'04.08 Kisaasi-Kyanja'!H50)</f>
        <v>0</v>
      </c>
      <c r="I50" s="49">
        <f>AVERAGE('29.07 Kisaasi-Kyanja'!I50,'30.07 Kisaasi-Kyanja'!I50,'31.07 Kisaasi-Kyanja'!I50,'02.08 Kisaasi-Kyanja'!I50,'01.08 Kisaasi-Kyanja-24h'!I50,'03.08 Kisaasi-Kyanja-24h'!I50,'04.08 Kisaasi-Kyanja'!I50)</f>
        <v>5.1428571428571432</v>
      </c>
      <c r="J50" s="49">
        <f>AVERAGE('29.07 Kisaasi-Kyanja'!J50,'30.07 Kisaasi-Kyanja'!J50,'31.07 Kisaasi-Kyanja'!J50,'02.08 Kisaasi-Kyanja'!J50,'01.08 Kisaasi-Kyanja-24h'!J50,'03.08 Kisaasi-Kyanja-24h'!J50,'04.08 Kisaasi-Kyanja'!J50)</f>
        <v>1.7142857142857142</v>
      </c>
      <c r="K50" s="49">
        <f>AVERAGE('29.07 Kisaasi-Kyanja'!K50,'30.07 Kisaasi-Kyanja'!K50,'31.07 Kisaasi-Kyanja'!K50,'02.08 Kisaasi-Kyanja'!K50,'01.08 Kisaasi-Kyanja-24h'!K50,'03.08 Kisaasi-Kyanja-24h'!K50,'04.08 Kisaasi-Kyanja'!K50)</f>
        <v>1</v>
      </c>
      <c r="L50" s="49">
        <f>AVERAGE('29.07 Kisaasi-Kyanja'!L50,'30.07 Kisaasi-Kyanja'!L50,'31.07 Kisaasi-Kyanja'!L50,'02.08 Kisaasi-Kyanja'!L50,'01.08 Kisaasi-Kyanja-24h'!L50,'03.08 Kisaasi-Kyanja-24h'!L50,'04.08 Kisaasi-Kyanja'!L50)</f>
        <v>0.2857142857142857</v>
      </c>
      <c r="M50" s="49">
        <f>AVERAGE('29.07 Kisaasi-Kyanja'!M50,'30.07 Kisaasi-Kyanja'!M50,'31.07 Kisaasi-Kyanja'!M50,'02.08 Kisaasi-Kyanja'!M50,'01.08 Kisaasi-Kyanja-24h'!M50,'03.08 Kisaasi-Kyanja-24h'!M50,'04.08 Kisaasi-Kyanja'!M50)</f>
        <v>123.14285714285714</v>
      </c>
      <c r="N50" s="49">
        <f>AVERAGE('29.07 Kisaasi-Kyanja'!N50,'30.07 Kisaasi-Kyanja'!N50,'31.07 Kisaasi-Kyanja'!N50,'02.08 Kisaasi-Kyanja'!N50,'01.08 Kisaasi-Kyanja-24h'!N50,'03.08 Kisaasi-Kyanja-24h'!N50,'04.08 Kisaasi-Kyanja'!N50)</f>
        <v>0</v>
      </c>
      <c r="O50" s="15">
        <f t="shared" si="0"/>
        <v>123.71428571428571</v>
      </c>
      <c r="P50" s="15">
        <f t="shared" si="1"/>
        <v>246.85714285714283</v>
      </c>
      <c r="R50" s="8"/>
      <c r="T50"/>
    </row>
    <row r="51" spans="2:20" ht="23.1" customHeight="1" x14ac:dyDescent="0.25">
      <c r="B51" s="24" t="s">
        <v>78</v>
      </c>
      <c r="C51" s="49">
        <f>AVERAGE('29.07 Kisaasi-Kyanja'!C51,'30.07 Kisaasi-Kyanja'!C51,'31.07 Kisaasi-Kyanja'!C51,'02.08 Kisaasi-Kyanja'!C51,'01.08 Kisaasi-Kyanja-24h'!C51,'03.08 Kisaasi-Kyanja-24h'!C51,'04.08 Kisaasi-Kyanja'!C51)</f>
        <v>58</v>
      </c>
      <c r="D51" s="49">
        <f>AVERAGE('29.07 Kisaasi-Kyanja'!D51,'30.07 Kisaasi-Kyanja'!D51,'31.07 Kisaasi-Kyanja'!D51,'02.08 Kisaasi-Kyanja'!D51,'01.08 Kisaasi-Kyanja-24h'!D51,'03.08 Kisaasi-Kyanja-24h'!D51,'04.08 Kisaasi-Kyanja'!D51)</f>
        <v>29.714285714285715</v>
      </c>
      <c r="E51" s="49">
        <f>AVERAGE('29.07 Kisaasi-Kyanja'!E51,'30.07 Kisaasi-Kyanja'!E51,'31.07 Kisaasi-Kyanja'!E51,'02.08 Kisaasi-Kyanja'!E51,'01.08 Kisaasi-Kyanja-24h'!E51,'03.08 Kisaasi-Kyanja-24h'!E51,'04.08 Kisaasi-Kyanja'!E51)</f>
        <v>7.5714285714285712</v>
      </c>
      <c r="F51" s="49">
        <f>AVERAGE('29.07 Kisaasi-Kyanja'!F51,'30.07 Kisaasi-Kyanja'!F51,'31.07 Kisaasi-Kyanja'!F51,'02.08 Kisaasi-Kyanja'!F51,'01.08 Kisaasi-Kyanja-24h'!F51,'03.08 Kisaasi-Kyanja-24h'!F51,'04.08 Kisaasi-Kyanja'!F51)</f>
        <v>13.285714285714286</v>
      </c>
      <c r="G51" s="49">
        <f>AVERAGE('29.07 Kisaasi-Kyanja'!G51,'30.07 Kisaasi-Kyanja'!G51,'31.07 Kisaasi-Kyanja'!G51,'02.08 Kisaasi-Kyanja'!G51,'01.08 Kisaasi-Kyanja-24h'!G51,'03.08 Kisaasi-Kyanja-24h'!G51,'04.08 Kisaasi-Kyanja'!G51)</f>
        <v>0.5714285714285714</v>
      </c>
      <c r="H51" s="49">
        <f>AVERAGE('29.07 Kisaasi-Kyanja'!H51,'30.07 Kisaasi-Kyanja'!H51,'31.07 Kisaasi-Kyanja'!H51,'02.08 Kisaasi-Kyanja'!H51,'01.08 Kisaasi-Kyanja-24h'!H51,'03.08 Kisaasi-Kyanja-24h'!H51,'04.08 Kisaasi-Kyanja'!H51)</f>
        <v>0</v>
      </c>
      <c r="I51" s="49">
        <f>AVERAGE('29.07 Kisaasi-Kyanja'!I51,'30.07 Kisaasi-Kyanja'!I51,'31.07 Kisaasi-Kyanja'!I51,'02.08 Kisaasi-Kyanja'!I51,'01.08 Kisaasi-Kyanja-24h'!I51,'03.08 Kisaasi-Kyanja-24h'!I51,'04.08 Kisaasi-Kyanja'!I51)</f>
        <v>4</v>
      </c>
      <c r="J51" s="49">
        <f>AVERAGE('29.07 Kisaasi-Kyanja'!J51,'30.07 Kisaasi-Kyanja'!J51,'31.07 Kisaasi-Kyanja'!J51,'02.08 Kisaasi-Kyanja'!J51,'01.08 Kisaasi-Kyanja-24h'!J51,'03.08 Kisaasi-Kyanja-24h'!J51,'04.08 Kisaasi-Kyanja'!J51)</f>
        <v>1.4285714285714286</v>
      </c>
      <c r="K51" s="49">
        <f>AVERAGE('29.07 Kisaasi-Kyanja'!K51,'30.07 Kisaasi-Kyanja'!K51,'31.07 Kisaasi-Kyanja'!K51,'02.08 Kisaasi-Kyanja'!K51,'01.08 Kisaasi-Kyanja-24h'!K51,'03.08 Kisaasi-Kyanja-24h'!K51,'04.08 Kisaasi-Kyanja'!K51)</f>
        <v>0.7142857142857143</v>
      </c>
      <c r="L51" s="49">
        <f>AVERAGE('29.07 Kisaasi-Kyanja'!L51,'30.07 Kisaasi-Kyanja'!L51,'31.07 Kisaasi-Kyanja'!L51,'02.08 Kisaasi-Kyanja'!L51,'01.08 Kisaasi-Kyanja-24h'!L51,'03.08 Kisaasi-Kyanja-24h'!L51,'04.08 Kisaasi-Kyanja'!L51)</f>
        <v>0.14285714285714285</v>
      </c>
      <c r="M51" s="49">
        <f>AVERAGE('29.07 Kisaasi-Kyanja'!M51,'30.07 Kisaasi-Kyanja'!M51,'31.07 Kisaasi-Kyanja'!M51,'02.08 Kisaasi-Kyanja'!M51,'01.08 Kisaasi-Kyanja-24h'!M51,'03.08 Kisaasi-Kyanja-24h'!M51,'04.08 Kisaasi-Kyanja'!M51)</f>
        <v>122.42857142857143</v>
      </c>
      <c r="N51" s="49">
        <f>AVERAGE('29.07 Kisaasi-Kyanja'!N51,'30.07 Kisaasi-Kyanja'!N51,'31.07 Kisaasi-Kyanja'!N51,'02.08 Kisaasi-Kyanja'!N51,'01.08 Kisaasi-Kyanja-24h'!N51,'03.08 Kisaasi-Kyanja-24h'!N51,'04.08 Kisaasi-Kyanja'!N51)</f>
        <v>0</v>
      </c>
      <c r="O51" s="15">
        <f t="shared" si="0"/>
        <v>115.42857142857143</v>
      </c>
      <c r="P51" s="15">
        <f t="shared" si="1"/>
        <v>237.85714285714286</v>
      </c>
      <c r="R51" s="8"/>
      <c r="T51"/>
    </row>
    <row r="52" spans="2:20" ht="23.1" customHeight="1" x14ac:dyDescent="0.25">
      <c r="B52" s="24" t="s">
        <v>79</v>
      </c>
      <c r="C52" s="49">
        <f>AVERAGE('29.07 Kisaasi-Kyanja'!C52,'30.07 Kisaasi-Kyanja'!C52,'31.07 Kisaasi-Kyanja'!C52,'02.08 Kisaasi-Kyanja'!C52,'01.08 Kisaasi-Kyanja-24h'!C52,'03.08 Kisaasi-Kyanja-24h'!C52,'04.08 Kisaasi-Kyanja'!C52)</f>
        <v>61.142857142857146</v>
      </c>
      <c r="D52" s="49">
        <f>AVERAGE('29.07 Kisaasi-Kyanja'!D52,'30.07 Kisaasi-Kyanja'!D52,'31.07 Kisaasi-Kyanja'!D52,'02.08 Kisaasi-Kyanja'!D52,'01.08 Kisaasi-Kyanja-24h'!D52,'03.08 Kisaasi-Kyanja-24h'!D52,'04.08 Kisaasi-Kyanja'!D52)</f>
        <v>33.142857142857146</v>
      </c>
      <c r="E52" s="49">
        <f>AVERAGE('29.07 Kisaasi-Kyanja'!E52,'30.07 Kisaasi-Kyanja'!E52,'31.07 Kisaasi-Kyanja'!E52,'02.08 Kisaasi-Kyanja'!E52,'01.08 Kisaasi-Kyanja-24h'!E52,'03.08 Kisaasi-Kyanja-24h'!E52,'04.08 Kisaasi-Kyanja'!E52)</f>
        <v>7.7142857142857144</v>
      </c>
      <c r="F52" s="49">
        <f>AVERAGE('29.07 Kisaasi-Kyanja'!F52,'30.07 Kisaasi-Kyanja'!F52,'31.07 Kisaasi-Kyanja'!F52,'02.08 Kisaasi-Kyanja'!F52,'01.08 Kisaasi-Kyanja-24h'!F52,'03.08 Kisaasi-Kyanja-24h'!F52,'04.08 Kisaasi-Kyanja'!F52)</f>
        <v>17</v>
      </c>
      <c r="G52" s="49">
        <f>AVERAGE('29.07 Kisaasi-Kyanja'!G52,'30.07 Kisaasi-Kyanja'!G52,'31.07 Kisaasi-Kyanja'!G52,'02.08 Kisaasi-Kyanja'!G52,'01.08 Kisaasi-Kyanja-24h'!G52,'03.08 Kisaasi-Kyanja-24h'!G52,'04.08 Kisaasi-Kyanja'!G52)</f>
        <v>0.2857142857142857</v>
      </c>
      <c r="H52" s="49">
        <f>AVERAGE('29.07 Kisaasi-Kyanja'!H52,'30.07 Kisaasi-Kyanja'!H52,'31.07 Kisaasi-Kyanja'!H52,'02.08 Kisaasi-Kyanja'!H52,'01.08 Kisaasi-Kyanja-24h'!H52,'03.08 Kisaasi-Kyanja-24h'!H52,'04.08 Kisaasi-Kyanja'!H52)</f>
        <v>0</v>
      </c>
      <c r="I52" s="49">
        <f>AVERAGE('29.07 Kisaasi-Kyanja'!I52,'30.07 Kisaasi-Kyanja'!I52,'31.07 Kisaasi-Kyanja'!I52,'02.08 Kisaasi-Kyanja'!I52,'01.08 Kisaasi-Kyanja-24h'!I52,'03.08 Kisaasi-Kyanja-24h'!I52,'04.08 Kisaasi-Kyanja'!I52)</f>
        <v>3</v>
      </c>
      <c r="J52" s="49">
        <f>AVERAGE('29.07 Kisaasi-Kyanja'!J52,'30.07 Kisaasi-Kyanja'!J52,'31.07 Kisaasi-Kyanja'!J52,'02.08 Kisaasi-Kyanja'!J52,'01.08 Kisaasi-Kyanja-24h'!J52,'03.08 Kisaasi-Kyanja-24h'!J52,'04.08 Kisaasi-Kyanja'!J52)</f>
        <v>1.7142857142857142</v>
      </c>
      <c r="K52" s="49">
        <f>AVERAGE('29.07 Kisaasi-Kyanja'!K52,'30.07 Kisaasi-Kyanja'!K52,'31.07 Kisaasi-Kyanja'!K52,'02.08 Kisaasi-Kyanja'!K52,'01.08 Kisaasi-Kyanja-24h'!K52,'03.08 Kisaasi-Kyanja-24h'!K52,'04.08 Kisaasi-Kyanja'!K52)</f>
        <v>1.2857142857142858</v>
      </c>
      <c r="L52" s="49">
        <f>AVERAGE('29.07 Kisaasi-Kyanja'!L52,'30.07 Kisaasi-Kyanja'!L52,'31.07 Kisaasi-Kyanja'!L52,'02.08 Kisaasi-Kyanja'!L52,'01.08 Kisaasi-Kyanja-24h'!L52,'03.08 Kisaasi-Kyanja-24h'!L52,'04.08 Kisaasi-Kyanja'!L52)</f>
        <v>0.14285714285714285</v>
      </c>
      <c r="M52" s="49">
        <f>AVERAGE('29.07 Kisaasi-Kyanja'!M52,'30.07 Kisaasi-Kyanja'!M52,'31.07 Kisaasi-Kyanja'!M52,'02.08 Kisaasi-Kyanja'!M52,'01.08 Kisaasi-Kyanja-24h'!M52,'03.08 Kisaasi-Kyanja-24h'!M52,'04.08 Kisaasi-Kyanja'!M52)</f>
        <v>139.85714285714286</v>
      </c>
      <c r="N52" s="49">
        <f>AVERAGE('29.07 Kisaasi-Kyanja'!N52,'30.07 Kisaasi-Kyanja'!N52,'31.07 Kisaasi-Kyanja'!N52,'02.08 Kisaasi-Kyanja'!N52,'01.08 Kisaasi-Kyanja-24h'!N52,'03.08 Kisaasi-Kyanja-24h'!N52,'04.08 Kisaasi-Kyanja'!N52)</f>
        <v>0</v>
      </c>
      <c r="O52" s="15">
        <f t="shared" si="0"/>
        <v>125.42857142857143</v>
      </c>
      <c r="P52" s="15">
        <f t="shared" si="1"/>
        <v>265.28571428571428</v>
      </c>
      <c r="R52" s="8"/>
      <c r="T52"/>
    </row>
    <row r="53" spans="2:20" ht="23.1" customHeight="1" x14ac:dyDescent="0.25">
      <c r="B53" s="23" t="s">
        <v>80</v>
      </c>
      <c r="C53" s="49">
        <f>AVERAGE('29.07 Kisaasi-Kyanja'!C53,'30.07 Kisaasi-Kyanja'!C53,'31.07 Kisaasi-Kyanja'!C53,'02.08 Kisaasi-Kyanja'!C53,'01.08 Kisaasi-Kyanja-24h'!C53,'03.08 Kisaasi-Kyanja-24h'!C53,'04.08 Kisaasi-Kyanja'!C53)</f>
        <v>62.428571428571431</v>
      </c>
      <c r="D53" s="49">
        <f>AVERAGE('29.07 Kisaasi-Kyanja'!D53,'30.07 Kisaasi-Kyanja'!D53,'31.07 Kisaasi-Kyanja'!D53,'02.08 Kisaasi-Kyanja'!D53,'01.08 Kisaasi-Kyanja-24h'!D53,'03.08 Kisaasi-Kyanja-24h'!D53,'04.08 Kisaasi-Kyanja'!D53)</f>
        <v>31.428571428571427</v>
      </c>
      <c r="E53" s="49">
        <f>AVERAGE('29.07 Kisaasi-Kyanja'!E53,'30.07 Kisaasi-Kyanja'!E53,'31.07 Kisaasi-Kyanja'!E53,'02.08 Kisaasi-Kyanja'!E53,'01.08 Kisaasi-Kyanja-24h'!E53,'03.08 Kisaasi-Kyanja-24h'!E53,'04.08 Kisaasi-Kyanja'!E53)</f>
        <v>9.4285714285714288</v>
      </c>
      <c r="F53" s="49">
        <f>AVERAGE('29.07 Kisaasi-Kyanja'!F53,'30.07 Kisaasi-Kyanja'!F53,'31.07 Kisaasi-Kyanja'!F53,'02.08 Kisaasi-Kyanja'!F53,'01.08 Kisaasi-Kyanja-24h'!F53,'03.08 Kisaasi-Kyanja-24h'!F53,'04.08 Kisaasi-Kyanja'!F53)</f>
        <v>15</v>
      </c>
      <c r="G53" s="49">
        <f>AVERAGE('29.07 Kisaasi-Kyanja'!G53,'30.07 Kisaasi-Kyanja'!G53,'31.07 Kisaasi-Kyanja'!G53,'02.08 Kisaasi-Kyanja'!G53,'01.08 Kisaasi-Kyanja-24h'!G53,'03.08 Kisaasi-Kyanja-24h'!G53,'04.08 Kisaasi-Kyanja'!G53)</f>
        <v>0.2857142857142857</v>
      </c>
      <c r="H53" s="49">
        <f>AVERAGE('29.07 Kisaasi-Kyanja'!H53,'30.07 Kisaasi-Kyanja'!H53,'31.07 Kisaasi-Kyanja'!H53,'02.08 Kisaasi-Kyanja'!H53,'01.08 Kisaasi-Kyanja-24h'!H53,'03.08 Kisaasi-Kyanja-24h'!H53,'04.08 Kisaasi-Kyanja'!H53)</f>
        <v>0</v>
      </c>
      <c r="I53" s="49">
        <f>AVERAGE('29.07 Kisaasi-Kyanja'!I53,'30.07 Kisaasi-Kyanja'!I53,'31.07 Kisaasi-Kyanja'!I53,'02.08 Kisaasi-Kyanja'!I53,'01.08 Kisaasi-Kyanja-24h'!I53,'03.08 Kisaasi-Kyanja-24h'!I53,'04.08 Kisaasi-Kyanja'!I53)</f>
        <v>4.2857142857142856</v>
      </c>
      <c r="J53" s="49">
        <f>AVERAGE('29.07 Kisaasi-Kyanja'!J53,'30.07 Kisaasi-Kyanja'!J53,'31.07 Kisaasi-Kyanja'!J53,'02.08 Kisaasi-Kyanja'!J53,'01.08 Kisaasi-Kyanja-24h'!J53,'03.08 Kisaasi-Kyanja-24h'!J53,'04.08 Kisaasi-Kyanja'!J53)</f>
        <v>1.8571428571428572</v>
      </c>
      <c r="K53" s="49">
        <f>AVERAGE('29.07 Kisaasi-Kyanja'!K53,'30.07 Kisaasi-Kyanja'!K53,'31.07 Kisaasi-Kyanja'!K53,'02.08 Kisaasi-Kyanja'!K53,'01.08 Kisaasi-Kyanja-24h'!K53,'03.08 Kisaasi-Kyanja-24h'!K53,'04.08 Kisaasi-Kyanja'!K53)</f>
        <v>0.8571428571428571</v>
      </c>
      <c r="L53" s="49">
        <f>AVERAGE('29.07 Kisaasi-Kyanja'!L53,'30.07 Kisaasi-Kyanja'!L53,'31.07 Kisaasi-Kyanja'!L53,'02.08 Kisaasi-Kyanja'!L53,'01.08 Kisaasi-Kyanja-24h'!L53,'03.08 Kisaasi-Kyanja-24h'!L53,'04.08 Kisaasi-Kyanja'!L53)</f>
        <v>0.14285714285714285</v>
      </c>
      <c r="M53" s="49">
        <f>AVERAGE('29.07 Kisaasi-Kyanja'!M53,'30.07 Kisaasi-Kyanja'!M53,'31.07 Kisaasi-Kyanja'!M53,'02.08 Kisaasi-Kyanja'!M53,'01.08 Kisaasi-Kyanja-24h'!M53,'03.08 Kisaasi-Kyanja-24h'!M53,'04.08 Kisaasi-Kyanja'!M53)</f>
        <v>143.71428571428572</v>
      </c>
      <c r="N53" s="49">
        <f>AVERAGE('29.07 Kisaasi-Kyanja'!N53,'30.07 Kisaasi-Kyanja'!N53,'31.07 Kisaasi-Kyanja'!N53,'02.08 Kisaasi-Kyanja'!N53,'01.08 Kisaasi-Kyanja-24h'!N53,'03.08 Kisaasi-Kyanja-24h'!N53,'04.08 Kisaasi-Kyanja'!N53)</f>
        <v>0</v>
      </c>
      <c r="O53" s="15">
        <f t="shared" si="0"/>
        <v>125.71428571428574</v>
      </c>
      <c r="P53" s="15">
        <f t="shared" si="1"/>
        <v>269.42857142857144</v>
      </c>
      <c r="R53" s="8"/>
      <c r="T53"/>
    </row>
    <row r="54" spans="2:20" ht="23.1" customHeight="1" x14ac:dyDescent="0.25">
      <c r="B54" s="23" t="s">
        <v>81</v>
      </c>
      <c r="C54" s="49">
        <f>AVERAGE('29.07 Kisaasi-Kyanja'!C54,'30.07 Kisaasi-Kyanja'!C54,'31.07 Kisaasi-Kyanja'!C54,'02.08 Kisaasi-Kyanja'!C54,'01.08 Kisaasi-Kyanja-24h'!C54,'03.08 Kisaasi-Kyanja-24h'!C54,'04.08 Kisaasi-Kyanja'!C54)</f>
        <v>59.714285714285715</v>
      </c>
      <c r="D54" s="49">
        <f>AVERAGE('29.07 Kisaasi-Kyanja'!D54,'30.07 Kisaasi-Kyanja'!D54,'31.07 Kisaasi-Kyanja'!D54,'02.08 Kisaasi-Kyanja'!D54,'01.08 Kisaasi-Kyanja-24h'!D54,'03.08 Kisaasi-Kyanja-24h'!D54,'04.08 Kisaasi-Kyanja'!D54)</f>
        <v>29.714285714285715</v>
      </c>
      <c r="E54" s="49">
        <f>AVERAGE('29.07 Kisaasi-Kyanja'!E54,'30.07 Kisaasi-Kyanja'!E54,'31.07 Kisaasi-Kyanja'!E54,'02.08 Kisaasi-Kyanja'!E54,'01.08 Kisaasi-Kyanja-24h'!E54,'03.08 Kisaasi-Kyanja-24h'!E54,'04.08 Kisaasi-Kyanja'!E54)</f>
        <v>7</v>
      </c>
      <c r="F54" s="49">
        <f>AVERAGE('29.07 Kisaasi-Kyanja'!F54,'30.07 Kisaasi-Kyanja'!F54,'31.07 Kisaasi-Kyanja'!F54,'02.08 Kisaasi-Kyanja'!F54,'01.08 Kisaasi-Kyanja-24h'!F54,'03.08 Kisaasi-Kyanja-24h'!F54,'04.08 Kisaasi-Kyanja'!F54)</f>
        <v>14.428571428571429</v>
      </c>
      <c r="G54" s="49">
        <f>AVERAGE('29.07 Kisaasi-Kyanja'!G54,'30.07 Kisaasi-Kyanja'!G54,'31.07 Kisaasi-Kyanja'!G54,'02.08 Kisaasi-Kyanja'!G54,'01.08 Kisaasi-Kyanja-24h'!G54,'03.08 Kisaasi-Kyanja-24h'!G54,'04.08 Kisaasi-Kyanja'!G54)</f>
        <v>0.2857142857142857</v>
      </c>
      <c r="H54" s="49">
        <f>AVERAGE('29.07 Kisaasi-Kyanja'!H54,'30.07 Kisaasi-Kyanja'!H54,'31.07 Kisaasi-Kyanja'!H54,'02.08 Kisaasi-Kyanja'!H54,'01.08 Kisaasi-Kyanja-24h'!H54,'03.08 Kisaasi-Kyanja-24h'!H54,'04.08 Kisaasi-Kyanja'!H54)</f>
        <v>0.2857142857142857</v>
      </c>
      <c r="I54" s="49">
        <f>AVERAGE('29.07 Kisaasi-Kyanja'!I54,'30.07 Kisaasi-Kyanja'!I54,'31.07 Kisaasi-Kyanja'!I54,'02.08 Kisaasi-Kyanja'!I54,'01.08 Kisaasi-Kyanja-24h'!I54,'03.08 Kisaasi-Kyanja-24h'!I54,'04.08 Kisaasi-Kyanja'!I54)</f>
        <v>2.7142857142857144</v>
      </c>
      <c r="J54" s="49">
        <f>AVERAGE('29.07 Kisaasi-Kyanja'!J54,'30.07 Kisaasi-Kyanja'!J54,'31.07 Kisaasi-Kyanja'!J54,'02.08 Kisaasi-Kyanja'!J54,'01.08 Kisaasi-Kyanja-24h'!J54,'03.08 Kisaasi-Kyanja-24h'!J54,'04.08 Kisaasi-Kyanja'!J54)</f>
        <v>1</v>
      </c>
      <c r="K54" s="49">
        <f>AVERAGE('29.07 Kisaasi-Kyanja'!K54,'30.07 Kisaasi-Kyanja'!K54,'31.07 Kisaasi-Kyanja'!K54,'02.08 Kisaasi-Kyanja'!K54,'01.08 Kisaasi-Kyanja-24h'!K54,'03.08 Kisaasi-Kyanja-24h'!K54,'04.08 Kisaasi-Kyanja'!K54)</f>
        <v>1</v>
      </c>
      <c r="L54" s="49">
        <f>AVERAGE('29.07 Kisaasi-Kyanja'!L54,'30.07 Kisaasi-Kyanja'!L54,'31.07 Kisaasi-Kyanja'!L54,'02.08 Kisaasi-Kyanja'!L54,'01.08 Kisaasi-Kyanja-24h'!L54,'03.08 Kisaasi-Kyanja-24h'!L54,'04.08 Kisaasi-Kyanja'!L54)</f>
        <v>0</v>
      </c>
      <c r="M54" s="49">
        <f>AVERAGE('29.07 Kisaasi-Kyanja'!M54,'30.07 Kisaasi-Kyanja'!M54,'31.07 Kisaasi-Kyanja'!M54,'02.08 Kisaasi-Kyanja'!M54,'01.08 Kisaasi-Kyanja-24h'!M54,'03.08 Kisaasi-Kyanja-24h'!M54,'04.08 Kisaasi-Kyanja'!M54)</f>
        <v>135.42857142857142</v>
      </c>
      <c r="N54" s="49">
        <f>AVERAGE('29.07 Kisaasi-Kyanja'!N54,'30.07 Kisaasi-Kyanja'!N54,'31.07 Kisaasi-Kyanja'!N54,'02.08 Kisaasi-Kyanja'!N54,'01.08 Kisaasi-Kyanja-24h'!N54,'03.08 Kisaasi-Kyanja-24h'!N54,'04.08 Kisaasi-Kyanja'!N54)</f>
        <v>0</v>
      </c>
      <c r="O54" s="15">
        <f t="shared" si="0"/>
        <v>116.14285714285715</v>
      </c>
      <c r="P54" s="15">
        <f t="shared" si="1"/>
        <v>251.57142857142856</v>
      </c>
      <c r="R54" s="8"/>
      <c r="T54"/>
    </row>
    <row r="55" spans="2:20" ht="23.1" customHeight="1" x14ac:dyDescent="0.25">
      <c r="B55" s="23" t="s">
        <v>82</v>
      </c>
      <c r="C55" s="49">
        <f>AVERAGE('29.07 Kisaasi-Kyanja'!C55,'30.07 Kisaasi-Kyanja'!C55,'31.07 Kisaasi-Kyanja'!C55,'02.08 Kisaasi-Kyanja'!C55,'01.08 Kisaasi-Kyanja-24h'!C55,'03.08 Kisaasi-Kyanja-24h'!C55,'04.08 Kisaasi-Kyanja'!C55)</f>
        <v>64.714285714285708</v>
      </c>
      <c r="D55" s="49">
        <f>AVERAGE('29.07 Kisaasi-Kyanja'!D55,'30.07 Kisaasi-Kyanja'!D55,'31.07 Kisaasi-Kyanja'!D55,'02.08 Kisaasi-Kyanja'!D55,'01.08 Kisaasi-Kyanja-24h'!D55,'03.08 Kisaasi-Kyanja-24h'!D55,'04.08 Kisaasi-Kyanja'!D55)</f>
        <v>31.857142857142858</v>
      </c>
      <c r="E55" s="49">
        <f>AVERAGE('29.07 Kisaasi-Kyanja'!E55,'30.07 Kisaasi-Kyanja'!E55,'31.07 Kisaasi-Kyanja'!E55,'02.08 Kisaasi-Kyanja'!E55,'01.08 Kisaasi-Kyanja-24h'!E55,'03.08 Kisaasi-Kyanja-24h'!E55,'04.08 Kisaasi-Kyanja'!E55)</f>
        <v>6.5714285714285712</v>
      </c>
      <c r="F55" s="49">
        <f>AVERAGE('29.07 Kisaasi-Kyanja'!F55,'30.07 Kisaasi-Kyanja'!F55,'31.07 Kisaasi-Kyanja'!F55,'02.08 Kisaasi-Kyanja'!F55,'01.08 Kisaasi-Kyanja-24h'!F55,'03.08 Kisaasi-Kyanja-24h'!F55,'04.08 Kisaasi-Kyanja'!F55)</f>
        <v>16.857142857142858</v>
      </c>
      <c r="G55" s="49">
        <f>AVERAGE('29.07 Kisaasi-Kyanja'!G55,'30.07 Kisaasi-Kyanja'!G55,'31.07 Kisaasi-Kyanja'!G55,'02.08 Kisaasi-Kyanja'!G55,'01.08 Kisaasi-Kyanja-24h'!G55,'03.08 Kisaasi-Kyanja-24h'!G55,'04.08 Kisaasi-Kyanja'!G55)</f>
        <v>0</v>
      </c>
      <c r="H55" s="49">
        <f>AVERAGE('29.07 Kisaasi-Kyanja'!H55,'30.07 Kisaasi-Kyanja'!H55,'31.07 Kisaasi-Kyanja'!H55,'02.08 Kisaasi-Kyanja'!H55,'01.08 Kisaasi-Kyanja-24h'!H55,'03.08 Kisaasi-Kyanja-24h'!H55,'04.08 Kisaasi-Kyanja'!H55)</f>
        <v>0.14285714285714285</v>
      </c>
      <c r="I55" s="49">
        <f>AVERAGE('29.07 Kisaasi-Kyanja'!I55,'30.07 Kisaasi-Kyanja'!I55,'31.07 Kisaasi-Kyanja'!I55,'02.08 Kisaasi-Kyanja'!I55,'01.08 Kisaasi-Kyanja-24h'!I55,'03.08 Kisaasi-Kyanja-24h'!I55,'04.08 Kisaasi-Kyanja'!I55)</f>
        <v>5.4285714285714288</v>
      </c>
      <c r="J55" s="49">
        <f>AVERAGE('29.07 Kisaasi-Kyanja'!J55,'30.07 Kisaasi-Kyanja'!J55,'31.07 Kisaasi-Kyanja'!J55,'02.08 Kisaasi-Kyanja'!J55,'01.08 Kisaasi-Kyanja-24h'!J55,'03.08 Kisaasi-Kyanja-24h'!J55,'04.08 Kisaasi-Kyanja'!J55)</f>
        <v>1.1428571428571428</v>
      </c>
      <c r="K55" s="49">
        <f>AVERAGE('29.07 Kisaasi-Kyanja'!K55,'30.07 Kisaasi-Kyanja'!K55,'31.07 Kisaasi-Kyanja'!K55,'02.08 Kisaasi-Kyanja'!K55,'01.08 Kisaasi-Kyanja-24h'!K55,'03.08 Kisaasi-Kyanja-24h'!K55,'04.08 Kisaasi-Kyanja'!K55)</f>
        <v>0.5714285714285714</v>
      </c>
      <c r="L55" s="49">
        <f>AVERAGE('29.07 Kisaasi-Kyanja'!L55,'30.07 Kisaasi-Kyanja'!L55,'31.07 Kisaasi-Kyanja'!L55,'02.08 Kisaasi-Kyanja'!L55,'01.08 Kisaasi-Kyanja-24h'!L55,'03.08 Kisaasi-Kyanja-24h'!L55,'04.08 Kisaasi-Kyanja'!L55)</f>
        <v>0</v>
      </c>
      <c r="M55" s="49">
        <f>AVERAGE('29.07 Kisaasi-Kyanja'!M55,'30.07 Kisaasi-Kyanja'!M55,'31.07 Kisaasi-Kyanja'!M55,'02.08 Kisaasi-Kyanja'!M55,'01.08 Kisaasi-Kyanja-24h'!M55,'03.08 Kisaasi-Kyanja-24h'!M55,'04.08 Kisaasi-Kyanja'!M55)</f>
        <v>132.57142857142858</v>
      </c>
      <c r="N55" s="49">
        <f>AVERAGE('29.07 Kisaasi-Kyanja'!N55,'30.07 Kisaasi-Kyanja'!N55,'31.07 Kisaasi-Kyanja'!N55,'02.08 Kisaasi-Kyanja'!N55,'01.08 Kisaasi-Kyanja-24h'!N55,'03.08 Kisaasi-Kyanja-24h'!N55,'04.08 Kisaasi-Kyanja'!N55)</f>
        <v>0</v>
      </c>
      <c r="O55" s="15">
        <f t="shared" si="0"/>
        <v>127.28571428571428</v>
      </c>
      <c r="P55" s="15">
        <f t="shared" si="1"/>
        <v>259.85714285714289</v>
      </c>
      <c r="R55" s="8"/>
      <c r="T55"/>
    </row>
    <row r="56" spans="2:20" ht="23.1" customHeight="1" x14ac:dyDescent="0.25">
      <c r="B56" s="23" t="s">
        <v>83</v>
      </c>
      <c r="C56" s="49">
        <f>AVERAGE('29.07 Kisaasi-Kyanja'!C56,'30.07 Kisaasi-Kyanja'!C56,'31.07 Kisaasi-Kyanja'!C56,'02.08 Kisaasi-Kyanja'!C56,'01.08 Kisaasi-Kyanja-24h'!C56,'03.08 Kisaasi-Kyanja-24h'!C56,'04.08 Kisaasi-Kyanja'!C56)</f>
        <v>51.428571428571431</v>
      </c>
      <c r="D56" s="49">
        <f>AVERAGE('29.07 Kisaasi-Kyanja'!D56,'30.07 Kisaasi-Kyanja'!D56,'31.07 Kisaasi-Kyanja'!D56,'02.08 Kisaasi-Kyanja'!D56,'01.08 Kisaasi-Kyanja-24h'!D56,'03.08 Kisaasi-Kyanja-24h'!D56,'04.08 Kisaasi-Kyanja'!D56)</f>
        <v>27.571428571428573</v>
      </c>
      <c r="E56" s="49">
        <f>AVERAGE('29.07 Kisaasi-Kyanja'!E56,'30.07 Kisaasi-Kyanja'!E56,'31.07 Kisaasi-Kyanja'!E56,'02.08 Kisaasi-Kyanja'!E56,'01.08 Kisaasi-Kyanja-24h'!E56,'03.08 Kisaasi-Kyanja-24h'!E56,'04.08 Kisaasi-Kyanja'!E56)</f>
        <v>7.5714285714285712</v>
      </c>
      <c r="F56" s="49">
        <f>AVERAGE('29.07 Kisaasi-Kyanja'!F56,'30.07 Kisaasi-Kyanja'!F56,'31.07 Kisaasi-Kyanja'!F56,'02.08 Kisaasi-Kyanja'!F56,'01.08 Kisaasi-Kyanja-24h'!F56,'03.08 Kisaasi-Kyanja-24h'!F56,'04.08 Kisaasi-Kyanja'!F56)</f>
        <v>21.428571428571427</v>
      </c>
      <c r="G56" s="49">
        <f>AVERAGE('29.07 Kisaasi-Kyanja'!G56,'30.07 Kisaasi-Kyanja'!G56,'31.07 Kisaasi-Kyanja'!G56,'02.08 Kisaasi-Kyanja'!G56,'01.08 Kisaasi-Kyanja-24h'!G56,'03.08 Kisaasi-Kyanja-24h'!G56,'04.08 Kisaasi-Kyanja'!G56)</f>
        <v>0.2857142857142857</v>
      </c>
      <c r="H56" s="49">
        <f>AVERAGE('29.07 Kisaasi-Kyanja'!H56,'30.07 Kisaasi-Kyanja'!H56,'31.07 Kisaasi-Kyanja'!H56,'02.08 Kisaasi-Kyanja'!H56,'01.08 Kisaasi-Kyanja-24h'!H56,'03.08 Kisaasi-Kyanja-24h'!H56,'04.08 Kisaasi-Kyanja'!H56)</f>
        <v>0</v>
      </c>
      <c r="I56" s="49">
        <f>AVERAGE('29.07 Kisaasi-Kyanja'!I56,'30.07 Kisaasi-Kyanja'!I56,'31.07 Kisaasi-Kyanja'!I56,'02.08 Kisaasi-Kyanja'!I56,'01.08 Kisaasi-Kyanja-24h'!I56,'03.08 Kisaasi-Kyanja-24h'!I56,'04.08 Kisaasi-Kyanja'!I56)</f>
        <v>3</v>
      </c>
      <c r="J56" s="49">
        <f>AVERAGE('29.07 Kisaasi-Kyanja'!J56,'30.07 Kisaasi-Kyanja'!J56,'31.07 Kisaasi-Kyanja'!J56,'02.08 Kisaasi-Kyanja'!J56,'01.08 Kisaasi-Kyanja-24h'!J56,'03.08 Kisaasi-Kyanja-24h'!J56,'04.08 Kisaasi-Kyanja'!J56)</f>
        <v>1.8571428571428572</v>
      </c>
      <c r="K56" s="49">
        <f>AVERAGE('29.07 Kisaasi-Kyanja'!K56,'30.07 Kisaasi-Kyanja'!K56,'31.07 Kisaasi-Kyanja'!K56,'02.08 Kisaasi-Kyanja'!K56,'01.08 Kisaasi-Kyanja-24h'!K56,'03.08 Kisaasi-Kyanja-24h'!K56,'04.08 Kisaasi-Kyanja'!K56)</f>
        <v>1</v>
      </c>
      <c r="L56" s="49">
        <f>AVERAGE('29.07 Kisaasi-Kyanja'!L56,'30.07 Kisaasi-Kyanja'!L56,'31.07 Kisaasi-Kyanja'!L56,'02.08 Kisaasi-Kyanja'!L56,'01.08 Kisaasi-Kyanja-24h'!L56,'03.08 Kisaasi-Kyanja-24h'!L56,'04.08 Kisaasi-Kyanja'!L56)</f>
        <v>0</v>
      </c>
      <c r="M56" s="49">
        <f>AVERAGE('29.07 Kisaasi-Kyanja'!M56,'30.07 Kisaasi-Kyanja'!M56,'31.07 Kisaasi-Kyanja'!M56,'02.08 Kisaasi-Kyanja'!M56,'01.08 Kisaasi-Kyanja-24h'!M56,'03.08 Kisaasi-Kyanja-24h'!M56,'04.08 Kisaasi-Kyanja'!M56)</f>
        <v>147.14285714285714</v>
      </c>
      <c r="N56" s="49">
        <f>AVERAGE('29.07 Kisaasi-Kyanja'!N56,'30.07 Kisaasi-Kyanja'!N56,'31.07 Kisaasi-Kyanja'!N56,'02.08 Kisaasi-Kyanja'!N56,'01.08 Kisaasi-Kyanja-24h'!N56,'03.08 Kisaasi-Kyanja-24h'!N56,'04.08 Kisaasi-Kyanja'!N56)</f>
        <v>0.14285714285714285</v>
      </c>
      <c r="O56" s="15">
        <f t="shared" si="0"/>
        <v>114.28571428571429</v>
      </c>
      <c r="P56" s="15">
        <f t="shared" si="1"/>
        <v>261.42857142857144</v>
      </c>
      <c r="R56" s="8"/>
      <c r="T56"/>
    </row>
    <row r="57" spans="2:20" ht="23.1" customHeight="1" x14ac:dyDescent="0.25">
      <c r="B57" s="23" t="s">
        <v>84</v>
      </c>
      <c r="C57" s="49">
        <f>AVERAGE('29.07 Kisaasi-Kyanja'!C57,'30.07 Kisaasi-Kyanja'!C57,'31.07 Kisaasi-Kyanja'!C57,'02.08 Kisaasi-Kyanja'!C57,'01.08 Kisaasi-Kyanja-24h'!C57,'03.08 Kisaasi-Kyanja-24h'!C57,'04.08 Kisaasi-Kyanja'!C57)</f>
        <v>47.142857142857146</v>
      </c>
      <c r="D57" s="49">
        <f>AVERAGE('29.07 Kisaasi-Kyanja'!D57,'30.07 Kisaasi-Kyanja'!D57,'31.07 Kisaasi-Kyanja'!D57,'02.08 Kisaasi-Kyanja'!D57,'01.08 Kisaasi-Kyanja-24h'!D57,'03.08 Kisaasi-Kyanja-24h'!D57,'04.08 Kisaasi-Kyanja'!D57)</f>
        <v>26.571428571428573</v>
      </c>
      <c r="E57" s="49">
        <f>AVERAGE('29.07 Kisaasi-Kyanja'!E57,'30.07 Kisaasi-Kyanja'!E57,'31.07 Kisaasi-Kyanja'!E57,'02.08 Kisaasi-Kyanja'!E57,'01.08 Kisaasi-Kyanja-24h'!E57,'03.08 Kisaasi-Kyanja-24h'!E57,'04.08 Kisaasi-Kyanja'!E57)</f>
        <v>4.1428571428571432</v>
      </c>
      <c r="F57" s="49">
        <f>AVERAGE('29.07 Kisaasi-Kyanja'!F57,'30.07 Kisaasi-Kyanja'!F57,'31.07 Kisaasi-Kyanja'!F57,'02.08 Kisaasi-Kyanja'!F57,'01.08 Kisaasi-Kyanja-24h'!F57,'03.08 Kisaasi-Kyanja-24h'!F57,'04.08 Kisaasi-Kyanja'!F57)</f>
        <v>20.428571428571427</v>
      </c>
      <c r="G57" s="49">
        <f>AVERAGE('29.07 Kisaasi-Kyanja'!G57,'30.07 Kisaasi-Kyanja'!G57,'31.07 Kisaasi-Kyanja'!G57,'02.08 Kisaasi-Kyanja'!G57,'01.08 Kisaasi-Kyanja-24h'!G57,'03.08 Kisaasi-Kyanja-24h'!G57,'04.08 Kisaasi-Kyanja'!G57)</f>
        <v>0.2857142857142857</v>
      </c>
      <c r="H57" s="49">
        <f>AVERAGE('29.07 Kisaasi-Kyanja'!H57,'30.07 Kisaasi-Kyanja'!H57,'31.07 Kisaasi-Kyanja'!H57,'02.08 Kisaasi-Kyanja'!H57,'01.08 Kisaasi-Kyanja-24h'!H57,'03.08 Kisaasi-Kyanja-24h'!H57,'04.08 Kisaasi-Kyanja'!H57)</f>
        <v>0</v>
      </c>
      <c r="I57" s="49">
        <f>AVERAGE('29.07 Kisaasi-Kyanja'!I57,'30.07 Kisaasi-Kyanja'!I57,'31.07 Kisaasi-Kyanja'!I57,'02.08 Kisaasi-Kyanja'!I57,'01.08 Kisaasi-Kyanja-24h'!I57,'03.08 Kisaasi-Kyanja-24h'!I57,'04.08 Kisaasi-Kyanja'!I57)</f>
        <v>4.7142857142857144</v>
      </c>
      <c r="J57" s="49">
        <f>AVERAGE('29.07 Kisaasi-Kyanja'!J57,'30.07 Kisaasi-Kyanja'!J57,'31.07 Kisaasi-Kyanja'!J57,'02.08 Kisaasi-Kyanja'!J57,'01.08 Kisaasi-Kyanja-24h'!J57,'03.08 Kisaasi-Kyanja-24h'!J57,'04.08 Kisaasi-Kyanja'!J57)</f>
        <v>1.1428571428571428</v>
      </c>
      <c r="K57" s="49">
        <f>AVERAGE('29.07 Kisaasi-Kyanja'!K57,'30.07 Kisaasi-Kyanja'!K57,'31.07 Kisaasi-Kyanja'!K57,'02.08 Kisaasi-Kyanja'!K57,'01.08 Kisaasi-Kyanja-24h'!K57,'03.08 Kisaasi-Kyanja-24h'!K57,'04.08 Kisaasi-Kyanja'!K57)</f>
        <v>1.1428571428571428</v>
      </c>
      <c r="L57" s="49">
        <f>AVERAGE('29.07 Kisaasi-Kyanja'!L57,'30.07 Kisaasi-Kyanja'!L57,'31.07 Kisaasi-Kyanja'!L57,'02.08 Kisaasi-Kyanja'!L57,'01.08 Kisaasi-Kyanja-24h'!L57,'03.08 Kisaasi-Kyanja-24h'!L57,'04.08 Kisaasi-Kyanja'!L57)</f>
        <v>0</v>
      </c>
      <c r="M57" s="49">
        <f>AVERAGE('29.07 Kisaasi-Kyanja'!M57,'30.07 Kisaasi-Kyanja'!M57,'31.07 Kisaasi-Kyanja'!M57,'02.08 Kisaasi-Kyanja'!M57,'01.08 Kisaasi-Kyanja-24h'!M57,'03.08 Kisaasi-Kyanja-24h'!M57,'04.08 Kisaasi-Kyanja'!M57)</f>
        <v>162.85714285714286</v>
      </c>
      <c r="N57" s="49">
        <f>AVERAGE('29.07 Kisaasi-Kyanja'!N57,'30.07 Kisaasi-Kyanja'!N57,'31.07 Kisaasi-Kyanja'!N57,'02.08 Kisaasi-Kyanja'!N57,'01.08 Kisaasi-Kyanja-24h'!N57,'03.08 Kisaasi-Kyanja-24h'!N57,'04.08 Kisaasi-Kyanja'!N57)</f>
        <v>0</v>
      </c>
      <c r="O57" s="15">
        <f t="shared" si="0"/>
        <v>105.57142857142857</v>
      </c>
      <c r="P57" s="15">
        <f t="shared" si="1"/>
        <v>268.42857142857144</v>
      </c>
      <c r="R57" s="8"/>
      <c r="T57"/>
    </row>
    <row r="58" spans="2:20" ht="23.1" customHeight="1" x14ac:dyDescent="0.25">
      <c r="B58" s="23" t="s">
        <v>99</v>
      </c>
      <c r="C58" s="49">
        <f>AVERAGE('01.08 Kisaasi-Kyanja-24h'!C58,'03.08 Kisaasi-Kyanja-24h'!C58)</f>
        <v>46.5</v>
      </c>
      <c r="D58" s="49">
        <f>AVERAGE('01.08 Kisaasi-Kyanja-24h'!D58,'03.08 Kisaasi-Kyanja-24h'!D58)</f>
        <v>41.5</v>
      </c>
      <c r="E58" s="49">
        <f>AVERAGE('01.08 Kisaasi-Kyanja-24h'!E58,'03.08 Kisaasi-Kyanja-24h'!E58)</f>
        <v>5.5</v>
      </c>
      <c r="F58" s="49">
        <f>AVERAGE('01.08 Kisaasi-Kyanja-24h'!F58,'03.08 Kisaasi-Kyanja-24h'!F58)</f>
        <v>32.5</v>
      </c>
      <c r="G58" s="49">
        <f>AVERAGE('01.08 Kisaasi-Kyanja-24h'!G58,'03.08 Kisaasi-Kyanja-24h'!G58)</f>
        <v>0</v>
      </c>
      <c r="H58" s="49">
        <f>AVERAGE('01.08 Kisaasi-Kyanja-24h'!H58,'03.08 Kisaasi-Kyanja-24h'!H58)</f>
        <v>0</v>
      </c>
      <c r="I58" s="49">
        <f>AVERAGE('01.08 Kisaasi-Kyanja-24h'!I58,'03.08 Kisaasi-Kyanja-24h'!I58)</f>
        <v>3.5</v>
      </c>
      <c r="J58" s="49">
        <f>AVERAGE('01.08 Kisaasi-Kyanja-24h'!J58,'03.08 Kisaasi-Kyanja-24h'!J58)</f>
        <v>2</v>
      </c>
      <c r="K58" s="49">
        <f>AVERAGE('01.08 Kisaasi-Kyanja-24h'!K58,'03.08 Kisaasi-Kyanja-24h'!K58)</f>
        <v>0.5</v>
      </c>
      <c r="L58" s="49">
        <f>AVERAGE('01.08 Kisaasi-Kyanja-24h'!L58,'03.08 Kisaasi-Kyanja-24h'!L58)</f>
        <v>0</v>
      </c>
      <c r="M58" s="49">
        <f>AVERAGE('01.08 Kisaasi-Kyanja-24h'!M58,'03.08 Kisaasi-Kyanja-24h'!M58)</f>
        <v>74</v>
      </c>
      <c r="N58" s="49">
        <f>AVERAGE('01.08 Kisaasi-Kyanja-24h'!N58,'03.08 Kisaasi-Kyanja-24h'!N58)</f>
        <v>0</v>
      </c>
      <c r="O58" s="49">
        <f>AVERAGE('01.08 Kisaasi-Kyanja-24h'!O58,'03.08 Kisaasi-Kyanja-24h'!O58)</f>
        <v>132</v>
      </c>
      <c r="P58" s="49">
        <f>AVERAGE('01.08 Kisaasi-Kyanja-24h'!P58,'03.08 Kisaasi-Kyanja-24h'!P58)</f>
        <v>206</v>
      </c>
      <c r="R58" s="8"/>
      <c r="T58"/>
    </row>
    <row r="59" spans="2:20" ht="23.1" customHeight="1" x14ac:dyDescent="0.25">
      <c r="B59" s="23" t="s">
        <v>100</v>
      </c>
      <c r="C59" s="49">
        <f>AVERAGE('01.08 Kisaasi-Kyanja-24h'!C59,'03.08 Kisaasi-Kyanja-24h'!C59)</f>
        <v>60</v>
      </c>
      <c r="D59" s="49">
        <f>AVERAGE('01.08 Kisaasi-Kyanja-24h'!D59,'03.08 Kisaasi-Kyanja-24h'!D59)</f>
        <v>62.5</v>
      </c>
      <c r="E59" s="49">
        <f>AVERAGE('01.08 Kisaasi-Kyanja-24h'!E59,'03.08 Kisaasi-Kyanja-24h'!E59)</f>
        <v>12.5</v>
      </c>
      <c r="F59" s="49">
        <f>AVERAGE('01.08 Kisaasi-Kyanja-24h'!F59,'03.08 Kisaasi-Kyanja-24h'!F59)</f>
        <v>50</v>
      </c>
      <c r="G59" s="49">
        <f>AVERAGE('01.08 Kisaasi-Kyanja-24h'!G59,'03.08 Kisaasi-Kyanja-24h'!G59)</f>
        <v>0</v>
      </c>
      <c r="H59" s="49">
        <f>AVERAGE('01.08 Kisaasi-Kyanja-24h'!H59,'03.08 Kisaasi-Kyanja-24h'!H59)</f>
        <v>0</v>
      </c>
      <c r="I59" s="49">
        <f>AVERAGE('01.08 Kisaasi-Kyanja-24h'!I59,'03.08 Kisaasi-Kyanja-24h'!I59)</f>
        <v>5</v>
      </c>
      <c r="J59" s="49">
        <f>AVERAGE('01.08 Kisaasi-Kyanja-24h'!J59,'03.08 Kisaasi-Kyanja-24h'!J59)</f>
        <v>4</v>
      </c>
      <c r="K59" s="49">
        <f>AVERAGE('01.08 Kisaasi-Kyanja-24h'!K59,'03.08 Kisaasi-Kyanja-24h'!K59)</f>
        <v>3</v>
      </c>
      <c r="L59" s="49">
        <f>AVERAGE('01.08 Kisaasi-Kyanja-24h'!L59,'03.08 Kisaasi-Kyanja-24h'!L59)</f>
        <v>0</v>
      </c>
      <c r="M59" s="49">
        <f>AVERAGE('01.08 Kisaasi-Kyanja-24h'!M59,'03.08 Kisaasi-Kyanja-24h'!M59)</f>
        <v>75</v>
      </c>
      <c r="N59" s="49">
        <f>AVERAGE('01.08 Kisaasi-Kyanja-24h'!N59,'03.08 Kisaasi-Kyanja-24h'!N59)</f>
        <v>0</v>
      </c>
      <c r="O59" s="49">
        <f>AVERAGE('01.08 Kisaasi-Kyanja-24h'!O59,'03.08 Kisaasi-Kyanja-24h'!O59)</f>
        <v>197</v>
      </c>
      <c r="P59" s="49">
        <f>AVERAGE('01.08 Kisaasi-Kyanja-24h'!P59,'03.08 Kisaasi-Kyanja-24h'!P59)</f>
        <v>272</v>
      </c>
      <c r="R59" s="8"/>
      <c r="T59"/>
    </row>
    <row r="60" spans="2:20" ht="23.1" customHeight="1" x14ac:dyDescent="0.25">
      <c r="B60" s="23" t="s">
        <v>101</v>
      </c>
      <c r="C60" s="49">
        <f>AVERAGE('01.08 Kisaasi-Kyanja-24h'!C60,'03.08 Kisaasi-Kyanja-24h'!C60)</f>
        <v>75.5</v>
      </c>
      <c r="D60" s="49">
        <f>AVERAGE('01.08 Kisaasi-Kyanja-24h'!D60,'03.08 Kisaasi-Kyanja-24h'!D60)</f>
        <v>60</v>
      </c>
      <c r="E60" s="49">
        <f>AVERAGE('01.08 Kisaasi-Kyanja-24h'!E60,'03.08 Kisaasi-Kyanja-24h'!E60)</f>
        <v>15</v>
      </c>
      <c r="F60" s="49">
        <f>AVERAGE('01.08 Kisaasi-Kyanja-24h'!F60,'03.08 Kisaasi-Kyanja-24h'!F60)</f>
        <v>45</v>
      </c>
      <c r="G60" s="49">
        <f>AVERAGE('01.08 Kisaasi-Kyanja-24h'!G60,'03.08 Kisaasi-Kyanja-24h'!G60)</f>
        <v>0</v>
      </c>
      <c r="H60" s="49">
        <f>AVERAGE('01.08 Kisaasi-Kyanja-24h'!H60,'03.08 Kisaasi-Kyanja-24h'!H60)</f>
        <v>0</v>
      </c>
      <c r="I60" s="49">
        <f>AVERAGE('01.08 Kisaasi-Kyanja-24h'!I60,'03.08 Kisaasi-Kyanja-24h'!I60)</f>
        <v>6</v>
      </c>
      <c r="J60" s="49">
        <f>AVERAGE('01.08 Kisaasi-Kyanja-24h'!J60,'03.08 Kisaasi-Kyanja-24h'!J60)</f>
        <v>1</v>
      </c>
      <c r="K60" s="49">
        <f>AVERAGE('01.08 Kisaasi-Kyanja-24h'!K60,'03.08 Kisaasi-Kyanja-24h'!K60)</f>
        <v>1</v>
      </c>
      <c r="L60" s="49">
        <f>AVERAGE('01.08 Kisaasi-Kyanja-24h'!L60,'03.08 Kisaasi-Kyanja-24h'!L60)</f>
        <v>0</v>
      </c>
      <c r="M60" s="49">
        <f>AVERAGE('01.08 Kisaasi-Kyanja-24h'!M60,'03.08 Kisaasi-Kyanja-24h'!M60)</f>
        <v>117.5</v>
      </c>
      <c r="N60" s="49">
        <f>AVERAGE('01.08 Kisaasi-Kyanja-24h'!N60,'03.08 Kisaasi-Kyanja-24h'!N60)</f>
        <v>0</v>
      </c>
      <c r="O60" s="49">
        <f>AVERAGE('01.08 Kisaasi-Kyanja-24h'!O60,'03.08 Kisaasi-Kyanja-24h'!O60)</f>
        <v>203.5</v>
      </c>
      <c r="P60" s="49">
        <f>AVERAGE('01.08 Kisaasi-Kyanja-24h'!P60,'03.08 Kisaasi-Kyanja-24h'!P60)</f>
        <v>321</v>
      </c>
      <c r="R60" s="8"/>
      <c r="T60"/>
    </row>
    <row r="61" spans="2:20" ht="23.1" customHeight="1" x14ac:dyDescent="0.25">
      <c r="B61" s="23" t="s">
        <v>102</v>
      </c>
      <c r="C61" s="49">
        <f>AVERAGE('01.08 Kisaasi-Kyanja-24h'!C61,'03.08 Kisaasi-Kyanja-24h'!C61)</f>
        <v>90</v>
      </c>
      <c r="D61" s="49">
        <f>AVERAGE('01.08 Kisaasi-Kyanja-24h'!D61,'03.08 Kisaasi-Kyanja-24h'!D61)</f>
        <v>37.5</v>
      </c>
      <c r="E61" s="49">
        <f>AVERAGE('01.08 Kisaasi-Kyanja-24h'!E61,'03.08 Kisaasi-Kyanja-24h'!E61)</f>
        <v>6.5</v>
      </c>
      <c r="F61" s="49">
        <f>AVERAGE('01.08 Kisaasi-Kyanja-24h'!F61,'03.08 Kisaasi-Kyanja-24h'!F61)</f>
        <v>42.5</v>
      </c>
      <c r="G61" s="49">
        <f>AVERAGE('01.08 Kisaasi-Kyanja-24h'!G61,'03.08 Kisaasi-Kyanja-24h'!G61)</f>
        <v>0</v>
      </c>
      <c r="H61" s="49">
        <f>AVERAGE('01.08 Kisaasi-Kyanja-24h'!H61,'03.08 Kisaasi-Kyanja-24h'!H61)</f>
        <v>0</v>
      </c>
      <c r="I61" s="49">
        <f>AVERAGE('01.08 Kisaasi-Kyanja-24h'!I61,'03.08 Kisaasi-Kyanja-24h'!I61)</f>
        <v>6.5</v>
      </c>
      <c r="J61" s="49">
        <f>AVERAGE('01.08 Kisaasi-Kyanja-24h'!J61,'03.08 Kisaasi-Kyanja-24h'!J61)</f>
        <v>2</v>
      </c>
      <c r="K61" s="49">
        <f>AVERAGE('01.08 Kisaasi-Kyanja-24h'!K61,'03.08 Kisaasi-Kyanja-24h'!K61)</f>
        <v>0.5</v>
      </c>
      <c r="L61" s="49">
        <f>AVERAGE('01.08 Kisaasi-Kyanja-24h'!L61,'03.08 Kisaasi-Kyanja-24h'!L61)</f>
        <v>0</v>
      </c>
      <c r="M61" s="49">
        <f>AVERAGE('01.08 Kisaasi-Kyanja-24h'!M61,'03.08 Kisaasi-Kyanja-24h'!M61)</f>
        <v>105</v>
      </c>
      <c r="N61" s="49">
        <f>AVERAGE('01.08 Kisaasi-Kyanja-24h'!N61,'03.08 Kisaasi-Kyanja-24h'!N61)</f>
        <v>0</v>
      </c>
      <c r="O61" s="49">
        <f>AVERAGE('01.08 Kisaasi-Kyanja-24h'!O61,'03.08 Kisaasi-Kyanja-24h'!O61)</f>
        <v>185.5</v>
      </c>
      <c r="P61" s="49">
        <f>AVERAGE('01.08 Kisaasi-Kyanja-24h'!P61,'03.08 Kisaasi-Kyanja-24h'!P61)</f>
        <v>290.5</v>
      </c>
      <c r="R61" s="8"/>
      <c r="T61"/>
    </row>
    <row r="62" spans="2:20" ht="23.1" customHeight="1" x14ac:dyDescent="0.25">
      <c r="B62" s="23" t="s">
        <v>107</v>
      </c>
      <c r="C62" s="49">
        <f>AVERAGE('01.08 Kisaasi-Kyanja-24h'!C62,'03.08 Kisaasi-Kyanja-24h'!C62)</f>
        <v>69</v>
      </c>
      <c r="D62" s="49">
        <f>AVERAGE('01.08 Kisaasi-Kyanja-24h'!D62,'03.08 Kisaasi-Kyanja-24h'!D62)</f>
        <v>18.5</v>
      </c>
      <c r="E62" s="49">
        <f>AVERAGE('01.08 Kisaasi-Kyanja-24h'!E62,'03.08 Kisaasi-Kyanja-24h'!E62)</f>
        <v>4.5</v>
      </c>
      <c r="F62" s="49">
        <f>AVERAGE('01.08 Kisaasi-Kyanja-24h'!F62,'03.08 Kisaasi-Kyanja-24h'!F62)</f>
        <v>9.5</v>
      </c>
      <c r="G62" s="49">
        <f>AVERAGE('01.08 Kisaasi-Kyanja-24h'!G62,'03.08 Kisaasi-Kyanja-24h'!G62)</f>
        <v>0</v>
      </c>
      <c r="H62" s="49">
        <f>AVERAGE('01.08 Kisaasi-Kyanja-24h'!H62,'03.08 Kisaasi-Kyanja-24h'!H62)</f>
        <v>0</v>
      </c>
      <c r="I62" s="49">
        <f>AVERAGE('01.08 Kisaasi-Kyanja-24h'!I62,'03.08 Kisaasi-Kyanja-24h'!I62)</f>
        <v>2</v>
      </c>
      <c r="J62" s="49">
        <f>AVERAGE('01.08 Kisaasi-Kyanja-24h'!J62,'03.08 Kisaasi-Kyanja-24h'!J62)</f>
        <v>1.5</v>
      </c>
      <c r="K62" s="49">
        <f>AVERAGE('01.08 Kisaasi-Kyanja-24h'!K62,'03.08 Kisaasi-Kyanja-24h'!K62)</f>
        <v>0.5</v>
      </c>
      <c r="L62" s="49">
        <f>AVERAGE('01.08 Kisaasi-Kyanja-24h'!L62,'03.08 Kisaasi-Kyanja-24h'!L62)</f>
        <v>0</v>
      </c>
      <c r="M62" s="49">
        <f>AVERAGE('01.08 Kisaasi-Kyanja-24h'!M62,'03.08 Kisaasi-Kyanja-24h'!M62)</f>
        <v>87.5</v>
      </c>
      <c r="N62" s="49">
        <f>AVERAGE('01.08 Kisaasi-Kyanja-24h'!N62,'03.08 Kisaasi-Kyanja-24h'!N62)</f>
        <v>0</v>
      </c>
      <c r="O62" s="49">
        <f>AVERAGE('01.08 Kisaasi-Kyanja-24h'!O62,'03.08 Kisaasi-Kyanja-24h'!O62)</f>
        <v>105.5</v>
      </c>
      <c r="P62" s="49">
        <f>AVERAGE('01.08 Kisaasi-Kyanja-24h'!P62,'03.08 Kisaasi-Kyanja-24h'!P62)</f>
        <v>193</v>
      </c>
      <c r="R62" s="8"/>
      <c r="T62"/>
    </row>
    <row r="63" spans="2:20" ht="23.1" customHeight="1" x14ac:dyDescent="0.25">
      <c r="B63" s="23" t="s">
        <v>108</v>
      </c>
      <c r="C63" s="49">
        <f>AVERAGE('01.08 Kisaasi-Kyanja-24h'!C63,'03.08 Kisaasi-Kyanja-24h'!C63)</f>
        <v>74.5</v>
      </c>
      <c r="D63" s="49">
        <f>AVERAGE('01.08 Kisaasi-Kyanja-24h'!D63,'03.08 Kisaasi-Kyanja-24h'!D63)</f>
        <v>22</v>
      </c>
      <c r="E63" s="49">
        <f>AVERAGE('01.08 Kisaasi-Kyanja-24h'!E63,'03.08 Kisaasi-Kyanja-24h'!E63)</f>
        <v>3.5</v>
      </c>
      <c r="F63" s="49">
        <f>AVERAGE('01.08 Kisaasi-Kyanja-24h'!F63,'03.08 Kisaasi-Kyanja-24h'!F63)</f>
        <v>19.5</v>
      </c>
      <c r="G63" s="49">
        <f>AVERAGE('01.08 Kisaasi-Kyanja-24h'!G63,'03.08 Kisaasi-Kyanja-24h'!G63)</f>
        <v>0</v>
      </c>
      <c r="H63" s="49">
        <f>AVERAGE('01.08 Kisaasi-Kyanja-24h'!H63,'03.08 Kisaasi-Kyanja-24h'!H63)</f>
        <v>0</v>
      </c>
      <c r="I63" s="49">
        <f>AVERAGE('01.08 Kisaasi-Kyanja-24h'!I63,'03.08 Kisaasi-Kyanja-24h'!I63)</f>
        <v>2</v>
      </c>
      <c r="J63" s="49">
        <f>AVERAGE('01.08 Kisaasi-Kyanja-24h'!J63,'03.08 Kisaasi-Kyanja-24h'!J63)</f>
        <v>1.5</v>
      </c>
      <c r="K63" s="49">
        <f>AVERAGE('01.08 Kisaasi-Kyanja-24h'!K63,'03.08 Kisaasi-Kyanja-24h'!K63)</f>
        <v>0.5</v>
      </c>
      <c r="L63" s="49">
        <f>AVERAGE('01.08 Kisaasi-Kyanja-24h'!L63,'03.08 Kisaasi-Kyanja-24h'!L63)</f>
        <v>0</v>
      </c>
      <c r="M63" s="49">
        <f>AVERAGE('01.08 Kisaasi-Kyanja-24h'!M63,'03.08 Kisaasi-Kyanja-24h'!M63)</f>
        <v>111.5</v>
      </c>
      <c r="N63" s="49">
        <f>AVERAGE('01.08 Kisaasi-Kyanja-24h'!N63,'03.08 Kisaasi-Kyanja-24h'!N63)</f>
        <v>0</v>
      </c>
      <c r="O63" s="49">
        <f>AVERAGE('01.08 Kisaasi-Kyanja-24h'!O63,'03.08 Kisaasi-Kyanja-24h'!O63)</f>
        <v>123.5</v>
      </c>
      <c r="P63" s="49">
        <f>AVERAGE('01.08 Kisaasi-Kyanja-24h'!P63,'03.08 Kisaasi-Kyanja-24h'!P63)</f>
        <v>235</v>
      </c>
      <c r="R63" s="8"/>
      <c r="T63"/>
    </row>
    <row r="64" spans="2:20" ht="23.1" customHeight="1" x14ac:dyDescent="0.25">
      <c r="B64" s="23" t="s">
        <v>109</v>
      </c>
      <c r="C64" s="49">
        <f>AVERAGE('01.08 Kisaasi-Kyanja-24h'!C64,'03.08 Kisaasi-Kyanja-24h'!C64)</f>
        <v>57.5</v>
      </c>
      <c r="D64" s="49">
        <f>AVERAGE('01.08 Kisaasi-Kyanja-24h'!D64,'03.08 Kisaasi-Kyanja-24h'!D64)</f>
        <v>36.5</v>
      </c>
      <c r="E64" s="49">
        <f>AVERAGE('01.08 Kisaasi-Kyanja-24h'!E64,'03.08 Kisaasi-Kyanja-24h'!E64)</f>
        <v>5</v>
      </c>
      <c r="F64" s="49">
        <f>AVERAGE('01.08 Kisaasi-Kyanja-24h'!F64,'03.08 Kisaasi-Kyanja-24h'!F64)</f>
        <v>17</v>
      </c>
      <c r="G64" s="49">
        <f>AVERAGE('01.08 Kisaasi-Kyanja-24h'!G64,'03.08 Kisaasi-Kyanja-24h'!G64)</f>
        <v>0</v>
      </c>
      <c r="H64" s="49">
        <f>AVERAGE('01.08 Kisaasi-Kyanja-24h'!H64,'03.08 Kisaasi-Kyanja-24h'!H64)</f>
        <v>0</v>
      </c>
      <c r="I64" s="49">
        <f>AVERAGE('01.08 Kisaasi-Kyanja-24h'!I64,'03.08 Kisaasi-Kyanja-24h'!I64)</f>
        <v>4</v>
      </c>
      <c r="J64" s="49">
        <f>AVERAGE('01.08 Kisaasi-Kyanja-24h'!J64,'03.08 Kisaasi-Kyanja-24h'!J64)</f>
        <v>1</v>
      </c>
      <c r="K64" s="49">
        <f>AVERAGE('01.08 Kisaasi-Kyanja-24h'!K64,'03.08 Kisaasi-Kyanja-24h'!K64)</f>
        <v>0</v>
      </c>
      <c r="L64" s="49">
        <f>AVERAGE('01.08 Kisaasi-Kyanja-24h'!L64,'03.08 Kisaasi-Kyanja-24h'!L64)</f>
        <v>0</v>
      </c>
      <c r="M64" s="49">
        <f>AVERAGE('01.08 Kisaasi-Kyanja-24h'!M64,'03.08 Kisaasi-Kyanja-24h'!M64)</f>
        <v>100</v>
      </c>
      <c r="N64" s="49">
        <f>AVERAGE('01.08 Kisaasi-Kyanja-24h'!N64,'03.08 Kisaasi-Kyanja-24h'!N64)</f>
        <v>0</v>
      </c>
      <c r="O64" s="49">
        <f>AVERAGE('01.08 Kisaasi-Kyanja-24h'!O64,'03.08 Kisaasi-Kyanja-24h'!O64)</f>
        <v>121</v>
      </c>
      <c r="P64" s="49">
        <f>AVERAGE('01.08 Kisaasi-Kyanja-24h'!P64,'03.08 Kisaasi-Kyanja-24h'!P64)</f>
        <v>221</v>
      </c>
      <c r="R64" s="8"/>
      <c r="T64"/>
    </row>
    <row r="65" spans="2:20" ht="23.1" customHeight="1" x14ac:dyDescent="0.25">
      <c r="B65" s="23" t="s">
        <v>158</v>
      </c>
      <c r="C65" s="49">
        <f>AVERAGE('01.08 Kisaasi-Kyanja-24h'!C65,'03.08 Kisaasi-Kyanja-24h'!C65)</f>
        <v>44.5</v>
      </c>
      <c r="D65" s="49">
        <f>AVERAGE('01.08 Kisaasi-Kyanja-24h'!D65,'03.08 Kisaasi-Kyanja-24h'!D65)</f>
        <v>15.5</v>
      </c>
      <c r="E65" s="49">
        <f>AVERAGE('01.08 Kisaasi-Kyanja-24h'!E65,'03.08 Kisaasi-Kyanja-24h'!E65)</f>
        <v>3.5</v>
      </c>
      <c r="F65" s="49">
        <f>AVERAGE('01.08 Kisaasi-Kyanja-24h'!F65,'03.08 Kisaasi-Kyanja-24h'!F65)</f>
        <v>11</v>
      </c>
      <c r="G65" s="49">
        <f>AVERAGE('01.08 Kisaasi-Kyanja-24h'!G65,'03.08 Kisaasi-Kyanja-24h'!G65)</f>
        <v>0</v>
      </c>
      <c r="H65" s="49">
        <f>AVERAGE('01.08 Kisaasi-Kyanja-24h'!H65,'03.08 Kisaasi-Kyanja-24h'!H65)</f>
        <v>0</v>
      </c>
      <c r="I65" s="49">
        <f>AVERAGE('01.08 Kisaasi-Kyanja-24h'!I65,'03.08 Kisaasi-Kyanja-24h'!I65)</f>
        <v>3</v>
      </c>
      <c r="J65" s="49">
        <f>AVERAGE('01.08 Kisaasi-Kyanja-24h'!J65,'03.08 Kisaasi-Kyanja-24h'!J65)</f>
        <v>0</v>
      </c>
      <c r="K65" s="49">
        <f>AVERAGE('01.08 Kisaasi-Kyanja-24h'!K65,'03.08 Kisaasi-Kyanja-24h'!K65)</f>
        <v>0</v>
      </c>
      <c r="L65" s="49">
        <f>AVERAGE('01.08 Kisaasi-Kyanja-24h'!L65,'03.08 Kisaasi-Kyanja-24h'!L65)</f>
        <v>0</v>
      </c>
      <c r="M65" s="49">
        <f>AVERAGE('01.08 Kisaasi-Kyanja-24h'!M65,'03.08 Kisaasi-Kyanja-24h'!M65)</f>
        <v>83</v>
      </c>
      <c r="N65" s="49">
        <f>AVERAGE('01.08 Kisaasi-Kyanja-24h'!N65,'03.08 Kisaasi-Kyanja-24h'!N65)</f>
        <v>0</v>
      </c>
      <c r="O65" s="49">
        <f>AVERAGE('01.08 Kisaasi-Kyanja-24h'!O65,'03.08 Kisaasi-Kyanja-24h'!O65)</f>
        <v>77.5</v>
      </c>
      <c r="P65" s="49">
        <f>AVERAGE('01.08 Kisaasi-Kyanja-24h'!P65,'03.08 Kisaasi-Kyanja-24h'!P65)</f>
        <v>160.5</v>
      </c>
      <c r="R65" s="8"/>
      <c r="T65"/>
    </row>
    <row r="66" spans="2:20" ht="23.1" customHeight="1" x14ac:dyDescent="0.25">
      <c r="B66" s="23" t="s">
        <v>103</v>
      </c>
      <c r="C66" s="49">
        <f>AVERAGE('01.08 Kisaasi-Kyanja-24h'!C66,'03.08 Kisaasi-Kyanja-24h'!C66)</f>
        <v>42.5</v>
      </c>
      <c r="D66" s="49">
        <f>AVERAGE('01.08 Kisaasi-Kyanja-24h'!D66,'03.08 Kisaasi-Kyanja-24h'!D66)</f>
        <v>24.5</v>
      </c>
      <c r="E66" s="49">
        <f>AVERAGE('01.08 Kisaasi-Kyanja-24h'!E66,'03.08 Kisaasi-Kyanja-24h'!E66)</f>
        <v>4.5</v>
      </c>
      <c r="F66" s="49">
        <f>AVERAGE('01.08 Kisaasi-Kyanja-24h'!F66,'03.08 Kisaasi-Kyanja-24h'!F66)</f>
        <v>37</v>
      </c>
      <c r="G66" s="49">
        <f>AVERAGE('01.08 Kisaasi-Kyanja-24h'!G66,'03.08 Kisaasi-Kyanja-24h'!G66)</f>
        <v>0</v>
      </c>
      <c r="H66" s="49">
        <f>AVERAGE('01.08 Kisaasi-Kyanja-24h'!H66,'03.08 Kisaasi-Kyanja-24h'!H66)</f>
        <v>0</v>
      </c>
      <c r="I66" s="49">
        <f>AVERAGE('01.08 Kisaasi-Kyanja-24h'!I66,'03.08 Kisaasi-Kyanja-24h'!I66)</f>
        <v>2</v>
      </c>
      <c r="J66" s="49">
        <f>AVERAGE('01.08 Kisaasi-Kyanja-24h'!J66,'03.08 Kisaasi-Kyanja-24h'!J66)</f>
        <v>0.5</v>
      </c>
      <c r="K66" s="49">
        <f>AVERAGE('01.08 Kisaasi-Kyanja-24h'!K66,'03.08 Kisaasi-Kyanja-24h'!K66)</f>
        <v>2</v>
      </c>
      <c r="L66" s="49">
        <f>AVERAGE('01.08 Kisaasi-Kyanja-24h'!L66,'03.08 Kisaasi-Kyanja-24h'!L66)</f>
        <v>0</v>
      </c>
      <c r="M66" s="49">
        <f>AVERAGE('01.08 Kisaasi-Kyanja-24h'!M66,'03.08 Kisaasi-Kyanja-24h'!M66)</f>
        <v>110</v>
      </c>
      <c r="N66" s="49">
        <f>AVERAGE('01.08 Kisaasi-Kyanja-24h'!N66,'03.08 Kisaasi-Kyanja-24h'!N66)</f>
        <v>0</v>
      </c>
      <c r="O66" s="49">
        <f>AVERAGE('01.08 Kisaasi-Kyanja-24h'!O66,'03.08 Kisaasi-Kyanja-24h'!O66)</f>
        <v>113</v>
      </c>
      <c r="P66" s="49">
        <f>AVERAGE('01.08 Kisaasi-Kyanja-24h'!P66,'03.08 Kisaasi-Kyanja-24h'!P66)</f>
        <v>223</v>
      </c>
      <c r="R66" s="8"/>
      <c r="T66"/>
    </row>
    <row r="67" spans="2:20" ht="23.1" customHeight="1" x14ac:dyDescent="0.25">
      <c r="B67" s="23" t="s">
        <v>104</v>
      </c>
      <c r="C67" s="49">
        <f>AVERAGE('01.08 Kisaasi-Kyanja-24h'!C67,'03.08 Kisaasi-Kyanja-24h'!C67)</f>
        <v>61.5</v>
      </c>
      <c r="D67" s="49">
        <f>AVERAGE('01.08 Kisaasi-Kyanja-24h'!D67,'03.08 Kisaasi-Kyanja-24h'!D67)</f>
        <v>23.5</v>
      </c>
      <c r="E67" s="49">
        <f>AVERAGE('01.08 Kisaasi-Kyanja-24h'!E67,'03.08 Kisaasi-Kyanja-24h'!E67)</f>
        <v>5.5</v>
      </c>
      <c r="F67" s="49">
        <f>AVERAGE('01.08 Kisaasi-Kyanja-24h'!F67,'03.08 Kisaasi-Kyanja-24h'!F67)</f>
        <v>14.5</v>
      </c>
      <c r="G67" s="49">
        <f>AVERAGE('01.08 Kisaasi-Kyanja-24h'!G67,'03.08 Kisaasi-Kyanja-24h'!G67)</f>
        <v>0</v>
      </c>
      <c r="H67" s="49">
        <f>AVERAGE('01.08 Kisaasi-Kyanja-24h'!H67,'03.08 Kisaasi-Kyanja-24h'!H67)</f>
        <v>0</v>
      </c>
      <c r="I67" s="49">
        <f>AVERAGE('01.08 Kisaasi-Kyanja-24h'!I67,'03.08 Kisaasi-Kyanja-24h'!I67)</f>
        <v>3.5</v>
      </c>
      <c r="J67" s="49">
        <f>AVERAGE('01.08 Kisaasi-Kyanja-24h'!J67,'03.08 Kisaasi-Kyanja-24h'!J67)</f>
        <v>2.5</v>
      </c>
      <c r="K67" s="49">
        <f>AVERAGE('01.08 Kisaasi-Kyanja-24h'!K67,'03.08 Kisaasi-Kyanja-24h'!K67)</f>
        <v>0</v>
      </c>
      <c r="L67" s="49">
        <f>AVERAGE('01.08 Kisaasi-Kyanja-24h'!L67,'03.08 Kisaasi-Kyanja-24h'!L67)</f>
        <v>0.5</v>
      </c>
      <c r="M67" s="49">
        <f>AVERAGE('01.08 Kisaasi-Kyanja-24h'!M67,'03.08 Kisaasi-Kyanja-24h'!M67)</f>
        <v>87.5</v>
      </c>
      <c r="N67" s="49">
        <f>AVERAGE('01.08 Kisaasi-Kyanja-24h'!N67,'03.08 Kisaasi-Kyanja-24h'!N67)</f>
        <v>0</v>
      </c>
      <c r="O67" s="49">
        <f>AVERAGE('01.08 Kisaasi-Kyanja-24h'!O67,'03.08 Kisaasi-Kyanja-24h'!O67)</f>
        <v>111.5</v>
      </c>
      <c r="P67" s="49">
        <f>AVERAGE('01.08 Kisaasi-Kyanja-24h'!P67,'03.08 Kisaasi-Kyanja-24h'!P67)</f>
        <v>199</v>
      </c>
      <c r="R67" s="8"/>
      <c r="T67"/>
    </row>
    <row r="68" spans="2:20" ht="23.1" customHeight="1" x14ac:dyDescent="0.25">
      <c r="B68" s="23" t="s">
        <v>105</v>
      </c>
      <c r="C68" s="49">
        <f>AVERAGE('01.08 Kisaasi-Kyanja-24h'!C68,'03.08 Kisaasi-Kyanja-24h'!C68)</f>
        <v>51.5</v>
      </c>
      <c r="D68" s="49">
        <f>AVERAGE('01.08 Kisaasi-Kyanja-24h'!D68,'03.08 Kisaasi-Kyanja-24h'!D68)</f>
        <v>21.5</v>
      </c>
      <c r="E68" s="49">
        <f>AVERAGE('01.08 Kisaasi-Kyanja-24h'!E68,'03.08 Kisaasi-Kyanja-24h'!E68)</f>
        <v>7</v>
      </c>
      <c r="F68" s="49">
        <f>AVERAGE('01.08 Kisaasi-Kyanja-24h'!F68,'03.08 Kisaasi-Kyanja-24h'!F68)</f>
        <v>18</v>
      </c>
      <c r="G68" s="49">
        <f>AVERAGE('01.08 Kisaasi-Kyanja-24h'!G68,'03.08 Kisaasi-Kyanja-24h'!G68)</f>
        <v>0</v>
      </c>
      <c r="H68" s="49">
        <f>AVERAGE('01.08 Kisaasi-Kyanja-24h'!H68,'03.08 Kisaasi-Kyanja-24h'!H68)</f>
        <v>0</v>
      </c>
      <c r="I68" s="49">
        <f>AVERAGE('01.08 Kisaasi-Kyanja-24h'!I68,'03.08 Kisaasi-Kyanja-24h'!I68)</f>
        <v>2.5</v>
      </c>
      <c r="J68" s="49">
        <f>AVERAGE('01.08 Kisaasi-Kyanja-24h'!J68,'03.08 Kisaasi-Kyanja-24h'!J68)</f>
        <v>0.5</v>
      </c>
      <c r="K68" s="49">
        <f>AVERAGE('01.08 Kisaasi-Kyanja-24h'!K68,'03.08 Kisaasi-Kyanja-24h'!K68)</f>
        <v>1</v>
      </c>
      <c r="L68" s="49">
        <f>AVERAGE('01.08 Kisaasi-Kyanja-24h'!L68,'03.08 Kisaasi-Kyanja-24h'!L68)</f>
        <v>0</v>
      </c>
      <c r="M68" s="49">
        <f>AVERAGE('01.08 Kisaasi-Kyanja-24h'!M68,'03.08 Kisaasi-Kyanja-24h'!M68)</f>
        <v>82.5</v>
      </c>
      <c r="N68" s="49">
        <f>AVERAGE('01.08 Kisaasi-Kyanja-24h'!N68,'03.08 Kisaasi-Kyanja-24h'!N68)</f>
        <v>0</v>
      </c>
      <c r="O68" s="49">
        <f>AVERAGE('01.08 Kisaasi-Kyanja-24h'!O68,'03.08 Kisaasi-Kyanja-24h'!O68)</f>
        <v>102</v>
      </c>
      <c r="P68" s="49">
        <f>AVERAGE('01.08 Kisaasi-Kyanja-24h'!P68,'03.08 Kisaasi-Kyanja-24h'!P68)</f>
        <v>184.5</v>
      </c>
      <c r="R68" s="8"/>
      <c r="T68"/>
    </row>
    <row r="69" spans="2:20" ht="23.1" customHeight="1" x14ac:dyDescent="0.25">
      <c r="B69" s="23" t="s">
        <v>106</v>
      </c>
      <c r="C69" s="49">
        <f>AVERAGE('01.08 Kisaasi-Kyanja-24h'!C69,'03.08 Kisaasi-Kyanja-24h'!C69)</f>
        <v>75</v>
      </c>
      <c r="D69" s="49">
        <f>AVERAGE('01.08 Kisaasi-Kyanja-24h'!D69,'03.08 Kisaasi-Kyanja-24h'!D69)</f>
        <v>40</v>
      </c>
      <c r="E69" s="49">
        <f>AVERAGE('01.08 Kisaasi-Kyanja-24h'!E69,'03.08 Kisaasi-Kyanja-24h'!E69)</f>
        <v>5</v>
      </c>
      <c r="F69" s="49">
        <f>AVERAGE('01.08 Kisaasi-Kyanja-24h'!F69,'03.08 Kisaasi-Kyanja-24h'!F69)</f>
        <v>15</v>
      </c>
      <c r="G69" s="49">
        <f>AVERAGE('01.08 Kisaasi-Kyanja-24h'!G69,'03.08 Kisaasi-Kyanja-24h'!G69)</f>
        <v>0</v>
      </c>
      <c r="H69" s="49">
        <f>AVERAGE('01.08 Kisaasi-Kyanja-24h'!H69,'03.08 Kisaasi-Kyanja-24h'!H69)</f>
        <v>0.5</v>
      </c>
      <c r="I69" s="49">
        <f>AVERAGE('01.08 Kisaasi-Kyanja-24h'!I69,'03.08 Kisaasi-Kyanja-24h'!I69)</f>
        <v>4</v>
      </c>
      <c r="J69" s="49">
        <f>AVERAGE('01.08 Kisaasi-Kyanja-24h'!J69,'03.08 Kisaasi-Kyanja-24h'!J69)</f>
        <v>1.5</v>
      </c>
      <c r="K69" s="49">
        <f>AVERAGE('01.08 Kisaasi-Kyanja-24h'!K69,'03.08 Kisaasi-Kyanja-24h'!K69)</f>
        <v>1</v>
      </c>
      <c r="L69" s="49">
        <f>AVERAGE('01.08 Kisaasi-Kyanja-24h'!L69,'03.08 Kisaasi-Kyanja-24h'!L69)</f>
        <v>1</v>
      </c>
      <c r="M69" s="49">
        <f>AVERAGE('01.08 Kisaasi-Kyanja-24h'!M69,'03.08 Kisaasi-Kyanja-24h'!M69)</f>
        <v>89</v>
      </c>
      <c r="N69" s="49">
        <f>AVERAGE('01.08 Kisaasi-Kyanja-24h'!N69,'03.08 Kisaasi-Kyanja-24h'!N69)</f>
        <v>0</v>
      </c>
      <c r="O69" s="49">
        <f>AVERAGE('01.08 Kisaasi-Kyanja-24h'!O69,'03.08 Kisaasi-Kyanja-24h'!O69)</f>
        <v>143</v>
      </c>
      <c r="P69" s="49">
        <f>AVERAGE('01.08 Kisaasi-Kyanja-24h'!P69,'03.08 Kisaasi-Kyanja-24h'!P69)</f>
        <v>232</v>
      </c>
      <c r="R69" s="8"/>
      <c r="T69"/>
    </row>
    <row r="70" spans="2:20" ht="23.1" customHeight="1" x14ac:dyDescent="0.25">
      <c r="B70" s="23" t="s">
        <v>110</v>
      </c>
      <c r="C70" s="49">
        <f>AVERAGE('01.08 Kisaasi-Kyanja-24h'!C70,'03.08 Kisaasi-Kyanja-24h'!C70)</f>
        <v>50</v>
      </c>
      <c r="D70" s="49">
        <f>AVERAGE('01.08 Kisaasi-Kyanja-24h'!D70,'03.08 Kisaasi-Kyanja-24h'!D70)</f>
        <v>33</v>
      </c>
      <c r="E70" s="49">
        <f>AVERAGE('01.08 Kisaasi-Kyanja-24h'!E70,'03.08 Kisaasi-Kyanja-24h'!E70)</f>
        <v>5</v>
      </c>
      <c r="F70" s="49">
        <f>AVERAGE('01.08 Kisaasi-Kyanja-24h'!F70,'03.08 Kisaasi-Kyanja-24h'!F70)</f>
        <v>18.5</v>
      </c>
      <c r="G70" s="49">
        <f>AVERAGE('01.08 Kisaasi-Kyanja-24h'!G70,'03.08 Kisaasi-Kyanja-24h'!G70)</f>
        <v>0</v>
      </c>
      <c r="H70" s="49">
        <f>AVERAGE('01.08 Kisaasi-Kyanja-24h'!H70,'03.08 Kisaasi-Kyanja-24h'!H70)</f>
        <v>0</v>
      </c>
      <c r="I70" s="49">
        <f>AVERAGE('01.08 Kisaasi-Kyanja-24h'!I70,'03.08 Kisaasi-Kyanja-24h'!I70)</f>
        <v>5</v>
      </c>
      <c r="J70" s="49">
        <f>AVERAGE('01.08 Kisaasi-Kyanja-24h'!J70,'03.08 Kisaasi-Kyanja-24h'!J70)</f>
        <v>1.5</v>
      </c>
      <c r="K70" s="49">
        <f>AVERAGE('01.08 Kisaasi-Kyanja-24h'!K70,'03.08 Kisaasi-Kyanja-24h'!K70)</f>
        <v>0</v>
      </c>
      <c r="L70" s="49">
        <f>AVERAGE('01.08 Kisaasi-Kyanja-24h'!L70,'03.08 Kisaasi-Kyanja-24h'!L70)</f>
        <v>0.5</v>
      </c>
      <c r="M70" s="49">
        <f>AVERAGE('01.08 Kisaasi-Kyanja-24h'!M70,'03.08 Kisaasi-Kyanja-24h'!M70)</f>
        <v>80</v>
      </c>
      <c r="N70" s="49">
        <f>AVERAGE('01.08 Kisaasi-Kyanja-24h'!N70,'03.08 Kisaasi-Kyanja-24h'!N70)</f>
        <v>0</v>
      </c>
      <c r="O70" s="49">
        <f>AVERAGE('01.08 Kisaasi-Kyanja-24h'!O70,'03.08 Kisaasi-Kyanja-24h'!O70)</f>
        <v>113.5</v>
      </c>
      <c r="P70" s="49">
        <f>AVERAGE('01.08 Kisaasi-Kyanja-24h'!P70,'03.08 Kisaasi-Kyanja-24h'!P70)</f>
        <v>193.5</v>
      </c>
      <c r="R70" s="8"/>
      <c r="T70"/>
    </row>
    <row r="71" spans="2:20" ht="23.1" customHeight="1" x14ac:dyDescent="0.25">
      <c r="B71" s="23" t="s">
        <v>111</v>
      </c>
      <c r="C71" s="49">
        <f>AVERAGE('01.08 Kisaasi-Kyanja-24h'!C71,'03.08 Kisaasi-Kyanja-24h'!C71)</f>
        <v>42</v>
      </c>
      <c r="D71" s="49">
        <f>AVERAGE('01.08 Kisaasi-Kyanja-24h'!D71,'03.08 Kisaasi-Kyanja-24h'!D71)</f>
        <v>29</v>
      </c>
      <c r="E71" s="49">
        <f>AVERAGE('01.08 Kisaasi-Kyanja-24h'!E71,'03.08 Kisaasi-Kyanja-24h'!E71)</f>
        <v>6.5</v>
      </c>
      <c r="F71" s="49">
        <f>AVERAGE('01.08 Kisaasi-Kyanja-24h'!F71,'03.08 Kisaasi-Kyanja-24h'!F71)</f>
        <v>15</v>
      </c>
      <c r="G71" s="49">
        <f>AVERAGE('01.08 Kisaasi-Kyanja-24h'!G71,'03.08 Kisaasi-Kyanja-24h'!G71)</f>
        <v>0</v>
      </c>
      <c r="H71" s="49">
        <f>AVERAGE('01.08 Kisaasi-Kyanja-24h'!H71,'03.08 Kisaasi-Kyanja-24h'!H71)</f>
        <v>0</v>
      </c>
      <c r="I71" s="49">
        <f>AVERAGE('01.08 Kisaasi-Kyanja-24h'!I71,'03.08 Kisaasi-Kyanja-24h'!I71)</f>
        <v>4</v>
      </c>
      <c r="J71" s="49">
        <f>AVERAGE('01.08 Kisaasi-Kyanja-24h'!J71,'03.08 Kisaasi-Kyanja-24h'!J71)</f>
        <v>0</v>
      </c>
      <c r="K71" s="49">
        <f>AVERAGE('01.08 Kisaasi-Kyanja-24h'!K71,'03.08 Kisaasi-Kyanja-24h'!K71)</f>
        <v>1</v>
      </c>
      <c r="L71" s="49">
        <f>AVERAGE('01.08 Kisaasi-Kyanja-24h'!L71,'03.08 Kisaasi-Kyanja-24h'!L71)</f>
        <v>0</v>
      </c>
      <c r="M71" s="49">
        <f>AVERAGE('01.08 Kisaasi-Kyanja-24h'!M71,'03.08 Kisaasi-Kyanja-24h'!M71)</f>
        <v>58</v>
      </c>
      <c r="N71" s="49">
        <f>AVERAGE('01.08 Kisaasi-Kyanja-24h'!N71,'03.08 Kisaasi-Kyanja-24h'!N71)</f>
        <v>0</v>
      </c>
      <c r="O71" s="49">
        <f>AVERAGE('01.08 Kisaasi-Kyanja-24h'!O71,'03.08 Kisaasi-Kyanja-24h'!O71)</f>
        <v>97.5</v>
      </c>
      <c r="P71" s="49">
        <f>AVERAGE('01.08 Kisaasi-Kyanja-24h'!P71,'03.08 Kisaasi-Kyanja-24h'!P71)</f>
        <v>155.5</v>
      </c>
      <c r="R71" s="8"/>
      <c r="T71"/>
    </row>
    <row r="72" spans="2:20" ht="23.1" customHeight="1" x14ac:dyDescent="0.25">
      <c r="B72" s="23" t="s">
        <v>112</v>
      </c>
      <c r="C72" s="49">
        <f>AVERAGE('01.08 Kisaasi-Kyanja-24h'!C72,'03.08 Kisaasi-Kyanja-24h'!C72)</f>
        <v>39</v>
      </c>
      <c r="D72" s="49">
        <f>AVERAGE('01.08 Kisaasi-Kyanja-24h'!D72,'03.08 Kisaasi-Kyanja-24h'!D72)</f>
        <v>31</v>
      </c>
      <c r="E72" s="49">
        <f>AVERAGE('01.08 Kisaasi-Kyanja-24h'!E72,'03.08 Kisaasi-Kyanja-24h'!E72)</f>
        <v>3</v>
      </c>
      <c r="F72" s="49">
        <f>AVERAGE('01.08 Kisaasi-Kyanja-24h'!F72,'03.08 Kisaasi-Kyanja-24h'!F72)</f>
        <v>12.5</v>
      </c>
      <c r="G72" s="49">
        <f>AVERAGE('01.08 Kisaasi-Kyanja-24h'!G72,'03.08 Kisaasi-Kyanja-24h'!G72)</f>
        <v>0</v>
      </c>
      <c r="H72" s="49">
        <f>AVERAGE('01.08 Kisaasi-Kyanja-24h'!H72,'03.08 Kisaasi-Kyanja-24h'!H72)</f>
        <v>0</v>
      </c>
      <c r="I72" s="49">
        <f>AVERAGE('01.08 Kisaasi-Kyanja-24h'!I72,'03.08 Kisaasi-Kyanja-24h'!I72)</f>
        <v>3</v>
      </c>
      <c r="J72" s="49">
        <f>AVERAGE('01.08 Kisaasi-Kyanja-24h'!J72,'03.08 Kisaasi-Kyanja-24h'!J72)</f>
        <v>1</v>
      </c>
      <c r="K72" s="49">
        <f>AVERAGE('01.08 Kisaasi-Kyanja-24h'!K72,'03.08 Kisaasi-Kyanja-24h'!K72)</f>
        <v>1.5</v>
      </c>
      <c r="L72" s="49">
        <f>AVERAGE('01.08 Kisaasi-Kyanja-24h'!L72,'03.08 Kisaasi-Kyanja-24h'!L72)</f>
        <v>0</v>
      </c>
      <c r="M72" s="49">
        <f>AVERAGE('01.08 Kisaasi-Kyanja-24h'!M72,'03.08 Kisaasi-Kyanja-24h'!M72)</f>
        <v>69</v>
      </c>
      <c r="N72" s="49">
        <f>AVERAGE('01.08 Kisaasi-Kyanja-24h'!N72,'03.08 Kisaasi-Kyanja-24h'!N72)</f>
        <v>0</v>
      </c>
      <c r="O72" s="49">
        <f>AVERAGE('01.08 Kisaasi-Kyanja-24h'!O72,'03.08 Kisaasi-Kyanja-24h'!O72)</f>
        <v>91</v>
      </c>
      <c r="P72" s="49">
        <f>AVERAGE('01.08 Kisaasi-Kyanja-24h'!P72,'03.08 Kisaasi-Kyanja-24h'!P72)</f>
        <v>160</v>
      </c>
      <c r="R72" s="8"/>
      <c r="T72"/>
    </row>
    <row r="73" spans="2:20" ht="23.1" customHeight="1" x14ac:dyDescent="0.25">
      <c r="B73" s="23" t="s">
        <v>113</v>
      </c>
      <c r="C73" s="49">
        <f>AVERAGE('01.08 Kisaasi-Kyanja-24h'!C73,'03.08 Kisaasi-Kyanja-24h'!C73)</f>
        <v>40.5</v>
      </c>
      <c r="D73" s="49">
        <f>AVERAGE('01.08 Kisaasi-Kyanja-24h'!D73,'03.08 Kisaasi-Kyanja-24h'!D73)</f>
        <v>32</v>
      </c>
      <c r="E73" s="49">
        <f>AVERAGE('01.08 Kisaasi-Kyanja-24h'!E73,'03.08 Kisaasi-Kyanja-24h'!E73)</f>
        <v>2</v>
      </c>
      <c r="F73" s="49">
        <f>AVERAGE('01.08 Kisaasi-Kyanja-24h'!F73,'03.08 Kisaasi-Kyanja-24h'!F73)</f>
        <v>12</v>
      </c>
      <c r="G73" s="49">
        <f>AVERAGE('01.08 Kisaasi-Kyanja-24h'!G73,'03.08 Kisaasi-Kyanja-24h'!G73)</f>
        <v>1</v>
      </c>
      <c r="H73" s="49">
        <f>AVERAGE('01.08 Kisaasi-Kyanja-24h'!H73,'03.08 Kisaasi-Kyanja-24h'!H73)</f>
        <v>0</v>
      </c>
      <c r="I73" s="49">
        <f>AVERAGE('01.08 Kisaasi-Kyanja-24h'!I73,'03.08 Kisaasi-Kyanja-24h'!I73)</f>
        <v>3</v>
      </c>
      <c r="J73" s="49">
        <f>AVERAGE('01.08 Kisaasi-Kyanja-24h'!J73,'03.08 Kisaasi-Kyanja-24h'!J73)</f>
        <v>1.5</v>
      </c>
      <c r="K73" s="49">
        <f>AVERAGE('01.08 Kisaasi-Kyanja-24h'!K73,'03.08 Kisaasi-Kyanja-24h'!K73)</f>
        <v>0.5</v>
      </c>
      <c r="L73" s="49">
        <f>AVERAGE('01.08 Kisaasi-Kyanja-24h'!L73,'03.08 Kisaasi-Kyanja-24h'!L73)</f>
        <v>0</v>
      </c>
      <c r="M73" s="49">
        <f>AVERAGE('01.08 Kisaasi-Kyanja-24h'!M73,'03.08 Kisaasi-Kyanja-24h'!M73)</f>
        <v>59.5</v>
      </c>
      <c r="N73" s="49">
        <f>AVERAGE('01.08 Kisaasi-Kyanja-24h'!N73,'03.08 Kisaasi-Kyanja-24h'!N73)</f>
        <v>0</v>
      </c>
      <c r="O73" s="49">
        <f>AVERAGE('01.08 Kisaasi-Kyanja-24h'!O73,'03.08 Kisaasi-Kyanja-24h'!O73)</f>
        <v>92.5</v>
      </c>
      <c r="P73" s="49">
        <f>AVERAGE('01.08 Kisaasi-Kyanja-24h'!P73,'03.08 Kisaasi-Kyanja-24h'!P73)</f>
        <v>152</v>
      </c>
      <c r="R73" s="8"/>
      <c r="T73"/>
    </row>
    <row r="74" spans="2:20" ht="23.1" customHeight="1" x14ac:dyDescent="0.25">
      <c r="B74" s="23" t="s">
        <v>114</v>
      </c>
      <c r="C74" s="49">
        <f>AVERAGE('01.08 Kisaasi-Kyanja-24h'!C74,'03.08 Kisaasi-Kyanja-24h'!C74)</f>
        <v>42.5</v>
      </c>
      <c r="D74" s="49">
        <f>AVERAGE('01.08 Kisaasi-Kyanja-24h'!D74,'03.08 Kisaasi-Kyanja-24h'!D74)</f>
        <v>25</v>
      </c>
      <c r="E74" s="49">
        <f>AVERAGE('01.08 Kisaasi-Kyanja-24h'!E74,'03.08 Kisaasi-Kyanja-24h'!E74)</f>
        <v>8</v>
      </c>
      <c r="F74" s="49">
        <f>AVERAGE('01.08 Kisaasi-Kyanja-24h'!F74,'03.08 Kisaasi-Kyanja-24h'!F74)</f>
        <v>14.5</v>
      </c>
      <c r="G74" s="49">
        <f>AVERAGE('01.08 Kisaasi-Kyanja-24h'!G74,'03.08 Kisaasi-Kyanja-24h'!G74)</f>
        <v>0</v>
      </c>
      <c r="H74" s="49">
        <f>AVERAGE('01.08 Kisaasi-Kyanja-24h'!H74,'03.08 Kisaasi-Kyanja-24h'!H74)</f>
        <v>0</v>
      </c>
      <c r="I74" s="49">
        <f>AVERAGE('01.08 Kisaasi-Kyanja-24h'!I74,'03.08 Kisaasi-Kyanja-24h'!I74)</f>
        <v>3</v>
      </c>
      <c r="J74" s="49">
        <f>AVERAGE('01.08 Kisaasi-Kyanja-24h'!J74,'03.08 Kisaasi-Kyanja-24h'!J74)</f>
        <v>1</v>
      </c>
      <c r="K74" s="49">
        <f>AVERAGE('01.08 Kisaasi-Kyanja-24h'!K74,'03.08 Kisaasi-Kyanja-24h'!K74)</f>
        <v>0</v>
      </c>
      <c r="L74" s="49">
        <f>AVERAGE('01.08 Kisaasi-Kyanja-24h'!L74,'03.08 Kisaasi-Kyanja-24h'!L74)</f>
        <v>0</v>
      </c>
      <c r="M74" s="49">
        <f>AVERAGE('01.08 Kisaasi-Kyanja-24h'!M74,'03.08 Kisaasi-Kyanja-24h'!M74)</f>
        <v>61.5</v>
      </c>
      <c r="N74" s="49">
        <f>AVERAGE('01.08 Kisaasi-Kyanja-24h'!N74,'03.08 Kisaasi-Kyanja-24h'!N74)</f>
        <v>0</v>
      </c>
      <c r="O74" s="49">
        <f>AVERAGE('01.08 Kisaasi-Kyanja-24h'!O74,'03.08 Kisaasi-Kyanja-24h'!O74)</f>
        <v>94</v>
      </c>
      <c r="P74" s="49">
        <f>AVERAGE('01.08 Kisaasi-Kyanja-24h'!P74,'03.08 Kisaasi-Kyanja-24h'!P74)</f>
        <v>155.5</v>
      </c>
      <c r="R74" s="8"/>
      <c r="T74"/>
    </row>
    <row r="75" spans="2:20" ht="23.1" customHeight="1" x14ac:dyDescent="0.25">
      <c r="B75" s="23" t="s">
        <v>115</v>
      </c>
      <c r="C75" s="49">
        <f>AVERAGE('01.08 Kisaasi-Kyanja-24h'!C75,'03.08 Kisaasi-Kyanja-24h'!C75)</f>
        <v>32</v>
      </c>
      <c r="D75" s="49">
        <f>AVERAGE('01.08 Kisaasi-Kyanja-24h'!D75,'03.08 Kisaasi-Kyanja-24h'!D75)</f>
        <v>13.5</v>
      </c>
      <c r="E75" s="49">
        <f>AVERAGE('01.08 Kisaasi-Kyanja-24h'!E75,'03.08 Kisaasi-Kyanja-24h'!E75)</f>
        <v>2.5</v>
      </c>
      <c r="F75" s="49">
        <f>AVERAGE('01.08 Kisaasi-Kyanja-24h'!F75,'03.08 Kisaasi-Kyanja-24h'!F75)</f>
        <v>8</v>
      </c>
      <c r="G75" s="49">
        <f>AVERAGE('01.08 Kisaasi-Kyanja-24h'!G75,'03.08 Kisaasi-Kyanja-24h'!G75)</f>
        <v>0</v>
      </c>
      <c r="H75" s="49">
        <f>AVERAGE('01.08 Kisaasi-Kyanja-24h'!H75,'03.08 Kisaasi-Kyanja-24h'!H75)</f>
        <v>0</v>
      </c>
      <c r="I75" s="49">
        <f>AVERAGE('01.08 Kisaasi-Kyanja-24h'!I75,'03.08 Kisaasi-Kyanja-24h'!I75)</f>
        <v>1</v>
      </c>
      <c r="J75" s="49">
        <f>AVERAGE('01.08 Kisaasi-Kyanja-24h'!J75,'03.08 Kisaasi-Kyanja-24h'!J75)</f>
        <v>0.5</v>
      </c>
      <c r="K75" s="49">
        <f>AVERAGE('01.08 Kisaasi-Kyanja-24h'!K75,'03.08 Kisaasi-Kyanja-24h'!K75)</f>
        <v>0.5</v>
      </c>
      <c r="L75" s="49">
        <f>AVERAGE('01.08 Kisaasi-Kyanja-24h'!L75,'03.08 Kisaasi-Kyanja-24h'!L75)</f>
        <v>0</v>
      </c>
      <c r="M75" s="49">
        <f>AVERAGE('01.08 Kisaasi-Kyanja-24h'!M75,'03.08 Kisaasi-Kyanja-24h'!M75)</f>
        <v>32.5</v>
      </c>
      <c r="N75" s="49">
        <f>AVERAGE('01.08 Kisaasi-Kyanja-24h'!N75,'03.08 Kisaasi-Kyanja-24h'!N75)</f>
        <v>0</v>
      </c>
      <c r="O75" s="49">
        <f>AVERAGE('01.08 Kisaasi-Kyanja-24h'!O75,'03.08 Kisaasi-Kyanja-24h'!O75)</f>
        <v>58</v>
      </c>
      <c r="P75" s="49">
        <f>AVERAGE('01.08 Kisaasi-Kyanja-24h'!P75,'03.08 Kisaasi-Kyanja-24h'!P75)</f>
        <v>90.5</v>
      </c>
      <c r="R75" s="8"/>
      <c r="T75"/>
    </row>
    <row r="76" spans="2:20" ht="23.1" customHeight="1" x14ac:dyDescent="0.25">
      <c r="B76" s="23" t="s">
        <v>116</v>
      </c>
      <c r="C76" s="49">
        <f>AVERAGE('01.08 Kisaasi-Kyanja-24h'!C76,'03.08 Kisaasi-Kyanja-24h'!C76)</f>
        <v>44.5</v>
      </c>
      <c r="D76" s="49">
        <f>AVERAGE('01.08 Kisaasi-Kyanja-24h'!D76,'03.08 Kisaasi-Kyanja-24h'!D76)</f>
        <v>22.5</v>
      </c>
      <c r="E76" s="49">
        <f>AVERAGE('01.08 Kisaasi-Kyanja-24h'!E76,'03.08 Kisaasi-Kyanja-24h'!E76)</f>
        <v>5.5</v>
      </c>
      <c r="F76" s="49">
        <f>AVERAGE('01.08 Kisaasi-Kyanja-24h'!F76,'03.08 Kisaasi-Kyanja-24h'!F76)</f>
        <v>10</v>
      </c>
      <c r="G76" s="49">
        <f>AVERAGE('01.08 Kisaasi-Kyanja-24h'!G76,'03.08 Kisaasi-Kyanja-24h'!G76)</f>
        <v>0</v>
      </c>
      <c r="H76" s="49">
        <f>AVERAGE('01.08 Kisaasi-Kyanja-24h'!H76,'03.08 Kisaasi-Kyanja-24h'!H76)</f>
        <v>0</v>
      </c>
      <c r="I76" s="49">
        <f>AVERAGE('01.08 Kisaasi-Kyanja-24h'!I76,'03.08 Kisaasi-Kyanja-24h'!I76)</f>
        <v>1</v>
      </c>
      <c r="J76" s="49">
        <f>AVERAGE('01.08 Kisaasi-Kyanja-24h'!J76,'03.08 Kisaasi-Kyanja-24h'!J76)</f>
        <v>0.5</v>
      </c>
      <c r="K76" s="49">
        <f>AVERAGE('01.08 Kisaasi-Kyanja-24h'!K76,'03.08 Kisaasi-Kyanja-24h'!K76)</f>
        <v>0</v>
      </c>
      <c r="L76" s="49">
        <f>AVERAGE('01.08 Kisaasi-Kyanja-24h'!L76,'03.08 Kisaasi-Kyanja-24h'!L76)</f>
        <v>0.5</v>
      </c>
      <c r="M76" s="49">
        <f>AVERAGE('01.08 Kisaasi-Kyanja-24h'!M76,'03.08 Kisaasi-Kyanja-24h'!M76)</f>
        <v>46.5</v>
      </c>
      <c r="N76" s="49">
        <f>AVERAGE('01.08 Kisaasi-Kyanja-24h'!N76,'03.08 Kisaasi-Kyanja-24h'!N76)</f>
        <v>0</v>
      </c>
      <c r="O76" s="49">
        <f>AVERAGE('01.08 Kisaasi-Kyanja-24h'!O76,'03.08 Kisaasi-Kyanja-24h'!O76)</f>
        <v>84.5</v>
      </c>
      <c r="P76" s="49">
        <f>AVERAGE('01.08 Kisaasi-Kyanja-24h'!P76,'03.08 Kisaasi-Kyanja-24h'!P76)</f>
        <v>131</v>
      </c>
      <c r="R76" s="8"/>
      <c r="T76"/>
    </row>
    <row r="77" spans="2:20" ht="23.1" customHeight="1" x14ac:dyDescent="0.25">
      <c r="B77" s="23" t="s">
        <v>117</v>
      </c>
      <c r="C77" s="49">
        <f>AVERAGE('01.08 Kisaasi-Kyanja-24h'!C77,'03.08 Kisaasi-Kyanja-24h'!C77)</f>
        <v>25.5</v>
      </c>
      <c r="D77" s="49">
        <f>AVERAGE('01.08 Kisaasi-Kyanja-24h'!D77,'03.08 Kisaasi-Kyanja-24h'!D77)</f>
        <v>8.5</v>
      </c>
      <c r="E77" s="49">
        <f>AVERAGE('01.08 Kisaasi-Kyanja-24h'!E77,'03.08 Kisaasi-Kyanja-24h'!E77)</f>
        <v>2</v>
      </c>
      <c r="F77" s="49">
        <f>AVERAGE('01.08 Kisaasi-Kyanja-24h'!F77,'03.08 Kisaasi-Kyanja-24h'!F77)</f>
        <v>1.5</v>
      </c>
      <c r="G77" s="49">
        <f>AVERAGE('01.08 Kisaasi-Kyanja-24h'!G77,'03.08 Kisaasi-Kyanja-24h'!G77)</f>
        <v>0</v>
      </c>
      <c r="H77" s="49">
        <f>AVERAGE('01.08 Kisaasi-Kyanja-24h'!H77,'03.08 Kisaasi-Kyanja-24h'!H77)</f>
        <v>0</v>
      </c>
      <c r="I77" s="49">
        <f>AVERAGE('01.08 Kisaasi-Kyanja-24h'!I77,'03.08 Kisaasi-Kyanja-24h'!I77)</f>
        <v>0</v>
      </c>
      <c r="J77" s="49">
        <f>AVERAGE('01.08 Kisaasi-Kyanja-24h'!J77,'03.08 Kisaasi-Kyanja-24h'!J77)</f>
        <v>0.5</v>
      </c>
      <c r="K77" s="49">
        <f>AVERAGE('01.08 Kisaasi-Kyanja-24h'!K77,'03.08 Kisaasi-Kyanja-24h'!K77)</f>
        <v>0</v>
      </c>
      <c r="L77" s="49">
        <f>AVERAGE('01.08 Kisaasi-Kyanja-24h'!L77,'03.08 Kisaasi-Kyanja-24h'!L77)</f>
        <v>0</v>
      </c>
      <c r="M77" s="49">
        <f>AVERAGE('01.08 Kisaasi-Kyanja-24h'!M77,'03.08 Kisaasi-Kyanja-24h'!M77)</f>
        <v>27.5</v>
      </c>
      <c r="N77" s="49">
        <f>AVERAGE('01.08 Kisaasi-Kyanja-24h'!N77,'03.08 Kisaasi-Kyanja-24h'!N77)</f>
        <v>0</v>
      </c>
      <c r="O77" s="49">
        <f>AVERAGE('01.08 Kisaasi-Kyanja-24h'!O77,'03.08 Kisaasi-Kyanja-24h'!O77)</f>
        <v>38</v>
      </c>
      <c r="P77" s="49">
        <f>AVERAGE('01.08 Kisaasi-Kyanja-24h'!P77,'03.08 Kisaasi-Kyanja-24h'!P77)</f>
        <v>65.5</v>
      </c>
      <c r="R77" s="8"/>
      <c r="T77"/>
    </row>
    <row r="78" spans="2:20" ht="23.1" customHeight="1" x14ac:dyDescent="0.25">
      <c r="B78" s="24" t="s">
        <v>118</v>
      </c>
      <c r="C78" s="49">
        <f>AVERAGE('01.08 Kisaasi-Kyanja-24h'!C78,'03.08 Kisaasi-Kyanja-24h'!C78)</f>
        <v>36</v>
      </c>
      <c r="D78" s="49">
        <f>AVERAGE('01.08 Kisaasi-Kyanja-24h'!D78,'03.08 Kisaasi-Kyanja-24h'!D78)</f>
        <v>10.5</v>
      </c>
      <c r="E78" s="49">
        <f>AVERAGE('01.08 Kisaasi-Kyanja-24h'!E78,'03.08 Kisaasi-Kyanja-24h'!E78)</f>
        <v>1</v>
      </c>
      <c r="F78" s="49">
        <f>AVERAGE('01.08 Kisaasi-Kyanja-24h'!F78,'03.08 Kisaasi-Kyanja-24h'!F78)</f>
        <v>10.5</v>
      </c>
      <c r="G78" s="49">
        <f>AVERAGE('01.08 Kisaasi-Kyanja-24h'!G78,'03.08 Kisaasi-Kyanja-24h'!G78)</f>
        <v>0</v>
      </c>
      <c r="H78" s="49">
        <f>AVERAGE('01.08 Kisaasi-Kyanja-24h'!H78,'03.08 Kisaasi-Kyanja-24h'!H78)</f>
        <v>0</v>
      </c>
      <c r="I78" s="49">
        <f>AVERAGE('01.08 Kisaasi-Kyanja-24h'!I78,'03.08 Kisaasi-Kyanja-24h'!I78)</f>
        <v>1</v>
      </c>
      <c r="J78" s="49">
        <f>AVERAGE('01.08 Kisaasi-Kyanja-24h'!J78,'03.08 Kisaasi-Kyanja-24h'!J78)</f>
        <v>0.5</v>
      </c>
      <c r="K78" s="49">
        <f>AVERAGE('01.08 Kisaasi-Kyanja-24h'!K78,'03.08 Kisaasi-Kyanja-24h'!K78)</f>
        <v>0</v>
      </c>
      <c r="L78" s="49">
        <f>AVERAGE('01.08 Kisaasi-Kyanja-24h'!L78,'03.08 Kisaasi-Kyanja-24h'!L78)</f>
        <v>0</v>
      </c>
      <c r="M78" s="49">
        <f>AVERAGE('01.08 Kisaasi-Kyanja-24h'!M78,'03.08 Kisaasi-Kyanja-24h'!M78)</f>
        <v>40</v>
      </c>
      <c r="N78" s="49">
        <f>AVERAGE('01.08 Kisaasi-Kyanja-24h'!N78,'03.08 Kisaasi-Kyanja-24h'!N78)</f>
        <v>0</v>
      </c>
      <c r="O78" s="49">
        <f>AVERAGE('01.08 Kisaasi-Kyanja-24h'!O78,'03.08 Kisaasi-Kyanja-24h'!O78)</f>
        <v>59.5</v>
      </c>
      <c r="P78" s="49">
        <f>AVERAGE('01.08 Kisaasi-Kyanja-24h'!P78,'03.08 Kisaasi-Kyanja-24h'!P78)</f>
        <v>99.5</v>
      </c>
      <c r="R78" s="8"/>
      <c r="T78"/>
    </row>
    <row r="79" spans="2:20" ht="23.1" customHeight="1" x14ac:dyDescent="0.25">
      <c r="B79" s="23" t="s">
        <v>119</v>
      </c>
      <c r="C79" s="49">
        <f>AVERAGE('01.08 Kisaasi-Kyanja-24h'!C79,'03.08 Kisaasi-Kyanja-24h'!C79)</f>
        <v>24</v>
      </c>
      <c r="D79" s="49">
        <f>AVERAGE('01.08 Kisaasi-Kyanja-24h'!D79,'03.08 Kisaasi-Kyanja-24h'!D79)</f>
        <v>6</v>
      </c>
      <c r="E79" s="49">
        <f>AVERAGE('01.08 Kisaasi-Kyanja-24h'!E79,'03.08 Kisaasi-Kyanja-24h'!E79)</f>
        <v>2</v>
      </c>
      <c r="F79" s="49">
        <f>AVERAGE('01.08 Kisaasi-Kyanja-24h'!F79,'03.08 Kisaasi-Kyanja-24h'!F79)</f>
        <v>1.5</v>
      </c>
      <c r="G79" s="49">
        <f>AVERAGE('01.08 Kisaasi-Kyanja-24h'!G79,'03.08 Kisaasi-Kyanja-24h'!G79)</f>
        <v>0</v>
      </c>
      <c r="H79" s="49">
        <f>AVERAGE('01.08 Kisaasi-Kyanja-24h'!H79,'03.08 Kisaasi-Kyanja-24h'!H79)</f>
        <v>0</v>
      </c>
      <c r="I79" s="49">
        <f>AVERAGE('01.08 Kisaasi-Kyanja-24h'!I79,'03.08 Kisaasi-Kyanja-24h'!I79)</f>
        <v>0</v>
      </c>
      <c r="J79" s="49">
        <f>AVERAGE('01.08 Kisaasi-Kyanja-24h'!J79,'03.08 Kisaasi-Kyanja-24h'!J79)</f>
        <v>0</v>
      </c>
      <c r="K79" s="49">
        <f>AVERAGE('01.08 Kisaasi-Kyanja-24h'!K79,'03.08 Kisaasi-Kyanja-24h'!K79)</f>
        <v>1</v>
      </c>
      <c r="L79" s="49">
        <f>AVERAGE('01.08 Kisaasi-Kyanja-24h'!L79,'03.08 Kisaasi-Kyanja-24h'!L79)</f>
        <v>0</v>
      </c>
      <c r="M79" s="49">
        <f>AVERAGE('01.08 Kisaasi-Kyanja-24h'!M79,'03.08 Kisaasi-Kyanja-24h'!M79)</f>
        <v>29</v>
      </c>
      <c r="N79" s="49">
        <f>AVERAGE('01.08 Kisaasi-Kyanja-24h'!N79,'03.08 Kisaasi-Kyanja-24h'!N79)</f>
        <v>0</v>
      </c>
      <c r="O79" s="49">
        <f>AVERAGE('01.08 Kisaasi-Kyanja-24h'!O79,'03.08 Kisaasi-Kyanja-24h'!O79)</f>
        <v>34.5</v>
      </c>
      <c r="P79" s="49">
        <f>AVERAGE('01.08 Kisaasi-Kyanja-24h'!P79,'03.08 Kisaasi-Kyanja-24h'!P79)</f>
        <v>63.5</v>
      </c>
      <c r="R79" s="8"/>
      <c r="T79"/>
    </row>
    <row r="80" spans="2:20" ht="23.1" customHeight="1" x14ac:dyDescent="0.25">
      <c r="B80" s="25" t="s">
        <v>120</v>
      </c>
      <c r="C80" s="49">
        <f>AVERAGE('01.08 Kisaasi-Kyanja-24h'!C80,'03.08 Kisaasi-Kyanja-24h'!C80)</f>
        <v>39.5</v>
      </c>
      <c r="D80" s="49">
        <f>AVERAGE('01.08 Kisaasi-Kyanja-24h'!D80,'03.08 Kisaasi-Kyanja-24h'!D80)</f>
        <v>14</v>
      </c>
      <c r="E80" s="49">
        <f>AVERAGE('01.08 Kisaasi-Kyanja-24h'!E80,'03.08 Kisaasi-Kyanja-24h'!E80)</f>
        <v>2</v>
      </c>
      <c r="F80" s="49">
        <f>AVERAGE('01.08 Kisaasi-Kyanja-24h'!F80,'03.08 Kisaasi-Kyanja-24h'!F80)</f>
        <v>5.5</v>
      </c>
      <c r="G80" s="49">
        <f>AVERAGE('01.08 Kisaasi-Kyanja-24h'!G80,'03.08 Kisaasi-Kyanja-24h'!G80)</f>
        <v>0</v>
      </c>
      <c r="H80" s="49">
        <f>AVERAGE('01.08 Kisaasi-Kyanja-24h'!H80,'03.08 Kisaasi-Kyanja-24h'!H80)</f>
        <v>0</v>
      </c>
      <c r="I80" s="49">
        <f>AVERAGE('01.08 Kisaasi-Kyanja-24h'!I80,'03.08 Kisaasi-Kyanja-24h'!I80)</f>
        <v>2</v>
      </c>
      <c r="J80" s="49">
        <f>AVERAGE('01.08 Kisaasi-Kyanja-24h'!J80,'03.08 Kisaasi-Kyanja-24h'!J80)</f>
        <v>0.5</v>
      </c>
      <c r="K80" s="49">
        <f>AVERAGE('01.08 Kisaasi-Kyanja-24h'!K80,'03.08 Kisaasi-Kyanja-24h'!K80)</f>
        <v>0</v>
      </c>
      <c r="L80" s="49">
        <f>AVERAGE('01.08 Kisaasi-Kyanja-24h'!L80,'03.08 Kisaasi-Kyanja-24h'!L80)</f>
        <v>0.5</v>
      </c>
      <c r="M80" s="49">
        <f>AVERAGE('01.08 Kisaasi-Kyanja-24h'!M80,'03.08 Kisaasi-Kyanja-24h'!M80)</f>
        <v>34</v>
      </c>
      <c r="N80" s="49">
        <f>AVERAGE('01.08 Kisaasi-Kyanja-24h'!N80,'03.08 Kisaasi-Kyanja-24h'!N80)</f>
        <v>0</v>
      </c>
      <c r="O80" s="49">
        <f>AVERAGE('01.08 Kisaasi-Kyanja-24h'!O80,'03.08 Kisaasi-Kyanja-24h'!O80)</f>
        <v>64</v>
      </c>
      <c r="P80" s="49">
        <f>AVERAGE('01.08 Kisaasi-Kyanja-24h'!P80,'03.08 Kisaasi-Kyanja-24h'!P80)</f>
        <v>98</v>
      </c>
      <c r="R80" s="8"/>
      <c r="T80"/>
    </row>
    <row r="81" spans="2:20" ht="23.1" customHeight="1" x14ac:dyDescent="0.25">
      <c r="B81" s="23" t="s">
        <v>121</v>
      </c>
      <c r="C81" s="49">
        <f>AVERAGE('01.08 Kisaasi-Kyanja-24h'!C81,'03.08 Kisaasi-Kyanja-24h'!C81)</f>
        <v>29</v>
      </c>
      <c r="D81" s="49">
        <f>AVERAGE('01.08 Kisaasi-Kyanja-24h'!D81,'03.08 Kisaasi-Kyanja-24h'!D81)</f>
        <v>7</v>
      </c>
      <c r="E81" s="49">
        <f>AVERAGE('01.08 Kisaasi-Kyanja-24h'!E81,'03.08 Kisaasi-Kyanja-24h'!E81)</f>
        <v>1.5</v>
      </c>
      <c r="F81" s="49">
        <f>AVERAGE('01.08 Kisaasi-Kyanja-24h'!F81,'03.08 Kisaasi-Kyanja-24h'!F81)</f>
        <v>2</v>
      </c>
      <c r="G81" s="49">
        <f>AVERAGE('01.08 Kisaasi-Kyanja-24h'!G81,'03.08 Kisaasi-Kyanja-24h'!G81)</f>
        <v>0</v>
      </c>
      <c r="H81" s="49">
        <f>AVERAGE('01.08 Kisaasi-Kyanja-24h'!H81,'03.08 Kisaasi-Kyanja-24h'!H81)</f>
        <v>0</v>
      </c>
      <c r="I81" s="49">
        <f>AVERAGE('01.08 Kisaasi-Kyanja-24h'!I81,'03.08 Kisaasi-Kyanja-24h'!I81)</f>
        <v>1.5</v>
      </c>
      <c r="J81" s="49">
        <f>AVERAGE('01.08 Kisaasi-Kyanja-24h'!J81,'03.08 Kisaasi-Kyanja-24h'!J81)</f>
        <v>0.5</v>
      </c>
      <c r="K81" s="49">
        <f>AVERAGE('01.08 Kisaasi-Kyanja-24h'!K81,'03.08 Kisaasi-Kyanja-24h'!K81)</f>
        <v>0</v>
      </c>
      <c r="L81" s="49">
        <f>AVERAGE('01.08 Kisaasi-Kyanja-24h'!L81,'03.08 Kisaasi-Kyanja-24h'!L81)</f>
        <v>0</v>
      </c>
      <c r="M81" s="49">
        <f>AVERAGE('01.08 Kisaasi-Kyanja-24h'!M81,'03.08 Kisaasi-Kyanja-24h'!M81)</f>
        <v>31.5</v>
      </c>
      <c r="N81" s="49">
        <f>AVERAGE('01.08 Kisaasi-Kyanja-24h'!N81,'03.08 Kisaasi-Kyanja-24h'!N81)</f>
        <v>0</v>
      </c>
      <c r="O81" s="49">
        <f>AVERAGE('01.08 Kisaasi-Kyanja-24h'!O81,'03.08 Kisaasi-Kyanja-24h'!O81)</f>
        <v>41.5</v>
      </c>
      <c r="P81" s="49">
        <f>AVERAGE('01.08 Kisaasi-Kyanja-24h'!P81,'03.08 Kisaasi-Kyanja-24h'!P81)</f>
        <v>73</v>
      </c>
      <c r="R81" s="8"/>
      <c r="T81"/>
    </row>
    <row r="82" spans="2:20" ht="23.1" customHeight="1" x14ac:dyDescent="0.25">
      <c r="B82" s="24" t="s">
        <v>122</v>
      </c>
      <c r="C82" s="49">
        <f>AVERAGE('01.08 Kisaasi-Kyanja-24h'!C82,'03.08 Kisaasi-Kyanja-24h'!C82)</f>
        <v>24</v>
      </c>
      <c r="D82" s="49">
        <f>AVERAGE('01.08 Kisaasi-Kyanja-24h'!D82,'03.08 Kisaasi-Kyanja-24h'!D82)</f>
        <v>4</v>
      </c>
      <c r="E82" s="49">
        <f>AVERAGE('01.08 Kisaasi-Kyanja-24h'!E82,'03.08 Kisaasi-Kyanja-24h'!E82)</f>
        <v>1</v>
      </c>
      <c r="F82" s="49">
        <f>AVERAGE('01.08 Kisaasi-Kyanja-24h'!F82,'03.08 Kisaasi-Kyanja-24h'!F82)</f>
        <v>0.5</v>
      </c>
      <c r="G82" s="49">
        <f>AVERAGE('01.08 Kisaasi-Kyanja-24h'!G82,'03.08 Kisaasi-Kyanja-24h'!G82)</f>
        <v>0</v>
      </c>
      <c r="H82" s="49">
        <f>AVERAGE('01.08 Kisaasi-Kyanja-24h'!H82,'03.08 Kisaasi-Kyanja-24h'!H82)</f>
        <v>0</v>
      </c>
      <c r="I82" s="49">
        <f>AVERAGE('01.08 Kisaasi-Kyanja-24h'!I82,'03.08 Kisaasi-Kyanja-24h'!I82)</f>
        <v>0.5</v>
      </c>
      <c r="J82" s="49">
        <f>AVERAGE('01.08 Kisaasi-Kyanja-24h'!J82,'03.08 Kisaasi-Kyanja-24h'!J82)</f>
        <v>0</v>
      </c>
      <c r="K82" s="49">
        <f>AVERAGE('01.08 Kisaasi-Kyanja-24h'!K82,'03.08 Kisaasi-Kyanja-24h'!K82)</f>
        <v>0</v>
      </c>
      <c r="L82" s="49">
        <f>AVERAGE('01.08 Kisaasi-Kyanja-24h'!L82,'03.08 Kisaasi-Kyanja-24h'!L82)</f>
        <v>0</v>
      </c>
      <c r="M82" s="49">
        <f>AVERAGE('01.08 Kisaasi-Kyanja-24h'!M82,'03.08 Kisaasi-Kyanja-24h'!M82)</f>
        <v>15</v>
      </c>
      <c r="N82" s="49">
        <f>AVERAGE('01.08 Kisaasi-Kyanja-24h'!N82,'03.08 Kisaasi-Kyanja-24h'!N82)</f>
        <v>0</v>
      </c>
      <c r="O82" s="49">
        <f>AVERAGE('01.08 Kisaasi-Kyanja-24h'!O82,'03.08 Kisaasi-Kyanja-24h'!O82)</f>
        <v>30</v>
      </c>
      <c r="P82" s="49">
        <f>AVERAGE('01.08 Kisaasi-Kyanja-24h'!P82,'03.08 Kisaasi-Kyanja-24h'!P82)</f>
        <v>45</v>
      </c>
      <c r="R82" s="8"/>
      <c r="T82"/>
    </row>
    <row r="83" spans="2:20" ht="23.1" customHeight="1" x14ac:dyDescent="0.25">
      <c r="B83" s="23" t="s">
        <v>123</v>
      </c>
      <c r="C83" s="49">
        <f>AVERAGE('01.08 Kisaasi-Kyanja-24h'!C83,'03.08 Kisaasi-Kyanja-24h'!C83)</f>
        <v>21</v>
      </c>
      <c r="D83" s="49">
        <f>AVERAGE('01.08 Kisaasi-Kyanja-24h'!D83,'03.08 Kisaasi-Kyanja-24h'!D83)</f>
        <v>6.5</v>
      </c>
      <c r="E83" s="49">
        <f>AVERAGE('01.08 Kisaasi-Kyanja-24h'!E83,'03.08 Kisaasi-Kyanja-24h'!E83)</f>
        <v>0.5</v>
      </c>
      <c r="F83" s="49">
        <f>AVERAGE('01.08 Kisaasi-Kyanja-24h'!F83,'03.08 Kisaasi-Kyanja-24h'!F83)</f>
        <v>1</v>
      </c>
      <c r="G83" s="49">
        <f>AVERAGE('01.08 Kisaasi-Kyanja-24h'!G83,'03.08 Kisaasi-Kyanja-24h'!G83)</f>
        <v>0</v>
      </c>
      <c r="H83" s="49">
        <f>AVERAGE('01.08 Kisaasi-Kyanja-24h'!H83,'03.08 Kisaasi-Kyanja-24h'!H83)</f>
        <v>0</v>
      </c>
      <c r="I83" s="49">
        <f>AVERAGE('01.08 Kisaasi-Kyanja-24h'!I83,'03.08 Kisaasi-Kyanja-24h'!I83)</f>
        <v>0</v>
      </c>
      <c r="J83" s="49">
        <f>AVERAGE('01.08 Kisaasi-Kyanja-24h'!J83,'03.08 Kisaasi-Kyanja-24h'!J83)</f>
        <v>0</v>
      </c>
      <c r="K83" s="49">
        <f>AVERAGE('01.08 Kisaasi-Kyanja-24h'!K83,'03.08 Kisaasi-Kyanja-24h'!K83)</f>
        <v>0</v>
      </c>
      <c r="L83" s="49">
        <f>AVERAGE('01.08 Kisaasi-Kyanja-24h'!L83,'03.08 Kisaasi-Kyanja-24h'!L83)</f>
        <v>0.5</v>
      </c>
      <c r="M83" s="49">
        <f>AVERAGE('01.08 Kisaasi-Kyanja-24h'!M83,'03.08 Kisaasi-Kyanja-24h'!M83)</f>
        <v>20</v>
      </c>
      <c r="N83" s="49">
        <f>AVERAGE('01.08 Kisaasi-Kyanja-24h'!N83,'03.08 Kisaasi-Kyanja-24h'!N83)</f>
        <v>0</v>
      </c>
      <c r="O83" s="49">
        <f>AVERAGE('01.08 Kisaasi-Kyanja-24h'!O83,'03.08 Kisaasi-Kyanja-24h'!O83)</f>
        <v>29.5</v>
      </c>
      <c r="P83" s="49">
        <f>AVERAGE('01.08 Kisaasi-Kyanja-24h'!P83,'03.08 Kisaasi-Kyanja-24h'!P83)</f>
        <v>49.5</v>
      </c>
      <c r="R83" s="8"/>
      <c r="T83"/>
    </row>
    <row r="84" spans="2:20" ht="23.1" customHeight="1" x14ac:dyDescent="0.25">
      <c r="B84" s="25" t="s">
        <v>124</v>
      </c>
      <c r="C84" s="49">
        <f>AVERAGE('01.08 Kisaasi-Kyanja-24h'!C84,'03.08 Kisaasi-Kyanja-24h'!C84)</f>
        <v>14.5</v>
      </c>
      <c r="D84" s="49">
        <f>AVERAGE('01.08 Kisaasi-Kyanja-24h'!D84,'03.08 Kisaasi-Kyanja-24h'!D84)</f>
        <v>3</v>
      </c>
      <c r="E84" s="49">
        <f>AVERAGE('01.08 Kisaasi-Kyanja-24h'!E84,'03.08 Kisaasi-Kyanja-24h'!E84)</f>
        <v>0</v>
      </c>
      <c r="F84" s="49">
        <f>AVERAGE('01.08 Kisaasi-Kyanja-24h'!F84,'03.08 Kisaasi-Kyanja-24h'!F84)</f>
        <v>1</v>
      </c>
      <c r="G84" s="49">
        <f>AVERAGE('01.08 Kisaasi-Kyanja-24h'!G84,'03.08 Kisaasi-Kyanja-24h'!G84)</f>
        <v>0</v>
      </c>
      <c r="H84" s="49">
        <f>AVERAGE('01.08 Kisaasi-Kyanja-24h'!H84,'03.08 Kisaasi-Kyanja-24h'!H84)</f>
        <v>0</v>
      </c>
      <c r="I84" s="49">
        <f>AVERAGE('01.08 Kisaasi-Kyanja-24h'!I84,'03.08 Kisaasi-Kyanja-24h'!I84)</f>
        <v>0.5</v>
      </c>
      <c r="J84" s="49">
        <f>AVERAGE('01.08 Kisaasi-Kyanja-24h'!J84,'03.08 Kisaasi-Kyanja-24h'!J84)</f>
        <v>0.5</v>
      </c>
      <c r="K84" s="49">
        <f>AVERAGE('01.08 Kisaasi-Kyanja-24h'!K84,'03.08 Kisaasi-Kyanja-24h'!K84)</f>
        <v>0</v>
      </c>
      <c r="L84" s="49">
        <f>AVERAGE('01.08 Kisaasi-Kyanja-24h'!L84,'03.08 Kisaasi-Kyanja-24h'!L84)</f>
        <v>0</v>
      </c>
      <c r="M84" s="49">
        <f>AVERAGE('01.08 Kisaasi-Kyanja-24h'!M84,'03.08 Kisaasi-Kyanja-24h'!M84)</f>
        <v>26</v>
      </c>
      <c r="N84" s="49">
        <f>AVERAGE('01.08 Kisaasi-Kyanja-24h'!N84,'03.08 Kisaasi-Kyanja-24h'!N84)</f>
        <v>0</v>
      </c>
      <c r="O84" s="49">
        <f>AVERAGE('01.08 Kisaasi-Kyanja-24h'!O84,'03.08 Kisaasi-Kyanja-24h'!O84)</f>
        <v>19.5</v>
      </c>
      <c r="P84" s="49">
        <f>AVERAGE('01.08 Kisaasi-Kyanja-24h'!P84,'03.08 Kisaasi-Kyanja-24h'!P84)</f>
        <v>45.5</v>
      </c>
      <c r="R84" s="8"/>
      <c r="T84"/>
    </row>
    <row r="85" spans="2:20" ht="23.1" customHeight="1" x14ac:dyDescent="0.25">
      <c r="B85" s="23" t="s">
        <v>125</v>
      </c>
      <c r="C85" s="49">
        <f>AVERAGE('01.08 Kisaasi-Kyanja-24h'!C85,'03.08 Kisaasi-Kyanja-24h'!C85)</f>
        <v>14</v>
      </c>
      <c r="D85" s="49">
        <f>AVERAGE('01.08 Kisaasi-Kyanja-24h'!D85,'03.08 Kisaasi-Kyanja-24h'!D85)</f>
        <v>3</v>
      </c>
      <c r="E85" s="49">
        <f>AVERAGE('01.08 Kisaasi-Kyanja-24h'!E85,'03.08 Kisaasi-Kyanja-24h'!E85)</f>
        <v>0</v>
      </c>
      <c r="F85" s="49">
        <f>AVERAGE('01.08 Kisaasi-Kyanja-24h'!F85,'03.08 Kisaasi-Kyanja-24h'!F85)</f>
        <v>2</v>
      </c>
      <c r="G85" s="49">
        <f>AVERAGE('01.08 Kisaasi-Kyanja-24h'!G85,'03.08 Kisaasi-Kyanja-24h'!G85)</f>
        <v>0</v>
      </c>
      <c r="H85" s="49">
        <f>AVERAGE('01.08 Kisaasi-Kyanja-24h'!H85,'03.08 Kisaasi-Kyanja-24h'!H85)</f>
        <v>0</v>
      </c>
      <c r="I85" s="49">
        <f>AVERAGE('01.08 Kisaasi-Kyanja-24h'!I85,'03.08 Kisaasi-Kyanja-24h'!I85)</f>
        <v>0.5</v>
      </c>
      <c r="J85" s="49">
        <f>AVERAGE('01.08 Kisaasi-Kyanja-24h'!J85,'03.08 Kisaasi-Kyanja-24h'!J85)</f>
        <v>0</v>
      </c>
      <c r="K85" s="49">
        <f>AVERAGE('01.08 Kisaasi-Kyanja-24h'!K85,'03.08 Kisaasi-Kyanja-24h'!K85)</f>
        <v>0</v>
      </c>
      <c r="L85" s="49">
        <f>AVERAGE('01.08 Kisaasi-Kyanja-24h'!L85,'03.08 Kisaasi-Kyanja-24h'!L85)</f>
        <v>0</v>
      </c>
      <c r="M85" s="49">
        <f>AVERAGE('01.08 Kisaasi-Kyanja-24h'!M85,'03.08 Kisaasi-Kyanja-24h'!M85)</f>
        <v>18</v>
      </c>
      <c r="N85" s="49">
        <f>AVERAGE('01.08 Kisaasi-Kyanja-24h'!N85,'03.08 Kisaasi-Kyanja-24h'!N85)</f>
        <v>0</v>
      </c>
      <c r="O85" s="49">
        <f>AVERAGE('01.08 Kisaasi-Kyanja-24h'!O85,'03.08 Kisaasi-Kyanja-24h'!O85)</f>
        <v>19.5</v>
      </c>
      <c r="P85" s="49">
        <f>AVERAGE('01.08 Kisaasi-Kyanja-24h'!P85,'03.08 Kisaasi-Kyanja-24h'!P85)</f>
        <v>37.5</v>
      </c>
      <c r="R85" s="8"/>
      <c r="T85"/>
    </row>
    <row r="86" spans="2:20" ht="23.1" customHeight="1" x14ac:dyDescent="0.25">
      <c r="B86" s="24" t="s">
        <v>126</v>
      </c>
      <c r="C86" s="49">
        <f>AVERAGE('01.08 Kisaasi-Kyanja-24h'!C86,'03.08 Kisaasi-Kyanja-24h'!C86)</f>
        <v>9</v>
      </c>
      <c r="D86" s="49">
        <f>AVERAGE('01.08 Kisaasi-Kyanja-24h'!D86,'03.08 Kisaasi-Kyanja-24h'!D86)</f>
        <v>4</v>
      </c>
      <c r="E86" s="49">
        <f>AVERAGE('01.08 Kisaasi-Kyanja-24h'!E86,'03.08 Kisaasi-Kyanja-24h'!E86)</f>
        <v>0.5</v>
      </c>
      <c r="F86" s="49">
        <f>AVERAGE('01.08 Kisaasi-Kyanja-24h'!F86,'03.08 Kisaasi-Kyanja-24h'!F86)</f>
        <v>0</v>
      </c>
      <c r="G86" s="49">
        <f>AVERAGE('01.08 Kisaasi-Kyanja-24h'!G86,'03.08 Kisaasi-Kyanja-24h'!G86)</f>
        <v>0</v>
      </c>
      <c r="H86" s="49">
        <f>AVERAGE('01.08 Kisaasi-Kyanja-24h'!H86,'03.08 Kisaasi-Kyanja-24h'!H86)</f>
        <v>0</v>
      </c>
      <c r="I86" s="49">
        <f>AVERAGE('01.08 Kisaasi-Kyanja-24h'!I86,'03.08 Kisaasi-Kyanja-24h'!I86)</f>
        <v>1</v>
      </c>
      <c r="J86" s="49">
        <f>AVERAGE('01.08 Kisaasi-Kyanja-24h'!J86,'03.08 Kisaasi-Kyanja-24h'!J86)</f>
        <v>0</v>
      </c>
      <c r="K86" s="49">
        <f>AVERAGE('01.08 Kisaasi-Kyanja-24h'!K86,'03.08 Kisaasi-Kyanja-24h'!K86)</f>
        <v>0</v>
      </c>
      <c r="L86" s="49">
        <f>AVERAGE('01.08 Kisaasi-Kyanja-24h'!L86,'03.08 Kisaasi-Kyanja-24h'!L86)</f>
        <v>0</v>
      </c>
      <c r="M86" s="49">
        <f>AVERAGE('01.08 Kisaasi-Kyanja-24h'!M86,'03.08 Kisaasi-Kyanja-24h'!M86)</f>
        <v>14.5</v>
      </c>
      <c r="N86" s="49">
        <f>AVERAGE('01.08 Kisaasi-Kyanja-24h'!N86,'03.08 Kisaasi-Kyanja-24h'!N86)</f>
        <v>0</v>
      </c>
      <c r="O86" s="49">
        <f>AVERAGE('01.08 Kisaasi-Kyanja-24h'!O86,'03.08 Kisaasi-Kyanja-24h'!O86)</f>
        <v>14.5</v>
      </c>
      <c r="P86" s="49">
        <f>AVERAGE('01.08 Kisaasi-Kyanja-24h'!P86,'03.08 Kisaasi-Kyanja-24h'!P86)</f>
        <v>29</v>
      </c>
      <c r="R86" s="8"/>
      <c r="T86"/>
    </row>
    <row r="87" spans="2:20" ht="23.1" customHeight="1" x14ac:dyDescent="0.25">
      <c r="B87" s="23" t="s">
        <v>127</v>
      </c>
      <c r="C87" s="49">
        <f>AVERAGE('01.08 Kisaasi-Kyanja-24h'!C87,'03.08 Kisaasi-Kyanja-24h'!C87)</f>
        <v>15</v>
      </c>
      <c r="D87" s="49">
        <f>AVERAGE('01.08 Kisaasi-Kyanja-24h'!D87,'03.08 Kisaasi-Kyanja-24h'!D87)</f>
        <v>4.5</v>
      </c>
      <c r="E87" s="49">
        <f>AVERAGE('01.08 Kisaasi-Kyanja-24h'!E87,'03.08 Kisaasi-Kyanja-24h'!E87)</f>
        <v>1</v>
      </c>
      <c r="F87" s="49">
        <f>AVERAGE('01.08 Kisaasi-Kyanja-24h'!F87,'03.08 Kisaasi-Kyanja-24h'!F87)</f>
        <v>0.5</v>
      </c>
      <c r="G87" s="49">
        <f>AVERAGE('01.08 Kisaasi-Kyanja-24h'!G87,'03.08 Kisaasi-Kyanja-24h'!G87)</f>
        <v>0</v>
      </c>
      <c r="H87" s="49">
        <f>AVERAGE('01.08 Kisaasi-Kyanja-24h'!H87,'03.08 Kisaasi-Kyanja-24h'!H87)</f>
        <v>0</v>
      </c>
      <c r="I87" s="49">
        <f>AVERAGE('01.08 Kisaasi-Kyanja-24h'!I87,'03.08 Kisaasi-Kyanja-24h'!I87)</f>
        <v>0.5</v>
      </c>
      <c r="J87" s="49">
        <f>AVERAGE('01.08 Kisaasi-Kyanja-24h'!J87,'03.08 Kisaasi-Kyanja-24h'!J87)</f>
        <v>0</v>
      </c>
      <c r="K87" s="49">
        <f>AVERAGE('01.08 Kisaasi-Kyanja-24h'!K87,'03.08 Kisaasi-Kyanja-24h'!K87)</f>
        <v>2</v>
      </c>
      <c r="L87" s="49">
        <f>AVERAGE('01.08 Kisaasi-Kyanja-24h'!L87,'03.08 Kisaasi-Kyanja-24h'!L87)</f>
        <v>0</v>
      </c>
      <c r="M87" s="49">
        <f>AVERAGE('01.08 Kisaasi-Kyanja-24h'!M87,'03.08 Kisaasi-Kyanja-24h'!M87)</f>
        <v>15</v>
      </c>
      <c r="N87" s="49">
        <f>AVERAGE('01.08 Kisaasi-Kyanja-24h'!N87,'03.08 Kisaasi-Kyanja-24h'!N87)</f>
        <v>0</v>
      </c>
      <c r="O87" s="49">
        <f>AVERAGE('01.08 Kisaasi-Kyanja-24h'!O87,'03.08 Kisaasi-Kyanja-24h'!O87)</f>
        <v>23.5</v>
      </c>
      <c r="P87" s="49">
        <f>AVERAGE('01.08 Kisaasi-Kyanja-24h'!P87,'03.08 Kisaasi-Kyanja-24h'!P87)</f>
        <v>38.5</v>
      </c>
      <c r="R87" s="8"/>
      <c r="T87"/>
    </row>
    <row r="88" spans="2:20" ht="23.1" customHeight="1" x14ac:dyDescent="0.25">
      <c r="B88" s="25" t="s">
        <v>128</v>
      </c>
      <c r="C88" s="49">
        <f>AVERAGE('01.08 Kisaasi-Kyanja-24h'!C88,'03.08 Kisaasi-Kyanja-24h'!C88)</f>
        <v>9.5</v>
      </c>
      <c r="D88" s="49">
        <f>AVERAGE('01.08 Kisaasi-Kyanja-24h'!D88,'03.08 Kisaasi-Kyanja-24h'!D88)</f>
        <v>1.5</v>
      </c>
      <c r="E88" s="49">
        <f>AVERAGE('01.08 Kisaasi-Kyanja-24h'!E88,'03.08 Kisaasi-Kyanja-24h'!E88)</f>
        <v>2</v>
      </c>
      <c r="F88" s="49">
        <f>AVERAGE('01.08 Kisaasi-Kyanja-24h'!F88,'03.08 Kisaasi-Kyanja-24h'!F88)</f>
        <v>0.5</v>
      </c>
      <c r="G88" s="49">
        <f>AVERAGE('01.08 Kisaasi-Kyanja-24h'!G88,'03.08 Kisaasi-Kyanja-24h'!G88)</f>
        <v>0</v>
      </c>
      <c r="H88" s="49">
        <f>AVERAGE('01.08 Kisaasi-Kyanja-24h'!H88,'03.08 Kisaasi-Kyanja-24h'!H88)</f>
        <v>0</v>
      </c>
      <c r="I88" s="49">
        <f>AVERAGE('01.08 Kisaasi-Kyanja-24h'!I88,'03.08 Kisaasi-Kyanja-24h'!I88)</f>
        <v>0</v>
      </c>
      <c r="J88" s="49">
        <f>AVERAGE('01.08 Kisaasi-Kyanja-24h'!J88,'03.08 Kisaasi-Kyanja-24h'!J88)</f>
        <v>1.5</v>
      </c>
      <c r="K88" s="49">
        <f>AVERAGE('01.08 Kisaasi-Kyanja-24h'!K88,'03.08 Kisaasi-Kyanja-24h'!K88)</f>
        <v>0</v>
      </c>
      <c r="L88" s="49">
        <f>AVERAGE('01.08 Kisaasi-Kyanja-24h'!L88,'03.08 Kisaasi-Kyanja-24h'!L88)</f>
        <v>0</v>
      </c>
      <c r="M88" s="49">
        <f>AVERAGE('01.08 Kisaasi-Kyanja-24h'!M88,'03.08 Kisaasi-Kyanja-24h'!M88)</f>
        <v>12.5</v>
      </c>
      <c r="N88" s="49">
        <f>AVERAGE('01.08 Kisaasi-Kyanja-24h'!N88,'03.08 Kisaasi-Kyanja-24h'!N88)</f>
        <v>0</v>
      </c>
      <c r="O88" s="49">
        <f>AVERAGE('01.08 Kisaasi-Kyanja-24h'!O88,'03.08 Kisaasi-Kyanja-24h'!O88)</f>
        <v>15</v>
      </c>
      <c r="P88" s="49">
        <f>AVERAGE('01.08 Kisaasi-Kyanja-24h'!P88,'03.08 Kisaasi-Kyanja-24h'!P88)</f>
        <v>27.5</v>
      </c>
      <c r="R88" s="8"/>
      <c r="T88"/>
    </row>
    <row r="89" spans="2:20" ht="23.1" customHeight="1" x14ac:dyDescent="0.25">
      <c r="B89" s="23" t="s">
        <v>129</v>
      </c>
      <c r="C89" s="49">
        <f>AVERAGE('01.08 Kisaasi-Kyanja-24h'!C89,'03.08 Kisaasi-Kyanja-24h'!C89)</f>
        <v>13.5</v>
      </c>
      <c r="D89" s="49">
        <f>AVERAGE('01.08 Kisaasi-Kyanja-24h'!D89,'03.08 Kisaasi-Kyanja-24h'!D89)</f>
        <v>1.5</v>
      </c>
      <c r="E89" s="49">
        <f>AVERAGE('01.08 Kisaasi-Kyanja-24h'!E89,'03.08 Kisaasi-Kyanja-24h'!E89)</f>
        <v>0.5</v>
      </c>
      <c r="F89" s="49">
        <f>AVERAGE('01.08 Kisaasi-Kyanja-24h'!F89,'03.08 Kisaasi-Kyanja-24h'!F89)</f>
        <v>0</v>
      </c>
      <c r="G89" s="49">
        <f>AVERAGE('01.08 Kisaasi-Kyanja-24h'!G89,'03.08 Kisaasi-Kyanja-24h'!G89)</f>
        <v>0</v>
      </c>
      <c r="H89" s="49">
        <f>AVERAGE('01.08 Kisaasi-Kyanja-24h'!H89,'03.08 Kisaasi-Kyanja-24h'!H89)</f>
        <v>0</v>
      </c>
      <c r="I89" s="49">
        <f>AVERAGE('01.08 Kisaasi-Kyanja-24h'!I89,'03.08 Kisaasi-Kyanja-24h'!I89)</f>
        <v>0.5</v>
      </c>
      <c r="J89" s="49">
        <f>AVERAGE('01.08 Kisaasi-Kyanja-24h'!J89,'03.08 Kisaasi-Kyanja-24h'!J89)</f>
        <v>1</v>
      </c>
      <c r="K89" s="49">
        <f>AVERAGE('01.08 Kisaasi-Kyanja-24h'!K89,'03.08 Kisaasi-Kyanja-24h'!K89)</f>
        <v>0</v>
      </c>
      <c r="L89" s="49">
        <f>AVERAGE('01.08 Kisaasi-Kyanja-24h'!L89,'03.08 Kisaasi-Kyanja-24h'!L89)</f>
        <v>0</v>
      </c>
      <c r="M89" s="49">
        <f>AVERAGE('01.08 Kisaasi-Kyanja-24h'!M89,'03.08 Kisaasi-Kyanja-24h'!M89)</f>
        <v>19.5</v>
      </c>
      <c r="N89" s="49">
        <f>AVERAGE('01.08 Kisaasi-Kyanja-24h'!N89,'03.08 Kisaasi-Kyanja-24h'!N89)</f>
        <v>0</v>
      </c>
      <c r="O89" s="49">
        <f>AVERAGE('01.08 Kisaasi-Kyanja-24h'!O89,'03.08 Kisaasi-Kyanja-24h'!O89)</f>
        <v>17</v>
      </c>
      <c r="P89" s="49">
        <f>AVERAGE('01.08 Kisaasi-Kyanja-24h'!P89,'03.08 Kisaasi-Kyanja-24h'!P89)</f>
        <v>36.5</v>
      </c>
      <c r="R89" s="8"/>
      <c r="T89"/>
    </row>
    <row r="90" spans="2:20" ht="23.1" customHeight="1" x14ac:dyDescent="0.25">
      <c r="B90" s="24" t="s">
        <v>130</v>
      </c>
      <c r="C90" s="49">
        <f>AVERAGE('01.08 Kisaasi-Kyanja-24h'!C90,'03.08 Kisaasi-Kyanja-24h'!C90)</f>
        <v>6.5</v>
      </c>
      <c r="D90" s="49">
        <f>AVERAGE('01.08 Kisaasi-Kyanja-24h'!D90,'03.08 Kisaasi-Kyanja-24h'!D90)</f>
        <v>1</v>
      </c>
      <c r="E90" s="49">
        <f>AVERAGE('01.08 Kisaasi-Kyanja-24h'!E90,'03.08 Kisaasi-Kyanja-24h'!E90)</f>
        <v>0</v>
      </c>
      <c r="F90" s="49">
        <f>AVERAGE('01.08 Kisaasi-Kyanja-24h'!F90,'03.08 Kisaasi-Kyanja-24h'!F90)</f>
        <v>0</v>
      </c>
      <c r="G90" s="49">
        <f>AVERAGE('01.08 Kisaasi-Kyanja-24h'!G90,'03.08 Kisaasi-Kyanja-24h'!G90)</f>
        <v>0</v>
      </c>
      <c r="H90" s="49">
        <f>AVERAGE('01.08 Kisaasi-Kyanja-24h'!H90,'03.08 Kisaasi-Kyanja-24h'!H90)</f>
        <v>0</v>
      </c>
      <c r="I90" s="49">
        <f>AVERAGE('01.08 Kisaasi-Kyanja-24h'!I90,'03.08 Kisaasi-Kyanja-24h'!I90)</f>
        <v>0</v>
      </c>
      <c r="J90" s="49">
        <f>AVERAGE('01.08 Kisaasi-Kyanja-24h'!J90,'03.08 Kisaasi-Kyanja-24h'!J90)</f>
        <v>0</v>
      </c>
      <c r="K90" s="49">
        <f>AVERAGE('01.08 Kisaasi-Kyanja-24h'!K90,'03.08 Kisaasi-Kyanja-24h'!K90)</f>
        <v>0</v>
      </c>
      <c r="L90" s="49">
        <f>AVERAGE('01.08 Kisaasi-Kyanja-24h'!L90,'03.08 Kisaasi-Kyanja-24h'!L90)</f>
        <v>1</v>
      </c>
      <c r="M90" s="49">
        <f>AVERAGE('01.08 Kisaasi-Kyanja-24h'!M90,'03.08 Kisaasi-Kyanja-24h'!M90)</f>
        <v>11</v>
      </c>
      <c r="N90" s="49">
        <f>AVERAGE('01.08 Kisaasi-Kyanja-24h'!N90,'03.08 Kisaasi-Kyanja-24h'!N90)</f>
        <v>0</v>
      </c>
      <c r="O90" s="49">
        <f>AVERAGE('01.08 Kisaasi-Kyanja-24h'!O90,'03.08 Kisaasi-Kyanja-24h'!O90)</f>
        <v>8.5</v>
      </c>
      <c r="P90" s="49">
        <f>AVERAGE('01.08 Kisaasi-Kyanja-24h'!P90,'03.08 Kisaasi-Kyanja-24h'!P90)</f>
        <v>19.5</v>
      </c>
      <c r="R90" s="8"/>
      <c r="T90"/>
    </row>
    <row r="91" spans="2:20" ht="23.1" customHeight="1" x14ac:dyDescent="0.25">
      <c r="B91" s="23" t="s">
        <v>131</v>
      </c>
      <c r="C91" s="49">
        <f>AVERAGE('01.08 Kisaasi-Kyanja-24h'!C91,'03.08 Kisaasi-Kyanja-24h'!C91)</f>
        <v>7.5</v>
      </c>
      <c r="D91" s="49">
        <f>AVERAGE('01.08 Kisaasi-Kyanja-24h'!D91,'03.08 Kisaasi-Kyanja-24h'!D91)</f>
        <v>0</v>
      </c>
      <c r="E91" s="49">
        <f>AVERAGE('01.08 Kisaasi-Kyanja-24h'!E91,'03.08 Kisaasi-Kyanja-24h'!E91)</f>
        <v>1.5</v>
      </c>
      <c r="F91" s="49">
        <f>AVERAGE('01.08 Kisaasi-Kyanja-24h'!F91,'03.08 Kisaasi-Kyanja-24h'!F91)</f>
        <v>0</v>
      </c>
      <c r="G91" s="49">
        <f>AVERAGE('01.08 Kisaasi-Kyanja-24h'!G91,'03.08 Kisaasi-Kyanja-24h'!G91)</f>
        <v>0</v>
      </c>
      <c r="H91" s="49">
        <f>AVERAGE('01.08 Kisaasi-Kyanja-24h'!H91,'03.08 Kisaasi-Kyanja-24h'!H91)</f>
        <v>0</v>
      </c>
      <c r="I91" s="49">
        <f>AVERAGE('01.08 Kisaasi-Kyanja-24h'!I91,'03.08 Kisaasi-Kyanja-24h'!I91)</f>
        <v>2</v>
      </c>
      <c r="J91" s="49">
        <f>AVERAGE('01.08 Kisaasi-Kyanja-24h'!J91,'03.08 Kisaasi-Kyanja-24h'!J91)</f>
        <v>0</v>
      </c>
      <c r="K91" s="49">
        <f>AVERAGE('01.08 Kisaasi-Kyanja-24h'!K91,'03.08 Kisaasi-Kyanja-24h'!K91)</f>
        <v>0</v>
      </c>
      <c r="L91" s="49">
        <f>AVERAGE('01.08 Kisaasi-Kyanja-24h'!L91,'03.08 Kisaasi-Kyanja-24h'!L91)</f>
        <v>0</v>
      </c>
      <c r="M91" s="49">
        <f>AVERAGE('01.08 Kisaasi-Kyanja-24h'!M91,'03.08 Kisaasi-Kyanja-24h'!M91)</f>
        <v>8.5</v>
      </c>
      <c r="N91" s="49">
        <f>AVERAGE('01.08 Kisaasi-Kyanja-24h'!N91,'03.08 Kisaasi-Kyanja-24h'!N91)</f>
        <v>0</v>
      </c>
      <c r="O91" s="49">
        <f>AVERAGE('01.08 Kisaasi-Kyanja-24h'!O91,'03.08 Kisaasi-Kyanja-24h'!O91)</f>
        <v>11</v>
      </c>
      <c r="P91" s="49">
        <f>AVERAGE('01.08 Kisaasi-Kyanja-24h'!P91,'03.08 Kisaasi-Kyanja-24h'!P91)</f>
        <v>19.5</v>
      </c>
      <c r="R91" s="8"/>
      <c r="T91"/>
    </row>
    <row r="92" spans="2:20" ht="23.1" customHeight="1" x14ac:dyDescent="0.25">
      <c r="B92" s="25" t="s">
        <v>132</v>
      </c>
      <c r="C92" s="49">
        <f>AVERAGE('01.08 Kisaasi-Kyanja-24h'!C92,'03.08 Kisaasi-Kyanja-24h'!C92)</f>
        <v>5.5</v>
      </c>
      <c r="D92" s="49">
        <f>AVERAGE('01.08 Kisaasi-Kyanja-24h'!D92,'03.08 Kisaasi-Kyanja-24h'!D92)</f>
        <v>0.5</v>
      </c>
      <c r="E92" s="49">
        <f>AVERAGE('01.08 Kisaasi-Kyanja-24h'!E92,'03.08 Kisaasi-Kyanja-24h'!E92)</f>
        <v>1.5</v>
      </c>
      <c r="F92" s="49">
        <f>AVERAGE('01.08 Kisaasi-Kyanja-24h'!F92,'03.08 Kisaasi-Kyanja-24h'!F92)</f>
        <v>0</v>
      </c>
      <c r="G92" s="49">
        <f>AVERAGE('01.08 Kisaasi-Kyanja-24h'!G92,'03.08 Kisaasi-Kyanja-24h'!G92)</f>
        <v>0</v>
      </c>
      <c r="H92" s="49">
        <f>AVERAGE('01.08 Kisaasi-Kyanja-24h'!H92,'03.08 Kisaasi-Kyanja-24h'!H92)</f>
        <v>0</v>
      </c>
      <c r="I92" s="49">
        <f>AVERAGE('01.08 Kisaasi-Kyanja-24h'!I92,'03.08 Kisaasi-Kyanja-24h'!I92)</f>
        <v>0.5</v>
      </c>
      <c r="J92" s="49">
        <f>AVERAGE('01.08 Kisaasi-Kyanja-24h'!J92,'03.08 Kisaasi-Kyanja-24h'!J92)</f>
        <v>0.5</v>
      </c>
      <c r="K92" s="49">
        <f>AVERAGE('01.08 Kisaasi-Kyanja-24h'!K92,'03.08 Kisaasi-Kyanja-24h'!K92)</f>
        <v>0</v>
      </c>
      <c r="L92" s="49">
        <f>AVERAGE('01.08 Kisaasi-Kyanja-24h'!L92,'03.08 Kisaasi-Kyanja-24h'!L92)</f>
        <v>0</v>
      </c>
      <c r="M92" s="49">
        <f>AVERAGE('01.08 Kisaasi-Kyanja-24h'!M92,'03.08 Kisaasi-Kyanja-24h'!M92)</f>
        <v>5</v>
      </c>
      <c r="N92" s="49">
        <f>AVERAGE('01.08 Kisaasi-Kyanja-24h'!N92,'03.08 Kisaasi-Kyanja-24h'!N92)</f>
        <v>0</v>
      </c>
      <c r="O92" s="49">
        <f>AVERAGE('01.08 Kisaasi-Kyanja-24h'!O92,'03.08 Kisaasi-Kyanja-24h'!O92)</f>
        <v>8.5</v>
      </c>
      <c r="P92" s="49">
        <f>AVERAGE('01.08 Kisaasi-Kyanja-24h'!P92,'03.08 Kisaasi-Kyanja-24h'!P92)</f>
        <v>13.5</v>
      </c>
      <c r="R92" s="8"/>
      <c r="T92"/>
    </row>
    <row r="93" spans="2:20" ht="23.1" customHeight="1" x14ac:dyDescent="0.25">
      <c r="B93" s="23" t="s">
        <v>133</v>
      </c>
      <c r="C93" s="49">
        <f>AVERAGE('01.08 Kisaasi-Kyanja-24h'!C93,'03.08 Kisaasi-Kyanja-24h'!C93)</f>
        <v>10</v>
      </c>
      <c r="D93" s="49">
        <f>AVERAGE('01.08 Kisaasi-Kyanja-24h'!D93,'03.08 Kisaasi-Kyanja-24h'!D93)</f>
        <v>0</v>
      </c>
      <c r="E93" s="49">
        <f>AVERAGE('01.08 Kisaasi-Kyanja-24h'!E93,'03.08 Kisaasi-Kyanja-24h'!E93)</f>
        <v>0</v>
      </c>
      <c r="F93" s="49">
        <f>AVERAGE('01.08 Kisaasi-Kyanja-24h'!F93,'03.08 Kisaasi-Kyanja-24h'!F93)</f>
        <v>0.5</v>
      </c>
      <c r="G93" s="49">
        <f>AVERAGE('01.08 Kisaasi-Kyanja-24h'!G93,'03.08 Kisaasi-Kyanja-24h'!G93)</f>
        <v>0.5</v>
      </c>
      <c r="H93" s="49">
        <f>AVERAGE('01.08 Kisaasi-Kyanja-24h'!H93,'03.08 Kisaasi-Kyanja-24h'!H93)</f>
        <v>0</v>
      </c>
      <c r="I93" s="49">
        <f>AVERAGE('01.08 Kisaasi-Kyanja-24h'!I93,'03.08 Kisaasi-Kyanja-24h'!I93)</f>
        <v>0</v>
      </c>
      <c r="J93" s="49">
        <f>AVERAGE('01.08 Kisaasi-Kyanja-24h'!J93,'03.08 Kisaasi-Kyanja-24h'!J93)</f>
        <v>0</v>
      </c>
      <c r="K93" s="49">
        <f>AVERAGE('01.08 Kisaasi-Kyanja-24h'!K93,'03.08 Kisaasi-Kyanja-24h'!K93)</f>
        <v>1</v>
      </c>
      <c r="L93" s="49">
        <f>AVERAGE('01.08 Kisaasi-Kyanja-24h'!L93,'03.08 Kisaasi-Kyanja-24h'!L93)</f>
        <v>0</v>
      </c>
      <c r="M93" s="49">
        <f>AVERAGE('01.08 Kisaasi-Kyanja-24h'!M93,'03.08 Kisaasi-Kyanja-24h'!M93)</f>
        <v>11</v>
      </c>
      <c r="N93" s="49">
        <f>AVERAGE('01.08 Kisaasi-Kyanja-24h'!N93,'03.08 Kisaasi-Kyanja-24h'!N93)</f>
        <v>0</v>
      </c>
      <c r="O93" s="49">
        <f>AVERAGE('01.08 Kisaasi-Kyanja-24h'!O93,'03.08 Kisaasi-Kyanja-24h'!O93)</f>
        <v>12</v>
      </c>
      <c r="P93" s="49">
        <f>AVERAGE('01.08 Kisaasi-Kyanja-24h'!P93,'03.08 Kisaasi-Kyanja-24h'!P93)</f>
        <v>23</v>
      </c>
      <c r="R93" s="8"/>
      <c r="T93"/>
    </row>
    <row r="94" spans="2:20" ht="23.1" customHeight="1" x14ac:dyDescent="0.25">
      <c r="B94" s="24" t="s">
        <v>134</v>
      </c>
      <c r="C94" s="49">
        <f>AVERAGE('01.08 Kisaasi-Kyanja-24h'!C94,'03.08 Kisaasi-Kyanja-24h'!C94)</f>
        <v>4.5</v>
      </c>
      <c r="D94" s="49">
        <f>AVERAGE('01.08 Kisaasi-Kyanja-24h'!D94,'03.08 Kisaasi-Kyanja-24h'!D94)</f>
        <v>1</v>
      </c>
      <c r="E94" s="49">
        <f>AVERAGE('01.08 Kisaasi-Kyanja-24h'!E94,'03.08 Kisaasi-Kyanja-24h'!E94)</f>
        <v>0.5</v>
      </c>
      <c r="F94" s="49">
        <f>AVERAGE('01.08 Kisaasi-Kyanja-24h'!F94,'03.08 Kisaasi-Kyanja-24h'!F94)</f>
        <v>0</v>
      </c>
      <c r="G94" s="49">
        <f>AVERAGE('01.08 Kisaasi-Kyanja-24h'!G94,'03.08 Kisaasi-Kyanja-24h'!G94)</f>
        <v>0</v>
      </c>
      <c r="H94" s="49">
        <f>AVERAGE('01.08 Kisaasi-Kyanja-24h'!H94,'03.08 Kisaasi-Kyanja-24h'!H94)</f>
        <v>0</v>
      </c>
      <c r="I94" s="49">
        <f>AVERAGE('01.08 Kisaasi-Kyanja-24h'!I94,'03.08 Kisaasi-Kyanja-24h'!I94)</f>
        <v>0</v>
      </c>
      <c r="J94" s="49">
        <f>AVERAGE('01.08 Kisaasi-Kyanja-24h'!J94,'03.08 Kisaasi-Kyanja-24h'!J94)</f>
        <v>0</v>
      </c>
      <c r="K94" s="49">
        <f>AVERAGE('01.08 Kisaasi-Kyanja-24h'!K94,'03.08 Kisaasi-Kyanja-24h'!K94)</f>
        <v>0</v>
      </c>
      <c r="L94" s="49">
        <f>AVERAGE('01.08 Kisaasi-Kyanja-24h'!L94,'03.08 Kisaasi-Kyanja-24h'!L94)</f>
        <v>1</v>
      </c>
      <c r="M94" s="49">
        <f>AVERAGE('01.08 Kisaasi-Kyanja-24h'!M94,'03.08 Kisaasi-Kyanja-24h'!M94)</f>
        <v>8</v>
      </c>
      <c r="N94" s="49">
        <f>AVERAGE('01.08 Kisaasi-Kyanja-24h'!N94,'03.08 Kisaasi-Kyanja-24h'!N94)</f>
        <v>0</v>
      </c>
      <c r="O94" s="49">
        <f>AVERAGE('01.08 Kisaasi-Kyanja-24h'!O94,'03.08 Kisaasi-Kyanja-24h'!O94)</f>
        <v>7</v>
      </c>
      <c r="P94" s="49">
        <f>AVERAGE('01.08 Kisaasi-Kyanja-24h'!P94,'03.08 Kisaasi-Kyanja-24h'!P94)</f>
        <v>15</v>
      </c>
      <c r="R94" s="8"/>
      <c r="T94"/>
    </row>
    <row r="95" spans="2:20" ht="23.1" customHeight="1" x14ac:dyDescent="0.25">
      <c r="B95" s="23" t="s">
        <v>135</v>
      </c>
      <c r="C95" s="49">
        <f>AVERAGE('01.08 Kisaasi-Kyanja-24h'!C95,'03.08 Kisaasi-Kyanja-24h'!C95)</f>
        <v>7</v>
      </c>
      <c r="D95" s="49">
        <f>AVERAGE('01.08 Kisaasi-Kyanja-24h'!D95,'03.08 Kisaasi-Kyanja-24h'!D95)</f>
        <v>0</v>
      </c>
      <c r="E95" s="49">
        <f>AVERAGE('01.08 Kisaasi-Kyanja-24h'!E95,'03.08 Kisaasi-Kyanja-24h'!E95)</f>
        <v>2</v>
      </c>
      <c r="F95" s="49">
        <f>AVERAGE('01.08 Kisaasi-Kyanja-24h'!F95,'03.08 Kisaasi-Kyanja-24h'!F95)</f>
        <v>0.5</v>
      </c>
      <c r="G95" s="49">
        <f>AVERAGE('01.08 Kisaasi-Kyanja-24h'!G95,'03.08 Kisaasi-Kyanja-24h'!G95)</f>
        <v>0</v>
      </c>
      <c r="H95" s="49">
        <f>AVERAGE('01.08 Kisaasi-Kyanja-24h'!H95,'03.08 Kisaasi-Kyanja-24h'!H95)</f>
        <v>0</v>
      </c>
      <c r="I95" s="49">
        <f>AVERAGE('01.08 Kisaasi-Kyanja-24h'!I95,'03.08 Kisaasi-Kyanja-24h'!I95)</f>
        <v>0</v>
      </c>
      <c r="J95" s="49">
        <f>AVERAGE('01.08 Kisaasi-Kyanja-24h'!J95,'03.08 Kisaasi-Kyanja-24h'!J95)</f>
        <v>1.5</v>
      </c>
      <c r="K95" s="49">
        <f>AVERAGE('01.08 Kisaasi-Kyanja-24h'!K95,'03.08 Kisaasi-Kyanja-24h'!K95)</f>
        <v>0</v>
      </c>
      <c r="L95" s="49">
        <f>AVERAGE('01.08 Kisaasi-Kyanja-24h'!L95,'03.08 Kisaasi-Kyanja-24h'!L95)</f>
        <v>0</v>
      </c>
      <c r="M95" s="49">
        <f>AVERAGE('01.08 Kisaasi-Kyanja-24h'!M95,'03.08 Kisaasi-Kyanja-24h'!M95)</f>
        <v>8</v>
      </c>
      <c r="N95" s="49">
        <f>AVERAGE('01.08 Kisaasi-Kyanja-24h'!N95,'03.08 Kisaasi-Kyanja-24h'!N95)</f>
        <v>0</v>
      </c>
      <c r="O95" s="49">
        <f>AVERAGE('01.08 Kisaasi-Kyanja-24h'!O95,'03.08 Kisaasi-Kyanja-24h'!O95)</f>
        <v>11</v>
      </c>
      <c r="P95" s="49">
        <f>AVERAGE('01.08 Kisaasi-Kyanja-24h'!P95,'03.08 Kisaasi-Kyanja-24h'!P95)</f>
        <v>19</v>
      </c>
      <c r="R95" s="8"/>
      <c r="T95"/>
    </row>
    <row r="96" spans="2:20" ht="23.1" customHeight="1" x14ac:dyDescent="0.25">
      <c r="B96" s="25" t="s">
        <v>136</v>
      </c>
      <c r="C96" s="49">
        <f>AVERAGE('01.08 Kisaasi-Kyanja-24h'!C96,'03.08 Kisaasi-Kyanja-24h'!C96)</f>
        <v>6.5</v>
      </c>
      <c r="D96" s="49">
        <f>AVERAGE('01.08 Kisaasi-Kyanja-24h'!D96,'03.08 Kisaasi-Kyanja-24h'!D96)</f>
        <v>1</v>
      </c>
      <c r="E96" s="49">
        <f>AVERAGE('01.08 Kisaasi-Kyanja-24h'!E96,'03.08 Kisaasi-Kyanja-24h'!E96)</f>
        <v>0</v>
      </c>
      <c r="F96" s="49">
        <f>AVERAGE('01.08 Kisaasi-Kyanja-24h'!F96,'03.08 Kisaasi-Kyanja-24h'!F96)</f>
        <v>1</v>
      </c>
      <c r="G96" s="49">
        <f>AVERAGE('01.08 Kisaasi-Kyanja-24h'!G96,'03.08 Kisaasi-Kyanja-24h'!G96)</f>
        <v>0</v>
      </c>
      <c r="H96" s="49">
        <f>AVERAGE('01.08 Kisaasi-Kyanja-24h'!H96,'03.08 Kisaasi-Kyanja-24h'!H96)</f>
        <v>0</v>
      </c>
      <c r="I96" s="49">
        <f>AVERAGE('01.08 Kisaasi-Kyanja-24h'!I96,'03.08 Kisaasi-Kyanja-24h'!I96)</f>
        <v>0.5</v>
      </c>
      <c r="J96" s="49">
        <f>AVERAGE('01.08 Kisaasi-Kyanja-24h'!J96,'03.08 Kisaasi-Kyanja-24h'!J96)</f>
        <v>0</v>
      </c>
      <c r="K96" s="49">
        <f>AVERAGE('01.08 Kisaasi-Kyanja-24h'!K96,'03.08 Kisaasi-Kyanja-24h'!K96)</f>
        <v>0</v>
      </c>
      <c r="L96" s="49">
        <f>AVERAGE('01.08 Kisaasi-Kyanja-24h'!L96,'03.08 Kisaasi-Kyanja-24h'!L96)</f>
        <v>1</v>
      </c>
      <c r="M96" s="49">
        <f>AVERAGE('01.08 Kisaasi-Kyanja-24h'!M96,'03.08 Kisaasi-Kyanja-24h'!M96)</f>
        <v>7.5</v>
      </c>
      <c r="N96" s="49">
        <f>AVERAGE('01.08 Kisaasi-Kyanja-24h'!N96,'03.08 Kisaasi-Kyanja-24h'!N96)</f>
        <v>0</v>
      </c>
      <c r="O96" s="49">
        <f>AVERAGE('01.08 Kisaasi-Kyanja-24h'!O96,'03.08 Kisaasi-Kyanja-24h'!O96)</f>
        <v>10</v>
      </c>
      <c r="P96" s="49">
        <f>AVERAGE('01.08 Kisaasi-Kyanja-24h'!P96,'03.08 Kisaasi-Kyanja-24h'!P96)</f>
        <v>17.5</v>
      </c>
      <c r="R96" s="8"/>
      <c r="T96"/>
    </row>
    <row r="97" spans="2:20" ht="23.1" customHeight="1" x14ac:dyDescent="0.25">
      <c r="B97" s="23" t="s">
        <v>137</v>
      </c>
      <c r="C97" s="49">
        <f>AVERAGE('01.08 Kisaasi-Kyanja-24h'!C97,'03.08 Kisaasi-Kyanja-24h'!C97)</f>
        <v>3</v>
      </c>
      <c r="D97" s="49">
        <f>AVERAGE('01.08 Kisaasi-Kyanja-24h'!D97,'03.08 Kisaasi-Kyanja-24h'!D97)</f>
        <v>0</v>
      </c>
      <c r="E97" s="49">
        <f>AVERAGE('01.08 Kisaasi-Kyanja-24h'!E97,'03.08 Kisaasi-Kyanja-24h'!E97)</f>
        <v>1</v>
      </c>
      <c r="F97" s="49">
        <f>AVERAGE('01.08 Kisaasi-Kyanja-24h'!F97,'03.08 Kisaasi-Kyanja-24h'!F97)</f>
        <v>1</v>
      </c>
      <c r="G97" s="49">
        <f>AVERAGE('01.08 Kisaasi-Kyanja-24h'!G97,'03.08 Kisaasi-Kyanja-24h'!G97)</f>
        <v>0</v>
      </c>
      <c r="H97" s="49">
        <f>AVERAGE('01.08 Kisaasi-Kyanja-24h'!H97,'03.08 Kisaasi-Kyanja-24h'!H97)</f>
        <v>0</v>
      </c>
      <c r="I97" s="49">
        <f>AVERAGE('01.08 Kisaasi-Kyanja-24h'!I97,'03.08 Kisaasi-Kyanja-24h'!I97)</f>
        <v>0</v>
      </c>
      <c r="J97" s="49">
        <f>AVERAGE('01.08 Kisaasi-Kyanja-24h'!J97,'03.08 Kisaasi-Kyanja-24h'!J97)</f>
        <v>1</v>
      </c>
      <c r="K97" s="49">
        <f>AVERAGE('01.08 Kisaasi-Kyanja-24h'!K97,'03.08 Kisaasi-Kyanja-24h'!K97)</f>
        <v>0</v>
      </c>
      <c r="L97" s="49">
        <f>AVERAGE('01.08 Kisaasi-Kyanja-24h'!L97,'03.08 Kisaasi-Kyanja-24h'!L97)</f>
        <v>0.5</v>
      </c>
      <c r="M97" s="49">
        <f>AVERAGE('01.08 Kisaasi-Kyanja-24h'!M97,'03.08 Kisaasi-Kyanja-24h'!M97)</f>
        <v>11</v>
      </c>
      <c r="N97" s="49">
        <f>AVERAGE('01.08 Kisaasi-Kyanja-24h'!N97,'03.08 Kisaasi-Kyanja-24h'!N97)</f>
        <v>0</v>
      </c>
      <c r="O97" s="49">
        <f>AVERAGE('01.08 Kisaasi-Kyanja-24h'!O97,'03.08 Kisaasi-Kyanja-24h'!O97)</f>
        <v>6.5</v>
      </c>
      <c r="P97" s="49">
        <f>AVERAGE('01.08 Kisaasi-Kyanja-24h'!P97,'03.08 Kisaasi-Kyanja-24h'!P97)</f>
        <v>17.5</v>
      </c>
      <c r="R97" s="8"/>
      <c r="T97"/>
    </row>
    <row r="98" spans="2:20" ht="23.1" customHeight="1" x14ac:dyDescent="0.25">
      <c r="B98" s="24" t="s">
        <v>138</v>
      </c>
      <c r="C98" s="49">
        <f>AVERAGE('01.08 Kisaasi-Kyanja-24h'!C98,'03.08 Kisaasi-Kyanja-24h'!C98)</f>
        <v>7</v>
      </c>
      <c r="D98" s="49">
        <f>AVERAGE('01.08 Kisaasi-Kyanja-24h'!D98,'03.08 Kisaasi-Kyanja-24h'!D98)</f>
        <v>1.5</v>
      </c>
      <c r="E98" s="49">
        <f>AVERAGE('01.08 Kisaasi-Kyanja-24h'!E98,'03.08 Kisaasi-Kyanja-24h'!E98)</f>
        <v>1</v>
      </c>
      <c r="F98" s="49">
        <f>AVERAGE('01.08 Kisaasi-Kyanja-24h'!F98,'03.08 Kisaasi-Kyanja-24h'!F98)</f>
        <v>1.5</v>
      </c>
      <c r="G98" s="49">
        <f>AVERAGE('01.08 Kisaasi-Kyanja-24h'!G98,'03.08 Kisaasi-Kyanja-24h'!G98)</f>
        <v>0.5</v>
      </c>
      <c r="H98" s="49">
        <f>AVERAGE('01.08 Kisaasi-Kyanja-24h'!H98,'03.08 Kisaasi-Kyanja-24h'!H98)</f>
        <v>0</v>
      </c>
      <c r="I98" s="49">
        <f>AVERAGE('01.08 Kisaasi-Kyanja-24h'!I98,'03.08 Kisaasi-Kyanja-24h'!I98)</f>
        <v>0.5</v>
      </c>
      <c r="J98" s="49">
        <f>AVERAGE('01.08 Kisaasi-Kyanja-24h'!J98,'03.08 Kisaasi-Kyanja-24h'!J98)</f>
        <v>0</v>
      </c>
      <c r="K98" s="49">
        <f>AVERAGE('01.08 Kisaasi-Kyanja-24h'!K98,'03.08 Kisaasi-Kyanja-24h'!K98)</f>
        <v>0.5</v>
      </c>
      <c r="L98" s="49">
        <f>AVERAGE('01.08 Kisaasi-Kyanja-24h'!L98,'03.08 Kisaasi-Kyanja-24h'!L98)</f>
        <v>0</v>
      </c>
      <c r="M98" s="49">
        <f>AVERAGE('01.08 Kisaasi-Kyanja-24h'!M98,'03.08 Kisaasi-Kyanja-24h'!M98)</f>
        <v>16.5</v>
      </c>
      <c r="N98" s="49">
        <f>AVERAGE('01.08 Kisaasi-Kyanja-24h'!N98,'03.08 Kisaasi-Kyanja-24h'!N98)</f>
        <v>0</v>
      </c>
      <c r="O98" s="49">
        <f>AVERAGE('01.08 Kisaasi-Kyanja-24h'!O98,'03.08 Kisaasi-Kyanja-24h'!O98)</f>
        <v>12.5</v>
      </c>
      <c r="P98" s="49">
        <f>AVERAGE('01.08 Kisaasi-Kyanja-24h'!P98,'03.08 Kisaasi-Kyanja-24h'!P98)</f>
        <v>29</v>
      </c>
      <c r="R98" s="8"/>
      <c r="T98"/>
    </row>
    <row r="99" spans="2:20" ht="23.1" customHeight="1" x14ac:dyDescent="0.25">
      <c r="B99" s="23" t="s">
        <v>139</v>
      </c>
      <c r="C99" s="49">
        <f>AVERAGE('01.08 Kisaasi-Kyanja-24h'!C99,'03.08 Kisaasi-Kyanja-24h'!C99)</f>
        <v>6.5</v>
      </c>
      <c r="D99" s="49">
        <f>AVERAGE('01.08 Kisaasi-Kyanja-24h'!D99,'03.08 Kisaasi-Kyanja-24h'!D99)</f>
        <v>1.5</v>
      </c>
      <c r="E99" s="49">
        <f>AVERAGE('01.08 Kisaasi-Kyanja-24h'!E99,'03.08 Kisaasi-Kyanja-24h'!E99)</f>
        <v>2</v>
      </c>
      <c r="F99" s="49">
        <f>AVERAGE('01.08 Kisaasi-Kyanja-24h'!F99,'03.08 Kisaasi-Kyanja-24h'!F99)</f>
        <v>2.5</v>
      </c>
      <c r="G99" s="49">
        <f>AVERAGE('01.08 Kisaasi-Kyanja-24h'!G99,'03.08 Kisaasi-Kyanja-24h'!G99)</f>
        <v>1</v>
      </c>
      <c r="H99" s="49">
        <f>AVERAGE('01.08 Kisaasi-Kyanja-24h'!H99,'03.08 Kisaasi-Kyanja-24h'!H99)</f>
        <v>0</v>
      </c>
      <c r="I99" s="49">
        <f>AVERAGE('01.08 Kisaasi-Kyanja-24h'!I99,'03.08 Kisaasi-Kyanja-24h'!I99)</f>
        <v>1</v>
      </c>
      <c r="J99" s="49">
        <f>AVERAGE('01.08 Kisaasi-Kyanja-24h'!J99,'03.08 Kisaasi-Kyanja-24h'!J99)</f>
        <v>0</v>
      </c>
      <c r="K99" s="49">
        <f>AVERAGE('01.08 Kisaasi-Kyanja-24h'!K99,'03.08 Kisaasi-Kyanja-24h'!K99)</f>
        <v>0</v>
      </c>
      <c r="L99" s="49">
        <f>AVERAGE('01.08 Kisaasi-Kyanja-24h'!L99,'03.08 Kisaasi-Kyanja-24h'!L99)</f>
        <v>1.5</v>
      </c>
      <c r="M99" s="49">
        <f>AVERAGE('01.08 Kisaasi-Kyanja-24h'!M99,'03.08 Kisaasi-Kyanja-24h'!M99)</f>
        <v>11</v>
      </c>
      <c r="N99" s="49">
        <f>AVERAGE('01.08 Kisaasi-Kyanja-24h'!N99,'03.08 Kisaasi-Kyanja-24h'!N99)</f>
        <v>0</v>
      </c>
      <c r="O99" s="49">
        <f>AVERAGE('01.08 Kisaasi-Kyanja-24h'!O99,'03.08 Kisaasi-Kyanja-24h'!O99)</f>
        <v>16</v>
      </c>
      <c r="P99" s="49">
        <f>AVERAGE('01.08 Kisaasi-Kyanja-24h'!P99,'03.08 Kisaasi-Kyanja-24h'!P99)</f>
        <v>27</v>
      </c>
      <c r="R99" s="8"/>
      <c r="T99"/>
    </row>
    <row r="100" spans="2:20" ht="23.1" customHeight="1" x14ac:dyDescent="0.25">
      <c r="B100" s="25" t="s">
        <v>140</v>
      </c>
      <c r="C100" s="49">
        <f>AVERAGE('01.08 Kisaasi-Kyanja-24h'!C100,'03.08 Kisaasi-Kyanja-24h'!C100)</f>
        <v>11.5</v>
      </c>
      <c r="D100" s="49">
        <f>AVERAGE('01.08 Kisaasi-Kyanja-24h'!D100,'03.08 Kisaasi-Kyanja-24h'!D100)</f>
        <v>1</v>
      </c>
      <c r="E100" s="49">
        <f>AVERAGE('01.08 Kisaasi-Kyanja-24h'!E100,'03.08 Kisaasi-Kyanja-24h'!E100)</f>
        <v>2.5</v>
      </c>
      <c r="F100" s="49">
        <f>AVERAGE('01.08 Kisaasi-Kyanja-24h'!F100,'03.08 Kisaasi-Kyanja-24h'!F100)</f>
        <v>4.5</v>
      </c>
      <c r="G100" s="49">
        <f>AVERAGE('01.08 Kisaasi-Kyanja-24h'!G100,'03.08 Kisaasi-Kyanja-24h'!G100)</f>
        <v>1</v>
      </c>
      <c r="H100" s="49">
        <f>AVERAGE('01.08 Kisaasi-Kyanja-24h'!H100,'03.08 Kisaasi-Kyanja-24h'!H100)</f>
        <v>0</v>
      </c>
      <c r="I100" s="49">
        <f>AVERAGE('01.08 Kisaasi-Kyanja-24h'!I100,'03.08 Kisaasi-Kyanja-24h'!I100)</f>
        <v>0.5</v>
      </c>
      <c r="J100" s="49">
        <f>AVERAGE('01.08 Kisaasi-Kyanja-24h'!J100,'03.08 Kisaasi-Kyanja-24h'!J100)</f>
        <v>0</v>
      </c>
      <c r="K100" s="49">
        <f>AVERAGE('01.08 Kisaasi-Kyanja-24h'!K100,'03.08 Kisaasi-Kyanja-24h'!K100)</f>
        <v>0</v>
      </c>
      <c r="L100" s="49">
        <f>AVERAGE('01.08 Kisaasi-Kyanja-24h'!L100,'03.08 Kisaasi-Kyanja-24h'!L100)</f>
        <v>0</v>
      </c>
      <c r="M100" s="49">
        <f>AVERAGE('01.08 Kisaasi-Kyanja-24h'!M100,'03.08 Kisaasi-Kyanja-24h'!M100)</f>
        <v>23</v>
      </c>
      <c r="N100" s="49">
        <f>AVERAGE('01.08 Kisaasi-Kyanja-24h'!N100,'03.08 Kisaasi-Kyanja-24h'!N100)</f>
        <v>0</v>
      </c>
      <c r="O100" s="49">
        <f>AVERAGE('01.08 Kisaasi-Kyanja-24h'!O100,'03.08 Kisaasi-Kyanja-24h'!O100)</f>
        <v>21</v>
      </c>
      <c r="P100" s="49">
        <f>AVERAGE('01.08 Kisaasi-Kyanja-24h'!P100,'03.08 Kisaasi-Kyanja-24h'!P100)</f>
        <v>44</v>
      </c>
      <c r="R100" s="8"/>
      <c r="T100"/>
    </row>
    <row r="101" spans="2:20" ht="23.1" customHeight="1" x14ac:dyDescent="0.25">
      <c r="B101" s="23" t="s">
        <v>141</v>
      </c>
      <c r="C101" s="49">
        <f>AVERAGE('01.08 Kisaasi-Kyanja-24h'!C101,'03.08 Kisaasi-Kyanja-24h'!C101)</f>
        <v>8.5</v>
      </c>
      <c r="D101" s="49">
        <f>AVERAGE('01.08 Kisaasi-Kyanja-24h'!D101,'03.08 Kisaasi-Kyanja-24h'!D101)</f>
        <v>2</v>
      </c>
      <c r="E101" s="49">
        <f>AVERAGE('01.08 Kisaasi-Kyanja-24h'!E101,'03.08 Kisaasi-Kyanja-24h'!E101)</f>
        <v>1</v>
      </c>
      <c r="F101" s="49">
        <f>AVERAGE('01.08 Kisaasi-Kyanja-24h'!F101,'03.08 Kisaasi-Kyanja-24h'!F101)</f>
        <v>4</v>
      </c>
      <c r="G101" s="49">
        <f>AVERAGE('01.08 Kisaasi-Kyanja-24h'!G101,'03.08 Kisaasi-Kyanja-24h'!G101)</f>
        <v>0</v>
      </c>
      <c r="H101" s="49">
        <f>AVERAGE('01.08 Kisaasi-Kyanja-24h'!H101,'03.08 Kisaasi-Kyanja-24h'!H101)</f>
        <v>0</v>
      </c>
      <c r="I101" s="49">
        <f>AVERAGE('01.08 Kisaasi-Kyanja-24h'!I101,'03.08 Kisaasi-Kyanja-24h'!I101)</f>
        <v>0</v>
      </c>
      <c r="J101" s="49">
        <f>AVERAGE('01.08 Kisaasi-Kyanja-24h'!J101,'03.08 Kisaasi-Kyanja-24h'!J101)</f>
        <v>1</v>
      </c>
      <c r="K101" s="49">
        <f>AVERAGE('01.08 Kisaasi-Kyanja-24h'!K101,'03.08 Kisaasi-Kyanja-24h'!K101)</f>
        <v>0</v>
      </c>
      <c r="L101" s="49">
        <f>AVERAGE('01.08 Kisaasi-Kyanja-24h'!L101,'03.08 Kisaasi-Kyanja-24h'!L101)</f>
        <v>0</v>
      </c>
      <c r="M101" s="49">
        <f>AVERAGE('01.08 Kisaasi-Kyanja-24h'!M101,'03.08 Kisaasi-Kyanja-24h'!M101)</f>
        <v>15.5</v>
      </c>
      <c r="N101" s="49">
        <f>AVERAGE('01.08 Kisaasi-Kyanja-24h'!N101,'03.08 Kisaasi-Kyanja-24h'!N101)</f>
        <v>0</v>
      </c>
      <c r="O101" s="49">
        <f>AVERAGE('01.08 Kisaasi-Kyanja-24h'!O101,'03.08 Kisaasi-Kyanja-24h'!O101)</f>
        <v>16.5</v>
      </c>
      <c r="P101" s="49">
        <f>AVERAGE('01.08 Kisaasi-Kyanja-24h'!P101,'03.08 Kisaasi-Kyanja-24h'!P101)</f>
        <v>32</v>
      </c>
      <c r="R101" s="8"/>
      <c r="T101"/>
    </row>
    <row r="102" spans="2:20" ht="23.1" customHeight="1" x14ac:dyDescent="0.25">
      <c r="B102" s="24" t="s">
        <v>142</v>
      </c>
      <c r="C102" s="49">
        <f>AVERAGE('01.08 Kisaasi-Kyanja-24h'!C102,'03.08 Kisaasi-Kyanja-24h'!C102)</f>
        <v>14.5</v>
      </c>
      <c r="D102" s="49">
        <f>AVERAGE('01.08 Kisaasi-Kyanja-24h'!D102,'03.08 Kisaasi-Kyanja-24h'!D102)</f>
        <v>1.5</v>
      </c>
      <c r="E102" s="49">
        <f>AVERAGE('01.08 Kisaasi-Kyanja-24h'!E102,'03.08 Kisaasi-Kyanja-24h'!E102)</f>
        <v>0.5</v>
      </c>
      <c r="F102" s="49">
        <f>AVERAGE('01.08 Kisaasi-Kyanja-24h'!F102,'03.08 Kisaasi-Kyanja-24h'!F102)</f>
        <v>4</v>
      </c>
      <c r="G102" s="49">
        <f>AVERAGE('01.08 Kisaasi-Kyanja-24h'!G102,'03.08 Kisaasi-Kyanja-24h'!G102)</f>
        <v>0</v>
      </c>
      <c r="H102" s="49">
        <f>AVERAGE('01.08 Kisaasi-Kyanja-24h'!H102,'03.08 Kisaasi-Kyanja-24h'!H102)</f>
        <v>0</v>
      </c>
      <c r="I102" s="49">
        <f>AVERAGE('01.08 Kisaasi-Kyanja-24h'!I102,'03.08 Kisaasi-Kyanja-24h'!I102)</f>
        <v>0</v>
      </c>
      <c r="J102" s="49">
        <f>AVERAGE('01.08 Kisaasi-Kyanja-24h'!J102,'03.08 Kisaasi-Kyanja-24h'!J102)</f>
        <v>0</v>
      </c>
      <c r="K102" s="49">
        <f>AVERAGE('01.08 Kisaasi-Kyanja-24h'!K102,'03.08 Kisaasi-Kyanja-24h'!K102)</f>
        <v>1.5</v>
      </c>
      <c r="L102" s="49">
        <f>AVERAGE('01.08 Kisaasi-Kyanja-24h'!L102,'03.08 Kisaasi-Kyanja-24h'!L102)</f>
        <v>0</v>
      </c>
      <c r="M102" s="49">
        <f>AVERAGE('01.08 Kisaasi-Kyanja-24h'!M102,'03.08 Kisaasi-Kyanja-24h'!M102)</f>
        <v>14.5</v>
      </c>
      <c r="N102" s="49">
        <f>AVERAGE('01.08 Kisaasi-Kyanja-24h'!N102,'03.08 Kisaasi-Kyanja-24h'!N102)</f>
        <v>0</v>
      </c>
      <c r="O102" s="49">
        <f>AVERAGE('01.08 Kisaasi-Kyanja-24h'!O102,'03.08 Kisaasi-Kyanja-24h'!O102)</f>
        <v>22</v>
      </c>
      <c r="P102" s="49">
        <f>AVERAGE('01.08 Kisaasi-Kyanja-24h'!P102,'03.08 Kisaasi-Kyanja-24h'!P102)</f>
        <v>36.5</v>
      </c>
      <c r="R102" s="8"/>
      <c r="T102"/>
    </row>
    <row r="103" spans="2:20" ht="23.1" customHeight="1" x14ac:dyDescent="0.25">
      <c r="B103" s="23" t="s">
        <v>143</v>
      </c>
      <c r="C103" s="49">
        <f>AVERAGE('01.08 Kisaasi-Kyanja-24h'!C103,'03.08 Kisaasi-Kyanja-24h'!C103)</f>
        <v>3.5</v>
      </c>
      <c r="D103" s="49">
        <f>AVERAGE('01.08 Kisaasi-Kyanja-24h'!D103,'03.08 Kisaasi-Kyanja-24h'!D103)</f>
        <v>0.5</v>
      </c>
      <c r="E103" s="49">
        <f>AVERAGE('01.08 Kisaasi-Kyanja-24h'!E103,'03.08 Kisaasi-Kyanja-24h'!E103)</f>
        <v>1</v>
      </c>
      <c r="F103" s="49">
        <f>AVERAGE('01.08 Kisaasi-Kyanja-24h'!F103,'03.08 Kisaasi-Kyanja-24h'!F103)</f>
        <v>0</v>
      </c>
      <c r="G103" s="49">
        <f>AVERAGE('01.08 Kisaasi-Kyanja-24h'!G103,'03.08 Kisaasi-Kyanja-24h'!G103)</f>
        <v>0</v>
      </c>
      <c r="H103" s="49">
        <f>AVERAGE('01.08 Kisaasi-Kyanja-24h'!H103,'03.08 Kisaasi-Kyanja-24h'!H103)</f>
        <v>0</v>
      </c>
      <c r="I103" s="49">
        <f>AVERAGE('01.08 Kisaasi-Kyanja-24h'!I103,'03.08 Kisaasi-Kyanja-24h'!I103)</f>
        <v>0.5</v>
      </c>
      <c r="J103" s="49">
        <f>AVERAGE('01.08 Kisaasi-Kyanja-24h'!J103,'03.08 Kisaasi-Kyanja-24h'!J103)</f>
        <v>0</v>
      </c>
      <c r="K103" s="49">
        <f>AVERAGE('01.08 Kisaasi-Kyanja-24h'!K103,'03.08 Kisaasi-Kyanja-24h'!K103)</f>
        <v>0</v>
      </c>
      <c r="L103" s="49">
        <f>AVERAGE('01.08 Kisaasi-Kyanja-24h'!L103,'03.08 Kisaasi-Kyanja-24h'!L103)</f>
        <v>0</v>
      </c>
      <c r="M103" s="49">
        <f>AVERAGE('01.08 Kisaasi-Kyanja-24h'!M103,'03.08 Kisaasi-Kyanja-24h'!M103)</f>
        <v>7</v>
      </c>
      <c r="N103" s="49">
        <f>AVERAGE('01.08 Kisaasi-Kyanja-24h'!N103,'03.08 Kisaasi-Kyanja-24h'!N103)</f>
        <v>0</v>
      </c>
      <c r="O103" s="49">
        <f>AVERAGE('01.08 Kisaasi-Kyanja-24h'!O103,'03.08 Kisaasi-Kyanja-24h'!O103)</f>
        <v>5.5</v>
      </c>
      <c r="P103" s="49">
        <f>AVERAGE('01.08 Kisaasi-Kyanja-24h'!P103,'03.08 Kisaasi-Kyanja-24h'!P103)</f>
        <v>12.5</v>
      </c>
      <c r="R103" s="8"/>
      <c r="T103"/>
    </row>
    <row r="104" spans="2:20" ht="23.1" customHeight="1" x14ac:dyDescent="0.25">
      <c r="B104" s="25" t="s">
        <v>144</v>
      </c>
      <c r="C104" s="49">
        <f>AVERAGE('01.08 Kisaasi-Kyanja-24h'!C104,'03.08 Kisaasi-Kyanja-24h'!C104)</f>
        <v>4</v>
      </c>
      <c r="D104" s="49">
        <f>AVERAGE('01.08 Kisaasi-Kyanja-24h'!D104,'03.08 Kisaasi-Kyanja-24h'!D104)</f>
        <v>1</v>
      </c>
      <c r="E104" s="49">
        <f>AVERAGE('01.08 Kisaasi-Kyanja-24h'!E104,'03.08 Kisaasi-Kyanja-24h'!E104)</f>
        <v>0</v>
      </c>
      <c r="F104" s="49">
        <f>AVERAGE('01.08 Kisaasi-Kyanja-24h'!F104,'03.08 Kisaasi-Kyanja-24h'!F104)</f>
        <v>0.5</v>
      </c>
      <c r="G104" s="49">
        <f>AVERAGE('01.08 Kisaasi-Kyanja-24h'!G104,'03.08 Kisaasi-Kyanja-24h'!G104)</f>
        <v>0</v>
      </c>
      <c r="H104" s="49">
        <f>AVERAGE('01.08 Kisaasi-Kyanja-24h'!H104,'03.08 Kisaasi-Kyanja-24h'!H104)</f>
        <v>0</v>
      </c>
      <c r="I104" s="49">
        <f>AVERAGE('01.08 Kisaasi-Kyanja-24h'!I104,'03.08 Kisaasi-Kyanja-24h'!I104)</f>
        <v>0.5</v>
      </c>
      <c r="J104" s="49">
        <f>AVERAGE('01.08 Kisaasi-Kyanja-24h'!J104,'03.08 Kisaasi-Kyanja-24h'!J104)</f>
        <v>0</v>
      </c>
      <c r="K104" s="49">
        <f>AVERAGE('01.08 Kisaasi-Kyanja-24h'!K104,'03.08 Kisaasi-Kyanja-24h'!K104)</f>
        <v>0</v>
      </c>
      <c r="L104" s="49">
        <f>AVERAGE('01.08 Kisaasi-Kyanja-24h'!L104,'03.08 Kisaasi-Kyanja-24h'!L104)</f>
        <v>0</v>
      </c>
      <c r="M104" s="49">
        <f>AVERAGE('01.08 Kisaasi-Kyanja-24h'!M104,'03.08 Kisaasi-Kyanja-24h'!M104)</f>
        <v>3</v>
      </c>
      <c r="N104" s="49">
        <f>AVERAGE('01.08 Kisaasi-Kyanja-24h'!N104,'03.08 Kisaasi-Kyanja-24h'!N104)</f>
        <v>0</v>
      </c>
      <c r="O104" s="49">
        <f>AVERAGE('01.08 Kisaasi-Kyanja-24h'!O104,'03.08 Kisaasi-Kyanja-24h'!O104)</f>
        <v>6</v>
      </c>
      <c r="P104" s="49">
        <f>AVERAGE('01.08 Kisaasi-Kyanja-24h'!P104,'03.08 Kisaasi-Kyanja-24h'!P104)</f>
        <v>9</v>
      </c>
      <c r="R104" s="8"/>
      <c r="T104"/>
    </row>
    <row r="105" spans="2:20" ht="23.1" customHeight="1" x14ac:dyDescent="0.25">
      <c r="B105" s="23" t="s">
        <v>145</v>
      </c>
      <c r="C105" s="49">
        <f>AVERAGE('01.08 Kisaasi-Kyanja-24h'!C105,'03.08 Kisaasi-Kyanja-24h'!C105)</f>
        <v>3.5</v>
      </c>
      <c r="D105" s="49">
        <f>AVERAGE('01.08 Kisaasi-Kyanja-24h'!D105,'03.08 Kisaasi-Kyanja-24h'!D105)</f>
        <v>1</v>
      </c>
      <c r="E105" s="49">
        <f>AVERAGE('01.08 Kisaasi-Kyanja-24h'!E105,'03.08 Kisaasi-Kyanja-24h'!E105)</f>
        <v>0</v>
      </c>
      <c r="F105" s="49">
        <f>AVERAGE('01.08 Kisaasi-Kyanja-24h'!F105,'03.08 Kisaasi-Kyanja-24h'!F105)</f>
        <v>2</v>
      </c>
      <c r="G105" s="49">
        <f>AVERAGE('01.08 Kisaasi-Kyanja-24h'!G105,'03.08 Kisaasi-Kyanja-24h'!G105)</f>
        <v>0</v>
      </c>
      <c r="H105" s="49">
        <f>AVERAGE('01.08 Kisaasi-Kyanja-24h'!H105,'03.08 Kisaasi-Kyanja-24h'!H105)</f>
        <v>0</v>
      </c>
      <c r="I105" s="49">
        <f>AVERAGE('01.08 Kisaasi-Kyanja-24h'!I105,'03.08 Kisaasi-Kyanja-24h'!I105)</f>
        <v>0.5</v>
      </c>
      <c r="J105" s="49">
        <f>AVERAGE('01.08 Kisaasi-Kyanja-24h'!J105,'03.08 Kisaasi-Kyanja-24h'!J105)</f>
        <v>0</v>
      </c>
      <c r="K105" s="49">
        <f>AVERAGE('01.08 Kisaasi-Kyanja-24h'!K105,'03.08 Kisaasi-Kyanja-24h'!K105)</f>
        <v>0</v>
      </c>
      <c r="L105" s="49">
        <f>AVERAGE('01.08 Kisaasi-Kyanja-24h'!L105,'03.08 Kisaasi-Kyanja-24h'!L105)</f>
        <v>0</v>
      </c>
      <c r="M105" s="49">
        <f>AVERAGE('01.08 Kisaasi-Kyanja-24h'!M105,'03.08 Kisaasi-Kyanja-24h'!M105)</f>
        <v>4.5</v>
      </c>
      <c r="N105" s="49">
        <f>AVERAGE('01.08 Kisaasi-Kyanja-24h'!N105,'03.08 Kisaasi-Kyanja-24h'!N105)</f>
        <v>0</v>
      </c>
      <c r="O105" s="49">
        <f>AVERAGE('01.08 Kisaasi-Kyanja-24h'!O105,'03.08 Kisaasi-Kyanja-24h'!O105)</f>
        <v>7</v>
      </c>
      <c r="P105" s="49">
        <f>AVERAGE('01.08 Kisaasi-Kyanja-24h'!P105,'03.08 Kisaasi-Kyanja-24h'!P105)</f>
        <v>11.5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3954.9285714285725</v>
      </c>
      <c r="D106" s="16">
        <f t="shared" ref="D106:O106" si="35">SUM(D10:D105)</f>
        <v>1731.7142857142858</v>
      </c>
      <c r="E106" s="16">
        <f t="shared" si="35"/>
        <v>455.42857142857139</v>
      </c>
      <c r="F106" s="16">
        <f t="shared" si="35"/>
        <v>1217.2142857142858</v>
      </c>
      <c r="G106" s="16">
        <f t="shared" si="35"/>
        <v>12.285714285714285</v>
      </c>
      <c r="H106" s="16">
        <f t="shared" si="35"/>
        <v>1.6428571428571428</v>
      </c>
      <c r="I106" s="16">
        <f t="shared" si="35"/>
        <v>276.5</v>
      </c>
      <c r="J106" s="16">
        <f t="shared" si="35"/>
        <v>109.85714285714285</v>
      </c>
      <c r="K106" s="16">
        <f t="shared" si="35"/>
        <v>91.785714285714292</v>
      </c>
      <c r="L106" s="16">
        <f t="shared" si="35"/>
        <v>15.928571428571432</v>
      </c>
      <c r="M106" s="16">
        <f t="shared" si="35"/>
        <v>7964.2857142857129</v>
      </c>
      <c r="N106" s="16">
        <f t="shared" si="35"/>
        <v>0.5714285714285714</v>
      </c>
      <c r="O106" s="16">
        <f t="shared" si="35"/>
        <v>7867.8571428571422</v>
      </c>
      <c r="P106" s="16">
        <f>SUM(P10:P105)</f>
        <v>15832.142857142859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6">C106/$P$106</f>
        <v>0.24980374464245436</v>
      </c>
      <c r="D107" s="43">
        <f t="shared" si="36"/>
        <v>0.10937965260545905</v>
      </c>
      <c r="E107" s="43">
        <f t="shared" si="36"/>
        <v>2.8766072637040372E-2</v>
      </c>
      <c r="F107" s="43">
        <f t="shared" si="36"/>
        <v>7.6882472366343324E-2</v>
      </c>
      <c r="G107" s="43">
        <f t="shared" si="36"/>
        <v>7.7599819535303395E-4</v>
      </c>
      <c r="H107" s="43">
        <f t="shared" si="36"/>
        <v>1.0376720054139408E-4</v>
      </c>
      <c r="I107" s="43">
        <f t="shared" si="36"/>
        <v>1.7464471012858109E-2</v>
      </c>
      <c r="J107" s="43">
        <f t="shared" si="36"/>
        <v>6.9388675840288726E-3</v>
      </c>
      <c r="K107" s="43">
        <f t="shared" si="36"/>
        <v>5.7974283780735389E-3</v>
      </c>
      <c r="L107" s="43">
        <f t="shared" si="36"/>
        <v>1.0060906835100386E-3</v>
      </c>
      <c r="M107" s="43">
        <f t="shared" si="36"/>
        <v>0.50304534175501903</v>
      </c>
      <c r="N107" s="43">
        <f t="shared" si="36"/>
        <v>3.6092939318745764E-5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0.50266908760780771</v>
      </c>
      <c r="D108" s="44">
        <f t="shared" ref="D108:N108" si="37">D106/$O$106</f>
        <v>0.22009986382206084</v>
      </c>
      <c r="E108" s="44">
        <f t="shared" si="37"/>
        <v>5.7884702678166138E-2</v>
      </c>
      <c r="F108" s="44">
        <f t="shared" si="37"/>
        <v>0.15470721743077623</v>
      </c>
      <c r="G108" s="44">
        <f t="shared" si="37"/>
        <v>1.5615070358601906E-3</v>
      </c>
      <c r="H108" s="44">
        <f t="shared" si="37"/>
        <v>2.0880617339990922E-4</v>
      </c>
      <c r="I108" s="44">
        <f t="shared" si="37"/>
        <v>3.5142986836132546E-2</v>
      </c>
      <c r="J108" s="44">
        <f t="shared" si="37"/>
        <v>1.3962778029959147E-2</v>
      </c>
      <c r="K108" s="44">
        <f t="shared" si="37"/>
        <v>1.1665910122560148E-2</v>
      </c>
      <c r="L108" s="44">
        <f t="shared" si="37"/>
        <v>2.0245120290512944E-3</v>
      </c>
      <c r="M108" s="44"/>
      <c r="N108" s="44">
        <f t="shared" si="37"/>
        <v>7.2628234226055377E-5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G73" zoomScale="60" workbookViewId="0">
      <selection activeCell="AE51" sqref="AE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0" width="10.7109375" customWidth="1"/>
    <col min="31" max="31" width="13.140625" customWidth="1"/>
    <col min="32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'04.08 Kisaasi-Kyanja'!C3:G3</f>
        <v>MCC - C1 - STN34- KISAASI-KYANJA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'Avg Week Kisaasi-Kyanja'!G5:H5</f>
        <v>Malcom Health center</v>
      </c>
      <c r="H5" s="67"/>
      <c r="I5" s="14"/>
      <c r="J5" s="2" t="s">
        <v>5</v>
      </c>
      <c r="K5" s="66" t="str">
        <f>'Avg Week Kisaasi-Kyanja'!K5:L5</f>
        <v>Laira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str">
        <f>'Avg Week Kisaasi-Kyanja'!K6:L6</f>
        <v>Denis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Kyanja-Kisaasi'!C10+'Avg Week Kisaasi-Kyanja'!C10</f>
        <v>106.28571428571428</v>
      </c>
      <c r="D10" s="49">
        <f>'Avg Week Kyanja-Kisaasi'!D10+'Avg Week Kisaasi-Kyanja'!D10</f>
        <v>37.142857142857146</v>
      </c>
      <c r="E10" s="49">
        <f>'Avg Week Kyanja-Kisaasi'!E10+'Avg Week Kisaasi-Kyanja'!E10</f>
        <v>17.142857142857142</v>
      </c>
      <c r="F10" s="49">
        <f>'Avg Week Kyanja-Kisaasi'!F10+'Avg Week Kisaasi-Kyanja'!F10</f>
        <v>34.142857142857139</v>
      </c>
      <c r="G10" s="49">
        <f>'Avg Week Kyanja-Kisaasi'!G10+'Avg Week Kisaasi-Kyanja'!G10</f>
        <v>0.2857142857142857</v>
      </c>
      <c r="H10" s="49">
        <f>'Avg Week Kyanja-Kisaasi'!H10+'Avg Week Kisaasi-Kyanja'!H10</f>
        <v>0.14285714285714285</v>
      </c>
      <c r="I10" s="49">
        <f>'Avg Week Kyanja-Kisaasi'!I10+'Avg Week Kisaasi-Kyanja'!I10</f>
        <v>5.7142857142857135</v>
      </c>
      <c r="J10" s="49">
        <f>'Avg Week Kyanja-Kisaasi'!J10+'Avg Week Kisaasi-Kyanja'!J10</f>
        <v>1.8571428571428572</v>
      </c>
      <c r="K10" s="49">
        <f>'Avg Week Kyanja-Kisaasi'!K10+'Avg Week Kisaasi-Kyanja'!K10</f>
        <v>4</v>
      </c>
      <c r="L10" s="49">
        <f>'Avg Week Kyanja-Kisaasi'!L10+'Avg Week Kisaasi-Kyanja'!L10</f>
        <v>0</v>
      </c>
      <c r="M10" s="49">
        <f>'Avg Week Kyanja-Kisaasi'!M10+'Avg Week Kisaasi-Kyanja'!M10</f>
        <v>206.85714285714286</v>
      </c>
      <c r="N10" s="49">
        <f>'Avg Week Kyanja-Kisaasi'!N10+'Avg Week Kisaasi-Kyanja'!N10</f>
        <v>0</v>
      </c>
      <c r="O10" s="15">
        <f t="shared" ref="O10:O57" si="0">SUM(C10:L10,N10)</f>
        <v>206.71428571428569</v>
      </c>
      <c r="P10" s="15">
        <f t="shared" ref="P10:P57" si="1">SUM(C10:N10)</f>
        <v>413.57142857142856</v>
      </c>
      <c r="R10" s="1" t="s">
        <v>6</v>
      </c>
      <c r="S10" s="17">
        <f t="shared" ref="S10:AF10" si="2">SUM(C10:C13)</f>
        <v>465.42857142857144</v>
      </c>
      <c r="T10" s="17">
        <f t="shared" si="2"/>
        <v>159.42857142857144</v>
      </c>
      <c r="U10" s="17">
        <f t="shared" si="2"/>
        <v>63</v>
      </c>
      <c r="V10" s="17">
        <f t="shared" si="2"/>
        <v>147.71428571428572</v>
      </c>
      <c r="W10" s="17">
        <f t="shared" si="2"/>
        <v>8.2857142857142847</v>
      </c>
      <c r="X10" s="17">
        <f t="shared" si="2"/>
        <v>0.14285714285714285</v>
      </c>
      <c r="Y10" s="17">
        <f t="shared" si="2"/>
        <v>19.142857142857142</v>
      </c>
      <c r="Z10" s="17">
        <f t="shared" si="2"/>
        <v>3.8571428571428568</v>
      </c>
      <c r="AA10" s="17">
        <f t="shared" si="2"/>
        <v>12.857142857142858</v>
      </c>
      <c r="AB10" s="17">
        <f t="shared" si="2"/>
        <v>0.2857142857142857</v>
      </c>
      <c r="AC10" s="17">
        <f t="shared" si="2"/>
        <v>1003.1428571428572</v>
      </c>
      <c r="AD10" s="17">
        <f t="shared" si="2"/>
        <v>0</v>
      </c>
      <c r="AE10" s="31">
        <f t="shared" si="2"/>
        <v>880.14285714285722</v>
      </c>
      <c r="AF10" s="31">
        <f t="shared" si="2"/>
        <v>1883.2857142857142</v>
      </c>
    </row>
    <row r="11" spans="2:32" s="6" customFormat="1" ht="23.1" customHeight="1" x14ac:dyDescent="0.25">
      <c r="B11" s="23" t="s">
        <v>38</v>
      </c>
      <c r="C11" s="49">
        <f>'Avg Week Kyanja-Kisaasi'!C11+'Avg Week Kisaasi-Kyanja'!C11</f>
        <v>114.42857142857142</v>
      </c>
      <c r="D11" s="49">
        <f>'Avg Week Kyanja-Kisaasi'!D11+'Avg Week Kisaasi-Kyanja'!D11</f>
        <v>41.571428571428569</v>
      </c>
      <c r="E11" s="49">
        <f>'Avg Week Kyanja-Kisaasi'!E11+'Avg Week Kisaasi-Kyanja'!E11</f>
        <v>16.857142857142858</v>
      </c>
      <c r="F11" s="49">
        <f>'Avg Week Kyanja-Kisaasi'!F11+'Avg Week Kisaasi-Kyanja'!F11</f>
        <v>30.857142857142854</v>
      </c>
      <c r="G11" s="49">
        <f>'Avg Week Kyanja-Kisaasi'!G11+'Avg Week Kisaasi-Kyanja'!G11</f>
        <v>6.5714285714285712</v>
      </c>
      <c r="H11" s="49">
        <f>'Avg Week Kyanja-Kisaasi'!H11+'Avg Week Kisaasi-Kyanja'!H11</f>
        <v>0</v>
      </c>
      <c r="I11" s="49">
        <f>'Avg Week Kyanja-Kisaasi'!I11+'Avg Week Kisaasi-Kyanja'!I11</f>
        <v>2.7142857142857144</v>
      </c>
      <c r="J11" s="49">
        <f>'Avg Week Kyanja-Kisaasi'!J11+'Avg Week Kisaasi-Kyanja'!J11</f>
        <v>0.2857142857142857</v>
      </c>
      <c r="K11" s="49">
        <f>'Avg Week Kyanja-Kisaasi'!K11+'Avg Week Kisaasi-Kyanja'!K11</f>
        <v>3.7142857142857144</v>
      </c>
      <c r="L11" s="49">
        <f>'Avg Week Kyanja-Kisaasi'!L11+'Avg Week Kisaasi-Kyanja'!L11</f>
        <v>0.14285714285714285</v>
      </c>
      <c r="M11" s="49">
        <f>'Avg Week Kyanja-Kisaasi'!M11+'Avg Week Kisaasi-Kyanja'!M11</f>
        <v>240</v>
      </c>
      <c r="N11" s="49">
        <f>'Avg Week Kyanja-Kisaasi'!N11+'Avg Week Kisaasi-Kyanja'!N11</f>
        <v>0</v>
      </c>
      <c r="O11" s="15">
        <f t="shared" si="0"/>
        <v>217.14285714285717</v>
      </c>
      <c r="P11" s="15">
        <f t="shared" si="1"/>
        <v>457.14285714285717</v>
      </c>
      <c r="R11" s="1" t="s">
        <v>7</v>
      </c>
      <c r="S11" s="17">
        <f t="shared" ref="S11:AF11" si="3">SUM(C14:C17)</f>
        <v>528</v>
      </c>
      <c r="T11" s="17">
        <f t="shared" si="3"/>
        <v>177.42857142857142</v>
      </c>
      <c r="U11" s="17">
        <f t="shared" si="3"/>
        <v>112.85714285714286</v>
      </c>
      <c r="V11" s="17">
        <f t="shared" si="3"/>
        <v>207.71428571428569</v>
      </c>
      <c r="W11" s="17">
        <f t="shared" si="3"/>
        <v>1.8571428571428568</v>
      </c>
      <c r="X11" s="17">
        <f t="shared" si="3"/>
        <v>0.2857142857142857</v>
      </c>
      <c r="Y11" s="17">
        <f t="shared" si="3"/>
        <v>28.285714285714288</v>
      </c>
      <c r="Z11" s="17">
        <f t="shared" si="3"/>
        <v>10.428571428571429</v>
      </c>
      <c r="AA11" s="17">
        <f t="shared" si="3"/>
        <v>10.142857142857142</v>
      </c>
      <c r="AB11" s="17">
        <f t="shared" si="3"/>
        <v>0.71428571428571419</v>
      </c>
      <c r="AC11" s="17">
        <f t="shared" si="3"/>
        <v>1145.7142857142858</v>
      </c>
      <c r="AD11" s="17">
        <f t="shared" si="3"/>
        <v>0</v>
      </c>
      <c r="AE11" s="31">
        <f t="shared" si="3"/>
        <v>1077.7142857142856</v>
      </c>
      <c r="AF11" s="31">
        <f t="shared" si="3"/>
        <v>2223.4285714285716</v>
      </c>
    </row>
    <row r="12" spans="2:32" ht="23.1" customHeight="1" x14ac:dyDescent="0.25">
      <c r="B12" s="23" t="s">
        <v>39</v>
      </c>
      <c r="C12" s="49">
        <f>'Avg Week Kyanja-Kisaasi'!C12+'Avg Week Kisaasi-Kyanja'!C12</f>
        <v>122.14285714285714</v>
      </c>
      <c r="D12" s="49">
        <f>'Avg Week Kyanja-Kisaasi'!D12+'Avg Week Kisaasi-Kyanja'!D12</f>
        <v>38.142857142857146</v>
      </c>
      <c r="E12" s="49">
        <f>'Avg Week Kyanja-Kisaasi'!E12+'Avg Week Kisaasi-Kyanja'!E12</f>
        <v>13.571428571428573</v>
      </c>
      <c r="F12" s="49">
        <f>'Avg Week Kyanja-Kisaasi'!F12+'Avg Week Kisaasi-Kyanja'!F12</f>
        <v>38.428571428571431</v>
      </c>
      <c r="G12" s="49">
        <f>'Avg Week Kyanja-Kisaasi'!G12+'Avg Week Kisaasi-Kyanja'!G12</f>
        <v>0.42857142857142855</v>
      </c>
      <c r="H12" s="49">
        <f>'Avg Week Kyanja-Kisaasi'!H12+'Avg Week Kisaasi-Kyanja'!H12</f>
        <v>0</v>
      </c>
      <c r="I12" s="49">
        <f>'Avg Week Kyanja-Kisaasi'!I12+'Avg Week Kisaasi-Kyanja'!I12</f>
        <v>4.8571428571428577</v>
      </c>
      <c r="J12" s="49">
        <f>'Avg Week Kyanja-Kisaasi'!J12+'Avg Week Kisaasi-Kyanja'!J12</f>
        <v>1.1428571428571428</v>
      </c>
      <c r="K12" s="49">
        <f>'Avg Week Kyanja-Kisaasi'!K12+'Avg Week Kisaasi-Kyanja'!K12</f>
        <v>2.8571428571428572</v>
      </c>
      <c r="L12" s="49">
        <f>'Avg Week Kyanja-Kisaasi'!L12+'Avg Week Kisaasi-Kyanja'!L12</f>
        <v>0</v>
      </c>
      <c r="M12" s="49">
        <f>'Avg Week Kyanja-Kisaasi'!M12+'Avg Week Kisaasi-Kyanja'!M12</f>
        <v>263.71428571428572</v>
      </c>
      <c r="N12" s="49">
        <f>'Avg Week Kyanja-Kisaasi'!N12+'Avg Week Kisaasi-Kyanja'!N12</f>
        <v>0</v>
      </c>
      <c r="O12" s="15">
        <f t="shared" si="0"/>
        <v>221.57142857142856</v>
      </c>
      <c r="P12" s="15">
        <f t="shared" si="1"/>
        <v>485.28571428571428</v>
      </c>
      <c r="R12" s="1" t="s">
        <v>8</v>
      </c>
      <c r="S12" s="17">
        <f t="shared" ref="S12:AF12" si="4">SUM(C18:C21)</f>
        <v>455</v>
      </c>
      <c r="T12" s="17">
        <f t="shared" si="4"/>
        <v>195.71428571428572</v>
      </c>
      <c r="U12" s="17">
        <f t="shared" si="4"/>
        <v>54.428571428571431</v>
      </c>
      <c r="V12" s="17">
        <f t="shared" si="4"/>
        <v>156.14285714285717</v>
      </c>
      <c r="W12" s="17">
        <f t="shared" si="4"/>
        <v>0</v>
      </c>
      <c r="X12" s="17">
        <f t="shared" si="4"/>
        <v>0</v>
      </c>
      <c r="Y12" s="17">
        <f t="shared" si="4"/>
        <v>37.571428571428569</v>
      </c>
      <c r="Z12" s="17">
        <f t="shared" si="4"/>
        <v>11.857142857142858</v>
      </c>
      <c r="AA12" s="17">
        <f t="shared" si="4"/>
        <v>17.142857142857142</v>
      </c>
      <c r="AB12" s="17">
        <f t="shared" si="4"/>
        <v>1.1428571428571428</v>
      </c>
      <c r="AC12" s="17">
        <f t="shared" si="4"/>
        <v>1096.1428571428571</v>
      </c>
      <c r="AD12" s="17">
        <f t="shared" si="4"/>
        <v>0</v>
      </c>
      <c r="AE12" s="31">
        <f t="shared" si="4"/>
        <v>929</v>
      </c>
      <c r="AF12" s="31">
        <f t="shared" si="4"/>
        <v>2025.1428571428569</v>
      </c>
    </row>
    <row r="13" spans="2:32" ht="23.1" customHeight="1" x14ac:dyDescent="0.25">
      <c r="B13" s="23" t="s">
        <v>40</v>
      </c>
      <c r="C13" s="49">
        <f>'Avg Week Kyanja-Kisaasi'!C13+'Avg Week Kisaasi-Kyanja'!C13</f>
        <v>122.57142857142858</v>
      </c>
      <c r="D13" s="49">
        <f>'Avg Week Kyanja-Kisaasi'!D13+'Avg Week Kisaasi-Kyanja'!D13</f>
        <v>42.571428571428569</v>
      </c>
      <c r="E13" s="49">
        <f>'Avg Week Kyanja-Kisaasi'!E13+'Avg Week Kisaasi-Kyanja'!E13</f>
        <v>15.428571428571427</v>
      </c>
      <c r="F13" s="49">
        <f>'Avg Week Kyanja-Kisaasi'!F13+'Avg Week Kisaasi-Kyanja'!F13</f>
        <v>44.285714285714292</v>
      </c>
      <c r="G13" s="49">
        <f>'Avg Week Kyanja-Kisaasi'!G13+'Avg Week Kisaasi-Kyanja'!G13</f>
        <v>1</v>
      </c>
      <c r="H13" s="49">
        <f>'Avg Week Kyanja-Kisaasi'!H13+'Avg Week Kisaasi-Kyanja'!H13</f>
        <v>0</v>
      </c>
      <c r="I13" s="49">
        <f>'Avg Week Kyanja-Kisaasi'!I13+'Avg Week Kisaasi-Kyanja'!I13</f>
        <v>5.8571428571428577</v>
      </c>
      <c r="J13" s="49">
        <f>'Avg Week Kyanja-Kisaasi'!J13+'Avg Week Kisaasi-Kyanja'!J13</f>
        <v>0.5714285714285714</v>
      </c>
      <c r="K13" s="49">
        <f>'Avg Week Kyanja-Kisaasi'!K13+'Avg Week Kisaasi-Kyanja'!K13</f>
        <v>2.2857142857142856</v>
      </c>
      <c r="L13" s="49">
        <f>'Avg Week Kyanja-Kisaasi'!L13+'Avg Week Kisaasi-Kyanja'!L13</f>
        <v>0.14285714285714285</v>
      </c>
      <c r="M13" s="49">
        <f>'Avg Week Kyanja-Kisaasi'!M13+'Avg Week Kisaasi-Kyanja'!M13</f>
        <v>292.57142857142856</v>
      </c>
      <c r="N13" s="49">
        <f>'Avg Week Kyanja-Kisaasi'!N13+'Avg Week Kisaasi-Kyanja'!N13</f>
        <v>0</v>
      </c>
      <c r="O13" s="15">
        <f t="shared" si="0"/>
        <v>234.71428571428575</v>
      </c>
      <c r="P13" s="15">
        <f t="shared" si="1"/>
        <v>527.28571428571433</v>
      </c>
      <c r="R13" s="1" t="s">
        <v>9</v>
      </c>
      <c r="S13" s="17">
        <f t="shared" ref="S13:AF13" si="5">SUM(C22:C25)</f>
        <v>435.14285714285717</v>
      </c>
      <c r="T13" s="17">
        <f t="shared" si="5"/>
        <v>184.14285714285717</v>
      </c>
      <c r="U13" s="17">
        <f t="shared" si="5"/>
        <v>56.571428571428569</v>
      </c>
      <c r="V13" s="17">
        <f t="shared" si="5"/>
        <v>135.14285714285714</v>
      </c>
      <c r="W13" s="17">
        <f t="shared" si="5"/>
        <v>0.14285714285714285</v>
      </c>
      <c r="X13" s="17">
        <f t="shared" si="5"/>
        <v>0.2857142857142857</v>
      </c>
      <c r="Y13" s="17">
        <f t="shared" si="5"/>
        <v>32.285714285714285</v>
      </c>
      <c r="Z13" s="17">
        <f t="shared" si="5"/>
        <v>10.714285714285715</v>
      </c>
      <c r="AA13" s="17">
        <f t="shared" si="5"/>
        <v>14.571428571428571</v>
      </c>
      <c r="AB13" s="17">
        <f t="shared" si="5"/>
        <v>1.5714285714285712</v>
      </c>
      <c r="AC13" s="17">
        <f t="shared" si="5"/>
        <v>866.57142857142867</v>
      </c>
      <c r="AD13" s="17">
        <f t="shared" si="5"/>
        <v>0</v>
      </c>
      <c r="AE13" s="31">
        <f t="shared" si="5"/>
        <v>870.57142857142856</v>
      </c>
      <c r="AF13" s="31">
        <f t="shared" si="5"/>
        <v>1737.1428571428571</v>
      </c>
    </row>
    <row r="14" spans="2:32" ht="23.1" customHeight="1" x14ac:dyDescent="0.25">
      <c r="B14" s="23" t="s">
        <v>41</v>
      </c>
      <c r="C14" s="49">
        <f>'Avg Week Kyanja-Kisaasi'!C14+'Avg Week Kisaasi-Kyanja'!C14</f>
        <v>126.28571428571429</v>
      </c>
      <c r="D14" s="49">
        <f>'Avg Week Kyanja-Kisaasi'!D14+'Avg Week Kisaasi-Kyanja'!D14</f>
        <v>37.428571428571431</v>
      </c>
      <c r="E14" s="49">
        <f>'Avg Week Kyanja-Kisaasi'!E14+'Avg Week Kisaasi-Kyanja'!E14</f>
        <v>12.428571428571429</v>
      </c>
      <c r="F14" s="49">
        <f>'Avg Week Kyanja-Kisaasi'!F14+'Avg Week Kisaasi-Kyanja'!F14</f>
        <v>55.714285714285715</v>
      </c>
      <c r="G14" s="49">
        <f>'Avg Week Kyanja-Kisaasi'!G14+'Avg Week Kisaasi-Kyanja'!G14</f>
        <v>0.14285714285714285</v>
      </c>
      <c r="H14" s="49">
        <f>'Avg Week Kyanja-Kisaasi'!H14+'Avg Week Kisaasi-Kyanja'!H14</f>
        <v>0</v>
      </c>
      <c r="I14" s="49">
        <f>'Avg Week Kyanja-Kisaasi'!I14+'Avg Week Kisaasi-Kyanja'!I14</f>
        <v>7.4285714285714288</v>
      </c>
      <c r="J14" s="49">
        <f>'Avg Week Kyanja-Kisaasi'!J14+'Avg Week Kisaasi-Kyanja'!J14</f>
        <v>1.7142857142857144</v>
      </c>
      <c r="K14" s="49">
        <f>'Avg Week Kyanja-Kisaasi'!K14+'Avg Week Kisaasi-Kyanja'!K14</f>
        <v>1.4285714285714284</v>
      </c>
      <c r="L14" s="49">
        <f>'Avg Week Kyanja-Kisaasi'!L14+'Avg Week Kisaasi-Kyanja'!L14</f>
        <v>0</v>
      </c>
      <c r="M14" s="49">
        <f>'Avg Week Kyanja-Kisaasi'!M14+'Avg Week Kisaasi-Kyanja'!M14</f>
        <v>272.42857142857144</v>
      </c>
      <c r="N14" s="49">
        <f>'Avg Week Kyanja-Kisaasi'!N14+'Avg Week Kisaasi-Kyanja'!N14</f>
        <v>0</v>
      </c>
      <c r="O14" s="15">
        <f t="shared" si="0"/>
        <v>242.57142857142856</v>
      </c>
      <c r="P14" s="15">
        <f t="shared" si="1"/>
        <v>515</v>
      </c>
      <c r="R14" s="1" t="s">
        <v>10</v>
      </c>
      <c r="S14" s="17">
        <f t="shared" ref="S14:AF14" si="6">SUM(C26:C29)</f>
        <v>429.57142857142856</v>
      </c>
      <c r="T14" s="17">
        <f t="shared" si="6"/>
        <v>174.14285714285714</v>
      </c>
      <c r="U14" s="17">
        <f t="shared" si="6"/>
        <v>49.857142857142861</v>
      </c>
      <c r="V14" s="17">
        <f t="shared" si="6"/>
        <v>118.14285714285715</v>
      </c>
      <c r="W14" s="17">
        <f t="shared" si="6"/>
        <v>1.1428571428571428</v>
      </c>
      <c r="X14" s="17">
        <f t="shared" si="6"/>
        <v>0</v>
      </c>
      <c r="Y14" s="17">
        <f t="shared" si="6"/>
        <v>33</v>
      </c>
      <c r="Z14" s="17">
        <f t="shared" si="6"/>
        <v>12.142857142857142</v>
      </c>
      <c r="AA14" s="17">
        <f t="shared" si="6"/>
        <v>16.714285714285712</v>
      </c>
      <c r="AB14" s="17">
        <f t="shared" si="6"/>
        <v>2.4285714285714284</v>
      </c>
      <c r="AC14" s="17">
        <f t="shared" si="6"/>
        <v>821.71428571428578</v>
      </c>
      <c r="AD14" s="17">
        <f t="shared" si="6"/>
        <v>0</v>
      </c>
      <c r="AE14" s="31">
        <f t="shared" si="6"/>
        <v>837.142857142857</v>
      </c>
      <c r="AF14" s="31">
        <f t="shared" si="6"/>
        <v>1658.8571428571427</v>
      </c>
    </row>
    <row r="15" spans="2:32" ht="23.1" customHeight="1" x14ac:dyDescent="0.25">
      <c r="B15" s="23" t="s">
        <v>42</v>
      </c>
      <c r="C15" s="49">
        <f>'Avg Week Kyanja-Kisaasi'!C15+'Avg Week Kisaasi-Kyanja'!C15</f>
        <v>148.57142857142856</v>
      </c>
      <c r="D15" s="49">
        <f>'Avg Week Kyanja-Kisaasi'!D15+'Avg Week Kisaasi-Kyanja'!D15</f>
        <v>44.714285714285715</v>
      </c>
      <c r="E15" s="49">
        <f>'Avg Week Kyanja-Kisaasi'!E15+'Avg Week Kisaasi-Kyanja'!E15</f>
        <v>16.571428571428573</v>
      </c>
      <c r="F15" s="49">
        <f>'Avg Week Kyanja-Kisaasi'!F15+'Avg Week Kisaasi-Kyanja'!F15</f>
        <v>62.571428571428569</v>
      </c>
      <c r="G15" s="49">
        <f>'Avg Week Kyanja-Kisaasi'!G15+'Avg Week Kisaasi-Kyanja'!G15</f>
        <v>1.1428571428571428</v>
      </c>
      <c r="H15" s="49">
        <f>'Avg Week Kyanja-Kisaasi'!H15+'Avg Week Kisaasi-Kyanja'!H15</f>
        <v>0</v>
      </c>
      <c r="I15" s="49">
        <f>'Avg Week Kyanja-Kisaasi'!I15+'Avg Week Kisaasi-Kyanja'!I15</f>
        <v>9.4285714285714288</v>
      </c>
      <c r="J15" s="49">
        <f>'Avg Week Kyanja-Kisaasi'!J15+'Avg Week Kisaasi-Kyanja'!J15</f>
        <v>3.2857142857142856</v>
      </c>
      <c r="K15" s="49">
        <f>'Avg Week Kyanja-Kisaasi'!K15+'Avg Week Kisaasi-Kyanja'!K15</f>
        <v>3.2857142857142856</v>
      </c>
      <c r="L15" s="49">
        <f>'Avg Week Kyanja-Kisaasi'!L15+'Avg Week Kisaasi-Kyanja'!L15</f>
        <v>0.2857142857142857</v>
      </c>
      <c r="M15" s="49">
        <f>'Avg Week Kyanja-Kisaasi'!M15+'Avg Week Kisaasi-Kyanja'!M15</f>
        <v>283</v>
      </c>
      <c r="N15" s="49">
        <f>'Avg Week Kyanja-Kisaasi'!N15+'Avg Week Kisaasi-Kyanja'!N15</f>
        <v>0</v>
      </c>
      <c r="O15" s="15">
        <f t="shared" si="0"/>
        <v>289.85714285714289</v>
      </c>
      <c r="P15" s="15">
        <f t="shared" si="1"/>
        <v>572.85714285714289</v>
      </c>
      <c r="R15" s="1" t="s">
        <v>11</v>
      </c>
      <c r="S15" s="17">
        <f t="shared" ref="S15:AF15" si="7">SUM(C30:C33)</f>
        <v>387.28571428571428</v>
      </c>
      <c r="T15" s="17">
        <f t="shared" si="7"/>
        <v>172.71428571428572</v>
      </c>
      <c r="U15" s="17">
        <f t="shared" si="7"/>
        <v>48.142857142857146</v>
      </c>
      <c r="V15" s="17">
        <f t="shared" si="7"/>
        <v>96.714285714285708</v>
      </c>
      <c r="W15" s="17">
        <f t="shared" si="7"/>
        <v>0.2857142857142857</v>
      </c>
      <c r="X15" s="17">
        <f t="shared" si="7"/>
        <v>0</v>
      </c>
      <c r="Y15" s="17">
        <f t="shared" si="7"/>
        <v>32.142857142857139</v>
      </c>
      <c r="Z15" s="17">
        <f t="shared" si="7"/>
        <v>12.714285714285715</v>
      </c>
      <c r="AA15" s="17">
        <f t="shared" si="7"/>
        <v>11.999999999999998</v>
      </c>
      <c r="AB15" s="17">
        <f t="shared" si="7"/>
        <v>2.1428571428571428</v>
      </c>
      <c r="AC15" s="17">
        <f t="shared" si="7"/>
        <v>729.42857142857156</v>
      </c>
      <c r="AD15" s="17">
        <f t="shared" si="7"/>
        <v>0.14285714285714285</v>
      </c>
      <c r="AE15" s="31">
        <f t="shared" si="7"/>
        <v>764.28571428571422</v>
      </c>
      <c r="AF15" s="31">
        <f t="shared" si="7"/>
        <v>1493.7142857142858</v>
      </c>
    </row>
    <row r="16" spans="2:32" ht="23.1" customHeight="1" x14ac:dyDescent="0.25">
      <c r="B16" s="23" t="s">
        <v>43</v>
      </c>
      <c r="C16" s="49">
        <f>'Avg Week Kyanja-Kisaasi'!C16+'Avg Week Kisaasi-Kyanja'!C16</f>
        <v>126.57142857142856</v>
      </c>
      <c r="D16" s="49">
        <f>'Avg Week Kyanja-Kisaasi'!D16+'Avg Week Kisaasi-Kyanja'!D16</f>
        <v>47.142857142857139</v>
      </c>
      <c r="E16" s="49">
        <f>'Avg Week Kyanja-Kisaasi'!E16+'Avg Week Kisaasi-Kyanja'!E16</f>
        <v>70.142857142857139</v>
      </c>
      <c r="F16" s="49">
        <f>'Avg Week Kyanja-Kisaasi'!F16+'Avg Week Kisaasi-Kyanja'!F16</f>
        <v>50.571428571428569</v>
      </c>
      <c r="G16" s="49">
        <f>'Avg Week Kyanja-Kisaasi'!G16+'Avg Week Kisaasi-Kyanja'!G16</f>
        <v>0.2857142857142857</v>
      </c>
      <c r="H16" s="49">
        <f>'Avg Week Kyanja-Kisaasi'!H16+'Avg Week Kisaasi-Kyanja'!H16</f>
        <v>0</v>
      </c>
      <c r="I16" s="49">
        <f>'Avg Week Kyanja-Kisaasi'!I16+'Avg Week Kisaasi-Kyanja'!I16</f>
        <v>5.5714285714285712</v>
      </c>
      <c r="J16" s="49">
        <f>'Avg Week Kyanja-Kisaasi'!J16+'Avg Week Kisaasi-Kyanja'!J16</f>
        <v>2.5714285714285712</v>
      </c>
      <c r="K16" s="49">
        <f>'Avg Week Kyanja-Kisaasi'!K16+'Avg Week Kisaasi-Kyanja'!K16</f>
        <v>2.8571428571428568</v>
      </c>
      <c r="L16" s="49">
        <f>'Avg Week Kyanja-Kisaasi'!L16+'Avg Week Kisaasi-Kyanja'!L16</f>
        <v>0.14285714285714285</v>
      </c>
      <c r="M16" s="49">
        <f>'Avg Week Kyanja-Kisaasi'!M16+'Avg Week Kisaasi-Kyanja'!M16</f>
        <v>305</v>
      </c>
      <c r="N16" s="49">
        <f>'Avg Week Kyanja-Kisaasi'!N16+'Avg Week Kisaasi-Kyanja'!N16</f>
        <v>0</v>
      </c>
      <c r="O16" s="15">
        <f t="shared" si="0"/>
        <v>305.85714285714278</v>
      </c>
      <c r="P16" s="15">
        <f t="shared" si="1"/>
        <v>610.85714285714278</v>
      </c>
      <c r="R16" s="1" t="s">
        <v>12</v>
      </c>
      <c r="S16" s="17">
        <f t="shared" ref="S16:AF16" si="8">SUM(C34:C37)</f>
        <v>365.14285714285711</v>
      </c>
      <c r="T16" s="17">
        <f t="shared" si="8"/>
        <v>169.42857142857142</v>
      </c>
      <c r="U16" s="17">
        <f t="shared" si="8"/>
        <v>45.571428571428569</v>
      </c>
      <c r="V16" s="17">
        <f t="shared" si="8"/>
        <v>104.71428571428572</v>
      </c>
      <c r="W16" s="17">
        <f t="shared" si="8"/>
        <v>1.1428571428571428</v>
      </c>
      <c r="X16" s="17">
        <f t="shared" si="8"/>
        <v>0.71428571428571419</v>
      </c>
      <c r="Y16" s="17">
        <f t="shared" si="8"/>
        <v>34.285714285714285</v>
      </c>
      <c r="Z16" s="17">
        <f t="shared" si="8"/>
        <v>18.571428571428569</v>
      </c>
      <c r="AA16" s="17">
        <f t="shared" si="8"/>
        <v>9.8571428571428577</v>
      </c>
      <c r="AB16" s="17">
        <f t="shared" si="8"/>
        <v>2.8571428571428572</v>
      </c>
      <c r="AC16" s="17">
        <f t="shared" si="8"/>
        <v>719.14285714285711</v>
      </c>
      <c r="AD16" s="17">
        <f t="shared" si="8"/>
        <v>0</v>
      </c>
      <c r="AE16" s="31">
        <f t="shared" si="8"/>
        <v>752.28571428571422</v>
      </c>
      <c r="AF16" s="31">
        <f t="shared" si="8"/>
        <v>1471.4285714285713</v>
      </c>
    </row>
    <row r="17" spans="2:32" ht="23.1" customHeight="1" x14ac:dyDescent="0.25">
      <c r="B17" s="23" t="s">
        <v>44</v>
      </c>
      <c r="C17" s="49">
        <f>'Avg Week Kyanja-Kisaasi'!C17+'Avg Week Kisaasi-Kyanja'!C17</f>
        <v>126.57142857142856</v>
      </c>
      <c r="D17" s="49">
        <f>'Avg Week Kyanja-Kisaasi'!D17+'Avg Week Kisaasi-Kyanja'!D17</f>
        <v>48.142857142857146</v>
      </c>
      <c r="E17" s="49">
        <f>'Avg Week Kyanja-Kisaasi'!E17+'Avg Week Kisaasi-Kyanja'!E17</f>
        <v>13.714285714285715</v>
      </c>
      <c r="F17" s="49">
        <f>'Avg Week Kyanja-Kisaasi'!F17+'Avg Week Kisaasi-Kyanja'!F17</f>
        <v>38.857142857142861</v>
      </c>
      <c r="G17" s="49">
        <f>'Avg Week Kyanja-Kisaasi'!G17+'Avg Week Kisaasi-Kyanja'!G17</f>
        <v>0.2857142857142857</v>
      </c>
      <c r="H17" s="49">
        <f>'Avg Week Kyanja-Kisaasi'!H17+'Avg Week Kisaasi-Kyanja'!H17</f>
        <v>0.2857142857142857</v>
      </c>
      <c r="I17" s="49">
        <f>'Avg Week Kyanja-Kisaasi'!I17+'Avg Week Kisaasi-Kyanja'!I17</f>
        <v>5.8571428571428577</v>
      </c>
      <c r="J17" s="49">
        <f>'Avg Week Kyanja-Kisaasi'!J17+'Avg Week Kisaasi-Kyanja'!J17</f>
        <v>2.8571428571428572</v>
      </c>
      <c r="K17" s="49">
        <f>'Avg Week Kyanja-Kisaasi'!K17+'Avg Week Kisaasi-Kyanja'!K17</f>
        <v>2.5714285714285716</v>
      </c>
      <c r="L17" s="49">
        <f>'Avg Week Kyanja-Kisaasi'!L17+'Avg Week Kisaasi-Kyanja'!L17</f>
        <v>0.2857142857142857</v>
      </c>
      <c r="M17" s="49">
        <f>'Avg Week Kyanja-Kisaasi'!M17+'Avg Week Kisaasi-Kyanja'!M17</f>
        <v>285.28571428571428</v>
      </c>
      <c r="N17" s="49">
        <f>'Avg Week Kyanja-Kisaasi'!N17+'Avg Week Kisaasi-Kyanja'!N17</f>
        <v>0</v>
      </c>
      <c r="O17" s="15">
        <f t="shared" si="0"/>
        <v>239.42857142857142</v>
      </c>
      <c r="P17" s="15">
        <f t="shared" si="1"/>
        <v>524.71428571428567</v>
      </c>
      <c r="R17" s="1" t="s">
        <v>13</v>
      </c>
      <c r="S17" s="17">
        <f t="shared" ref="S17:AF17" si="9">SUM(C38:C41)</f>
        <v>400.14285714285711</v>
      </c>
      <c r="T17" s="17">
        <f t="shared" si="9"/>
        <v>181.14285714285714</v>
      </c>
      <c r="U17" s="17">
        <f t="shared" si="9"/>
        <v>48.428571428571423</v>
      </c>
      <c r="V17" s="17">
        <f t="shared" si="9"/>
        <v>102.14285714285714</v>
      </c>
      <c r="W17" s="17">
        <f t="shared" si="9"/>
        <v>2</v>
      </c>
      <c r="X17" s="17">
        <f t="shared" si="9"/>
        <v>0.85714285714285698</v>
      </c>
      <c r="Y17" s="17">
        <f t="shared" si="9"/>
        <v>34.714285714285708</v>
      </c>
      <c r="Z17" s="17">
        <f t="shared" si="9"/>
        <v>13.857142857142858</v>
      </c>
      <c r="AA17" s="17">
        <f t="shared" si="9"/>
        <v>11.999999999999998</v>
      </c>
      <c r="AB17" s="17">
        <f t="shared" si="9"/>
        <v>1.5714285714285712</v>
      </c>
      <c r="AC17" s="17">
        <f t="shared" si="9"/>
        <v>706.42857142857133</v>
      </c>
      <c r="AD17" s="17">
        <f t="shared" si="9"/>
        <v>0.14285714285714285</v>
      </c>
      <c r="AE17" s="31">
        <f t="shared" si="9"/>
        <v>797</v>
      </c>
      <c r="AF17" s="31">
        <f t="shared" si="9"/>
        <v>1503.4285714285713</v>
      </c>
    </row>
    <row r="18" spans="2:32" ht="23.1" customHeight="1" x14ac:dyDescent="0.25">
      <c r="B18" s="23" t="s">
        <v>45</v>
      </c>
      <c r="C18" s="49">
        <f>'Avg Week Kyanja-Kisaasi'!C18+'Avg Week Kisaasi-Kyanja'!C18</f>
        <v>124</v>
      </c>
      <c r="D18" s="49">
        <f>'Avg Week Kyanja-Kisaasi'!D18+'Avg Week Kisaasi-Kyanja'!D18</f>
        <v>55.857142857142854</v>
      </c>
      <c r="E18" s="49">
        <f>'Avg Week Kyanja-Kisaasi'!E18+'Avg Week Kisaasi-Kyanja'!E18</f>
        <v>15.857142857142858</v>
      </c>
      <c r="F18" s="49">
        <f>'Avg Week Kyanja-Kisaasi'!F18+'Avg Week Kisaasi-Kyanja'!F18</f>
        <v>37.428571428571431</v>
      </c>
      <c r="G18" s="49">
        <f>'Avg Week Kyanja-Kisaasi'!G18+'Avg Week Kisaasi-Kyanja'!G18</f>
        <v>0</v>
      </c>
      <c r="H18" s="49">
        <f>'Avg Week Kyanja-Kisaasi'!H18+'Avg Week Kisaasi-Kyanja'!H18</f>
        <v>0</v>
      </c>
      <c r="I18" s="49">
        <f>'Avg Week Kyanja-Kisaasi'!I18+'Avg Week Kisaasi-Kyanja'!I18</f>
        <v>9.8571428571428577</v>
      </c>
      <c r="J18" s="49">
        <f>'Avg Week Kyanja-Kisaasi'!J18+'Avg Week Kisaasi-Kyanja'!J18</f>
        <v>2.5714285714285712</v>
      </c>
      <c r="K18" s="49">
        <f>'Avg Week Kyanja-Kisaasi'!K18+'Avg Week Kisaasi-Kyanja'!K18</f>
        <v>4.4285714285714288</v>
      </c>
      <c r="L18" s="49">
        <f>'Avg Week Kyanja-Kisaasi'!L18+'Avg Week Kisaasi-Kyanja'!L18</f>
        <v>0.71428571428571419</v>
      </c>
      <c r="M18" s="49">
        <f>'Avg Week Kyanja-Kisaasi'!M18+'Avg Week Kisaasi-Kyanja'!M18</f>
        <v>289.28571428571428</v>
      </c>
      <c r="N18" s="49">
        <f>'Avg Week Kyanja-Kisaasi'!N18+'Avg Week Kisaasi-Kyanja'!N18</f>
        <v>0</v>
      </c>
      <c r="O18" s="15">
        <f t="shared" si="0"/>
        <v>250.71428571428575</v>
      </c>
      <c r="P18" s="15">
        <f t="shared" si="1"/>
        <v>540</v>
      </c>
      <c r="R18" s="1" t="s">
        <v>14</v>
      </c>
      <c r="S18" s="17">
        <f t="shared" ref="S18:AF18" si="10">SUM(C42:C45)</f>
        <v>357.85714285714289</v>
      </c>
      <c r="T18" s="17">
        <f t="shared" si="10"/>
        <v>188.85714285714286</v>
      </c>
      <c r="U18" s="17">
        <f t="shared" si="10"/>
        <v>55.142857142857139</v>
      </c>
      <c r="V18" s="17">
        <f t="shared" si="10"/>
        <v>100.85714285714286</v>
      </c>
      <c r="W18" s="17">
        <f t="shared" si="10"/>
        <v>0.5714285714285714</v>
      </c>
      <c r="X18" s="17">
        <f t="shared" si="10"/>
        <v>0</v>
      </c>
      <c r="Y18" s="17">
        <f t="shared" si="10"/>
        <v>33.285714285714285</v>
      </c>
      <c r="Z18" s="17">
        <f t="shared" si="10"/>
        <v>16.142857142857142</v>
      </c>
      <c r="AA18" s="17">
        <f t="shared" si="10"/>
        <v>15</v>
      </c>
      <c r="AB18" s="17">
        <f t="shared" si="10"/>
        <v>0.71428571428571419</v>
      </c>
      <c r="AC18" s="17">
        <f t="shared" si="10"/>
        <v>753.57142857142856</v>
      </c>
      <c r="AD18" s="17">
        <f t="shared" si="10"/>
        <v>0.14285714285714285</v>
      </c>
      <c r="AE18" s="31">
        <f t="shared" si="10"/>
        <v>768.57142857142844</v>
      </c>
      <c r="AF18" s="31">
        <f t="shared" si="10"/>
        <v>1522.1428571428569</v>
      </c>
    </row>
    <row r="19" spans="2:32" ht="23.1" customHeight="1" x14ac:dyDescent="0.25">
      <c r="B19" s="23" t="s">
        <v>46</v>
      </c>
      <c r="C19" s="49">
        <f>'Avg Week Kyanja-Kisaasi'!C19+'Avg Week Kisaasi-Kyanja'!C19</f>
        <v>113.14285714285714</v>
      </c>
      <c r="D19" s="49">
        <f>'Avg Week Kyanja-Kisaasi'!D19+'Avg Week Kisaasi-Kyanja'!D19</f>
        <v>42.428571428571431</v>
      </c>
      <c r="E19" s="49">
        <f>'Avg Week Kyanja-Kisaasi'!E19+'Avg Week Kisaasi-Kyanja'!E19</f>
        <v>11.142857142857142</v>
      </c>
      <c r="F19" s="49">
        <f>'Avg Week Kyanja-Kisaasi'!F19+'Avg Week Kisaasi-Kyanja'!F19</f>
        <v>40.428571428571431</v>
      </c>
      <c r="G19" s="49">
        <f>'Avg Week Kyanja-Kisaasi'!G19+'Avg Week Kisaasi-Kyanja'!G19</f>
        <v>0</v>
      </c>
      <c r="H19" s="49">
        <f>'Avg Week Kyanja-Kisaasi'!H19+'Avg Week Kisaasi-Kyanja'!H19</f>
        <v>0</v>
      </c>
      <c r="I19" s="49">
        <f>'Avg Week Kyanja-Kisaasi'!I19+'Avg Week Kisaasi-Kyanja'!I19</f>
        <v>9.2857142857142847</v>
      </c>
      <c r="J19" s="49">
        <f>'Avg Week Kyanja-Kisaasi'!J19+'Avg Week Kisaasi-Kyanja'!J19</f>
        <v>4</v>
      </c>
      <c r="K19" s="49">
        <f>'Avg Week Kyanja-Kisaasi'!K19+'Avg Week Kisaasi-Kyanja'!K19</f>
        <v>4</v>
      </c>
      <c r="L19" s="49">
        <f>'Avg Week Kyanja-Kisaasi'!L19+'Avg Week Kisaasi-Kyanja'!L19</f>
        <v>0.42857142857142855</v>
      </c>
      <c r="M19" s="49">
        <f>'Avg Week Kyanja-Kisaasi'!M19+'Avg Week Kisaasi-Kyanja'!M19</f>
        <v>282.71428571428572</v>
      </c>
      <c r="N19" s="49">
        <f>'Avg Week Kyanja-Kisaasi'!N19+'Avg Week Kisaasi-Kyanja'!N19</f>
        <v>0</v>
      </c>
      <c r="O19" s="15">
        <f t="shared" si="0"/>
        <v>224.8571428571428</v>
      </c>
      <c r="P19" s="15">
        <f t="shared" si="1"/>
        <v>507.57142857142856</v>
      </c>
      <c r="R19" s="1" t="s">
        <v>15</v>
      </c>
      <c r="S19" s="17">
        <f t="shared" ref="S19:AF19" si="11">SUM(C46:C49)</f>
        <v>446.42857142857144</v>
      </c>
      <c r="T19" s="17">
        <f t="shared" si="11"/>
        <v>209.28571428571428</v>
      </c>
      <c r="U19" s="17">
        <f t="shared" si="11"/>
        <v>54.428571428571431</v>
      </c>
      <c r="V19" s="17">
        <f t="shared" si="11"/>
        <v>118.42857142857143</v>
      </c>
      <c r="W19" s="17">
        <f t="shared" si="11"/>
        <v>1.1428571428571428</v>
      </c>
      <c r="X19" s="17">
        <f t="shared" si="11"/>
        <v>0.14285714285714285</v>
      </c>
      <c r="Y19" s="17">
        <f t="shared" si="11"/>
        <v>34</v>
      </c>
      <c r="Z19" s="17">
        <f t="shared" si="11"/>
        <v>13</v>
      </c>
      <c r="AA19" s="17">
        <f t="shared" si="11"/>
        <v>14.285714285714286</v>
      </c>
      <c r="AB19" s="17">
        <f t="shared" si="11"/>
        <v>1.4285714285714284</v>
      </c>
      <c r="AC19" s="17">
        <f t="shared" si="11"/>
        <v>827</v>
      </c>
      <c r="AD19" s="17">
        <f t="shared" si="11"/>
        <v>0.2857142857142857</v>
      </c>
      <c r="AE19" s="31">
        <f t="shared" si="11"/>
        <v>892.85714285714278</v>
      </c>
      <c r="AF19" s="31">
        <f t="shared" si="11"/>
        <v>1719.8571428571429</v>
      </c>
    </row>
    <row r="20" spans="2:32" ht="23.1" customHeight="1" x14ac:dyDescent="0.25">
      <c r="B20" s="23" t="s">
        <v>47</v>
      </c>
      <c r="C20" s="49">
        <f>'Avg Week Kyanja-Kisaasi'!C20+'Avg Week Kisaasi-Kyanja'!C20</f>
        <v>118</v>
      </c>
      <c r="D20" s="49">
        <f>'Avg Week Kyanja-Kisaasi'!D20+'Avg Week Kisaasi-Kyanja'!D20</f>
        <v>45.857142857142861</v>
      </c>
      <c r="E20" s="49">
        <f>'Avg Week Kyanja-Kisaasi'!E20+'Avg Week Kisaasi-Kyanja'!E20</f>
        <v>14.285714285714285</v>
      </c>
      <c r="F20" s="49">
        <f>'Avg Week Kyanja-Kisaasi'!F20+'Avg Week Kisaasi-Kyanja'!F20</f>
        <v>38.857142857142861</v>
      </c>
      <c r="G20" s="49">
        <f>'Avg Week Kyanja-Kisaasi'!G20+'Avg Week Kisaasi-Kyanja'!G20</f>
        <v>0</v>
      </c>
      <c r="H20" s="49">
        <f>'Avg Week Kyanja-Kisaasi'!H20+'Avg Week Kisaasi-Kyanja'!H20</f>
        <v>0</v>
      </c>
      <c r="I20" s="49">
        <f>'Avg Week Kyanja-Kisaasi'!I20+'Avg Week Kisaasi-Kyanja'!I20</f>
        <v>8.4285714285714288</v>
      </c>
      <c r="J20" s="49">
        <f>'Avg Week Kyanja-Kisaasi'!J20+'Avg Week Kisaasi-Kyanja'!J20</f>
        <v>2.4285714285714288</v>
      </c>
      <c r="K20" s="49">
        <f>'Avg Week Kyanja-Kisaasi'!K20+'Avg Week Kisaasi-Kyanja'!K20</f>
        <v>4.5714285714285712</v>
      </c>
      <c r="L20" s="49">
        <f>'Avg Week Kyanja-Kisaasi'!L20+'Avg Week Kisaasi-Kyanja'!L20</f>
        <v>0</v>
      </c>
      <c r="M20" s="49">
        <f>'Avg Week Kyanja-Kisaasi'!M20+'Avg Week Kisaasi-Kyanja'!M20</f>
        <v>266.57142857142856</v>
      </c>
      <c r="N20" s="49">
        <f>'Avg Week Kyanja-Kisaasi'!N20+'Avg Week Kisaasi-Kyanja'!N20</f>
        <v>0</v>
      </c>
      <c r="O20" s="15">
        <f t="shared" si="0"/>
        <v>232.42857142857142</v>
      </c>
      <c r="P20" s="15">
        <f t="shared" si="1"/>
        <v>499</v>
      </c>
      <c r="R20" s="1" t="s">
        <v>16</v>
      </c>
      <c r="S20" s="17">
        <f t="shared" ref="S20:AF20" si="12">SUM(C50:C53)</f>
        <v>508.42857142857144</v>
      </c>
      <c r="T20" s="17">
        <f t="shared" si="12"/>
        <v>285.57142857142861</v>
      </c>
      <c r="U20" s="17">
        <f t="shared" si="12"/>
        <v>65.428571428571431</v>
      </c>
      <c r="V20" s="17">
        <f t="shared" si="12"/>
        <v>132.85714285714286</v>
      </c>
      <c r="W20" s="17">
        <f t="shared" si="12"/>
        <v>2.714285714285714</v>
      </c>
      <c r="X20" s="17">
        <f t="shared" si="12"/>
        <v>0</v>
      </c>
      <c r="Y20" s="17">
        <f t="shared" si="12"/>
        <v>27.142857142857142</v>
      </c>
      <c r="Z20" s="17">
        <f t="shared" si="12"/>
        <v>11</v>
      </c>
      <c r="AA20" s="17">
        <f t="shared" si="12"/>
        <v>8.4285714285714288</v>
      </c>
      <c r="AB20" s="17">
        <f t="shared" si="12"/>
        <v>1.5714285714285712</v>
      </c>
      <c r="AC20" s="17">
        <f t="shared" si="12"/>
        <v>937.42857142857144</v>
      </c>
      <c r="AD20" s="17">
        <f t="shared" si="12"/>
        <v>0</v>
      </c>
      <c r="AE20" s="31">
        <f t="shared" si="12"/>
        <v>1043.1428571428573</v>
      </c>
      <c r="AF20" s="31">
        <f t="shared" si="12"/>
        <v>1980.5714285714287</v>
      </c>
    </row>
    <row r="21" spans="2:32" ht="23.1" customHeight="1" x14ac:dyDescent="0.25">
      <c r="B21" s="23" t="s">
        <v>48</v>
      </c>
      <c r="C21" s="49">
        <f>'Avg Week Kyanja-Kisaasi'!C21+'Avg Week Kisaasi-Kyanja'!C21</f>
        <v>99.857142857142861</v>
      </c>
      <c r="D21" s="49">
        <f>'Avg Week Kyanja-Kisaasi'!D21+'Avg Week Kisaasi-Kyanja'!D21</f>
        <v>51.571428571428569</v>
      </c>
      <c r="E21" s="49">
        <f>'Avg Week Kyanja-Kisaasi'!E21+'Avg Week Kisaasi-Kyanja'!E21</f>
        <v>13.142857142857142</v>
      </c>
      <c r="F21" s="49">
        <f>'Avg Week Kyanja-Kisaasi'!F21+'Avg Week Kisaasi-Kyanja'!F21</f>
        <v>39.428571428571431</v>
      </c>
      <c r="G21" s="49">
        <f>'Avg Week Kyanja-Kisaasi'!G21+'Avg Week Kisaasi-Kyanja'!G21</f>
        <v>0</v>
      </c>
      <c r="H21" s="49">
        <f>'Avg Week Kyanja-Kisaasi'!H21+'Avg Week Kisaasi-Kyanja'!H21</f>
        <v>0</v>
      </c>
      <c r="I21" s="49">
        <f>'Avg Week Kyanja-Kisaasi'!I21+'Avg Week Kisaasi-Kyanja'!I21</f>
        <v>10</v>
      </c>
      <c r="J21" s="49">
        <f>'Avg Week Kyanja-Kisaasi'!J21+'Avg Week Kisaasi-Kyanja'!J21</f>
        <v>2.8571428571428572</v>
      </c>
      <c r="K21" s="49">
        <f>'Avg Week Kyanja-Kisaasi'!K21+'Avg Week Kisaasi-Kyanja'!K21</f>
        <v>4.1428571428571423</v>
      </c>
      <c r="L21" s="49">
        <f>'Avg Week Kyanja-Kisaasi'!L21+'Avg Week Kisaasi-Kyanja'!L21</f>
        <v>0</v>
      </c>
      <c r="M21" s="49">
        <f>'Avg Week Kyanja-Kisaasi'!M21+'Avg Week Kisaasi-Kyanja'!M21</f>
        <v>257.57142857142856</v>
      </c>
      <c r="N21" s="49">
        <f>'Avg Week Kyanja-Kisaasi'!N21+'Avg Week Kisaasi-Kyanja'!N21</f>
        <v>0</v>
      </c>
      <c r="O21" s="15">
        <f t="shared" si="0"/>
        <v>221</v>
      </c>
      <c r="P21" s="15">
        <f t="shared" si="1"/>
        <v>478.57142857142856</v>
      </c>
      <c r="R21" s="36" t="s">
        <v>20</v>
      </c>
      <c r="S21" s="34">
        <f t="shared" ref="S21:AF21" si="13">SUM(C54:C57)</f>
        <v>467.85714285714289</v>
      </c>
      <c r="T21" s="34">
        <f t="shared" si="13"/>
        <v>294.71428571428572</v>
      </c>
      <c r="U21" s="34">
        <f t="shared" si="13"/>
        <v>60.285714285714278</v>
      </c>
      <c r="V21" s="34">
        <f t="shared" si="13"/>
        <v>188.71428571428572</v>
      </c>
      <c r="W21" s="34">
        <f t="shared" si="13"/>
        <v>1.857142857142857</v>
      </c>
      <c r="X21" s="34">
        <f t="shared" si="13"/>
        <v>0.42857142857142855</v>
      </c>
      <c r="Y21" s="34">
        <f t="shared" si="13"/>
        <v>23.571428571428573</v>
      </c>
      <c r="Z21" s="34">
        <f t="shared" si="13"/>
        <v>10.428571428571429</v>
      </c>
      <c r="AA21" s="34">
        <f t="shared" si="13"/>
        <v>6.5714285714285712</v>
      </c>
      <c r="AB21" s="34">
        <f t="shared" si="13"/>
        <v>0.14285714285714285</v>
      </c>
      <c r="AC21" s="34">
        <f t="shared" si="13"/>
        <v>1021.2857142857144</v>
      </c>
      <c r="AD21" s="34">
        <f t="shared" si="13"/>
        <v>0.14285714285714285</v>
      </c>
      <c r="AE21" s="52">
        <f t="shared" si="13"/>
        <v>1054.7142857142856</v>
      </c>
      <c r="AF21" s="52">
        <f t="shared" si="13"/>
        <v>2076</v>
      </c>
    </row>
    <row r="22" spans="2:32" ht="23.1" customHeight="1" x14ac:dyDescent="0.25">
      <c r="B22" s="23" t="s">
        <v>49</v>
      </c>
      <c r="C22" s="49">
        <f>'Avg Week Kyanja-Kisaasi'!C22+'Avg Week Kisaasi-Kyanja'!C22</f>
        <v>109.85714285714286</v>
      </c>
      <c r="D22" s="49">
        <f>'Avg Week Kyanja-Kisaasi'!D22+'Avg Week Kisaasi-Kyanja'!D22</f>
        <v>51.714285714285708</v>
      </c>
      <c r="E22" s="49">
        <f>'Avg Week Kyanja-Kisaasi'!E22+'Avg Week Kisaasi-Kyanja'!E22</f>
        <v>13</v>
      </c>
      <c r="F22" s="49">
        <f>'Avg Week Kyanja-Kisaasi'!F22+'Avg Week Kisaasi-Kyanja'!F22</f>
        <v>40.142857142857139</v>
      </c>
      <c r="G22" s="49">
        <f>'Avg Week Kyanja-Kisaasi'!G22+'Avg Week Kisaasi-Kyanja'!G22</f>
        <v>0</v>
      </c>
      <c r="H22" s="49">
        <f>'Avg Week Kyanja-Kisaasi'!H22+'Avg Week Kisaasi-Kyanja'!H22</f>
        <v>0.14285714285714285</v>
      </c>
      <c r="I22" s="49">
        <f>'Avg Week Kyanja-Kisaasi'!I22+'Avg Week Kisaasi-Kyanja'!I22</f>
        <v>7.5714285714285712</v>
      </c>
      <c r="J22" s="49">
        <f>'Avg Week Kyanja-Kisaasi'!J22+'Avg Week Kisaasi-Kyanja'!J22</f>
        <v>2.5714285714285716</v>
      </c>
      <c r="K22" s="49">
        <f>'Avg Week Kyanja-Kisaasi'!K22+'Avg Week Kisaasi-Kyanja'!K22</f>
        <v>3.5714285714285716</v>
      </c>
      <c r="L22" s="49">
        <f>'Avg Week Kyanja-Kisaasi'!L22+'Avg Week Kisaasi-Kyanja'!L22</f>
        <v>0.42857142857142855</v>
      </c>
      <c r="M22" s="49">
        <f>'Avg Week Kyanja-Kisaasi'!M22+'Avg Week Kisaasi-Kyanja'!M22</f>
        <v>237.42857142857144</v>
      </c>
      <c r="N22" s="49">
        <f>'Avg Week Kyanja-Kisaasi'!N22+'Avg Week Kisaasi-Kyanja'!N22</f>
        <v>0</v>
      </c>
      <c r="O22" s="15">
        <f t="shared" si="0"/>
        <v>229</v>
      </c>
      <c r="P22" s="15">
        <f t="shared" si="1"/>
        <v>466.42857142857144</v>
      </c>
      <c r="R22" s="1" t="s">
        <v>146</v>
      </c>
      <c r="S22" s="55">
        <f>SUM(C58:C61)</f>
        <v>414</v>
      </c>
      <c r="T22" s="55">
        <f t="shared" ref="T22:AF33" si="14">SUM(D58:D61)</f>
        <v>283</v>
      </c>
      <c r="U22" s="55">
        <f t="shared" si="14"/>
        <v>63</v>
      </c>
      <c r="V22" s="55">
        <f t="shared" si="14"/>
        <v>206</v>
      </c>
      <c r="W22" s="55">
        <f t="shared" si="14"/>
        <v>1.5</v>
      </c>
      <c r="X22" s="55">
        <f t="shared" si="14"/>
        <v>0</v>
      </c>
      <c r="Y22" s="55">
        <f t="shared" si="14"/>
        <v>29.5</v>
      </c>
      <c r="Z22" s="55">
        <f t="shared" si="14"/>
        <v>11.5</v>
      </c>
      <c r="AA22" s="55">
        <f t="shared" si="14"/>
        <v>8</v>
      </c>
      <c r="AB22" s="55">
        <f t="shared" si="14"/>
        <v>1</v>
      </c>
      <c r="AC22" s="55">
        <f t="shared" si="14"/>
        <v>857</v>
      </c>
      <c r="AD22" s="55">
        <f t="shared" si="14"/>
        <v>0</v>
      </c>
      <c r="AE22" s="56">
        <f t="shared" si="14"/>
        <v>1017.5</v>
      </c>
      <c r="AF22" s="56">
        <f t="shared" si="14"/>
        <v>1874.5</v>
      </c>
    </row>
    <row r="23" spans="2:32" ht="23.1" customHeight="1" x14ac:dyDescent="0.25">
      <c r="B23" s="23" t="s">
        <v>50</v>
      </c>
      <c r="C23" s="49">
        <f>'Avg Week Kyanja-Kisaasi'!C23+'Avg Week Kisaasi-Kyanja'!C23</f>
        <v>119.42857142857144</v>
      </c>
      <c r="D23" s="49">
        <f>'Avg Week Kyanja-Kisaasi'!D23+'Avg Week Kisaasi-Kyanja'!D23</f>
        <v>49.857142857142861</v>
      </c>
      <c r="E23" s="49">
        <f>'Avg Week Kyanja-Kisaasi'!E23+'Avg Week Kisaasi-Kyanja'!E23</f>
        <v>16.714285714285715</v>
      </c>
      <c r="F23" s="49">
        <f>'Avg Week Kyanja-Kisaasi'!F23+'Avg Week Kisaasi-Kyanja'!F23</f>
        <v>36.571428571428569</v>
      </c>
      <c r="G23" s="49">
        <f>'Avg Week Kyanja-Kisaasi'!G23+'Avg Week Kisaasi-Kyanja'!G23</f>
        <v>0.14285714285714285</v>
      </c>
      <c r="H23" s="49">
        <f>'Avg Week Kyanja-Kisaasi'!H23+'Avg Week Kisaasi-Kyanja'!H23</f>
        <v>0</v>
      </c>
      <c r="I23" s="49">
        <f>'Avg Week Kyanja-Kisaasi'!I23+'Avg Week Kisaasi-Kyanja'!I23</f>
        <v>9.2857142857142865</v>
      </c>
      <c r="J23" s="49">
        <f>'Avg Week Kyanja-Kisaasi'!J23+'Avg Week Kisaasi-Kyanja'!J23</f>
        <v>2.7142857142857144</v>
      </c>
      <c r="K23" s="49">
        <f>'Avg Week Kyanja-Kisaasi'!K23+'Avg Week Kisaasi-Kyanja'!K23</f>
        <v>3</v>
      </c>
      <c r="L23" s="49">
        <f>'Avg Week Kyanja-Kisaasi'!L23+'Avg Week Kisaasi-Kyanja'!L23</f>
        <v>0.42857142857142855</v>
      </c>
      <c r="M23" s="49">
        <f>'Avg Week Kyanja-Kisaasi'!M23+'Avg Week Kisaasi-Kyanja'!M23</f>
        <v>219.57142857142856</v>
      </c>
      <c r="N23" s="49">
        <f>'Avg Week Kyanja-Kisaasi'!N23+'Avg Week Kisaasi-Kyanja'!N23</f>
        <v>0</v>
      </c>
      <c r="O23" s="15">
        <f t="shared" si="0"/>
        <v>238.14285714285717</v>
      </c>
      <c r="P23" s="15">
        <f t="shared" si="1"/>
        <v>457.71428571428572</v>
      </c>
      <c r="R23" s="1" t="s">
        <v>147</v>
      </c>
      <c r="S23" s="55">
        <f t="shared" ref="S23:S33" si="15">SUM(C59:C62)</f>
        <v>460</v>
      </c>
      <c r="T23" s="55">
        <f t="shared" si="14"/>
        <v>266</v>
      </c>
      <c r="U23" s="55">
        <f t="shared" si="14"/>
        <v>63.5</v>
      </c>
      <c r="V23" s="55">
        <f t="shared" si="14"/>
        <v>183.5</v>
      </c>
      <c r="W23" s="55">
        <f t="shared" si="14"/>
        <v>1</v>
      </c>
      <c r="X23" s="55">
        <f t="shared" si="14"/>
        <v>0</v>
      </c>
      <c r="Y23" s="55">
        <f t="shared" si="14"/>
        <v>25.5</v>
      </c>
      <c r="Z23" s="55">
        <f t="shared" si="14"/>
        <v>13</v>
      </c>
      <c r="AA23" s="55">
        <f t="shared" si="14"/>
        <v>7.5</v>
      </c>
      <c r="AB23" s="55">
        <f t="shared" si="14"/>
        <v>1</v>
      </c>
      <c r="AC23" s="55">
        <f t="shared" si="14"/>
        <v>879.5</v>
      </c>
      <c r="AD23" s="55">
        <f t="shared" si="14"/>
        <v>0</v>
      </c>
      <c r="AE23" s="56">
        <f t="shared" si="14"/>
        <v>1021</v>
      </c>
      <c r="AF23" s="56">
        <f t="shared" si="14"/>
        <v>1900.5</v>
      </c>
    </row>
    <row r="24" spans="2:32" ht="23.1" customHeight="1" x14ac:dyDescent="0.25">
      <c r="B24" s="23" t="s">
        <v>51</v>
      </c>
      <c r="C24" s="49">
        <f>'Avg Week Kyanja-Kisaasi'!C24+'Avg Week Kisaasi-Kyanja'!C24</f>
        <v>125.57142857142856</v>
      </c>
      <c r="D24" s="49">
        <f>'Avg Week Kyanja-Kisaasi'!D24+'Avg Week Kisaasi-Kyanja'!D24</f>
        <v>45.142857142857146</v>
      </c>
      <c r="E24" s="49">
        <f>'Avg Week Kyanja-Kisaasi'!E24+'Avg Week Kisaasi-Kyanja'!E24</f>
        <v>15</v>
      </c>
      <c r="F24" s="49">
        <f>'Avg Week Kyanja-Kisaasi'!F24+'Avg Week Kisaasi-Kyanja'!F24</f>
        <v>32</v>
      </c>
      <c r="G24" s="49">
        <f>'Avg Week Kyanja-Kisaasi'!G24+'Avg Week Kisaasi-Kyanja'!G24</f>
        <v>0</v>
      </c>
      <c r="H24" s="49">
        <f>'Avg Week Kyanja-Kisaasi'!H24+'Avg Week Kisaasi-Kyanja'!H24</f>
        <v>0.14285714285714285</v>
      </c>
      <c r="I24" s="49">
        <f>'Avg Week Kyanja-Kisaasi'!I24+'Avg Week Kisaasi-Kyanja'!I24</f>
        <v>7.7142857142857144</v>
      </c>
      <c r="J24" s="49">
        <f>'Avg Week Kyanja-Kisaasi'!J24+'Avg Week Kisaasi-Kyanja'!J24</f>
        <v>3</v>
      </c>
      <c r="K24" s="49">
        <f>'Avg Week Kyanja-Kisaasi'!K24+'Avg Week Kisaasi-Kyanja'!K24</f>
        <v>4.4285714285714288</v>
      </c>
      <c r="L24" s="49">
        <f>'Avg Week Kyanja-Kisaasi'!L24+'Avg Week Kisaasi-Kyanja'!L24</f>
        <v>0.42857142857142855</v>
      </c>
      <c r="M24" s="49">
        <f>'Avg Week Kyanja-Kisaasi'!M24+'Avg Week Kisaasi-Kyanja'!M24</f>
        <v>216.85714285714286</v>
      </c>
      <c r="N24" s="49">
        <f>'Avg Week Kyanja-Kisaasi'!N24+'Avg Week Kisaasi-Kyanja'!N24</f>
        <v>0</v>
      </c>
      <c r="O24" s="15">
        <f t="shared" si="0"/>
        <v>233.42857142857139</v>
      </c>
      <c r="P24" s="15">
        <f t="shared" si="1"/>
        <v>450.28571428571422</v>
      </c>
      <c r="R24" s="1" t="s">
        <v>148</v>
      </c>
      <c r="S24" s="55">
        <f t="shared" si="15"/>
        <v>487.5</v>
      </c>
      <c r="T24" s="55">
        <f t="shared" si="14"/>
        <v>210</v>
      </c>
      <c r="U24" s="55">
        <f t="shared" si="14"/>
        <v>50.5</v>
      </c>
      <c r="V24" s="55">
        <f t="shared" si="14"/>
        <v>153</v>
      </c>
      <c r="W24" s="55">
        <f t="shared" si="14"/>
        <v>0.5</v>
      </c>
      <c r="X24" s="55">
        <f t="shared" si="14"/>
        <v>0</v>
      </c>
      <c r="Y24" s="55">
        <f t="shared" si="14"/>
        <v>22</v>
      </c>
      <c r="Z24" s="55">
        <f t="shared" si="14"/>
        <v>10.5</v>
      </c>
      <c r="AA24" s="55">
        <f t="shared" si="14"/>
        <v>5</v>
      </c>
      <c r="AB24" s="55">
        <f t="shared" si="14"/>
        <v>0.5</v>
      </c>
      <c r="AC24" s="55">
        <f t="shared" si="14"/>
        <v>900</v>
      </c>
      <c r="AD24" s="55">
        <f t="shared" si="14"/>
        <v>0</v>
      </c>
      <c r="AE24" s="56">
        <f t="shared" si="14"/>
        <v>939.5</v>
      </c>
      <c r="AF24" s="56">
        <f t="shared" si="14"/>
        <v>1839.5</v>
      </c>
    </row>
    <row r="25" spans="2:32" ht="23.1" customHeight="1" x14ac:dyDescent="0.25">
      <c r="B25" s="23" t="s">
        <v>52</v>
      </c>
      <c r="C25" s="49">
        <f>'Avg Week Kyanja-Kisaasi'!C25+'Avg Week Kisaasi-Kyanja'!C25</f>
        <v>80.285714285714278</v>
      </c>
      <c r="D25" s="49">
        <f>'Avg Week Kyanja-Kisaasi'!D25+'Avg Week Kisaasi-Kyanja'!D25</f>
        <v>37.428571428571431</v>
      </c>
      <c r="E25" s="49">
        <f>'Avg Week Kyanja-Kisaasi'!E25+'Avg Week Kisaasi-Kyanja'!E25</f>
        <v>11.857142857142858</v>
      </c>
      <c r="F25" s="49">
        <f>'Avg Week Kyanja-Kisaasi'!F25+'Avg Week Kisaasi-Kyanja'!F25</f>
        <v>26.428571428571431</v>
      </c>
      <c r="G25" s="49">
        <f>'Avg Week Kyanja-Kisaasi'!G25+'Avg Week Kisaasi-Kyanja'!G25</f>
        <v>0</v>
      </c>
      <c r="H25" s="49">
        <f>'Avg Week Kyanja-Kisaasi'!H25+'Avg Week Kisaasi-Kyanja'!H25</f>
        <v>0</v>
      </c>
      <c r="I25" s="49">
        <f>'Avg Week Kyanja-Kisaasi'!I25+'Avg Week Kisaasi-Kyanja'!I25</f>
        <v>7.7142857142857135</v>
      </c>
      <c r="J25" s="49">
        <f>'Avg Week Kyanja-Kisaasi'!J25+'Avg Week Kisaasi-Kyanja'!J25</f>
        <v>2.4285714285714284</v>
      </c>
      <c r="K25" s="49">
        <f>'Avg Week Kyanja-Kisaasi'!K25+'Avg Week Kisaasi-Kyanja'!K25</f>
        <v>3.5714285714285712</v>
      </c>
      <c r="L25" s="49">
        <f>'Avg Week Kyanja-Kisaasi'!L25+'Avg Week Kisaasi-Kyanja'!L25</f>
        <v>0.2857142857142857</v>
      </c>
      <c r="M25" s="49">
        <f>'Avg Week Kyanja-Kisaasi'!M25+'Avg Week Kisaasi-Kyanja'!M25</f>
        <v>192.71428571428572</v>
      </c>
      <c r="N25" s="49">
        <f>'Avg Week Kyanja-Kisaasi'!N25+'Avg Week Kisaasi-Kyanja'!N25</f>
        <v>0</v>
      </c>
      <c r="O25" s="15">
        <f t="shared" si="0"/>
        <v>170</v>
      </c>
      <c r="P25" s="15">
        <f t="shared" si="1"/>
        <v>362.71428571428572</v>
      </c>
      <c r="R25" s="1" t="s">
        <v>149</v>
      </c>
      <c r="S25" s="55">
        <f t="shared" si="15"/>
        <v>475</v>
      </c>
      <c r="T25" s="55">
        <f t="shared" si="14"/>
        <v>175.5</v>
      </c>
      <c r="U25" s="55">
        <f t="shared" si="14"/>
        <v>36.5</v>
      </c>
      <c r="V25" s="55">
        <f t="shared" si="14"/>
        <v>129.5</v>
      </c>
      <c r="W25" s="55">
        <f t="shared" si="14"/>
        <v>0</v>
      </c>
      <c r="X25" s="55">
        <f t="shared" si="14"/>
        <v>0</v>
      </c>
      <c r="Y25" s="55">
        <f t="shared" si="14"/>
        <v>21.5</v>
      </c>
      <c r="Z25" s="55">
        <f t="shared" si="14"/>
        <v>10</v>
      </c>
      <c r="AA25" s="55">
        <f t="shared" si="14"/>
        <v>4</v>
      </c>
      <c r="AB25" s="55">
        <f t="shared" si="14"/>
        <v>0</v>
      </c>
      <c r="AC25" s="55">
        <f t="shared" si="14"/>
        <v>801</v>
      </c>
      <c r="AD25" s="55">
        <f t="shared" si="14"/>
        <v>0</v>
      </c>
      <c r="AE25" s="56">
        <f t="shared" si="14"/>
        <v>852</v>
      </c>
      <c r="AF25" s="56">
        <f t="shared" si="14"/>
        <v>1653</v>
      </c>
    </row>
    <row r="26" spans="2:32" ht="23.1" customHeight="1" x14ac:dyDescent="0.25">
      <c r="B26" s="23" t="s">
        <v>53</v>
      </c>
      <c r="C26" s="49">
        <f>'Avg Week Kyanja-Kisaasi'!C26+'Avg Week Kisaasi-Kyanja'!C26</f>
        <v>110.42857142857142</v>
      </c>
      <c r="D26" s="49">
        <f>'Avg Week Kyanja-Kisaasi'!D26+'Avg Week Kisaasi-Kyanja'!D26</f>
        <v>38.285714285714285</v>
      </c>
      <c r="E26" s="49">
        <f>'Avg Week Kyanja-Kisaasi'!E26+'Avg Week Kisaasi-Kyanja'!E26</f>
        <v>13.714285714285715</v>
      </c>
      <c r="F26" s="49">
        <f>'Avg Week Kyanja-Kisaasi'!F26+'Avg Week Kisaasi-Kyanja'!F26</f>
        <v>31</v>
      </c>
      <c r="G26" s="49">
        <f>'Avg Week Kyanja-Kisaasi'!G26+'Avg Week Kisaasi-Kyanja'!G26</f>
        <v>0.42857142857142855</v>
      </c>
      <c r="H26" s="49">
        <f>'Avg Week Kyanja-Kisaasi'!H26+'Avg Week Kisaasi-Kyanja'!H26</f>
        <v>0</v>
      </c>
      <c r="I26" s="49">
        <f>'Avg Week Kyanja-Kisaasi'!I26+'Avg Week Kisaasi-Kyanja'!I26</f>
        <v>9.4285714285714288</v>
      </c>
      <c r="J26" s="49">
        <f>'Avg Week Kyanja-Kisaasi'!J26+'Avg Week Kisaasi-Kyanja'!J26</f>
        <v>4.4285714285714288</v>
      </c>
      <c r="K26" s="49">
        <f>'Avg Week Kyanja-Kisaasi'!K26+'Avg Week Kisaasi-Kyanja'!K26</f>
        <v>3.8571428571428568</v>
      </c>
      <c r="L26" s="49">
        <f>'Avg Week Kyanja-Kisaasi'!L26+'Avg Week Kisaasi-Kyanja'!L26</f>
        <v>0.2857142857142857</v>
      </c>
      <c r="M26" s="49">
        <f>'Avg Week Kyanja-Kisaasi'!M26+'Avg Week Kisaasi-Kyanja'!M26</f>
        <v>217.42857142857144</v>
      </c>
      <c r="N26" s="49">
        <f>'Avg Week Kyanja-Kisaasi'!N26+'Avg Week Kisaasi-Kyanja'!N26</f>
        <v>0</v>
      </c>
      <c r="O26" s="15">
        <f t="shared" si="0"/>
        <v>211.8571428571428</v>
      </c>
      <c r="P26" s="15">
        <f t="shared" si="1"/>
        <v>429.28571428571422</v>
      </c>
      <c r="R26" s="1" t="s">
        <v>150</v>
      </c>
      <c r="S26" s="55">
        <f t="shared" si="15"/>
        <v>407</v>
      </c>
      <c r="T26" s="55">
        <f t="shared" si="14"/>
        <v>140.5</v>
      </c>
      <c r="U26" s="55">
        <f t="shared" si="14"/>
        <v>34</v>
      </c>
      <c r="V26" s="55">
        <f t="shared" si="14"/>
        <v>94</v>
      </c>
      <c r="W26" s="55">
        <f t="shared" si="14"/>
        <v>0</v>
      </c>
      <c r="X26" s="55">
        <f t="shared" si="14"/>
        <v>0</v>
      </c>
      <c r="Y26" s="55">
        <f t="shared" si="14"/>
        <v>17.5</v>
      </c>
      <c r="Z26" s="55">
        <f t="shared" si="14"/>
        <v>7.5</v>
      </c>
      <c r="AA26" s="55">
        <f t="shared" si="14"/>
        <v>3.5</v>
      </c>
      <c r="AB26" s="55">
        <f t="shared" si="14"/>
        <v>0</v>
      </c>
      <c r="AC26" s="55">
        <f t="shared" si="14"/>
        <v>775.5</v>
      </c>
      <c r="AD26" s="55">
        <f t="shared" si="14"/>
        <v>0</v>
      </c>
      <c r="AE26" s="56">
        <f t="shared" si="14"/>
        <v>704</v>
      </c>
      <c r="AF26" s="56">
        <f t="shared" si="14"/>
        <v>1479.5</v>
      </c>
    </row>
    <row r="27" spans="2:32" ht="23.1" customHeight="1" x14ac:dyDescent="0.25">
      <c r="B27" s="23" t="s">
        <v>54</v>
      </c>
      <c r="C27" s="49">
        <f>'Avg Week Kyanja-Kisaasi'!C27+'Avg Week Kisaasi-Kyanja'!C27</f>
        <v>99.142857142857139</v>
      </c>
      <c r="D27" s="49">
        <f>'Avg Week Kyanja-Kisaasi'!D27+'Avg Week Kisaasi-Kyanja'!D27</f>
        <v>42.142857142857139</v>
      </c>
      <c r="E27" s="49">
        <f>'Avg Week Kyanja-Kisaasi'!E27+'Avg Week Kisaasi-Kyanja'!E27</f>
        <v>13</v>
      </c>
      <c r="F27" s="49">
        <f>'Avg Week Kyanja-Kisaasi'!F27+'Avg Week Kisaasi-Kyanja'!F27</f>
        <v>28.428571428571431</v>
      </c>
      <c r="G27" s="49">
        <f>'Avg Week Kyanja-Kisaasi'!G27+'Avg Week Kisaasi-Kyanja'!G27</f>
        <v>0.42857142857142855</v>
      </c>
      <c r="H27" s="49">
        <f>'Avg Week Kyanja-Kisaasi'!H27+'Avg Week Kisaasi-Kyanja'!H27</f>
        <v>0</v>
      </c>
      <c r="I27" s="49">
        <f>'Avg Week Kyanja-Kisaasi'!I27+'Avg Week Kisaasi-Kyanja'!I27</f>
        <v>8.1428571428571423</v>
      </c>
      <c r="J27" s="49">
        <f>'Avg Week Kyanja-Kisaasi'!J27+'Avg Week Kisaasi-Kyanja'!J27</f>
        <v>2.4285714285714288</v>
      </c>
      <c r="K27" s="49">
        <f>'Avg Week Kyanja-Kisaasi'!K27+'Avg Week Kisaasi-Kyanja'!K27</f>
        <v>4.5714285714285712</v>
      </c>
      <c r="L27" s="49">
        <f>'Avg Week Kyanja-Kisaasi'!L27+'Avg Week Kisaasi-Kyanja'!L27</f>
        <v>0.42857142857142855</v>
      </c>
      <c r="M27" s="49">
        <f>'Avg Week Kyanja-Kisaasi'!M27+'Avg Week Kisaasi-Kyanja'!M27</f>
        <v>192</v>
      </c>
      <c r="N27" s="49">
        <f>'Avg Week Kyanja-Kisaasi'!N27+'Avg Week Kisaasi-Kyanja'!N27</f>
        <v>0</v>
      </c>
      <c r="O27" s="15">
        <f t="shared" si="0"/>
        <v>198.71428571428569</v>
      </c>
      <c r="P27" s="15">
        <f t="shared" si="1"/>
        <v>390.71428571428567</v>
      </c>
      <c r="R27" s="1" t="s">
        <v>151</v>
      </c>
      <c r="S27" s="55">
        <f t="shared" si="15"/>
        <v>394.5</v>
      </c>
      <c r="T27" s="55">
        <f t="shared" si="14"/>
        <v>143.5</v>
      </c>
      <c r="U27" s="55">
        <f t="shared" si="14"/>
        <v>34.5</v>
      </c>
      <c r="V27" s="55">
        <f t="shared" si="14"/>
        <v>127.5</v>
      </c>
      <c r="W27" s="55">
        <f t="shared" si="14"/>
        <v>0</v>
      </c>
      <c r="X27" s="55">
        <f t="shared" si="14"/>
        <v>0</v>
      </c>
      <c r="Y27" s="55">
        <f t="shared" si="14"/>
        <v>17</v>
      </c>
      <c r="Z27" s="55">
        <f t="shared" si="14"/>
        <v>4.5</v>
      </c>
      <c r="AA27" s="55">
        <f t="shared" si="14"/>
        <v>5</v>
      </c>
      <c r="AB27" s="55">
        <f t="shared" si="14"/>
        <v>0</v>
      </c>
      <c r="AC27" s="55">
        <f t="shared" si="14"/>
        <v>808.5</v>
      </c>
      <c r="AD27" s="55">
        <f t="shared" si="14"/>
        <v>0</v>
      </c>
      <c r="AE27" s="56">
        <f t="shared" si="14"/>
        <v>726.5</v>
      </c>
      <c r="AF27" s="56">
        <f t="shared" si="14"/>
        <v>1535</v>
      </c>
    </row>
    <row r="28" spans="2:32" ht="23.1" customHeight="1" x14ac:dyDescent="0.25">
      <c r="B28" s="23" t="s">
        <v>55</v>
      </c>
      <c r="C28" s="49">
        <f>'Avg Week Kyanja-Kisaasi'!C28+'Avg Week Kisaasi-Kyanja'!C28</f>
        <v>116</v>
      </c>
      <c r="D28" s="49">
        <f>'Avg Week Kyanja-Kisaasi'!D28+'Avg Week Kisaasi-Kyanja'!D28</f>
        <v>44.857142857142861</v>
      </c>
      <c r="E28" s="49">
        <f>'Avg Week Kyanja-Kisaasi'!E28+'Avg Week Kisaasi-Kyanja'!E28</f>
        <v>13</v>
      </c>
      <c r="F28" s="49">
        <f>'Avg Week Kyanja-Kisaasi'!F28+'Avg Week Kisaasi-Kyanja'!F28</f>
        <v>32.857142857142861</v>
      </c>
      <c r="G28" s="49">
        <f>'Avg Week Kyanja-Kisaasi'!G28+'Avg Week Kisaasi-Kyanja'!G28</f>
        <v>0.14285714285714285</v>
      </c>
      <c r="H28" s="49">
        <f>'Avg Week Kyanja-Kisaasi'!H28+'Avg Week Kisaasi-Kyanja'!H28</f>
        <v>0</v>
      </c>
      <c r="I28" s="49">
        <f>'Avg Week Kyanja-Kisaasi'!I28+'Avg Week Kisaasi-Kyanja'!I28</f>
        <v>8.4285714285714288</v>
      </c>
      <c r="J28" s="49">
        <f>'Avg Week Kyanja-Kisaasi'!J28+'Avg Week Kisaasi-Kyanja'!J28</f>
        <v>3.2857142857142856</v>
      </c>
      <c r="K28" s="49">
        <f>'Avg Week Kyanja-Kisaasi'!K28+'Avg Week Kisaasi-Kyanja'!K28</f>
        <v>5</v>
      </c>
      <c r="L28" s="49">
        <f>'Avg Week Kyanja-Kisaasi'!L28+'Avg Week Kisaasi-Kyanja'!L28</f>
        <v>0.2857142857142857</v>
      </c>
      <c r="M28" s="49">
        <f>'Avg Week Kyanja-Kisaasi'!M28+'Avg Week Kisaasi-Kyanja'!M28</f>
        <v>218.42857142857144</v>
      </c>
      <c r="N28" s="49">
        <f>'Avg Week Kyanja-Kisaasi'!N28+'Avg Week Kisaasi-Kyanja'!N28</f>
        <v>0</v>
      </c>
      <c r="O28" s="15">
        <f t="shared" si="0"/>
        <v>223.85714285714283</v>
      </c>
      <c r="P28" s="15">
        <f t="shared" si="1"/>
        <v>442.28571428571428</v>
      </c>
      <c r="R28" s="1" t="s">
        <v>152</v>
      </c>
      <c r="S28" s="55">
        <f t="shared" si="15"/>
        <v>393.5</v>
      </c>
      <c r="T28" s="55">
        <f t="shared" si="14"/>
        <v>155</v>
      </c>
      <c r="U28" s="55">
        <f t="shared" si="14"/>
        <v>36</v>
      </c>
      <c r="V28" s="55">
        <f t="shared" si="14"/>
        <v>130.5</v>
      </c>
      <c r="W28" s="55">
        <f t="shared" si="14"/>
        <v>2.5</v>
      </c>
      <c r="X28" s="55">
        <f t="shared" si="14"/>
        <v>0</v>
      </c>
      <c r="Y28" s="55">
        <f t="shared" si="14"/>
        <v>18</v>
      </c>
      <c r="Z28" s="55">
        <f t="shared" si="14"/>
        <v>5.5</v>
      </c>
      <c r="AA28" s="55">
        <f t="shared" si="14"/>
        <v>4</v>
      </c>
      <c r="AB28" s="55">
        <f t="shared" si="14"/>
        <v>0.5</v>
      </c>
      <c r="AC28" s="55">
        <f t="shared" si="14"/>
        <v>775.5</v>
      </c>
      <c r="AD28" s="55">
        <f t="shared" si="14"/>
        <v>0</v>
      </c>
      <c r="AE28" s="56">
        <f t="shared" si="14"/>
        <v>745.5</v>
      </c>
      <c r="AF28" s="56">
        <f t="shared" si="14"/>
        <v>1521</v>
      </c>
    </row>
    <row r="29" spans="2:32" ht="23.1" customHeight="1" x14ac:dyDescent="0.25">
      <c r="B29" s="23" t="s">
        <v>56</v>
      </c>
      <c r="C29" s="49">
        <f>'Avg Week Kyanja-Kisaasi'!C29+'Avg Week Kisaasi-Kyanja'!C29</f>
        <v>104</v>
      </c>
      <c r="D29" s="49">
        <f>'Avg Week Kyanja-Kisaasi'!D29+'Avg Week Kisaasi-Kyanja'!D29</f>
        <v>48.857142857142854</v>
      </c>
      <c r="E29" s="49">
        <f>'Avg Week Kyanja-Kisaasi'!E29+'Avg Week Kisaasi-Kyanja'!E29</f>
        <v>10.142857142857142</v>
      </c>
      <c r="F29" s="49">
        <f>'Avg Week Kyanja-Kisaasi'!F29+'Avg Week Kisaasi-Kyanja'!F29</f>
        <v>25.857142857142858</v>
      </c>
      <c r="G29" s="49">
        <f>'Avg Week Kyanja-Kisaasi'!G29+'Avg Week Kisaasi-Kyanja'!G29</f>
        <v>0.14285714285714285</v>
      </c>
      <c r="H29" s="49">
        <f>'Avg Week Kyanja-Kisaasi'!H29+'Avg Week Kisaasi-Kyanja'!H29</f>
        <v>0</v>
      </c>
      <c r="I29" s="49">
        <f>'Avg Week Kyanja-Kisaasi'!I29+'Avg Week Kisaasi-Kyanja'!I29</f>
        <v>7</v>
      </c>
      <c r="J29" s="49">
        <f>'Avg Week Kyanja-Kisaasi'!J29+'Avg Week Kisaasi-Kyanja'!J29</f>
        <v>2</v>
      </c>
      <c r="K29" s="49">
        <f>'Avg Week Kyanja-Kisaasi'!K29+'Avg Week Kisaasi-Kyanja'!K29</f>
        <v>3.2857142857142856</v>
      </c>
      <c r="L29" s="49">
        <f>'Avg Week Kyanja-Kisaasi'!L29+'Avg Week Kisaasi-Kyanja'!L29</f>
        <v>1.4285714285714286</v>
      </c>
      <c r="M29" s="49">
        <f>'Avg Week Kyanja-Kisaasi'!M29+'Avg Week Kisaasi-Kyanja'!M29</f>
        <v>193.85714285714286</v>
      </c>
      <c r="N29" s="49">
        <f>'Avg Week Kyanja-Kisaasi'!N29+'Avg Week Kisaasi-Kyanja'!N29</f>
        <v>0</v>
      </c>
      <c r="O29" s="15">
        <f t="shared" si="0"/>
        <v>202.71428571428569</v>
      </c>
      <c r="P29" s="15">
        <f t="shared" si="1"/>
        <v>396.57142857142856</v>
      </c>
      <c r="R29" s="1" t="s">
        <v>153</v>
      </c>
      <c r="S29" s="55">
        <f t="shared" si="15"/>
        <v>391.5</v>
      </c>
      <c r="T29" s="55">
        <f t="shared" si="14"/>
        <v>141.5</v>
      </c>
      <c r="U29" s="55">
        <f t="shared" si="14"/>
        <v>36.5</v>
      </c>
      <c r="V29" s="55">
        <f t="shared" si="14"/>
        <v>125.5</v>
      </c>
      <c r="W29" s="55">
        <f t="shared" si="14"/>
        <v>2.5</v>
      </c>
      <c r="X29" s="55">
        <f t="shared" si="14"/>
        <v>0</v>
      </c>
      <c r="Y29" s="55">
        <f t="shared" si="14"/>
        <v>14.5</v>
      </c>
      <c r="Z29" s="55">
        <f t="shared" si="14"/>
        <v>5.5</v>
      </c>
      <c r="AA29" s="55">
        <f t="shared" si="14"/>
        <v>4</v>
      </c>
      <c r="AB29" s="55">
        <f t="shared" si="14"/>
        <v>0.5</v>
      </c>
      <c r="AC29" s="55">
        <f t="shared" si="14"/>
        <v>744.5</v>
      </c>
      <c r="AD29" s="55">
        <f t="shared" si="14"/>
        <v>0</v>
      </c>
      <c r="AE29" s="56">
        <f t="shared" si="14"/>
        <v>722</v>
      </c>
      <c r="AF29" s="56">
        <f t="shared" si="14"/>
        <v>1466.5</v>
      </c>
    </row>
    <row r="30" spans="2:32" ht="23.1" customHeight="1" x14ac:dyDescent="0.25">
      <c r="B30" s="23" t="s">
        <v>57</v>
      </c>
      <c r="C30" s="49">
        <f>'Avg Week Kyanja-Kisaasi'!C30+'Avg Week Kisaasi-Kyanja'!C30</f>
        <v>97.857142857142861</v>
      </c>
      <c r="D30" s="49">
        <f>'Avg Week Kyanja-Kisaasi'!D30+'Avg Week Kisaasi-Kyanja'!D30</f>
        <v>43.857142857142861</v>
      </c>
      <c r="E30" s="49">
        <f>'Avg Week Kyanja-Kisaasi'!E30+'Avg Week Kisaasi-Kyanja'!E30</f>
        <v>11.285714285714285</v>
      </c>
      <c r="F30" s="49">
        <f>'Avg Week Kyanja-Kisaasi'!F30+'Avg Week Kisaasi-Kyanja'!F30</f>
        <v>24.571428571428569</v>
      </c>
      <c r="G30" s="49">
        <f>'Avg Week Kyanja-Kisaasi'!G30+'Avg Week Kisaasi-Kyanja'!G30</f>
        <v>0.14285714285714285</v>
      </c>
      <c r="H30" s="49">
        <f>'Avg Week Kyanja-Kisaasi'!H30+'Avg Week Kisaasi-Kyanja'!H30</f>
        <v>0</v>
      </c>
      <c r="I30" s="49">
        <f>'Avg Week Kyanja-Kisaasi'!I30+'Avg Week Kisaasi-Kyanja'!I30</f>
        <v>7.2857142857142865</v>
      </c>
      <c r="J30" s="49">
        <f>'Avg Week Kyanja-Kisaasi'!J30+'Avg Week Kisaasi-Kyanja'!J30</f>
        <v>2.5714285714285712</v>
      </c>
      <c r="K30" s="49">
        <f>'Avg Week Kyanja-Kisaasi'!K30+'Avg Week Kisaasi-Kyanja'!K30</f>
        <v>3.1428571428571428</v>
      </c>
      <c r="L30" s="49">
        <f>'Avg Week Kyanja-Kisaasi'!L30+'Avg Week Kisaasi-Kyanja'!L30</f>
        <v>0.85714285714285721</v>
      </c>
      <c r="M30" s="49">
        <f>'Avg Week Kyanja-Kisaasi'!M30+'Avg Week Kisaasi-Kyanja'!M30</f>
        <v>183.14285714285717</v>
      </c>
      <c r="N30" s="49">
        <f>'Avg Week Kyanja-Kisaasi'!N30+'Avg Week Kisaasi-Kyanja'!N30</f>
        <v>0.14285714285714285</v>
      </c>
      <c r="O30" s="15">
        <f t="shared" si="0"/>
        <v>191.71428571428569</v>
      </c>
      <c r="P30" s="15">
        <f t="shared" si="1"/>
        <v>374.85714285714289</v>
      </c>
      <c r="R30" s="1" t="s">
        <v>154</v>
      </c>
      <c r="S30" s="55">
        <f t="shared" si="15"/>
        <v>442</v>
      </c>
      <c r="T30" s="55">
        <f t="shared" si="14"/>
        <v>164.5</v>
      </c>
      <c r="U30" s="55">
        <f t="shared" si="14"/>
        <v>36</v>
      </c>
      <c r="V30" s="55">
        <f t="shared" si="14"/>
        <v>137.5</v>
      </c>
      <c r="W30" s="55">
        <f t="shared" si="14"/>
        <v>2.5</v>
      </c>
      <c r="X30" s="55">
        <f t="shared" si="14"/>
        <v>0.5</v>
      </c>
      <c r="Y30" s="55">
        <f t="shared" si="14"/>
        <v>18</v>
      </c>
      <c r="Z30" s="55">
        <f t="shared" si="14"/>
        <v>7</v>
      </c>
      <c r="AA30" s="55">
        <f t="shared" si="14"/>
        <v>4</v>
      </c>
      <c r="AB30" s="55">
        <f t="shared" si="14"/>
        <v>1.5</v>
      </c>
      <c r="AC30" s="55">
        <f t="shared" si="14"/>
        <v>725</v>
      </c>
      <c r="AD30" s="55">
        <f t="shared" si="14"/>
        <v>0</v>
      </c>
      <c r="AE30" s="56">
        <f t="shared" si="14"/>
        <v>813.5</v>
      </c>
      <c r="AF30" s="56">
        <f t="shared" si="14"/>
        <v>1538.5</v>
      </c>
    </row>
    <row r="31" spans="2:32" ht="23.1" customHeight="1" x14ac:dyDescent="0.25">
      <c r="B31" s="24" t="s">
        <v>58</v>
      </c>
      <c r="C31" s="49">
        <f>'Avg Week Kyanja-Kisaasi'!C31+'Avg Week Kisaasi-Kyanja'!C31</f>
        <v>100.42857142857143</v>
      </c>
      <c r="D31" s="49">
        <f>'Avg Week Kyanja-Kisaasi'!D31+'Avg Week Kisaasi-Kyanja'!D31</f>
        <v>46.142857142857139</v>
      </c>
      <c r="E31" s="49">
        <f>'Avg Week Kyanja-Kisaasi'!E31+'Avg Week Kisaasi-Kyanja'!E31</f>
        <v>14.714285714285714</v>
      </c>
      <c r="F31" s="49">
        <f>'Avg Week Kyanja-Kisaasi'!F31+'Avg Week Kisaasi-Kyanja'!F31</f>
        <v>28.285714285714285</v>
      </c>
      <c r="G31" s="49">
        <f>'Avg Week Kyanja-Kisaasi'!G31+'Avg Week Kisaasi-Kyanja'!G31</f>
        <v>0</v>
      </c>
      <c r="H31" s="49">
        <f>'Avg Week Kyanja-Kisaasi'!H31+'Avg Week Kisaasi-Kyanja'!H31</f>
        <v>0</v>
      </c>
      <c r="I31" s="49">
        <f>'Avg Week Kyanja-Kisaasi'!I31+'Avg Week Kisaasi-Kyanja'!I31</f>
        <v>9.5714285714285712</v>
      </c>
      <c r="J31" s="49">
        <f>'Avg Week Kyanja-Kisaasi'!J31+'Avg Week Kisaasi-Kyanja'!J31</f>
        <v>2.8571428571428572</v>
      </c>
      <c r="K31" s="49">
        <f>'Avg Week Kyanja-Kisaasi'!K31+'Avg Week Kisaasi-Kyanja'!K31</f>
        <v>3</v>
      </c>
      <c r="L31" s="49">
        <f>'Avg Week Kyanja-Kisaasi'!L31+'Avg Week Kisaasi-Kyanja'!L31</f>
        <v>0.71428571428571419</v>
      </c>
      <c r="M31" s="49">
        <f>'Avg Week Kyanja-Kisaasi'!M31+'Avg Week Kisaasi-Kyanja'!M31</f>
        <v>194</v>
      </c>
      <c r="N31" s="49">
        <f>'Avg Week Kyanja-Kisaasi'!N31+'Avg Week Kisaasi-Kyanja'!N31</f>
        <v>0</v>
      </c>
      <c r="O31" s="15">
        <f t="shared" si="0"/>
        <v>205.71428571428572</v>
      </c>
      <c r="P31" s="15">
        <f t="shared" si="1"/>
        <v>399.71428571428572</v>
      </c>
      <c r="R31" s="1" t="s">
        <v>155</v>
      </c>
      <c r="S31" s="55">
        <f t="shared" si="15"/>
        <v>432.5</v>
      </c>
      <c r="T31" s="55">
        <f t="shared" si="14"/>
        <v>172.5</v>
      </c>
      <c r="U31" s="55">
        <f t="shared" si="14"/>
        <v>39.5</v>
      </c>
      <c r="V31" s="55">
        <f t="shared" si="14"/>
        <v>125.5</v>
      </c>
      <c r="W31" s="55">
        <f t="shared" si="14"/>
        <v>2.5</v>
      </c>
      <c r="X31" s="55">
        <f t="shared" si="14"/>
        <v>0.5</v>
      </c>
      <c r="Y31" s="55">
        <f t="shared" si="14"/>
        <v>21</v>
      </c>
      <c r="Z31" s="55">
        <f t="shared" si="14"/>
        <v>8</v>
      </c>
      <c r="AA31" s="55">
        <f t="shared" si="14"/>
        <v>2</v>
      </c>
      <c r="AB31" s="55">
        <f t="shared" si="14"/>
        <v>2.5</v>
      </c>
      <c r="AC31" s="55">
        <f t="shared" si="14"/>
        <v>685</v>
      </c>
      <c r="AD31" s="55">
        <f t="shared" si="14"/>
        <v>0</v>
      </c>
      <c r="AE31" s="56">
        <f t="shared" si="14"/>
        <v>806.5</v>
      </c>
      <c r="AF31" s="56">
        <f t="shared" si="14"/>
        <v>1491.5</v>
      </c>
    </row>
    <row r="32" spans="2:32" ht="23.1" customHeight="1" x14ac:dyDescent="0.25">
      <c r="B32" s="24" t="s">
        <v>59</v>
      </c>
      <c r="C32" s="49">
        <f>'Avg Week Kyanja-Kisaasi'!C32+'Avg Week Kisaasi-Kyanja'!C32</f>
        <v>104</v>
      </c>
      <c r="D32" s="49">
        <f>'Avg Week Kyanja-Kisaasi'!D32+'Avg Week Kisaasi-Kyanja'!D32</f>
        <v>42.142857142857139</v>
      </c>
      <c r="E32" s="49">
        <f>'Avg Week Kyanja-Kisaasi'!E32+'Avg Week Kisaasi-Kyanja'!E32</f>
        <v>9.8571428571428577</v>
      </c>
      <c r="F32" s="49">
        <f>'Avg Week Kyanja-Kisaasi'!F32+'Avg Week Kisaasi-Kyanja'!F32</f>
        <v>22.714285714285715</v>
      </c>
      <c r="G32" s="49">
        <f>'Avg Week Kyanja-Kisaasi'!G32+'Avg Week Kisaasi-Kyanja'!G32</f>
        <v>0.14285714285714285</v>
      </c>
      <c r="H32" s="49">
        <f>'Avg Week Kyanja-Kisaasi'!H32+'Avg Week Kisaasi-Kyanja'!H32</f>
        <v>0</v>
      </c>
      <c r="I32" s="49">
        <f>'Avg Week Kyanja-Kisaasi'!I32+'Avg Week Kisaasi-Kyanja'!I32</f>
        <v>8.4285714285714288</v>
      </c>
      <c r="J32" s="49">
        <f>'Avg Week Kyanja-Kisaasi'!J32+'Avg Week Kisaasi-Kyanja'!J32</f>
        <v>4.2857142857142856</v>
      </c>
      <c r="K32" s="49">
        <f>'Avg Week Kyanja-Kisaasi'!K32+'Avg Week Kisaasi-Kyanja'!K32</f>
        <v>4.2857142857142856</v>
      </c>
      <c r="L32" s="49">
        <f>'Avg Week Kyanja-Kisaasi'!L32+'Avg Week Kisaasi-Kyanja'!L32</f>
        <v>0.42857142857142855</v>
      </c>
      <c r="M32" s="49">
        <f>'Avg Week Kyanja-Kisaasi'!M32+'Avg Week Kisaasi-Kyanja'!M32</f>
        <v>176.42857142857144</v>
      </c>
      <c r="N32" s="49">
        <f>'Avg Week Kyanja-Kisaasi'!N32+'Avg Week Kisaasi-Kyanja'!N32</f>
        <v>0</v>
      </c>
      <c r="O32" s="15">
        <f t="shared" si="0"/>
        <v>196.28571428571425</v>
      </c>
      <c r="P32" s="15">
        <f t="shared" si="1"/>
        <v>372.71428571428567</v>
      </c>
      <c r="R32" s="1" t="s">
        <v>156</v>
      </c>
      <c r="S32" s="55">
        <f t="shared" si="15"/>
        <v>399.5</v>
      </c>
      <c r="T32" s="55">
        <f t="shared" si="14"/>
        <v>191</v>
      </c>
      <c r="U32" s="55">
        <f t="shared" si="14"/>
        <v>41.5</v>
      </c>
      <c r="V32" s="55">
        <f t="shared" si="14"/>
        <v>122</v>
      </c>
      <c r="W32" s="55">
        <f t="shared" si="14"/>
        <v>0</v>
      </c>
      <c r="X32" s="55">
        <f t="shared" si="14"/>
        <v>0.5</v>
      </c>
      <c r="Y32" s="55">
        <f t="shared" si="14"/>
        <v>21.5</v>
      </c>
      <c r="Z32" s="55">
        <f t="shared" si="14"/>
        <v>5.5</v>
      </c>
      <c r="AA32" s="55">
        <f t="shared" si="14"/>
        <v>3</v>
      </c>
      <c r="AB32" s="55">
        <f t="shared" si="14"/>
        <v>2</v>
      </c>
      <c r="AC32" s="55">
        <f t="shared" si="14"/>
        <v>635</v>
      </c>
      <c r="AD32" s="55">
        <f t="shared" si="14"/>
        <v>0</v>
      </c>
      <c r="AE32" s="56">
        <f t="shared" si="14"/>
        <v>786.5</v>
      </c>
      <c r="AF32" s="56">
        <f t="shared" si="14"/>
        <v>1421.5</v>
      </c>
    </row>
    <row r="33" spans="2:32" ht="23.1" customHeight="1" x14ac:dyDescent="0.25">
      <c r="B33" s="23" t="s">
        <v>60</v>
      </c>
      <c r="C33" s="49">
        <f>'Avg Week Kyanja-Kisaasi'!C33+'Avg Week Kisaasi-Kyanja'!C33</f>
        <v>85</v>
      </c>
      <c r="D33" s="49">
        <f>'Avg Week Kyanja-Kisaasi'!D33+'Avg Week Kisaasi-Kyanja'!D33</f>
        <v>40.571428571428569</v>
      </c>
      <c r="E33" s="49">
        <f>'Avg Week Kyanja-Kisaasi'!E33+'Avg Week Kisaasi-Kyanja'!E33</f>
        <v>12.285714285714285</v>
      </c>
      <c r="F33" s="49">
        <f>'Avg Week Kyanja-Kisaasi'!F33+'Avg Week Kisaasi-Kyanja'!F33</f>
        <v>21.142857142857142</v>
      </c>
      <c r="G33" s="49">
        <f>'Avg Week Kyanja-Kisaasi'!G33+'Avg Week Kisaasi-Kyanja'!G33</f>
        <v>0</v>
      </c>
      <c r="H33" s="49">
        <f>'Avg Week Kyanja-Kisaasi'!H33+'Avg Week Kisaasi-Kyanja'!H33</f>
        <v>0</v>
      </c>
      <c r="I33" s="49">
        <f>'Avg Week Kyanja-Kisaasi'!I33+'Avg Week Kisaasi-Kyanja'!I33</f>
        <v>6.8571428571428577</v>
      </c>
      <c r="J33" s="49">
        <f>'Avg Week Kyanja-Kisaasi'!J33+'Avg Week Kisaasi-Kyanja'!J33</f>
        <v>3</v>
      </c>
      <c r="K33" s="49">
        <f>'Avg Week Kyanja-Kisaasi'!K33+'Avg Week Kisaasi-Kyanja'!K33</f>
        <v>1.5714285714285714</v>
      </c>
      <c r="L33" s="49">
        <f>'Avg Week Kyanja-Kisaasi'!L33+'Avg Week Kisaasi-Kyanja'!L33</f>
        <v>0.14285714285714285</v>
      </c>
      <c r="M33" s="49">
        <f>'Avg Week Kyanja-Kisaasi'!M33+'Avg Week Kisaasi-Kyanja'!M33</f>
        <v>175.85714285714286</v>
      </c>
      <c r="N33" s="49">
        <f>'Avg Week Kyanja-Kisaasi'!N33+'Avg Week Kisaasi-Kyanja'!N33</f>
        <v>0</v>
      </c>
      <c r="O33" s="15">
        <f t="shared" si="0"/>
        <v>170.57142857142858</v>
      </c>
      <c r="P33" s="15">
        <f t="shared" si="1"/>
        <v>346.42857142857144</v>
      </c>
      <c r="R33" s="1" t="s">
        <v>157</v>
      </c>
      <c r="S33" s="55">
        <f t="shared" si="15"/>
        <v>376</v>
      </c>
      <c r="T33" s="55">
        <f t="shared" si="14"/>
        <v>212</v>
      </c>
      <c r="U33" s="55">
        <f t="shared" si="14"/>
        <v>39.5</v>
      </c>
      <c r="V33" s="55">
        <f t="shared" si="14"/>
        <v>116</v>
      </c>
      <c r="W33" s="55">
        <f t="shared" si="14"/>
        <v>0</v>
      </c>
      <c r="X33" s="55">
        <f t="shared" si="14"/>
        <v>0.5</v>
      </c>
      <c r="Y33" s="55">
        <f t="shared" si="14"/>
        <v>22.5</v>
      </c>
      <c r="Z33" s="55">
        <f t="shared" si="14"/>
        <v>6</v>
      </c>
      <c r="AA33" s="55">
        <f t="shared" si="14"/>
        <v>3.5</v>
      </c>
      <c r="AB33" s="55">
        <f t="shared" si="14"/>
        <v>2.5</v>
      </c>
      <c r="AC33" s="55">
        <f t="shared" si="14"/>
        <v>618.5</v>
      </c>
      <c r="AD33" s="55">
        <f t="shared" si="14"/>
        <v>0</v>
      </c>
      <c r="AE33" s="56">
        <f t="shared" si="14"/>
        <v>778.5</v>
      </c>
      <c r="AF33" s="56">
        <f t="shared" si="14"/>
        <v>1397</v>
      </c>
    </row>
    <row r="34" spans="2:32" ht="23.1" customHeight="1" x14ac:dyDescent="0.25">
      <c r="B34" s="24" t="s">
        <v>61</v>
      </c>
      <c r="C34" s="49">
        <f>'Avg Week Kyanja-Kisaasi'!C34+'Avg Week Kisaasi-Kyanja'!C34</f>
        <v>86.285714285714278</v>
      </c>
      <c r="D34" s="49">
        <f>'Avg Week Kyanja-Kisaasi'!D34+'Avg Week Kisaasi-Kyanja'!D34</f>
        <v>51.714285714285708</v>
      </c>
      <c r="E34" s="49">
        <f>'Avg Week Kyanja-Kisaasi'!E34+'Avg Week Kisaasi-Kyanja'!E34</f>
        <v>14.142857142857142</v>
      </c>
      <c r="F34" s="49">
        <f>'Avg Week Kyanja-Kisaasi'!F34+'Avg Week Kisaasi-Kyanja'!F34</f>
        <v>31.142857142857146</v>
      </c>
      <c r="G34" s="49">
        <f>'Avg Week Kyanja-Kisaasi'!G34+'Avg Week Kisaasi-Kyanja'!G34</f>
        <v>0.8571428571428571</v>
      </c>
      <c r="H34" s="49">
        <f>'Avg Week Kyanja-Kisaasi'!H34+'Avg Week Kisaasi-Kyanja'!H34</f>
        <v>0.42857142857142855</v>
      </c>
      <c r="I34" s="49">
        <f>'Avg Week Kyanja-Kisaasi'!I34+'Avg Week Kisaasi-Kyanja'!I34</f>
        <v>7</v>
      </c>
      <c r="J34" s="49">
        <f>'Avg Week Kyanja-Kisaasi'!J34+'Avg Week Kisaasi-Kyanja'!J34</f>
        <v>4.8571428571428568</v>
      </c>
      <c r="K34" s="49">
        <f>'Avg Week Kyanja-Kisaasi'!K34+'Avg Week Kisaasi-Kyanja'!K34</f>
        <v>2.4285714285714288</v>
      </c>
      <c r="L34" s="49">
        <f>'Avg Week Kyanja-Kisaasi'!L34+'Avg Week Kisaasi-Kyanja'!L34</f>
        <v>0.8571428571428571</v>
      </c>
      <c r="M34" s="49">
        <f>'Avg Week Kyanja-Kisaasi'!M34+'Avg Week Kisaasi-Kyanja'!M34</f>
        <v>191.57142857142856</v>
      </c>
      <c r="N34" s="49">
        <f>'Avg Week Kyanja-Kisaasi'!N34+'Avg Week Kisaasi-Kyanja'!N34</f>
        <v>0</v>
      </c>
      <c r="O34" s="15">
        <f t="shared" si="0"/>
        <v>199.71428571428569</v>
      </c>
      <c r="P34" s="15">
        <f t="shared" si="1"/>
        <v>391.28571428571422</v>
      </c>
      <c r="R34" s="38" t="s">
        <v>90</v>
      </c>
      <c r="S34" s="39">
        <f t="shared" ref="S34:AF34" si="16">MAX(S10:S12)</f>
        <v>528</v>
      </c>
      <c r="T34" s="39">
        <f t="shared" si="16"/>
        <v>195.71428571428572</v>
      </c>
      <c r="U34" s="39">
        <f t="shared" si="16"/>
        <v>112.85714285714286</v>
      </c>
      <c r="V34" s="39">
        <f t="shared" si="16"/>
        <v>207.71428571428569</v>
      </c>
      <c r="W34" s="39">
        <f t="shared" si="16"/>
        <v>8.2857142857142847</v>
      </c>
      <c r="X34" s="39">
        <f t="shared" si="16"/>
        <v>0.2857142857142857</v>
      </c>
      <c r="Y34" s="39">
        <f t="shared" si="16"/>
        <v>37.571428571428569</v>
      </c>
      <c r="Z34" s="39">
        <f t="shared" si="16"/>
        <v>11.857142857142858</v>
      </c>
      <c r="AA34" s="39">
        <f t="shared" si="16"/>
        <v>17.142857142857142</v>
      </c>
      <c r="AB34" s="39">
        <f t="shared" si="16"/>
        <v>1.1428571428571428</v>
      </c>
      <c r="AC34" s="39">
        <f t="shared" si="16"/>
        <v>1145.7142857142858</v>
      </c>
      <c r="AD34" s="39">
        <f t="shared" si="16"/>
        <v>0</v>
      </c>
      <c r="AE34" s="40">
        <f t="shared" si="16"/>
        <v>1077.7142857142856</v>
      </c>
      <c r="AF34" s="40">
        <f t="shared" si="16"/>
        <v>2223.4285714285716</v>
      </c>
    </row>
    <row r="35" spans="2:32" ht="23.1" customHeight="1" x14ac:dyDescent="0.25">
      <c r="B35" s="24" t="s">
        <v>62</v>
      </c>
      <c r="C35" s="49">
        <f>'Avg Week Kyanja-Kisaasi'!C35+'Avg Week Kisaasi-Kyanja'!C35</f>
        <v>78.142857142857139</v>
      </c>
      <c r="D35" s="49">
        <f>'Avg Week Kyanja-Kisaasi'!D35+'Avg Week Kisaasi-Kyanja'!D35</f>
        <v>38.714285714285708</v>
      </c>
      <c r="E35" s="49">
        <f>'Avg Week Kyanja-Kisaasi'!E35+'Avg Week Kisaasi-Kyanja'!E35</f>
        <v>11.714285714285714</v>
      </c>
      <c r="F35" s="49">
        <f>'Avg Week Kyanja-Kisaasi'!F35+'Avg Week Kisaasi-Kyanja'!F35</f>
        <v>24.571428571428569</v>
      </c>
      <c r="G35" s="49">
        <f>'Avg Week Kyanja-Kisaasi'!G35+'Avg Week Kisaasi-Kyanja'!G35</f>
        <v>0</v>
      </c>
      <c r="H35" s="49">
        <f>'Avg Week Kyanja-Kisaasi'!H35+'Avg Week Kisaasi-Kyanja'!H35</f>
        <v>0.2857142857142857</v>
      </c>
      <c r="I35" s="49">
        <f>'Avg Week Kyanja-Kisaasi'!I35+'Avg Week Kisaasi-Kyanja'!I35</f>
        <v>7.7142857142857135</v>
      </c>
      <c r="J35" s="49">
        <f>'Avg Week Kyanja-Kisaasi'!J35+'Avg Week Kisaasi-Kyanja'!J35</f>
        <v>4.7142857142857144</v>
      </c>
      <c r="K35" s="49">
        <f>'Avg Week Kyanja-Kisaasi'!K35+'Avg Week Kisaasi-Kyanja'!K35</f>
        <v>2</v>
      </c>
      <c r="L35" s="49">
        <f>'Avg Week Kyanja-Kisaasi'!L35+'Avg Week Kisaasi-Kyanja'!L35</f>
        <v>0.85714285714285721</v>
      </c>
      <c r="M35" s="49">
        <f>'Avg Week Kyanja-Kisaasi'!M35+'Avg Week Kisaasi-Kyanja'!M35</f>
        <v>192.57142857142858</v>
      </c>
      <c r="N35" s="49">
        <f>'Avg Week Kyanja-Kisaasi'!N35+'Avg Week Kisaasi-Kyanja'!N35</f>
        <v>0</v>
      </c>
      <c r="O35" s="15">
        <f t="shared" si="0"/>
        <v>168.71428571428569</v>
      </c>
      <c r="P35" s="15">
        <f t="shared" si="1"/>
        <v>361.28571428571428</v>
      </c>
      <c r="R35" s="38" t="s">
        <v>91</v>
      </c>
      <c r="S35" s="39">
        <f t="shared" ref="S35:AF35" si="17">MAX(S13:S18)</f>
        <v>435.14285714285717</v>
      </c>
      <c r="T35" s="39">
        <f t="shared" si="17"/>
        <v>188.85714285714286</v>
      </c>
      <c r="U35" s="39">
        <f t="shared" si="17"/>
        <v>56.571428571428569</v>
      </c>
      <c r="V35" s="39">
        <f t="shared" si="17"/>
        <v>135.14285714285714</v>
      </c>
      <c r="W35" s="39">
        <f t="shared" si="17"/>
        <v>2</v>
      </c>
      <c r="X35" s="39">
        <f t="shared" si="17"/>
        <v>0.85714285714285698</v>
      </c>
      <c r="Y35" s="39">
        <f t="shared" si="17"/>
        <v>34.714285714285708</v>
      </c>
      <c r="Z35" s="39">
        <f t="shared" si="17"/>
        <v>18.571428571428569</v>
      </c>
      <c r="AA35" s="39">
        <f t="shared" si="17"/>
        <v>16.714285714285712</v>
      </c>
      <c r="AB35" s="39">
        <f t="shared" si="17"/>
        <v>2.8571428571428572</v>
      </c>
      <c r="AC35" s="39">
        <f t="shared" si="17"/>
        <v>866.57142857142867</v>
      </c>
      <c r="AD35" s="39">
        <f t="shared" si="17"/>
        <v>0.14285714285714285</v>
      </c>
      <c r="AE35" s="40">
        <f t="shared" si="17"/>
        <v>870.57142857142856</v>
      </c>
      <c r="AF35" s="40">
        <f t="shared" si="17"/>
        <v>1737.1428571428571</v>
      </c>
    </row>
    <row r="36" spans="2:32" ht="23.1" customHeight="1" x14ac:dyDescent="0.25">
      <c r="B36" s="24" t="s">
        <v>63</v>
      </c>
      <c r="C36" s="49">
        <f>'Avg Week Kyanja-Kisaasi'!C36+'Avg Week Kisaasi-Kyanja'!C36</f>
        <v>99.857142857142861</v>
      </c>
      <c r="D36" s="49">
        <f>'Avg Week Kyanja-Kisaasi'!D36+'Avg Week Kisaasi-Kyanja'!D36</f>
        <v>42.142857142857139</v>
      </c>
      <c r="E36" s="49">
        <f>'Avg Week Kyanja-Kisaasi'!E36+'Avg Week Kisaasi-Kyanja'!E36</f>
        <v>9.2857142857142847</v>
      </c>
      <c r="F36" s="49">
        <f>'Avg Week Kyanja-Kisaasi'!F36+'Avg Week Kisaasi-Kyanja'!F36</f>
        <v>23.285714285714285</v>
      </c>
      <c r="G36" s="49">
        <f>'Avg Week Kyanja-Kisaasi'!G36+'Avg Week Kisaasi-Kyanja'!G36</f>
        <v>0.2857142857142857</v>
      </c>
      <c r="H36" s="49">
        <f>'Avg Week Kyanja-Kisaasi'!H36+'Avg Week Kisaasi-Kyanja'!H36</f>
        <v>0</v>
      </c>
      <c r="I36" s="49">
        <f>'Avg Week Kyanja-Kisaasi'!I36+'Avg Week Kisaasi-Kyanja'!I36</f>
        <v>10.285714285714285</v>
      </c>
      <c r="J36" s="49">
        <f>'Avg Week Kyanja-Kisaasi'!J36+'Avg Week Kisaasi-Kyanja'!J36</f>
        <v>5.5714285714285712</v>
      </c>
      <c r="K36" s="49">
        <f>'Avg Week Kyanja-Kisaasi'!K36+'Avg Week Kisaasi-Kyanja'!K36</f>
        <v>3</v>
      </c>
      <c r="L36" s="49">
        <f>'Avg Week Kyanja-Kisaasi'!L36+'Avg Week Kisaasi-Kyanja'!L36</f>
        <v>0.85714285714285721</v>
      </c>
      <c r="M36" s="49">
        <f>'Avg Week Kyanja-Kisaasi'!M36+'Avg Week Kisaasi-Kyanja'!M36</f>
        <v>166.28571428571428</v>
      </c>
      <c r="N36" s="49">
        <f>'Avg Week Kyanja-Kisaasi'!N36+'Avg Week Kisaasi-Kyanja'!N36</f>
        <v>0</v>
      </c>
      <c r="O36" s="15">
        <f t="shared" si="0"/>
        <v>194.57142857142856</v>
      </c>
      <c r="P36" s="15">
        <f t="shared" si="1"/>
        <v>360.85714285714283</v>
      </c>
      <c r="R36" s="38" t="s">
        <v>92</v>
      </c>
      <c r="S36" s="39">
        <f t="shared" ref="S36:AF36" si="18">MAX(S19:S21)</f>
        <v>508.42857142857144</v>
      </c>
      <c r="T36" s="39">
        <f t="shared" si="18"/>
        <v>294.71428571428572</v>
      </c>
      <c r="U36" s="39">
        <f t="shared" si="18"/>
        <v>65.428571428571431</v>
      </c>
      <c r="V36" s="39">
        <f t="shared" si="18"/>
        <v>188.71428571428572</v>
      </c>
      <c r="W36" s="39">
        <f t="shared" si="18"/>
        <v>2.714285714285714</v>
      </c>
      <c r="X36" s="39">
        <f t="shared" si="18"/>
        <v>0.42857142857142855</v>
      </c>
      <c r="Y36" s="39">
        <f t="shared" si="18"/>
        <v>34</v>
      </c>
      <c r="Z36" s="39">
        <f t="shared" si="18"/>
        <v>13</v>
      </c>
      <c r="AA36" s="39">
        <f t="shared" si="18"/>
        <v>14.285714285714286</v>
      </c>
      <c r="AB36" s="39">
        <f t="shared" si="18"/>
        <v>1.5714285714285712</v>
      </c>
      <c r="AC36" s="39">
        <f t="shared" si="18"/>
        <v>1021.2857142857144</v>
      </c>
      <c r="AD36" s="39">
        <f t="shared" si="18"/>
        <v>0.2857142857142857</v>
      </c>
      <c r="AE36" s="40">
        <f t="shared" si="18"/>
        <v>1054.7142857142856</v>
      </c>
      <c r="AF36" s="40">
        <f t="shared" si="18"/>
        <v>2076</v>
      </c>
    </row>
    <row r="37" spans="2:32" ht="23.1" customHeight="1" x14ac:dyDescent="0.25">
      <c r="B37" s="23" t="s">
        <v>64</v>
      </c>
      <c r="C37" s="49">
        <f>'Avg Week Kyanja-Kisaasi'!C37+'Avg Week Kisaasi-Kyanja'!C37</f>
        <v>100.85714285714286</v>
      </c>
      <c r="D37" s="49">
        <f>'Avg Week Kyanja-Kisaasi'!D37+'Avg Week Kisaasi-Kyanja'!D37</f>
        <v>36.857142857142861</v>
      </c>
      <c r="E37" s="49">
        <f>'Avg Week Kyanja-Kisaasi'!E37+'Avg Week Kisaasi-Kyanja'!E37</f>
        <v>10.428571428571429</v>
      </c>
      <c r="F37" s="49">
        <f>'Avg Week Kyanja-Kisaasi'!F37+'Avg Week Kisaasi-Kyanja'!F37</f>
        <v>25.714285714285715</v>
      </c>
      <c r="G37" s="49">
        <f>'Avg Week Kyanja-Kisaasi'!G37+'Avg Week Kisaasi-Kyanja'!G37</f>
        <v>0</v>
      </c>
      <c r="H37" s="49">
        <f>'Avg Week Kyanja-Kisaasi'!H37+'Avg Week Kisaasi-Kyanja'!H37</f>
        <v>0</v>
      </c>
      <c r="I37" s="49">
        <f>'Avg Week Kyanja-Kisaasi'!I37+'Avg Week Kisaasi-Kyanja'!I37</f>
        <v>9.2857142857142847</v>
      </c>
      <c r="J37" s="49">
        <f>'Avg Week Kyanja-Kisaasi'!J37+'Avg Week Kisaasi-Kyanja'!J37</f>
        <v>3.4285714285714284</v>
      </c>
      <c r="K37" s="49">
        <f>'Avg Week Kyanja-Kisaasi'!K37+'Avg Week Kisaasi-Kyanja'!K37</f>
        <v>2.4285714285714288</v>
      </c>
      <c r="L37" s="49">
        <f>'Avg Week Kyanja-Kisaasi'!L37+'Avg Week Kisaasi-Kyanja'!L37</f>
        <v>0.2857142857142857</v>
      </c>
      <c r="M37" s="49">
        <f>'Avg Week Kyanja-Kisaasi'!M37+'Avg Week Kisaasi-Kyanja'!M37</f>
        <v>168.71428571428572</v>
      </c>
      <c r="N37" s="49">
        <f>'Avg Week Kyanja-Kisaasi'!N37+'Avg Week Kisaasi-Kyanja'!N37</f>
        <v>0</v>
      </c>
      <c r="O37" s="15">
        <f t="shared" si="0"/>
        <v>189.28571428571425</v>
      </c>
      <c r="P37" s="15">
        <f t="shared" si="1"/>
        <v>358</v>
      </c>
      <c r="R37" s="37" t="s">
        <v>85</v>
      </c>
      <c r="S37" s="35">
        <f t="shared" ref="S37:AF37" si="19">SUM(S10:S12)</f>
        <v>1448.4285714285716</v>
      </c>
      <c r="T37" s="16">
        <f t="shared" si="19"/>
        <v>532.57142857142867</v>
      </c>
      <c r="U37" s="16">
        <f t="shared" si="19"/>
        <v>230.28571428571428</v>
      </c>
      <c r="V37" s="16">
        <f t="shared" si="19"/>
        <v>511.57142857142861</v>
      </c>
      <c r="W37" s="16">
        <f t="shared" si="19"/>
        <v>10.142857142857142</v>
      </c>
      <c r="X37" s="16">
        <f t="shared" si="19"/>
        <v>0.42857142857142855</v>
      </c>
      <c r="Y37" s="16">
        <f t="shared" si="19"/>
        <v>85</v>
      </c>
      <c r="Z37" s="16">
        <f t="shared" si="19"/>
        <v>26.142857142857142</v>
      </c>
      <c r="AA37" s="16">
        <f t="shared" si="19"/>
        <v>40.142857142857139</v>
      </c>
      <c r="AB37" s="16">
        <f t="shared" si="19"/>
        <v>2.1428571428571428</v>
      </c>
      <c r="AC37" s="16">
        <f t="shared" si="19"/>
        <v>3245</v>
      </c>
      <c r="AD37" s="16">
        <f t="shared" si="19"/>
        <v>0</v>
      </c>
      <c r="AE37" s="32">
        <f t="shared" si="19"/>
        <v>2886.8571428571427</v>
      </c>
      <c r="AF37" s="32">
        <f t="shared" si="19"/>
        <v>6131.8571428571431</v>
      </c>
    </row>
    <row r="38" spans="2:32" ht="23.1" customHeight="1" x14ac:dyDescent="0.25">
      <c r="B38" s="24" t="s">
        <v>65</v>
      </c>
      <c r="C38" s="49">
        <f>'Avg Week Kyanja-Kisaasi'!C38+'Avg Week Kisaasi-Kyanja'!C38</f>
        <v>105</v>
      </c>
      <c r="D38" s="49">
        <f>'Avg Week Kyanja-Kisaasi'!D38+'Avg Week Kisaasi-Kyanja'!D38</f>
        <v>36.142857142857139</v>
      </c>
      <c r="E38" s="49">
        <f>'Avg Week Kyanja-Kisaasi'!E38+'Avg Week Kisaasi-Kyanja'!E38</f>
        <v>11.571428571428571</v>
      </c>
      <c r="F38" s="49">
        <f>'Avg Week Kyanja-Kisaasi'!F38+'Avg Week Kisaasi-Kyanja'!F38</f>
        <v>22.285714285714285</v>
      </c>
      <c r="G38" s="49">
        <f>'Avg Week Kyanja-Kisaasi'!G38+'Avg Week Kisaasi-Kyanja'!G38</f>
        <v>0</v>
      </c>
      <c r="H38" s="49">
        <f>'Avg Week Kyanja-Kisaasi'!H38+'Avg Week Kisaasi-Kyanja'!H38</f>
        <v>0</v>
      </c>
      <c r="I38" s="49">
        <f>'Avg Week Kyanja-Kisaasi'!I38+'Avg Week Kisaasi-Kyanja'!I38</f>
        <v>10</v>
      </c>
      <c r="J38" s="49">
        <f>'Avg Week Kyanja-Kisaasi'!J38+'Avg Week Kisaasi-Kyanja'!J38</f>
        <v>3.7142857142857144</v>
      </c>
      <c r="K38" s="49">
        <f>'Avg Week Kyanja-Kisaasi'!K38+'Avg Week Kisaasi-Kyanja'!K38</f>
        <v>2.8571428571428568</v>
      </c>
      <c r="L38" s="49">
        <f>'Avg Week Kyanja-Kisaasi'!L38+'Avg Week Kisaasi-Kyanja'!L38</f>
        <v>0.5714285714285714</v>
      </c>
      <c r="M38" s="49">
        <f>'Avg Week Kyanja-Kisaasi'!M38+'Avg Week Kisaasi-Kyanja'!M38</f>
        <v>157.85714285714283</v>
      </c>
      <c r="N38" s="49">
        <f>'Avg Week Kyanja-Kisaasi'!N38+'Avg Week Kisaasi-Kyanja'!N38</f>
        <v>0</v>
      </c>
      <c r="O38" s="15">
        <f t="shared" si="0"/>
        <v>192.14285714285717</v>
      </c>
      <c r="P38" s="15">
        <f t="shared" si="1"/>
        <v>350</v>
      </c>
      <c r="R38" s="28" t="s">
        <v>86</v>
      </c>
      <c r="S38" s="16">
        <f t="shared" ref="S38:AF38" si="20">SUM(S13:S18)</f>
        <v>2375.1428571428569</v>
      </c>
      <c r="T38" s="16">
        <f t="shared" si="20"/>
        <v>1070.4285714285713</v>
      </c>
      <c r="U38" s="16">
        <f t="shared" si="20"/>
        <v>303.71428571428572</v>
      </c>
      <c r="V38" s="16">
        <f t="shared" si="20"/>
        <v>657.71428571428578</v>
      </c>
      <c r="W38" s="16">
        <f t="shared" si="20"/>
        <v>5.2857142857142847</v>
      </c>
      <c r="X38" s="16">
        <f t="shared" si="20"/>
        <v>1.8571428571428568</v>
      </c>
      <c r="Y38" s="16">
        <f t="shared" si="20"/>
        <v>199.71428571428567</v>
      </c>
      <c r="Z38" s="16">
        <f t="shared" si="20"/>
        <v>84.142857142857139</v>
      </c>
      <c r="AA38" s="16">
        <f t="shared" si="20"/>
        <v>80.142857142857139</v>
      </c>
      <c r="AB38" s="16">
        <f t="shared" si="20"/>
        <v>11.285714285714285</v>
      </c>
      <c r="AC38" s="16">
        <f t="shared" si="20"/>
        <v>4596.8571428571431</v>
      </c>
      <c r="AD38" s="16">
        <f t="shared" si="20"/>
        <v>0.42857142857142855</v>
      </c>
      <c r="AE38" s="32">
        <f t="shared" si="20"/>
        <v>4789.8571428571431</v>
      </c>
      <c r="AF38" s="32">
        <f t="shared" si="20"/>
        <v>9386.7142857142862</v>
      </c>
    </row>
    <row r="39" spans="2:32" ht="23.1" customHeight="1" x14ac:dyDescent="0.25">
      <c r="B39" s="24" t="s">
        <v>66</v>
      </c>
      <c r="C39" s="49">
        <f>'Avg Week Kyanja-Kisaasi'!C39+'Avg Week Kisaasi-Kyanja'!C39</f>
        <v>94.285714285714278</v>
      </c>
      <c r="D39" s="49">
        <f>'Avg Week Kyanja-Kisaasi'!D39+'Avg Week Kisaasi-Kyanja'!D39</f>
        <v>39.285714285714285</v>
      </c>
      <c r="E39" s="49">
        <f>'Avg Week Kyanja-Kisaasi'!E39+'Avg Week Kisaasi-Kyanja'!E39</f>
        <v>15</v>
      </c>
      <c r="F39" s="49">
        <f>'Avg Week Kyanja-Kisaasi'!F39+'Avg Week Kisaasi-Kyanja'!F39</f>
        <v>27.285714285714285</v>
      </c>
      <c r="G39" s="49">
        <f>'Avg Week Kyanja-Kisaasi'!G39+'Avg Week Kisaasi-Kyanja'!G39</f>
        <v>1.1428571428571428</v>
      </c>
      <c r="H39" s="49">
        <f>'Avg Week Kyanja-Kisaasi'!H39+'Avg Week Kisaasi-Kyanja'!H39</f>
        <v>0</v>
      </c>
      <c r="I39" s="49">
        <f>'Avg Week Kyanja-Kisaasi'!I39+'Avg Week Kisaasi-Kyanja'!I39</f>
        <v>7.2857142857142865</v>
      </c>
      <c r="J39" s="49">
        <f>'Avg Week Kyanja-Kisaasi'!J39+'Avg Week Kisaasi-Kyanja'!J39</f>
        <v>3</v>
      </c>
      <c r="K39" s="49">
        <f>'Avg Week Kyanja-Kisaasi'!K39+'Avg Week Kisaasi-Kyanja'!K39</f>
        <v>2.4285714285714284</v>
      </c>
      <c r="L39" s="49">
        <f>'Avg Week Kyanja-Kisaasi'!L39+'Avg Week Kisaasi-Kyanja'!L39</f>
        <v>0.2857142857142857</v>
      </c>
      <c r="M39" s="49">
        <f>'Avg Week Kyanja-Kisaasi'!M39+'Avg Week Kisaasi-Kyanja'!M39</f>
        <v>182.28571428571428</v>
      </c>
      <c r="N39" s="49">
        <f>'Avg Week Kyanja-Kisaasi'!N39+'Avg Week Kisaasi-Kyanja'!N39</f>
        <v>0</v>
      </c>
      <c r="O39" s="15">
        <f t="shared" si="0"/>
        <v>189.99999999999994</v>
      </c>
      <c r="P39" s="15">
        <f t="shared" si="1"/>
        <v>372.28571428571422</v>
      </c>
      <c r="R39" s="29" t="s">
        <v>87</v>
      </c>
      <c r="S39" s="16">
        <f t="shared" ref="S39:AF39" si="21">SUM(S19:S21)</f>
        <v>1422.7142857142858</v>
      </c>
      <c r="T39" s="16">
        <f t="shared" si="21"/>
        <v>789.57142857142867</v>
      </c>
      <c r="U39" s="16">
        <f t="shared" si="21"/>
        <v>180.14285714285714</v>
      </c>
      <c r="V39" s="16">
        <f t="shared" si="21"/>
        <v>440</v>
      </c>
      <c r="W39" s="16">
        <f t="shared" si="21"/>
        <v>5.7142857142857135</v>
      </c>
      <c r="X39" s="16">
        <f t="shared" si="21"/>
        <v>0.5714285714285714</v>
      </c>
      <c r="Y39" s="16">
        <f t="shared" si="21"/>
        <v>84.714285714285708</v>
      </c>
      <c r="Z39" s="16">
        <f t="shared" si="21"/>
        <v>34.428571428571431</v>
      </c>
      <c r="AA39" s="16">
        <f t="shared" si="21"/>
        <v>29.285714285714285</v>
      </c>
      <c r="AB39" s="16">
        <f t="shared" si="21"/>
        <v>3.1428571428571423</v>
      </c>
      <c r="AC39" s="16">
        <f t="shared" si="21"/>
        <v>2785.7142857142862</v>
      </c>
      <c r="AD39" s="16">
        <f t="shared" si="21"/>
        <v>0.42857142857142855</v>
      </c>
      <c r="AE39" s="32">
        <f t="shared" si="21"/>
        <v>2990.7142857142853</v>
      </c>
      <c r="AF39" s="32">
        <f t="shared" si="21"/>
        <v>5776.4285714285716</v>
      </c>
    </row>
    <row r="40" spans="2:32" ht="23.1" customHeight="1" x14ac:dyDescent="0.25">
      <c r="B40" s="24" t="s">
        <v>67</v>
      </c>
      <c r="C40" s="49">
        <f>'Avg Week Kyanja-Kisaasi'!C40+'Avg Week Kisaasi-Kyanja'!C40</f>
        <v>99.571428571428569</v>
      </c>
      <c r="D40" s="49">
        <f>'Avg Week Kyanja-Kisaasi'!D40+'Avg Week Kisaasi-Kyanja'!D40</f>
        <v>50.285714285714292</v>
      </c>
      <c r="E40" s="49">
        <f>'Avg Week Kyanja-Kisaasi'!E40+'Avg Week Kisaasi-Kyanja'!E40</f>
        <v>10.142857142857142</v>
      </c>
      <c r="F40" s="49">
        <f>'Avg Week Kyanja-Kisaasi'!F40+'Avg Week Kisaasi-Kyanja'!F40</f>
        <v>28</v>
      </c>
      <c r="G40" s="49">
        <f>'Avg Week Kyanja-Kisaasi'!G40+'Avg Week Kisaasi-Kyanja'!G40</f>
        <v>0.5714285714285714</v>
      </c>
      <c r="H40" s="49">
        <f>'Avg Week Kyanja-Kisaasi'!H40+'Avg Week Kisaasi-Kyanja'!H40</f>
        <v>0.71428571428571419</v>
      </c>
      <c r="I40" s="49">
        <f>'Avg Week Kyanja-Kisaasi'!I40+'Avg Week Kisaasi-Kyanja'!I40</f>
        <v>9.5714285714285712</v>
      </c>
      <c r="J40" s="49">
        <f>'Avg Week Kyanja-Kisaasi'!J40+'Avg Week Kisaasi-Kyanja'!J40</f>
        <v>3.4285714285714288</v>
      </c>
      <c r="K40" s="49">
        <f>'Avg Week Kyanja-Kisaasi'!K40+'Avg Week Kisaasi-Kyanja'!K40</f>
        <v>3.5714285714285712</v>
      </c>
      <c r="L40" s="49">
        <f>'Avg Week Kyanja-Kisaasi'!L40+'Avg Week Kisaasi-Kyanja'!L40</f>
        <v>0.42857142857142855</v>
      </c>
      <c r="M40" s="49">
        <f>'Avg Week Kyanja-Kisaasi'!M40+'Avg Week Kisaasi-Kyanja'!M40</f>
        <v>189.28571428571428</v>
      </c>
      <c r="N40" s="49">
        <f>'Avg Week Kyanja-Kisaasi'!N40+'Avg Week Kisaasi-Kyanja'!N40</f>
        <v>0</v>
      </c>
      <c r="O40" s="15">
        <f t="shared" si="0"/>
        <v>206.28571428571431</v>
      </c>
      <c r="P40" s="15">
        <f t="shared" si="1"/>
        <v>395.57142857142856</v>
      </c>
      <c r="R40" s="5" t="s">
        <v>17</v>
      </c>
      <c r="S40" s="16">
        <f t="shared" ref="S40:AF40" si="22">SUM(S10:S21)</f>
        <v>5246.2857142857147</v>
      </c>
      <c r="T40" s="16">
        <f t="shared" si="22"/>
        <v>2392.5714285714284</v>
      </c>
      <c r="U40" s="16">
        <f t="shared" si="22"/>
        <v>714.14285714285711</v>
      </c>
      <c r="V40" s="16">
        <f t="shared" si="22"/>
        <v>1609.2857142857142</v>
      </c>
      <c r="W40" s="16">
        <f t="shared" si="22"/>
        <v>21.142857142857142</v>
      </c>
      <c r="X40" s="16">
        <f t="shared" si="22"/>
        <v>2.8571428571428568</v>
      </c>
      <c r="Y40" s="16">
        <f t="shared" si="22"/>
        <v>369.42857142857139</v>
      </c>
      <c r="Z40" s="16">
        <f t="shared" si="22"/>
        <v>144.71428571428569</v>
      </c>
      <c r="AA40" s="16">
        <f t="shared" si="22"/>
        <v>149.57142857142856</v>
      </c>
      <c r="AB40" s="16">
        <f t="shared" si="22"/>
        <v>16.571428571428569</v>
      </c>
      <c r="AC40" s="16">
        <f t="shared" si="22"/>
        <v>10627.571428571426</v>
      </c>
      <c r="AD40" s="16">
        <f t="shared" si="22"/>
        <v>0.85714285714285698</v>
      </c>
      <c r="AE40" s="32">
        <f t="shared" si="22"/>
        <v>10667.428571428571</v>
      </c>
      <c r="AF40" s="32">
        <f t="shared" si="22"/>
        <v>21294.999999999996</v>
      </c>
    </row>
    <row r="41" spans="2:32" ht="23.1" customHeight="1" x14ac:dyDescent="0.25">
      <c r="B41" s="23" t="s">
        <v>68</v>
      </c>
      <c r="C41" s="49">
        <f>'Avg Week Kyanja-Kisaasi'!C41+'Avg Week Kisaasi-Kyanja'!C41</f>
        <v>101.28571428571429</v>
      </c>
      <c r="D41" s="49">
        <f>'Avg Week Kyanja-Kisaasi'!D41+'Avg Week Kisaasi-Kyanja'!D41</f>
        <v>55.428571428571431</v>
      </c>
      <c r="E41" s="49">
        <f>'Avg Week Kyanja-Kisaasi'!E41+'Avg Week Kisaasi-Kyanja'!E41</f>
        <v>11.714285714285715</v>
      </c>
      <c r="F41" s="49">
        <f>'Avg Week Kyanja-Kisaasi'!F41+'Avg Week Kisaasi-Kyanja'!F41</f>
        <v>24.571428571428569</v>
      </c>
      <c r="G41" s="49">
        <f>'Avg Week Kyanja-Kisaasi'!G41+'Avg Week Kisaasi-Kyanja'!G41</f>
        <v>0.2857142857142857</v>
      </c>
      <c r="H41" s="49">
        <f>'Avg Week Kyanja-Kisaasi'!H41+'Avg Week Kisaasi-Kyanja'!H41</f>
        <v>0.14285714285714285</v>
      </c>
      <c r="I41" s="49">
        <f>'Avg Week Kyanja-Kisaasi'!I41+'Avg Week Kisaasi-Kyanja'!I41</f>
        <v>7.8571428571428577</v>
      </c>
      <c r="J41" s="49">
        <f>'Avg Week Kyanja-Kisaasi'!J41+'Avg Week Kisaasi-Kyanja'!J41</f>
        <v>3.7142857142857144</v>
      </c>
      <c r="K41" s="49">
        <f>'Avg Week Kyanja-Kisaasi'!K41+'Avg Week Kisaasi-Kyanja'!K41</f>
        <v>3.1428571428571428</v>
      </c>
      <c r="L41" s="49">
        <f>'Avg Week Kyanja-Kisaasi'!L41+'Avg Week Kisaasi-Kyanja'!L41</f>
        <v>0.2857142857142857</v>
      </c>
      <c r="M41" s="49">
        <f>'Avg Week Kyanja-Kisaasi'!M41+'Avg Week Kisaasi-Kyanja'!M41</f>
        <v>177</v>
      </c>
      <c r="N41" s="49">
        <f>'Avg Week Kyanja-Kisaasi'!N41+'Avg Week Kisaasi-Kyanja'!N41</f>
        <v>0.14285714285714285</v>
      </c>
      <c r="O41" s="15">
        <f t="shared" si="0"/>
        <v>208.57142857142856</v>
      </c>
      <c r="P41" s="15">
        <f t="shared" si="1"/>
        <v>385.57142857142861</v>
      </c>
      <c r="R41" s="5" t="s">
        <v>186</v>
      </c>
      <c r="S41" s="53">
        <f>SUM(S10:S33)</f>
        <v>10319.285714285714</v>
      </c>
      <c r="T41" s="53">
        <f t="shared" ref="T41:AD41" si="23">SUM(T10:T33)</f>
        <v>4647.5714285714284</v>
      </c>
      <c r="U41" s="53">
        <f t="shared" si="23"/>
        <v>1225.1428571428571</v>
      </c>
      <c r="V41" s="53">
        <f t="shared" si="23"/>
        <v>3259.7857142857142</v>
      </c>
      <c r="W41" s="53">
        <f t="shared" si="23"/>
        <v>34.142857142857139</v>
      </c>
      <c r="X41" s="53">
        <f t="shared" si="23"/>
        <v>4.8571428571428568</v>
      </c>
      <c r="Y41" s="53">
        <f t="shared" si="23"/>
        <v>617.92857142857133</v>
      </c>
      <c r="Z41" s="53">
        <f t="shared" si="23"/>
        <v>239.21428571428569</v>
      </c>
      <c r="AA41" s="53">
        <f t="shared" si="23"/>
        <v>203.07142857142856</v>
      </c>
      <c r="AB41" s="53">
        <f t="shared" si="23"/>
        <v>28.571428571428569</v>
      </c>
      <c r="AC41" s="53">
        <f t="shared" si="23"/>
        <v>19832.571428571428</v>
      </c>
      <c r="AD41" s="53">
        <f t="shared" si="23"/>
        <v>0.85714285714285698</v>
      </c>
      <c r="AE41" s="54">
        <f>SUM(AE10:AE33)</f>
        <v>20580.428571428572</v>
      </c>
      <c r="AF41" s="54">
        <f>SUM(AF10:AF33)</f>
        <v>40413</v>
      </c>
    </row>
    <row r="42" spans="2:32" ht="23.1" customHeight="1" x14ac:dyDescent="0.25">
      <c r="B42" s="24" t="s">
        <v>69</v>
      </c>
      <c r="C42" s="49">
        <f>'Avg Week Kyanja-Kisaasi'!C42+'Avg Week Kisaasi-Kyanja'!C42</f>
        <v>96.285714285714278</v>
      </c>
      <c r="D42" s="49">
        <f>'Avg Week Kyanja-Kisaasi'!D42+'Avg Week Kisaasi-Kyanja'!D42</f>
        <v>47.714285714285708</v>
      </c>
      <c r="E42" s="49">
        <f>'Avg Week Kyanja-Kisaasi'!E42+'Avg Week Kisaasi-Kyanja'!E42</f>
        <v>16</v>
      </c>
      <c r="F42" s="49">
        <f>'Avg Week Kyanja-Kisaasi'!F42+'Avg Week Kisaasi-Kyanja'!F42</f>
        <v>28.428571428571431</v>
      </c>
      <c r="G42" s="49">
        <f>'Avg Week Kyanja-Kisaasi'!G42+'Avg Week Kisaasi-Kyanja'!G42</f>
        <v>0</v>
      </c>
      <c r="H42" s="49">
        <f>'Avg Week Kyanja-Kisaasi'!H42+'Avg Week Kisaasi-Kyanja'!H42</f>
        <v>0</v>
      </c>
      <c r="I42" s="49">
        <f>'Avg Week Kyanja-Kisaasi'!I42+'Avg Week Kisaasi-Kyanja'!I42</f>
        <v>9.4285714285714288</v>
      </c>
      <c r="J42" s="49">
        <f>'Avg Week Kyanja-Kisaasi'!J42+'Avg Week Kisaasi-Kyanja'!J42</f>
        <v>4.5714285714285712</v>
      </c>
      <c r="K42" s="49">
        <f>'Avg Week Kyanja-Kisaasi'!K42+'Avg Week Kisaasi-Kyanja'!K42</f>
        <v>3.4285714285714288</v>
      </c>
      <c r="L42" s="49">
        <f>'Avg Week Kyanja-Kisaasi'!L42+'Avg Week Kisaasi-Kyanja'!L42</f>
        <v>0.2857142857142857</v>
      </c>
      <c r="M42" s="49">
        <f>'Avg Week Kyanja-Kisaasi'!M42+'Avg Week Kisaasi-Kyanja'!M42</f>
        <v>196.28571428571428</v>
      </c>
      <c r="N42" s="49">
        <f>'Avg Week Kyanja-Kisaasi'!N42+'Avg Week Kisaasi-Kyanja'!N42</f>
        <v>0.14285714285714285</v>
      </c>
      <c r="O42" s="15">
        <f t="shared" si="0"/>
        <v>206.28571428571428</v>
      </c>
      <c r="P42" s="15">
        <f t="shared" si="1"/>
        <v>402.57142857142861</v>
      </c>
      <c r="R42" s="5" t="s">
        <v>160</v>
      </c>
      <c r="S42" s="48">
        <f>S41/S40</f>
        <v>1.9669698289946627</v>
      </c>
      <c r="T42" s="48">
        <f t="shared" ref="T42:AF42" si="24">T41/T40</f>
        <v>1.9425005970862192</v>
      </c>
      <c r="U42" s="48">
        <f t="shared" si="24"/>
        <v>1.7155431086217243</v>
      </c>
      <c r="V42" s="48">
        <f t="shared" si="24"/>
        <v>2.0256102973812693</v>
      </c>
      <c r="W42" s="48">
        <f t="shared" si="24"/>
        <v>1.6148648648648647</v>
      </c>
      <c r="X42" s="48">
        <f t="shared" si="24"/>
        <v>1.7000000000000002</v>
      </c>
      <c r="Y42" s="48">
        <f t="shared" si="24"/>
        <v>1.6726604795050271</v>
      </c>
      <c r="Z42" s="48">
        <f t="shared" si="24"/>
        <v>1.6530108588351433</v>
      </c>
      <c r="AA42" s="48">
        <f t="shared" si="24"/>
        <v>1.3576886341929322</v>
      </c>
      <c r="AB42" s="48">
        <f t="shared" si="24"/>
        <v>1.7241379310344829</v>
      </c>
      <c r="AC42" s="48">
        <f t="shared" si="24"/>
        <v>1.8661433199360158</v>
      </c>
      <c r="AD42" s="48">
        <f t="shared" si="24"/>
        <v>1</v>
      </c>
      <c r="AE42" s="51">
        <f t="shared" si="24"/>
        <v>1.9292773730447828</v>
      </c>
      <c r="AF42" s="51">
        <f t="shared" si="24"/>
        <v>1.8977694294435317</v>
      </c>
    </row>
    <row r="43" spans="2:32" ht="23.1" customHeight="1" x14ac:dyDescent="0.25">
      <c r="B43" s="23" t="s">
        <v>70</v>
      </c>
      <c r="C43" s="49">
        <f>'Avg Week Kyanja-Kisaasi'!C43+'Avg Week Kisaasi-Kyanja'!C43</f>
        <v>82.428571428571431</v>
      </c>
      <c r="D43" s="49">
        <f>'Avg Week Kyanja-Kisaasi'!D43+'Avg Week Kisaasi-Kyanja'!D43</f>
        <v>49.857142857142861</v>
      </c>
      <c r="E43" s="49">
        <f>'Avg Week Kyanja-Kisaasi'!E43+'Avg Week Kisaasi-Kyanja'!E43</f>
        <v>13</v>
      </c>
      <c r="F43" s="49">
        <f>'Avg Week Kyanja-Kisaasi'!F43+'Avg Week Kisaasi-Kyanja'!F43</f>
        <v>21</v>
      </c>
      <c r="G43" s="49">
        <f>'Avg Week Kyanja-Kisaasi'!G43+'Avg Week Kisaasi-Kyanja'!G43</f>
        <v>0.14285714285714285</v>
      </c>
      <c r="H43" s="49">
        <f>'Avg Week Kyanja-Kisaasi'!H43+'Avg Week Kisaasi-Kyanja'!H43</f>
        <v>0</v>
      </c>
      <c r="I43" s="49">
        <f>'Avg Week Kyanja-Kisaasi'!I43+'Avg Week Kisaasi-Kyanja'!I43</f>
        <v>7.7142857142857135</v>
      </c>
      <c r="J43" s="49">
        <f>'Avg Week Kyanja-Kisaasi'!J43+'Avg Week Kisaasi-Kyanja'!J43</f>
        <v>4.4285714285714288</v>
      </c>
      <c r="K43" s="49">
        <f>'Avg Week Kyanja-Kisaasi'!K43+'Avg Week Kisaasi-Kyanja'!K43</f>
        <v>1.2857142857142856</v>
      </c>
      <c r="L43" s="49">
        <f>'Avg Week Kyanja-Kisaasi'!L43+'Avg Week Kisaasi-Kyanja'!L43</f>
        <v>0</v>
      </c>
      <c r="M43" s="49">
        <f>'Avg Week Kyanja-Kisaasi'!M43+'Avg Week Kisaasi-Kyanja'!M43</f>
        <v>181.71428571428572</v>
      </c>
      <c r="N43" s="49">
        <f>'Avg Week Kyanja-Kisaasi'!N43+'Avg Week Kisaasi-Kyanja'!N43</f>
        <v>0</v>
      </c>
      <c r="O43" s="15">
        <f t="shared" si="0"/>
        <v>179.85714285714283</v>
      </c>
      <c r="P43" s="15">
        <f t="shared" si="1"/>
        <v>361.57142857142856</v>
      </c>
    </row>
    <row r="44" spans="2:32" ht="23.1" customHeight="1" x14ac:dyDescent="0.25">
      <c r="B44" s="25" t="s">
        <v>71</v>
      </c>
      <c r="C44" s="49">
        <f>'Avg Week Kyanja-Kisaasi'!C44+'Avg Week Kisaasi-Kyanja'!C44</f>
        <v>86.714285714285722</v>
      </c>
      <c r="D44" s="49">
        <f>'Avg Week Kyanja-Kisaasi'!D44+'Avg Week Kisaasi-Kyanja'!D44</f>
        <v>48.571428571428569</v>
      </c>
      <c r="E44" s="49">
        <f>'Avg Week Kyanja-Kisaasi'!E44+'Avg Week Kisaasi-Kyanja'!E44</f>
        <v>12</v>
      </c>
      <c r="F44" s="49">
        <f>'Avg Week Kyanja-Kisaasi'!F44+'Avg Week Kisaasi-Kyanja'!F44</f>
        <v>28.142857142857142</v>
      </c>
      <c r="G44" s="49">
        <f>'Avg Week Kyanja-Kisaasi'!G44+'Avg Week Kisaasi-Kyanja'!G44</f>
        <v>0.42857142857142855</v>
      </c>
      <c r="H44" s="49">
        <f>'Avg Week Kyanja-Kisaasi'!H44+'Avg Week Kisaasi-Kyanja'!H44</f>
        <v>0</v>
      </c>
      <c r="I44" s="49">
        <f>'Avg Week Kyanja-Kisaasi'!I44+'Avg Week Kisaasi-Kyanja'!I44</f>
        <v>8.7142857142857135</v>
      </c>
      <c r="J44" s="49">
        <f>'Avg Week Kyanja-Kisaasi'!J44+'Avg Week Kisaasi-Kyanja'!J44</f>
        <v>4.5714285714285712</v>
      </c>
      <c r="K44" s="49">
        <f>'Avg Week Kyanja-Kisaasi'!K44+'Avg Week Kisaasi-Kyanja'!K44</f>
        <v>5.2857142857142856</v>
      </c>
      <c r="L44" s="49">
        <f>'Avg Week Kyanja-Kisaasi'!L44+'Avg Week Kisaasi-Kyanja'!L44</f>
        <v>0.2857142857142857</v>
      </c>
      <c r="M44" s="49">
        <f>'Avg Week Kyanja-Kisaasi'!M44+'Avg Week Kisaasi-Kyanja'!M44</f>
        <v>181</v>
      </c>
      <c r="N44" s="49">
        <f>'Avg Week Kyanja-Kisaasi'!N44+'Avg Week Kisaasi-Kyanja'!N44</f>
        <v>0</v>
      </c>
      <c r="O44" s="15">
        <f t="shared" si="0"/>
        <v>194.71428571428569</v>
      </c>
      <c r="P44" s="15">
        <f t="shared" si="1"/>
        <v>375.71428571428567</v>
      </c>
    </row>
    <row r="45" spans="2:32" ht="23.1" customHeight="1" x14ac:dyDescent="0.25">
      <c r="B45" s="23" t="s">
        <v>72</v>
      </c>
      <c r="C45" s="49">
        <f>'Avg Week Kyanja-Kisaasi'!C45+'Avg Week Kisaasi-Kyanja'!C45</f>
        <v>92.428571428571431</v>
      </c>
      <c r="D45" s="49">
        <f>'Avg Week Kyanja-Kisaasi'!D45+'Avg Week Kisaasi-Kyanja'!D45</f>
        <v>42.714285714285715</v>
      </c>
      <c r="E45" s="49">
        <f>'Avg Week Kyanja-Kisaasi'!E45+'Avg Week Kisaasi-Kyanja'!E45</f>
        <v>14.142857142857142</v>
      </c>
      <c r="F45" s="49">
        <f>'Avg Week Kyanja-Kisaasi'!F45+'Avg Week Kisaasi-Kyanja'!F45</f>
        <v>23.285714285714285</v>
      </c>
      <c r="G45" s="49">
        <f>'Avg Week Kyanja-Kisaasi'!G45+'Avg Week Kisaasi-Kyanja'!G45</f>
        <v>0</v>
      </c>
      <c r="H45" s="49">
        <f>'Avg Week Kyanja-Kisaasi'!H45+'Avg Week Kisaasi-Kyanja'!H45</f>
        <v>0</v>
      </c>
      <c r="I45" s="49">
        <f>'Avg Week Kyanja-Kisaasi'!I45+'Avg Week Kisaasi-Kyanja'!I45</f>
        <v>7.4285714285714288</v>
      </c>
      <c r="J45" s="49">
        <f>'Avg Week Kyanja-Kisaasi'!J45+'Avg Week Kisaasi-Kyanja'!J45</f>
        <v>2.5714285714285712</v>
      </c>
      <c r="K45" s="49">
        <f>'Avg Week Kyanja-Kisaasi'!K45+'Avg Week Kisaasi-Kyanja'!K45</f>
        <v>5</v>
      </c>
      <c r="L45" s="49">
        <f>'Avg Week Kyanja-Kisaasi'!L45+'Avg Week Kisaasi-Kyanja'!L45</f>
        <v>0.14285714285714285</v>
      </c>
      <c r="M45" s="49">
        <f>'Avg Week Kyanja-Kisaasi'!M45+'Avg Week Kisaasi-Kyanja'!M45</f>
        <v>194.57142857142856</v>
      </c>
      <c r="N45" s="49">
        <f>'Avg Week Kyanja-Kisaasi'!N45+'Avg Week Kisaasi-Kyanja'!N45</f>
        <v>0</v>
      </c>
      <c r="O45" s="15">
        <f t="shared" si="0"/>
        <v>187.71428571428569</v>
      </c>
      <c r="P45" s="15">
        <f t="shared" si="1"/>
        <v>382.28571428571422</v>
      </c>
    </row>
    <row r="46" spans="2:32" ht="23.1" customHeight="1" x14ac:dyDescent="0.25">
      <c r="B46" s="24" t="s">
        <v>73</v>
      </c>
      <c r="C46" s="49">
        <f>'Avg Week Kyanja-Kisaasi'!C46+'Avg Week Kisaasi-Kyanja'!C46</f>
        <v>101.42857142857143</v>
      </c>
      <c r="D46" s="49">
        <f>'Avg Week Kyanja-Kisaasi'!D46+'Avg Week Kisaasi-Kyanja'!D46</f>
        <v>48.428571428571431</v>
      </c>
      <c r="E46" s="49">
        <f>'Avg Week Kyanja-Kisaasi'!E46+'Avg Week Kisaasi-Kyanja'!E46</f>
        <v>14.428571428571429</v>
      </c>
      <c r="F46" s="49">
        <f>'Avg Week Kyanja-Kisaasi'!F46+'Avg Week Kisaasi-Kyanja'!F46</f>
        <v>28.714285714285715</v>
      </c>
      <c r="G46" s="49">
        <f>'Avg Week Kyanja-Kisaasi'!G46+'Avg Week Kisaasi-Kyanja'!G46</f>
        <v>0.2857142857142857</v>
      </c>
      <c r="H46" s="49">
        <f>'Avg Week Kyanja-Kisaasi'!H46+'Avg Week Kisaasi-Kyanja'!H46</f>
        <v>0</v>
      </c>
      <c r="I46" s="49">
        <f>'Avg Week Kyanja-Kisaasi'!I46+'Avg Week Kisaasi-Kyanja'!I46</f>
        <v>8.2857142857142847</v>
      </c>
      <c r="J46" s="49">
        <f>'Avg Week Kyanja-Kisaasi'!J46+'Avg Week Kisaasi-Kyanja'!J46</f>
        <v>4.4285714285714288</v>
      </c>
      <c r="K46" s="49">
        <f>'Avg Week Kyanja-Kisaasi'!K46+'Avg Week Kisaasi-Kyanja'!K46</f>
        <v>3.2857142857142856</v>
      </c>
      <c r="L46" s="49">
        <f>'Avg Week Kyanja-Kisaasi'!L46+'Avg Week Kisaasi-Kyanja'!L46</f>
        <v>0</v>
      </c>
      <c r="M46" s="49">
        <f>'Avg Week Kyanja-Kisaasi'!M46+'Avg Week Kisaasi-Kyanja'!M46</f>
        <v>196</v>
      </c>
      <c r="N46" s="49">
        <f>'Avg Week Kyanja-Kisaasi'!N46+'Avg Week Kisaasi-Kyanja'!N46</f>
        <v>0.14285714285714285</v>
      </c>
      <c r="O46" s="15">
        <f t="shared" si="0"/>
        <v>209.42857142857139</v>
      </c>
      <c r="P46" s="15">
        <f t="shared" si="1"/>
        <v>405.42857142857139</v>
      </c>
    </row>
    <row r="47" spans="2:32" ht="23.1" customHeight="1" x14ac:dyDescent="0.25">
      <c r="B47" s="24" t="s">
        <v>74</v>
      </c>
      <c r="C47" s="49">
        <f>'Avg Week Kyanja-Kisaasi'!C47+'Avg Week Kisaasi-Kyanja'!C47</f>
        <v>109.28571428571428</v>
      </c>
      <c r="D47" s="49">
        <f>'Avg Week Kyanja-Kisaasi'!D47+'Avg Week Kisaasi-Kyanja'!D47</f>
        <v>53.571428571428569</v>
      </c>
      <c r="E47" s="49">
        <f>'Avg Week Kyanja-Kisaasi'!E47+'Avg Week Kisaasi-Kyanja'!E47</f>
        <v>11.857142857142858</v>
      </c>
      <c r="F47" s="49">
        <f>'Avg Week Kyanja-Kisaasi'!F47+'Avg Week Kisaasi-Kyanja'!F47</f>
        <v>24.428571428571431</v>
      </c>
      <c r="G47" s="49">
        <f>'Avg Week Kyanja-Kisaasi'!G47+'Avg Week Kisaasi-Kyanja'!G47</f>
        <v>0.2857142857142857</v>
      </c>
      <c r="H47" s="49">
        <f>'Avg Week Kyanja-Kisaasi'!H47+'Avg Week Kisaasi-Kyanja'!H47</f>
        <v>0</v>
      </c>
      <c r="I47" s="49">
        <f>'Avg Week Kyanja-Kisaasi'!I47+'Avg Week Kisaasi-Kyanja'!I47</f>
        <v>11.142857142857142</v>
      </c>
      <c r="J47" s="49">
        <f>'Avg Week Kyanja-Kisaasi'!J47+'Avg Week Kisaasi-Kyanja'!J47</f>
        <v>2.7142857142857144</v>
      </c>
      <c r="K47" s="49">
        <f>'Avg Week Kyanja-Kisaasi'!K47+'Avg Week Kisaasi-Kyanja'!K47</f>
        <v>3.4285714285714288</v>
      </c>
      <c r="L47" s="49">
        <f>'Avg Week Kyanja-Kisaasi'!L47+'Avg Week Kisaasi-Kyanja'!L47</f>
        <v>0.5714285714285714</v>
      </c>
      <c r="M47" s="49">
        <f>'Avg Week Kyanja-Kisaasi'!M47+'Avg Week Kisaasi-Kyanja'!M47</f>
        <v>195.71428571428572</v>
      </c>
      <c r="N47" s="49">
        <f>'Avg Week Kyanja-Kisaasi'!N47+'Avg Week Kisaasi-Kyanja'!N47</f>
        <v>0</v>
      </c>
      <c r="O47" s="15">
        <f t="shared" si="0"/>
        <v>217.28571428571425</v>
      </c>
      <c r="P47" s="15">
        <f t="shared" si="1"/>
        <v>413</v>
      </c>
      <c r="R47" s="8"/>
      <c r="T47"/>
    </row>
    <row r="48" spans="2:32" ht="23.1" customHeight="1" x14ac:dyDescent="0.25">
      <c r="B48" s="24" t="s">
        <v>75</v>
      </c>
      <c r="C48" s="49">
        <f>'Avg Week Kyanja-Kisaasi'!C48+'Avg Week Kisaasi-Kyanja'!C48</f>
        <v>117</v>
      </c>
      <c r="D48" s="49">
        <f>'Avg Week Kyanja-Kisaasi'!D48+'Avg Week Kisaasi-Kyanja'!D48</f>
        <v>52.714285714285715</v>
      </c>
      <c r="E48" s="49">
        <f>'Avg Week Kyanja-Kisaasi'!E48+'Avg Week Kisaasi-Kyanja'!E48</f>
        <v>15</v>
      </c>
      <c r="F48" s="49">
        <f>'Avg Week Kyanja-Kisaasi'!F48+'Avg Week Kisaasi-Kyanja'!F48</f>
        <v>28.714285714285715</v>
      </c>
      <c r="G48" s="49">
        <f>'Avg Week Kyanja-Kisaasi'!G48+'Avg Week Kisaasi-Kyanja'!G48</f>
        <v>0.42857142857142855</v>
      </c>
      <c r="H48" s="49">
        <f>'Avg Week Kyanja-Kisaasi'!H48+'Avg Week Kisaasi-Kyanja'!H48</f>
        <v>0.14285714285714285</v>
      </c>
      <c r="I48" s="49">
        <f>'Avg Week Kyanja-Kisaasi'!I48+'Avg Week Kisaasi-Kyanja'!I48</f>
        <v>7.4285714285714288</v>
      </c>
      <c r="J48" s="49">
        <f>'Avg Week Kyanja-Kisaasi'!J48+'Avg Week Kisaasi-Kyanja'!J48</f>
        <v>3.7142857142857144</v>
      </c>
      <c r="K48" s="49">
        <f>'Avg Week Kyanja-Kisaasi'!K48+'Avg Week Kisaasi-Kyanja'!K48</f>
        <v>3.1428571428571428</v>
      </c>
      <c r="L48" s="49">
        <f>'Avg Week Kyanja-Kisaasi'!L48+'Avg Week Kisaasi-Kyanja'!L48</f>
        <v>0.2857142857142857</v>
      </c>
      <c r="M48" s="49">
        <f>'Avg Week Kyanja-Kisaasi'!M48+'Avg Week Kisaasi-Kyanja'!M48</f>
        <v>210</v>
      </c>
      <c r="N48" s="49">
        <f>'Avg Week Kyanja-Kisaasi'!N48+'Avg Week Kisaasi-Kyanja'!N48</f>
        <v>0</v>
      </c>
      <c r="O48" s="15">
        <f t="shared" si="0"/>
        <v>228.57142857142856</v>
      </c>
      <c r="P48" s="15">
        <f t="shared" si="1"/>
        <v>438.57142857142856</v>
      </c>
      <c r="R48" s="8"/>
      <c r="T48"/>
    </row>
    <row r="49" spans="2:20" ht="23.1" customHeight="1" x14ac:dyDescent="0.25">
      <c r="B49" s="23" t="s">
        <v>76</v>
      </c>
      <c r="C49" s="49">
        <f>'Avg Week Kyanja-Kisaasi'!C49+'Avg Week Kisaasi-Kyanja'!C49</f>
        <v>118.71428571428572</v>
      </c>
      <c r="D49" s="49">
        <f>'Avg Week Kyanja-Kisaasi'!D49+'Avg Week Kisaasi-Kyanja'!D49</f>
        <v>54.571428571428569</v>
      </c>
      <c r="E49" s="49">
        <f>'Avg Week Kyanja-Kisaasi'!E49+'Avg Week Kisaasi-Kyanja'!E49</f>
        <v>13.142857142857142</v>
      </c>
      <c r="F49" s="49">
        <f>'Avg Week Kyanja-Kisaasi'!F49+'Avg Week Kisaasi-Kyanja'!F49</f>
        <v>36.571428571428569</v>
      </c>
      <c r="G49" s="49">
        <f>'Avg Week Kyanja-Kisaasi'!G49+'Avg Week Kisaasi-Kyanja'!G49</f>
        <v>0.14285714285714285</v>
      </c>
      <c r="H49" s="49">
        <f>'Avg Week Kyanja-Kisaasi'!H49+'Avg Week Kisaasi-Kyanja'!H49</f>
        <v>0</v>
      </c>
      <c r="I49" s="49">
        <f>'Avg Week Kyanja-Kisaasi'!I49+'Avg Week Kisaasi-Kyanja'!I49</f>
        <v>7.1428571428571423</v>
      </c>
      <c r="J49" s="49">
        <f>'Avg Week Kyanja-Kisaasi'!J49+'Avg Week Kisaasi-Kyanja'!J49</f>
        <v>2.1428571428571428</v>
      </c>
      <c r="K49" s="49">
        <f>'Avg Week Kyanja-Kisaasi'!K49+'Avg Week Kisaasi-Kyanja'!K49</f>
        <v>4.4285714285714288</v>
      </c>
      <c r="L49" s="49">
        <f>'Avg Week Kyanja-Kisaasi'!L49+'Avg Week Kisaasi-Kyanja'!L49</f>
        <v>0.5714285714285714</v>
      </c>
      <c r="M49" s="49">
        <f>'Avg Week Kyanja-Kisaasi'!M49+'Avg Week Kisaasi-Kyanja'!M49</f>
        <v>225.28571428571428</v>
      </c>
      <c r="N49" s="49">
        <f>'Avg Week Kyanja-Kisaasi'!N49+'Avg Week Kisaasi-Kyanja'!N49</f>
        <v>0.14285714285714285</v>
      </c>
      <c r="O49" s="15">
        <f t="shared" si="0"/>
        <v>237.57142857142856</v>
      </c>
      <c r="P49" s="15">
        <f t="shared" si="1"/>
        <v>462.85714285714283</v>
      </c>
      <c r="R49" s="8"/>
      <c r="T49"/>
    </row>
    <row r="50" spans="2:20" ht="23.1" customHeight="1" x14ac:dyDescent="0.25">
      <c r="B50" s="24" t="s">
        <v>77</v>
      </c>
      <c r="C50" s="49">
        <f>'Avg Week Kyanja-Kisaasi'!C50+'Avg Week Kisaasi-Kyanja'!C50</f>
        <v>121.85714285714286</v>
      </c>
      <c r="D50" s="49">
        <f>'Avg Week Kyanja-Kisaasi'!D50+'Avg Week Kisaasi-Kyanja'!D50</f>
        <v>72.857142857142861</v>
      </c>
      <c r="E50" s="49">
        <f>'Avg Week Kyanja-Kisaasi'!E50+'Avg Week Kisaasi-Kyanja'!E50</f>
        <v>15.571428571428573</v>
      </c>
      <c r="F50" s="49">
        <f>'Avg Week Kyanja-Kisaasi'!F50+'Avg Week Kisaasi-Kyanja'!F50</f>
        <v>32.142857142857146</v>
      </c>
      <c r="G50" s="49">
        <f>'Avg Week Kyanja-Kisaasi'!G50+'Avg Week Kisaasi-Kyanja'!G50</f>
        <v>0.71428571428571419</v>
      </c>
      <c r="H50" s="49">
        <f>'Avg Week Kyanja-Kisaasi'!H50+'Avg Week Kisaasi-Kyanja'!H50</f>
        <v>0</v>
      </c>
      <c r="I50" s="49">
        <f>'Avg Week Kyanja-Kisaasi'!I50+'Avg Week Kisaasi-Kyanja'!I50</f>
        <v>7.5714285714285712</v>
      </c>
      <c r="J50" s="49">
        <f>'Avg Week Kyanja-Kisaasi'!J50+'Avg Week Kisaasi-Kyanja'!J50</f>
        <v>2.7142857142857144</v>
      </c>
      <c r="K50" s="49">
        <f>'Avg Week Kyanja-Kisaasi'!K50+'Avg Week Kisaasi-Kyanja'!K50</f>
        <v>3</v>
      </c>
      <c r="L50" s="49">
        <f>'Avg Week Kyanja-Kisaasi'!L50+'Avg Week Kisaasi-Kyanja'!L50</f>
        <v>0.42857142857142855</v>
      </c>
      <c r="M50" s="49">
        <f>'Avg Week Kyanja-Kisaasi'!M50+'Avg Week Kisaasi-Kyanja'!M50</f>
        <v>223.71428571428572</v>
      </c>
      <c r="N50" s="49">
        <f>'Avg Week Kyanja-Kisaasi'!N50+'Avg Week Kisaasi-Kyanja'!N50</f>
        <v>0</v>
      </c>
      <c r="O50" s="15">
        <f t="shared" si="0"/>
        <v>256.85714285714289</v>
      </c>
      <c r="P50" s="15">
        <f t="shared" si="1"/>
        <v>480.57142857142861</v>
      </c>
      <c r="R50" s="8"/>
      <c r="T50"/>
    </row>
    <row r="51" spans="2:20" ht="23.1" customHeight="1" x14ac:dyDescent="0.25">
      <c r="B51" s="24" t="s">
        <v>78</v>
      </c>
      <c r="C51" s="49">
        <f>'Avg Week Kyanja-Kisaasi'!C51+'Avg Week Kisaasi-Kyanja'!C51</f>
        <v>120.57142857142857</v>
      </c>
      <c r="D51" s="49">
        <f>'Avg Week Kyanja-Kisaasi'!D51+'Avg Week Kisaasi-Kyanja'!D51</f>
        <v>65.857142857142861</v>
      </c>
      <c r="E51" s="49">
        <f>'Avg Week Kyanja-Kisaasi'!E51+'Avg Week Kisaasi-Kyanja'!E51</f>
        <v>16.428571428571431</v>
      </c>
      <c r="F51" s="49">
        <f>'Avg Week Kyanja-Kisaasi'!F51+'Avg Week Kisaasi-Kyanja'!F51</f>
        <v>27.142857142857146</v>
      </c>
      <c r="G51" s="49">
        <f>'Avg Week Kyanja-Kisaasi'!G51+'Avg Week Kisaasi-Kyanja'!G51</f>
        <v>0.71428571428571419</v>
      </c>
      <c r="H51" s="49">
        <f>'Avg Week Kyanja-Kisaasi'!H51+'Avg Week Kisaasi-Kyanja'!H51</f>
        <v>0</v>
      </c>
      <c r="I51" s="49">
        <f>'Avg Week Kyanja-Kisaasi'!I51+'Avg Week Kisaasi-Kyanja'!I51</f>
        <v>6.5714285714285712</v>
      </c>
      <c r="J51" s="49">
        <f>'Avg Week Kyanja-Kisaasi'!J51+'Avg Week Kisaasi-Kyanja'!J51</f>
        <v>2.2857142857142856</v>
      </c>
      <c r="K51" s="49">
        <f>'Avg Week Kyanja-Kisaasi'!K51+'Avg Week Kisaasi-Kyanja'!K51</f>
        <v>1.2857142857142856</v>
      </c>
      <c r="L51" s="49">
        <f>'Avg Week Kyanja-Kisaasi'!L51+'Avg Week Kisaasi-Kyanja'!L51</f>
        <v>0.2857142857142857</v>
      </c>
      <c r="M51" s="49">
        <f>'Avg Week Kyanja-Kisaasi'!M51+'Avg Week Kisaasi-Kyanja'!M51</f>
        <v>226.71428571428572</v>
      </c>
      <c r="N51" s="49">
        <f>'Avg Week Kyanja-Kisaasi'!N51+'Avg Week Kisaasi-Kyanja'!N51</f>
        <v>0</v>
      </c>
      <c r="O51" s="15">
        <f t="shared" si="0"/>
        <v>241.14285714285717</v>
      </c>
      <c r="P51" s="15">
        <f t="shared" si="1"/>
        <v>467.85714285714289</v>
      </c>
      <c r="R51" s="8"/>
      <c r="T51"/>
    </row>
    <row r="52" spans="2:20" ht="23.1" customHeight="1" x14ac:dyDescent="0.25">
      <c r="B52" s="24" t="s">
        <v>79</v>
      </c>
      <c r="C52" s="49">
        <f>'Avg Week Kyanja-Kisaasi'!C52+'Avg Week Kisaasi-Kyanja'!C52</f>
        <v>132</v>
      </c>
      <c r="D52" s="49">
        <f>'Avg Week Kyanja-Kisaasi'!D52+'Avg Week Kisaasi-Kyanja'!D52</f>
        <v>72.428571428571431</v>
      </c>
      <c r="E52" s="49">
        <f>'Avg Week Kyanja-Kisaasi'!E52+'Avg Week Kisaasi-Kyanja'!E52</f>
        <v>15.428571428571429</v>
      </c>
      <c r="F52" s="49">
        <f>'Avg Week Kyanja-Kisaasi'!F52+'Avg Week Kisaasi-Kyanja'!F52</f>
        <v>35</v>
      </c>
      <c r="G52" s="49">
        <f>'Avg Week Kyanja-Kisaasi'!G52+'Avg Week Kisaasi-Kyanja'!G52</f>
        <v>0.5714285714285714</v>
      </c>
      <c r="H52" s="49">
        <f>'Avg Week Kyanja-Kisaasi'!H52+'Avg Week Kisaasi-Kyanja'!H52</f>
        <v>0</v>
      </c>
      <c r="I52" s="49">
        <f>'Avg Week Kyanja-Kisaasi'!I52+'Avg Week Kisaasi-Kyanja'!I52</f>
        <v>6.1428571428571423</v>
      </c>
      <c r="J52" s="49">
        <f>'Avg Week Kyanja-Kisaasi'!J52+'Avg Week Kisaasi-Kyanja'!J52</f>
        <v>3</v>
      </c>
      <c r="K52" s="49">
        <f>'Avg Week Kyanja-Kisaasi'!K52+'Avg Week Kisaasi-Kyanja'!K52</f>
        <v>2.7142857142857144</v>
      </c>
      <c r="L52" s="49">
        <f>'Avg Week Kyanja-Kisaasi'!L52+'Avg Week Kisaasi-Kyanja'!L52</f>
        <v>0.71428571428571419</v>
      </c>
      <c r="M52" s="49">
        <f>'Avg Week Kyanja-Kisaasi'!M52+'Avg Week Kisaasi-Kyanja'!M52</f>
        <v>238</v>
      </c>
      <c r="N52" s="49">
        <f>'Avg Week Kyanja-Kisaasi'!N52+'Avg Week Kisaasi-Kyanja'!N52</f>
        <v>0</v>
      </c>
      <c r="O52" s="15">
        <f t="shared" si="0"/>
        <v>268.00000000000006</v>
      </c>
      <c r="P52" s="15">
        <f t="shared" si="1"/>
        <v>506.00000000000006</v>
      </c>
      <c r="R52" s="8"/>
      <c r="T52"/>
    </row>
    <row r="53" spans="2:20" ht="23.1" customHeight="1" x14ac:dyDescent="0.25">
      <c r="B53" s="23" t="s">
        <v>80</v>
      </c>
      <c r="C53" s="49">
        <f>'Avg Week Kyanja-Kisaasi'!C53+'Avg Week Kisaasi-Kyanja'!C53</f>
        <v>134</v>
      </c>
      <c r="D53" s="49">
        <f>'Avg Week Kyanja-Kisaasi'!D53+'Avg Week Kisaasi-Kyanja'!D53</f>
        <v>74.428571428571431</v>
      </c>
      <c r="E53" s="49">
        <f>'Avg Week Kyanja-Kisaasi'!E53+'Avg Week Kisaasi-Kyanja'!E53</f>
        <v>18</v>
      </c>
      <c r="F53" s="49">
        <f>'Avg Week Kyanja-Kisaasi'!F53+'Avg Week Kisaasi-Kyanja'!F53</f>
        <v>38.571428571428569</v>
      </c>
      <c r="G53" s="49">
        <f>'Avg Week Kyanja-Kisaasi'!G53+'Avg Week Kisaasi-Kyanja'!G53</f>
        <v>0.71428571428571419</v>
      </c>
      <c r="H53" s="49">
        <f>'Avg Week Kyanja-Kisaasi'!H53+'Avg Week Kisaasi-Kyanja'!H53</f>
        <v>0</v>
      </c>
      <c r="I53" s="49">
        <f>'Avg Week Kyanja-Kisaasi'!I53+'Avg Week Kisaasi-Kyanja'!I53</f>
        <v>6.8571428571428577</v>
      </c>
      <c r="J53" s="49">
        <f>'Avg Week Kyanja-Kisaasi'!J53+'Avg Week Kisaasi-Kyanja'!J53</f>
        <v>3</v>
      </c>
      <c r="K53" s="49">
        <f>'Avg Week Kyanja-Kisaasi'!K53+'Avg Week Kisaasi-Kyanja'!K53</f>
        <v>1.4285714285714284</v>
      </c>
      <c r="L53" s="49">
        <f>'Avg Week Kyanja-Kisaasi'!L53+'Avg Week Kisaasi-Kyanja'!L53</f>
        <v>0.14285714285714285</v>
      </c>
      <c r="M53" s="49">
        <f>'Avg Week Kyanja-Kisaasi'!M53+'Avg Week Kisaasi-Kyanja'!M53</f>
        <v>249</v>
      </c>
      <c r="N53" s="49">
        <f>'Avg Week Kyanja-Kisaasi'!N53+'Avg Week Kisaasi-Kyanja'!N53</f>
        <v>0</v>
      </c>
      <c r="O53" s="15">
        <f t="shared" si="0"/>
        <v>277.14285714285717</v>
      </c>
      <c r="P53" s="15">
        <f t="shared" si="1"/>
        <v>526.14285714285711</v>
      </c>
      <c r="R53" s="8"/>
      <c r="T53"/>
    </row>
    <row r="54" spans="2:20" ht="23.1" customHeight="1" x14ac:dyDescent="0.25">
      <c r="B54" s="23" t="s">
        <v>81</v>
      </c>
      <c r="C54" s="49">
        <f>'Avg Week Kyanja-Kisaasi'!C54+'Avg Week Kisaasi-Kyanja'!C54</f>
        <v>119.28571428571428</v>
      </c>
      <c r="D54" s="49">
        <f>'Avg Week Kyanja-Kisaasi'!D54+'Avg Week Kisaasi-Kyanja'!D54</f>
        <v>68.571428571428569</v>
      </c>
      <c r="E54" s="49">
        <f>'Avg Week Kyanja-Kisaasi'!E54+'Avg Week Kisaasi-Kyanja'!E54</f>
        <v>14.142857142857142</v>
      </c>
      <c r="F54" s="49">
        <f>'Avg Week Kyanja-Kisaasi'!F54+'Avg Week Kisaasi-Kyanja'!F54</f>
        <v>42.428571428571431</v>
      </c>
      <c r="G54" s="49">
        <f>'Avg Week Kyanja-Kisaasi'!G54+'Avg Week Kisaasi-Kyanja'!G54</f>
        <v>0.5714285714285714</v>
      </c>
      <c r="H54" s="49">
        <f>'Avg Week Kyanja-Kisaasi'!H54+'Avg Week Kisaasi-Kyanja'!H54</f>
        <v>0.2857142857142857</v>
      </c>
      <c r="I54" s="49">
        <f>'Avg Week Kyanja-Kisaasi'!I54+'Avg Week Kisaasi-Kyanja'!I54</f>
        <v>4.4285714285714288</v>
      </c>
      <c r="J54" s="49">
        <f>'Avg Week Kyanja-Kisaasi'!J54+'Avg Week Kisaasi-Kyanja'!J54</f>
        <v>2.1428571428571428</v>
      </c>
      <c r="K54" s="49">
        <f>'Avg Week Kyanja-Kisaasi'!K54+'Avg Week Kisaasi-Kyanja'!K54</f>
        <v>1.8571428571428572</v>
      </c>
      <c r="L54" s="49">
        <f>'Avg Week Kyanja-Kisaasi'!L54+'Avg Week Kisaasi-Kyanja'!L54</f>
        <v>0.14285714285714285</v>
      </c>
      <c r="M54" s="49">
        <f>'Avg Week Kyanja-Kisaasi'!M54+'Avg Week Kisaasi-Kyanja'!M54</f>
        <v>246.71428571428572</v>
      </c>
      <c r="N54" s="49">
        <f>'Avg Week Kyanja-Kisaasi'!N54+'Avg Week Kisaasi-Kyanja'!N54</f>
        <v>0</v>
      </c>
      <c r="O54" s="15">
        <f t="shared" si="0"/>
        <v>253.8571428571428</v>
      </c>
      <c r="P54" s="15">
        <f t="shared" si="1"/>
        <v>500.57142857142856</v>
      </c>
      <c r="R54" s="8"/>
      <c r="T54"/>
    </row>
    <row r="55" spans="2:20" ht="23.1" customHeight="1" x14ac:dyDescent="0.25">
      <c r="B55" s="23" t="s">
        <v>82</v>
      </c>
      <c r="C55" s="49">
        <f>'Avg Week Kyanja-Kisaasi'!C55+'Avg Week Kisaasi-Kyanja'!C55</f>
        <v>112.71428571428571</v>
      </c>
      <c r="D55" s="49">
        <f>'Avg Week Kyanja-Kisaasi'!D55+'Avg Week Kisaasi-Kyanja'!D55</f>
        <v>74.714285714285708</v>
      </c>
      <c r="E55" s="49">
        <f>'Avg Week Kyanja-Kisaasi'!E55+'Avg Week Kisaasi-Kyanja'!E55</f>
        <v>16.857142857142858</v>
      </c>
      <c r="F55" s="49">
        <f>'Avg Week Kyanja-Kisaasi'!F55+'Avg Week Kisaasi-Kyanja'!F55</f>
        <v>38.857142857142861</v>
      </c>
      <c r="G55" s="49">
        <f>'Avg Week Kyanja-Kisaasi'!G55+'Avg Week Kisaasi-Kyanja'!G55</f>
        <v>0.14285714285714285</v>
      </c>
      <c r="H55" s="49">
        <f>'Avg Week Kyanja-Kisaasi'!H55+'Avg Week Kisaasi-Kyanja'!H55</f>
        <v>0.14285714285714285</v>
      </c>
      <c r="I55" s="49">
        <f>'Avg Week Kyanja-Kisaasi'!I55+'Avg Week Kisaasi-Kyanja'!I55</f>
        <v>7.4285714285714288</v>
      </c>
      <c r="J55" s="49">
        <f>'Avg Week Kyanja-Kisaasi'!J55+'Avg Week Kisaasi-Kyanja'!J55</f>
        <v>3.2857142857142856</v>
      </c>
      <c r="K55" s="49">
        <f>'Avg Week Kyanja-Kisaasi'!K55+'Avg Week Kisaasi-Kyanja'!K55</f>
        <v>1.2857142857142856</v>
      </c>
      <c r="L55" s="49">
        <f>'Avg Week Kyanja-Kisaasi'!L55+'Avg Week Kisaasi-Kyanja'!L55</f>
        <v>0</v>
      </c>
      <c r="M55" s="49">
        <f>'Avg Week Kyanja-Kisaasi'!M55+'Avg Week Kisaasi-Kyanja'!M55</f>
        <v>237.57142857142858</v>
      </c>
      <c r="N55" s="49">
        <f>'Avg Week Kyanja-Kisaasi'!N55+'Avg Week Kisaasi-Kyanja'!N55</f>
        <v>0</v>
      </c>
      <c r="O55" s="15">
        <f t="shared" si="0"/>
        <v>255.42857142857139</v>
      </c>
      <c r="P55" s="15">
        <f t="shared" si="1"/>
        <v>493</v>
      </c>
      <c r="R55" s="8"/>
      <c r="T55"/>
    </row>
    <row r="56" spans="2:20" ht="23.1" customHeight="1" x14ac:dyDescent="0.25">
      <c r="B56" s="23" t="s">
        <v>83</v>
      </c>
      <c r="C56" s="49">
        <f>'Avg Week Kyanja-Kisaasi'!C56+'Avg Week Kisaasi-Kyanja'!C56</f>
        <v>114.71428571428572</v>
      </c>
      <c r="D56" s="49">
        <f>'Avg Week Kyanja-Kisaasi'!D56+'Avg Week Kisaasi-Kyanja'!D56</f>
        <v>78.428571428571431</v>
      </c>
      <c r="E56" s="49">
        <f>'Avg Week Kyanja-Kisaasi'!E56+'Avg Week Kisaasi-Kyanja'!E56</f>
        <v>13.142857142857142</v>
      </c>
      <c r="F56" s="49">
        <f>'Avg Week Kyanja-Kisaasi'!F56+'Avg Week Kisaasi-Kyanja'!F56</f>
        <v>55.571428571428569</v>
      </c>
      <c r="G56" s="49">
        <f>'Avg Week Kyanja-Kisaasi'!G56+'Avg Week Kisaasi-Kyanja'!G56</f>
        <v>0.5714285714285714</v>
      </c>
      <c r="H56" s="49">
        <f>'Avg Week Kyanja-Kisaasi'!H56+'Avg Week Kisaasi-Kyanja'!H56</f>
        <v>0</v>
      </c>
      <c r="I56" s="49">
        <f>'Avg Week Kyanja-Kisaasi'!I56+'Avg Week Kisaasi-Kyanja'!I56</f>
        <v>4.5714285714285712</v>
      </c>
      <c r="J56" s="49">
        <f>'Avg Week Kyanja-Kisaasi'!J56+'Avg Week Kisaasi-Kyanja'!J56</f>
        <v>2.5714285714285716</v>
      </c>
      <c r="K56" s="49">
        <f>'Avg Week Kyanja-Kisaasi'!K56+'Avg Week Kisaasi-Kyanja'!K56</f>
        <v>1.4285714285714286</v>
      </c>
      <c r="L56" s="49">
        <f>'Avg Week Kyanja-Kisaasi'!L56+'Avg Week Kisaasi-Kyanja'!L56</f>
        <v>0</v>
      </c>
      <c r="M56" s="49">
        <f>'Avg Week Kyanja-Kisaasi'!M56+'Avg Week Kisaasi-Kyanja'!M56</f>
        <v>261.28571428571428</v>
      </c>
      <c r="N56" s="49">
        <f>'Avg Week Kyanja-Kisaasi'!N56+'Avg Week Kisaasi-Kyanja'!N56</f>
        <v>0.14285714285714285</v>
      </c>
      <c r="O56" s="15">
        <f t="shared" si="0"/>
        <v>271.14285714285717</v>
      </c>
      <c r="P56" s="15">
        <f t="shared" si="1"/>
        <v>532.42857142857133</v>
      </c>
      <c r="R56" s="8"/>
      <c r="T56"/>
    </row>
    <row r="57" spans="2:20" ht="23.1" customHeight="1" x14ac:dyDescent="0.25">
      <c r="B57" s="23" t="s">
        <v>84</v>
      </c>
      <c r="C57" s="49">
        <f>'Avg Week Kyanja-Kisaasi'!C57+'Avg Week Kisaasi-Kyanja'!C57</f>
        <v>121.14285714285714</v>
      </c>
      <c r="D57" s="49">
        <f>'Avg Week Kyanja-Kisaasi'!D57+'Avg Week Kisaasi-Kyanja'!D57</f>
        <v>73</v>
      </c>
      <c r="E57" s="49">
        <f>'Avg Week Kyanja-Kisaasi'!E57+'Avg Week Kisaasi-Kyanja'!E57</f>
        <v>16.142857142857142</v>
      </c>
      <c r="F57" s="49">
        <f>'Avg Week Kyanja-Kisaasi'!F57+'Avg Week Kisaasi-Kyanja'!F57</f>
        <v>51.857142857142854</v>
      </c>
      <c r="G57" s="49">
        <f>'Avg Week Kyanja-Kisaasi'!G57+'Avg Week Kisaasi-Kyanja'!G57</f>
        <v>0.5714285714285714</v>
      </c>
      <c r="H57" s="49">
        <f>'Avg Week Kyanja-Kisaasi'!H57+'Avg Week Kisaasi-Kyanja'!H57</f>
        <v>0</v>
      </c>
      <c r="I57" s="49">
        <f>'Avg Week Kyanja-Kisaasi'!I57+'Avg Week Kisaasi-Kyanja'!I57</f>
        <v>7.1428571428571423</v>
      </c>
      <c r="J57" s="49">
        <f>'Avg Week Kyanja-Kisaasi'!J57+'Avg Week Kisaasi-Kyanja'!J57</f>
        <v>2.4285714285714288</v>
      </c>
      <c r="K57" s="49">
        <f>'Avg Week Kyanja-Kisaasi'!K57+'Avg Week Kisaasi-Kyanja'!K57</f>
        <v>2</v>
      </c>
      <c r="L57" s="49">
        <f>'Avg Week Kyanja-Kisaasi'!L57+'Avg Week Kisaasi-Kyanja'!L57</f>
        <v>0</v>
      </c>
      <c r="M57" s="49">
        <f>'Avg Week Kyanja-Kisaasi'!M57+'Avg Week Kisaasi-Kyanja'!M57</f>
        <v>275.71428571428572</v>
      </c>
      <c r="N57" s="49">
        <f>'Avg Week Kyanja-Kisaasi'!N57+'Avg Week Kisaasi-Kyanja'!N57</f>
        <v>0</v>
      </c>
      <c r="O57" s="15">
        <f t="shared" si="0"/>
        <v>274.28571428571428</v>
      </c>
      <c r="P57" s="15">
        <f t="shared" si="1"/>
        <v>550</v>
      </c>
      <c r="R57" s="8"/>
      <c r="T57"/>
    </row>
    <row r="58" spans="2:20" ht="23.1" customHeight="1" x14ac:dyDescent="0.25">
      <c r="B58" s="23" t="s">
        <v>99</v>
      </c>
      <c r="C58" s="49">
        <f>'Avg Week Kyanja-Kisaasi'!C58+'Avg Week Kisaasi-Kyanja'!C58</f>
        <v>68</v>
      </c>
      <c r="D58" s="49">
        <f>'Avg Week Kyanja-Kisaasi'!D58+'Avg Week Kisaasi-Kyanja'!D58</f>
        <v>54</v>
      </c>
      <c r="E58" s="49">
        <f>'Avg Week Kyanja-Kisaasi'!E58+'Avg Week Kisaasi-Kyanja'!E58</f>
        <v>8</v>
      </c>
      <c r="F58" s="49">
        <f>'Avg Week Kyanja-Kisaasi'!F58+'Avg Week Kisaasi-Kyanja'!F58</f>
        <v>37.5</v>
      </c>
      <c r="G58" s="49">
        <f>'Avg Week Kyanja-Kisaasi'!G58+'Avg Week Kisaasi-Kyanja'!G58</f>
        <v>0.5</v>
      </c>
      <c r="H58" s="49">
        <f>'Avg Week Kyanja-Kisaasi'!H58+'Avg Week Kisaasi-Kyanja'!H58</f>
        <v>0</v>
      </c>
      <c r="I58" s="49">
        <f>'Avg Week Kyanja-Kisaasi'!I58+'Avg Week Kisaasi-Kyanja'!I58</f>
        <v>8</v>
      </c>
      <c r="J58" s="49">
        <f>'Avg Week Kyanja-Kisaasi'!J58+'Avg Week Kisaasi-Kyanja'!J58</f>
        <v>2.5</v>
      </c>
      <c r="K58" s="49">
        <f>'Avg Week Kyanja-Kisaasi'!K58+'Avg Week Kisaasi-Kyanja'!K58</f>
        <v>1</v>
      </c>
      <c r="L58" s="49">
        <f>'Avg Week Kyanja-Kisaasi'!L58+'Avg Week Kisaasi-Kyanja'!L58</f>
        <v>0</v>
      </c>
      <c r="M58" s="49">
        <f>'Avg Week Kyanja-Kisaasi'!M58+'Avg Week Kisaasi-Kyanja'!M58</f>
        <v>159</v>
      </c>
      <c r="N58" s="49">
        <f>'Avg Week Kyanja-Kisaasi'!N58+'Avg Week Kisaasi-Kyanja'!N58</f>
        <v>0</v>
      </c>
      <c r="O58" s="49">
        <f>'Avg Week Kyanja-Kisaasi'!O58+'Avg Week Kisaasi-Kyanja'!O58</f>
        <v>179.5</v>
      </c>
      <c r="P58" s="49">
        <f>'Avg Week Kyanja-Kisaasi'!P58+'Avg Week Kisaasi-Kyanja'!P58</f>
        <v>338.5</v>
      </c>
      <c r="R58" s="8"/>
      <c r="T58"/>
    </row>
    <row r="59" spans="2:20" ht="23.1" customHeight="1" x14ac:dyDescent="0.25">
      <c r="B59" s="23" t="s">
        <v>100</v>
      </c>
      <c r="C59" s="49">
        <f>'Avg Week Kyanja-Kisaasi'!C59+'Avg Week Kisaasi-Kyanja'!C59</f>
        <v>92.5</v>
      </c>
      <c r="D59" s="49">
        <f>'Avg Week Kyanja-Kisaasi'!D59+'Avg Week Kisaasi-Kyanja'!D59</f>
        <v>84</v>
      </c>
      <c r="E59" s="49">
        <f>'Avg Week Kyanja-Kisaasi'!E59+'Avg Week Kisaasi-Kyanja'!E59</f>
        <v>20</v>
      </c>
      <c r="F59" s="49">
        <f>'Avg Week Kyanja-Kisaasi'!F59+'Avg Week Kisaasi-Kyanja'!F59</f>
        <v>58.5</v>
      </c>
      <c r="G59" s="49">
        <f>'Avg Week Kyanja-Kisaasi'!G59+'Avg Week Kisaasi-Kyanja'!G59</f>
        <v>0.5</v>
      </c>
      <c r="H59" s="49">
        <f>'Avg Week Kyanja-Kisaasi'!H59+'Avg Week Kisaasi-Kyanja'!H59</f>
        <v>0</v>
      </c>
      <c r="I59" s="49">
        <f>'Avg Week Kyanja-Kisaasi'!I59+'Avg Week Kisaasi-Kyanja'!I59</f>
        <v>7</v>
      </c>
      <c r="J59" s="49">
        <f>'Avg Week Kyanja-Kisaasi'!J59+'Avg Week Kisaasi-Kyanja'!J59</f>
        <v>4.5</v>
      </c>
      <c r="K59" s="49">
        <f>'Avg Week Kyanja-Kisaasi'!K59+'Avg Week Kisaasi-Kyanja'!K59</f>
        <v>3.5</v>
      </c>
      <c r="L59" s="49">
        <f>'Avg Week Kyanja-Kisaasi'!L59+'Avg Week Kisaasi-Kyanja'!L59</f>
        <v>0.5</v>
      </c>
      <c r="M59" s="49">
        <f>'Avg Week Kyanja-Kisaasi'!M59+'Avg Week Kisaasi-Kyanja'!M59</f>
        <v>184.5</v>
      </c>
      <c r="N59" s="49">
        <f>'Avg Week Kyanja-Kisaasi'!N59+'Avg Week Kisaasi-Kyanja'!N59</f>
        <v>0</v>
      </c>
      <c r="O59" s="49">
        <f>'Avg Week Kyanja-Kisaasi'!O59+'Avg Week Kisaasi-Kyanja'!O59</f>
        <v>271</v>
      </c>
      <c r="P59" s="49">
        <f>'Avg Week Kyanja-Kisaasi'!P59+'Avg Week Kisaasi-Kyanja'!P59</f>
        <v>455.5</v>
      </c>
      <c r="R59" s="8"/>
      <c r="T59"/>
    </row>
    <row r="60" spans="2:20" ht="23.1" customHeight="1" x14ac:dyDescent="0.25">
      <c r="B60" s="23" t="s">
        <v>101</v>
      </c>
      <c r="C60" s="49">
        <f>'Avg Week Kyanja-Kisaasi'!C60+'Avg Week Kisaasi-Kyanja'!C60</f>
        <v>113.5</v>
      </c>
      <c r="D60" s="49">
        <f>'Avg Week Kyanja-Kisaasi'!D60+'Avg Week Kisaasi-Kyanja'!D60</f>
        <v>84</v>
      </c>
      <c r="E60" s="49">
        <f>'Avg Week Kyanja-Kisaasi'!E60+'Avg Week Kisaasi-Kyanja'!E60</f>
        <v>22</v>
      </c>
      <c r="F60" s="49">
        <f>'Avg Week Kyanja-Kisaasi'!F60+'Avg Week Kisaasi-Kyanja'!F60</f>
        <v>56</v>
      </c>
      <c r="G60" s="49">
        <f>'Avg Week Kyanja-Kisaasi'!G60+'Avg Week Kisaasi-Kyanja'!G60</f>
        <v>0.5</v>
      </c>
      <c r="H60" s="49">
        <f>'Avg Week Kyanja-Kisaasi'!H60+'Avg Week Kisaasi-Kyanja'!H60</f>
        <v>0</v>
      </c>
      <c r="I60" s="49">
        <f>'Avg Week Kyanja-Kisaasi'!I60+'Avg Week Kisaasi-Kyanja'!I60</f>
        <v>6.5</v>
      </c>
      <c r="J60" s="49">
        <f>'Avg Week Kyanja-Kisaasi'!J60+'Avg Week Kisaasi-Kyanja'!J60</f>
        <v>1.5</v>
      </c>
      <c r="K60" s="49">
        <f>'Avg Week Kyanja-Kisaasi'!K60+'Avg Week Kisaasi-Kyanja'!K60</f>
        <v>2</v>
      </c>
      <c r="L60" s="49">
        <f>'Avg Week Kyanja-Kisaasi'!L60+'Avg Week Kisaasi-Kyanja'!L60</f>
        <v>0.5</v>
      </c>
      <c r="M60" s="49">
        <f>'Avg Week Kyanja-Kisaasi'!M60+'Avg Week Kisaasi-Kyanja'!M60</f>
        <v>304</v>
      </c>
      <c r="N60" s="49">
        <f>'Avg Week Kyanja-Kisaasi'!N60+'Avg Week Kisaasi-Kyanja'!N60</f>
        <v>0</v>
      </c>
      <c r="O60" s="49">
        <f>'Avg Week Kyanja-Kisaasi'!O60+'Avg Week Kisaasi-Kyanja'!O60</f>
        <v>286.5</v>
      </c>
      <c r="P60" s="49">
        <f>'Avg Week Kyanja-Kisaasi'!P60+'Avg Week Kisaasi-Kyanja'!P60</f>
        <v>590.5</v>
      </c>
      <c r="R60" s="8"/>
      <c r="T60"/>
    </row>
    <row r="61" spans="2:20" ht="23.1" customHeight="1" x14ac:dyDescent="0.25">
      <c r="B61" s="23" t="s">
        <v>102</v>
      </c>
      <c r="C61" s="49">
        <f>'Avg Week Kyanja-Kisaasi'!C61+'Avg Week Kisaasi-Kyanja'!C61</f>
        <v>140</v>
      </c>
      <c r="D61" s="49">
        <f>'Avg Week Kyanja-Kisaasi'!D61+'Avg Week Kisaasi-Kyanja'!D61</f>
        <v>61</v>
      </c>
      <c r="E61" s="49">
        <f>'Avg Week Kyanja-Kisaasi'!E61+'Avg Week Kisaasi-Kyanja'!E61</f>
        <v>13</v>
      </c>
      <c r="F61" s="49">
        <f>'Avg Week Kyanja-Kisaasi'!F61+'Avg Week Kisaasi-Kyanja'!F61</f>
        <v>54</v>
      </c>
      <c r="G61" s="49">
        <f>'Avg Week Kyanja-Kisaasi'!G61+'Avg Week Kisaasi-Kyanja'!G61</f>
        <v>0</v>
      </c>
      <c r="H61" s="49">
        <f>'Avg Week Kyanja-Kisaasi'!H61+'Avg Week Kisaasi-Kyanja'!H61</f>
        <v>0</v>
      </c>
      <c r="I61" s="49">
        <f>'Avg Week Kyanja-Kisaasi'!I61+'Avg Week Kisaasi-Kyanja'!I61</f>
        <v>8</v>
      </c>
      <c r="J61" s="49">
        <f>'Avg Week Kyanja-Kisaasi'!J61+'Avg Week Kisaasi-Kyanja'!J61</f>
        <v>3</v>
      </c>
      <c r="K61" s="49">
        <f>'Avg Week Kyanja-Kisaasi'!K61+'Avg Week Kisaasi-Kyanja'!K61</f>
        <v>1.5</v>
      </c>
      <c r="L61" s="49">
        <f>'Avg Week Kyanja-Kisaasi'!L61+'Avg Week Kisaasi-Kyanja'!L61</f>
        <v>0</v>
      </c>
      <c r="M61" s="49">
        <f>'Avg Week Kyanja-Kisaasi'!M61+'Avg Week Kisaasi-Kyanja'!M61</f>
        <v>209.5</v>
      </c>
      <c r="N61" s="49">
        <f>'Avg Week Kyanja-Kisaasi'!N61+'Avg Week Kisaasi-Kyanja'!N61</f>
        <v>0</v>
      </c>
      <c r="O61" s="49">
        <f>'Avg Week Kyanja-Kisaasi'!O61+'Avg Week Kisaasi-Kyanja'!O61</f>
        <v>280.5</v>
      </c>
      <c r="P61" s="49">
        <f>'Avg Week Kyanja-Kisaasi'!P61+'Avg Week Kisaasi-Kyanja'!P61</f>
        <v>490</v>
      </c>
      <c r="R61" s="8"/>
      <c r="T61"/>
    </row>
    <row r="62" spans="2:20" ht="23.1" customHeight="1" x14ac:dyDescent="0.25">
      <c r="B62" s="23" t="s">
        <v>107</v>
      </c>
      <c r="C62" s="49">
        <f>'Avg Week Kyanja-Kisaasi'!C62+'Avg Week Kisaasi-Kyanja'!C62</f>
        <v>114</v>
      </c>
      <c r="D62" s="49">
        <f>'Avg Week Kyanja-Kisaasi'!D62+'Avg Week Kisaasi-Kyanja'!D62</f>
        <v>37</v>
      </c>
      <c r="E62" s="49">
        <f>'Avg Week Kyanja-Kisaasi'!E62+'Avg Week Kisaasi-Kyanja'!E62</f>
        <v>8.5</v>
      </c>
      <c r="F62" s="49">
        <f>'Avg Week Kyanja-Kisaasi'!F62+'Avg Week Kisaasi-Kyanja'!F62</f>
        <v>15</v>
      </c>
      <c r="G62" s="49">
        <f>'Avg Week Kyanja-Kisaasi'!G62+'Avg Week Kisaasi-Kyanja'!G62</f>
        <v>0</v>
      </c>
      <c r="H62" s="49">
        <f>'Avg Week Kyanja-Kisaasi'!H62+'Avg Week Kisaasi-Kyanja'!H62</f>
        <v>0</v>
      </c>
      <c r="I62" s="49">
        <f>'Avg Week Kyanja-Kisaasi'!I62+'Avg Week Kisaasi-Kyanja'!I62</f>
        <v>4</v>
      </c>
      <c r="J62" s="49">
        <f>'Avg Week Kyanja-Kisaasi'!J62+'Avg Week Kisaasi-Kyanja'!J62</f>
        <v>4</v>
      </c>
      <c r="K62" s="49">
        <f>'Avg Week Kyanja-Kisaasi'!K62+'Avg Week Kisaasi-Kyanja'!K62</f>
        <v>0.5</v>
      </c>
      <c r="L62" s="49">
        <f>'Avg Week Kyanja-Kisaasi'!L62+'Avg Week Kisaasi-Kyanja'!L62</f>
        <v>0</v>
      </c>
      <c r="M62" s="49">
        <f>'Avg Week Kyanja-Kisaasi'!M62+'Avg Week Kisaasi-Kyanja'!M62</f>
        <v>181.5</v>
      </c>
      <c r="N62" s="49">
        <f>'Avg Week Kyanja-Kisaasi'!N62+'Avg Week Kisaasi-Kyanja'!N62</f>
        <v>0</v>
      </c>
      <c r="O62" s="49">
        <f>'Avg Week Kyanja-Kisaasi'!O62+'Avg Week Kisaasi-Kyanja'!O62</f>
        <v>183</v>
      </c>
      <c r="P62" s="49">
        <f>'Avg Week Kyanja-Kisaasi'!P62+'Avg Week Kisaasi-Kyanja'!P62</f>
        <v>364.5</v>
      </c>
      <c r="R62" s="8"/>
      <c r="T62"/>
    </row>
    <row r="63" spans="2:20" ht="23.1" customHeight="1" x14ac:dyDescent="0.25">
      <c r="B63" s="23" t="s">
        <v>108</v>
      </c>
      <c r="C63" s="49">
        <f>'Avg Week Kyanja-Kisaasi'!C63+'Avg Week Kisaasi-Kyanja'!C63</f>
        <v>120</v>
      </c>
      <c r="D63" s="49">
        <f>'Avg Week Kyanja-Kisaasi'!D63+'Avg Week Kisaasi-Kyanja'!D63</f>
        <v>28</v>
      </c>
      <c r="E63" s="49">
        <f>'Avg Week Kyanja-Kisaasi'!E63+'Avg Week Kisaasi-Kyanja'!E63</f>
        <v>7</v>
      </c>
      <c r="F63" s="49">
        <f>'Avg Week Kyanja-Kisaasi'!F63+'Avg Week Kisaasi-Kyanja'!F63</f>
        <v>28</v>
      </c>
      <c r="G63" s="49">
        <f>'Avg Week Kyanja-Kisaasi'!G63+'Avg Week Kisaasi-Kyanja'!G63</f>
        <v>0</v>
      </c>
      <c r="H63" s="49">
        <f>'Avg Week Kyanja-Kisaasi'!H63+'Avg Week Kisaasi-Kyanja'!H63</f>
        <v>0</v>
      </c>
      <c r="I63" s="49">
        <f>'Avg Week Kyanja-Kisaasi'!I63+'Avg Week Kisaasi-Kyanja'!I63</f>
        <v>3.5</v>
      </c>
      <c r="J63" s="49">
        <f>'Avg Week Kyanja-Kisaasi'!J63+'Avg Week Kisaasi-Kyanja'!J63</f>
        <v>2</v>
      </c>
      <c r="K63" s="49">
        <f>'Avg Week Kyanja-Kisaasi'!K63+'Avg Week Kisaasi-Kyanja'!K63</f>
        <v>1</v>
      </c>
      <c r="L63" s="49">
        <f>'Avg Week Kyanja-Kisaasi'!L63+'Avg Week Kisaasi-Kyanja'!L63</f>
        <v>0</v>
      </c>
      <c r="M63" s="49">
        <f>'Avg Week Kyanja-Kisaasi'!M63+'Avg Week Kisaasi-Kyanja'!M63</f>
        <v>205</v>
      </c>
      <c r="N63" s="49">
        <f>'Avg Week Kyanja-Kisaasi'!N63+'Avg Week Kisaasi-Kyanja'!N63</f>
        <v>0</v>
      </c>
      <c r="O63" s="49">
        <f>'Avg Week Kyanja-Kisaasi'!O63+'Avg Week Kisaasi-Kyanja'!O63</f>
        <v>189.5</v>
      </c>
      <c r="P63" s="49">
        <f>'Avg Week Kyanja-Kisaasi'!P63+'Avg Week Kisaasi-Kyanja'!P63</f>
        <v>394.5</v>
      </c>
      <c r="R63" s="8"/>
      <c r="T63"/>
    </row>
    <row r="64" spans="2:20" ht="23.1" customHeight="1" x14ac:dyDescent="0.25">
      <c r="B64" s="23" t="s">
        <v>109</v>
      </c>
      <c r="C64" s="49">
        <f>'Avg Week Kyanja-Kisaasi'!C64+'Avg Week Kisaasi-Kyanja'!C64</f>
        <v>101</v>
      </c>
      <c r="D64" s="49">
        <f>'Avg Week Kyanja-Kisaasi'!D64+'Avg Week Kisaasi-Kyanja'!D64</f>
        <v>49.5</v>
      </c>
      <c r="E64" s="49">
        <f>'Avg Week Kyanja-Kisaasi'!E64+'Avg Week Kisaasi-Kyanja'!E64</f>
        <v>8</v>
      </c>
      <c r="F64" s="49">
        <f>'Avg Week Kyanja-Kisaasi'!F64+'Avg Week Kisaasi-Kyanja'!F64</f>
        <v>32.5</v>
      </c>
      <c r="G64" s="49">
        <f>'Avg Week Kyanja-Kisaasi'!G64+'Avg Week Kisaasi-Kyanja'!G64</f>
        <v>0</v>
      </c>
      <c r="H64" s="49">
        <f>'Avg Week Kyanja-Kisaasi'!H64+'Avg Week Kisaasi-Kyanja'!H64</f>
        <v>0</v>
      </c>
      <c r="I64" s="49">
        <f>'Avg Week Kyanja-Kisaasi'!I64+'Avg Week Kisaasi-Kyanja'!I64</f>
        <v>6</v>
      </c>
      <c r="J64" s="49">
        <f>'Avg Week Kyanja-Kisaasi'!J64+'Avg Week Kisaasi-Kyanja'!J64</f>
        <v>1</v>
      </c>
      <c r="K64" s="49">
        <f>'Avg Week Kyanja-Kisaasi'!K64+'Avg Week Kisaasi-Kyanja'!K64</f>
        <v>1</v>
      </c>
      <c r="L64" s="49">
        <f>'Avg Week Kyanja-Kisaasi'!L64+'Avg Week Kisaasi-Kyanja'!L64</f>
        <v>0</v>
      </c>
      <c r="M64" s="49">
        <f>'Avg Week Kyanja-Kisaasi'!M64+'Avg Week Kisaasi-Kyanja'!M64</f>
        <v>205</v>
      </c>
      <c r="N64" s="49">
        <f>'Avg Week Kyanja-Kisaasi'!N64+'Avg Week Kisaasi-Kyanja'!N64</f>
        <v>0</v>
      </c>
      <c r="O64" s="49">
        <f>'Avg Week Kyanja-Kisaasi'!O64+'Avg Week Kisaasi-Kyanja'!O64</f>
        <v>199</v>
      </c>
      <c r="P64" s="49">
        <f>'Avg Week Kyanja-Kisaasi'!P64+'Avg Week Kisaasi-Kyanja'!P64</f>
        <v>404</v>
      </c>
      <c r="R64" s="8"/>
      <c r="T64"/>
    </row>
    <row r="65" spans="2:20" ht="23.1" customHeight="1" x14ac:dyDescent="0.25">
      <c r="B65" s="23" t="s">
        <v>158</v>
      </c>
      <c r="C65" s="49">
        <f>'Avg Week Kyanja-Kisaasi'!C65+'Avg Week Kisaasi-Kyanja'!C65</f>
        <v>72</v>
      </c>
      <c r="D65" s="49">
        <f>'Avg Week Kyanja-Kisaasi'!D65+'Avg Week Kisaasi-Kyanja'!D65</f>
        <v>26</v>
      </c>
      <c r="E65" s="49">
        <f>'Avg Week Kyanja-Kisaasi'!E65+'Avg Week Kisaasi-Kyanja'!E65</f>
        <v>10.5</v>
      </c>
      <c r="F65" s="49">
        <f>'Avg Week Kyanja-Kisaasi'!F65+'Avg Week Kisaasi-Kyanja'!F65</f>
        <v>18.5</v>
      </c>
      <c r="G65" s="49">
        <f>'Avg Week Kyanja-Kisaasi'!G65+'Avg Week Kisaasi-Kyanja'!G65</f>
        <v>0</v>
      </c>
      <c r="H65" s="49">
        <f>'Avg Week Kyanja-Kisaasi'!H65+'Avg Week Kisaasi-Kyanja'!H65</f>
        <v>0</v>
      </c>
      <c r="I65" s="49">
        <f>'Avg Week Kyanja-Kisaasi'!I65+'Avg Week Kisaasi-Kyanja'!I65</f>
        <v>4</v>
      </c>
      <c r="J65" s="49">
        <f>'Avg Week Kyanja-Kisaasi'!J65+'Avg Week Kisaasi-Kyanja'!J65</f>
        <v>0.5</v>
      </c>
      <c r="K65" s="49">
        <f>'Avg Week Kyanja-Kisaasi'!K65+'Avg Week Kisaasi-Kyanja'!K65</f>
        <v>1</v>
      </c>
      <c r="L65" s="49">
        <f>'Avg Week Kyanja-Kisaasi'!L65+'Avg Week Kisaasi-Kyanja'!L65</f>
        <v>0</v>
      </c>
      <c r="M65" s="49">
        <f>'Avg Week Kyanja-Kisaasi'!M65+'Avg Week Kisaasi-Kyanja'!M65</f>
        <v>184</v>
      </c>
      <c r="N65" s="49">
        <f>'Avg Week Kyanja-Kisaasi'!N65+'Avg Week Kisaasi-Kyanja'!N65</f>
        <v>0</v>
      </c>
      <c r="O65" s="49">
        <f>'Avg Week Kyanja-Kisaasi'!O65+'Avg Week Kisaasi-Kyanja'!O65</f>
        <v>132.5</v>
      </c>
      <c r="P65" s="49">
        <f>'Avg Week Kyanja-Kisaasi'!P65+'Avg Week Kisaasi-Kyanja'!P65</f>
        <v>316.5</v>
      </c>
      <c r="R65" s="8"/>
      <c r="T65"/>
    </row>
    <row r="66" spans="2:20" ht="23.1" customHeight="1" x14ac:dyDescent="0.25">
      <c r="B66" s="23" t="s">
        <v>103</v>
      </c>
      <c r="C66" s="49">
        <f>'Avg Week Kyanja-Kisaasi'!C66+'Avg Week Kisaasi-Kyanja'!C66</f>
        <v>101.5</v>
      </c>
      <c r="D66" s="49">
        <f>'Avg Week Kyanja-Kisaasi'!D66+'Avg Week Kisaasi-Kyanja'!D66</f>
        <v>40</v>
      </c>
      <c r="E66" s="49">
        <f>'Avg Week Kyanja-Kisaasi'!E66+'Avg Week Kisaasi-Kyanja'!E66</f>
        <v>9</v>
      </c>
      <c r="F66" s="49">
        <f>'Avg Week Kyanja-Kisaasi'!F66+'Avg Week Kisaasi-Kyanja'!F66</f>
        <v>48.5</v>
      </c>
      <c r="G66" s="49">
        <f>'Avg Week Kyanja-Kisaasi'!G66+'Avg Week Kisaasi-Kyanja'!G66</f>
        <v>0</v>
      </c>
      <c r="H66" s="49">
        <f>'Avg Week Kyanja-Kisaasi'!H66+'Avg Week Kisaasi-Kyanja'!H66</f>
        <v>0</v>
      </c>
      <c r="I66" s="49">
        <f>'Avg Week Kyanja-Kisaasi'!I66+'Avg Week Kisaasi-Kyanja'!I66</f>
        <v>3.5</v>
      </c>
      <c r="J66" s="49">
        <f>'Avg Week Kyanja-Kisaasi'!J66+'Avg Week Kisaasi-Kyanja'!J66</f>
        <v>1</v>
      </c>
      <c r="K66" s="49">
        <f>'Avg Week Kyanja-Kisaasi'!K66+'Avg Week Kisaasi-Kyanja'!K66</f>
        <v>2</v>
      </c>
      <c r="L66" s="49">
        <f>'Avg Week Kyanja-Kisaasi'!L66+'Avg Week Kisaasi-Kyanja'!L66</f>
        <v>0</v>
      </c>
      <c r="M66" s="49">
        <f>'Avg Week Kyanja-Kisaasi'!M66+'Avg Week Kisaasi-Kyanja'!M66</f>
        <v>214.5</v>
      </c>
      <c r="N66" s="49">
        <f>'Avg Week Kyanja-Kisaasi'!N66+'Avg Week Kisaasi-Kyanja'!N66</f>
        <v>0</v>
      </c>
      <c r="O66" s="49">
        <f>'Avg Week Kyanja-Kisaasi'!O66+'Avg Week Kisaasi-Kyanja'!O66</f>
        <v>205.5</v>
      </c>
      <c r="P66" s="49">
        <f>'Avg Week Kyanja-Kisaasi'!P66+'Avg Week Kisaasi-Kyanja'!P66</f>
        <v>420</v>
      </c>
      <c r="R66" s="8"/>
      <c r="T66"/>
    </row>
    <row r="67" spans="2:20" ht="23.1" customHeight="1" x14ac:dyDescent="0.25">
      <c r="B67" s="23" t="s">
        <v>104</v>
      </c>
      <c r="C67" s="49">
        <f>'Avg Week Kyanja-Kisaasi'!C67+'Avg Week Kisaasi-Kyanja'!C67</f>
        <v>119</v>
      </c>
      <c r="D67" s="49">
        <f>'Avg Week Kyanja-Kisaasi'!D67+'Avg Week Kisaasi-Kyanja'!D67</f>
        <v>39.5</v>
      </c>
      <c r="E67" s="49">
        <f>'Avg Week Kyanja-Kisaasi'!E67+'Avg Week Kisaasi-Kyanja'!E67</f>
        <v>8.5</v>
      </c>
      <c r="F67" s="49">
        <f>'Avg Week Kyanja-Kisaasi'!F67+'Avg Week Kisaasi-Kyanja'!F67</f>
        <v>31</v>
      </c>
      <c r="G67" s="49">
        <f>'Avg Week Kyanja-Kisaasi'!G67+'Avg Week Kisaasi-Kyanja'!G67</f>
        <v>2.5</v>
      </c>
      <c r="H67" s="49">
        <f>'Avg Week Kyanja-Kisaasi'!H67+'Avg Week Kisaasi-Kyanja'!H67</f>
        <v>0</v>
      </c>
      <c r="I67" s="49">
        <f>'Avg Week Kyanja-Kisaasi'!I67+'Avg Week Kisaasi-Kyanja'!I67</f>
        <v>4.5</v>
      </c>
      <c r="J67" s="49">
        <f>'Avg Week Kyanja-Kisaasi'!J67+'Avg Week Kisaasi-Kyanja'!J67</f>
        <v>3</v>
      </c>
      <c r="K67" s="49">
        <f>'Avg Week Kyanja-Kisaasi'!K67+'Avg Week Kisaasi-Kyanja'!K67</f>
        <v>0</v>
      </c>
      <c r="L67" s="49">
        <f>'Avg Week Kyanja-Kisaasi'!L67+'Avg Week Kisaasi-Kyanja'!L67</f>
        <v>0.5</v>
      </c>
      <c r="M67" s="49">
        <f>'Avg Week Kyanja-Kisaasi'!M67+'Avg Week Kisaasi-Kyanja'!M67</f>
        <v>172</v>
      </c>
      <c r="N67" s="49">
        <f>'Avg Week Kyanja-Kisaasi'!N67+'Avg Week Kisaasi-Kyanja'!N67</f>
        <v>0</v>
      </c>
      <c r="O67" s="49">
        <f>'Avg Week Kyanja-Kisaasi'!O67+'Avg Week Kisaasi-Kyanja'!O67</f>
        <v>208.5</v>
      </c>
      <c r="P67" s="49">
        <f>'Avg Week Kyanja-Kisaasi'!P67+'Avg Week Kisaasi-Kyanja'!P67</f>
        <v>380.5</v>
      </c>
      <c r="R67" s="8"/>
      <c r="T67"/>
    </row>
    <row r="68" spans="2:20" ht="23.1" customHeight="1" x14ac:dyDescent="0.25">
      <c r="B68" s="23" t="s">
        <v>105</v>
      </c>
      <c r="C68" s="49">
        <f>'Avg Week Kyanja-Kisaasi'!C68+'Avg Week Kisaasi-Kyanja'!C68</f>
        <v>99</v>
      </c>
      <c r="D68" s="49">
        <f>'Avg Week Kyanja-Kisaasi'!D68+'Avg Week Kisaasi-Kyanja'!D68</f>
        <v>36</v>
      </c>
      <c r="E68" s="49">
        <f>'Avg Week Kyanja-Kisaasi'!E68+'Avg Week Kisaasi-Kyanja'!E68</f>
        <v>8.5</v>
      </c>
      <c r="F68" s="49">
        <f>'Avg Week Kyanja-Kisaasi'!F68+'Avg Week Kisaasi-Kyanja'!F68</f>
        <v>27.5</v>
      </c>
      <c r="G68" s="49">
        <f>'Avg Week Kyanja-Kisaasi'!G68+'Avg Week Kisaasi-Kyanja'!G68</f>
        <v>0</v>
      </c>
      <c r="H68" s="49">
        <f>'Avg Week Kyanja-Kisaasi'!H68+'Avg Week Kisaasi-Kyanja'!H68</f>
        <v>0</v>
      </c>
      <c r="I68" s="49">
        <f>'Avg Week Kyanja-Kisaasi'!I68+'Avg Week Kisaasi-Kyanja'!I68</f>
        <v>2.5</v>
      </c>
      <c r="J68" s="49">
        <f>'Avg Week Kyanja-Kisaasi'!J68+'Avg Week Kisaasi-Kyanja'!J68</f>
        <v>1</v>
      </c>
      <c r="K68" s="49">
        <f>'Avg Week Kyanja-Kisaasi'!K68+'Avg Week Kisaasi-Kyanja'!K68</f>
        <v>1</v>
      </c>
      <c r="L68" s="49">
        <f>'Avg Week Kyanja-Kisaasi'!L68+'Avg Week Kisaasi-Kyanja'!L68</f>
        <v>0</v>
      </c>
      <c r="M68" s="49">
        <f>'Avg Week Kyanja-Kisaasi'!M68+'Avg Week Kisaasi-Kyanja'!M68</f>
        <v>174</v>
      </c>
      <c r="N68" s="49">
        <f>'Avg Week Kyanja-Kisaasi'!N68+'Avg Week Kisaasi-Kyanja'!N68</f>
        <v>0</v>
      </c>
      <c r="O68" s="49">
        <f>'Avg Week Kyanja-Kisaasi'!O68+'Avg Week Kisaasi-Kyanja'!O68</f>
        <v>175.5</v>
      </c>
      <c r="P68" s="49">
        <f>'Avg Week Kyanja-Kisaasi'!P68+'Avg Week Kisaasi-Kyanja'!P68</f>
        <v>349.5</v>
      </c>
      <c r="R68" s="8"/>
      <c r="T68"/>
    </row>
    <row r="69" spans="2:20" ht="23.1" customHeight="1" x14ac:dyDescent="0.25">
      <c r="B69" s="23" t="s">
        <v>106</v>
      </c>
      <c r="C69" s="49">
        <f>'Avg Week Kyanja-Kisaasi'!C69+'Avg Week Kisaasi-Kyanja'!C69</f>
        <v>122.5</v>
      </c>
      <c r="D69" s="49">
        <f>'Avg Week Kyanja-Kisaasi'!D69+'Avg Week Kisaasi-Kyanja'!D69</f>
        <v>49</v>
      </c>
      <c r="E69" s="49">
        <f>'Avg Week Kyanja-Kisaasi'!E69+'Avg Week Kisaasi-Kyanja'!E69</f>
        <v>10</v>
      </c>
      <c r="F69" s="49">
        <f>'Avg Week Kyanja-Kisaasi'!F69+'Avg Week Kisaasi-Kyanja'!F69</f>
        <v>30.5</v>
      </c>
      <c r="G69" s="49">
        <f>'Avg Week Kyanja-Kisaasi'!G69+'Avg Week Kisaasi-Kyanja'!G69</f>
        <v>0</v>
      </c>
      <c r="H69" s="49">
        <f>'Avg Week Kyanja-Kisaasi'!H69+'Avg Week Kisaasi-Kyanja'!H69</f>
        <v>0.5</v>
      </c>
      <c r="I69" s="49">
        <f>'Avg Week Kyanja-Kisaasi'!I69+'Avg Week Kisaasi-Kyanja'!I69</f>
        <v>7.5</v>
      </c>
      <c r="J69" s="49">
        <f>'Avg Week Kyanja-Kisaasi'!J69+'Avg Week Kisaasi-Kyanja'!J69</f>
        <v>2</v>
      </c>
      <c r="K69" s="49">
        <f>'Avg Week Kyanja-Kisaasi'!K69+'Avg Week Kisaasi-Kyanja'!K69</f>
        <v>1</v>
      </c>
      <c r="L69" s="49">
        <f>'Avg Week Kyanja-Kisaasi'!L69+'Avg Week Kisaasi-Kyanja'!L69</f>
        <v>1</v>
      </c>
      <c r="M69" s="49">
        <f>'Avg Week Kyanja-Kisaasi'!M69+'Avg Week Kisaasi-Kyanja'!M69</f>
        <v>164.5</v>
      </c>
      <c r="N69" s="49">
        <f>'Avg Week Kyanja-Kisaasi'!N69+'Avg Week Kisaasi-Kyanja'!N69</f>
        <v>0</v>
      </c>
      <c r="O69" s="49">
        <f>'Avg Week Kyanja-Kisaasi'!O69+'Avg Week Kisaasi-Kyanja'!O69</f>
        <v>224</v>
      </c>
      <c r="P69" s="49">
        <f>'Avg Week Kyanja-Kisaasi'!P69+'Avg Week Kisaasi-Kyanja'!P69</f>
        <v>388.5</v>
      </c>
      <c r="R69" s="8"/>
      <c r="T69"/>
    </row>
    <row r="70" spans="2:20" ht="23.1" customHeight="1" x14ac:dyDescent="0.25">
      <c r="B70" s="23" t="s">
        <v>110</v>
      </c>
      <c r="C70" s="49">
        <f>'Avg Week Kyanja-Kisaasi'!C70+'Avg Week Kisaasi-Kyanja'!C70</f>
        <v>92</v>
      </c>
      <c r="D70" s="49">
        <f>'Avg Week Kyanja-Kisaasi'!D70+'Avg Week Kisaasi-Kyanja'!D70</f>
        <v>48</v>
      </c>
      <c r="E70" s="49">
        <f>'Avg Week Kyanja-Kisaasi'!E70+'Avg Week Kisaasi-Kyanja'!E70</f>
        <v>12.5</v>
      </c>
      <c r="F70" s="49">
        <f>'Avg Week Kyanja-Kisaasi'!F70+'Avg Week Kisaasi-Kyanja'!F70</f>
        <v>36.5</v>
      </c>
      <c r="G70" s="49">
        <f>'Avg Week Kyanja-Kisaasi'!G70+'Avg Week Kisaasi-Kyanja'!G70</f>
        <v>0</v>
      </c>
      <c r="H70" s="49">
        <f>'Avg Week Kyanja-Kisaasi'!H70+'Avg Week Kisaasi-Kyanja'!H70</f>
        <v>0</v>
      </c>
      <c r="I70" s="49">
        <f>'Avg Week Kyanja-Kisaasi'!I70+'Avg Week Kisaasi-Kyanja'!I70</f>
        <v>6.5</v>
      </c>
      <c r="J70" s="49">
        <f>'Avg Week Kyanja-Kisaasi'!J70+'Avg Week Kisaasi-Kyanja'!J70</f>
        <v>2</v>
      </c>
      <c r="K70" s="49">
        <f>'Avg Week Kyanja-Kisaasi'!K70+'Avg Week Kisaasi-Kyanja'!K70</f>
        <v>0</v>
      </c>
      <c r="L70" s="49">
        <f>'Avg Week Kyanja-Kisaasi'!L70+'Avg Week Kisaasi-Kyanja'!L70</f>
        <v>1</v>
      </c>
      <c r="M70" s="49">
        <f>'Avg Week Kyanja-Kisaasi'!M70+'Avg Week Kisaasi-Kyanja'!M70</f>
        <v>174.5</v>
      </c>
      <c r="N70" s="49">
        <f>'Avg Week Kyanja-Kisaasi'!N70+'Avg Week Kisaasi-Kyanja'!N70</f>
        <v>0</v>
      </c>
      <c r="O70" s="49">
        <f>'Avg Week Kyanja-Kisaasi'!O70+'Avg Week Kisaasi-Kyanja'!O70</f>
        <v>198.5</v>
      </c>
      <c r="P70" s="49">
        <f>'Avg Week Kyanja-Kisaasi'!P70+'Avg Week Kisaasi-Kyanja'!P70</f>
        <v>373</v>
      </c>
      <c r="R70" s="8"/>
      <c r="T70"/>
    </row>
    <row r="71" spans="2:20" ht="23.1" customHeight="1" x14ac:dyDescent="0.25">
      <c r="B71" s="23" t="s">
        <v>111</v>
      </c>
      <c r="C71" s="49">
        <f>'Avg Week Kyanja-Kisaasi'!C71+'Avg Week Kisaasi-Kyanja'!C71</f>
        <v>86</v>
      </c>
      <c r="D71" s="49">
        <f>'Avg Week Kyanja-Kisaasi'!D71+'Avg Week Kisaasi-Kyanja'!D71</f>
        <v>58</v>
      </c>
      <c r="E71" s="49">
        <f>'Avg Week Kyanja-Kisaasi'!E71+'Avg Week Kisaasi-Kyanja'!E71</f>
        <v>10.5</v>
      </c>
      <c r="F71" s="49">
        <f>'Avg Week Kyanja-Kisaasi'!F71+'Avg Week Kisaasi-Kyanja'!F71</f>
        <v>27.5</v>
      </c>
      <c r="G71" s="49">
        <f>'Avg Week Kyanja-Kisaasi'!G71+'Avg Week Kisaasi-Kyanja'!G71</f>
        <v>0</v>
      </c>
      <c r="H71" s="49">
        <f>'Avg Week Kyanja-Kisaasi'!H71+'Avg Week Kisaasi-Kyanja'!H71</f>
        <v>0</v>
      </c>
      <c r="I71" s="49">
        <f>'Avg Week Kyanja-Kisaasi'!I71+'Avg Week Kisaasi-Kyanja'!I71</f>
        <v>5</v>
      </c>
      <c r="J71" s="49">
        <f>'Avg Week Kyanja-Kisaasi'!J71+'Avg Week Kisaasi-Kyanja'!J71</f>
        <v>0.5</v>
      </c>
      <c r="K71" s="49">
        <f>'Avg Week Kyanja-Kisaasi'!K71+'Avg Week Kisaasi-Kyanja'!K71</f>
        <v>1</v>
      </c>
      <c r="L71" s="49">
        <f>'Avg Week Kyanja-Kisaasi'!L71+'Avg Week Kisaasi-Kyanja'!L71</f>
        <v>0</v>
      </c>
      <c r="M71" s="49">
        <f>'Avg Week Kyanja-Kisaasi'!M71+'Avg Week Kisaasi-Kyanja'!M71</f>
        <v>122</v>
      </c>
      <c r="N71" s="49">
        <f>'Avg Week Kyanja-Kisaasi'!N71+'Avg Week Kisaasi-Kyanja'!N71</f>
        <v>0</v>
      </c>
      <c r="O71" s="49">
        <f>'Avg Week Kyanja-Kisaasi'!O71+'Avg Week Kisaasi-Kyanja'!O71</f>
        <v>188.5</v>
      </c>
      <c r="P71" s="49">
        <f>'Avg Week Kyanja-Kisaasi'!P71+'Avg Week Kisaasi-Kyanja'!P71</f>
        <v>310.5</v>
      </c>
      <c r="R71" s="8"/>
      <c r="T71"/>
    </row>
    <row r="72" spans="2:20" ht="23.1" customHeight="1" x14ac:dyDescent="0.25">
      <c r="B72" s="23" t="s">
        <v>112</v>
      </c>
      <c r="C72" s="49">
        <f>'Avg Week Kyanja-Kisaasi'!C72+'Avg Week Kisaasi-Kyanja'!C72</f>
        <v>75.5</v>
      </c>
      <c r="D72" s="49">
        <f>'Avg Week Kyanja-Kisaasi'!D72+'Avg Week Kisaasi-Kyanja'!D72</f>
        <v>57</v>
      </c>
      <c r="E72" s="49">
        <f>'Avg Week Kyanja-Kisaasi'!E72+'Avg Week Kisaasi-Kyanja'!E72</f>
        <v>6.5</v>
      </c>
      <c r="F72" s="49">
        <f>'Avg Week Kyanja-Kisaasi'!F72+'Avg Week Kisaasi-Kyanja'!F72</f>
        <v>21.5</v>
      </c>
      <c r="G72" s="49">
        <f>'Avg Week Kyanja-Kisaasi'!G72+'Avg Week Kisaasi-Kyanja'!G72</f>
        <v>0</v>
      </c>
      <c r="H72" s="49">
        <f>'Avg Week Kyanja-Kisaasi'!H72+'Avg Week Kisaasi-Kyanja'!H72</f>
        <v>0</v>
      </c>
      <c r="I72" s="49">
        <f>'Avg Week Kyanja-Kisaasi'!I72+'Avg Week Kisaasi-Kyanja'!I72</f>
        <v>3.5</v>
      </c>
      <c r="J72" s="49">
        <f>'Avg Week Kyanja-Kisaasi'!J72+'Avg Week Kisaasi-Kyanja'!J72</f>
        <v>1.5</v>
      </c>
      <c r="K72" s="49">
        <f>'Avg Week Kyanja-Kisaasi'!K72+'Avg Week Kisaasi-Kyanja'!K72</f>
        <v>1.5</v>
      </c>
      <c r="L72" s="49">
        <f>'Avg Week Kyanja-Kisaasi'!L72+'Avg Week Kisaasi-Kyanja'!L72</f>
        <v>0.5</v>
      </c>
      <c r="M72" s="49">
        <f>'Avg Week Kyanja-Kisaasi'!M72+'Avg Week Kisaasi-Kyanja'!M72</f>
        <v>157.5</v>
      </c>
      <c r="N72" s="49">
        <f>'Avg Week Kyanja-Kisaasi'!N72+'Avg Week Kisaasi-Kyanja'!N72</f>
        <v>0</v>
      </c>
      <c r="O72" s="49">
        <f>'Avg Week Kyanja-Kisaasi'!O72+'Avg Week Kisaasi-Kyanja'!O72</f>
        <v>167.5</v>
      </c>
      <c r="P72" s="49">
        <f>'Avg Week Kyanja-Kisaasi'!P72+'Avg Week Kisaasi-Kyanja'!P72</f>
        <v>325</v>
      </c>
      <c r="R72" s="8"/>
      <c r="T72"/>
    </row>
    <row r="73" spans="2:20" ht="23.1" customHeight="1" x14ac:dyDescent="0.25">
      <c r="B73" s="23" t="s">
        <v>113</v>
      </c>
      <c r="C73" s="49">
        <f>'Avg Week Kyanja-Kisaasi'!C73+'Avg Week Kisaasi-Kyanja'!C73</f>
        <v>71.5</v>
      </c>
      <c r="D73" s="49">
        <f>'Avg Week Kyanja-Kisaasi'!D73+'Avg Week Kisaasi-Kyanja'!D73</f>
        <v>35</v>
      </c>
      <c r="E73" s="49">
        <f>'Avg Week Kyanja-Kisaasi'!E73+'Avg Week Kisaasi-Kyanja'!E73</f>
        <v>6.5</v>
      </c>
      <c r="F73" s="49">
        <f>'Avg Week Kyanja-Kisaasi'!F73+'Avg Week Kisaasi-Kyanja'!F73</f>
        <v>16.5</v>
      </c>
      <c r="G73" s="49">
        <f>'Avg Week Kyanja-Kisaasi'!G73+'Avg Week Kisaasi-Kyanja'!G73</f>
        <v>1</v>
      </c>
      <c r="H73" s="49">
        <f>'Avg Week Kyanja-Kisaasi'!H73+'Avg Week Kisaasi-Kyanja'!H73</f>
        <v>0</v>
      </c>
      <c r="I73" s="49">
        <f>'Avg Week Kyanja-Kisaasi'!I73+'Avg Week Kisaasi-Kyanja'!I73</f>
        <v>3.5</v>
      </c>
      <c r="J73" s="49">
        <f>'Avg Week Kyanja-Kisaasi'!J73+'Avg Week Kisaasi-Kyanja'!J73</f>
        <v>2</v>
      </c>
      <c r="K73" s="49">
        <f>'Avg Week Kyanja-Kisaasi'!K73+'Avg Week Kisaasi-Kyanja'!K73</f>
        <v>0.5</v>
      </c>
      <c r="L73" s="49">
        <f>'Avg Week Kyanja-Kisaasi'!L73+'Avg Week Kisaasi-Kyanja'!L73</f>
        <v>0</v>
      </c>
      <c r="M73" s="49">
        <f>'Avg Week Kyanja-Kisaasi'!M73+'Avg Week Kisaasi-Kyanja'!M73</f>
        <v>109.5</v>
      </c>
      <c r="N73" s="49">
        <f>'Avg Week Kyanja-Kisaasi'!N73+'Avg Week Kisaasi-Kyanja'!N73</f>
        <v>0</v>
      </c>
      <c r="O73" s="49">
        <f>'Avg Week Kyanja-Kisaasi'!O73+'Avg Week Kisaasi-Kyanja'!O73</f>
        <v>136.5</v>
      </c>
      <c r="P73" s="49">
        <f>'Avg Week Kyanja-Kisaasi'!P73+'Avg Week Kisaasi-Kyanja'!P73</f>
        <v>246</v>
      </c>
      <c r="R73" s="8"/>
      <c r="T73"/>
    </row>
    <row r="74" spans="2:20" ht="23.1" customHeight="1" x14ac:dyDescent="0.25">
      <c r="B74" s="23" t="s">
        <v>114</v>
      </c>
      <c r="C74" s="49">
        <f>'Avg Week Kyanja-Kisaasi'!C74+'Avg Week Kisaasi-Kyanja'!C74</f>
        <v>75</v>
      </c>
      <c r="D74" s="49">
        <f>'Avg Week Kyanja-Kisaasi'!D74+'Avg Week Kisaasi-Kyanja'!D74</f>
        <v>42</v>
      </c>
      <c r="E74" s="49">
        <f>'Avg Week Kyanja-Kisaasi'!E74+'Avg Week Kisaasi-Kyanja'!E74</f>
        <v>10</v>
      </c>
      <c r="F74" s="49">
        <f>'Avg Week Kyanja-Kisaasi'!F74+'Avg Week Kisaasi-Kyanja'!F74</f>
        <v>18.5</v>
      </c>
      <c r="G74" s="49">
        <f>'Avg Week Kyanja-Kisaasi'!G74+'Avg Week Kisaasi-Kyanja'!G74</f>
        <v>0</v>
      </c>
      <c r="H74" s="49">
        <f>'Avg Week Kyanja-Kisaasi'!H74+'Avg Week Kisaasi-Kyanja'!H74</f>
        <v>0</v>
      </c>
      <c r="I74" s="49">
        <f>'Avg Week Kyanja-Kisaasi'!I74+'Avg Week Kisaasi-Kyanja'!I74</f>
        <v>4</v>
      </c>
      <c r="J74" s="49">
        <f>'Avg Week Kyanja-Kisaasi'!J74+'Avg Week Kisaasi-Kyanja'!J74</f>
        <v>2.5</v>
      </c>
      <c r="K74" s="49">
        <f>'Avg Week Kyanja-Kisaasi'!K74+'Avg Week Kisaasi-Kyanja'!K74</f>
        <v>0</v>
      </c>
      <c r="L74" s="49">
        <f>'Avg Week Kyanja-Kisaasi'!L74+'Avg Week Kisaasi-Kyanja'!L74</f>
        <v>0</v>
      </c>
      <c r="M74" s="49">
        <f>'Avg Week Kyanja-Kisaasi'!M74+'Avg Week Kisaasi-Kyanja'!M74</f>
        <v>132.5</v>
      </c>
      <c r="N74" s="49">
        <f>'Avg Week Kyanja-Kisaasi'!N74+'Avg Week Kisaasi-Kyanja'!N74</f>
        <v>0</v>
      </c>
      <c r="O74" s="49">
        <f>'Avg Week Kyanja-Kisaasi'!O74+'Avg Week Kisaasi-Kyanja'!O74</f>
        <v>152</v>
      </c>
      <c r="P74" s="49">
        <f>'Avg Week Kyanja-Kisaasi'!P74+'Avg Week Kisaasi-Kyanja'!P74</f>
        <v>284.5</v>
      </c>
      <c r="R74" s="8"/>
      <c r="T74"/>
    </row>
    <row r="75" spans="2:20" ht="23.1" customHeight="1" x14ac:dyDescent="0.25">
      <c r="B75" s="23" t="s">
        <v>115</v>
      </c>
      <c r="C75" s="49">
        <f>'Avg Week Kyanja-Kisaasi'!C75+'Avg Week Kisaasi-Kyanja'!C75</f>
        <v>64</v>
      </c>
      <c r="D75" s="49">
        <f>'Avg Week Kyanja-Kisaasi'!D75+'Avg Week Kisaasi-Kyanja'!D75</f>
        <v>20.5</v>
      </c>
      <c r="E75" s="49">
        <f>'Avg Week Kyanja-Kisaasi'!E75+'Avg Week Kisaasi-Kyanja'!E75</f>
        <v>4</v>
      </c>
      <c r="F75" s="49">
        <f>'Avg Week Kyanja-Kisaasi'!F75+'Avg Week Kisaasi-Kyanja'!F75</f>
        <v>12.5</v>
      </c>
      <c r="G75" s="49">
        <f>'Avg Week Kyanja-Kisaasi'!G75+'Avg Week Kisaasi-Kyanja'!G75</f>
        <v>0</v>
      </c>
      <c r="H75" s="49">
        <f>'Avg Week Kyanja-Kisaasi'!H75+'Avg Week Kisaasi-Kyanja'!H75</f>
        <v>0</v>
      </c>
      <c r="I75" s="49">
        <f>'Avg Week Kyanja-Kisaasi'!I75+'Avg Week Kisaasi-Kyanja'!I75</f>
        <v>1.5</v>
      </c>
      <c r="J75" s="49">
        <f>'Avg Week Kyanja-Kisaasi'!J75+'Avg Week Kisaasi-Kyanja'!J75</f>
        <v>3</v>
      </c>
      <c r="K75" s="49">
        <f>'Avg Week Kyanja-Kisaasi'!K75+'Avg Week Kisaasi-Kyanja'!K75</f>
        <v>0.5</v>
      </c>
      <c r="L75" s="49">
        <f>'Avg Week Kyanja-Kisaasi'!L75+'Avg Week Kisaasi-Kyanja'!L75</f>
        <v>0</v>
      </c>
      <c r="M75" s="49">
        <f>'Avg Week Kyanja-Kisaasi'!M75+'Avg Week Kisaasi-Kyanja'!M75</f>
        <v>90.5</v>
      </c>
      <c r="N75" s="49">
        <f>'Avg Week Kyanja-Kisaasi'!N75+'Avg Week Kisaasi-Kyanja'!N75</f>
        <v>0</v>
      </c>
      <c r="O75" s="49">
        <f>'Avg Week Kyanja-Kisaasi'!O75+'Avg Week Kisaasi-Kyanja'!O75</f>
        <v>106</v>
      </c>
      <c r="P75" s="49">
        <f>'Avg Week Kyanja-Kisaasi'!P75+'Avg Week Kisaasi-Kyanja'!P75</f>
        <v>196.5</v>
      </c>
      <c r="R75" s="8"/>
      <c r="T75"/>
    </row>
    <row r="76" spans="2:20" ht="23.1" customHeight="1" x14ac:dyDescent="0.25">
      <c r="B76" s="23" t="s">
        <v>116</v>
      </c>
      <c r="C76" s="49">
        <f>'Avg Week Kyanja-Kisaasi'!C76+'Avg Week Kisaasi-Kyanja'!C76</f>
        <v>73</v>
      </c>
      <c r="D76" s="49">
        <f>'Avg Week Kyanja-Kisaasi'!D76+'Avg Week Kisaasi-Kyanja'!D76</f>
        <v>36.5</v>
      </c>
      <c r="E76" s="49">
        <f>'Avg Week Kyanja-Kisaasi'!E76+'Avg Week Kisaasi-Kyanja'!E76</f>
        <v>7</v>
      </c>
      <c r="F76" s="49">
        <f>'Avg Week Kyanja-Kisaasi'!F76+'Avg Week Kisaasi-Kyanja'!F76</f>
        <v>14</v>
      </c>
      <c r="G76" s="49">
        <f>'Avg Week Kyanja-Kisaasi'!G76+'Avg Week Kisaasi-Kyanja'!G76</f>
        <v>0</v>
      </c>
      <c r="H76" s="49">
        <f>'Avg Week Kyanja-Kisaasi'!H76+'Avg Week Kisaasi-Kyanja'!H76</f>
        <v>0</v>
      </c>
      <c r="I76" s="49">
        <f>'Avg Week Kyanja-Kisaasi'!I76+'Avg Week Kisaasi-Kyanja'!I76</f>
        <v>2.5</v>
      </c>
      <c r="J76" s="49">
        <f>'Avg Week Kyanja-Kisaasi'!J76+'Avg Week Kisaasi-Kyanja'!J76</f>
        <v>0.5</v>
      </c>
      <c r="K76" s="49">
        <f>'Avg Week Kyanja-Kisaasi'!K76+'Avg Week Kisaasi-Kyanja'!K76</f>
        <v>0</v>
      </c>
      <c r="L76" s="49">
        <f>'Avg Week Kyanja-Kisaasi'!L76+'Avg Week Kisaasi-Kyanja'!L76</f>
        <v>0.5</v>
      </c>
      <c r="M76" s="49">
        <f>'Avg Week Kyanja-Kisaasi'!M76+'Avg Week Kisaasi-Kyanja'!M76</f>
        <v>86.5</v>
      </c>
      <c r="N76" s="49">
        <f>'Avg Week Kyanja-Kisaasi'!N76+'Avg Week Kisaasi-Kyanja'!N76</f>
        <v>0</v>
      </c>
      <c r="O76" s="49">
        <f>'Avg Week Kyanja-Kisaasi'!O76+'Avg Week Kisaasi-Kyanja'!O76</f>
        <v>134</v>
      </c>
      <c r="P76" s="49">
        <f>'Avg Week Kyanja-Kisaasi'!P76+'Avg Week Kisaasi-Kyanja'!P76</f>
        <v>220.5</v>
      </c>
      <c r="R76" s="8"/>
      <c r="T76"/>
    </row>
    <row r="77" spans="2:20" ht="23.1" customHeight="1" x14ac:dyDescent="0.25">
      <c r="B77" s="23" t="s">
        <v>117</v>
      </c>
      <c r="C77" s="49">
        <f>'Avg Week Kyanja-Kisaasi'!C77+'Avg Week Kisaasi-Kyanja'!C77</f>
        <v>46.5</v>
      </c>
      <c r="D77" s="49">
        <f>'Avg Week Kyanja-Kisaasi'!D77+'Avg Week Kisaasi-Kyanja'!D77</f>
        <v>15.5</v>
      </c>
      <c r="E77" s="49">
        <f>'Avg Week Kyanja-Kisaasi'!E77+'Avg Week Kisaasi-Kyanja'!E77</f>
        <v>3</v>
      </c>
      <c r="F77" s="49">
        <f>'Avg Week Kyanja-Kisaasi'!F77+'Avg Week Kisaasi-Kyanja'!F77</f>
        <v>4.5</v>
      </c>
      <c r="G77" s="49">
        <f>'Avg Week Kyanja-Kisaasi'!G77+'Avg Week Kisaasi-Kyanja'!G77</f>
        <v>0</v>
      </c>
      <c r="H77" s="49">
        <f>'Avg Week Kyanja-Kisaasi'!H77+'Avg Week Kisaasi-Kyanja'!H77</f>
        <v>0</v>
      </c>
      <c r="I77" s="49">
        <f>'Avg Week Kyanja-Kisaasi'!I77+'Avg Week Kisaasi-Kyanja'!I77</f>
        <v>1.5</v>
      </c>
      <c r="J77" s="49">
        <f>'Avg Week Kyanja-Kisaasi'!J77+'Avg Week Kisaasi-Kyanja'!J77</f>
        <v>0.5</v>
      </c>
      <c r="K77" s="49">
        <f>'Avg Week Kyanja-Kisaasi'!K77+'Avg Week Kisaasi-Kyanja'!K77</f>
        <v>0</v>
      </c>
      <c r="L77" s="49">
        <f>'Avg Week Kyanja-Kisaasi'!L77+'Avg Week Kisaasi-Kyanja'!L77</f>
        <v>0</v>
      </c>
      <c r="M77" s="49">
        <f>'Avg Week Kyanja-Kisaasi'!M77+'Avg Week Kisaasi-Kyanja'!M77</f>
        <v>71.5</v>
      </c>
      <c r="N77" s="49">
        <f>'Avg Week Kyanja-Kisaasi'!N77+'Avg Week Kisaasi-Kyanja'!N77</f>
        <v>0</v>
      </c>
      <c r="O77" s="49">
        <f>'Avg Week Kyanja-Kisaasi'!O77+'Avg Week Kisaasi-Kyanja'!O77</f>
        <v>71.5</v>
      </c>
      <c r="P77" s="49">
        <f>'Avg Week Kyanja-Kisaasi'!P77+'Avg Week Kisaasi-Kyanja'!P77</f>
        <v>143</v>
      </c>
      <c r="R77" s="8"/>
      <c r="T77"/>
    </row>
    <row r="78" spans="2:20" ht="23.1" customHeight="1" x14ac:dyDescent="0.25">
      <c r="B78" s="24" t="s">
        <v>118</v>
      </c>
      <c r="C78" s="49">
        <f>'Avg Week Kyanja-Kisaasi'!C78+'Avg Week Kisaasi-Kyanja'!C78</f>
        <v>65.5</v>
      </c>
      <c r="D78" s="49">
        <f>'Avg Week Kyanja-Kisaasi'!D78+'Avg Week Kisaasi-Kyanja'!D78</f>
        <v>18</v>
      </c>
      <c r="E78" s="49">
        <f>'Avg Week Kyanja-Kisaasi'!E78+'Avg Week Kisaasi-Kyanja'!E78</f>
        <v>2.5</v>
      </c>
      <c r="F78" s="49">
        <f>'Avg Week Kyanja-Kisaasi'!F78+'Avg Week Kisaasi-Kyanja'!F78</f>
        <v>11.5</v>
      </c>
      <c r="G78" s="49">
        <f>'Avg Week Kyanja-Kisaasi'!G78+'Avg Week Kisaasi-Kyanja'!G78</f>
        <v>0</v>
      </c>
      <c r="H78" s="49">
        <f>'Avg Week Kyanja-Kisaasi'!H78+'Avg Week Kisaasi-Kyanja'!H78</f>
        <v>0</v>
      </c>
      <c r="I78" s="49">
        <f>'Avg Week Kyanja-Kisaasi'!I78+'Avg Week Kisaasi-Kyanja'!I78</f>
        <v>2.5</v>
      </c>
      <c r="J78" s="49">
        <f>'Avg Week Kyanja-Kisaasi'!J78+'Avg Week Kisaasi-Kyanja'!J78</f>
        <v>0.5</v>
      </c>
      <c r="K78" s="49">
        <f>'Avg Week Kyanja-Kisaasi'!K78+'Avg Week Kisaasi-Kyanja'!K78</f>
        <v>1.5</v>
      </c>
      <c r="L78" s="49">
        <f>'Avg Week Kyanja-Kisaasi'!L78+'Avg Week Kisaasi-Kyanja'!L78</f>
        <v>0</v>
      </c>
      <c r="M78" s="49">
        <f>'Avg Week Kyanja-Kisaasi'!M78+'Avg Week Kisaasi-Kyanja'!M78</f>
        <v>62</v>
      </c>
      <c r="N78" s="49">
        <f>'Avg Week Kyanja-Kisaasi'!N78+'Avg Week Kisaasi-Kyanja'!N78</f>
        <v>0</v>
      </c>
      <c r="O78" s="49">
        <f>'Avg Week Kyanja-Kisaasi'!O78+'Avg Week Kisaasi-Kyanja'!O78</f>
        <v>102</v>
      </c>
      <c r="P78" s="49">
        <f>'Avg Week Kyanja-Kisaasi'!P78+'Avg Week Kisaasi-Kyanja'!P78</f>
        <v>164</v>
      </c>
      <c r="R78" s="8"/>
      <c r="T78"/>
    </row>
    <row r="79" spans="2:20" ht="23.1" customHeight="1" x14ac:dyDescent="0.25">
      <c r="B79" s="23" t="s">
        <v>119</v>
      </c>
      <c r="C79" s="49">
        <f>'Avg Week Kyanja-Kisaasi'!C79+'Avg Week Kisaasi-Kyanja'!C79</f>
        <v>45.5</v>
      </c>
      <c r="D79" s="49">
        <f>'Avg Week Kyanja-Kisaasi'!D79+'Avg Week Kisaasi-Kyanja'!D79</f>
        <v>13</v>
      </c>
      <c r="E79" s="49">
        <f>'Avg Week Kyanja-Kisaasi'!E79+'Avg Week Kisaasi-Kyanja'!E79</f>
        <v>4.5</v>
      </c>
      <c r="F79" s="49">
        <f>'Avg Week Kyanja-Kisaasi'!F79+'Avg Week Kisaasi-Kyanja'!F79</f>
        <v>2</v>
      </c>
      <c r="G79" s="49">
        <f>'Avg Week Kyanja-Kisaasi'!G79+'Avg Week Kisaasi-Kyanja'!G79</f>
        <v>0</v>
      </c>
      <c r="H79" s="49">
        <f>'Avg Week Kyanja-Kisaasi'!H79+'Avg Week Kisaasi-Kyanja'!H79</f>
        <v>0</v>
      </c>
      <c r="I79" s="49">
        <f>'Avg Week Kyanja-Kisaasi'!I79+'Avg Week Kisaasi-Kyanja'!I79</f>
        <v>0</v>
      </c>
      <c r="J79" s="49">
        <f>'Avg Week Kyanja-Kisaasi'!J79+'Avg Week Kisaasi-Kyanja'!J79</f>
        <v>0</v>
      </c>
      <c r="K79" s="49">
        <f>'Avg Week Kyanja-Kisaasi'!K79+'Avg Week Kisaasi-Kyanja'!K79</f>
        <v>1</v>
      </c>
      <c r="L79" s="49">
        <f>'Avg Week Kyanja-Kisaasi'!L79+'Avg Week Kisaasi-Kyanja'!L79</f>
        <v>0</v>
      </c>
      <c r="M79" s="49">
        <f>'Avg Week Kyanja-Kisaasi'!M79+'Avg Week Kisaasi-Kyanja'!M79</f>
        <v>64</v>
      </c>
      <c r="N79" s="49">
        <f>'Avg Week Kyanja-Kisaasi'!N79+'Avg Week Kisaasi-Kyanja'!N79</f>
        <v>0</v>
      </c>
      <c r="O79" s="49">
        <f>'Avg Week Kyanja-Kisaasi'!O79+'Avg Week Kisaasi-Kyanja'!O79</f>
        <v>66</v>
      </c>
      <c r="P79" s="49">
        <f>'Avg Week Kyanja-Kisaasi'!P79+'Avg Week Kisaasi-Kyanja'!P79</f>
        <v>130</v>
      </c>
      <c r="R79" s="8"/>
      <c r="T79"/>
    </row>
    <row r="80" spans="2:20" ht="23.1" customHeight="1" x14ac:dyDescent="0.25">
      <c r="B80" s="25" t="s">
        <v>120</v>
      </c>
      <c r="C80" s="49">
        <f>'Avg Week Kyanja-Kisaasi'!C80+'Avg Week Kisaasi-Kyanja'!C80</f>
        <v>55</v>
      </c>
      <c r="D80" s="49">
        <f>'Avg Week Kyanja-Kisaasi'!D80+'Avg Week Kisaasi-Kyanja'!D80</f>
        <v>20.5</v>
      </c>
      <c r="E80" s="49">
        <f>'Avg Week Kyanja-Kisaasi'!E80+'Avg Week Kisaasi-Kyanja'!E80</f>
        <v>3.5</v>
      </c>
      <c r="F80" s="49">
        <f>'Avg Week Kyanja-Kisaasi'!F80+'Avg Week Kisaasi-Kyanja'!F80</f>
        <v>8</v>
      </c>
      <c r="G80" s="49">
        <f>'Avg Week Kyanja-Kisaasi'!G80+'Avg Week Kisaasi-Kyanja'!G80</f>
        <v>0</v>
      </c>
      <c r="H80" s="49">
        <f>'Avg Week Kyanja-Kisaasi'!H80+'Avg Week Kisaasi-Kyanja'!H80</f>
        <v>0</v>
      </c>
      <c r="I80" s="49">
        <f>'Avg Week Kyanja-Kisaasi'!I80+'Avg Week Kisaasi-Kyanja'!I80</f>
        <v>3.5</v>
      </c>
      <c r="J80" s="49">
        <f>'Avg Week Kyanja-Kisaasi'!J80+'Avg Week Kisaasi-Kyanja'!J80</f>
        <v>1</v>
      </c>
      <c r="K80" s="49">
        <f>'Avg Week Kyanja-Kisaasi'!K80+'Avg Week Kisaasi-Kyanja'!K80</f>
        <v>0</v>
      </c>
      <c r="L80" s="49">
        <f>'Avg Week Kyanja-Kisaasi'!L80+'Avg Week Kisaasi-Kyanja'!L80</f>
        <v>0.5</v>
      </c>
      <c r="M80" s="49">
        <f>'Avg Week Kyanja-Kisaasi'!M80+'Avg Week Kisaasi-Kyanja'!M80</f>
        <v>56</v>
      </c>
      <c r="N80" s="49">
        <f>'Avg Week Kyanja-Kisaasi'!N80+'Avg Week Kisaasi-Kyanja'!N80</f>
        <v>0</v>
      </c>
      <c r="O80" s="49">
        <f>'Avg Week Kyanja-Kisaasi'!O80+'Avg Week Kisaasi-Kyanja'!O80</f>
        <v>92</v>
      </c>
      <c r="P80" s="49">
        <f>'Avg Week Kyanja-Kisaasi'!P80+'Avg Week Kisaasi-Kyanja'!P80</f>
        <v>148</v>
      </c>
      <c r="R80" s="8"/>
      <c r="T80"/>
    </row>
    <row r="81" spans="2:20" ht="23.1" customHeight="1" x14ac:dyDescent="0.25">
      <c r="B81" s="23" t="s">
        <v>121</v>
      </c>
      <c r="C81" s="49">
        <f>'Avg Week Kyanja-Kisaasi'!C81+'Avg Week Kisaasi-Kyanja'!C81</f>
        <v>47</v>
      </c>
      <c r="D81" s="49">
        <f>'Avg Week Kyanja-Kisaasi'!D81+'Avg Week Kisaasi-Kyanja'!D81</f>
        <v>11.5</v>
      </c>
      <c r="E81" s="49">
        <f>'Avg Week Kyanja-Kisaasi'!E81+'Avg Week Kisaasi-Kyanja'!E81</f>
        <v>1.5</v>
      </c>
      <c r="F81" s="49">
        <f>'Avg Week Kyanja-Kisaasi'!F81+'Avg Week Kisaasi-Kyanja'!F81</f>
        <v>3.5</v>
      </c>
      <c r="G81" s="49">
        <f>'Avg Week Kyanja-Kisaasi'!G81+'Avg Week Kisaasi-Kyanja'!G81</f>
        <v>0</v>
      </c>
      <c r="H81" s="49">
        <f>'Avg Week Kyanja-Kisaasi'!H81+'Avg Week Kisaasi-Kyanja'!H81</f>
        <v>0</v>
      </c>
      <c r="I81" s="49">
        <f>'Avg Week Kyanja-Kisaasi'!I81+'Avg Week Kisaasi-Kyanja'!I81</f>
        <v>2</v>
      </c>
      <c r="J81" s="49">
        <f>'Avg Week Kyanja-Kisaasi'!J81+'Avg Week Kisaasi-Kyanja'!J81</f>
        <v>0.5</v>
      </c>
      <c r="K81" s="49">
        <f>'Avg Week Kyanja-Kisaasi'!K81+'Avg Week Kisaasi-Kyanja'!K81</f>
        <v>0</v>
      </c>
      <c r="L81" s="49">
        <f>'Avg Week Kyanja-Kisaasi'!L81+'Avg Week Kisaasi-Kyanja'!L81</f>
        <v>0</v>
      </c>
      <c r="M81" s="49">
        <f>'Avg Week Kyanja-Kisaasi'!M81+'Avg Week Kisaasi-Kyanja'!M81</f>
        <v>50</v>
      </c>
      <c r="N81" s="49">
        <f>'Avg Week Kyanja-Kisaasi'!N81+'Avg Week Kisaasi-Kyanja'!N81</f>
        <v>0</v>
      </c>
      <c r="O81" s="49">
        <f>'Avg Week Kyanja-Kisaasi'!O81+'Avg Week Kisaasi-Kyanja'!O81</f>
        <v>66</v>
      </c>
      <c r="P81" s="49">
        <f>'Avg Week Kyanja-Kisaasi'!P81+'Avg Week Kisaasi-Kyanja'!P81</f>
        <v>116</v>
      </c>
      <c r="R81" s="8"/>
      <c r="T81"/>
    </row>
    <row r="82" spans="2:20" ht="23.1" customHeight="1" x14ac:dyDescent="0.25">
      <c r="B82" s="24" t="s">
        <v>122</v>
      </c>
      <c r="C82" s="49">
        <f>'Avg Week Kyanja-Kisaasi'!C82+'Avg Week Kisaasi-Kyanja'!C82</f>
        <v>35</v>
      </c>
      <c r="D82" s="49">
        <f>'Avg Week Kyanja-Kisaasi'!D82+'Avg Week Kisaasi-Kyanja'!D82</f>
        <v>6.5</v>
      </c>
      <c r="E82" s="49">
        <f>'Avg Week Kyanja-Kisaasi'!E82+'Avg Week Kisaasi-Kyanja'!E82</f>
        <v>2</v>
      </c>
      <c r="F82" s="49">
        <f>'Avg Week Kyanja-Kisaasi'!F82+'Avg Week Kisaasi-Kyanja'!F82</f>
        <v>0.5</v>
      </c>
      <c r="G82" s="49">
        <f>'Avg Week Kyanja-Kisaasi'!G82+'Avg Week Kisaasi-Kyanja'!G82</f>
        <v>0</v>
      </c>
      <c r="H82" s="49">
        <f>'Avg Week Kyanja-Kisaasi'!H82+'Avg Week Kisaasi-Kyanja'!H82</f>
        <v>0</v>
      </c>
      <c r="I82" s="49">
        <f>'Avg Week Kyanja-Kisaasi'!I82+'Avg Week Kisaasi-Kyanja'!I82</f>
        <v>0.5</v>
      </c>
      <c r="J82" s="49">
        <f>'Avg Week Kyanja-Kisaasi'!J82+'Avg Week Kisaasi-Kyanja'!J82</f>
        <v>0</v>
      </c>
      <c r="K82" s="49">
        <f>'Avg Week Kyanja-Kisaasi'!K82+'Avg Week Kisaasi-Kyanja'!K82</f>
        <v>0</v>
      </c>
      <c r="L82" s="49">
        <f>'Avg Week Kyanja-Kisaasi'!L82+'Avg Week Kisaasi-Kyanja'!L82</f>
        <v>0</v>
      </c>
      <c r="M82" s="49">
        <f>'Avg Week Kyanja-Kisaasi'!M82+'Avg Week Kisaasi-Kyanja'!M82</f>
        <v>45</v>
      </c>
      <c r="N82" s="49">
        <f>'Avg Week Kyanja-Kisaasi'!N82+'Avg Week Kisaasi-Kyanja'!N82</f>
        <v>0</v>
      </c>
      <c r="O82" s="49">
        <f>'Avg Week Kyanja-Kisaasi'!O82+'Avg Week Kisaasi-Kyanja'!O82</f>
        <v>44.5</v>
      </c>
      <c r="P82" s="49">
        <f>'Avg Week Kyanja-Kisaasi'!P82+'Avg Week Kisaasi-Kyanja'!P82</f>
        <v>89.5</v>
      </c>
      <c r="R82" s="8"/>
      <c r="T82"/>
    </row>
    <row r="83" spans="2:20" ht="23.1" customHeight="1" x14ac:dyDescent="0.25">
      <c r="B83" s="23" t="s">
        <v>123</v>
      </c>
      <c r="C83" s="49">
        <f>'Avg Week Kyanja-Kisaasi'!C83+'Avg Week Kisaasi-Kyanja'!C83</f>
        <v>32</v>
      </c>
      <c r="D83" s="49">
        <f>'Avg Week Kyanja-Kisaasi'!D83+'Avg Week Kisaasi-Kyanja'!D83</f>
        <v>8</v>
      </c>
      <c r="E83" s="49">
        <f>'Avg Week Kyanja-Kisaasi'!E83+'Avg Week Kisaasi-Kyanja'!E83</f>
        <v>1</v>
      </c>
      <c r="F83" s="49">
        <f>'Avg Week Kyanja-Kisaasi'!F83+'Avg Week Kisaasi-Kyanja'!F83</f>
        <v>1.5</v>
      </c>
      <c r="G83" s="49">
        <f>'Avg Week Kyanja-Kisaasi'!G83+'Avg Week Kisaasi-Kyanja'!G83</f>
        <v>0</v>
      </c>
      <c r="H83" s="49">
        <f>'Avg Week Kyanja-Kisaasi'!H83+'Avg Week Kisaasi-Kyanja'!H83</f>
        <v>0</v>
      </c>
      <c r="I83" s="49">
        <f>'Avg Week Kyanja-Kisaasi'!I83+'Avg Week Kisaasi-Kyanja'!I83</f>
        <v>0</v>
      </c>
      <c r="J83" s="49">
        <f>'Avg Week Kyanja-Kisaasi'!J83+'Avg Week Kisaasi-Kyanja'!J83</f>
        <v>0</v>
      </c>
      <c r="K83" s="49">
        <f>'Avg Week Kyanja-Kisaasi'!K83+'Avg Week Kisaasi-Kyanja'!K83</f>
        <v>0</v>
      </c>
      <c r="L83" s="49">
        <f>'Avg Week Kyanja-Kisaasi'!L83+'Avg Week Kisaasi-Kyanja'!L83</f>
        <v>0.5</v>
      </c>
      <c r="M83" s="49">
        <f>'Avg Week Kyanja-Kisaasi'!M83+'Avg Week Kisaasi-Kyanja'!M83</f>
        <v>42</v>
      </c>
      <c r="N83" s="49">
        <f>'Avg Week Kyanja-Kisaasi'!N83+'Avg Week Kisaasi-Kyanja'!N83</f>
        <v>0</v>
      </c>
      <c r="O83" s="49">
        <f>'Avg Week Kyanja-Kisaasi'!O83+'Avg Week Kisaasi-Kyanja'!O83</f>
        <v>43</v>
      </c>
      <c r="P83" s="49">
        <f>'Avg Week Kyanja-Kisaasi'!P83+'Avg Week Kisaasi-Kyanja'!P83</f>
        <v>85</v>
      </c>
      <c r="R83" s="8"/>
      <c r="T83"/>
    </row>
    <row r="84" spans="2:20" ht="23.1" customHeight="1" x14ac:dyDescent="0.25">
      <c r="B84" s="25" t="s">
        <v>124</v>
      </c>
      <c r="C84" s="49">
        <f>'Avg Week Kyanja-Kisaasi'!C84+'Avg Week Kisaasi-Kyanja'!C84</f>
        <v>21</v>
      </c>
      <c r="D84" s="49">
        <f>'Avg Week Kyanja-Kisaasi'!D84+'Avg Week Kisaasi-Kyanja'!D84</f>
        <v>4</v>
      </c>
      <c r="E84" s="49">
        <f>'Avg Week Kyanja-Kisaasi'!E84+'Avg Week Kisaasi-Kyanja'!E84</f>
        <v>0</v>
      </c>
      <c r="F84" s="49">
        <f>'Avg Week Kyanja-Kisaasi'!F84+'Avg Week Kisaasi-Kyanja'!F84</f>
        <v>1</v>
      </c>
      <c r="G84" s="49">
        <f>'Avg Week Kyanja-Kisaasi'!G84+'Avg Week Kisaasi-Kyanja'!G84</f>
        <v>0</v>
      </c>
      <c r="H84" s="49">
        <f>'Avg Week Kyanja-Kisaasi'!H84+'Avg Week Kisaasi-Kyanja'!H84</f>
        <v>0</v>
      </c>
      <c r="I84" s="49">
        <f>'Avg Week Kyanja-Kisaasi'!I84+'Avg Week Kisaasi-Kyanja'!I84</f>
        <v>0.5</v>
      </c>
      <c r="J84" s="49">
        <f>'Avg Week Kyanja-Kisaasi'!J84+'Avg Week Kisaasi-Kyanja'!J84</f>
        <v>0.5</v>
      </c>
      <c r="K84" s="49">
        <f>'Avg Week Kyanja-Kisaasi'!K84+'Avg Week Kisaasi-Kyanja'!K84</f>
        <v>0</v>
      </c>
      <c r="L84" s="49">
        <f>'Avg Week Kyanja-Kisaasi'!L84+'Avg Week Kisaasi-Kyanja'!L84</f>
        <v>0</v>
      </c>
      <c r="M84" s="49">
        <f>'Avg Week Kyanja-Kisaasi'!M84+'Avg Week Kisaasi-Kyanja'!M84</f>
        <v>37</v>
      </c>
      <c r="N84" s="49">
        <f>'Avg Week Kyanja-Kisaasi'!N84+'Avg Week Kisaasi-Kyanja'!N84</f>
        <v>0</v>
      </c>
      <c r="O84" s="49">
        <f>'Avg Week Kyanja-Kisaasi'!O84+'Avg Week Kisaasi-Kyanja'!O84</f>
        <v>27</v>
      </c>
      <c r="P84" s="49">
        <f>'Avg Week Kyanja-Kisaasi'!P84+'Avg Week Kisaasi-Kyanja'!P84</f>
        <v>64</v>
      </c>
      <c r="R84" s="8"/>
      <c r="T84"/>
    </row>
    <row r="85" spans="2:20" ht="23.1" customHeight="1" x14ac:dyDescent="0.25">
      <c r="B85" s="23" t="s">
        <v>125</v>
      </c>
      <c r="C85" s="49">
        <f>'Avg Week Kyanja-Kisaasi'!C85+'Avg Week Kisaasi-Kyanja'!C85</f>
        <v>24.5</v>
      </c>
      <c r="D85" s="49">
        <f>'Avg Week Kyanja-Kisaasi'!D85+'Avg Week Kisaasi-Kyanja'!D85</f>
        <v>5.5</v>
      </c>
      <c r="E85" s="49">
        <f>'Avg Week Kyanja-Kisaasi'!E85+'Avg Week Kisaasi-Kyanja'!E85</f>
        <v>0.5</v>
      </c>
      <c r="F85" s="49">
        <f>'Avg Week Kyanja-Kisaasi'!F85+'Avg Week Kisaasi-Kyanja'!F85</f>
        <v>2</v>
      </c>
      <c r="G85" s="49">
        <f>'Avg Week Kyanja-Kisaasi'!G85+'Avg Week Kisaasi-Kyanja'!G85</f>
        <v>0</v>
      </c>
      <c r="H85" s="49">
        <f>'Avg Week Kyanja-Kisaasi'!H85+'Avg Week Kisaasi-Kyanja'!H85</f>
        <v>0</v>
      </c>
      <c r="I85" s="49">
        <f>'Avg Week Kyanja-Kisaasi'!I85+'Avg Week Kisaasi-Kyanja'!I85</f>
        <v>0.5</v>
      </c>
      <c r="J85" s="49">
        <f>'Avg Week Kyanja-Kisaasi'!J85+'Avg Week Kisaasi-Kyanja'!J85</f>
        <v>0</v>
      </c>
      <c r="K85" s="49">
        <f>'Avg Week Kyanja-Kisaasi'!K85+'Avg Week Kisaasi-Kyanja'!K85</f>
        <v>0</v>
      </c>
      <c r="L85" s="49">
        <f>'Avg Week Kyanja-Kisaasi'!L85+'Avg Week Kisaasi-Kyanja'!L85</f>
        <v>0</v>
      </c>
      <c r="M85" s="49">
        <f>'Avg Week Kyanja-Kisaasi'!M85+'Avg Week Kisaasi-Kyanja'!M85</f>
        <v>33</v>
      </c>
      <c r="N85" s="49">
        <f>'Avg Week Kyanja-Kisaasi'!N85+'Avg Week Kisaasi-Kyanja'!N85</f>
        <v>0</v>
      </c>
      <c r="O85" s="49">
        <f>'Avg Week Kyanja-Kisaasi'!O85+'Avg Week Kisaasi-Kyanja'!O85</f>
        <v>33</v>
      </c>
      <c r="P85" s="49">
        <f>'Avg Week Kyanja-Kisaasi'!P85+'Avg Week Kisaasi-Kyanja'!P85</f>
        <v>66</v>
      </c>
      <c r="R85" s="8"/>
      <c r="T85"/>
    </row>
    <row r="86" spans="2:20" ht="23.1" customHeight="1" x14ac:dyDescent="0.25">
      <c r="B86" s="24" t="s">
        <v>126</v>
      </c>
      <c r="C86" s="49">
        <f>'Avg Week Kyanja-Kisaasi'!C86+'Avg Week Kisaasi-Kyanja'!C86</f>
        <v>16.5</v>
      </c>
      <c r="D86" s="49">
        <f>'Avg Week Kyanja-Kisaasi'!D86+'Avg Week Kisaasi-Kyanja'!D86</f>
        <v>8</v>
      </c>
      <c r="E86" s="49">
        <f>'Avg Week Kyanja-Kisaasi'!E86+'Avg Week Kisaasi-Kyanja'!E86</f>
        <v>1</v>
      </c>
      <c r="F86" s="49">
        <f>'Avg Week Kyanja-Kisaasi'!F86+'Avg Week Kisaasi-Kyanja'!F86</f>
        <v>1.5</v>
      </c>
      <c r="G86" s="49">
        <f>'Avg Week Kyanja-Kisaasi'!G86+'Avg Week Kisaasi-Kyanja'!G86</f>
        <v>0</v>
      </c>
      <c r="H86" s="49">
        <f>'Avg Week Kyanja-Kisaasi'!H86+'Avg Week Kisaasi-Kyanja'!H86</f>
        <v>0</v>
      </c>
      <c r="I86" s="49">
        <f>'Avg Week Kyanja-Kisaasi'!I86+'Avg Week Kisaasi-Kyanja'!I86</f>
        <v>1</v>
      </c>
      <c r="J86" s="49">
        <f>'Avg Week Kyanja-Kisaasi'!J86+'Avg Week Kisaasi-Kyanja'!J86</f>
        <v>0</v>
      </c>
      <c r="K86" s="49">
        <f>'Avg Week Kyanja-Kisaasi'!K86+'Avg Week Kisaasi-Kyanja'!K86</f>
        <v>0</v>
      </c>
      <c r="L86" s="49">
        <f>'Avg Week Kyanja-Kisaasi'!L86+'Avg Week Kisaasi-Kyanja'!L86</f>
        <v>0</v>
      </c>
      <c r="M86" s="49">
        <f>'Avg Week Kyanja-Kisaasi'!M86+'Avg Week Kisaasi-Kyanja'!M86</f>
        <v>36</v>
      </c>
      <c r="N86" s="49">
        <f>'Avg Week Kyanja-Kisaasi'!N86+'Avg Week Kisaasi-Kyanja'!N86</f>
        <v>0</v>
      </c>
      <c r="O86" s="49">
        <f>'Avg Week Kyanja-Kisaasi'!O86+'Avg Week Kisaasi-Kyanja'!O86</f>
        <v>28</v>
      </c>
      <c r="P86" s="49">
        <f>'Avg Week Kyanja-Kisaasi'!P86+'Avg Week Kisaasi-Kyanja'!P86</f>
        <v>64</v>
      </c>
      <c r="R86" s="8"/>
      <c r="T86"/>
    </row>
    <row r="87" spans="2:20" ht="23.1" customHeight="1" x14ac:dyDescent="0.25">
      <c r="B87" s="23" t="s">
        <v>127</v>
      </c>
      <c r="C87" s="49">
        <f>'Avg Week Kyanja-Kisaasi'!C87+'Avg Week Kisaasi-Kyanja'!C87</f>
        <v>24</v>
      </c>
      <c r="D87" s="49">
        <f>'Avg Week Kyanja-Kisaasi'!D87+'Avg Week Kisaasi-Kyanja'!D87</f>
        <v>6</v>
      </c>
      <c r="E87" s="49">
        <f>'Avg Week Kyanja-Kisaasi'!E87+'Avg Week Kisaasi-Kyanja'!E87</f>
        <v>1</v>
      </c>
      <c r="F87" s="49">
        <f>'Avg Week Kyanja-Kisaasi'!F87+'Avg Week Kisaasi-Kyanja'!F87</f>
        <v>3.5</v>
      </c>
      <c r="G87" s="49">
        <f>'Avg Week Kyanja-Kisaasi'!G87+'Avg Week Kisaasi-Kyanja'!G87</f>
        <v>0</v>
      </c>
      <c r="H87" s="49">
        <f>'Avg Week Kyanja-Kisaasi'!H87+'Avg Week Kisaasi-Kyanja'!H87</f>
        <v>0</v>
      </c>
      <c r="I87" s="49">
        <f>'Avg Week Kyanja-Kisaasi'!I87+'Avg Week Kisaasi-Kyanja'!I87</f>
        <v>0.5</v>
      </c>
      <c r="J87" s="49">
        <f>'Avg Week Kyanja-Kisaasi'!J87+'Avg Week Kisaasi-Kyanja'!J87</f>
        <v>0</v>
      </c>
      <c r="K87" s="49">
        <f>'Avg Week Kyanja-Kisaasi'!K87+'Avg Week Kisaasi-Kyanja'!K87</f>
        <v>2</v>
      </c>
      <c r="L87" s="49">
        <f>'Avg Week Kyanja-Kisaasi'!L87+'Avg Week Kisaasi-Kyanja'!L87</f>
        <v>0</v>
      </c>
      <c r="M87" s="49">
        <f>'Avg Week Kyanja-Kisaasi'!M87+'Avg Week Kisaasi-Kyanja'!M87</f>
        <v>29.5</v>
      </c>
      <c r="N87" s="49">
        <f>'Avg Week Kyanja-Kisaasi'!N87+'Avg Week Kisaasi-Kyanja'!N87</f>
        <v>0</v>
      </c>
      <c r="O87" s="49">
        <f>'Avg Week Kyanja-Kisaasi'!O87+'Avg Week Kisaasi-Kyanja'!O87</f>
        <v>37</v>
      </c>
      <c r="P87" s="49">
        <f>'Avg Week Kyanja-Kisaasi'!P87+'Avg Week Kisaasi-Kyanja'!P87</f>
        <v>66.5</v>
      </c>
      <c r="R87" s="8"/>
      <c r="T87"/>
    </row>
    <row r="88" spans="2:20" ht="23.1" customHeight="1" x14ac:dyDescent="0.25">
      <c r="B88" s="25" t="s">
        <v>128</v>
      </c>
      <c r="C88" s="49">
        <f>'Avg Week Kyanja-Kisaasi'!C88+'Avg Week Kisaasi-Kyanja'!C88</f>
        <v>23</v>
      </c>
      <c r="D88" s="49">
        <f>'Avg Week Kyanja-Kisaasi'!D88+'Avg Week Kisaasi-Kyanja'!D88</f>
        <v>4.5</v>
      </c>
      <c r="E88" s="49">
        <f>'Avg Week Kyanja-Kisaasi'!E88+'Avg Week Kisaasi-Kyanja'!E88</f>
        <v>3.5</v>
      </c>
      <c r="F88" s="49">
        <f>'Avg Week Kyanja-Kisaasi'!F88+'Avg Week Kisaasi-Kyanja'!F88</f>
        <v>1.5</v>
      </c>
      <c r="G88" s="49">
        <f>'Avg Week Kyanja-Kisaasi'!G88+'Avg Week Kisaasi-Kyanja'!G88</f>
        <v>0</v>
      </c>
      <c r="H88" s="49">
        <f>'Avg Week Kyanja-Kisaasi'!H88+'Avg Week Kisaasi-Kyanja'!H88</f>
        <v>0</v>
      </c>
      <c r="I88" s="49">
        <f>'Avg Week Kyanja-Kisaasi'!I88+'Avg Week Kisaasi-Kyanja'!I88</f>
        <v>0</v>
      </c>
      <c r="J88" s="49">
        <f>'Avg Week Kyanja-Kisaasi'!J88+'Avg Week Kisaasi-Kyanja'!J88</f>
        <v>1.5</v>
      </c>
      <c r="K88" s="49">
        <f>'Avg Week Kyanja-Kisaasi'!K88+'Avg Week Kisaasi-Kyanja'!K88</f>
        <v>0.5</v>
      </c>
      <c r="L88" s="49">
        <f>'Avg Week Kyanja-Kisaasi'!L88+'Avg Week Kisaasi-Kyanja'!L88</f>
        <v>0</v>
      </c>
      <c r="M88" s="49">
        <f>'Avg Week Kyanja-Kisaasi'!M88+'Avg Week Kisaasi-Kyanja'!M88</f>
        <v>22.5</v>
      </c>
      <c r="N88" s="49">
        <f>'Avg Week Kyanja-Kisaasi'!N88+'Avg Week Kisaasi-Kyanja'!N88</f>
        <v>0</v>
      </c>
      <c r="O88" s="49">
        <f>'Avg Week Kyanja-Kisaasi'!O88+'Avg Week Kisaasi-Kyanja'!O88</f>
        <v>34.5</v>
      </c>
      <c r="P88" s="49">
        <f>'Avg Week Kyanja-Kisaasi'!P88+'Avg Week Kisaasi-Kyanja'!P88</f>
        <v>57</v>
      </c>
      <c r="R88" s="8"/>
      <c r="T88"/>
    </row>
    <row r="89" spans="2:20" ht="23.1" customHeight="1" x14ac:dyDescent="0.25">
      <c r="B89" s="23" t="s">
        <v>129</v>
      </c>
      <c r="C89" s="49">
        <f>'Avg Week Kyanja-Kisaasi'!C89+'Avg Week Kisaasi-Kyanja'!C89</f>
        <v>21</v>
      </c>
      <c r="D89" s="49">
        <f>'Avg Week Kyanja-Kisaasi'!D89+'Avg Week Kisaasi-Kyanja'!D89</f>
        <v>2</v>
      </c>
      <c r="E89" s="49">
        <f>'Avg Week Kyanja-Kisaasi'!E89+'Avg Week Kisaasi-Kyanja'!E89</f>
        <v>1</v>
      </c>
      <c r="F89" s="49">
        <f>'Avg Week Kyanja-Kisaasi'!F89+'Avg Week Kisaasi-Kyanja'!F89</f>
        <v>0</v>
      </c>
      <c r="G89" s="49">
        <f>'Avg Week Kyanja-Kisaasi'!G89+'Avg Week Kisaasi-Kyanja'!G89</f>
        <v>0</v>
      </c>
      <c r="H89" s="49">
        <f>'Avg Week Kyanja-Kisaasi'!H89+'Avg Week Kisaasi-Kyanja'!H89</f>
        <v>0</v>
      </c>
      <c r="I89" s="49">
        <f>'Avg Week Kyanja-Kisaasi'!I89+'Avg Week Kisaasi-Kyanja'!I89</f>
        <v>0.5</v>
      </c>
      <c r="J89" s="49">
        <f>'Avg Week Kyanja-Kisaasi'!J89+'Avg Week Kisaasi-Kyanja'!J89</f>
        <v>1</v>
      </c>
      <c r="K89" s="49">
        <f>'Avg Week Kyanja-Kisaasi'!K89+'Avg Week Kisaasi-Kyanja'!K89</f>
        <v>0</v>
      </c>
      <c r="L89" s="49">
        <f>'Avg Week Kyanja-Kisaasi'!L89+'Avg Week Kisaasi-Kyanja'!L89</f>
        <v>0</v>
      </c>
      <c r="M89" s="49">
        <f>'Avg Week Kyanja-Kisaasi'!M89+'Avg Week Kisaasi-Kyanja'!M89</f>
        <v>31.5</v>
      </c>
      <c r="N89" s="49">
        <f>'Avg Week Kyanja-Kisaasi'!N89+'Avg Week Kisaasi-Kyanja'!N89</f>
        <v>0</v>
      </c>
      <c r="O89" s="49">
        <f>'Avg Week Kyanja-Kisaasi'!O89+'Avg Week Kisaasi-Kyanja'!O89</f>
        <v>25.5</v>
      </c>
      <c r="P89" s="49">
        <f>'Avg Week Kyanja-Kisaasi'!P89+'Avg Week Kisaasi-Kyanja'!P89</f>
        <v>57</v>
      </c>
      <c r="R89" s="8"/>
      <c r="T89"/>
    </row>
    <row r="90" spans="2:20" ht="23.1" customHeight="1" x14ac:dyDescent="0.25">
      <c r="B90" s="24" t="s">
        <v>130</v>
      </c>
      <c r="C90" s="49">
        <f>'Avg Week Kyanja-Kisaasi'!C90+'Avg Week Kisaasi-Kyanja'!C90</f>
        <v>15.5</v>
      </c>
      <c r="D90" s="49">
        <f>'Avg Week Kyanja-Kisaasi'!D90+'Avg Week Kisaasi-Kyanja'!D90</f>
        <v>2.5</v>
      </c>
      <c r="E90" s="49">
        <f>'Avg Week Kyanja-Kisaasi'!E90+'Avg Week Kisaasi-Kyanja'!E90</f>
        <v>0</v>
      </c>
      <c r="F90" s="49">
        <f>'Avg Week Kyanja-Kisaasi'!F90+'Avg Week Kisaasi-Kyanja'!F90</f>
        <v>0</v>
      </c>
      <c r="G90" s="49">
        <f>'Avg Week Kyanja-Kisaasi'!G90+'Avg Week Kisaasi-Kyanja'!G90</f>
        <v>0</v>
      </c>
      <c r="H90" s="49">
        <f>'Avg Week Kyanja-Kisaasi'!H90+'Avg Week Kisaasi-Kyanja'!H90</f>
        <v>0</v>
      </c>
      <c r="I90" s="49">
        <f>'Avg Week Kyanja-Kisaasi'!I90+'Avg Week Kisaasi-Kyanja'!I90</f>
        <v>0</v>
      </c>
      <c r="J90" s="49">
        <f>'Avg Week Kyanja-Kisaasi'!J90+'Avg Week Kisaasi-Kyanja'!J90</f>
        <v>0</v>
      </c>
      <c r="K90" s="49">
        <f>'Avg Week Kyanja-Kisaasi'!K90+'Avg Week Kisaasi-Kyanja'!K90</f>
        <v>0.5</v>
      </c>
      <c r="L90" s="49">
        <f>'Avg Week Kyanja-Kisaasi'!L90+'Avg Week Kisaasi-Kyanja'!L90</f>
        <v>1</v>
      </c>
      <c r="M90" s="49">
        <f>'Avg Week Kyanja-Kisaasi'!M90+'Avg Week Kisaasi-Kyanja'!M90</f>
        <v>21</v>
      </c>
      <c r="N90" s="49">
        <f>'Avg Week Kyanja-Kisaasi'!N90+'Avg Week Kisaasi-Kyanja'!N90</f>
        <v>0</v>
      </c>
      <c r="O90" s="49">
        <f>'Avg Week Kyanja-Kisaasi'!O90+'Avg Week Kisaasi-Kyanja'!O90</f>
        <v>19.5</v>
      </c>
      <c r="P90" s="49">
        <f>'Avg Week Kyanja-Kisaasi'!P90+'Avg Week Kisaasi-Kyanja'!P90</f>
        <v>40.5</v>
      </c>
      <c r="R90" s="8"/>
      <c r="T90"/>
    </row>
    <row r="91" spans="2:20" ht="23.1" customHeight="1" x14ac:dyDescent="0.25">
      <c r="B91" s="23" t="s">
        <v>131</v>
      </c>
      <c r="C91" s="49">
        <f>'Avg Week Kyanja-Kisaasi'!C91+'Avg Week Kisaasi-Kyanja'!C91</f>
        <v>15.5</v>
      </c>
      <c r="D91" s="49">
        <f>'Avg Week Kyanja-Kisaasi'!D91+'Avg Week Kisaasi-Kyanja'!D91</f>
        <v>1</v>
      </c>
      <c r="E91" s="49">
        <f>'Avg Week Kyanja-Kisaasi'!E91+'Avg Week Kisaasi-Kyanja'!E91</f>
        <v>1.5</v>
      </c>
      <c r="F91" s="49">
        <f>'Avg Week Kyanja-Kisaasi'!F91+'Avg Week Kisaasi-Kyanja'!F91</f>
        <v>0</v>
      </c>
      <c r="G91" s="49">
        <f>'Avg Week Kyanja-Kisaasi'!G91+'Avg Week Kisaasi-Kyanja'!G91</f>
        <v>0</v>
      </c>
      <c r="H91" s="49">
        <f>'Avg Week Kyanja-Kisaasi'!H91+'Avg Week Kisaasi-Kyanja'!H91</f>
        <v>0.5</v>
      </c>
      <c r="I91" s="49">
        <f>'Avg Week Kyanja-Kisaasi'!I91+'Avg Week Kisaasi-Kyanja'!I91</f>
        <v>2</v>
      </c>
      <c r="J91" s="49">
        <f>'Avg Week Kyanja-Kisaasi'!J91+'Avg Week Kisaasi-Kyanja'!J91</f>
        <v>0</v>
      </c>
      <c r="K91" s="49">
        <f>'Avg Week Kyanja-Kisaasi'!K91+'Avg Week Kisaasi-Kyanja'!K91</f>
        <v>0</v>
      </c>
      <c r="L91" s="49">
        <f>'Avg Week Kyanja-Kisaasi'!L91+'Avg Week Kisaasi-Kyanja'!L91</f>
        <v>0</v>
      </c>
      <c r="M91" s="49">
        <f>'Avg Week Kyanja-Kisaasi'!M91+'Avg Week Kisaasi-Kyanja'!M91</f>
        <v>19.5</v>
      </c>
      <c r="N91" s="49">
        <f>'Avg Week Kyanja-Kisaasi'!N91+'Avg Week Kisaasi-Kyanja'!N91</f>
        <v>0</v>
      </c>
      <c r="O91" s="49">
        <f>'Avg Week Kyanja-Kisaasi'!O91+'Avg Week Kisaasi-Kyanja'!O91</f>
        <v>20.5</v>
      </c>
      <c r="P91" s="49">
        <f>'Avg Week Kyanja-Kisaasi'!P91+'Avg Week Kisaasi-Kyanja'!P91</f>
        <v>40</v>
      </c>
      <c r="R91" s="8"/>
      <c r="T91"/>
    </row>
    <row r="92" spans="2:20" ht="23.1" customHeight="1" x14ac:dyDescent="0.25">
      <c r="B92" s="25" t="s">
        <v>132</v>
      </c>
      <c r="C92" s="49">
        <f>'Avg Week Kyanja-Kisaasi'!C92+'Avg Week Kisaasi-Kyanja'!C92</f>
        <v>12</v>
      </c>
      <c r="D92" s="49">
        <f>'Avg Week Kyanja-Kisaasi'!D92+'Avg Week Kisaasi-Kyanja'!D92</f>
        <v>2.5</v>
      </c>
      <c r="E92" s="49">
        <f>'Avg Week Kyanja-Kisaasi'!E92+'Avg Week Kisaasi-Kyanja'!E92</f>
        <v>2</v>
      </c>
      <c r="F92" s="49">
        <f>'Avg Week Kyanja-Kisaasi'!F92+'Avg Week Kisaasi-Kyanja'!F92</f>
        <v>0</v>
      </c>
      <c r="G92" s="49">
        <f>'Avg Week Kyanja-Kisaasi'!G92+'Avg Week Kisaasi-Kyanja'!G92</f>
        <v>0</v>
      </c>
      <c r="H92" s="49">
        <f>'Avg Week Kyanja-Kisaasi'!H92+'Avg Week Kisaasi-Kyanja'!H92</f>
        <v>0</v>
      </c>
      <c r="I92" s="49">
        <f>'Avg Week Kyanja-Kisaasi'!I92+'Avg Week Kisaasi-Kyanja'!I92</f>
        <v>0.5</v>
      </c>
      <c r="J92" s="49">
        <f>'Avg Week Kyanja-Kisaasi'!J92+'Avg Week Kisaasi-Kyanja'!J92</f>
        <v>0.5</v>
      </c>
      <c r="K92" s="49">
        <f>'Avg Week Kyanja-Kisaasi'!K92+'Avg Week Kisaasi-Kyanja'!K92</f>
        <v>0</v>
      </c>
      <c r="L92" s="49">
        <f>'Avg Week Kyanja-Kisaasi'!L92+'Avg Week Kisaasi-Kyanja'!L92</f>
        <v>0</v>
      </c>
      <c r="M92" s="49">
        <f>'Avg Week Kyanja-Kisaasi'!M92+'Avg Week Kisaasi-Kyanja'!M92</f>
        <v>13</v>
      </c>
      <c r="N92" s="49">
        <f>'Avg Week Kyanja-Kisaasi'!N92+'Avg Week Kisaasi-Kyanja'!N92</f>
        <v>0</v>
      </c>
      <c r="O92" s="49">
        <f>'Avg Week Kyanja-Kisaasi'!O92+'Avg Week Kisaasi-Kyanja'!O92</f>
        <v>17.5</v>
      </c>
      <c r="P92" s="49">
        <f>'Avg Week Kyanja-Kisaasi'!P92+'Avg Week Kisaasi-Kyanja'!P92</f>
        <v>30.5</v>
      </c>
      <c r="R92" s="8"/>
      <c r="T92"/>
    </row>
    <row r="93" spans="2:20" ht="23.1" customHeight="1" x14ac:dyDescent="0.25">
      <c r="B93" s="23" t="s">
        <v>133</v>
      </c>
      <c r="C93" s="49">
        <f>'Avg Week Kyanja-Kisaasi'!C93+'Avg Week Kisaasi-Kyanja'!C93</f>
        <v>19</v>
      </c>
      <c r="D93" s="49">
        <f>'Avg Week Kyanja-Kisaasi'!D93+'Avg Week Kisaasi-Kyanja'!D93</f>
        <v>0</v>
      </c>
      <c r="E93" s="49">
        <f>'Avg Week Kyanja-Kisaasi'!E93+'Avg Week Kisaasi-Kyanja'!E93</f>
        <v>1</v>
      </c>
      <c r="F93" s="49">
        <f>'Avg Week Kyanja-Kisaasi'!F93+'Avg Week Kisaasi-Kyanja'!F93</f>
        <v>0.5</v>
      </c>
      <c r="G93" s="49">
        <f>'Avg Week Kyanja-Kisaasi'!G93+'Avg Week Kisaasi-Kyanja'!G93</f>
        <v>0.5</v>
      </c>
      <c r="H93" s="49">
        <f>'Avg Week Kyanja-Kisaasi'!H93+'Avg Week Kisaasi-Kyanja'!H93</f>
        <v>0</v>
      </c>
      <c r="I93" s="49">
        <f>'Avg Week Kyanja-Kisaasi'!I93+'Avg Week Kisaasi-Kyanja'!I93</f>
        <v>0.5</v>
      </c>
      <c r="J93" s="49">
        <f>'Avg Week Kyanja-Kisaasi'!J93+'Avg Week Kisaasi-Kyanja'!J93</f>
        <v>0.5</v>
      </c>
      <c r="K93" s="49">
        <f>'Avg Week Kyanja-Kisaasi'!K93+'Avg Week Kisaasi-Kyanja'!K93</f>
        <v>1</v>
      </c>
      <c r="L93" s="49">
        <f>'Avg Week Kyanja-Kisaasi'!L93+'Avg Week Kisaasi-Kyanja'!L93</f>
        <v>0</v>
      </c>
      <c r="M93" s="49">
        <f>'Avg Week Kyanja-Kisaasi'!M93+'Avg Week Kisaasi-Kyanja'!M93</f>
        <v>15.5</v>
      </c>
      <c r="N93" s="49">
        <f>'Avg Week Kyanja-Kisaasi'!N93+'Avg Week Kisaasi-Kyanja'!N93</f>
        <v>0</v>
      </c>
      <c r="O93" s="49">
        <f>'Avg Week Kyanja-Kisaasi'!O93+'Avg Week Kisaasi-Kyanja'!O93</f>
        <v>23</v>
      </c>
      <c r="P93" s="49">
        <f>'Avg Week Kyanja-Kisaasi'!P93+'Avg Week Kisaasi-Kyanja'!P93</f>
        <v>38.5</v>
      </c>
      <c r="R93" s="8"/>
      <c r="T93"/>
    </row>
    <row r="94" spans="2:20" ht="23.1" customHeight="1" x14ac:dyDescent="0.25">
      <c r="B94" s="24" t="s">
        <v>134</v>
      </c>
      <c r="C94" s="49">
        <f>'Avg Week Kyanja-Kisaasi'!C94+'Avg Week Kisaasi-Kyanja'!C94</f>
        <v>9</v>
      </c>
      <c r="D94" s="49">
        <f>'Avg Week Kyanja-Kisaasi'!D94+'Avg Week Kisaasi-Kyanja'!D94</f>
        <v>1</v>
      </c>
      <c r="E94" s="49">
        <f>'Avg Week Kyanja-Kisaasi'!E94+'Avg Week Kisaasi-Kyanja'!E94</f>
        <v>1</v>
      </c>
      <c r="F94" s="49">
        <f>'Avg Week Kyanja-Kisaasi'!F94+'Avg Week Kisaasi-Kyanja'!F94</f>
        <v>0.5</v>
      </c>
      <c r="G94" s="49">
        <f>'Avg Week Kyanja-Kisaasi'!G94+'Avg Week Kisaasi-Kyanja'!G94</f>
        <v>0</v>
      </c>
      <c r="H94" s="49">
        <f>'Avg Week Kyanja-Kisaasi'!H94+'Avg Week Kisaasi-Kyanja'!H94</f>
        <v>0</v>
      </c>
      <c r="I94" s="49">
        <f>'Avg Week Kyanja-Kisaasi'!I94+'Avg Week Kisaasi-Kyanja'!I94</f>
        <v>0.5</v>
      </c>
      <c r="J94" s="49">
        <f>'Avg Week Kyanja-Kisaasi'!J94+'Avg Week Kisaasi-Kyanja'!J94</f>
        <v>0</v>
      </c>
      <c r="K94" s="49">
        <f>'Avg Week Kyanja-Kisaasi'!K94+'Avg Week Kisaasi-Kyanja'!K94</f>
        <v>0</v>
      </c>
      <c r="L94" s="49">
        <f>'Avg Week Kyanja-Kisaasi'!L94+'Avg Week Kisaasi-Kyanja'!L94</f>
        <v>1</v>
      </c>
      <c r="M94" s="49">
        <f>'Avg Week Kyanja-Kisaasi'!M94+'Avg Week Kisaasi-Kyanja'!M94</f>
        <v>15</v>
      </c>
      <c r="N94" s="49">
        <f>'Avg Week Kyanja-Kisaasi'!N94+'Avg Week Kisaasi-Kyanja'!N94</f>
        <v>0</v>
      </c>
      <c r="O94" s="49">
        <f>'Avg Week Kyanja-Kisaasi'!O94+'Avg Week Kisaasi-Kyanja'!O94</f>
        <v>13</v>
      </c>
      <c r="P94" s="49">
        <f>'Avg Week Kyanja-Kisaasi'!P94+'Avg Week Kisaasi-Kyanja'!P94</f>
        <v>28</v>
      </c>
      <c r="R94" s="8"/>
      <c r="T94"/>
    </row>
    <row r="95" spans="2:20" ht="23.1" customHeight="1" x14ac:dyDescent="0.25">
      <c r="B95" s="23" t="s">
        <v>135</v>
      </c>
      <c r="C95" s="49">
        <f>'Avg Week Kyanja-Kisaasi'!C95+'Avg Week Kisaasi-Kyanja'!C95</f>
        <v>13.5</v>
      </c>
      <c r="D95" s="49">
        <f>'Avg Week Kyanja-Kisaasi'!D95+'Avg Week Kisaasi-Kyanja'!D95</f>
        <v>0</v>
      </c>
      <c r="E95" s="49">
        <f>'Avg Week Kyanja-Kisaasi'!E95+'Avg Week Kisaasi-Kyanja'!E95</f>
        <v>2</v>
      </c>
      <c r="F95" s="49">
        <f>'Avg Week Kyanja-Kisaasi'!F95+'Avg Week Kisaasi-Kyanja'!F95</f>
        <v>1</v>
      </c>
      <c r="G95" s="49">
        <f>'Avg Week Kyanja-Kisaasi'!G95+'Avg Week Kisaasi-Kyanja'!G95</f>
        <v>0</v>
      </c>
      <c r="H95" s="49">
        <f>'Avg Week Kyanja-Kisaasi'!H95+'Avg Week Kisaasi-Kyanja'!H95</f>
        <v>0</v>
      </c>
      <c r="I95" s="49">
        <f>'Avg Week Kyanja-Kisaasi'!I95+'Avg Week Kisaasi-Kyanja'!I95</f>
        <v>0</v>
      </c>
      <c r="J95" s="49">
        <f>'Avg Week Kyanja-Kisaasi'!J95+'Avg Week Kisaasi-Kyanja'!J95</f>
        <v>1.5</v>
      </c>
      <c r="K95" s="49">
        <f>'Avg Week Kyanja-Kisaasi'!K95+'Avg Week Kisaasi-Kyanja'!K95</f>
        <v>0</v>
      </c>
      <c r="L95" s="49">
        <f>'Avg Week Kyanja-Kisaasi'!L95+'Avg Week Kisaasi-Kyanja'!L95</f>
        <v>0</v>
      </c>
      <c r="M95" s="49">
        <f>'Avg Week Kyanja-Kisaasi'!M95+'Avg Week Kisaasi-Kyanja'!M95</f>
        <v>14</v>
      </c>
      <c r="N95" s="49">
        <f>'Avg Week Kyanja-Kisaasi'!N95+'Avg Week Kisaasi-Kyanja'!N95</f>
        <v>0</v>
      </c>
      <c r="O95" s="49">
        <f>'Avg Week Kyanja-Kisaasi'!O95+'Avg Week Kisaasi-Kyanja'!O95</f>
        <v>18</v>
      </c>
      <c r="P95" s="49">
        <f>'Avg Week Kyanja-Kisaasi'!P95+'Avg Week Kisaasi-Kyanja'!P95</f>
        <v>32</v>
      </c>
      <c r="R95" s="8"/>
      <c r="T95"/>
    </row>
    <row r="96" spans="2:20" ht="23.1" customHeight="1" x14ac:dyDescent="0.25">
      <c r="B96" s="25" t="s">
        <v>136</v>
      </c>
      <c r="C96" s="49">
        <f>'Avg Week Kyanja-Kisaasi'!C96+'Avg Week Kisaasi-Kyanja'!C96</f>
        <v>15.5</v>
      </c>
      <c r="D96" s="49">
        <f>'Avg Week Kyanja-Kisaasi'!D96+'Avg Week Kisaasi-Kyanja'!D96</f>
        <v>1</v>
      </c>
      <c r="E96" s="49">
        <f>'Avg Week Kyanja-Kisaasi'!E96+'Avg Week Kisaasi-Kyanja'!E96</f>
        <v>0.5</v>
      </c>
      <c r="F96" s="49">
        <f>'Avg Week Kyanja-Kisaasi'!F96+'Avg Week Kisaasi-Kyanja'!F96</f>
        <v>1</v>
      </c>
      <c r="G96" s="49">
        <f>'Avg Week Kyanja-Kisaasi'!G96+'Avg Week Kisaasi-Kyanja'!G96</f>
        <v>0</v>
      </c>
      <c r="H96" s="49">
        <f>'Avg Week Kyanja-Kisaasi'!H96+'Avg Week Kisaasi-Kyanja'!H96</f>
        <v>0</v>
      </c>
      <c r="I96" s="49">
        <f>'Avg Week Kyanja-Kisaasi'!I96+'Avg Week Kisaasi-Kyanja'!I96</f>
        <v>0.5</v>
      </c>
      <c r="J96" s="49">
        <f>'Avg Week Kyanja-Kisaasi'!J96+'Avg Week Kisaasi-Kyanja'!J96</f>
        <v>0</v>
      </c>
      <c r="K96" s="49">
        <f>'Avg Week Kyanja-Kisaasi'!K96+'Avg Week Kisaasi-Kyanja'!K96</f>
        <v>0</v>
      </c>
      <c r="L96" s="49">
        <f>'Avg Week Kyanja-Kisaasi'!L96+'Avg Week Kisaasi-Kyanja'!L96</f>
        <v>1</v>
      </c>
      <c r="M96" s="49">
        <f>'Avg Week Kyanja-Kisaasi'!M96+'Avg Week Kisaasi-Kyanja'!M96</f>
        <v>20</v>
      </c>
      <c r="N96" s="49">
        <f>'Avg Week Kyanja-Kisaasi'!N96+'Avg Week Kisaasi-Kyanja'!N96</f>
        <v>0</v>
      </c>
      <c r="O96" s="49">
        <f>'Avg Week Kyanja-Kisaasi'!O96+'Avg Week Kisaasi-Kyanja'!O96</f>
        <v>19.5</v>
      </c>
      <c r="P96" s="49">
        <f>'Avg Week Kyanja-Kisaasi'!P96+'Avg Week Kisaasi-Kyanja'!P96</f>
        <v>39.5</v>
      </c>
      <c r="R96" s="8"/>
      <c r="T96"/>
    </row>
    <row r="97" spans="2:20" ht="23.1" customHeight="1" x14ac:dyDescent="0.25">
      <c r="B97" s="23" t="s">
        <v>137</v>
      </c>
      <c r="C97" s="49">
        <f>'Avg Week Kyanja-Kisaasi'!C97+'Avg Week Kisaasi-Kyanja'!C97</f>
        <v>15</v>
      </c>
      <c r="D97" s="49">
        <f>'Avg Week Kyanja-Kisaasi'!D97+'Avg Week Kisaasi-Kyanja'!D97</f>
        <v>0.5</v>
      </c>
      <c r="E97" s="49">
        <f>'Avg Week Kyanja-Kisaasi'!E97+'Avg Week Kisaasi-Kyanja'!E97</f>
        <v>4</v>
      </c>
      <c r="F97" s="49">
        <f>'Avg Week Kyanja-Kisaasi'!F97+'Avg Week Kisaasi-Kyanja'!F97</f>
        <v>4.5</v>
      </c>
      <c r="G97" s="49">
        <f>'Avg Week Kyanja-Kisaasi'!G97+'Avg Week Kisaasi-Kyanja'!G97</f>
        <v>0</v>
      </c>
      <c r="H97" s="49">
        <f>'Avg Week Kyanja-Kisaasi'!H97+'Avg Week Kisaasi-Kyanja'!H97</f>
        <v>0</v>
      </c>
      <c r="I97" s="49">
        <f>'Avg Week Kyanja-Kisaasi'!I97+'Avg Week Kisaasi-Kyanja'!I97</f>
        <v>0</v>
      </c>
      <c r="J97" s="49">
        <f>'Avg Week Kyanja-Kisaasi'!J97+'Avg Week Kisaasi-Kyanja'!J97</f>
        <v>1</v>
      </c>
      <c r="K97" s="49">
        <f>'Avg Week Kyanja-Kisaasi'!K97+'Avg Week Kisaasi-Kyanja'!K97</f>
        <v>0</v>
      </c>
      <c r="L97" s="49">
        <f>'Avg Week Kyanja-Kisaasi'!L97+'Avg Week Kisaasi-Kyanja'!L97</f>
        <v>0.5</v>
      </c>
      <c r="M97" s="49">
        <f>'Avg Week Kyanja-Kisaasi'!M97+'Avg Week Kisaasi-Kyanja'!M97</f>
        <v>23.5</v>
      </c>
      <c r="N97" s="49">
        <f>'Avg Week Kyanja-Kisaasi'!N97+'Avg Week Kisaasi-Kyanja'!N97</f>
        <v>0</v>
      </c>
      <c r="O97" s="49">
        <f>'Avg Week Kyanja-Kisaasi'!O97+'Avg Week Kisaasi-Kyanja'!O97</f>
        <v>25.5</v>
      </c>
      <c r="P97" s="49">
        <f>'Avg Week Kyanja-Kisaasi'!P97+'Avg Week Kisaasi-Kyanja'!P97</f>
        <v>49</v>
      </c>
      <c r="R97" s="8"/>
      <c r="T97"/>
    </row>
    <row r="98" spans="2:20" ht="23.1" customHeight="1" x14ac:dyDescent="0.25">
      <c r="B98" s="24" t="s">
        <v>138</v>
      </c>
      <c r="C98" s="49">
        <f>'Avg Week Kyanja-Kisaasi'!C98+'Avg Week Kisaasi-Kyanja'!C98</f>
        <v>16.5</v>
      </c>
      <c r="D98" s="49">
        <f>'Avg Week Kyanja-Kisaasi'!D98+'Avg Week Kisaasi-Kyanja'!D98</f>
        <v>2</v>
      </c>
      <c r="E98" s="49">
        <f>'Avg Week Kyanja-Kisaasi'!E98+'Avg Week Kisaasi-Kyanja'!E98</f>
        <v>3</v>
      </c>
      <c r="F98" s="49">
        <f>'Avg Week Kyanja-Kisaasi'!F98+'Avg Week Kisaasi-Kyanja'!F98</f>
        <v>6.5</v>
      </c>
      <c r="G98" s="49">
        <f>'Avg Week Kyanja-Kisaasi'!G98+'Avg Week Kisaasi-Kyanja'!G98</f>
        <v>0.5</v>
      </c>
      <c r="H98" s="49">
        <f>'Avg Week Kyanja-Kisaasi'!H98+'Avg Week Kisaasi-Kyanja'!H98</f>
        <v>0</v>
      </c>
      <c r="I98" s="49">
        <f>'Avg Week Kyanja-Kisaasi'!I98+'Avg Week Kisaasi-Kyanja'!I98</f>
        <v>1</v>
      </c>
      <c r="J98" s="49">
        <f>'Avg Week Kyanja-Kisaasi'!J98+'Avg Week Kisaasi-Kyanja'!J98</f>
        <v>0</v>
      </c>
      <c r="K98" s="49">
        <f>'Avg Week Kyanja-Kisaasi'!K98+'Avg Week Kisaasi-Kyanja'!K98</f>
        <v>0.5</v>
      </c>
      <c r="L98" s="49">
        <f>'Avg Week Kyanja-Kisaasi'!L98+'Avg Week Kisaasi-Kyanja'!L98</f>
        <v>0</v>
      </c>
      <c r="M98" s="49">
        <f>'Avg Week Kyanja-Kisaasi'!M98+'Avg Week Kisaasi-Kyanja'!M98</f>
        <v>25.5</v>
      </c>
      <c r="N98" s="49">
        <f>'Avg Week Kyanja-Kisaasi'!N98+'Avg Week Kisaasi-Kyanja'!N98</f>
        <v>0</v>
      </c>
      <c r="O98" s="49">
        <f>'Avg Week Kyanja-Kisaasi'!O98+'Avg Week Kisaasi-Kyanja'!O98</f>
        <v>30</v>
      </c>
      <c r="P98" s="49">
        <f>'Avg Week Kyanja-Kisaasi'!P98+'Avg Week Kisaasi-Kyanja'!P98</f>
        <v>55.5</v>
      </c>
      <c r="R98" s="8"/>
      <c r="T98"/>
    </row>
    <row r="99" spans="2:20" ht="23.1" customHeight="1" x14ac:dyDescent="0.25">
      <c r="B99" s="23" t="s">
        <v>139</v>
      </c>
      <c r="C99" s="49">
        <f>'Avg Week Kyanja-Kisaasi'!C99+'Avg Week Kisaasi-Kyanja'!C99</f>
        <v>14.5</v>
      </c>
      <c r="D99" s="49">
        <f>'Avg Week Kyanja-Kisaasi'!D99+'Avg Week Kisaasi-Kyanja'!D99</f>
        <v>2.5</v>
      </c>
      <c r="E99" s="49">
        <f>'Avg Week Kyanja-Kisaasi'!E99+'Avg Week Kisaasi-Kyanja'!E99</f>
        <v>4</v>
      </c>
      <c r="F99" s="49">
        <f>'Avg Week Kyanja-Kisaasi'!F99+'Avg Week Kisaasi-Kyanja'!F99</f>
        <v>5</v>
      </c>
      <c r="G99" s="49">
        <f>'Avg Week Kyanja-Kisaasi'!G99+'Avg Week Kisaasi-Kyanja'!G99</f>
        <v>1.5</v>
      </c>
      <c r="H99" s="49">
        <f>'Avg Week Kyanja-Kisaasi'!H99+'Avg Week Kisaasi-Kyanja'!H99</f>
        <v>0.5</v>
      </c>
      <c r="I99" s="49">
        <f>'Avg Week Kyanja-Kisaasi'!I99+'Avg Week Kisaasi-Kyanja'!I99</f>
        <v>1</v>
      </c>
      <c r="J99" s="49">
        <f>'Avg Week Kyanja-Kisaasi'!J99+'Avg Week Kisaasi-Kyanja'!J99</f>
        <v>0</v>
      </c>
      <c r="K99" s="49">
        <f>'Avg Week Kyanja-Kisaasi'!K99+'Avg Week Kisaasi-Kyanja'!K99</f>
        <v>0</v>
      </c>
      <c r="L99" s="49">
        <f>'Avg Week Kyanja-Kisaasi'!L99+'Avg Week Kisaasi-Kyanja'!L99</f>
        <v>1.5</v>
      </c>
      <c r="M99" s="49">
        <f>'Avg Week Kyanja-Kisaasi'!M99+'Avg Week Kisaasi-Kyanja'!M99</f>
        <v>24</v>
      </c>
      <c r="N99" s="49">
        <f>'Avg Week Kyanja-Kisaasi'!N99+'Avg Week Kisaasi-Kyanja'!N99</f>
        <v>0</v>
      </c>
      <c r="O99" s="49">
        <f>'Avg Week Kyanja-Kisaasi'!O99+'Avg Week Kisaasi-Kyanja'!O99</f>
        <v>30.5</v>
      </c>
      <c r="P99" s="49">
        <f>'Avg Week Kyanja-Kisaasi'!P99+'Avg Week Kisaasi-Kyanja'!P99</f>
        <v>54.5</v>
      </c>
      <c r="R99" s="8"/>
      <c r="T99"/>
    </row>
    <row r="100" spans="2:20" ht="23.1" customHeight="1" x14ac:dyDescent="0.25">
      <c r="B100" s="25" t="s">
        <v>140</v>
      </c>
      <c r="C100" s="49">
        <f>'Avg Week Kyanja-Kisaasi'!C100+'Avg Week Kisaasi-Kyanja'!C100</f>
        <v>29.5</v>
      </c>
      <c r="D100" s="49">
        <f>'Avg Week Kyanja-Kisaasi'!D100+'Avg Week Kisaasi-Kyanja'!D100</f>
        <v>2</v>
      </c>
      <c r="E100" s="49">
        <f>'Avg Week Kyanja-Kisaasi'!E100+'Avg Week Kisaasi-Kyanja'!E100</f>
        <v>3.5</v>
      </c>
      <c r="F100" s="49">
        <f>'Avg Week Kyanja-Kisaasi'!F100+'Avg Week Kisaasi-Kyanja'!F100</f>
        <v>13.5</v>
      </c>
      <c r="G100" s="49">
        <f>'Avg Week Kyanja-Kisaasi'!G100+'Avg Week Kisaasi-Kyanja'!G100</f>
        <v>1</v>
      </c>
      <c r="H100" s="49">
        <f>'Avg Week Kyanja-Kisaasi'!H100+'Avg Week Kisaasi-Kyanja'!H100</f>
        <v>0</v>
      </c>
      <c r="I100" s="49">
        <f>'Avg Week Kyanja-Kisaasi'!I100+'Avg Week Kisaasi-Kyanja'!I100</f>
        <v>0.5</v>
      </c>
      <c r="J100" s="49">
        <f>'Avg Week Kyanja-Kisaasi'!J100+'Avg Week Kisaasi-Kyanja'!J100</f>
        <v>0</v>
      </c>
      <c r="K100" s="49">
        <f>'Avg Week Kyanja-Kisaasi'!K100+'Avg Week Kisaasi-Kyanja'!K100</f>
        <v>0</v>
      </c>
      <c r="L100" s="49">
        <f>'Avg Week Kyanja-Kisaasi'!L100+'Avg Week Kisaasi-Kyanja'!L100</f>
        <v>0</v>
      </c>
      <c r="M100" s="49">
        <f>'Avg Week Kyanja-Kisaasi'!M100+'Avg Week Kisaasi-Kyanja'!M100</f>
        <v>36.5</v>
      </c>
      <c r="N100" s="49">
        <f>'Avg Week Kyanja-Kisaasi'!N100+'Avg Week Kisaasi-Kyanja'!N100</f>
        <v>0</v>
      </c>
      <c r="O100" s="49">
        <f>'Avg Week Kyanja-Kisaasi'!O100+'Avg Week Kisaasi-Kyanja'!O100</f>
        <v>50</v>
      </c>
      <c r="P100" s="49">
        <f>'Avg Week Kyanja-Kisaasi'!P100+'Avg Week Kisaasi-Kyanja'!P100</f>
        <v>86.5</v>
      </c>
      <c r="R100" s="8"/>
      <c r="T100"/>
    </row>
    <row r="101" spans="2:20" ht="23.1" customHeight="1" x14ac:dyDescent="0.25">
      <c r="B101" s="23" t="s">
        <v>141</v>
      </c>
      <c r="C101" s="49">
        <f>'Avg Week Kyanja-Kisaasi'!C101+'Avg Week Kisaasi-Kyanja'!C101</f>
        <v>40</v>
      </c>
      <c r="D101" s="49">
        <f>'Avg Week Kyanja-Kisaasi'!D101+'Avg Week Kisaasi-Kyanja'!D101</f>
        <v>4.5</v>
      </c>
      <c r="E101" s="49">
        <f>'Avg Week Kyanja-Kisaasi'!E101+'Avg Week Kisaasi-Kyanja'!E101</f>
        <v>3</v>
      </c>
      <c r="F101" s="49">
        <f>'Avg Week Kyanja-Kisaasi'!F101+'Avg Week Kisaasi-Kyanja'!F101</f>
        <v>14.5</v>
      </c>
      <c r="G101" s="49">
        <f>'Avg Week Kyanja-Kisaasi'!G101+'Avg Week Kisaasi-Kyanja'!G101</f>
        <v>1</v>
      </c>
      <c r="H101" s="49">
        <f>'Avg Week Kyanja-Kisaasi'!H101+'Avg Week Kisaasi-Kyanja'!H101</f>
        <v>0</v>
      </c>
      <c r="I101" s="49">
        <f>'Avg Week Kyanja-Kisaasi'!I101+'Avg Week Kisaasi-Kyanja'!I101</f>
        <v>0</v>
      </c>
      <c r="J101" s="49">
        <f>'Avg Week Kyanja-Kisaasi'!J101+'Avg Week Kisaasi-Kyanja'!J101</f>
        <v>1</v>
      </c>
      <c r="K101" s="49">
        <f>'Avg Week Kyanja-Kisaasi'!K101+'Avg Week Kisaasi-Kyanja'!K101</f>
        <v>0</v>
      </c>
      <c r="L101" s="49">
        <f>'Avg Week Kyanja-Kisaasi'!L101+'Avg Week Kisaasi-Kyanja'!L101</f>
        <v>0.5</v>
      </c>
      <c r="M101" s="49">
        <f>'Avg Week Kyanja-Kisaasi'!M101+'Avg Week Kisaasi-Kyanja'!M101</f>
        <v>35.5</v>
      </c>
      <c r="N101" s="49">
        <f>'Avg Week Kyanja-Kisaasi'!N101+'Avg Week Kisaasi-Kyanja'!N101</f>
        <v>0</v>
      </c>
      <c r="O101" s="49">
        <f>'Avg Week Kyanja-Kisaasi'!O101+'Avg Week Kisaasi-Kyanja'!O101</f>
        <v>64.5</v>
      </c>
      <c r="P101" s="49">
        <f>'Avg Week Kyanja-Kisaasi'!P101+'Avg Week Kisaasi-Kyanja'!P101</f>
        <v>100</v>
      </c>
      <c r="R101" s="8"/>
      <c r="T101"/>
    </row>
    <row r="102" spans="2:20" ht="23.1" customHeight="1" x14ac:dyDescent="0.25">
      <c r="B102" s="24" t="s">
        <v>142</v>
      </c>
      <c r="C102" s="49">
        <f>'Avg Week Kyanja-Kisaasi'!C102+'Avg Week Kisaasi-Kyanja'!C102</f>
        <v>38.5</v>
      </c>
      <c r="D102" s="49">
        <f>'Avg Week Kyanja-Kisaasi'!D102+'Avg Week Kisaasi-Kyanja'!D102</f>
        <v>17</v>
      </c>
      <c r="E102" s="49">
        <f>'Avg Week Kyanja-Kisaasi'!E102+'Avg Week Kisaasi-Kyanja'!E102</f>
        <v>2.5</v>
      </c>
      <c r="F102" s="49">
        <f>'Avg Week Kyanja-Kisaasi'!F102+'Avg Week Kisaasi-Kyanja'!F102</f>
        <v>13</v>
      </c>
      <c r="G102" s="49">
        <f>'Avg Week Kyanja-Kisaasi'!G102+'Avg Week Kisaasi-Kyanja'!G102</f>
        <v>1</v>
      </c>
      <c r="H102" s="49">
        <f>'Avg Week Kyanja-Kisaasi'!H102+'Avg Week Kisaasi-Kyanja'!H102</f>
        <v>0</v>
      </c>
      <c r="I102" s="49">
        <f>'Avg Week Kyanja-Kisaasi'!I102+'Avg Week Kisaasi-Kyanja'!I102</f>
        <v>0</v>
      </c>
      <c r="J102" s="49">
        <f>'Avg Week Kyanja-Kisaasi'!J102+'Avg Week Kisaasi-Kyanja'!J102</f>
        <v>0</v>
      </c>
      <c r="K102" s="49">
        <f>'Avg Week Kyanja-Kisaasi'!K102+'Avg Week Kisaasi-Kyanja'!K102</f>
        <v>1.5</v>
      </c>
      <c r="L102" s="49">
        <f>'Avg Week Kyanja-Kisaasi'!L102+'Avg Week Kisaasi-Kyanja'!L102</f>
        <v>0</v>
      </c>
      <c r="M102" s="49">
        <f>'Avg Week Kyanja-Kisaasi'!M102+'Avg Week Kisaasi-Kyanja'!M102</f>
        <v>47</v>
      </c>
      <c r="N102" s="49">
        <f>'Avg Week Kyanja-Kisaasi'!N102+'Avg Week Kisaasi-Kyanja'!N102</f>
        <v>0</v>
      </c>
      <c r="O102" s="49">
        <f>'Avg Week Kyanja-Kisaasi'!O102+'Avg Week Kisaasi-Kyanja'!O102</f>
        <v>73.5</v>
      </c>
      <c r="P102" s="49">
        <f>'Avg Week Kyanja-Kisaasi'!P102+'Avg Week Kisaasi-Kyanja'!P102</f>
        <v>120.5</v>
      </c>
      <c r="R102" s="8"/>
      <c r="T102"/>
    </row>
    <row r="103" spans="2:20" ht="23.1" customHeight="1" x14ac:dyDescent="0.25">
      <c r="B103" s="23" t="s">
        <v>143</v>
      </c>
      <c r="C103" s="49">
        <f>'Avg Week Kyanja-Kisaasi'!C103+'Avg Week Kisaasi-Kyanja'!C103</f>
        <v>31</v>
      </c>
      <c r="D103" s="49">
        <f>'Avg Week Kyanja-Kisaasi'!D103+'Avg Week Kisaasi-Kyanja'!D103</f>
        <v>25</v>
      </c>
      <c r="E103" s="49">
        <f>'Avg Week Kyanja-Kisaasi'!E103+'Avg Week Kisaasi-Kyanja'!E103</f>
        <v>5</v>
      </c>
      <c r="F103" s="49">
        <f>'Avg Week Kyanja-Kisaasi'!F103+'Avg Week Kisaasi-Kyanja'!F103</f>
        <v>2.5</v>
      </c>
      <c r="G103" s="49">
        <f>'Avg Week Kyanja-Kisaasi'!G103+'Avg Week Kisaasi-Kyanja'!G103</f>
        <v>0</v>
      </c>
      <c r="H103" s="49">
        <f>'Avg Week Kyanja-Kisaasi'!H103+'Avg Week Kisaasi-Kyanja'!H103</f>
        <v>0</v>
      </c>
      <c r="I103" s="49">
        <f>'Avg Week Kyanja-Kisaasi'!I103+'Avg Week Kisaasi-Kyanja'!I103</f>
        <v>1</v>
      </c>
      <c r="J103" s="49">
        <f>'Avg Week Kyanja-Kisaasi'!J103+'Avg Week Kisaasi-Kyanja'!J103</f>
        <v>0</v>
      </c>
      <c r="K103" s="49">
        <f>'Avg Week Kyanja-Kisaasi'!K103+'Avg Week Kisaasi-Kyanja'!K103</f>
        <v>0.5</v>
      </c>
      <c r="L103" s="49">
        <f>'Avg Week Kyanja-Kisaasi'!L103+'Avg Week Kisaasi-Kyanja'!L103</f>
        <v>0</v>
      </c>
      <c r="M103" s="49">
        <f>'Avg Week Kyanja-Kisaasi'!M103+'Avg Week Kisaasi-Kyanja'!M103</f>
        <v>41</v>
      </c>
      <c r="N103" s="49">
        <f>'Avg Week Kyanja-Kisaasi'!N103+'Avg Week Kisaasi-Kyanja'!N103</f>
        <v>0</v>
      </c>
      <c r="O103" s="49">
        <f>'Avg Week Kyanja-Kisaasi'!O103+'Avg Week Kisaasi-Kyanja'!O103</f>
        <v>65</v>
      </c>
      <c r="P103" s="49">
        <f>'Avg Week Kyanja-Kisaasi'!P103+'Avg Week Kisaasi-Kyanja'!P103</f>
        <v>106</v>
      </c>
      <c r="R103" s="8"/>
      <c r="T103"/>
    </row>
    <row r="104" spans="2:20" ht="23.1" customHeight="1" x14ac:dyDescent="0.25">
      <c r="B104" s="25" t="s">
        <v>144</v>
      </c>
      <c r="C104" s="49">
        <f>'Avg Week Kyanja-Kisaasi'!C104+'Avg Week Kisaasi-Kyanja'!C104</f>
        <v>30</v>
      </c>
      <c r="D104" s="49">
        <f>'Avg Week Kyanja-Kisaasi'!D104+'Avg Week Kisaasi-Kyanja'!D104</f>
        <v>29</v>
      </c>
      <c r="E104" s="49">
        <f>'Avg Week Kyanja-Kisaasi'!E104+'Avg Week Kisaasi-Kyanja'!E104</f>
        <v>13</v>
      </c>
      <c r="F104" s="49">
        <f>'Avg Week Kyanja-Kisaasi'!F104+'Avg Week Kisaasi-Kyanja'!F104</f>
        <v>13.5</v>
      </c>
      <c r="G104" s="49">
        <f>'Avg Week Kyanja-Kisaasi'!G104+'Avg Week Kisaasi-Kyanja'!G104</f>
        <v>0</v>
      </c>
      <c r="H104" s="49">
        <f>'Avg Week Kyanja-Kisaasi'!H104+'Avg Week Kisaasi-Kyanja'!H104</f>
        <v>0</v>
      </c>
      <c r="I104" s="49">
        <f>'Avg Week Kyanja-Kisaasi'!I104+'Avg Week Kisaasi-Kyanja'!I104</f>
        <v>1</v>
      </c>
      <c r="J104" s="49">
        <f>'Avg Week Kyanja-Kisaasi'!J104+'Avg Week Kisaasi-Kyanja'!J104</f>
        <v>0</v>
      </c>
      <c r="K104" s="49">
        <f>'Avg Week Kyanja-Kisaasi'!K104+'Avg Week Kisaasi-Kyanja'!K104</f>
        <v>0</v>
      </c>
      <c r="L104" s="49">
        <f>'Avg Week Kyanja-Kisaasi'!L104+'Avg Week Kisaasi-Kyanja'!L104</f>
        <v>0</v>
      </c>
      <c r="M104" s="49">
        <f>'Avg Week Kyanja-Kisaasi'!M104+'Avg Week Kisaasi-Kyanja'!M104</f>
        <v>30</v>
      </c>
      <c r="N104" s="49">
        <f>'Avg Week Kyanja-Kisaasi'!N104+'Avg Week Kisaasi-Kyanja'!N104</f>
        <v>0</v>
      </c>
      <c r="O104" s="49">
        <f>'Avg Week Kyanja-Kisaasi'!O104+'Avg Week Kisaasi-Kyanja'!O104</f>
        <v>86.5</v>
      </c>
      <c r="P104" s="49">
        <f>'Avg Week Kyanja-Kisaasi'!P104+'Avg Week Kisaasi-Kyanja'!P104</f>
        <v>116.5</v>
      </c>
      <c r="R104" s="8"/>
      <c r="T104"/>
    </row>
    <row r="105" spans="2:20" ht="23.1" customHeight="1" x14ac:dyDescent="0.25">
      <c r="B105" s="23" t="s">
        <v>145</v>
      </c>
      <c r="C105" s="49">
        <f>'Avg Week Kyanja-Kisaasi'!C105+'Avg Week Kisaasi-Kyanja'!C105</f>
        <v>39.5</v>
      </c>
      <c r="D105" s="49">
        <f>'Avg Week Kyanja-Kisaasi'!D105+'Avg Week Kisaasi-Kyanja'!D105</f>
        <v>16</v>
      </c>
      <c r="E105" s="49">
        <f>'Avg Week Kyanja-Kisaasi'!E105+'Avg Week Kisaasi-Kyanja'!E105</f>
        <v>9.5</v>
      </c>
      <c r="F105" s="49">
        <f>'Avg Week Kyanja-Kisaasi'!F105+'Avg Week Kisaasi-Kyanja'!F105</f>
        <v>12</v>
      </c>
      <c r="G105" s="49">
        <f>'Avg Week Kyanja-Kisaasi'!G105+'Avg Week Kisaasi-Kyanja'!G105</f>
        <v>0</v>
      </c>
      <c r="H105" s="49">
        <f>'Avg Week Kyanja-Kisaasi'!H105+'Avg Week Kisaasi-Kyanja'!H105</f>
        <v>0</v>
      </c>
      <c r="I105" s="49">
        <f>'Avg Week Kyanja-Kisaasi'!I105+'Avg Week Kisaasi-Kyanja'!I105</f>
        <v>1</v>
      </c>
      <c r="J105" s="49">
        <f>'Avg Week Kyanja-Kisaasi'!J105+'Avg Week Kisaasi-Kyanja'!J105</f>
        <v>0</v>
      </c>
      <c r="K105" s="49">
        <f>'Avg Week Kyanja-Kisaasi'!K105+'Avg Week Kisaasi-Kyanja'!K105</f>
        <v>0</v>
      </c>
      <c r="L105" s="49">
        <f>'Avg Week Kyanja-Kisaasi'!L105+'Avg Week Kisaasi-Kyanja'!L105</f>
        <v>0</v>
      </c>
      <c r="M105" s="49">
        <f>'Avg Week Kyanja-Kisaasi'!M105+'Avg Week Kisaasi-Kyanja'!M105</f>
        <v>46</v>
      </c>
      <c r="N105" s="49">
        <f>'Avg Week Kyanja-Kisaasi'!N105+'Avg Week Kisaasi-Kyanja'!N105</f>
        <v>0</v>
      </c>
      <c r="O105" s="49">
        <f>'Avg Week Kyanja-Kisaasi'!O105+'Avg Week Kisaasi-Kyanja'!O105</f>
        <v>78</v>
      </c>
      <c r="P105" s="49">
        <f>'Avg Week Kyanja-Kisaasi'!P105+'Avg Week Kisaasi-Kyanja'!P105</f>
        <v>124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7857.2857142857129</v>
      </c>
      <c r="D106" s="16">
        <f t="shared" ref="D106:O106" si="25">SUM(D10:D105)</f>
        <v>3507.0714285714289</v>
      </c>
      <c r="E106" s="16">
        <f t="shared" si="25"/>
        <v>984.64285714285711</v>
      </c>
      <c r="F106" s="16">
        <f t="shared" si="25"/>
        <v>2322.7857142857147</v>
      </c>
      <c r="G106" s="16">
        <f t="shared" si="25"/>
        <v>31.642857142857149</v>
      </c>
      <c r="H106" s="16">
        <f t="shared" si="25"/>
        <v>4.3571428571428559</v>
      </c>
      <c r="I106" s="16">
        <f t="shared" si="25"/>
        <v>483.4285714285715</v>
      </c>
      <c r="J106" s="16">
        <f t="shared" si="25"/>
        <v>192.71428571428567</v>
      </c>
      <c r="K106" s="16">
        <f t="shared" si="25"/>
        <v>177.57142857142856</v>
      </c>
      <c r="L106" s="16">
        <f t="shared" si="25"/>
        <v>27.571428571428573</v>
      </c>
      <c r="M106" s="16">
        <f t="shared" si="25"/>
        <v>14865.071428571431</v>
      </c>
      <c r="N106" s="16">
        <f t="shared" si="25"/>
        <v>0.85714285714285698</v>
      </c>
      <c r="O106" s="16">
        <f t="shared" si="25"/>
        <v>15589.928571428571</v>
      </c>
      <c r="P106" s="16">
        <f>SUM(P10:P105)</f>
        <v>30455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26">C106/$P$106</f>
        <v>0.25799657574407198</v>
      </c>
      <c r="D107" s="43">
        <f t="shared" si="26"/>
        <v>0.11515585055233718</v>
      </c>
      <c r="E107" s="43">
        <f t="shared" si="26"/>
        <v>3.2331073949855758E-2</v>
      </c>
      <c r="F107" s="43">
        <f t="shared" si="26"/>
        <v>7.6269437343152668E-2</v>
      </c>
      <c r="G107" s="43">
        <f t="shared" si="26"/>
        <v>1.0390036822478131E-3</v>
      </c>
      <c r="H107" s="43">
        <f t="shared" si="26"/>
        <v>1.4306822712667396E-4</v>
      </c>
      <c r="I107" s="43">
        <f t="shared" si="26"/>
        <v>1.5873537068743112E-2</v>
      </c>
      <c r="J107" s="43">
        <f t="shared" si="26"/>
        <v>6.3278373243896135E-3</v>
      </c>
      <c r="K107" s="43">
        <f t="shared" si="26"/>
        <v>5.8306166006051076E-3</v>
      </c>
      <c r="L107" s="43">
        <f t="shared" si="26"/>
        <v>9.0531697821141267E-4</v>
      </c>
      <c r="M107" s="43">
        <f t="shared" si="26"/>
        <v>0.48809953795998789</v>
      </c>
      <c r="N107" s="43">
        <f t="shared" si="26"/>
        <v>2.8144569270821112E-5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0.50399754420207177</v>
      </c>
      <c r="D108" s="44">
        <f t="shared" ref="D108:N108" si="27">D106/$O$106</f>
        <v>0.22495750461607542</v>
      </c>
      <c r="E108" s="44">
        <f t="shared" si="27"/>
        <v>6.3158907536458975E-2</v>
      </c>
      <c r="F108" s="44">
        <f t="shared" si="27"/>
        <v>0.14899271049532897</v>
      </c>
      <c r="G108" s="44">
        <f t="shared" si="27"/>
        <v>2.0296986607654215E-3</v>
      </c>
      <c r="H108" s="44">
        <f t="shared" si="27"/>
        <v>2.7948446570359064E-4</v>
      </c>
      <c r="I108" s="44">
        <f t="shared" si="27"/>
        <v>3.1009030555441019E-2</v>
      </c>
      <c r="J108" s="44">
        <f t="shared" si="27"/>
        <v>1.2361460466693237E-2</v>
      </c>
      <c r="K108" s="44">
        <f t="shared" si="27"/>
        <v>1.1390137405559449E-2</v>
      </c>
      <c r="L108" s="44">
        <f t="shared" si="27"/>
        <v>1.7685410452719019E-3</v>
      </c>
      <c r="M108" s="44"/>
      <c r="N108" s="44">
        <f t="shared" si="27"/>
        <v>5.4980550630214553E-5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Kyanja -Kisaasi</vt:lpstr>
      <vt:lpstr>29.07 Kisaasi-Kyanja</vt:lpstr>
      <vt:lpstr>30.07 Kyanja-Kisaasi</vt:lpstr>
      <vt:lpstr>30.07 Kisaasi-Kyanja</vt:lpstr>
      <vt:lpstr>31.07 Kyanja-Kisaasi</vt:lpstr>
      <vt:lpstr>31.07 Kisaasi-Kyanja</vt:lpstr>
      <vt:lpstr>01.08 Kyanja-Kisaasi-24h</vt:lpstr>
      <vt:lpstr>01.08 Kisaasi-Kyanja-24h</vt:lpstr>
      <vt:lpstr>02.08 Kyanja-Kisaasi</vt:lpstr>
      <vt:lpstr>02.08 Kisaasi-Kyanja</vt:lpstr>
      <vt:lpstr>03.08 Kyanja-Kisaasi-24h</vt:lpstr>
      <vt:lpstr>03.08 Kisaasi-Kyanja-24h</vt:lpstr>
      <vt:lpstr>04.08 Kyanja-Kisaasi</vt:lpstr>
      <vt:lpstr>04.08 Kisaasi-Kyanja</vt:lpstr>
      <vt:lpstr>Avg Week Kyanja-Kisaasi</vt:lpstr>
      <vt:lpstr>Avg Week Kisaasi-Kyanja</vt:lpstr>
      <vt:lpstr>Avg Week Kyanja-Kisaasi-2Dir</vt:lpstr>
      <vt:lpstr>'01.08 Kisaasi-Kyanja-24h'!Print_Area</vt:lpstr>
      <vt:lpstr>'01.08 Kyanja-Kisaasi-24h'!Print_Area</vt:lpstr>
      <vt:lpstr>'02.08 Kisaasi-Kyanja'!Print_Area</vt:lpstr>
      <vt:lpstr>'02.08 Kyanja-Kisaasi'!Print_Area</vt:lpstr>
      <vt:lpstr>'03.08 Kisaasi-Kyanja-24h'!Print_Area</vt:lpstr>
      <vt:lpstr>'03.08 Kyanja-Kisaasi-24h'!Print_Area</vt:lpstr>
      <vt:lpstr>'04.08 Kisaasi-Kyanja'!Print_Area</vt:lpstr>
      <vt:lpstr>'04.08 Kyanja-Kisaasi'!Print_Area</vt:lpstr>
      <vt:lpstr>'29.07 Kisaasi-Kyanja'!Print_Area</vt:lpstr>
      <vt:lpstr>'29.07 Kyanja -Kisaasi'!Print_Area</vt:lpstr>
      <vt:lpstr>'30.07 Kisaasi-Kyanja'!Print_Area</vt:lpstr>
      <vt:lpstr>'30.07 Kyanja-Kisaasi'!Print_Area</vt:lpstr>
      <vt:lpstr>'31.07 Kisaasi-Kyanja'!Print_Area</vt:lpstr>
      <vt:lpstr>'31.07 Kyanja-Kisaasi'!Print_Area</vt:lpstr>
      <vt:lpstr>'Avg Week Kisaasi-Kyanja'!Print_Area</vt:lpstr>
      <vt:lpstr>'Avg Week Kyanja-Kisaasi'!Print_Area</vt:lpstr>
      <vt:lpstr>'Avg Week Kyanja-Kisaasi-2Dir'!Print_Area</vt:lpstr>
      <vt:lpstr>'01.08 Kisaasi-Kyanja-24h'!Print_Titles</vt:lpstr>
      <vt:lpstr>'01.08 Kyanja-Kisaasi-24h'!Print_Titles</vt:lpstr>
      <vt:lpstr>'02.08 Kisaasi-Kyanja'!Print_Titles</vt:lpstr>
      <vt:lpstr>'02.08 Kyanja-Kisaasi'!Print_Titles</vt:lpstr>
      <vt:lpstr>'03.08 Kisaasi-Kyanja-24h'!Print_Titles</vt:lpstr>
      <vt:lpstr>'03.08 Kyanja-Kisaasi-24h'!Print_Titles</vt:lpstr>
      <vt:lpstr>'04.08 Kisaasi-Kyanja'!Print_Titles</vt:lpstr>
      <vt:lpstr>'04.08 Kyanja-Kisaasi'!Print_Titles</vt:lpstr>
      <vt:lpstr>'29.07 Kisaasi-Kyanja'!Print_Titles</vt:lpstr>
      <vt:lpstr>'29.07 Kyanja -Kisaasi'!Print_Titles</vt:lpstr>
      <vt:lpstr>'30.07 Kisaasi-Kyanja'!Print_Titles</vt:lpstr>
      <vt:lpstr>'30.07 Kyanja-Kisaasi'!Print_Titles</vt:lpstr>
      <vt:lpstr>'31.07 Kisaasi-Kyanja'!Print_Titles</vt:lpstr>
      <vt:lpstr>'31.07 Kyanja-Kisaasi'!Print_Titles</vt:lpstr>
      <vt:lpstr>'Avg Week Kisaasi-Kyanja'!Print_Titles</vt:lpstr>
      <vt:lpstr>'Avg Week Kyanja-Kisaasi'!Print_Titles</vt:lpstr>
      <vt:lpstr>'Avg Week Kyanja-Kisaasi-2Dir'!Print_Titles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2020-01-15T17:35:21Z</dcterms:modified>
</cp:coreProperties>
</file>